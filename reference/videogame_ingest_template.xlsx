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R" sheetId="1" r:id="rId5"/>
    <sheet state="visible" name="Ingest Template" sheetId="2" r:id="rId6"/>
    <sheet state="visible" name="Twitter Keyword Methodology" sheetId="3" r:id="rId7"/>
    <sheet state="visible" name="DropDown" sheetId="4" r:id="rId8"/>
  </sheets>
  <definedNames/>
  <calcPr/>
</workbook>
</file>

<file path=xl/sharedStrings.xml><?xml version="1.0" encoding="utf-8"?>
<sst xmlns="http://schemas.openxmlformats.org/spreadsheetml/2006/main" count="30276" uniqueCount="16890">
  <si>
    <t>Perspective</t>
  </si>
  <si>
    <t>brand_id</t>
  </si>
  <si>
    <t>Twitter Episodic Keyword Methodology</t>
  </si>
  <si>
    <t>title</t>
  </si>
  <si>
    <t>title_category</t>
  </si>
  <si>
    <t>Company</t>
  </si>
  <si>
    <t>Title</t>
  </si>
  <si>
    <t>title_sub_category</t>
  </si>
  <si>
    <t>Release Date</t>
  </si>
  <si>
    <t xml:space="preserve">Default: </t>
  </si>
  <si>
    <t>Developer</t>
  </si>
  <si>
    <t>genre</t>
  </si>
  <si>
    <t>(“Video Game”) (“Video Game Developer” OR #VideoGameDeveloper” OR “Video Game” OR “Playstation” OR “PS4” OR “PS5” OR “Xbox” OR “Switch” OR “Switch 2” “PC”)</t>
  </si>
  <si>
    <t>primary_genre</t>
  </si>
  <si>
    <t>rovi_id</t>
  </si>
  <si>
    <t>Publisher</t>
  </si>
  <si>
    <t>Tier 1 Modification:</t>
  </si>
  <si>
    <t>ticker_symbol</t>
  </si>
  <si>
    <t>Platform 1</t>
  </si>
  <si>
    <t>(“Video Game”) (“Video Game Developer” OR #DeveloperHashtag)</t>
  </si>
  <si>
    <t>Tier 2 Modification:</t>
  </si>
  <si>
    <t>(“Video Game”) ("Video Game")</t>
  </si>
  <si>
    <t>title_content_windows</t>
  </si>
  <si>
    <t>companies</t>
  </si>
  <si>
    <t>brand_set</t>
  </si>
  <si>
    <t>active</t>
  </si>
  <si>
    <t>Platform 2</t>
  </si>
  <si>
    <t>released_on</t>
  </si>
  <si>
    <t>box_office</t>
  </si>
  <si>
    <t>Platform 3</t>
  </si>
  <si>
    <t>street_date</t>
  </si>
  <si>
    <t>gross_screen</t>
  </si>
  <si>
    <t>Platform 4</t>
  </si>
  <si>
    <t>Developer Twitter Keyword</t>
  </si>
  <si>
    <t>opening_weekend_box_office</t>
  </si>
  <si>
    <t>Platform 5</t>
  </si>
  <si>
    <t>network</t>
  </si>
  <si>
    <t>Platform 6</t>
  </si>
  <si>
    <t>brand_listing_hidden</t>
  </si>
  <si>
    <t>facebook_page</t>
  </si>
  <si>
    <t>Genre 1</t>
  </si>
  <si>
    <t>twitter_handle</t>
  </si>
  <si>
    <t>Video Game Brand Set</t>
  </si>
  <si>
    <t>instagram_user</t>
  </si>
  <si>
    <t>youtube_channel_username</t>
  </si>
  <si>
    <t>Publisher YouTube (Company)</t>
  </si>
  <si>
    <t>tiktok_user</t>
  </si>
  <si>
    <t>Twitter Hashtag 1</t>
  </si>
  <si>
    <t>tumblr_page</t>
  </si>
  <si>
    <t>Twitter Hashtag 2</t>
  </si>
  <si>
    <t>pinterest_user_username</t>
  </si>
  <si>
    <t>Publisher Twitter Keyword</t>
  </si>
  <si>
    <t>pinterest_board</t>
  </si>
  <si>
    <t>Twitter Hashtag 3</t>
  </si>
  <si>
    <t>wikipedia_page</t>
  </si>
  <si>
    <t>Platform</t>
  </si>
  <si>
    <t>Twitter Keyword (Search String)</t>
  </si>
  <si>
    <t>rottentomatoes</t>
  </si>
  <si>
    <t>Reddit Keyword (Search String)</t>
  </si>
  <si>
    <t>imdb_id</t>
  </si>
  <si>
    <t>Mapped Genres</t>
  </si>
  <si>
    <t>metacritic</t>
  </si>
  <si>
    <t>facebook_search_terms</t>
  </si>
  <si>
    <t>Wikipedia</t>
  </si>
  <si>
    <t>twitter_search_terms</t>
  </si>
  <si>
    <t>Primary Genres</t>
  </si>
  <si>
    <t>instagram_search_terms</t>
  </si>
  <si>
    <t>tumblr_search_terms</t>
  </si>
  <si>
    <t>IMDB (URL)</t>
  </si>
  <si>
    <t>twitter_search_term_keywords</t>
  </si>
  <si>
    <t>Metacritic</t>
  </si>
  <si>
    <t>Developer Reddit Keyword</t>
  </si>
  <si>
    <t>youtube_search_terms</t>
  </si>
  <si>
    <t>Facebook Page (URL)</t>
  </si>
  <si>
    <t>Twitter Page (URL)</t>
  </si>
  <si>
    <t>reddit_search_terms</t>
  </si>
  <si>
    <t>Developer YouTube (Company)</t>
  </si>
  <si>
    <t>Instagram Handle</t>
  </si>
  <si>
    <t>url_managers</t>
  </si>
  <si>
    <t>YouTube (Brand)</t>
  </si>
  <si>
    <t>TikTok</t>
  </si>
  <si>
    <t>URL Manager</t>
  </si>
  <si>
    <t>Extended</t>
  </si>
  <si>
    <t>Developer - Square Enix</t>
  </si>
  <si>
    <t>#SquareEnix OR "Square Enix"</t>
  </si>
  <si>
    <t>@unepic_fran</t>
  </si>
  <si>
    <t>https://www.youtube.com/channel/UC4mHEEWg05Q6AEhO3YrwxEQ|</t>
  </si>
  <si>
    <t>#@unepicfran OR "@unepic fran"</t>
  </si>
  <si>
    <t>Platform - Game Boy</t>
  </si>
  <si>
    <t>4x</t>
  </si>
  <si>
    <t>Strategy</t>
  </si>
  <si>
    <t>#SquareEnix | "Square Enix"</t>
  </si>
  <si>
    <t>Video Game</t>
  </si>
  <si>
    <t>https://www.youtube.com/user/squareenix|</t>
  </si>
  <si>
    <t>Standard</t>
  </si>
  <si>
    <t>Developer - Higgs Games</t>
  </si>
  <si>
    <t>#HiggsGames OR "Higgs Games"</t>
  </si>
  <si>
    <t>101XP</t>
  </si>
  <si>
    <t>https://www.youtube.com/channel/UCq8CmBF81yeQHZYUQZBhq6g|</t>
  </si>
  <si>
    <t>#101XP OR "101XP"</t>
  </si>
  <si>
    <t>Platform - Mobile</t>
  </si>
  <si>
    <t>Action</t>
  </si>
  <si>
    <t>#HiggsGames | "Higgs Games"</t>
  </si>
  <si>
    <t>https://www.youtube.com/channel/UCTcri43S8Mbzb0bWY4Optqw|</t>
  </si>
  <si>
    <t>Developer - FUN Labs</t>
  </si>
  <si>
    <t>#FUNLabs OR "FUN Labs"</t>
  </si>
  <si>
    <t>1047 Games</t>
  </si>
  <si>
    <t>https://www.youtube.com/channel/UCdUA8I1gJ606kBa9MfTZIyw|</t>
  </si>
  <si>
    <t>#1047Games OR "1047 Games"</t>
  </si>
  <si>
    <t>Platform - PC</t>
  </si>
  <si>
    <t>Action Rpg</t>
  </si>
  <si>
    <t>Rpgs</t>
  </si>
  <si>
    <t>LF // Video Games // Games</t>
  </si>
  <si>
    <t>#FUNLabs | "FUN Labs"</t>
  </si>
  <si>
    <t>https://www.youtube.com/channel/UCLWvZKDvKB4EBNQlVylxIzg|</t>
  </si>
  <si>
    <t>Developer - SneakyBox</t>
  </si>
  <si>
    <t>#SneakyBox OR "SneakyBox"</t>
  </si>
  <si>
    <t>10Ants Hill</t>
  </si>
  <si>
    <t>#10AntsHill OR "10Ants Hill"</t>
  </si>
  <si>
    <t>Platform - PS4</t>
  </si>
  <si>
    <t>Adventure</t>
  </si>
  <si>
    <t>#SneakyBox | "SneakyBox"</t>
  </si>
  <si>
    <t>https://www.youtube.com/user/SneakyBoxStudios|</t>
  </si>
  <si>
    <t>Developer - Spooky Doorway</t>
  </si>
  <si>
    <t>#SpookyDoorway OR "Spooky Doorway"</t>
  </si>
  <si>
    <t>10tons</t>
  </si>
  <si>
    <t>https://www.youtube.com/10tonsLtd|</t>
  </si>
  <si>
    <t>#10tons OR "10tons"</t>
  </si>
  <si>
    <t>Platform - PS5</t>
  </si>
  <si>
    <t>Arcade</t>
  </si>
  <si>
    <t>Other</t>
  </si>
  <si>
    <t>#SpookyDoorway | "Spooky Doorway"</t>
  </si>
  <si>
    <t>https://www.youtube.com/channel/UCHPMHsokvVVn59eAQ-75Evw|</t>
  </si>
  <si>
    <t>Developer - namethemachine</t>
  </si>
  <si>
    <t>#namethemachine OR "namethemachine"</t>
  </si>
  <si>
    <t>10tons Entertainment</t>
  </si>
  <si>
    <t>https://www.youtube.com/channel/UC5C7uH3g1HGCpi6UWv4p_2A|</t>
  </si>
  <si>
    <t>#10tonsEntertainment OR "10tons Entertainment"</t>
  </si>
  <si>
    <t>Platform - Switch</t>
  </si>
  <si>
    <t>Arena Shooter</t>
  </si>
  <si>
    <t>Shooter</t>
  </si>
  <si>
    <t>#namethemachine | "namethemachine"</t>
  </si>
  <si>
    <t>Developer - Playism</t>
  </si>
  <si>
    <t>#Playism OR "Playism"</t>
  </si>
  <si>
    <t>10tons Ltd</t>
  </si>
  <si>
    <t>t</t>
  </si>
  <si>
    <t>#10tonsLtd OR "10tons Ltd"</t>
  </si>
  <si>
    <t>Platform - Switch 2</t>
  </si>
  <si>
    <t>Battle Royale</t>
  </si>
  <si>
    <t>#Playism | "Playism"</t>
  </si>
  <si>
    <t>https://www.youtube.com/user/ActiveGamingMedia|</t>
  </si>
  <si>
    <t>Developer - JapanStudio</t>
  </si>
  <si>
    <t>#JapanStudio OR "JapanStudio"</t>
  </si>
  <si>
    <t>11 bit studios</t>
  </si>
  <si>
    <t>https://www.youtube.com/user/11bitstudios|</t>
  </si>
  <si>
    <t>#11bitstudios OR "11 bit studios"</t>
  </si>
  <si>
    <t>Platform - Xbox One</t>
  </si>
  <si>
    <t>Coding Games</t>
  </si>
  <si>
    <t>#JapanStudio | "JapanStudio"</t>
  </si>
  <si>
    <t>https://www.youtube.com/channel/UCNQBbGnXiwbDropHXXEazLA|</t>
  </si>
  <si>
    <t>f</t>
  </si>
  <si>
    <t>Developer - Bungie Software</t>
  </si>
  <si>
    <t>#BungieSoftware OR "Bungie Software"</t>
  </si>
  <si>
    <t>11 Sheep</t>
  </si>
  <si>
    <t>https://www.youtube.com/user/the11sheep|</t>
  </si>
  <si>
    <t>#11Sheep OR "11 Sheep"</t>
  </si>
  <si>
    <t>Platform - Xbox Series X</t>
  </si>
  <si>
    <t>Compilation</t>
  </si>
  <si>
    <t>#BungieSoftware | "Bungie Software"</t>
  </si>
  <si>
    <t>https://www.youtube.com/user/bungie|</t>
  </si>
  <si>
    <t>Developer - CHECK MATE SPOLKA Z OGRANICZONA ODPOWIEDZIALNOSCIA</t>
  </si>
  <si>
    <t>#CHECKMATESPOLKAZOGRANICZONAODPOWIEDZIALNOSCIA OR "CHECK MATE SPOLKA Z OGRANICZONA ODPOWIEDZIALNOSCIA"</t>
  </si>
  <si>
    <t>13AM Games</t>
  </si>
  <si>
    <t>https://www.youtube.com/user/13amgames|</t>
  </si>
  <si>
    <t>#13AMGames OR "13AM Games"</t>
  </si>
  <si>
    <t>Platform - PS2</t>
  </si>
  <si>
    <t>Construction</t>
  </si>
  <si>
    <t>Simulation</t>
  </si>
  <si>
    <t>#CHECKMATESPOLKAZOGRANICZONAODPOWIEDZIALNOSCIA | "CHECK MATE SPOLKA Z OGRANICZONA ODPOWIEDZIALNOSCIA"</t>
  </si>
  <si>
    <t>Developer - I. Campomanes</t>
  </si>
  <si>
    <t>#ICampomanes OR "I. Campomanes"</t>
  </si>
  <si>
    <t>17-Bit</t>
  </si>
  <si>
    <t>https://www.youtube.com/channel/UCpoWTatG1G5lQIXJBm3Mdmg|</t>
  </si>
  <si>
    <t>#17Bit OR "17-Bit"</t>
  </si>
  <si>
    <t>Platform - PS3</t>
  </si>
  <si>
    <t>Crpg</t>
  </si>
  <si>
    <t>#ICampomanes | "I. Campomanes"</t>
  </si>
  <si>
    <t>Developer - Fishlabs</t>
  </si>
  <si>
    <t>#Fishlabs OR "Fishlabs"</t>
  </si>
  <si>
    <t>1BITTO</t>
  </si>
  <si>
    <t>#1BITTO OR "1BITTO"</t>
  </si>
  <si>
    <t>Dating Sim</t>
  </si>
  <si>
    <t>#Fishlabs | "Fishlabs"</t>
  </si>
  <si>
    <t>https://www.youtube.com/channel/UCozRV-HC9fU9YLDS4nCReYA|</t>
  </si>
  <si>
    <t>Developer - Aniplex Inc.</t>
  </si>
  <si>
    <t>#AniplexInc OR "Aniplex"</t>
  </si>
  <si>
    <t>1C Entertainment</t>
  </si>
  <si>
    <t>https://www.youtube.com/channel/UCGHJ8aGLX_dIntGLWr1vm8w|</t>
  </si>
  <si>
    <t>#1CEntertainment OR "1C Entertainment"</t>
  </si>
  <si>
    <t>Educational</t>
  </si>
  <si>
    <t>#AniplexInc | "Aniplex"</t>
  </si>
  <si>
    <t>https://www.youtube.com/channel/UCDb0peSmF5rLX7BvuTcJfCw|</t>
  </si>
  <si>
    <t>Developer - Team6 Game Studios</t>
  </si>
  <si>
    <t>#Team6GameStudios OR "Team6 Game Studios"</t>
  </si>
  <si>
    <t>1C-Entertainment</t>
  </si>
  <si>
    <t>#1CEntertainment OR "1C-Entertainment"</t>
  </si>
  <si>
    <t>Explorer Games</t>
  </si>
  <si>
    <t>Sandbox / Open World</t>
  </si>
  <si>
    <t>#Team6GameStudios | "Team6 Game Studios"</t>
  </si>
  <si>
    <t>https://www.youtube.com/channel/UCTujzSiCzbokiI-KXSIYcTQ|</t>
  </si>
  <si>
    <t>Developer - Coilworks</t>
  </si>
  <si>
    <t>#Coilworks OR "Coilworks"</t>
  </si>
  <si>
    <t>1Games</t>
  </si>
  <si>
    <t>https://www.youtube.com/channel/UCsp6NIVFJrCPchOd2Q-SBug|</t>
  </si>
  <si>
    <t>#1Games OR "1Games"</t>
  </si>
  <si>
    <t>Fantasy Sports</t>
  </si>
  <si>
    <t>Sports</t>
  </si>
  <si>
    <t>#Coilworks | "Coilworks"</t>
  </si>
  <si>
    <r>
      <rPr>
        <rFont val="Arial"/>
        <color rgb="FF000000"/>
      </rPr>
      <t>https://www.youtube.com/channel/UC1d5Sae1CMF6kzTgbDOnhKw</t>
    </r>
    <r>
      <rPr>
        <rFont val="Arial"/>
        <color rgb="FF000000"/>
      </rPr>
      <t>|</t>
    </r>
  </si>
  <si>
    <t>Developer - Humble Games</t>
  </si>
  <si>
    <t>#HumbleGames OR "Humble Games"</t>
  </si>
  <si>
    <t>2 Zombie Games</t>
  </si>
  <si>
    <t>https://www.youtube.com/2zombiegames|</t>
  </si>
  <si>
    <t>#2ZombieGames OR "2 Zombie Games"</t>
  </si>
  <si>
    <t>Farmlife Sim</t>
  </si>
  <si>
    <t>#HumbleGames | "Humble Games"</t>
  </si>
  <si>
    <t>https://www.youtube.com/channel/UCedwwF2QSPqEbeh8NomiPyw|</t>
  </si>
  <si>
    <t>Developer - Ludosity Interactive</t>
  </si>
  <si>
    <t>#LudosityInteractive OR "Ludosity Interactive"</t>
  </si>
  <si>
    <t>20th Century Fox Film Corporation</t>
  </si>
  <si>
    <t>https://www.youtube.com/channel/UCReozMMvdWeLRcZqIK9t-eg|</t>
  </si>
  <si>
    <t>#20thCenturyFoxFilmCorporation OR "20th Century Fox Film Corporation"</t>
  </si>
  <si>
    <t>Fighting</t>
  </si>
  <si>
    <t>#LudosityInteractive | "Ludosity Interactive"</t>
  </si>
  <si>
    <t>Developer - Rockstar Games</t>
  </si>
  <si>
    <t>#RockstarGames OR "Rockstar Games"</t>
  </si>
  <si>
    <t>2Awesome Studio</t>
  </si>
  <si>
    <t>https://www.youtube.com/channel/UCWvfEji6iERiLAt5dyBm5fQ|</t>
  </si>
  <si>
    <t>#2AwesomeStudio OR "2Awesome Studio"</t>
  </si>
  <si>
    <t>Fps</t>
  </si>
  <si>
    <t>#RockstarGames | "Rockstar Games"</t>
  </si>
  <si>
    <t>https://www.youtube.com/user/rockstargames|</t>
  </si>
  <si>
    <t>Developer - Studio Kiku</t>
  </si>
  <si>
    <t>#StudioKiku OR "Studio Kiku"</t>
  </si>
  <si>
    <t>2BAD GAMES</t>
  </si>
  <si>
    <t>https://www.youtube.com/channel/UCp3uLT_0jXSLYWO3GUBFZag|</t>
  </si>
  <si>
    <t>#2BADGAMES OR "2BAD GAMES"</t>
  </si>
  <si>
    <t>Grand Strategy</t>
  </si>
  <si>
    <t>#StudioKiku | "Studio Kiku"</t>
  </si>
  <si>
    <t>Developer - Naughty Dog</t>
  </si>
  <si>
    <t>#NaughtyDog OR "Naughty Dog"</t>
  </si>
  <si>
    <t>2Dream</t>
  </si>
  <si>
    <t>#2Dream OR "2Dream"</t>
  </si>
  <si>
    <t>Graphic Adventure</t>
  </si>
  <si>
    <t>#NaughtyDog | "Naughty Dog"</t>
  </si>
  <si>
    <t>https://www.youtube.com/user/naughtydog|</t>
  </si>
  <si>
    <t>Developer - Live Wire Films</t>
  </si>
  <si>
    <t>#LiveWireFilms OR "Live Wire Films"</t>
  </si>
  <si>
    <t>2K Games</t>
  </si>
  <si>
    <t>https://www.youtube.com/channel/UC0SBn2zaskenN1hl_PCtQWw|</t>
  </si>
  <si>
    <t>#2KGames OR "2K Games"</t>
  </si>
  <si>
    <t>Hack &amp; Slash</t>
  </si>
  <si>
    <t>#LiveWireFilms | "Live Wire Films"</t>
  </si>
  <si>
    <t>Developer - id Software</t>
  </si>
  <si>
    <t>#idSoftware OR "id Software"</t>
  </si>
  <si>
    <t>2K Sports</t>
  </si>
  <si>
    <t>https://www.youtube.com/user/2KSports|</t>
  </si>
  <si>
    <t>#2KSports OR "2K Sports"</t>
  </si>
  <si>
    <t>Hero Shooter</t>
  </si>
  <si>
    <t>#idSoftware | "id Software"</t>
  </si>
  <si>
    <t>Developer - Raiser Games</t>
  </si>
  <si>
    <t>#RaiserGames OR "Raiser Games"</t>
  </si>
  <si>
    <t>2pt Interactive</t>
  </si>
  <si>
    <t>https://www.youtube.com/channel/UCMY4MPYfKWfKUocf0C7GDMw|</t>
  </si>
  <si>
    <t>#2ptInteractive OR "2pt Interactive"</t>
  </si>
  <si>
    <t>Incremental Games</t>
  </si>
  <si>
    <t>#RaiserGames | "Raiser Games"</t>
  </si>
  <si>
    <t>https://www.youtube.com/channel/UCDV5fJwQk-YsljQnOdfCGlA|</t>
  </si>
  <si>
    <t>Developer - EXOR Studios</t>
  </si>
  <si>
    <t>#EXORStudios OR "EXOR Studios"</t>
  </si>
  <si>
    <t>3000AD, Inc.</t>
  </si>
  <si>
    <t>#3000ADInc OR "3000AD,"</t>
  </si>
  <si>
    <t>Jrpg</t>
  </si>
  <si>
    <t>#EXORStudios | "EXOR Studios"</t>
  </si>
  <si>
    <t>https://www.youtube.com/channel/UCjgeJSqpnR86E-ZcY17vl1g|</t>
  </si>
  <si>
    <t>Developer - Big Ant Studios</t>
  </si>
  <si>
    <t>#BigAntStudios OR "Big Ant Studios"</t>
  </si>
  <si>
    <t>34BigThings</t>
  </si>
  <si>
    <t>https://www.youtube.com/channel/UCaFznj30lVlqQH6x98Ei0AQ|</t>
  </si>
  <si>
    <t>#34BigThings OR "34BigThings"</t>
  </si>
  <si>
    <t>Life Sim</t>
  </si>
  <si>
    <t>#BigAntStudios | "Big Ant Studios"</t>
  </si>
  <si>
    <t>https://www.youtube.com/channel/UCYHMw8z-aVRGYpiJtVSOfsA|</t>
  </si>
  <si>
    <t>Developer - 3000AD, Inc.</t>
  </si>
  <si>
    <t>#38 OR "38"</t>
  </si>
  <si>
    <t>Metroidvania</t>
  </si>
  <si>
    <t>Platformer</t>
  </si>
  <si>
    <t>#3000ADInc | "3000AD,"</t>
  </si>
  <si>
    <t>Developer - Microids</t>
  </si>
  <si>
    <t>#Microids OR "Microids"</t>
  </si>
  <si>
    <t>#3909 OR "3909"</t>
  </si>
  <si>
    <t>Mmorpg</t>
  </si>
  <si>
    <t>#Microids | "Microids"</t>
  </si>
  <si>
    <t>https://www.youtube.com/channel/UC9-1o8dj5vp5T1d1aVuHEWQ|</t>
  </si>
  <si>
    <t>Developer - Superbrothers</t>
  </si>
  <si>
    <t>#Superbrothers OR "Superbrothers"</t>
  </si>
  <si>
    <t>3BLACKDOT</t>
  </si>
  <si>
    <t>#3BLACKDOT OR "3BLACKDOT"</t>
  </si>
  <si>
    <t>Moba</t>
  </si>
  <si>
    <t>#Superbrothers | "Superbrothers"</t>
  </si>
  <si>
    <r>
      <rPr>
        <rFont val="Arial"/>
        <color rgb="FF000000"/>
      </rPr>
      <t>https://www.youtube.com/channel/UCrkF4XuAR0-shjrn-UJGrtg</t>
    </r>
    <r>
      <rPr>
        <rFont val="Arial"/>
        <color rgb="FF000000"/>
      </rPr>
      <t>|</t>
    </r>
  </si>
  <si>
    <t>Developer - Sony Interactive Entertainment</t>
  </si>
  <si>
    <t>#SonyInteractiveEntertainment OR "Sony Interactive Entertainment"</t>
  </si>
  <si>
    <t>3DClouds</t>
  </si>
  <si>
    <t>https://www.youtube.com/channel/UC7nMNp8qOY-wZcX9sWot2bw|</t>
  </si>
  <si>
    <t>#3DClouds OR "3DClouds"</t>
  </si>
  <si>
    <t>Open World Rpg</t>
  </si>
  <si>
    <t>#SonyInteractiveEntertainment | "Sony Interactive Entertainment"</t>
  </si>
  <si>
    <t>Developer - Stage Clear Studios</t>
  </si>
  <si>
    <t>#StageClearStudios OR "Stage Clear Studios"</t>
  </si>
  <si>
    <t>3Division</t>
  </si>
  <si>
    <t>https://www.youtube.com/user/AirConflictsGame|</t>
  </si>
  <si>
    <t>#3Division OR "3Division"</t>
  </si>
  <si>
    <t>#StageClearStudios | "Stage Clear Studios"</t>
  </si>
  <si>
    <t>https://www.youtube.com/user/StageClearStudios|</t>
  </si>
  <si>
    <t>Developer - Dead Drop Studios LLC</t>
  </si>
  <si>
    <t>#DeadDropStudiosLLC OR "Dead Drop Studios LLC"</t>
  </si>
  <si>
    <t>3rd Eye Studios</t>
  </si>
  <si>
    <t>#3rdEyeStudios OR "3rd Eye Studios"</t>
  </si>
  <si>
    <t>Party Games</t>
  </si>
  <si>
    <t>#DeadDropStudiosLLC | "Dead Drop Studios LLC"</t>
  </si>
  <si>
    <t>Developer - EnsenaSoft</t>
  </si>
  <si>
    <t>#EnsenaSoft OR "EnsenaSoft"</t>
  </si>
  <si>
    <t>3rd Eye Studios Oy LTD</t>
  </si>
  <si>
    <t>#3rdEyeStudiosOyLTD OR "3rd Eye Studios Oy LTD"</t>
  </si>
  <si>
    <t>#EnsenaSoft | "EnsenaSoft"</t>
  </si>
  <si>
    <t>https://www.youtube.com/channel/UCUa2N7rt0q76wc_HRYhcMWg|</t>
  </si>
  <si>
    <t>Developer - Ratalaika Games</t>
  </si>
  <si>
    <t>#RatalaikaGames OR "Ratalaika Games"</t>
  </si>
  <si>
    <t>4 GLADIATORS</t>
  </si>
  <si>
    <t>https://www.youtube.com/channel/UCjr3h0Wb5vRYac4SsmnRPMg|</t>
  </si>
  <si>
    <t>#4GLADIATORS OR "4 GLADIATORS"</t>
  </si>
  <si>
    <t>Puzzle Adventure</t>
  </si>
  <si>
    <t>Puzzle Games</t>
  </si>
  <si>
    <t>#RatalaikaGames | "Ratalaika Games"</t>
  </si>
  <si>
    <t>https://www.youtube.com/channel/UC-4nr6o9xNtpFvzvTWeQ7-g|</t>
  </si>
  <si>
    <t>Developer - Sega</t>
  </si>
  <si>
    <t>#Sega OR "Sega"</t>
  </si>
  <si>
    <t>4Bit Games</t>
  </si>
  <si>
    <t>https://www.youtube.com/channel/UCcBiOnyzPTvOOven91M_9Lw|</t>
  </si>
  <si>
    <t>#4BitGames OR "4Bit Games"</t>
  </si>
  <si>
    <t>#Sega | "Sega"</t>
  </si>
  <si>
    <t>https://www.youtube.com/user/SegaAmerica|</t>
  </si>
  <si>
    <t>Developer - SegaSoft</t>
  </si>
  <si>
    <t>#SegaSoft OR "SegaSoft"</t>
  </si>
  <si>
    <t>4D Creativity Limited</t>
  </si>
  <si>
    <t>#4DCreativityLimited OR "4D Creativity Limited"</t>
  </si>
  <si>
    <t>Puzzle Platformer</t>
  </si>
  <si>
    <t>#SegaSoft | "SegaSoft"</t>
  </si>
  <si>
    <t>https://www.youtube.com/channel/UCWfXR0-F7MI-TbqikgEdJcQ|</t>
  </si>
  <si>
    <t>Developer - Skookum Arts LLC</t>
  </si>
  <si>
    <t>#SkookumArtsLLC OR "Skookum Arts LLC"</t>
  </si>
  <si>
    <t>4HIT LTD</t>
  </si>
  <si>
    <t>#4HITLTD OR "4HIT LTD"</t>
  </si>
  <si>
    <t>Racing</t>
  </si>
  <si>
    <t>#SkookumArtsLLC | "Skookum Arts LLC"</t>
  </si>
  <si>
    <t>https://www.youtube.com/channel/UCWJ39sGrrAzyBj-N1hKWekg|</t>
  </si>
  <si>
    <t>Developer - Scott Games</t>
  </si>
  <si>
    <t>#ScottGames OR "Scott Games"</t>
  </si>
  <si>
    <t>5 Lives Studios</t>
  </si>
  <si>
    <t>https://www.youtube.com/user/5LivesStudios|</t>
  </si>
  <si>
    <t>#5LivesStudios OR "5 Lives Studios"</t>
  </si>
  <si>
    <t>Rhythm Games</t>
  </si>
  <si>
    <t>#ScottGames | "Scott Games"</t>
  </si>
  <si>
    <t>Developer - PQube</t>
  </si>
  <si>
    <t>#PQube OR "PQube"</t>
  </si>
  <si>
    <t>505 Games</t>
  </si>
  <si>
    <t>https://www.youtube.com/user/ALL505GAMES|</t>
  </si>
  <si>
    <t>#505Games OR "505 Games"</t>
  </si>
  <si>
    <t>Roguelike</t>
  </si>
  <si>
    <t>#PQube | "PQube"</t>
  </si>
  <si>
    <t>https://www.youtube.com/channel/UCxFuaOew_PN5H1gXCPHH6rw|</t>
  </si>
  <si>
    <t>Developer - IguanaBee</t>
  </si>
  <si>
    <t>#IguanaBee OR "IguanaBee"</t>
  </si>
  <si>
    <t>562 Interactive</t>
  </si>
  <si>
    <t>https://www.youtube.com/channel/UCyJKS-trbplRxjYNVR3Loww|</t>
  </si>
  <si>
    <t>#562Interactive OR "562 Interactive"</t>
  </si>
  <si>
    <t>#IguanaBee | "IguanaBee"</t>
  </si>
  <si>
    <t>https://www.youtube.com/channel/UCU7UwJO2n4euQqOap8UPKmw|</t>
  </si>
  <si>
    <t>Developer - Tarsier Studios</t>
  </si>
  <si>
    <t>#TarsierStudios OR "Tarsier Studios"</t>
  </si>
  <si>
    <t>5pb</t>
  </si>
  <si>
    <t>#5pb OR "5pb"</t>
  </si>
  <si>
    <t>Rts (Real Time Strategy)</t>
  </si>
  <si>
    <t>#TarsierStudios | "Tarsier Studios"</t>
  </si>
  <si>
    <t>https://www.youtube.com/user/TarsierStudios|</t>
  </si>
  <si>
    <t>Developer - WSS Playground</t>
  </si>
  <si>
    <t>#WSSPlayground OR "WSS Playground"</t>
  </si>
  <si>
    <t>612 Entertainment</t>
  </si>
  <si>
    <t>https://www.youtube.com/channel/UCekLH5OZxxrcwrDCbdoc52Q|</t>
  </si>
  <si>
    <t>#612Entertainment OR "612 Entertainment"</t>
  </si>
  <si>
    <t>Run And Gun</t>
  </si>
  <si>
    <t>#WSSPlayground | "WSS Playground"</t>
  </si>
  <si>
    <t>https://www.youtube.com/channel/UCCP514Jmef1CxyQ_HlmjZng|</t>
  </si>
  <si>
    <t>Developer - Discovery Channel Multimedia</t>
  </si>
  <si>
    <t>#DiscoveryChannelMultimedia OR "Discovery Channel Multimedia"</t>
  </si>
  <si>
    <t>7 Soft Pillows</t>
  </si>
  <si>
    <r>
      <rPr>
        <rFont val="Calibri, sans-serif"/>
        <color rgb="FF000000"/>
        <sz val="10.0"/>
        <u/>
      </rPr>
      <t>https://www.youtube.com/channel/UCfH6mJY-sNdH-GAhE1C5mBA</t>
    </r>
    <r>
      <rPr>
        <rFont val="Calibri, sans-serif"/>
        <color rgb="FF000000"/>
        <sz val="10.0"/>
      </rPr>
      <t>|</t>
    </r>
  </si>
  <si>
    <t>#7SoftPillows OR "7 Soft Pillows"</t>
  </si>
  <si>
    <t>#DiscoveryChannelMultimedia | "Discovery Channel Multimedia"</t>
  </si>
  <si>
    <t>Developer - Raven Software</t>
  </si>
  <si>
    <t>#RavenSoftware OR "Raven Software"</t>
  </si>
  <si>
    <t>704Games</t>
  </si>
  <si>
    <t>https://www.youtube.com/channel/UCTOXhs4P203LPgiijN0qdow|</t>
  </si>
  <si>
    <t>#704Games OR "704Games"</t>
  </si>
  <si>
    <t>Sandbox Action</t>
  </si>
  <si>
    <t>#RavenSoftware | "Raven Software"</t>
  </si>
  <si>
    <t>https://www.youtube.com/channel/UClhaZZaLNDs_TTHHuLMoIWg|</t>
  </si>
  <si>
    <t>Developer - Iron Galaxy Studios</t>
  </si>
  <si>
    <t>#IronGalaxyStudios OR "Iron Galaxy Studios"</t>
  </si>
  <si>
    <t>7780s Studio</t>
  </si>
  <si>
    <r>
      <rPr>
        <rFont val="Calibri, sans-serif"/>
        <color rgb="FF000000"/>
        <sz val="10.0"/>
        <u/>
      </rPr>
      <t>https://www.youtube.com/channel/UCOthIZuh-8nMEukkIGi-3vA</t>
    </r>
    <r>
      <rPr>
        <rFont val="Calibri, sans-serif"/>
        <color rgb="FF000000"/>
        <sz val="10.0"/>
      </rPr>
      <t>|</t>
    </r>
  </si>
  <si>
    <t>#7780sStudio OR "7780s Studio"</t>
  </si>
  <si>
    <t>Shoot 'Em Up</t>
  </si>
  <si>
    <t>#IronGalaxyStudios | "Iron Galaxy Studios"</t>
  </si>
  <si>
    <t>https://www.youtube.com/channel/UCWna3OG9ryuDRO5GAZN2YLA|</t>
  </si>
  <si>
    <t>Developer - Warner Bros. Interactive Entertainment</t>
  </si>
  <si>
    <t>#WarnerBrosInteractiveEntertainment OR "Warner Bros. Interactive Entertainment"</t>
  </si>
  <si>
    <t>7A Games</t>
  </si>
  <si>
    <t>https://www.youtube.com/channel/UCnVOysJirr_1QwSfk7hL5VQ|</t>
  </si>
  <si>
    <t>#7AGames OR "7A Games"</t>
  </si>
  <si>
    <t>#WarnerBrosInteractiveEntertainment | "Warner Bros. Interactive Entertainment"</t>
  </si>
  <si>
    <t>https://www.youtube.com/user/WBGAMES|</t>
  </si>
  <si>
    <t>Developer - Take-Two Interactive</t>
  </si>
  <si>
    <t>#TakeTwoInteractive OR "Take-Two Interactive"</t>
  </si>
  <si>
    <t>7Levels</t>
  </si>
  <si>
    <t>https://www.youtube.com/channel/UCjQiGakFXMyWNY22emDr7Mw|</t>
  </si>
  <si>
    <t>#7Levels OR "7Levels"</t>
  </si>
  <si>
    <t>#TakeTwoInteractive | "Take-Two Interactive"</t>
  </si>
  <si>
    <t>https://www.youtube.com/channel/UCgcSwHteqZ37OJ-sjWAXu7w|</t>
  </si>
  <si>
    <t>Developer - Techland</t>
  </si>
  <si>
    <t>#Techland OR "Techland"</t>
  </si>
  <si>
    <t>7Raven Studios</t>
  </si>
  <si>
    <t>https://www.youtube.com/channel/UCOuyg_RbE_x9I9wj41R2bkw|</t>
  </si>
  <si>
    <t>#7RavenStudios OR "7 Raven Studios"</t>
  </si>
  <si>
    <t>Soulslike</t>
  </si>
  <si>
    <t>#Techland | "Techland"</t>
  </si>
  <si>
    <t>https://www.youtube.com/channel/UCELOp53ps7F22ixRjUPCwZQ|</t>
  </si>
  <si>
    <t>Developer - 38</t>
  </si>
  <si>
    <t>8 Bit Legit</t>
  </si>
  <si>
    <t>https://www.youtube.com/channel/UCKlWDLg-MI6ae1yhK52DfCQ|</t>
  </si>
  <si>
    <t>#8BitLegit OR "8 Bit Legit"</t>
  </si>
  <si>
    <t>#38 | "38"</t>
  </si>
  <si>
    <t>Developer - Troglobytes Games, S.L.</t>
  </si>
  <si>
    <t>#TroglobytesGamesSL OR "Troglobytes Games"</t>
  </si>
  <si>
    <t>8 Bit Pxl Games</t>
  </si>
  <si>
    <t>https://www.youtube.com/channel/UC0_ymwLd_x9uXu_dimVN-3w|</t>
  </si>
  <si>
    <t>#8BitPxlGames OR "8 Bit Pxl Games"</t>
  </si>
  <si>
    <t>Sports Management</t>
  </si>
  <si>
    <t>#TroglobytesGamesSL | "Troglobytes Games"</t>
  </si>
  <si>
    <t>https://www.youtube.com/channel/UCK_IBx3Ve8EmRTPJtM5QirQ|</t>
  </si>
  <si>
    <t>Developer - liica,Inc.</t>
  </si>
  <si>
    <t>#liicaInc OR "liica,Inc."</t>
  </si>
  <si>
    <t>#44777 OR "44777"</t>
  </si>
  <si>
    <t>Stealth Game</t>
  </si>
  <si>
    <t>#liicaInc | "liica,Inc."</t>
  </si>
  <si>
    <t>https://www.youtube.com/channel/UC1MliFyYjdmFUSn-tb-2eog|</t>
  </si>
  <si>
    <t>Developer - RideonJapan,Inc.</t>
  </si>
  <si>
    <t>#RideonJapanInc OR "RideonJapan"</t>
  </si>
  <si>
    <t>8Floor</t>
  </si>
  <si>
    <t>https://www.youtube.com/channel/UCYBBqN0XgMd0ehVIkM5fgHw|</t>
  </si>
  <si>
    <t>#8Floor OR "8Floor"</t>
  </si>
  <si>
    <t>#RideonJapanInc | "RideonJapan"</t>
  </si>
  <si>
    <t>Developer - Oh, a Rock! Studios</t>
  </si>
  <si>
    <t>#OhaRockStudios OR "Oh, a Rock! Studios"</t>
  </si>
  <si>
    <t>9 Eyes Game Studio</t>
  </si>
  <si>
    <t>https://www.youtube.com/channel/UCbEMJli44pZ6rWv3K_kRzVA|</t>
  </si>
  <si>
    <t>#9EyesGameStudio OR "9 Eyes Game Studio"</t>
  </si>
  <si>
    <t>Survival</t>
  </si>
  <si>
    <t>#OhaRockStudios | "Oh, a Rock! Studios"</t>
  </si>
  <si>
    <t>Developer - BadFly Interactive, a.s</t>
  </si>
  <si>
    <t>#BadFlyInteractiveas OR "BadFly Interactive"</t>
  </si>
  <si>
    <t>9_Degrees</t>
  </si>
  <si>
    <t>#9Degrees OR "9 Degrees"</t>
  </si>
  <si>
    <t>Survivor Like</t>
  </si>
  <si>
    <t>#BadFlyInteractiveas | "BadFly Interactive"</t>
  </si>
  <si>
    <t>https://www.youtube.com/channel/UCMLUvhaKQvrzGc3BqoJWY2Q|</t>
  </si>
  <si>
    <t>Developer - PiRho Soft, inc</t>
  </si>
  <si>
    <t>#PiRhoSoftinc OR "PiRho Soft"</t>
  </si>
  <si>
    <t>A Bonfire of Souls</t>
  </si>
  <si>
    <t>https://www.youtube.com/channel/UCCUyMTt3-570aHQF3N6K_FA</t>
  </si>
  <si>
    <t>#ABonfireofSouls OR "A Bonfire of Souls"</t>
  </si>
  <si>
    <t>Tactical Rpg</t>
  </si>
  <si>
    <t>#PiRhoSoftinc | "PiRho Soft"</t>
  </si>
  <si>
    <r>
      <rPr>
        <rFont val="Arial"/>
        <color rgb="FF000000"/>
      </rPr>
      <t>https://www.youtube.com/channel/UCRiSxdervZlO_RnMOa-PMhw</t>
    </r>
    <r>
      <rPr>
        <rFont val="Arial"/>
        <color rgb="FF000000"/>
      </rPr>
      <t>|</t>
    </r>
  </si>
  <si>
    <t>Developer - Thekla, Inc</t>
  </si>
  <si>
    <t>#TheklaInc OR "Thekla"</t>
  </si>
  <si>
    <t>A Brave Plan</t>
  </si>
  <si>
    <t>https://www.youtube.com/channel/UCq2inI_ZOwyarx7FZcxd7IQ|</t>
  </si>
  <si>
    <t>#ABravePlan OR "A Brave Plan"</t>
  </si>
  <si>
    <t>Tactical Shooter</t>
  </si>
  <si>
    <t>#TheklaInc | "Thekla"</t>
  </si>
  <si>
    <t>https://www.youtube.com/channel/UCxhz6Pyk1wctNwnTNI4w3zw|</t>
  </si>
  <si>
    <t>Developer - Young Horses, Inc</t>
  </si>
  <si>
    <t>#YoungHorsesInc OR "Young Horses"</t>
  </si>
  <si>
    <t>A Crowd of Monsters</t>
  </si>
  <si>
    <t>#ACrowdofMonsters OR "A Crowd of Monsters"</t>
  </si>
  <si>
    <t>Tbs (Turn Based Strategy)</t>
  </si>
  <si>
    <t>#YoungHorsesInc | "Young Horses"</t>
  </si>
  <si>
    <t>https://www.youtube.com/channel/UCZViE3idf8NM9ETSkqInD0Q|</t>
  </si>
  <si>
    <t>Developer - Beep Games, Inc.</t>
  </si>
  <si>
    <t>#BeepGamesInc OR "Beep Games"</t>
  </si>
  <si>
    <t>A Tale of Games</t>
  </si>
  <si>
    <t>#ATaleofGames OR "A Tale of Games"</t>
  </si>
  <si>
    <t>Text Adventure</t>
  </si>
  <si>
    <t>#BeepGamesInc | "Beep Games"</t>
  </si>
  <si>
    <t>https://www.youtube.com/user/BeepGamesInc|</t>
  </si>
  <si>
    <t>Developer - Bluehole, Inc.</t>
  </si>
  <si>
    <t>#BlueholeInc OR "Bluehole"</t>
  </si>
  <si>
    <t>A-steroids</t>
  </si>
  <si>
    <t>#Asteroids OR "A-steroids"</t>
  </si>
  <si>
    <t>Tower Defense</t>
  </si>
  <si>
    <t>#BlueholeInc | "Bluehole"</t>
  </si>
  <si>
    <t>https://www.youtube.com/channel/UCL-jo6xxhd52BavMVKclBJw|</t>
  </si>
  <si>
    <t>Developer - Cyan, Inc.</t>
  </si>
  <si>
    <t>#CyanInc OR "Cyan"</t>
  </si>
  <si>
    <t>A-Z Computers</t>
  </si>
  <si>
    <t>#AZComputers OR "A-Z Computers"</t>
  </si>
  <si>
    <t>Tps</t>
  </si>
  <si>
    <t>#CyanInc | "Cyan"</t>
  </si>
  <si>
    <t>https://www.youtube.com/channel/UCgGqy6Rl9_Q5umGk-8DFQxg|</t>
  </si>
  <si>
    <t>Developer - Echtra Games, Inc.</t>
  </si>
  <si>
    <t>#EchtraGamesInc OR "Echtra Games"</t>
  </si>
  <si>
    <t>Aaron Levi Carrick</t>
  </si>
  <si>
    <t>#AaronLeviCarrick OR "Aaron Levi Carrick"</t>
  </si>
  <si>
    <t>Trivia</t>
  </si>
  <si>
    <t>#EchtraGamesInc | "Echtra Games"</t>
  </si>
  <si>
    <t>Developer - Frozenbyte, Inc.</t>
  </si>
  <si>
    <t>#FrozenbyteInc OR "Frozenbyte"</t>
  </si>
  <si>
    <t>Abramelin Games</t>
  </si>
  <si>
    <t>https://www.youtube.com/channel/UCMQbXKWznjL6v2h2_QstNPw|</t>
  </si>
  <si>
    <t>#AbramelinGames OR "Abramelin Games"</t>
  </si>
  <si>
    <t>Visual Novel</t>
  </si>
  <si>
    <t>#FrozenbyteInc | "Frozenbyte"</t>
  </si>
  <si>
    <t>https://www.youtube.com/user/FrozenbyteGames|</t>
  </si>
  <si>
    <t>Developer - Honor Code, Inc.</t>
  </si>
  <si>
    <t>#HonorCodeInc OR "Honor Code"</t>
  </si>
  <si>
    <t>Absorb Reality</t>
  </si>
  <si>
    <t>Nome|</t>
  </si>
  <si>
    <t>#AbsorbReality OR "Absorb Reality"</t>
  </si>
  <si>
    <t>Walking Simulator</t>
  </si>
  <si>
    <t>#HonorCodeInc | "Honor Code"</t>
  </si>
  <si>
    <t>Developer - Jackbox Games, Inc.</t>
  </si>
  <si>
    <t>#JackboxGamesInc OR "Jackbox Games"</t>
  </si>
  <si>
    <t>Abstraction Games</t>
  </si>
  <si>
    <t>https://www.youtube.com/user/abstractiongames|</t>
  </si>
  <si>
    <t>#AbstractionGames OR "Abstraction Games"</t>
  </si>
  <si>
    <t>#JackboxGamesInc | "Jackbox Games"</t>
  </si>
  <si>
    <t>https://www.youtube.com/user/JackboxGames|</t>
  </si>
  <si>
    <t>Developer - Massive Damage, Inc.</t>
  </si>
  <si>
    <t>#MassiveDamageInc OR "Massive Damage"</t>
  </si>
  <si>
    <t>ABX Games Studio</t>
  </si>
  <si>
    <t>#ABXGamesStudio OR "ABX Games Studio"</t>
  </si>
  <si>
    <t>#MassiveDamageInc | "Massive Damage"</t>
  </si>
  <si>
    <t>https://www.youtube.com/channel/UCGiJxlijc7rsqNOi1o6GRAA|</t>
  </si>
  <si>
    <t>Developer - Out of the Blue, Inc.</t>
  </si>
  <si>
    <t>#OutoftheBlueInc OR "Out of the Blue"</t>
  </si>
  <si>
    <t>Abylight</t>
  </si>
  <si>
    <t>https://www.youtube.com/channel/UCh7m8fA0tf45eVB5_M1IhQg|</t>
  </si>
  <si>
    <t>#Abylight OR "Abylight"</t>
  </si>
  <si>
    <t>#OutoftheBlueInc | "Out of the Blue"</t>
  </si>
  <si>
    <t>Developer - Pipeworks Software, Inc.</t>
  </si>
  <si>
    <t>#PipeworksSoftwareInc OR "Pipeworks Software"</t>
  </si>
  <si>
    <t>Abyssal Arts Ltd.</t>
  </si>
  <si>
    <t>https://www.youtube.com/channel/UCUyaZJzjOPoN8_qhCs1ZDcg|</t>
  </si>
  <si>
    <t>#AbyssalArtsLtd OR "Abyssal Arts Ltd."</t>
  </si>
  <si>
    <t>#PipeworksSoftwareInc | "Pipeworks Software"</t>
  </si>
  <si>
    <t>https://www.youtube.com/channel/UCZKP2_9799QqlhzgiO6tFew|</t>
  </si>
  <si>
    <t>Developer - POCKET PAIR, Inc.</t>
  </si>
  <si>
    <t>#POCKETPAIRInc OR "POCKET PAIR"</t>
  </si>
  <si>
    <t>Abyzzmo Entertainment</t>
  </si>
  <si>
    <t>https://www.youtube.com/channel/UCfgCztR_m8PbRpszUWN0LIA|</t>
  </si>
  <si>
    <t>#AbyzzmoEntertainment OR "Abyzzmo Entertainment"</t>
  </si>
  <si>
    <t>#POCKETPAIRInc | "POCKET PAIR"</t>
  </si>
  <si>
    <t>https://www.youtube.com/channel/UCz6cOlpF6os7JkAKnpMNriw|</t>
  </si>
  <si>
    <t>Developer - Proletariat, Inc.</t>
  </si>
  <si>
    <t>#ProletariatInc OR "Proletariat"</t>
  </si>
  <si>
    <t>Accelerate Games</t>
  </si>
  <si>
    <t>https://www.youtube.com/channel/UC5TkA23eA0ezHRmXFzErW5g|</t>
  </si>
  <si>
    <t>#AccelerateGames OR "Accelerate Games"</t>
  </si>
  <si>
    <t>#ProletariatInc | "Proletariat"</t>
  </si>
  <si>
    <t>https://www.youtube.com/user/proletariatgames|</t>
  </si>
  <si>
    <t>Developer - ROBLOX, Inc.</t>
  </si>
  <si>
    <t>#ROBLOXInc OR "ROBLOX"</t>
  </si>
  <si>
    <t>Accolade</t>
  </si>
  <si>
    <r>
      <rPr>
        <rFont val="Calibri, sans-serif"/>
        <color rgb="FF000000"/>
        <sz val="10.0"/>
        <u/>
      </rPr>
      <t>https://www.youtube.com/channel/UC2PVmw9S5VNWGuRchn_LgJA</t>
    </r>
    <r>
      <rPr>
        <rFont val="Calibri, sans-serif"/>
        <color rgb="FF000000"/>
        <sz val="10.0"/>
      </rPr>
      <t>|</t>
    </r>
  </si>
  <si>
    <t>#Accolade OR "Accolade"</t>
  </si>
  <si>
    <t>#ROBLOXInc | "ROBLOX"</t>
  </si>
  <si>
    <t>https://www.youtube.com/channel/UCjiPEaapiHbJMoAdi_L8fNA|</t>
  </si>
  <si>
    <t>Developer - Silverware Games, Inc.</t>
  </si>
  <si>
    <t>#SilverwareGamesInc OR "Silverware Games"</t>
  </si>
  <si>
    <t>Ace Maddox</t>
  </si>
  <si>
    <t>https://www.youtube.com/channel/UCFrKRsz0eQUbD3W2YElYgGQ|</t>
  </si>
  <si>
    <t>#AceMaddox OR "Ace Maddox"</t>
  </si>
  <si>
    <t>#SilverwareGamesInc | "Silverware Games"</t>
  </si>
  <si>
    <t>Developer - Stingbot Games, Inc.</t>
  </si>
  <si>
    <t>#StingbotGamesInc OR "Stingbot Games"</t>
  </si>
  <si>
    <t>Ackkstudios</t>
  </si>
  <si>
    <t>https://www.youtube.com/channel/UCfclSvnAiN5noff_kiwSVQg|</t>
  </si>
  <si>
    <t>#Ackkstudios OR "Ackkstudios"</t>
  </si>
  <si>
    <t>#StingbotGamesInc | "Stingbot Games"</t>
  </si>
  <si>
    <t>https://www.youtube.com/channel/UCyTpJiG-DrtYWJylMg-ZVFQ|</t>
  </si>
  <si>
    <t>Developer - Virtual Driver Interactive, Inc.</t>
  </si>
  <si>
    <t>#VirtualDriverInteractiveInc OR "Virtual Driver Interactive"</t>
  </si>
  <si>
    <t>Acram Digital</t>
  </si>
  <si>
    <t>https://www.youtube.com/channel/UCOXyZc78UUteN3hVHXlf3Ew|</t>
  </si>
  <si>
    <t>#AcramDigital OR "Acram Digital"</t>
  </si>
  <si>
    <t>#VirtualDriverInteractiveInc | "Virtual Driver Interactive"</t>
  </si>
  <si>
    <t>https://www.youtube.com/user/VDIinc|</t>
  </si>
  <si>
    <t>Developer - JW, Kitty, Jukio and Dom</t>
  </si>
  <si>
    <t>#JWKittyJukioandDom OR "JW, Kitty, Jukio and Dom"</t>
  </si>
  <si>
    <t>ACTION SQUARE CO., LTD</t>
  </si>
  <si>
    <t>https://www.youtube.com/channel/UCTaDgjN82qD28D1cF2BmtEw|</t>
  </si>
  <si>
    <t>#ACTIONSQUARECOLTD OR "ACTION SQUARE CO."</t>
  </si>
  <si>
    <t>#JWKittyJukioandDom | "JW, Kitty, Jukio and Dom"</t>
  </si>
  <si>
    <t>Developer - Banana Bird Studios, LLC</t>
  </si>
  <si>
    <t>#BananaBirdStudiosLLC OR "Banana Bird Studios"</t>
  </si>
  <si>
    <t>Active Gaming Media</t>
  </si>
  <si>
    <t>#ActiveGamingMedia OR "Active Gaming Media"</t>
  </si>
  <si>
    <t>#BananaBirdStudiosLLC | "Banana Bird Studios"</t>
  </si>
  <si>
    <t>Developer - Chance6 Studios, LLC</t>
  </si>
  <si>
    <t>#Chance6StudiosLLC OR "Chance6 Studios"</t>
  </si>
  <si>
    <t>Active Gaming Media Inc.</t>
  </si>
  <si>
    <t>#ActiveGamingMediaInc OR "Active Gaming Media"</t>
  </si>
  <si>
    <t>#Chance6StudiosLLC | "Chance6 Studios"</t>
  </si>
  <si>
    <t>https://www.youtube.com/channel/UCuatWFXwlzG07QRdZehlCbw|</t>
  </si>
  <si>
    <t>Developer - Coding Capers, LLC</t>
  </si>
  <si>
    <t>#CodingCapersLLC OR "Coding Capers"</t>
  </si>
  <si>
    <t>Activision</t>
  </si>
  <si>
    <t>https://www.youtube.com/user/ActivisionGames|</t>
  </si>
  <si>
    <t>#Activision OR "Activision"</t>
  </si>
  <si>
    <t>#CodingCapersLLC | "Coding Capers"</t>
  </si>
  <si>
    <t>Developer - Earthborn Interactive, LLC</t>
  </si>
  <si>
    <t>#EarthbornInteractiveLLC OR "Earthborn Interactive"</t>
  </si>
  <si>
    <t>Actoon Studio</t>
  </si>
  <si>
    <t>https://www.youtube.com/channel/UCUXjdfaSOGinfsWQ7q5UB2g|</t>
  </si>
  <si>
    <t>#ActoonStudio OR "Actoon Studio"</t>
  </si>
  <si>
    <t>#EarthbornInteractiveLLC | "Earthborn Interactive"</t>
  </si>
  <si>
    <t>https://www.youtube.com/channel/UCHVTFqK05Jfh-7BvmE55zVw|</t>
  </si>
  <si>
    <t>Developer - Finite Reflection Studios, LLC</t>
  </si>
  <si>
    <t>#FiniteReflectionStudiosLLC OR "Finite Reflection Studios"</t>
  </si>
  <si>
    <t>acttil llc.</t>
  </si>
  <si>
    <t>#acttilllc OR "acttil llc."</t>
  </si>
  <si>
    <t>#FiniteReflectionStudiosLLC | "Finite Reflection Studios"</t>
  </si>
  <si>
    <t>https://www.youtube.com/channel/UCfaOdLA8oZNB6OEgBwxgv9Q|</t>
  </si>
  <si>
    <t>Developer - Game Mechanic Studios, LLC</t>
  </si>
  <si>
    <t>#GameMechanicStudiosLLC OR "Game Mechanic Studios"</t>
  </si>
  <si>
    <t>Adam Spragg Games</t>
  </si>
  <si>
    <t>#AdamSpraggGames OR "Adam Spragg Games"</t>
  </si>
  <si>
    <t>#GameMechanicStudiosLLC | "Game Mechanic Studios"</t>
  </si>
  <si>
    <t>https://www.youtube.com/channel/UCFUo9Z7RIO3MpR4ST75o6QQ|</t>
  </si>
  <si>
    <t>Developer - Laser Guided Games, LLC</t>
  </si>
  <si>
    <t>#LaserGuidedGamesLLC OR "Laser Guided Games"</t>
  </si>
  <si>
    <t>Adult Swim</t>
  </si>
  <si>
    <t>https://www.youtube.com/channel/UCgPClNr5VSYC3syrDUIlzLw|</t>
  </si>
  <si>
    <t>#AdultSwim OR "Adult Swim"</t>
  </si>
  <si>
    <t>#LaserGuidedGamesLLC | "Laser Guided Games"</t>
  </si>
  <si>
    <r>
      <rPr>
        <rFont val="Arial"/>
        <color rgb="FF000000"/>
      </rPr>
      <t>https://www.youtube.com/channel/UCcDG1Z1_C5zQiF-WsrlD6_g</t>
    </r>
    <r>
      <rPr>
        <rFont val="Arial"/>
        <color rgb="FF000000"/>
      </rPr>
      <t>|</t>
    </r>
  </si>
  <si>
    <t>Developer - MAGIC Spell Studios, LLC</t>
  </si>
  <si>
    <t>#MAGICSpellStudiosLLC OR "MAGIC Spell Studios"</t>
  </si>
  <si>
    <t>Advanced Interactive Gaming Ltd.</t>
  </si>
  <si>
    <t>#AdvancedInteractiveGamingLtd OR "Advanced Interactive Gaming Ltd."</t>
  </si>
  <si>
    <t>#MAGICSpellStudiosLLC | "MAGIC Spell Studios"</t>
  </si>
  <si>
    <t>Developer - MindShaft Games, LLC</t>
  </si>
  <si>
    <t>#MindShaftGamesLLC OR "MindShaft Games"</t>
  </si>
  <si>
    <t>Adventure Productions</t>
  </si>
  <si>
    <t>https://www.youtube.com/channel/UCcvvz5g7kykCRnQcIfDycmA|</t>
  </si>
  <si>
    <t>#AdventureProductions OR "Adventure Productions"</t>
  </si>
  <si>
    <t>#MindShaftGamesLLC | "MindShaft Games"</t>
  </si>
  <si>
    <t>Developer - Mobius Digital, LLC</t>
  </si>
  <si>
    <t>#MobiusDigitalLLC OR "Mobius Digital"</t>
  </si>
  <si>
    <t>aeiowu</t>
  </si>
  <si>
    <t>https://www.youtube.com/channel/UC0Td_r5CTZ5YKV1EYAMtOdw|</t>
  </si>
  <si>
    <t>#aeiowu OR "aeiowu"</t>
  </si>
  <si>
    <t>#MobiusDigitalLLC | "Mobius Digital"</t>
  </si>
  <si>
    <t>https://www.youtube.com/channel/UCdgGABNKVe5BqmIY5p3H2wg|</t>
  </si>
  <si>
    <t>Developer - Newt Industries, LLC</t>
  </si>
  <si>
    <t>#NewtIndustriesLLC OR "Newt Industries"</t>
  </si>
  <si>
    <t>Aerosoft</t>
  </si>
  <si>
    <t>https://www.youtube.com/channel/UCh4foOofcsVQ-r0XIyqftig|</t>
  </si>
  <si>
    <t>#Aerosoft OR "Aerosoft"</t>
  </si>
  <si>
    <t>#NewtIndustriesLLC | "Newt Industries"</t>
  </si>
  <si>
    <t>https://www.youtube.com/channel/UCRgBF-CUq5Vt_jOwybD2YOA|</t>
  </si>
  <si>
    <t>Developer - Phosphor Games Studio, LLC</t>
  </si>
  <si>
    <t>#PhosphorGamesStudioLLC OR "Phosphor Games Studio"</t>
  </si>
  <si>
    <t>Aeternum Game Studios</t>
  </si>
  <si>
    <r>
      <rPr>
        <rFont val="Calibri, sans-serif"/>
        <color rgb="FF000000"/>
        <sz val="10.0"/>
        <u/>
      </rPr>
      <t>https://www.youtube.com/channel/UCxJZdqoOHZaT4mXZbSslobA</t>
    </r>
    <r>
      <rPr>
        <rFont val="Calibri, sans-serif"/>
        <color rgb="FF000000"/>
        <sz val="10.0"/>
      </rPr>
      <t>|</t>
    </r>
  </si>
  <si>
    <t>#AeternumGameStudios OR "Aeternum Game Studios"</t>
  </si>
  <si>
    <t>#PhosphorGamesStudioLLC | "Phosphor Games Studio"</t>
  </si>
  <si>
    <r>
      <rPr>
        <rFont val="Arial"/>
        <color rgb="FF000000"/>
      </rPr>
      <t>https://www.youtube.com/channel/UCwcXwEiT0TUeTYXIYCntR_w</t>
    </r>
    <r>
      <rPr>
        <rFont val="Arial"/>
        <color rgb="FF000000"/>
      </rPr>
      <t>|</t>
    </r>
  </si>
  <si>
    <t>Developer - Red Blue Games, LLC</t>
  </si>
  <si>
    <t>#RedBlueGamesLLC OR "Red Blue Games"</t>
  </si>
  <si>
    <t>Affable Games</t>
  </si>
  <si>
    <t>https://www.youtube.com/channel/UCNXxG1IcABIhkExVri8_l_A|</t>
  </si>
  <si>
    <t>#AffableGames OR "Affable Games"</t>
  </si>
  <si>
    <t>#RedBlueGamesLLC | "Red Blue Games"</t>
  </si>
  <si>
    <t>https://www.youtube.com/channel/UCYe2wNz2AMQEjrL5-wjxGGw|</t>
  </si>
  <si>
    <t>Developer - Revival Productions, LLC</t>
  </si>
  <si>
    <t>#RevivalProductionsLLC OR "Revival Productions"</t>
  </si>
  <si>
    <t>AG8</t>
  </si>
  <si>
    <t>#AG8 OR "AG8"</t>
  </si>
  <si>
    <t>#RevivalProductionsLLC | "Revival Productions"</t>
  </si>
  <si>
    <r>
      <rPr>
        <rFont val="Arial"/>
        <color rgb="FF000000"/>
      </rPr>
      <t>https://www.youtube.com/channel/UCefZc73C3wtdKJl_HAAWXaQ</t>
    </r>
    <r>
      <rPr>
        <rFont val="Arial"/>
        <color rgb="FF000000"/>
      </rPr>
      <t>|</t>
    </r>
  </si>
  <si>
    <t>Developer - Sickhead Games, LLC</t>
  </si>
  <si>
    <t>#SickheadGamesLLC OR "Sickhead Games"</t>
  </si>
  <si>
    <t>Against Gravity</t>
  </si>
  <si>
    <t>#AgainstGravity OR "Against Gravity"</t>
  </si>
  <si>
    <t>#SickheadGamesLLC | "Sickhead Games"</t>
  </si>
  <si>
    <t>https://www.youtube.com/channel/UCfW278MYSnlYmM7eNhI5YRw|</t>
  </si>
  <si>
    <t>Developer - Smiling Buddha Games, LLC</t>
  </si>
  <si>
    <t>#SmilingBuddhaGamesLLC OR "Smiling Buddha Games"</t>
  </si>
  <si>
    <t>Agens</t>
  </si>
  <si>
    <t>#Agens OR "Agens"</t>
  </si>
  <si>
    <t>#SmilingBuddhaGamesLLC | "Smiling Buddha Games"</t>
  </si>
  <si>
    <t>Developer - SMONCH, LLC</t>
  </si>
  <si>
    <t>#SMONCHLLC OR "SMONCH"</t>
  </si>
  <si>
    <t>Agharta Studio</t>
  </si>
  <si>
    <r>
      <rPr>
        <rFont val="Calibri, sans-serif"/>
        <color rgb="FF000000"/>
        <sz val="10.0"/>
        <u/>
      </rPr>
      <t>https://www.youtube.com/channel/UC1imML9M2od2eJnmmqOVROw</t>
    </r>
    <r>
      <rPr>
        <rFont val="Calibri, sans-serif"/>
        <color rgb="FF000000"/>
        <sz val="10.0"/>
      </rPr>
      <t>|</t>
    </r>
  </si>
  <si>
    <t>#AghartaStudio OR "Agharta Studio"</t>
  </si>
  <si>
    <t>#SMONCHLLC | "SMONCH"</t>
  </si>
  <si>
    <t>Developer - Snood, LLC</t>
  </si>
  <si>
    <t>#SnoodLLC OR "Snood"</t>
  </si>
  <si>
    <t>AI Robot Media</t>
  </si>
  <si>
    <t>#AIRobotMedia OR "AI Robot Media"</t>
  </si>
  <si>
    <t>#SnoodLLC | "Snood"</t>
  </si>
  <si>
    <t>https://www.youtube.com/channel/UCcjN7aVNfK91jssN-eMGrbw|</t>
  </si>
  <si>
    <t>Developer - Stovetop, LLC</t>
  </si>
  <si>
    <t>#StovetopLLC OR "Stovetop"</t>
  </si>
  <si>
    <t>Aiming Inc.</t>
  </si>
  <si>
    <t>#AimingInc OR "Aiming"</t>
  </si>
  <si>
    <t>#StovetopLLC | "Stovetop"</t>
  </si>
  <si>
    <t>Developer - Strongbox3d, LLC</t>
  </si>
  <si>
    <t>#Strongbox3dLLC OR "Strongbox3d"</t>
  </si>
  <si>
    <t>Aksys Games</t>
  </si>
  <si>
    <t>https://www.youtube.com/channel/UCBfJnGBmryH7Eo49UlKMStg|</t>
  </si>
  <si>
    <t>#AksysGames OR "Aksys Games"</t>
  </si>
  <si>
    <t>#Strongbox3dLLC | "Strongbox3d"</t>
  </si>
  <si>
    <t>Developer - TikGames, LLC</t>
  </si>
  <si>
    <t>#TikGamesLLC OR "TikGames"</t>
  </si>
  <si>
    <t>Akupara Games</t>
  </si>
  <si>
    <t>https://www.youtube.com/channel/UCZmf7CjG0apiwBxNjIoYxDw|</t>
  </si>
  <si>
    <t>#AkuparaGames OR "Akupara Games"</t>
  </si>
  <si>
    <t>#TikGamesLLC | "TikGames"</t>
  </si>
  <si>
    <t>Developer - Ugly Beard Games, LLC</t>
  </si>
  <si>
    <t>#UglyBeardGamesLLC OR "Ugly Beard Games"</t>
  </si>
  <si>
    <t>Alan Zucconi</t>
  </si>
  <si>
    <r>
      <rPr>
        <rFont val="Calibri, sans-serif"/>
        <color rgb="FF000000"/>
        <sz val="10.0"/>
        <u/>
      </rPr>
      <t>https://www.youtube.com/channel/UC8Wrbf2aJkX63pu2bG5QiFg</t>
    </r>
    <r>
      <rPr>
        <rFont val="Calibri, sans-serif"/>
        <color rgb="FF000000"/>
        <sz val="10.0"/>
      </rPr>
      <t>|</t>
    </r>
  </si>
  <si>
    <t>#AlanZucconi OR "Alan Zucconi"</t>
  </si>
  <si>
    <t>#UglyBeardGamesLLC | "Ugly Beard Games"</t>
  </si>
  <si>
    <t>https://www.youtube.com/uglybeardgames|</t>
  </si>
  <si>
    <t>Developer - What Up Games, LLC</t>
  </si>
  <si>
    <t>#WhatUpGamesLLC OR "What Up Games"</t>
  </si>
  <si>
    <t>Alawar Premium</t>
  </si>
  <si>
    <t>https://www.youtube.com/channel/UCUZcGHOiUUPLXa7frMXyZLQ|</t>
  </si>
  <si>
    <t>#AlawarPremium OR "Alawar Premium"</t>
  </si>
  <si>
    <t>#WhatUpGamesLLC | "What Up Games"</t>
  </si>
  <si>
    <r>
      <rPr>
        <rFont val="Arial"/>
        <color rgb="FF000000"/>
      </rPr>
      <t>https://www.youtube.com/channel/UC4kQ2w__P06Rw1403e4Tmqw</t>
    </r>
    <r>
      <rPr>
        <rFont val="Arial"/>
        <color rgb="FF000000"/>
      </rPr>
      <t>|</t>
    </r>
  </si>
  <si>
    <t>Developer - Castle Pixel, LLC.</t>
  </si>
  <si>
    <t>#CastlePixelLLC OR "Castle Pixel."</t>
  </si>
  <si>
    <t>Albino Moose Games</t>
  </si>
  <si>
    <r>
      <rPr>
        <rFont val="Calibri, sans-serif"/>
        <color rgb="FF000000"/>
        <sz val="10.0"/>
        <u/>
      </rPr>
      <t>https://www.youtube.com/channel/UCACH4-m4ONrXLHPa2x6qUlA</t>
    </r>
    <r>
      <rPr>
        <rFont val="Calibri, sans-serif"/>
        <color rgb="FF000000"/>
        <sz val="10.0"/>
      </rPr>
      <t>|</t>
    </r>
  </si>
  <si>
    <t>#AlbinoMooseGames OR "Albino Moose Games"</t>
  </si>
  <si>
    <t>#CastlePixelLLC | "Castle Pixel."</t>
  </si>
  <si>
    <r>
      <rPr>
        <rFont val="Arial"/>
        <color rgb="FF000000"/>
      </rPr>
      <t>https://www.youtube.com/channel/UCoe0IQ4NOIWiNxdRjgi3T9A</t>
    </r>
    <r>
      <rPr>
        <rFont val="Arial"/>
        <color rgb="FF000000"/>
      </rPr>
      <t>|</t>
    </r>
  </si>
  <si>
    <t>Developer - ACTION SQUARE CO., LTD</t>
  </si>
  <si>
    <t>Alchemy VR</t>
  </si>
  <si>
    <t>#AlchemyVR OR "Alchemy VR"</t>
  </si>
  <si>
    <t>#ACTIONSQUARECOLTD | "ACTION SQUARE CO."</t>
  </si>
  <si>
    <t>Developer - H2 Interactive Co., Ltd.</t>
  </si>
  <si>
    <t>#H2InteractiveCoLtd OR "H2 Interactive Co"</t>
  </si>
  <si>
    <t>Alda Games</t>
  </si>
  <si>
    <t>https://www.youtube.com/channel/UC81BM2pd6yEmCQfV4SwFAdg|</t>
  </si>
  <si>
    <t>#AldaGames OR "Alda Games"</t>
  </si>
  <si>
    <t>#H2InteractiveCoLtd | "H2 Interactive Co"</t>
  </si>
  <si>
    <t>https://www.youtube.com/user/H2Interactive|</t>
  </si>
  <si>
    <t>Developer - Hit-Point Co., Ltd.</t>
  </si>
  <si>
    <t>#HitPointCoLtd OR "Hit-Point Co"</t>
  </si>
  <si>
    <t>Aldin</t>
  </si>
  <si>
    <t>#Aldin OR "Aldin"</t>
  </si>
  <si>
    <t>#HitPointCoLtd | "Hit-Point Co"</t>
  </si>
  <si>
    <t>https://www.youtube.com/channel/UClQudxmXpmEG9uhinm4K3RQ|</t>
  </si>
  <si>
    <t>Developer - [bracket]games</t>
  </si>
  <si>
    <t>#bracketgames OR "[bracket]games"</t>
  </si>
  <si>
    <t>Alex Rose</t>
  </si>
  <si>
    <t>https://www.youtube.com/channel/UCOLkoDwUs7dHztUbmfZlx7Q|</t>
  </si>
  <si>
    <t>#AlexRose OR "Alex Rose"</t>
  </si>
  <si>
    <t>#bracketgames | "[bracket]games"</t>
  </si>
  <si>
    <t>Developer - @unepic_fran</t>
  </si>
  <si>
    <t>#unepicfran OR "unepic fran"</t>
  </si>
  <si>
    <t>Alexey Roenko</t>
  </si>
  <si>
    <t>https://www.youtube.com/channel/UCZTMv1TwUUQs_ajnlB3vucA|</t>
  </si>
  <si>
    <t>#AlexeyRoenko OR "Alexey Roenko"</t>
  </si>
  <si>
    <t>#unepicfran | "unepic fran"</t>
  </si>
  <si>
    <t>Developer - 1047 Games</t>
  </si>
  <si>
    <t>Alientrap</t>
  </si>
  <si>
    <t>#Alientrap OR "Alientrap"</t>
  </si>
  <si>
    <t>#1047Games | "1047 Games"</t>
  </si>
  <si>
    <t>Developer - 10Birds</t>
  </si>
  <si>
    <t>#10Birds OR "10Birds"</t>
  </si>
  <si>
    <t>All in! Games</t>
  </si>
  <si>
    <t>https://www.youtube.com/channel/UCqvU-FrJRPqNoXy8KeuyKVg|</t>
  </si>
  <si>
    <t>#AllinGames OR "All in! Games"</t>
  </si>
  <si>
    <t>#10Birds | "10Birds"</t>
  </si>
  <si>
    <t>Developer - 10tons</t>
  </si>
  <si>
    <t>Alliance Digital Media</t>
  </si>
  <si>
    <t>#AllianceDigitalMedia OR "Alliance Digital Media"</t>
  </si>
  <si>
    <t>#10tons | "10tons"</t>
  </si>
  <si>
    <t>Developer - 10tons Entertainment</t>
  </si>
  <si>
    <t>Allods Team</t>
  </si>
  <si>
    <t>https://www.youtube.com/channel/UC-v8nADGmq5MUaeEsGa9mxQ|</t>
  </si>
  <si>
    <t>#AllodsTeam OR "Allods Team"</t>
  </si>
  <si>
    <t>#10tonsEntertainment | "10tons Entertainment"</t>
  </si>
  <si>
    <t>Developer - 10tons Ltd</t>
  </si>
  <si>
    <t>Alphawolf Software Limited</t>
  </si>
  <si>
    <t>#AlphawolfSoftwareLimited OR "Alphawolf Software Limited"</t>
  </si>
  <si>
    <t>#10tonsLtd | "10tons Ltd"</t>
  </si>
  <si>
    <t>Developer - 11 bit studios</t>
  </si>
  <si>
    <t>Altered Matter</t>
  </si>
  <si>
    <t>https://www.youtube.com/channel/UCuyvPC__IQdWk1z0DVWszaw|</t>
  </si>
  <si>
    <t>#AlteredMatter OR "Altered Matter"</t>
  </si>
  <si>
    <t>#11bitstudios | "11 bit studios"</t>
  </si>
  <si>
    <t>Developer - 11Sheep</t>
  </si>
  <si>
    <t>#11Sheep OR "11Sheep"</t>
  </si>
  <si>
    <t>Alternative Software</t>
  </si>
  <si>
    <t>https://www.youtube.com/channel/UCoctYGujYCM99rbA0cF8WJw|</t>
  </si>
  <si>
    <t>#AlternativeSoftware OR "Alternative Software"</t>
  </si>
  <si>
    <t>#11Sheep | "11Sheep"</t>
  </si>
  <si>
    <t>Developer - 1337 &amp; Senri LLC</t>
  </si>
  <si>
    <t>#1337andSenriLLC OR "1337 &amp; Senri"</t>
  </si>
  <si>
    <t>Amanita Design</t>
  </si>
  <si>
    <t>https://www.youtube.com/channel/UC_OFPhmsaFG8U-HtLHShorA|</t>
  </si>
  <si>
    <t>#AmanitaDesign OR "Amanita Design"</t>
  </si>
  <si>
    <t>#1337andSenriLLC | "1337 &amp; Senri"</t>
  </si>
  <si>
    <t>Developer - 13AM Games</t>
  </si>
  <si>
    <t>AMATA K.K.</t>
  </si>
  <si>
    <t>https://www.youtube.com/channel/UCOBAtYGFzOBdm0zsXmOmBvQ|</t>
  </si>
  <si>
    <t>#AMATAKK OR "AMATA K.K."</t>
  </si>
  <si>
    <t>#13AMGames | "13AM Games"</t>
  </si>
  <si>
    <t>Developer - 1BITTO</t>
  </si>
  <si>
    <t>Amazon Game Studios</t>
  </si>
  <si>
    <t>#AmazonGameStudios OR "Amazon Game Studios"</t>
  </si>
  <si>
    <t>#1BITTO | "1BITTO"</t>
  </si>
  <si>
    <t>Developer - 1C Entertainment</t>
  </si>
  <si>
    <t>Amethyst Games</t>
  </si>
  <si>
    <t>https://www.youtube.com/channel/UC6Dn9FBgve2iUAa72fgFCkg|</t>
  </si>
  <si>
    <t>#AmethystGames OR "Amethyst Games"</t>
  </si>
  <si>
    <t>#1CEntertainment | "1C Entertainment"</t>
  </si>
  <si>
    <t>Developer - 1CC Games</t>
  </si>
  <si>
    <t>#1CCGames OR "1CC Games"</t>
  </si>
  <si>
    <t>Amplitude Studios</t>
  </si>
  <si>
    <t>#AmplitudeStudios OR "Amplitude Studios"</t>
  </si>
  <si>
    <t>#1CCGames | "1CC Games"</t>
  </si>
  <si>
    <t>https://www.youtube.com/channel/UCrX8vfMXbFQcL8Bkrkp75Xg|</t>
  </si>
  <si>
    <t>Developer - 1P2P</t>
  </si>
  <si>
    <t>#1P2P OR "1P2P"</t>
  </si>
  <si>
    <t>Anarteam</t>
  </si>
  <si>
    <t>#Anarteam OR "Anarteam"</t>
  </si>
  <si>
    <t>#1P2P | "1P2P"</t>
  </si>
  <si>
    <t>https://www.youtube.com/channel/UCDH2baqjN1XokFymr85AZMQ|</t>
  </si>
  <si>
    <t>Developer - 2 Ton Studios</t>
  </si>
  <si>
    <t>#2TonStudios OR "2 Ton Studios"</t>
  </si>
  <si>
    <t>Andreas von Lepel</t>
  </si>
  <si>
    <t>#AndreasvonLepel OR "Andreas von Lepel"</t>
  </si>
  <si>
    <t>#2TonStudios | "2 Ton Studios"</t>
  </si>
  <si>
    <t>https://www.youtube.com/channel/UC41C_FHPmbxarGgLMWegaTw|</t>
  </si>
  <si>
    <t>Developer - 2 Zombie Games</t>
  </si>
  <si>
    <t>Andreil Game</t>
  </si>
  <si>
    <r>
      <rPr>
        <rFont val="Calibri, sans-serif"/>
        <color rgb="FF000000"/>
        <sz val="10.0"/>
        <u/>
      </rPr>
      <t>https://www.youtube.com/channel/UCr4Df5hMAmQDZAegb6oLo7Q</t>
    </r>
    <r>
      <rPr>
        <rFont val="Calibri, sans-serif"/>
        <color rgb="FF000000"/>
        <sz val="10.0"/>
      </rPr>
      <t>|</t>
    </r>
  </si>
  <si>
    <t>#AndreilGame OR "Andreil Game"</t>
  </si>
  <si>
    <t>#2ZombieGames | "2 Zombie Games"</t>
  </si>
  <si>
    <t>Developer - 2Awesome Studio</t>
  </si>
  <si>
    <t>Andrey Harchenko</t>
  </si>
  <si>
    <t>#AndreyHarchenko OR "Andrey Harchenko"</t>
  </si>
  <si>
    <t>#2AwesomeStudio | "2Awesome Studio"</t>
  </si>
  <si>
    <t>Developer - 2BAD GAMES</t>
  </si>
  <si>
    <t>Andy's Hat</t>
  </si>
  <si>
    <t>#AndysHat OR "Andy's Hat"</t>
  </si>
  <si>
    <t>#2BADGAMES | "2BAD GAMES"</t>
  </si>
  <si>
    <t>Developer - 2K Games</t>
  </si>
  <si>
    <t>Anefiox</t>
  </si>
  <si>
    <t>#Anefiox OR "Anefiox"</t>
  </si>
  <si>
    <t>#2KGames | "2K Games"</t>
  </si>
  <si>
    <t>Developer - 2ndBoss</t>
  </si>
  <si>
    <t>#2ndBoss OR "2ndBoss"</t>
  </si>
  <si>
    <t>Angry Mob Games</t>
  </si>
  <si>
    <t>https://www.youtube.com/channel/UCQcrdTzflCsmpnufff5K7vQ|</t>
  </si>
  <si>
    <t>#AngryMobGames OR "Angry Mob Games"</t>
  </si>
  <si>
    <t>#2ndBoss | "2ndBoss"</t>
  </si>
  <si>
    <t>https://www.youtube.com/channel/UCoOxzQxD0PMLJrA-I1BUKbw|</t>
  </si>
  <si>
    <t>Developer - 2pt Interactive</t>
  </si>
  <si>
    <t>Animatoon Studio</t>
  </si>
  <si>
    <t>#AnimatoonStudio OR "Animatoon Studio"</t>
  </si>
  <si>
    <t>#2ptInteractive | "2pt Interactive"</t>
  </si>
  <si>
    <t>Developer - 343 Industries</t>
  </si>
  <si>
    <t>#343Industries OR "343 Industries"</t>
  </si>
  <si>
    <t>Aniplex Inc.</t>
  </si>
  <si>
    <t>#343Industries | "343 Industries"</t>
  </si>
  <si>
    <r>
      <rPr>
        <rFont val="Arial"/>
        <color rgb="FF000000"/>
      </rPr>
      <t>https://www.youtube.com/channel/UC7NCg0venpKJg3kuJojKlbQ</t>
    </r>
    <r>
      <rPr>
        <rFont val="Arial"/>
        <color rgb="FF000000"/>
      </rPr>
      <t>|</t>
    </r>
  </si>
  <si>
    <t>Developer - 34BigThings</t>
  </si>
  <si>
    <t>Annapurna Interactive</t>
  </si>
  <si>
    <t>https://www.youtube.com/channel/UCoztP3NSW03Kd69KjQEIxeg|</t>
  </si>
  <si>
    <t>#AnnapurnaInteractive OR "Annapurna Interactive"</t>
  </si>
  <si>
    <t>#34BigThings | "34BigThings"</t>
  </si>
  <si>
    <t>Developer - 3D Avenue</t>
  </si>
  <si>
    <t>#3DAvenue OR "3D Avenue"</t>
  </si>
  <si>
    <t>Another Indie</t>
  </si>
  <si>
    <t>#AnotherIndie OR "Another Indie"</t>
  </si>
  <si>
    <t>#3DAvenue | "3D Avenue"</t>
  </si>
  <si>
    <t>https://www.youtube.com/user/3DAvenueChannel|</t>
  </si>
  <si>
    <t>Developer - 3d Clouds</t>
  </si>
  <si>
    <t>#3dClouds OR "3d Clouds"</t>
  </si>
  <si>
    <t>Anshar Studios</t>
  </si>
  <si>
    <t>https://www.youtube.com/channel/UClCsQVvDkHqGz5YEIkxw1Bg|</t>
  </si>
  <si>
    <t>#AnsharStudios OR "Anshar Studios"</t>
  </si>
  <si>
    <t>#3dClouds | "3d Clouds"</t>
  </si>
  <si>
    <t>Developer - 3D Realms</t>
  </si>
  <si>
    <t>#3DRealms OR "3D Realms"</t>
  </si>
  <si>
    <t>Ant Workshop</t>
  </si>
  <si>
    <t>https://www.youtube.com/channel/UC3Rbt-MNHfYJt008xdlse4Q|</t>
  </si>
  <si>
    <t>#AntWorkshop OR "Ant Workshop"</t>
  </si>
  <si>
    <t>#3DRealms | "3D Realms"</t>
  </si>
  <si>
    <t>https://www.youtube.com/channel/UCnSp56qlKGr2lrPqyxtWGhw|</t>
  </si>
  <si>
    <t>Developer - 3DClouds</t>
  </si>
  <si>
    <t>Ant Workshop Ltd</t>
  </si>
  <si>
    <t>#AntWorkshopLtd OR "Ant Workshop Ltd"</t>
  </si>
  <si>
    <t>#3DClouds | "3DClouds"</t>
  </si>
  <si>
    <t>Developer - 3DClouds.it</t>
  </si>
  <si>
    <t>#3DCloudsit OR "3DClouds.it"</t>
  </si>
  <si>
    <t>Antagonist</t>
  </si>
  <si>
    <t>#Antagonist OR "Antagonist"</t>
  </si>
  <si>
    <t>#3DCloudsit | "3DClouds.it"</t>
  </si>
  <si>
    <t>Developer - 3Division</t>
  </si>
  <si>
    <t>AntiCrunch Studios</t>
  </si>
  <si>
    <t>#AntiCrunchStudios OR "AntiCrunch Studios"</t>
  </si>
  <si>
    <t>#3Division | "3Division"</t>
  </si>
  <si>
    <t>Developer - 4 Door Lemon</t>
  </si>
  <si>
    <t>#4DoorLemon OR "4 Door Lemon"</t>
  </si>
  <si>
    <t>Anticto</t>
  </si>
  <si>
    <t>#Anticto OR "Anticto"</t>
  </si>
  <si>
    <t>#4DoorLemon | "4 Door Lemon"</t>
  </si>
  <si>
    <t>Developer - 4 GLADIATORS</t>
  </si>
  <si>
    <t>Anuman Interactive</t>
  </si>
  <si>
    <t>https://www.youtube.com/user/anumaninteractive|</t>
  </si>
  <si>
    <t>#AnumanInteractive OR "Anuman Interactive"</t>
  </si>
  <si>
    <t>#4GLADIATORS | "4 GLADIATORS"</t>
  </si>
  <si>
    <t>Developer - 40 Giants Entertainment</t>
  </si>
  <si>
    <t>#40GiantsEntertainment OR "40 Giants Entertainment"</t>
  </si>
  <si>
    <t>AOL</t>
  </si>
  <si>
    <t>#AOL OR "AOL"</t>
  </si>
  <si>
    <t>#40GiantsEntertainment | "40 Giants Entertainment"</t>
  </si>
  <si>
    <t>https://www.youtube.com/channel/UC2ZFi-gGnf0_M1fsSwqKVjA|</t>
  </si>
  <si>
    <t>Developer - 4A Games</t>
  </si>
  <si>
    <t>#4AGames OR "4A Games"</t>
  </si>
  <si>
    <t>AOne Games</t>
  </si>
  <si>
    <t>https://www.youtube.com/channel/UCDcYADsp7F5rgNLT-FWONAw|</t>
  </si>
  <si>
    <t>#AOneGames OR "AOne Games"</t>
  </si>
  <si>
    <t>#4AGames | "4A Games"</t>
  </si>
  <si>
    <t>https://www.youtube.com/channel/UC71SD-Hs3zcrpwB3WDdXyeQ|</t>
  </si>
  <si>
    <t>Developer - 4Bit Games</t>
  </si>
  <si>
    <t>Ape Apps</t>
  </si>
  <si>
    <r>
      <rPr>
        <rFont val="Calibri, sans-serif"/>
        <color rgb="FF000000"/>
        <sz val="10.0"/>
        <u/>
      </rPr>
      <t>https://www.youtube.com/channel/UCVNWIur-Avl67CxwNHk6R_Q</t>
    </r>
    <r>
      <rPr>
        <rFont val="Calibri, sans-serif"/>
        <color rgb="FF000000"/>
        <sz val="10.0"/>
      </rPr>
      <t>|</t>
    </r>
  </si>
  <si>
    <t>#ApeApps OR "Ape Apps"</t>
  </si>
  <si>
    <t>#4BitGames | "4Bit Games"</t>
  </si>
  <si>
    <t>Developer - 4D Creativity Limited</t>
  </si>
  <si>
    <t>Applava</t>
  </si>
  <si>
    <t>https://www.youtube.com/channel/UC040ConnX6U3pxpVigVyFAg|</t>
  </si>
  <si>
    <t>#Applava OR "Applava"</t>
  </si>
  <si>
    <t>#4DCreativityLimited | "4D Creativity Limited"</t>
  </si>
  <si>
    <t>Developer - 4J Studios</t>
  </si>
  <si>
    <t>#4JStudios OR "4J Studios"</t>
  </si>
  <si>
    <t>Appliks Apps Studios</t>
  </si>
  <si>
    <t>#AppliksAppsStudios OR "Appliks Apps Studios"</t>
  </si>
  <si>
    <t>#4JStudios | "4J Studios"</t>
  </si>
  <si>
    <t>https://www.youtube.com/user/4JStudios|</t>
  </si>
  <si>
    <t>Developer - 5 Lives Studios</t>
  </si>
  <si>
    <t>Applimazing</t>
  </si>
  <si>
    <t>https://www.youtube.com/channel/UCGlR02IyIhOKt0cdNejV8zw|</t>
  </si>
  <si>
    <t>#Applimazing OR "Applimazing"</t>
  </si>
  <si>
    <t>#5LivesStudios | "5 Lives Studios"</t>
  </si>
  <si>
    <t>Developer - 505 Games</t>
  </si>
  <si>
    <t>Appsolute Games</t>
  </si>
  <si>
    <t>https://www.youtube.com/channel/UCJpWuPRpBmrdt9zC392jAcw|</t>
  </si>
  <si>
    <t>#AppsoluteGames OR "Appsolute Games"</t>
  </si>
  <si>
    <t>#505Games | "505 Games"</t>
  </si>
  <si>
    <t>Developer - 562 Interactive</t>
  </si>
  <si>
    <t>aPriori Digital</t>
  </si>
  <si>
    <t>https://www.youtube.com/channel/UCysEz-6uZry0I5NOTSMOguQ|</t>
  </si>
  <si>
    <t>#aPrioriDigital OR "aPriori Digital"</t>
  </si>
  <si>
    <t>#562Interactive | "562 Interactive"</t>
  </si>
  <si>
    <t>Developer - 5TH Cell</t>
  </si>
  <si>
    <t>#5THCell OR "5TH Cell"</t>
  </si>
  <si>
    <t>Aqua Plus</t>
  </si>
  <si>
    <r>
      <rPr>
        <rFont val="Calibri, sans-serif"/>
        <color rgb="FF000000"/>
        <sz val="10.0"/>
        <u/>
      </rPr>
      <t>https://www.youtube.com/channel/UCv8zUCRTIhfeuTtXKIgyRCg</t>
    </r>
    <r>
      <rPr>
        <rFont val="Calibri, sans-serif"/>
        <color rgb="FF000000"/>
        <sz val="10.0"/>
      </rPr>
      <t>|</t>
    </r>
  </si>
  <si>
    <t>#AquaPlus OR "Aqua Plus"</t>
  </si>
  <si>
    <t>#5THCell | "5TH Cell"</t>
  </si>
  <si>
    <t>https://www.youtube.com/user/5thcell|</t>
  </si>
  <si>
    <t>Developer - 6 Eyes Studio</t>
  </si>
  <si>
    <t>#6EyesStudio OR "6 Eyes Studio"</t>
  </si>
  <si>
    <t>Aqua Style</t>
  </si>
  <si>
    <t>https://www.youtube.com/channel/UCwoiGW4TQFU-3xORzYabTQg|</t>
  </si>
  <si>
    <t>#AquaStyle OR "Aqua Style"</t>
  </si>
  <si>
    <t>#6EyesStudio | "6 Eyes Studio"</t>
  </si>
  <si>
    <t>Developer - 7 Soft Pillows</t>
  </si>
  <si>
    <t>Aquiris Game Studio</t>
  </si>
  <si>
    <t>https://www.youtube.com/channel/UCX_NWu2Y3p-swrJlpgY7mog|</t>
  </si>
  <si>
    <t>#AquirisGameStudio OR "Aquiris Game Studio"</t>
  </si>
  <si>
    <t>#7SoftPillows | "7 Soft Pillows"</t>
  </si>
  <si>
    <r>
      <rPr>
        <rFont val="Arial"/>
        <color rgb="FF000000"/>
      </rPr>
      <t>https://www.youtube.com/channel/UCfH6mJY-sNdH-GAhE1C5mBA</t>
    </r>
    <r>
      <rPr>
        <rFont val="Arial"/>
        <color rgb="FF000000"/>
      </rPr>
      <t>|</t>
    </r>
  </si>
  <si>
    <t>Developer - 704Games</t>
  </si>
  <si>
    <t>Arc System Works</t>
  </si>
  <si>
    <t>https://www.youtube.com/channel/UClqUSY9SshvuFja6yNXp4nQ|</t>
  </si>
  <si>
    <t>#ArcSystemWorks OR "Arc System Works"</t>
  </si>
  <si>
    <t>#704Games | "704Games"</t>
  </si>
  <si>
    <t>Developer - 7A Games</t>
  </si>
  <si>
    <t>Arcade Distillery</t>
  </si>
  <si>
    <t>https://www.youtube.com/channel/UCo1OjLY_nNkgowozvQmSeBA|</t>
  </si>
  <si>
    <t>#ArcadeDistillery OR "Arcade Distillery"</t>
  </si>
  <si>
    <t>#7AGames | "7A Games"</t>
  </si>
  <si>
    <t>Developer - 7Levels</t>
  </si>
  <si>
    <t>Archiact Interactive Ltd.</t>
  </si>
  <si>
    <t>https://www.youtube.com/c/Archiactinteractivegames/featured|</t>
  </si>
  <si>
    <t>#ArchiactInteractiveLtd OR "Archiact Interactive Ltd."</t>
  </si>
  <si>
    <t>#7Levels | "7Levels"</t>
  </si>
  <si>
    <t>Developer - 7Raven Studios</t>
  </si>
  <si>
    <t>#7RavenStudios OR "7Raven Studios"</t>
  </si>
  <si>
    <t>Archive Entertainment</t>
  </si>
  <si>
    <t>https://www.youtube.com/channel/UCIDPqC2MV0HNa9xgZaRz5cw|</t>
  </si>
  <si>
    <t>#ArchiveEntertainment OR "Archive Entertainment"</t>
  </si>
  <si>
    <t>#7RavenStudios | "7Raven Studios"</t>
  </si>
  <si>
    <t>Developer - 8 Bit Pxl Games</t>
  </si>
  <si>
    <t>AREA35</t>
  </si>
  <si>
    <r>
      <rPr>
        <rFont val="Calibri, sans-serif"/>
        <color rgb="FF000000"/>
        <sz val="10.0"/>
        <u/>
      </rPr>
      <t>https://www.youtube.com/channel/UCPO6PCJaigr4PAAse51kv5Q</t>
    </r>
    <r>
      <rPr>
        <rFont val="Calibri, sans-serif"/>
        <color rgb="FF000000"/>
        <sz val="10.0"/>
      </rPr>
      <t>|</t>
    </r>
  </si>
  <si>
    <t>#AREA35 OR "AREA35"</t>
  </si>
  <si>
    <t>#8BitPxlGames | "8 Bit Pxl Games"</t>
  </si>
  <si>
    <t>Developer - 8Floor</t>
  </si>
  <si>
    <t>Argus Games</t>
  </si>
  <si>
    <t>https://www.youtube.com/channel/UChV14dmaSqt0ZCfswO5Wv7g|</t>
  </si>
  <si>
    <t>#ArgusGames OR "Argus Games"</t>
  </si>
  <si>
    <t>#8Floor | "8Floor"</t>
  </si>
  <si>
    <t>Developer - 9 Eyes Game Studio</t>
  </si>
  <si>
    <t>Arika</t>
  </si>
  <si>
    <t>#Arika OR "Arika"</t>
  </si>
  <si>
    <t>#9EyesGameStudio | "9 Eyes Game Studio"</t>
  </si>
  <si>
    <t>Developer - A Crowd of Monsters</t>
  </si>
  <si>
    <t>Armature Studio</t>
  </si>
  <si>
    <t>https://www.youtube.com/channel/UCnj9DAQ1q5RKIRp3nTEcvog|</t>
  </si>
  <si>
    <t>#ArmatureStudio OR "Armature Studio"</t>
  </si>
  <si>
    <t>#ACrowdofMonsters | "A Crowd of Monsters"</t>
  </si>
  <si>
    <t>Developer - A Tale of Games</t>
  </si>
  <si>
    <t>Armor Games</t>
  </si>
  <si>
    <t>https://www.youtube.com/user/armorgames|</t>
  </si>
  <si>
    <t>#ArmorGames OR "Armor Games"</t>
  </si>
  <si>
    <t>#ATaleofGames | "A Tale of Games"</t>
  </si>
  <si>
    <t>Developer - A-Z Computers</t>
  </si>
  <si>
    <t>Arrayansoft</t>
  </si>
  <si>
    <r>
      <rPr>
        <rFont val="Calibri, sans-serif"/>
        <color rgb="FF000000"/>
        <sz val="10.0"/>
        <u/>
      </rPr>
      <t>https://www.youtube.com/channel/UCZ-tbWRq55cy6DQCLSvC7pQ</t>
    </r>
    <r>
      <rPr>
        <rFont val="Calibri, sans-serif"/>
        <color rgb="FF000000"/>
        <sz val="10.0"/>
      </rPr>
      <t>|</t>
    </r>
  </si>
  <si>
    <t>#Arrayansoft OR "Arrayansoft"</t>
  </si>
  <si>
    <t>#AZComputers | "A-Z Computers"</t>
  </si>
  <si>
    <t>Developer - A44</t>
  </si>
  <si>
    <t>#A44 OR "A44"</t>
  </si>
  <si>
    <t>Arrowiz</t>
  </si>
  <si>
    <t>https://www.youtube.com/channel/UCzp8kIa1it0sI07o6WRKWfA|</t>
  </si>
  <si>
    <t>#Arrowiz OR "Arrowiz"</t>
  </si>
  <si>
    <t>#A44 | "A44"</t>
  </si>
  <si>
    <r>
      <rPr>
        <rFont val="Arial"/>
        <color rgb="FF000000"/>
      </rPr>
      <t>https://www.youtube.com/channel/UCL6NZ4TkZX1GD0mPneNOqiQ</t>
    </r>
    <r>
      <rPr>
        <rFont val="Arial"/>
        <color rgb="FF000000"/>
      </rPr>
      <t>|</t>
    </r>
  </si>
  <si>
    <t>Developer - Aaron Levi Carrick</t>
  </si>
  <si>
    <t>Art Games Studio S.A.</t>
  </si>
  <si>
    <t>https://www.youtube.com/channel/UCvNdFL1zmANpTHe9I69JQWw|</t>
  </si>
  <si>
    <t>#ArtGamesStudioSA OR "Art Games Studio S.A."</t>
  </si>
  <si>
    <t>#AaronLeviCarrick | "Aaron Levi Carrick"</t>
  </si>
  <si>
    <t>Developer - Abrakam SA</t>
  </si>
  <si>
    <t>#AbrakamSA OR "Abrakam SA"</t>
  </si>
  <si>
    <t>Artbox Games</t>
  </si>
  <si>
    <t>#ArtboxGames OR "Artbox Games"</t>
  </si>
  <si>
    <t>#AbrakamSA | "Abrakam SA"</t>
  </si>
  <si>
    <t>Developer - Abramelin Games</t>
  </si>
  <si>
    <t>Artifact 5</t>
  </si>
  <si>
    <t>https://www.youtube.com/channel/UCK7nncmToNkixbw8Ipz4SNg|</t>
  </si>
  <si>
    <t>#Artifact5 OR "Artifact 5"</t>
  </si>
  <si>
    <t>#AbramelinGames | "Abramelin Games"</t>
  </si>
  <si>
    <t>Developer - AbstractArt</t>
  </si>
  <si>
    <t>#AbstractArt OR "AbstractArt"</t>
  </si>
  <si>
    <t>Artifex Mundi</t>
  </si>
  <si>
    <t>https://www.youtube.com/user/ArtifexMundi|</t>
  </si>
  <si>
    <t>#ArtifexMundi OR "Artifex Mundi"</t>
  </si>
  <si>
    <t>#AbstractArt | "AbstractArt"</t>
  </si>
  <si>
    <t>Developer - Abstraction Games</t>
  </si>
  <si>
    <t>Arturo Buschmann</t>
  </si>
  <si>
    <t>#ArturoBuschmann OR "Arturo Buschmann"</t>
  </si>
  <si>
    <t>#AbstractionGames | "Abstraction Games"</t>
  </si>
  <si>
    <t>Developer - ABX Games Studio</t>
  </si>
  <si>
    <t>ARTVISION GAMES</t>
  </si>
  <si>
    <r>
      <rPr>
        <rFont val="Calibri, sans-serif"/>
        <color rgb="FF000000"/>
        <sz val="10.0"/>
        <u/>
      </rPr>
      <t>https://www.youtube.com/channel/UCfdBsT77edowk3NLHcWf_Rw</t>
    </r>
    <r>
      <rPr>
        <rFont val="Calibri, sans-serif"/>
        <color rgb="FF000000"/>
        <sz val="10.0"/>
      </rPr>
      <t>|</t>
    </r>
  </si>
  <si>
    <t>#ARTVISIONGAMES OR "ARTVISION GAMES"</t>
  </si>
  <si>
    <t>#ABXGamesStudio | "ABX Games Studio"</t>
  </si>
  <si>
    <t>Developer - Abyssal Arts Ltd.</t>
  </si>
  <si>
    <t>ArtVostok</t>
  </si>
  <si>
    <t>https://www.youtube.com/channel/UCfpgVXMXgHM_WR8vrzVqGpg|</t>
  </si>
  <si>
    <t>#ArtVostok OR "ArtVostok"</t>
  </si>
  <si>
    <t>#AbyssalArtsLtd | "Abyssal Arts Ltd."</t>
  </si>
  <si>
    <t>Developer - Abyzzmo Entertainment</t>
  </si>
  <si>
    <t>Arvore Immersive Experiences, LLC</t>
  </si>
  <si>
    <t>https://www.youtube.com/channel/UCf1L_yRqExO6tZNagk2PdMw|</t>
  </si>
  <si>
    <t>#ArvoreImmersiveExperiences OR "Arvore Immersive Experiences"</t>
  </si>
  <si>
    <t>#AbyzzmoEntertainment | "Abyzzmo Entertainment"</t>
  </si>
  <si>
    <t>Developer - Access Games</t>
  </si>
  <si>
    <t>#AccessGames OR "Access Games"</t>
  </si>
  <si>
    <t>ASBO Interactive</t>
  </si>
  <si>
    <r>
      <rPr>
        <rFont val="Calibri, sans-serif"/>
        <color rgb="FF000000"/>
        <sz val="10.0"/>
        <u/>
      </rPr>
      <t>https://www.youtube.com/channel/UCZkMFKliMTqmoWnecMfDOnQ</t>
    </r>
    <r>
      <rPr>
        <rFont val="Calibri, sans-serif"/>
        <color rgb="FF000000"/>
        <sz val="10.0"/>
      </rPr>
      <t>|</t>
    </r>
  </si>
  <si>
    <t>#ASBOInteractive OR "ASBO Interactive"</t>
  </si>
  <si>
    <t>#AccessGames | "Access Games"</t>
  </si>
  <si>
    <t>Developer - Ace Maddox</t>
  </si>
  <si>
    <t>ASBO INTERACTIVE LIMITED</t>
  </si>
  <si>
    <t>https://www.youtube.com/channel/UCZkMFKliMTqmoWnecMfDOnQ|</t>
  </si>
  <si>
    <t>#ASBOINTERACTIVELIMITED OR "ASBO INTERACTIVE LIMITED"</t>
  </si>
  <si>
    <t>#AceMaddox | "Ace Maddox"</t>
  </si>
  <si>
    <t>Developer - ACE Team</t>
  </si>
  <si>
    <t>#ACETeam OR "ACE Team"</t>
  </si>
  <si>
    <t>Asmodee</t>
  </si>
  <si>
    <t>https://www.youtube.com/channel/UC4Ir9K_WSi8Zm-KUJ6qMKAg|</t>
  </si>
  <si>
    <t>#Asmodee OR "Asmodee"</t>
  </si>
  <si>
    <t>#ACETeam | "ACE Team"</t>
  </si>
  <si>
    <t>https://www.youtube.com/user/ACETeamSoftware|</t>
  </si>
  <si>
    <t>Developer - Acid Nerve</t>
  </si>
  <si>
    <t>#AcidNerve OR "Acid Nerve"</t>
  </si>
  <si>
    <t>Aspyr</t>
  </si>
  <si>
    <t>https://www.youtube.com/channel/UCeL2pLQf40T2fLaeyLr7CAg|</t>
  </si>
  <si>
    <t>#Aspyr OR "Aspyr"</t>
  </si>
  <si>
    <t>#AcidNerve | "Acid Nerve"</t>
  </si>
  <si>
    <r>
      <rPr>
        <rFont val="Arial"/>
        <color rgb="FF000000"/>
      </rPr>
      <t>https://www.youtube.com/channel/UCQatxtGO15UPoqELHFxgrBw</t>
    </r>
    <r>
      <rPr>
        <rFont val="Arial"/>
        <color rgb="FF000000"/>
      </rPr>
      <t>|</t>
    </r>
  </si>
  <si>
    <t>Developer - Acid Wizard Studio</t>
  </si>
  <si>
    <t>#AcidWizardStudio OR "Acid Wizard Studio"</t>
  </si>
  <si>
    <t>Assemble Entertainment</t>
  </si>
  <si>
    <t>https://www.youtube.com/channel/UCZiGKmEVwifXI8U782IOP8w|</t>
  </si>
  <si>
    <t>#AssembleEntertainment OR "Assemble Entertainment"</t>
  </si>
  <si>
    <t>#AcidWizardStudio | "Acid Wizard Studio"</t>
  </si>
  <si>
    <t>https://www.youtube.com/user/AcidWizardStudio|</t>
  </si>
  <si>
    <t>Developer - Acquire</t>
  </si>
  <si>
    <t>#Acquire OR "Acquire"</t>
  </si>
  <si>
    <t>Asterion Games</t>
  </si>
  <si>
    <t>https://www.youtube.com/channel/UCkgBr0IfN41VKluETdDxHmg|</t>
  </si>
  <si>
    <t>#AsterionGames OR "Asterion Games"</t>
  </si>
  <si>
    <t>#Acquire | "Acquire"</t>
  </si>
  <si>
    <t>https://www.youtube.com/user/AcquireVideoOfficial|</t>
  </si>
  <si>
    <t>Developer - Acram Digital</t>
  </si>
  <si>
    <t>Asteristic Game Studio</t>
  </si>
  <si>
    <t>#AsteristicGameStudio OR "Asteristic Game Studio"</t>
  </si>
  <si>
    <t>#AcramDigital | "Acram Digital"</t>
  </si>
  <si>
    <t>Developer - Action Button Entertainment</t>
  </si>
  <si>
    <t>#ActionButtonEntertainment OR "Action Button Entertainment"</t>
  </si>
  <si>
    <t>Asteroid Base</t>
  </si>
  <si>
    <t>https://www.youtube.com/channel/UCXABtb9yheUrQPFHCKN5SCQ|</t>
  </si>
  <si>
    <t>#AsteroidBase OR "Asteroid Base"</t>
  </si>
  <si>
    <t>#ActionButtonEntertainment | "Action Button Entertainment"</t>
  </si>
  <si>
    <r>
      <rPr>
        <rFont val="Arial"/>
        <color rgb="FF000000"/>
      </rPr>
      <t>https://www.youtube.com/channel/UCjKSoJlPgcK6BmoSqXpj5xQ</t>
    </r>
    <r>
      <rPr>
        <rFont val="Arial"/>
        <color rgb="FF000000"/>
      </rPr>
      <t>|</t>
    </r>
  </si>
  <si>
    <t>Developer - Activision</t>
  </si>
  <si>
    <t>astragon</t>
  </si>
  <si>
    <t>https://www.youtube.com/channel/UCGyMY8nNM0kDEesCYKDjgwA|</t>
  </si>
  <si>
    <t>#astragon OR "astragon"</t>
  </si>
  <si>
    <t>#Activision | "Activision"</t>
  </si>
  <si>
    <t>Developer - Adam Spragg Games</t>
  </si>
  <si>
    <t>Atari, Inc.</t>
  </si>
  <si>
    <t>https://www.youtube.com/user/atari|</t>
  </si>
  <si>
    <t>#Atari OR "Atari"</t>
  </si>
  <si>
    <t>#AdamSpraggGames | "Adam Spragg Games"</t>
  </si>
  <si>
    <t>Developer - adamgryu</t>
  </si>
  <si>
    <t>#adamgryu OR "adamgryu"</t>
  </si>
  <si>
    <t>Atent Games</t>
  </si>
  <si>
    <t>#AtentGames OR "Atent Games"</t>
  </si>
  <si>
    <t>#adamgryu | "adamgryu"</t>
  </si>
  <si>
    <r>
      <rPr>
        <rFont val="Arial"/>
        <color rgb="FF000000"/>
      </rPr>
      <t>https://www.youtube.com/channel/UCaLl_yYY14yrEWtKouEKI1g</t>
    </r>
    <r>
      <rPr>
        <rFont val="Arial"/>
        <color rgb="FF000000"/>
      </rPr>
      <t>|</t>
    </r>
  </si>
  <si>
    <t>Developer - Adamvision Studios</t>
  </si>
  <si>
    <t>#AdamvisionStudios OR "Adamvision Studios"</t>
  </si>
  <si>
    <t>ATHLON GAMES</t>
  </si>
  <si>
    <t>#ATHLONGAMES OR "ATHLON GAMES"</t>
  </si>
  <si>
    <t>#AdamvisionStudios | "Adamvision Studios"</t>
  </si>
  <si>
    <t>https://www.youtube.com/channel/UCoxXfBX0edkflFT0N2cZTAA|</t>
  </si>
  <si>
    <t>Developer - Adept Studios GD</t>
  </si>
  <si>
    <t>#AdeptStudiosGD OR "Adept Studios GD"</t>
  </si>
  <si>
    <t>Athlon Games, Inc.</t>
  </si>
  <si>
    <t>#AthlonGamesInc OR "Athlon Games,"</t>
  </si>
  <si>
    <t>#AdeptStudiosGD | "Adept Studios GD"</t>
  </si>
  <si>
    <t>https://www.youtube.com/channel/UCErAMfhCTljcy-DdVfw1QQA|</t>
  </si>
  <si>
    <t>Developer - ADK</t>
  </si>
  <si>
    <t>#ADK OR "ADK"</t>
  </si>
  <si>
    <t>Atlus</t>
  </si>
  <si>
    <t>https://www.youtube.com/user/atlustube|</t>
  </si>
  <si>
    <t>#Atlus OR "Atlus"</t>
  </si>
  <si>
    <t>#ADK | "ADK"</t>
  </si>
  <si>
    <t>Developer - Adrian Lazar</t>
  </si>
  <si>
    <t>#AdrianLazar OR "Adrian Lazar"</t>
  </si>
  <si>
    <t>Atlus Co.</t>
  </si>
  <si>
    <t>#AtlusCo OR "Atlus Co."</t>
  </si>
  <si>
    <t>#AdrianLazar | "Adrian Lazar"</t>
  </si>
  <si>
    <t>https://www.youtube.com/user/adrianlazar|</t>
  </si>
  <si>
    <t>Developer - Adult Swim</t>
  </si>
  <si>
    <t>Atmos Games</t>
  </si>
  <si>
    <t>https://www.youtube.com/user/thomasmbrush|</t>
  </si>
  <si>
    <t>#AtmosGames OR "Atmos Games"</t>
  </si>
  <si>
    <t>#AdultSwim | "Adult Swim"</t>
  </si>
  <si>
    <t>Developer - Aerial_Knight</t>
  </si>
  <si>
    <t>#AerialKnight OR "Aerial Knight"</t>
  </si>
  <si>
    <t>Atom Republic</t>
  </si>
  <si>
    <t>https://www.youtube.com/channel/UCPGGQ6hUdwfzgS9qXys6E5g|</t>
  </si>
  <si>
    <t>#AtomRepublic OR "Atom Republic"</t>
  </si>
  <si>
    <t>#AerialKnight | "Aerial Knight"</t>
  </si>
  <si>
    <t>Developer - Aerosoft</t>
  </si>
  <si>
    <t>Atomicom</t>
  </si>
  <si>
    <r>
      <rPr>
        <rFont val="Calibri, sans-serif"/>
        <color rgb="FF000000"/>
        <sz val="10.0"/>
        <u/>
      </rPr>
      <t>https://www.youtube.com/channel/UCit5BUfZotd58cQ-dXtvfbQ</t>
    </r>
    <r>
      <rPr>
        <rFont val="Calibri, sans-serif"/>
        <color rgb="FF000000"/>
        <sz val="10.0"/>
      </rPr>
      <t>|</t>
    </r>
  </si>
  <si>
    <t>#Atomicom OR "Atomicom"</t>
  </si>
  <si>
    <t>#Aerosoft | "Aerosoft"</t>
  </si>
  <si>
    <t>Developer - Aeternum Game Studios</t>
  </si>
  <si>
    <t>Atse Virtual World</t>
  </si>
  <si>
    <t>#AtseVirtualWorld OR "Atse Virtual World"</t>
  </si>
  <si>
    <t>#AeternumGameStudios | "Aeternum Game Studios"</t>
  </si>
  <si>
    <r>
      <rPr>
        <rFont val="Arial"/>
        <color rgb="FF000000"/>
      </rPr>
      <t>https://www.youtube.com/channel/UCxJZdqoOHZaT4mXZbSslobA</t>
    </r>
    <r>
      <rPr>
        <rFont val="Arial"/>
        <color rgb="FF000000"/>
      </rPr>
      <t>|</t>
    </r>
  </si>
  <si>
    <t>Developer - Afterburner Studios</t>
  </si>
  <si>
    <t>#AfterburnerStudios OR "Afterburner Studios"</t>
  </si>
  <si>
    <t>Attu Games</t>
  </si>
  <si>
    <t>https://www.youtube.com/user/NavrcL|</t>
  </si>
  <si>
    <t>#AttuGames OR "Attu Games"</t>
  </si>
  <si>
    <t>#AfterburnerStudios | "Afterburner Studios"</t>
  </si>
  <si>
    <t>https://www.youtube.com/channel/UCCyfUb4qObGgRAomkIjNUNg|</t>
  </si>
  <si>
    <t>Developer - AG8</t>
  </si>
  <si>
    <t>Atypical Games</t>
  </si>
  <si>
    <t>https://www.youtube.com/atypicalgames|</t>
  </si>
  <si>
    <t>#AtypicalGames OR "Atypical Games"</t>
  </si>
  <si>
    <t>#AG8 | "AG8"</t>
  </si>
  <si>
    <t>Developer - Against Gravity</t>
  </si>
  <si>
    <t>Auroch Digital</t>
  </si>
  <si>
    <t>https://www.youtube.com/user/gamethenewsnet|</t>
  </si>
  <si>
    <t>#AurochDigital OR "Auroch Digital"</t>
  </si>
  <si>
    <t>#AgainstGravity | "Against Gravity"</t>
  </si>
  <si>
    <t>Developer - AggroCrab</t>
  </si>
  <si>
    <t>#AggroCrab OR "AggroCrab"</t>
  </si>
  <si>
    <t>AUTO SLAVIC d.o.o.</t>
  </si>
  <si>
    <t>#AUTOSLAVICdoo OR "AUTO SLAVIC d.o.o."</t>
  </si>
  <si>
    <t>#AggroCrab | "AggroCrab"</t>
  </si>
  <si>
    <t>https://www.youtube.com/channel/UCX43ke0wKIA-lvCccGDlNOg|</t>
  </si>
  <si>
    <t>Developer - AHEARTFULOFGAMES</t>
  </si>
  <si>
    <t>#AHEARTFULOFGAMES OR "AHEARTFULOFGAMES"</t>
  </si>
  <si>
    <t>Autumn Games</t>
  </si>
  <si>
    <t>#AutumnGames OR "Autumn Games"</t>
  </si>
  <si>
    <t>#AHEARTFULOFGAMES | "AHEARTFULOFGAMES"</t>
  </si>
  <si>
    <t>https://www.youtube.com/channel/UCj3I8Vo0X-sQE4EtjQHvTtg|</t>
  </si>
  <si>
    <t>Developer - AI Robot Media</t>
  </si>
  <si>
    <t>Autumn VR</t>
  </si>
  <si>
    <t>https://www.youtube.com/channel/UCWMHmlzBSUyGklhCIIUT9Cw/featured|</t>
  </si>
  <si>
    <t>#AutumnVR OR "Autumn VR"</t>
  </si>
  <si>
    <t>#AIRobotMedia | "AI Robot Media"</t>
  </si>
  <si>
    <t>Developer - Aicom</t>
  </si>
  <si>
    <t>#Aicom OR "Aicom"</t>
  </si>
  <si>
    <t>Avalanche Studios</t>
  </si>
  <si>
    <t>https://www.youtube.com/channel/UCSP5bAmRzaAXPcxnJablgYw|</t>
  </si>
  <si>
    <t>#AvalancheStudios OR "Avalanche Studios"</t>
  </si>
  <si>
    <t>#Aicom | "Aicom"</t>
  </si>
  <si>
    <t>Developer - Airship Syndicate Entertainment</t>
  </si>
  <si>
    <t>#AirshipSyndicateEntertainment OR "Airship Syndicate Entertainment"</t>
  </si>
  <si>
    <t>Awaken Realms Digital</t>
  </si>
  <si>
    <t>https://www.youtube.com/user/awakenrealms|</t>
  </si>
  <si>
    <t>#AwakenRealmsDigital OR "Awaken Realms Digital"</t>
  </si>
  <si>
    <t>#AirshipSyndicateEntertainment | "Airship Syndicate Entertainment"</t>
  </si>
  <si>
    <t>https://www.youtube.com/channel/UCtc2lXsj2QquqpVIxPn10pQ|</t>
  </si>
  <si>
    <t>Developer - Airtight Games</t>
  </si>
  <si>
    <t>#AirtightGames OR "Airtight Games"</t>
  </si>
  <si>
    <t>Awesome Games Studio</t>
  </si>
  <si>
    <t>https://www.youtube.com/user/AwesomeGamesStudio|</t>
  </si>
  <si>
    <t>#AwesomeGamesStudio OR "Awesome Games Studio"</t>
  </si>
  <si>
    <t>#AirtightGames | "Airtight Games"</t>
  </si>
  <si>
    <r>
      <rPr>
        <rFont val="Arial"/>
        <color rgb="FF000000"/>
      </rPr>
      <t>https://www.youtube.com/channel/UC9751YhuilLf4NI7XcXh0IA</t>
    </r>
    <r>
      <rPr>
        <rFont val="Arial"/>
        <color rgb="FF000000"/>
      </rPr>
      <t>|</t>
    </r>
  </si>
  <si>
    <t>Developer - AJ Ordaz Games</t>
  </si>
  <si>
    <t>#AJOrdazGames OR "AJ Ordaz Games"</t>
  </si>
  <si>
    <t>Awesome Industries</t>
  </si>
  <si>
    <t>https://www.youtube.com/channel/UCqWxrie-STXei2JVq7FbjIQ|</t>
  </si>
  <si>
    <t>#AwesomeIndustries OR "Awesome Industries"</t>
  </si>
  <si>
    <t>#AJOrdazGames | "AJ Ordaz Games"</t>
  </si>
  <si>
    <t>https://www.youtube.com/channel/UC7mT9aTpUZVDTSf_Sp3DEkA|</t>
  </si>
  <si>
    <t>Developer - Aki Corp.</t>
  </si>
  <si>
    <t>#AkiCorp OR "Aki Corp."</t>
  </si>
  <si>
    <t>Awesome Industries sp. z o.o.</t>
  </si>
  <si>
    <t>#AwesomeIndustriesspzoo OR "Awesome Industries sp. z o.o."</t>
  </si>
  <si>
    <t>#AkiCorp | "Aki Corp."</t>
  </si>
  <si>
    <t>Developer - Akupara Games</t>
  </si>
  <si>
    <t>Awfully Nice Studios</t>
  </si>
  <si>
    <t>https://www.youtube.com/channel/UCmqPtZL_IMZXZWQf2eUYF6w|</t>
  </si>
  <si>
    <t>#AwfullyNiceStudios OR "Awfully Nice Studios"</t>
  </si>
  <si>
    <t>#AkuparaGames | "Akupara Games"</t>
  </si>
  <si>
    <t>Developer - Al-link</t>
  </si>
  <si>
    <t>#Allink OR "Al-link"</t>
  </si>
  <si>
    <t>Axis Games</t>
  </si>
  <si>
    <t>https://www.youtube.com/channel/UCcfGDyQZcgNYG82ttOBTFzQ|</t>
  </si>
  <si>
    <t>#AxisGames OR "Axis Games"</t>
  </si>
  <si>
    <t>#Allink | "Al-link"</t>
  </si>
  <si>
    <t>Developer - Alda Games</t>
  </si>
  <si>
    <t>Ayden Sutton</t>
  </si>
  <si>
    <t>#AydenSutton OR "Ayden Sutton"</t>
  </si>
  <si>
    <t>#AldaGames | "Alda Games"</t>
  </si>
  <si>
    <t>Developer - Alessandro Benedettini</t>
  </si>
  <si>
    <t>#AlessandroBenedettini OR "Alessandro Benedettini"</t>
  </si>
  <si>
    <t>Azure Flame Studio</t>
  </si>
  <si>
    <t>https://www.youtube.com/channel/UCFnVQ6Rc5fXIzvOSPUR8UKw|</t>
  </si>
  <si>
    <t>#AzureFlameStudio OR "Azure Flame Studio"</t>
  </si>
  <si>
    <t>#AlessandroBenedettini | "Alessandro Benedettini"</t>
  </si>
  <si>
    <r>
      <rPr>
        <rFont val="Arial"/>
        <color rgb="FF000000"/>
      </rPr>
      <t>https://www.youtube.com/channel/UC89GbUNw-dJvQvBAzYIKHkQ</t>
    </r>
    <r>
      <rPr>
        <rFont val="Arial"/>
        <color rgb="FF000000"/>
      </rPr>
      <t>|</t>
    </r>
  </si>
  <si>
    <t>Developer - Alexey Roenko</t>
  </si>
  <si>
    <t>Baba Yaga Games</t>
  </si>
  <si>
    <r>
      <rPr>
        <rFont val="Calibri, sans-serif"/>
        <color rgb="FF000000"/>
        <sz val="10.0"/>
        <u/>
      </rPr>
      <t>https://www.youtube.com/channel/UCDTxPgce1VobTVocHq1AyNQ</t>
    </r>
    <r>
      <rPr>
        <rFont val="Calibri, sans-serif"/>
        <color rgb="FF000000"/>
        <sz val="10.0"/>
      </rPr>
      <t>|</t>
    </r>
  </si>
  <si>
    <t>#BabaYagaGames OR "Baba Yaga Games"</t>
  </si>
  <si>
    <t>#AlexeyRoenko | "Alexey Roenko"</t>
  </si>
  <si>
    <t>Developer - Alfa System</t>
  </si>
  <si>
    <t>#AlfaSystem OR "Alfa System"</t>
  </si>
  <si>
    <t>Bacon Bandit Games</t>
  </si>
  <si>
    <t>https://www.youtube.com/channel/UCJjr_2DqaIW9TWlNJFn296A|</t>
  </si>
  <si>
    <t>#BaconBanditGames OR "Bacon Bandit Games"</t>
  </si>
  <si>
    <t>#AlfaSystem | "Alfa System"</t>
  </si>
  <si>
    <t>Developer - Alien Pixel Studios</t>
  </si>
  <si>
    <t>#AlienPixelStudios OR "Alien Pixel Studios"</t>
  </si>
  <si>
    <t>BadFly Interactive</t>
  </si>
  <si>
    <t>#BadFlyInteractive OR "BadFly Interactive"</t>
  </si>
  <si>
    <t>#AlienPixelStudios | "Alien Pixel Studios"</t>
  </si>
  <si>
    <t>https://www.youtube.com/channel/UCB-TyV7bB5fy_wbSA_zm2TQ|</t>
  </si>
  <si>
    <t>Developer - Alientrap</t>
  </si>
  <si>
    <t>BadFly Interactive, a.s</t>
  </si>
  <si>
    <t>#BadFlyInteractiveas OR "BadFly Interactive, a.s"</t>
  </si>
  <si>
    <t>#Alientrap | "Alientrap"</t>
  </si>
  <si>
    <t>Developer - Alkemi Games</t>
  </si>
  <si>
    <t>#AlkemiGames OR "Alkemi Games"</t>
  </si>
  <si>
    <t>Badland Games</t>
  </si>
  <si>
    <t>https://www.youtube.com/channel/UCPHKR85wRPv9Z1Yb_R-7s0g|</t>
  </si>
  <si>
    <t>#BadlandGames OR "Badland Games"</t>
  </si>
  <si>
    <t>#AlkemiGames | "Alkemi Games"</t>
  </si>
  <si>
    <r>
      <rPr>
        <rFont val="Arial"/>
        <color rgb="FF000000"/>
      </rPr>
      <t>https://www.youtube.com/channel/UCmNuuw_OQWmEqN4dX_iDpVw</t>
    </r>
    <r>
      <rPr>
        <rFont val="Arial"/>
        <color rgb="FF000000"/>
      </rPr>
      <t>|</t>
    </r>
  </si>
  <si>
    <t>Developer - All in! Games</t>
  </si>
  <si>
    <t>Badland Indie</t>
  </si>
  <si>
    <t>#BadlandIndie OR "Badland Indie"</t>
  </si>
  <si>
    <t>#AllinGames | "All in! Games"</t>
  </si>
  <si>
    <t>Developer - Alliance Digital Media</t>
  </si>
  <si>
    <t>BadLand Publishing</t>
  </si>
  <si>
    <t>#BadLandPublishing OR "BadLand Publishing"</t>
  </si>
  <si>
    <t>#AllianceDigitalMedia | "Alliance Digital Media"</t>
  </si>
  <si>
    <t>Developer - Allods Team Arcade</t>
  </si>
  <si>
    <t>#AllodsTeamArcade OR "Allods Team Arcade"</t>
  </si>
  <si>
    <t>Badri Bebua</t>
  </si>
  <si>
    <t>#BadriBebua OR "Badri Bebua"</t>
  </si>
  <si>
    <t>#AllodsTeamArcade | "Allods Team Arcade"</t>
  </si>
  <si>
    <t>Developer - Alphawolf Software Limited</t>
  </si>
  <si>
    <t>Baltoro Games</t>
  </si>
  <si>
    <t>https://www.youtube.com/user/BaltoroGames|</t>
  </si>
  <si>
    <t>#BaltoroGames OR "Baltoro Games"</t>
  </si>
  <si>
    <t>#AlphawolfSoftwareLimited | "Alphawolf Software Limited"</t>
  </si>
  <si>
    <t>Developer - AlPixel Games</t>
  </si>
  <si>
    <t>#AlPixelGames OR "AlPixel Games"</t>
  </si>
  <si>
    <t>Bandai</t>
  </si>
  <si>
    <t>https://www.youtube.com/channel/UCdHXJI6TrxoAJ3hEKH36tjQ|</t>
  </si>
  <si>
    <t>#Bandai OR "Bandai"</t>
  </si>
  <si>
    <t>#AlPixelGames | "AlPixel Games"</t>
  </si>
  <si>
    <t>https://www.youtube.com/channel/UCKpmeR0Ud5xYRpM0m_yuNdQ|</t>
  </si>
  <si>
    <t>Developer - Altered Matter</t>
  </si>
  <si>
    <t>Bandai Namco Games</t>
  </si>
  <si>
    <t>https://www.youtube.com/channel/UCqly9F4Fr_jf2Y1Cy5hacRg|</t>
  </si>
  <si>
    <t>#BandaiNamcoGames OR "Bandai Namco Games"</t>
  </si>
  <si>
    <t>#AlteredMatter | "Altered Matter"</t>
  </si>
  <si>
    <t>Developer - Alterego Games</t>
  </si>
  <si>
    <t>#AlteregoGames OR "Alterego Games"</t>
  </si>
  <si>
    <t>Baobab Studios Inc.</t>
  </si>
  <si>
    <t>https://www.youtube.com/channel/UCQ3o8kIMsenaKpQE0x3a3Cw|</t>
  </si>
  <si>
    <t>#BaobabStudiosInc OR "Baobab Studios"</t>
  </si>
  <si>
    <t>#AlteregoGames | "Alterego Games"</t>
  </si>
  <si>
    <t>https://www.youtube.com/channel/UC9jmq91508E2h-8Y-90PZ0g|</t>
  </si>
  <si>
    <t>Developer - Alvaro Games</t>
  </si>
  <si>
    <t>#AlvaroGames OR "Alvaro Games"</t>
  </si>
  <si>
    <t>Bare Knuckle Development</t>
  </si>
  <si>
    <t>https://www.youtube.com/channel/UCNUdbS6XN_nXAIb8do3DEnA|</t>
  </si>
  <si>
    <t>#BareKnuckleDevelopment OR "Bare Knuckle Development"</t>
  </si>
  <si>
    <t>#AlvaroGames | "Alvaro Games"</t>
  </si>
  <si>
    <t>Developer - Amanita Design</t>
  </si>
  <si>
    <t>Bat Country Games</t>
  </si>
  <si>
    <t>https://www.youtube.com/user/batcountrygames|</t>
  </si>
  <si>
    <t>#BatCountryGames OR "Bat Country Games"</t>
  </si>
  <si>
    <t>#AmanitaDesign | "Amanita Design"</t>
  </si>
  <si>
    <t>Developer - Amazon Game Studios</t>
  </si>
  <si>
    <t>Battenberg Software</t>
  </si>
  <si>
    <t>https://www.youtube.com/user/BattenbergSoftware|</t>
  </si>
  <si>
    <t>#BattenbergSoftware OR "Battenberg Software"</t>
  </si>
  <si>
    <t>#AmazonGameStudios | "Amazon Game Studios"</t>
  </si>
  <si>
    <t>Developer - Amethyst Games</t>
  </si>
  <si>
    <t>Baumsoft</t>
  </si>
  <si>
    <t>#Baumsoft OR "Baumsoft"</t>
  </si>
  <si>
    <t>#AmethystGames | "Amethyst Games"</t>
  </si>
  <si>
    <t>Developer - Ametist Studio</t>
  </si>
  <si>
    <t>#AmetistStudio OR "Ametist Studio"</t>
  </si>
  <si>
    <t>BBG Entertainment GmbH</t>
  </si>
  <si>
    <t>https://www.youtube.com/user/bbgentertainmentgmbh|</t>
  </si>
  <si>
    <t>#BBGEntertainmentGmbH OR "BBG Entertainment GmbH"</t>
  </si>
  <si>
    <t>#AmetistStudio | "Ametist Studio"</t>
  </si>
  <si>
    <t>Developer - Amplify Creations</t>
  </si>
  <si>
    <t>#AmplifyCreations OR "Amplify Creations"</t>
  </si>
  <si>
    <t>Beard Games Studio</t>
  </si>
  <si>
    <t>https://www.youtube.com/channel/UC6vanG9YDB9494bWtmWURgw|</t>
  </si>
  <si>
    <t>#BeardGamesStudio OR "Beard Games Studio"</t>
  </si>
  <si>
    <t>#AmplifyCreations | "Amplify Creations"</t>
  </si>
  <si>
    <t>https://www.youtube.com/user/amplifycreates|</t>
  </si>
  <si>
    <t>Developer - Amplitude Studios</t>
  </si>
  <si>
    <t>Bearded Boy Productions</t>
  </si>
  <si>
    <t>https://www.youtube.com/channel/UCAReOw4kCD9E2cDaUl0UwRQ|</t>
  </si>
  <si>
    <t>#BeardedBoyProductions OR "Bearded Boy Productions"</t>
  </si>
  <si>
    <t>#AmplitudeStudios | "Amplitude Studios"</t>
  </si>
  <si>
    <t>Developer - Analgesic Productions</t>
  </si>
  <si>
    <t>#AnalgesicProductions OR "Analgesic Productions"</t>
  </si>
  <si>
    <t>Beat Games s.r.o.</t>
  </si>
  <si>
    <t>#BeatGamessro OR "Beat Games s.r.o."</t>
  </si>
  <si>
    <t>#AnalgesicProductions | "Analgesic Productions"</t>
  </si>
  <si>
    <t>https://www.youtube.com/channel/UCqHkAE4NeLqeNfskowzycww|</t>
  </si>
  <si>
    <t>Developer - Anarteam</t>
  </si>
  <si>
    <t>Beatshapers</t>
  </si>
  <si>
    <t>https://www.youtube.com/channel/UCQP6JlAq9VnRHN3dwUUAAUQ|</t>
  </si>
  <si>
    <t>#Beatshapers OR "Beatshapers"</t>
  </si>
  <si>
    <t>#Anarteam | "Anarteam"</t>
  </si>
  <si>
    <r>
      <rPr>
        <rFont val="Arial"/>
        <color rgb="FF000000"/>
      </rPr>
      <t>https://www.youtube.com/channel/UCgC-17E5lri6tTSdTaxHbbw</t>
    </r>
    <r>
      <rPr>
        <rFont val="Arial"/>
        <color rgb="FF000000"/>
      </rPr>
      <t>|</t>
    </r>
  </si>
  <si>
    <t>Developer - Andrade Games</t>
  </si>
  <si>
    <t>#AndradeGames OR "Andrade Games"</t>
  </si>
  <si>
    <t>Bedtime Digital Games</t>
  </si>
  <si>
    <t>https://www.youtube.com/channel/UCGF4uuNcmpX6XEvHFGwtywg|</t>
  </si>
  <si>
    <t>#BedtimeDigitalGames OR "Bedtime Digital Games"</t>
  </si>
  <si>
    <t>#AndradeGames | "Andrade Games"</t>
  </si>
  <si>
    <t>https://www.youtube.com/channel/UCxpGAzvQEC2Sz3qK3tp1ygg|</t>
  </si>
  <si>
    <t>Developer - Andreil Game</t>
  </si>
  <si>
    <t>Beep Games, Inc.</t>
  </si>
  <si>
    <t>#BeepGamesInc OR "Beep Games,"</t>
  </si>
  <si>
    <t>#AndreilGame | "Andreil Game"</t>
  </si>
  <si>
    <r>
      <rPr>
        <rFont val="Arial"/>
        <color rgb="FF000000"/>
      </rPr>
      <t>https://www.youtube.com/channel/UCPKrOheZGudYrth2TGsOxpg</t>
    </r>
    <r>
      <rPr>
        <rFont val="Arial"/>
        <color rgb="FF000000"/>
      </rPr>
      <t>|</t>
    </r>
  </si>
  <si>
    <t>Developer - Anefiox</t>
  </si>
  <si>
    <t>Behaviour Interactive</t>
  </si>
  <si>
    <t>https://www.youtube.com/user/BehaviourInteractive|</t>
  </si>
  <si>
    <t>#BehaviourInteractive OR "Behaviour Interactive"</t>
  </si>
  <si>
    <t>#Anefiox | "Anefiox"</t>
  </si>
  <si>
    <t>Developer - Angry Demon Studio</t>
  </si>
  <si>
    <t>#AngryDemonStudio OR "Angry Demon Studio"</t>
  </si>
  <si>
    <t>Behold Studios</t>
  </si>
  <si>
    <t>https://www.youtube.com/user/beholdstudios|</t>
  </si>
  <si>
    <t>#BeholdStudios OR "Behold Studios"</t>
  </si>
  <si>
    <t>#AngryDemonStudio | "Angry Demon Studio"</t>
  </si>
  <si>
    <t>https://www.youtube.com/channel/UCdwmJ7d5AUeesUTuY3PyQVg|</t>
  </si>
  <si>
    <t>Developer - Angry Mob Games</t>
  </si>
  <si>
    <t>Beijing Litchi Culture Media Co., Ltd.</t>
  </si>
  <si>
    <t>#BeijingLitchiCultureMediaCoLtd OR "Beijing Litchi Culture Media Co"</t>
  </si>
  <si>
    <t>#AngryMobGames | "Angry Mob Games"</t>
  </si>
  <si>
    <t>Developer - Anima Project</t>
  </si>
  <si>
    <t>#AnimaProject OR "Anima Project"</t>
  </si>
  <si>
    <t>BEIJING WANSIWEI</t>
  </si>
  <si>
    <t>#BEIJINGWANSIWEI OR "BEIJING WANSIWEI"</t>
  </si>
  <si>
    <t>#AnimaProject | "Anima Project"</t>
  </si>
  <si>
    <t>https://www.youtube.com/channel/UCNtuwu1I7zxrbxC4kN0aLdA|</t>
  </si>
  <si>
    <t>Developer - Ant Workshop</t>
  </si>
  <si>
    <t>BELKA SRL</t>
  </si>
  <si>
    <t>#BELKASRL OR "BELKA SRL"</t>
  </si>
  <si>
    <t>#AntWorkshop | "Ant Workshop"</t>
  </si>
  <si>
    <t>Developer - Ant Workshop Ltd</t>
  </si>
  <si>
    <t>Benjamin Lochmann New Media GmbH</t>
  </si>
  <si>
    <t>#BenjaminLochmannNewMediaGmbH OR "Benjamin Lochmann New Media GmbH"</t>
  </si>
  <si>
    <t>#AntWorkshopLtd | "Ant Workshop Ltd"</t>
  </si>
  <si>
    <t>Developer - Antab</t>
  </si>
  <si>
    <t>#Antab OR "Antab"</t>
  </si>
  <si>
    <t>Benjamin Rivers</t>
  </si>
  <si>
    <t>https://www.youtube.com/channel/UCe3Z3IFSkvNTyG3sc_FZF5A|</t>
  </si>
  <si>
    <t>#BenjaminRivers OR "Benjamin Rivers"</t>
  </si>
  <si>
    <t>#Antab | "Antab"</t>
  </si>
  <si>
    <t>https://www.youtube.com/channel/UCkDCAeSAaM9n7PcfLhn7HaQ|</t>
  </si>
  <si>
    <t>Developer - Antagonist</t>
  </si>
  <si>
    <t>BenjiSoft</t>
  </si>
  <si>
    <r>
      <rPr>
        <rFont val="Calibri, sans-serif"/>
        <color rgb="FF000000"/>
        <sz val="10.0"/>
        <u/>
      </rPr>
      <t>https://www.youtube.com/channel/UCMomMwYS4w8S2TIyiTzbOcg</t>
    </r>
    <r>
      <rPr>
        <rFont val="Calibri, sans-serif"/>
        <color rgb="FF000000"/>
        <sz val="10.0"/>
      </rPr>
      <t>|</t>
    </r>
  </si>
  <si>
    <t>#BenjiSoft OR "BenjiSoft"</t>
  </si>
  <si>
    <t>#Antagonist | "Antagonist"</t>
  </si>
  <si>
    <t>Developer - Antena</t>
  </si>
  <si>
    <t>#Antena OR "Antena"</t>
  </si>
  <si>
    <t>Beret Applications LLC</t>
  </si>
  <si>
    <t>#BeretApplicationsLLC OR "Beret Applications LLC"</t>
  </si>
  <si>
    <t>#Antena | "Antena"</t>
  </si>
  <si>
    <t>https://www.youtube.com/channel/UCQLidcJVf6cW__kQABrO2dw|</t>
  </si>
  <si>
    <t>Developer - AntiCrunch Studios</t>
  </si>
  <si>
    <t>Bernardo Zamora</t>
  </si>
  <si>
    <t>#BernardoZamora OR "Bernardo Zamora"</t>
  </si>
  <si>
    <t>#AntiCrunchStudios | "AntiCrunch Studios"</t>
  </si>
  <si>
    <t>Developer - Anticto</t>
  </si>
  <si>
    <t>Berzerk Studio</t>
  </si>
  <si>
    <t>https://www.youtube.com/user/BerzerkStudio|</t>
  </si>
  <si>
    <t>#BerzerkStudio OR "Berzerk Studio"</t>
  </si>
  <si>
    <t>#Anticto | "Anticto"</t>
  </si>
  <si>
    <t>Developer - Antonio A Santiago</t>
  </si>
  <si>
    <t>#AntonioASantiago OR "Antonio A Santiago"</t>
  </si>
  <si>
    <t>BetaDwarf</t>
  </si>
  <si>
    <t>https://www.youtube.com/channel/UCjhwA3l54_aC61EvtjElHWw|</t>
  </si>
  <si>
    <t>#BetaDwarf OR "BetaDwarf"</t>
  </si>
  <si>
    <t>#AntonioASantiago | "Antonio A Santiago"</t>
  </si>
  <si>
    <t>Developer - Antti Vaihia</t>
  </si>
  <si>
    <t>#AnttiVaihia OR "Antti Vaihia"</t>
  </si>
  <si>
    <t>Bethesda Game Studios</t>
  </si>
  <si>
    <t>https://www.youtube.com/channel/UCvZHe-SP3xC7DdOk4Ri8QBw|</t>
  </si>
  <si>
    <t>#BethesdaGameStudios OR "Bethesda Game Studios"</t>
  </si>
  <si>
    <t>#AnttiVaihia | "Antti Vaihia"</t>
  </si>
  <si>
    <t>Developer - Anuman Interactive</t>
  </si>
  <si>
    <t>Bethesda Softworks</t>
  </si>
  <si>
    <t>https://www.youtube.com/user/BethesdaSoftworks|</t>
  </si>
  <si>
    <t>#BethesdaSoftworks OR "Bethesda Softworks"</t>
  </si>
  <si>
    <t>#AnumanInteractive | "Anuman Interactive"</t>
  </si>
  <si>
    <t>Developer - AOne Games</t>
  </si>
  <si>
    <t>BhDevStudio</t>
  </si>
  <si>
    <t>#BhDevStudio OR "BhDevStudio"</t>
  </si>
  <si>
    <t>#AOneGames | "AOne Games"</t>
  </si>
  <si>
    <t>Developer - Ape Apps</t>
  </si>
  <si>
    <t>Bicycle Foundation</t>
  </si>
  <si>
    <t>#BicycleFoundation OR "Bicycle Foundation"</t>
  </si>
  <si>
    <t>#ApeApps | "Ape Apps"</t>
  </si>
  <si>
    <r>
      <rPr>
        <rFont val="Arial"/>
        <color rgb="FF000000"/>
      </rPr>
      <t>https://www.youtube.com/channel/UCVNWIur-Avl67CxwNHk6R_Q</t>
    </r>
    <r>
      <rPr>
        <rFont val="Arial"/>
        <color rgb="FF000000"/>
      </rPr>
      <t>|</t>
    </r>
  </si>
  <si>
    <t>Developer - Ape Tribe Games</t>
  </si>
  <si>
    <t>#ApeTribeGames OR "Ape Tribe Games"</t>
  </si>
  <si>
    <t>Bifrost Entertainment</t>
  </si>
  <si>
    <t>https://www.youtube.com/channel/UCVpa7zE-wgehYZJ3F3yUFDA|</t>
  </si>
  <si>
    <t>#BifrostEntertainment OR "Bifrost Entertainment"</t>
  </si>
  <si>
    <t>#ApeTribeGames | "Ape Tribe Games"</t>
  </si>
  <si>
    <r>
      <rPr>
        <rFont val="Arial"/>
        <color rgb="FF000000"/>
      </rPr>
      <t>https://www.youtube.com/channel/UCg9WOddUoKJPFWB0zJf91QQ</t>
    </r>
    <r>
      <rPr>
        <rFont val="Arial"/>
        <color rgb="FF000000"/>
      </rPr>
      <t>|</t>
    </r>
  </si>
  <si>
    <t>Developer - Appeal</t>
  </si>
  <si>
    <t>#Appeal OR "Appeal"</t>
  </si>
  <si>
    <t>Big Ant Studios</t>
  </si>
  <si>
    <t>#Appeal | "Appeal"</t>
  </si>
  <si>
    <t>https://www.youtube.com/channel/UCnNoqkhsdjqyfzUz-3B1vzA|</t>
  </si>
  <si>
    <t>Developer - Appeal Studio</t>
  </si>
  <si>
    <t>#AppealStudio OR "Appeal Studio"</t>
  </si>
  <si>
    <t>Big Ben Interactive</t>
  </si>
  <si>
    <t>https://www.youtube.com/user/bigbeninteractiveeu|</t>
  </si>
  <si>
    <t>#BigBenInteractive OR "Big Ben Interactive"</t>
  </si>
  <si>
    <t>#AppealStudio | "Appeal Studio"</t>
  </si>
  <si>
    <t>Developer - Applava</t>
  </si>
  <si>
    <t>Big Blue Bubble Inc.</t>
  </si>
  <si>
    <t>https://www.youtube.com/channel/UCFJePfVDSSMBaowmYPQzJZg|</t>
  </si>
  <si>
    <t>#BigBlueBubbleInc OR "Big Blue Bubble"</t>
  </si>
  <si>
    <t>#Applava | "Applava"</t>
  </si>
  <si>
    <t>Developer - Appliks Apps Studios</t>
  </si>
  <si>
    <t>Big Cheese Studio</t>
  </si>
  <si>
    <t>https://www.youtube.com/channel/UCju9y5jmeZ7qPkR21sLQ6lQ|</t>
  </si>
  <si>
    <t>#BigCheeseStudio OR "Big Cheese Studio"</t>
  </si>
  <si>
    <t>#AppliksAppsStudios | "Appliks Apps Studios"</t>
  </si>
  <si>
    <t>Developer - Applimazing</t>
  </si>
  <si>
    <t>Big Fish Games</t>
  </si>
  <si>
    <t>https://www.youtube.com/channel/UCHSauBGVrjyfpWCjfNVvmng|</t>
  </si>
  <si>
    <t>#BigFishGames OR "Big Fish Games"</t>
  </si>
  <si>
    <t>#Applimazing | "Applimazing"</t>
  </si>
  <si>
    <t>Developer - Appnormals Team</t>
  </si>
  <si>
    <t>#AppnormalsTeam OR "Appnormals Team"</t>
  </si>
  <si>
    <t>Big Ibby</t>
  </si>
  <si>
    <t>#BigIbby OR "Big Ibby"</t>
  </si>
  <si>
    <t>#AppnormalsTeam | "Appnormals Team"</t>
  </si>
  <si>
    <r>
      <rPr>
        <rFont val="Arial"/>
        <color rgb="FF000000"/>
      </rPr>
      <t>https://www.youtube.com/channel/UCmuOwulI7TUKZKIpHGu6CkQ</t>
    </r>
    <r>
      <rPr>
        <rFont val="Arial"/>
        <color rgb="FF000000"/>
      </rPr>
      <t>|</t>
    </r>
  </si>
  <si>
    <t>Developer - Aquiris Game Studio</t>
  </si>
  <si>
    <t>Big Pixel Studios</t>
  </si>
  <si>
    <t>https://www.youtube.com/user/BigPixelStudios|</t>
  </si>
  <si>
    <t>#BigPixelStudios OR "Big Pixel Studios"</t>
  </si>
  <si>
    <t>#AquirisGameStudio | "Aquiris Game Studio"</t>
  </si>
  <si>
    <t>Developer - Arc System Works</t>
  </si>
  <si>
    <t>Big Red Button Entertainment</t>
  </si>
  <si>
    <t>https://www.youtube.com/channel/UC-IAnAg2eD_qboHpjQQlV-A|</t>
  </si>
  <si>
    <t>#BigRedButtonEntertainment OR "Big Red Button Entertainment"</t>
  </si>
  <si>
    <t>#ArcSystemWorks | "Arc System Works"</t>
  </si>
  <si>
    <t>Developer - Arcade Distillery</t>
  </si>
  <si>
    <t>Big Sugar</t>
  </si>
  <si>
    <t>https://www.youtube.com/channel/UCl5LGQGgdkbyL5nCLjwbhpg|</t>
  </si>
  <si>
    <t>#BigSugar OR "Big Sugar"</t>
  </si>
  <si>
    <t>#ArcadeDistillery | "Arcade Distillery"</t>
  </si>
  <si>
    <t>Developer - Archon Interactive</t>
  </si>
  <si>
    <t>#ArchonInteractive OR "Archon Interactive"</t>
  </si>
  <si>
    <t>Big Sugar Films</t>
  </si>
  <si>
    <t>#BigSugarFilms OR "Big Sugar Films"</t>
  </si>
  <si>
    <t>#ArchonInteractive | "Archon Interactive"</t>
  </si>
  <si>
    <r>
      <rPr>
        <rFont val="Arial"/>
        <color rgb="FF000000"/>
      </rPr>
      <t>https://www.youtube.com/channel/UC_iofQUkKnfiFFvcB6gy2uw</t>
    </r>
    <r>
      <rPr>
        <rFont val="Arial"/>
        <color rgb="FF000000"/>
      </rPr>
      <t>|</t>
    </r>
  </si>
  <si>
    <t>Developer - ArcticNet</t>
  </si>
  <si>
    <t>#ArcticNet OR "ArcticNet"</t>
  </si>
  <si>
    <t>Big Village Games</t>
  </si>
  <si>
    <t>https://www.youtube.com/channel/UCi2YcZLfJoUVMq7l0c1BLVw|</t>
  </si>
  <si>
    <t>#BigVillageGames OR "Big Village Games"</t>
  </si>
  <si>
    <t>#ArcticNet | "ArcticNet"</t>
  </si>
  <si>
    <t>https://www.youtube.com/channel/UCOX8uEMcLjc4ivKhuoOyKUw|</t>
  </si>
  <si>
    <t>Developer - Ares Games</t>
  </si>
  <si>
    <t>#AresGames OR "Ares Games"</t>
  </si>
  <si>
    <t>Big Way</t>
  </si>
  <si>
    <t>https://www.youtube.com/channel/UCwarkc30cmYHSLIDeHh6WPQ|</t>
  </si>
  <si>
    <t>#BigWay OR "Big Way"</t>
  </si>
  <si>
    <t>#AresGames | "Ares Games"</t>
  </si>
  <si>
    <t>https://www.youtube.com/channel/UCgUX670u79EFMGCZoQc9NSg|</t>
  </si>
  <si>
    <t>Developer - Argus Games</t>
  </si>
  <si>
    <t>Bigben Games</t>
  </si>
  <si>
    <r>
      <rPr>
        <rFont val="Calibri, sans-serif"/>
        <color rgb="FF000000"/>
        <sz val="10.0"/>
        <u/>
      </rPr>
      <t>https://www.youtube.com/channel/UCfYhBl_F3oop5_diTW_lXMw</t>
    </r>
    <r>
      <rPr>
        <rFont val="Calibri, sans-serif"/>
        <color rgb="FF000000"/>
        <sz val="10.0"/>
      </rPr>
      <t>|</t>
    </r>
  </si>
  <si>
    <t>#BigbenGames OR "Bigben Games"</t>
  </si>
  <si>
    <t>#ArgusGames | "Argus Games"</t>
  </si>
  <si>
    <t>Developer - Arkane Studios</t>
  </si>
  <si>
    <t>#ArkaneStudios OR "Arkane Studios"</t>
  </si>
  <si>
    <t>Bigben Interactive</t>
  </si>
  <si>
    <t>https://www.youtube.com/channel/UCAkLzy6vTtyn9hMMGFzXfEA|</t>
  </si>
  <si>
    <t>#BigbenInteractive OR "Bigben Interactive"</t>
  </si>
  <si>
    <t>#ArkaneStudios | "Arkane Studios"</t>
  </si>
  <si>
    <t>Developer - Armatur Games</t>
  </si>
  <si>
    <t>#ArmaturGames OR "Armatur Games"</t>
  </si>
  <si>
    <t>BigBox VR</t>
  </si>
  <si>
    <r>
      <rPr>
        <rFont val="Calibri, sans-serif"/>
        <color rgb="FF000000"/>
        <sz val="10.0"/>
        <u/>
      </rPr>
      <t>https://www.youtube.com/channel/UCuqIgbOx3zUp4KP8LqK1PxQ</t>
    </r>
    <r>
      <rPr>
        <rFont val="Calibri, sans-serif"/>
        <color rgb="FF000000"/>
        <sz val="10.0"/>
      </rPr>
      <t>|</t>
    </r>
  </si>
  <si>
    <t>#BigBoxVR OR "BigBox VR"</t>
  </si>
  <si>
    <t>#ArmaturGames | "Armatur Games"</t>
  </si>
  <si>
    <t>https://www.youtube.com/channel/UCZp6AcJbSPVNPHBx1cC3Esw|</t>
  </si>
  <si>
    <t>Developer - Armature Studio</t>
  </si>
  <si>
    <t>BigBox VR, Inc.</t>
  </si>
  <si>
    <r>
      <rPr>
        <rFont val="Calibri, sans-serif"/>
        <color rgb="FF000000"/>
        <sz val="10.0"/>
        <u/>
      </rPr>
      <t>https://www.youtube.com/channel/UCuqIgbOx3zUp4KP8LqK1PxQ</t>
    </r>
    <r>
      <rPr>
        <rFont val="Calibri, sans-serif"/>
        <color rgb="FF000000"/>
        <sz val="10.0"/>
      </rPr>
      <t>|</t>
    </r>
  </si>
  <si>
    <t>#BigBoxVRInc OR "BigBox VR,"</t>
  </si>
  <si>
    <t>#ArmatureStudio | "Armature Studio"</t>
  </si>
  <si>
    <t>Developer - Armor Games</t>
  </si>
  <si>
    <t>BIGLOTGAMES</t>
  </si>
  <si>
    <t>#BIGLOTGAMES OR "BIGLOTGAMES"</t>
  </si>
  <si>
    <t>#ArmorGames | "Armor Games"</t>
  </si>
  <si>
    <t>Developer - Arrowiz</t>
  </si>
  <si>
    <t>Bigmoon Entertainment</t>
  </si>
  <si>
    <t>https://www.youtube.com/channel/UCce83bq8XLRQKpeIcMQhN2w|</t>
  </si>
  <si>
    <t>#BigmoonEntertainment OR "Bigmoon Entertainment"</t>
  </si>
  <si>
    <t>#Arrowiz | "Arrowiz"</t>
  </si>
  <si>
    <t>Developer - Art Games Studio S.A.</t>
  </si>
  <si>
    <t>bilibili</t>
  </si>
  <si>
    <t>https://www.youtube.com/channel/UCQFyMGc6h30NMCd6HCk0ZPA|</t>
  </si>
  <si>
    <t>#bilibili OR "bilibili"</t>
  </si>
  <si>
    <t>#ArtGamesStudioSA | "Art Games Studio S.A."</t>
  </si>
  <si>
    <t>Developer - Art in Heart</t>
  </si>
  <si>
    <t>#ArtinHeart OR "Art in Heart"</t>
  </si>
  <si>
    <t>BillyGoat Entertainment Ltd</t>
  </si>
  <si>
    <t>https://www.youtube.com/user/billygoattv|</t>
  </si>
  <si>
    <t>#BillyGoatEntertainmentLtd OR "BillyGoat Entertainment Ltd"</t>
  </si>
  <si>
    <t>#ArtinHeart | "Art in Heart"</t>
  </si>
  <si>
    <t>Developer - Artalasky</t>
  </si>
  <si>
    <t>#Artalasky OR "Artalasky"</t>
  </si>
  <si>
    <t>Bimboosoft</t>
  </si>
  <si>
    <t>https://www.youtube.com/channel/UCss3VoKmZ8VFvY6D3gyvz9w|</t>
  </si>
  <si>
    <t>#Bimboosoft OR "Bimboosoft"</t>
  </si>
  <si>
    <t>#Artalasky | "Artalasky"</t>
  </si>
  <si>
    <r>
      <rPr>
        <rFont val="Arial"/>
        <color rgb="FF000000"/>
      </rPr>
      <t>https://www.youtube.com/channel/UC1QkejUSZjFfNhoMjISVJMA</t>
    </r>
    <r>
      <rPr>
        <rFont val="Arial"/>
        <color rgb="FF000000"/>
      </rPr>
      <t>|</t>
    </r>
  </si>
  <si>
    <t>Developer - Artax Games</t>
  </si>
  <si>
    <t>#ArtaxGames OR "Artax Games"</t>
  </si>
  <si>
    <t>Bimo Entertainment</t>
  </si>
  <si>
    <t>#BimoEntertainment OR "Bimo Entertainment"</t>
  </si>
  <si>
    <t>#ArtaxGames | "Artax Games"</t>
  </si>
  <si>
    <t>https://www.youtube.com/channel/UC1bNARlADkUWqrFrON0Ff4A|</t>
  </si>
  <si>
    <t>Developer - Artbox Games</t>
  </si>
  <si>
    <t>Binarie</t>
  </si>
  <si>
    <t>#Binarie OR "Binarie"</t>
  </si>
  <si>
    <t>#ArtboxGames | "Artbox Games"</t>
  </si>
  <si>
    <t>Developer - Artefacts Studio</t>
  </si>
  <si>
    <t>#ArtefactsStudio OR "Artefacts Studio"</t>
  </si>
  <si>
    <t>Binary Haze Interactive</t>
  </si>
  <si>
    <t>https://www.youtube.com/channel/UCK8-3pjkvRHK0FTKql620AQ|</t>
  </si>
  <si>
    <t>#BinaryHazeInteractive OR "Binary Haze Interactive"</t>
  </si>
  <si>
    <t>#ArtefactsStudio | "Artefacts Studio"</t>
  </si>
  <si>
    <t>Developer - ArticNet</t>
  </si>
  <si>
    <t>#ArticNet OR "ArticNet"</t>
  </si>
  <si>
    <t>Bionic Pony</t>
  </si>
  <si>
    <t>https://www.youtube.com/user/WrongThemeSong|</t>
  </si>
  <si>
    <t>#BionicPony OR "Bionic Pony"</t>
  </si>
  <si>
    <t>#ArticNet | "ArticNet"</t>
  </si>
  <si>
    <r>
      <rPr>
        <rFont val="Arial"/>
        <color rgb="FF000000"/>
      </rPr>
      <t>https://www.youtube.com/channel/UCKPdcAMkRgnLnjQPiweIJuw</t>
    </r>
    <r>
      <rPr>
        <rFont val="Arial"/>
        <color rgb="FF000000"/>
      </rPr>
      <t>|</t>
    </r>
  </si>
  <si>
    <t>Developer - Artifex Mundi</t>
  </si>
  <si>
    <t>BioWare</t>
  </si>
  <si>
    <t>https://www.youtube.com/channel/UCePE_9yUaBe478B_CuCBcoA|</t>
  </si>
  <si>
    <t>#BioWare OR "BioWare"</t>
  </si>
  <si>
    <t>#ArtifexMundi | "Artifex Mundi"</t>
  </si>
  <si>
    <t>Developer - ARTillery</t>
  </si>
  <si>
    <t>#ARTillery OR "ARTillery"</t>
  </si>
  <si>
    <t>Bit Dragon</t>
  </si>
  <si>
    <t>#BitDragon OR "Bit Dragon"</t>
  </si>
  <si>
    <t>#ARTillery | "ARTillery"</t>
  </si>
  <si>
    <t>https://www.youtube.com/channel/UCvaydCzoxzC4bRui5SLEEuw/featured|</t>
  </si>
  <si>
    <t>Developer - Artisan Studios</t>
  </si>
  <si>
    <t>#ArtisanStudios OR "Artisan Studios"</t>
  </si>
  <si>
    <t>Bit Planet Games, LLC</t>
  </si>
  <si>
    <t>https://www.youtube.com/channel/UCU-jJm5_-56fGuznAyM2E4w|</t>
  </si>
  <si>
    <t>#BitPlanetGamesLLC OR "Bit Planet Games"</t>
  </si>
  <si>
    <t>#ArtisanStudios | "Artisan Studios"</t>
  </si>
  <si>
    <r>
      <rPr>
        <rFont val="Arial"/>
        <color rgb="FF000000"/>
      </rPr>
      <t>https://www.youtube.com/channel/UCwE50SGCBM8un1f6WvC4ESg</t>
    </r>
    <r>
      <rPr>
        <rFont val="Arial"/>
        <color rgb="FF000000"/>
      </rPr>
      <t>|</t>
    </r>
  </si>
  <si>
    <t>Developer - ArtPlay</t>
  </si>
  <si>
    <t>#ArtPlay OR "ArtPlay"</t>
  </si>
  <si>
    <t>BitCake Studio</t>
  </si>
  <si>
    <t>https://www.youtube.com/channel/UCxoBlpwaBUZVNS0TILQa-TQ|</t>
  </si>
  <si>
    <t>#BitCakeStudio OR "BitCake Studio"</t>
  </si>
  <si>
    <t>#ArtPlay | "ArtPlay"</t>
  </si>
  <si>
    <t>https://www.youtube.com/channel/UCOU-IZLwstnFKxX3m3_P4fQ|</t>
  </si>
  <si>
    <t>Developer - ARTVISION GAMES</t>
  </si>
  <si>
    <t>bitComposer</t>
  </si>
  <si>
    <t>https://www.youtube.com/channel/UCYnaybCSHZEySJhfmUpH9RQ|</t>
  </si>
  <si>
    <t>#bitComposer OR "bitComposer"</t>
  </si>
  <si>
    <t>#ARTVISIONGAMES | "ARTVISION GAMES"</t>
  </si>
  <si>
    <r>
      <rPr>
        <rFont val="Arial"/>
        <color rgb="FF000000"/>
      </rPr>
      <t>https://www.youtube.com/channel/UCfdBsT77edowk3NLHcWf_Rw</t>
    </r>
    <r>
      <rPr>
        <rFont val="Arial"/>
        <color rgb="FF000000"/>
      </rPr>
      <t>|</t>
    </r>
  </si>
  <si>
    <t>Developer - ArtVostok</t>
  </si>
  <si>
    <t>Bitecore</t>
  </si>
  <si>
    <t>https://www.youtube.com/channel/UCaWHj_TwGBDNA8ySLDSZjrg|</t>
  </si>
  <si>
    <t>#Bitecore OR "Bitecore"</t>
  </si>
  <si>
    <t>#ArtVostok | "ArtVostok"</t>
  </si>
  <si>
    <t>Developer - ASA Studio</t>
  </si>
  <si>
    <t>#ASAStudio OR "ASA Studio"</t>
  </si>
  <si>
    <t>Bitmap Bureau</t>
  </si>
  <si>
    <t>https://www.youtube.com/channel/UCr9ePGoa0UjaJq0iK1YF5MQ|</t>
  </si>
  <si>
    <t>#BitmapBureau OR "Bitmap Bureau"</t>
  </si>
  <si>
    <t>#ASAStudio | "ASA Studio"</t>
  </si>
  <si>
    <r>
      <rPr>
        <rFont val="Arial"/>
        <color rgb="FF000000"/>
      </rPr>
      <t>https://www.youtube.com/channel/UCc2gPTUr6Ei7fzobnTjLNMQ</t>
    </r>
    <r>
      <rPr>
        <rFont val="Arial"/>
        <color rgb="FF000000"/>
      </rPr>
      <t>|</t>
    </r>
  </si>
  <si>
    <t>Developer - ASBO Interactive</t>
  </si>
  <si>
    <t>BitService</t>
  </si>
  <si>
    <t>#BitService OR "BitService"</t>
  </si>
  <si>
    <t>#ASBOInteractive | "ASBO Interactive"</t>
  </si>
  <si>
    <r>
      <rPr>
        <rFont val="Arial"/>
        <color rgb="FF000000"/>
      </rPr>
      <t>https://www.youtube.com/channel/UCZkMFKliMTqmoWnecMfDOnQ</t>
    </r>
    <r>
      <rPr>
        <rFont val="Arial"/>
        <color rgb="FF000000"/>
      </rPr>
      <t>|</t>
    </r>
  </si>
  <si>
    <t>Developer - Asmodee</t>
  </si>
  <si>
    <t>Bitten Toast Games Inc.</t>
  </si>
  <si>
    <t>https://www.youtube.com/user/danielsndgamevideos|</t>
  </si>
  <si>
    <t>#BittenToastGamesInc OR "Bitten Toast Games"</t>
  </si>
  <si>
    <t>#Asmodee | "Asmodee"</t>
  </si>
  <si>
    <t>Developer - Asobo Studio</t>
  </si>
  <si>
    <t>#AsoboStudio OR "Asobo Studio"</t>
  </si>
  <si>
    <t>Bl4ckSh33p-Soft</t>
  </si>
  <si>
    <t>https://www.youtube.com/channel/UCBUGc8_MVtsvY_KKizQy_Gw|</t>
  </si>
  <si>
    <t>#Bl4ckSh33pSoft OR "Bl4ckSh33p-Soft"</t>
  </si>
  <si>
    <t>#AsoboStudio | "Asobo Studio"</t>
  </si>
  <si>
    <t>https://www.youtube.com/user/AsoboStudio|</t>
  </si>
  <si>
    <t>Developer - Aspyr</t>
  </si>
  <si>
    <t>Black Dragon Studios</t>
  </si>
  <si>
    <t>https://www.youtube.com/channel/UCWqGQE5qWgcxsZKshd7ghGQ|</t>
  </si>
  <si>
    <t>#BlackDragonStudios OR "Black Dragon Studios"</t>
  </si>
  <si>
    <t>#Aspyr | "Aspyr"</t>
  </si>
  <si>
    <t>Developer - Assemble Entertainment</t>
  </si>
  <si>
    <t>Black Forest Games</t>
  </si>
  <si>
    <t>https://www.youtube.com/channel/UCsdik3_Wx7bcEDHMQDd3Syg|</t>
  </si>
  <si>
    <t>#BlackForestGames OR "Black Forest Games"</t>
  </si>
  <si>
    <t>#AssembleEntertainment | "Assemble Entertainment"</t>
  </si>
  <si>
    <t>Developer - Asteristic Game Studio</t>
  </si>
  <si>
    <t>Black Hive Media</t>
  </si>
  <si>
    <t>https://www.youtube.com/user/ChibiChaingun|</t>
  </si>
  <si>
    <t>#BlackHiveMedia OR "Black Hive Media"</t>
  </si>
  <si>
    <t>#AsteristicGameStudio | "Asteristic Game Studio"</t>
  </si>
  <si>
    <t>Developer - Asteroid Base</t>
  </si>
  <si>
    <t>Black Shell Games</t>
  </si>
  <si>
    <t>https://www.youtube.com/channel/UCUoHR6LAuwwJnoO44t1-CMA|</t>
  </si>
  <si>
    <t>#BlackShellGames OR "Black Shell Games"</t>
  </si>
  <si>
    <t>#AsteroidBase | "Asteroid Base"</t>
  </si>
  <si>
    <t>Developer - Atari</t>
  </si>
  <si>
    <t>Black Tower Games</t>
  </si>
  <si>
    <t>https://www.youtube.com/channel/UC_fPxHYhN1k2aLsHPkqHoAA|</t>
  </si>
  <si>
    <t>#BlackTowerGames OR "Black Tower Games"</t>
  </si>
  <si>
    <t>#Atari | "Atari"</t>
  </si>
  <si>
    <t>https://www.youtube.com/channel/UC33t-fSHCIFjvMUhWhJHX6g|</t>
  </si>
  <si>
    <t>Developer - Atari SA</t>
  </si>
  <si>
    <t>#AtariSA OR "Atari SA"</t>
  </si>
  <si>
    <t>Blackmill Games</t>
  </si>
  <si>
    <t>https://www.youtube.com/channel/UCJcO_TG9lyX7qN217hxaWjw|</t>
  </si>
  <si>
    <t>#BlackmillGames OR "Blackmill Games"</t>
  </si>
  <si>
    <t>#AtariSA | "Atari SA"</t>
  </si>
  <si>
    <t>https://www.youtube.com/user/ATARI|</t>
  </si>
  <si>
    <t>Developer - Atelier Mimina</t>
  </si>
  <si>
    <t>#AtelierMimina OR "Atelier Mimina"</t>
  </si>
  <si>
    <t>Blazing Badger</t>
  </si>
  <si>
    <t>https://www.youtube.com/channel/UC9MMufwxYhTICsCS39QT1mA|</t>
  </si>
  <si>
    <t>#BlazingBadger OR "Blazing Badger"</t>
  </si>
  <si>
    <t>#AtelierMimina | "Atelier Mimina"</t>
  </si>
  <si>
    <r>
      <rPr>
        <rFont val="Arial"/>
        <color rgb="FF000000"/>
      </rPr>
      <t>https://www.youtube.com/channel/UCiIm8ocHUkiSbGf32WQgYMg</t>
    </r>
    <r>
      <rPr>
        <rFont val="Arial"/>
        <color rgb="FF000000"/>
      </rPr>
      <t>|</t>
    </r>
  </si>
  <si>
    <t>Developer - Atent Games</t>
  </si>
  <si>
    <t>Blazing Planet Studio</t>
  </si>
  <si>
    <t>https://www.youtube.com/channel/UCgkmXl_9Cn4DxBGFZlLm3LQ|</t>
  </si>
  <si>
    <t>#BlazingPlanetStudio OR "Blazing Planet Studio"</t>
  </si>
  <si>
    <t>#AtentGames | "Atent Games"</t>
  </si>
  <si>
    <t>Developer - Atmos Games</t>
  </si>
  <si>
    <t>BLG Publishing</t>
  </si>
  <si>
    <t>#BLGPublishing OR "BLG Publishing"</t>
  </si>
  <si>
    <t>#AtmosGames | "Atmos Games"</t>
  </si>
  <si>
    <t>Developer - Atomicom</t>
  </si>
  <si>
    <t>Blindflug Studios</t>
  </si>
  <si>
    <t>https://www.youtube.com/channel/UCFfKnSEUR48Wdv0ZClQ2FpA|</t>
  </si>
  <si>
    <t>#BlindflugStudios OR "Blindflug Studios"</t>
  </si>
  <si>
    <t>#Atomicom | "Atomicom"</t>
  </si>
  <si>
    <t>Developer - Atse Virtual World</t>
  </si>
  <si>
    <t>BlitWorks</t>
  </si>
  <si>
    <t>https://www.youtube.com/channel/UCG3eaet__FtTyTgxygBaGyA|</t>
  </si>
  <si>
    <t>#BlitWorks OR "BlitWorks"</t>
  </si>
  <si>
    <t>#AtseVirtualWorld | "Atse Virtual World"</t>
  </si>
  <si>
    <t>Developer - Attu Games</t>
  </si>
  <si>
    <t>Blizzard Entertainment</t>
  </si>
  <si>
    <t>https://www.youtube.com/channel/UC3GriadTkHBnfgd2UFETGOA|</t>
  </si>
  <si>
    <t>#BlizzardEntertainment OR "Blizzard Entertainment"</t>
  </si>
  <si>
    <t>#AttuGames | "Attu Games"</t>
  </si>
  <si>
    <t>Developer - Aurelien Regard Games</t>
  </si>
  <si>
    <t>#AurelienRegardGames OR "Aurelien Regard Games"</t>
  </si>
  <si>
    <t>Bloober Team</t>
  </si>
  <si>
    <t>https://www.youtube.com/user/blooberteam|</t>
  </si>
  <si>
    <t>#BlooberTeam OR "Bloober Team"</t>
  </si>
  <si>
    <t>#AurelienRegardGames | "Aurelien Regard Games"</t>
  </si>
  <si>
    <t>https://www.youtube.com/channel/UCFkfwnpxgC6WBfnz_FlYyiA|</t>
  </si>
  <si>
    <t>Developer - Auroch Digital</t>
  </si>
  <si>
    <t>Blood Music</t>
  </si>
  <si>
    <t>#BloodMusic OR "Blood Music"</t>
  </si>
  <si>
    <t>#AurochDigital | "Auroch Digital"</t>
  </si>
  <si>
    <t>Developer - AurumDust</t>
  </si>
  <si>
    <t>#AurumDust OR "AurumDust"</t>
  </si>
  <si>
    <t>Bloom Digital Media Inc.</t>
  </si>
  <si>
    <t>https://www.youtube.com/channel/UCkCYpX5JQMed1LgFX1Nnmig|</t>
  </si>
  <si>
    <t>#BloomDigitalMediaInc OR "Bloom Digital Media"</t>
  </si>
  <si>
    <t>#AurumDust | "AurumDust"</t>
  </si>
  <si>
    <t>https://www.youtube.com/channel/UC_Es3rxqdtXgpgQzJdbXGOw|</t>
  </si>
  <si>
    <t>Developer - AUTO SLAVIC d.o.o.</t>
  </si>
  <si>
    <t>Blowfish Studios</t>
  </si>
  <si>
    <t>https://www.youtube.com/user/BlowfishStudiosGames|</t>
  </si>
  <si>
    <t>#BlowfishStudios OR "Blowfish Studios"</t>
  </si>
  <si>
    <t>#AUTOSLAVICdoo | "AUTO SLAVIC d.o.o."</t>
  </si>
  <si>
    <t>Developer - Avalanche Software</t>
  </si>
  <si>
    <t>#AvalancheSoftware OR "Avalanche Software"</t>
  </si>
  <si>
    <t>Blue Capsule Studio</t>
  </si>
  <si>
    <t>#BlueCapsuleStudio OR "Blue Capsule Studio"</t>
  </si>
  <si>
    <t>#AvalancheSoftware | "Avalanche Software"</t>
  </si>
  <si>
    <t>Developer - Avalanche Studios</t>
  </si>
  <si>
    <t>Blue Isle Studios</t>
  </si>
  <si>
    <t>https://www.youtube.com/user/BlueIsleStudio|</t>
  </si>
  <si>
    <t>#BlueIsleStudios OR "Blue Isle Studios"</t>
  </si>
  <si>
    <t>#AvalancheStudios | "Avalanche Studios"</t>
  </si>
  <si>
    <t>Developer - Awaken Realms Digital</t>
  </si>
  <si>
    <t>Blue Sunset Games</t>
  </si>
  <si>
    <t>https://www.youtube.com/channel/UCx12VGEz1EVSqWjgMl7b0UQ|</t>
  </si>
  <si>
    <t>#BlueSunsetGames OR "Blue Sunset Games"</t>
  </si>
  <si>
    <t>#AwakenRealmsDigital | "Awaken Realms Digital"</t>
  </si>
  <si>
    <t>Developer - Awe Interactive</t>
  </si>
  <si>
    <t>#AweInteractive OR "Awe Interactive"</t>
  </si>
  <si>
    <t>Blue Wizard Digital</t>
  </si>
  <si>
    <t>https://www.youtube.com/channel/UCMSkpZ5IB1fbY7oo0dZqyAg|</t>
  </si>
  <si>
    <t>#BlueWizardDigital OR "Blue Wizard Digital"</t>
  </si>
  <si>
    <t>#AweInteractive | "Awe Interactive"</t>
  </si>
  <si>
    <t>https://www.youtube.com/channel/UClUdqUbKwsx8zSFW6719kPw|</t>
  </si>
  <si>
    <t>Developer - Awesome Games Studio</t>
  </si>
  <si>
    <t>Bluebutton</t>
  </si>
  <si>
    <t>#Bluebutton OR "Bluebutton"</t>
  </si>
  <si>
    <t>#AwesomeGamesStudio | "Awesome Games Studio"</t>
  </si>
  <si>
    <t>Developer - Awesome Industries</t>
  </si>
  <si>
    <t>Blueside</t>
  </si>
  <si>
    <t>#Blueside OR "Blueside"</t>
  </si>
  <si>
    <t>#AwesomeIndustries | "Awesome Industries"</t>
  </si>
  <si>
    <t>Developer - Awesome Industries sp. z o.o.</t>
  </si>
  <si>
    <t>BNW GAMES</t>
  </si>
  <si>
    <t>#BNWGAMES OR "BNW GAMES"</t>
  </si>
  <si>
    <t>#AwesomeIndustriesspzoo | "Awesome Industries sp. z o.o."</t>
  </si>
  <si>
    <t>Developer - Axis Games</t>
  </si>
  <si>
    <t>Bodysoft</t>
  </si>
  <si>
    <t>#Bodysoft OR "Bodysoft"</t>
  </si>
  <si>
    <t>#AxisGames | "Axis Games"</t>
  </si>
  <si>
    <t>Developer - Ayden Sutton</t>
  </si>
  <si>
    <t>Bohemia Interactive</t>
  </si>
  <si>
    <t>https://www.youtube.com/channel/UC3NF7klLgt4sylAROJfSCtw|</t>
  </si>
  <si>
    <t>#BohemiaInteractive OR "Bohemia Interactive"</t>
  </si>
  <si>
    <t>#AydenSutton | "Ayden Sutton"</t>
  </si>
  <si>
    <t>Developer - Ayrik</t>
  </si>
  <si>
    <t>#Ayrik OR "Ayrik"</t>
  </si>
  <si>
    <t>Boidae Games</t>
  </si>
  <si>
    <t>https://www.youtube.com/channel/UCtbTZx50BL4BqcTtX3Uo_fQ|</t>
  </si>
  <si>
    <t>#BoidaeGames OR "Boidae Games"</t>
  </si>
  <si>
    <t>#Ayrik | "Ayrik"</t>
  </si>
  <si>
    <t>Developer - Azure Flame Studio</t>
  </si>
  <si>
    <t>Bolder Games</t>
  </si>
  <si>
    <t>https://www.youtube.com/channel/UCBu_aU3Zf_MqoYlA46NF8xA|</t>
  </si>
  <si>
    <t>#BolderGames OR "Bolder Games"</t>
  </si>
  <si>
    <t>#AzureFlameStudio | "Azure Flame Studio"</t>
  </si>
  <si>
    <t>Developer - B-Alive</t>
  </si>
  <si>
    <t>#BAlive OR "B-Alive"</t>
  </si>
  <si>
    <t>Bolt Creative</t>
  </si>
  <si>
    <t>https://www.youtube.com/channel/UC4WuAMK5EUfAGtf5A5wU30A|</t>
  </si>
  <si>
    <t>#BoltCreative OR "Bolt Creative"</t>
  </si>
  <si>
    <t>#BAlive | "B-Alive"</t>
  </si>
  <si>
    <t>Developer - Baba Yaga Games</t>
  </si>
  <si>
    <t>Bolverk Games</t>
  </si>
  <si>
    <t>https://www.youtube.com/channel/UC8KOjO4zJkwb_ChMnUINDgw|</t>
  </si>
  <si>
    <t>#BolverkGames OR "Bolverk Games"</t>
  </si>
  <si>
    <t>#BabaYagaGames | "Baba Yaga Games"</t>
  </si>
  <si>
    <r>
      <rPr>
        <rFont val="Arial"/>
        <color rgb="FF000000"/>
      </rPr>
      <t>https://www.youtube.com/channel/UCDTxPgce1VobTVocHq1AyNQ</t>
    </r>
    <r>
      <rPr>
        <rFont val="Arial"/>
        <color rgb="FF000000"/>
      </rPr>
      <t>|</t>
    </r>
  </si>
  <si>
    <t>Developer - Bacon Bandit Games</t>
  </si>
  <si>
    <t>BONGA Software</t>
  </si>
  <si>
    <t>#BONGASoftware OR "BONGA Software"</t>
  </si>
  <si>
    <t>#BaconBanditGames | "Bacon Bandit Games"</t>
  </si>
  <si>
    <t>Developer - Bad Dream Games</t>
  </si>
  <si>
    <t>#BadDreamGames OR "Bad Dream Games"</t>
  </si>
  <si>
    <t>Bonrath &amp; Frenzel</t>
  </si>
  <si>
    <t>https://www.youtube.com/channel/UCFIOQnAhPOnZiNC3zfc8qsQ|</t>
  </si>
  <si>
    <t>#BonrathandFrenzel OR "Bonrath &amp; Frenzel"</t>
  </si>
  <si>
    <t>#BadDreamGames | "Bad Dream Games"</t>
  </si>
  <si>
    <t>Developer - Bad Minions</t>
  </si>
  <si>
    <t>#BadMinions OR "Bad Minions"</t>
  </si>
  <si>
    <t>Borealys Games</t>
  </si>
  <si>
    <t>https://www.youtube.com/channel/UCSKNN9kGxAtMrewY2fCtaPQ|</t>
  </si>
  <si>
    <t>#BorealysGames OR "Borealys Games"</t>
  </si>
  <si>
    <t>#BadMinions | "Bad Minions"</t>
  </si>
  <si>
    <t>https://www.youtube.com/channel/UCrgmWxIY_sykhQESbqEYkEA|</t>
  </si>
  <si>
    <t>Developer - Badland Games</t>
  </si>
  <si>
    <t>Born Ready Games</t>
  </si>
  <si>
    <r>
      <rPr>
        <rFont val="Calibri, sans-serif"/>
        <color rgb="FF000000"/>
        <sz val="10.0"/>
        <u/>
      </rPr>
      <t>https://www.youtube.com/channel/UCQG_sex01DuG4AF5EUvWbpQ</t>
    </r>
    <r>
      <rPr>
        <rFont val="Calibri, sans-serif"/>
        <color rgb="FF000000"/>
        <sz val="10.0"/>
      </rPr>
      <t>|</t>
    </r>
  </si>
  <si>
    <t>#BornReadyGames OR "Born Ready Games"</t>
  </si>
  <si>
    <t>#BadlandGames | "Badland Games"</t>
  </si>
  <si>
    <t>Developer - BadLand Publishing</t>
  </si>
  <si>
    <t>Borsuk Software</t>
  </si>
  <si>
    <t>https://www.youtube.com/channel/UC-1-CMBQySRjfbN08JHVP-g|</t>
  </si>
  <si>
    <t>#BorsukSoftware OR "Borsuk Software"</t>
  </si>
  <si>
    <t>#BadLandPublishing | "BadLand Publishing"</t>
  </si>
  <si>
    <t>Developer - Balancing Monkey Games</t>
  </si>
  <si>
    <t>#BalancingMonkeyGames OR "Balancing Monkey Games"</t>
  </si>
  <si>
    <t>Bossa Studios</t>
  </si>
  <si>
    <t>https://www.youtube.com/user/wearebossa|</t>
  </si>
  <si>
    <t>#BossaStudios OR "Bossa Studios"</t>
  </si>
  <si>
    <t>#BalancingMonkeyGames | "Balancing Monkey Games"</t>
  </si>
  <si>
    <t>https://www.youtube.com/channel/UCYaVI3hrusO5qOmJ7vZYXEA|</t>
  </si>
  <si>
    <t>Developer - Baltoro Games</t>
  </si>
  <si>
    <t>Bowlcut Studios</t>
  </si>
  <si>
    <t>https://www.youtube.com/channel/UCwdgiyZ8B00XskTljGo9DVA|</t>
  </si>
  <si>
    <t>#BowlcutStudios OR "Bowlcut Studios"</t>
  </si>
  <si>
    <t>#BaltoroGames | "Baltoro Games"</t>
  </si>
  <si>
    <t>Developer - Bamtang</t>
  </si>
  <si>
    <t>#Bamtang OR "Bamtang"</t>
  </si>
  <si>
    <t>Brace Yourself Games</t>
  </si>
  <si>
    <t>https://www.youtube.com/user/BraceYourselfGames|</t>
  </si>
  <si>
    <t>#BraceYourselfGames OR "Brace Yourself Games"</t>
  </si>
  <si>
    <t>#Bamtang | "Bamtang"</t>
  </si>
  <si>
    <t>Developer - Bandai Namco Games</t>
  </si>
  <si>
    <t>Brain Seal Ltd</t>
  </si>
  <si>
    <t>https://www.youtube.com/user/BrainSeal|</t>
  </si>
  <si>
    <t>#BrainSealLtd OR "Brain Seal Ltd"</t>
  </si>
  <si>
    <t>#BandaiNamcoGames | "Bandai Namco Games"</t>
  </si>
  <si>
    <t>Developer - Bare Knuckle Development</t>
  </si>
  <si>
    <t>Brain&amp;Brain</t>
  </si>
  <si>
    <t>https://www.youtube.com/channel/UCbZ1XFGPvz7B4_x0vRV0E9w|</t>
  </si>
  <si>
    <t>#BrainandBrain OR "Brain&amp;Brain"</t>
  </si>
  <si>
    <t>#BareKnuckleDevelopment | "Bare Knuckle Development"</t>
  </si>
  <si>
    <t>Developer - Bat Country Games</t>
  </si>
  <si>
    <t>Braincells Productions Inc.</t>
  </si>
  <si>
    <t>https://www.youtube.com/channel/UC0Z2K0C_hNAkHjdTzP9qipw|</t>
  </si>
  <si>
    <t>#BraincellsProductionsInc OR "Braincells Productions"</t>
  </si>
  <si>
    <t>#BatCountryGames | "Bat Country Games"</t>
  </si>
  <si>
    <t>Developer - Battenberg Software</t>
  </si>
  <si>
    <t>Brainseed Factory</t>
  </si>
  <si>
    <t>https://www.youtube.com/user/brainseedfactory|</t>
  </si>
  <si>
    <t>#BrainseedFactory OR "Brainseed Factory"</t>
  </si>
  <si>
    <t>#BattenbergSoftware | "Battenberg Software"</t>
  </si>
  <si>
    <t>Developer - Batterystaple Games</t>
  </si>
  <si>
    <t>#BatterystapleGames OR "Batterystaple Games"</t>
  </si>
  <si>
    <t>Brainy Studio LLC</t>
  </si>
  <si>
    <t>https://www.youtube.com/channel/UCn1wfUwqgPuwtKOO_vdbBzQ|</t>
  </si>
  <si>
    <t>#BrainyStudioLLC OR "Brainy Studio LLC"</t>
  </si>
  <si>
    <t>#BatterystapleGames | "Batterystaple Games"</t>
  </si>
  <si>
    <t>https://www.youtube.com/channel/UC92YYn9dQvCFZ2it_Laxoeg|</t>
  </si>
  <si>
    <t>Developer - Baumsoft</t>
  </si>
  <si>
    <t>Brave at Night</t>
  </si>
  <si>
    <t>https://www.youtube.com/channel/UCgbpQhwp1b7asRaSIG9nEiA|</t>
  </si>
  <si>
    <t>#BraveatNight OR "Brave at Night"</t>
  </si>
  <si>
    <t>#Baumsoft | "Baumsoft"</t>
  </si>
  <si>
    <t>Developer - BBG Entertainment GmbH</t>
  </si>
  <si>
    <t>Brave Men Games</t>
  </si>
  <si>
    <t>#BraveMenGames OR "Brave Men Games"</t>
  </si>
  <si>
    <t>#BBGEntertainmentGmbH | "BBG Entertainment GmbH"</t>
  </si>
  <si>
    <t>Developer - Beam Team Games</t>
  </si>
  <si>
    <t>#BeamTeamGames OR "Beam Team Games"</t>
  </si>
  <si>
    <t>Bread Machine Games</t>
  </si>
  <si>
    <t>https://www.youtube.com/channel/UCoMqkro9s4R8Y5HYeDs1c4w|</t>
  </si>
  <si>
    <t>#BreadMachineGames OR "Bread Machine Games"</t>
  </si>
  <si>
    <t>#BeamTeamGames | "Beam Team Games"</t>
  </si>
  <si>
    <t>https://www.youtube.com/user/BeamTeamGames|</t>
  </si>
  <si>
    <t>Developer - Beamdog</t>
  </si>
  <si>
    <t>#Beamdog OR "Beamdog"</t>
  </si>
  <si>
    <t>Bread Team</t>
  </si>
  <si>
    <t>#BreadTeam OR "Bread Team"</t>
  </si>
  <si>
    <t>#Beamdog | "Beamdog"</t>
  </si>
  <si>
    <t>https://www.youtube.com/user/BeamdogInc|</t>
  </si>
  <si>
    <t>Developer - Beard Games Studio</t>
  </si>
  <si>
    <t>Breakfall</t>
  </si>
  <si>
    <t>#Breakfall OR "Breakfall"</t>
  </si>
  <si>
    <t>#BeardGamesStudio | "Beard Games Studio"</t>
  </si>
  <si>
    <t>Developer - Bearded Boy Productions</t>
  </si>
  <si>
    <t>Breaking Walls</t>
  </si>
  <si>
    <t>https://www.youtube.com/channel/UCQWVOWzyScy_1k_hCiR1XiA|</t>
  </si>
  <si>
    <t>#BreakingWalls OR "Breaking Walls"</t>
  </si>
  <si>
    <t>#BeardedBoyProductions | "Bearded Boy Productions"</t>
  </si>
  <si>
    <t>Developer - Beatshapers</t>
  </si>
  <si>
    <t>Breakpoint</t>
  </si>
  <si>
    <t>#Breakpoint OR "Breakpoint"</t>
  </si>
  <si>
    <t>#Beatshapers | "Beatshapers"</t>
  </si>
  <si>
    <t>Developer - Beenox</t>
  </si>
  <si>
    <t>#Beenox OR "Beenox"</t>
  </si>
  <si>
    <t>Breakthrough Gaming LLC</t>
  </si>
  <si>
    <t>https://www.youtube.com/channel/UCoVuCZg5kNOccvCLbALE6sA|</t>
  </si>
  <si>
    <t>#BreakthroughGamingLLC OR "Breakthrough Gaming LLC"</t>
  </si>
  <si>
    <t>#Beenox | "Beenox"</t>
  </si>
  <si>
    <t>https://www.youtube.com/channel/UCvUab1RK2HmnZ1hOm0cd8tw|</t>
  </si>
  <si>
    <t>Developer - Beethoven &amp; Dinosaur</t>
  </si>
  <si>
    <t>#BeethovenandDinosaur OR "Beethoven &amp; Dinosaur"</t>
  </si>
  <si>
    <t>Broken Arms Games</t>
  </si>
  <si>
    <t>https://www.youtube.com/user/Brokenarmsgames|</t>
  </si>
  <si>
    <t>#BrokenArmsGames OR "Broken Arms Games"</t>
  </si>
  <si>
    <t>#BeethovenandDinosaur | "Beethoven &amp; Dinosaur"</t>
  </si>
  <si>
    <t>Developer - Behavior Studios</t>
  </si>
  <si>
    <t>#BehaviorStudios OR "Behavior Studios"</t>
  </si>
  <si>
    <t>Broken Rules</t>
  </si>
  <si>
    <t>#BrokenRules OR "Broken Rules"</t>
  </si>
  <si>
    <t>#BehaviorStudios | "Behavior Studios"</t>
  </si>
  <si>
    <t>Developer - Behaviour Interactive</t>
  </si>
  <si>
    <t>Bromio</t>
  </si>
  <si>
    <t>https://www.youtube.com/channel/UCTrYw2jVOUOcZebiUBrT8hg|</t>
  </si>
  <si>
    <t>#Bromio OR "Bromio"</t>
  </si>
  <si>
    <t>#BehaviourInteractive | "Behaviour Interactive"</t>
  </si>
  <si>
    <t>Developer - Behold Studios</t>
  </si>
  <si>
    <t>Brushfire Games</t>
  </si>
  <si>
    <t>https://www.youtube.com/channel/UCMKNqp_KVpUTaqcODVoFhuw|</t>
  </si>
  <si>
    <t>#BrushfireGames OR "Brushfire Games"</t>
  </si>
  <si>
    <t>#BeholdStudios | "Behold Studios"</t>
  </si>
  <si>
    <t>Developer - Below the Game</t>
  </si>
  <si>
    <t>#BelowtheGame OR "Below the Game"</t>
  </si>
  <si>
    <t>BS Holdings, LLC</t>
  </si>
  <si>
    <t>#BSHoldingsLLC OR "BS Holdings"</t>
  </si>
  <si>
    <t>#BelowtheGame | "Below the Game"</t>
  </si>
  <si>
    <t>Developer - Ben Esposito</t>
  </si>
  <si>
    <t>#BenEsposito OR "Ben Esposito"</t>
  </si>
  <si>
    <t>Buff Studio Co.,Ltd.</t>
  </si>
  <si>
    <t>https://www.youtube.com/channel/UCaFSEvoLFkALiTNjiTAFTZg|</t>
  </si>
  <si>
    <t>#BuffStudioCoLtd OR "Buff Studio Co.,Ltd."</t>
  </si>
  <si>
    <t>#BenEsposito | "Ben Esposito"</t>
  </si>
  <si>
    <r>
      <rPr>
        <rFont val="Arial"/>
        <color rgb="FF000000"/>
      </rPr>
      <t>https://www.youtube.com/channel/UCaXrTifPU9zHqF2DwBBe3Rw</t>
    </r>
    <r>
      <rPr>
        <rFont val="Arial"/>
        <color rgb="FF000000"/>
      </rPr>
      <t>|</t>
    </r>
  </si>
  <si>
    <t>Developer - Benjamin Rivers</t>
  </si>
  <si>
    <t>BUG-Studio</t>
  </si>
  <si>
    <r>
      <rPr>
        <rFont val="Calibri, sans-serif"/>
        <color rgb="FF000000"/>
        <sz val="10.0"/>
        <u/>
      </rPr>
      <t>https://www.youtube.com/channel/UCuuGco0qoiOdxppm_muWasg</t>
    </r>
    <r>
      <rPr>
        <rFont val="Calibri, sans-serif"/>
        <color rgb="FF000000"/>
        <sz val="10.0"/>
      </rPr>
      <t>|</t>
    </r>
  </si>
  <si>
    <t>#BUGStudio OR "BUG-Studio"</t>
  </si>
  <si>
    <t>#BenjaminRivers | "Benjamin Rivers"</t>
  </si>
  <si>
    <t>Developer - BenjiSoft</t>
  </si>
  <si>
    <t>Buka Entertainment</t>
  </si>
  <si>
    <t>https://www.youtube.com/channel/UCKHqRjVoClst4Img3fGKccA|</t>
  </si>
  <si>
    <t>#BukaEntertainment OR "Buka Entertainment"</t>
  </si>
  <si>
    <t>#BenjiSoft | "BenjiSoft"</t>
  </si>
  <si>
    <r>
      <rPr>
        <rFont val="Arial"/>
        <color rgb="FF000000"/>
      </rPr>
      <t>https://www.youtube.com/channel/UCMomMwYS4w8S2TIyiTzbOcg</t>
    </r>
    <r>
      <rPr>
        <rFont val="Arial"/>
        <color rgb="FF000000"/>
      </rPr>
      <t>|</t>
    </r>
  </si>
  <si>
    <t>Developer - Bernardo Zamora</t>
  </si>
  <si>
    <t>Bulbware</t>
  </si>
  <si>
    <t>https://www.youtube.com/channel/UCY3IJB5QO1qn6cnq4Q60Gyg|</t>
  </si>
  <si>
    <t>#Bulbware OR "Bulbware"</t>
  </si>
  <si>
    <t>#BernardoZamora | "Bernardo Zamora"</t>
  </si>
  <si>
    <t>Developer - Berzerk Studio</t>
  </si>
  <si>
    <t>Bulkhead Interactive</t>
  </si>
  <si>
    <t>https://www.youtube.com/channel/UCPVan4eGsvtogvBO56LwSAw|</t>
  </si>
  <si>
    <t>#BulkheadInteractive OR "Bulkhead Interactive"</t>
  </si>
  <si>
    <t>#BerzerkStudio | "Berzerk Studio"</t>
  </si>
  <si>
    <t>Developer - BetaDwarf</t>
  </si>
  <si>
    <t>Bulkypix</t>
  </si>
  <si>
    <t>https://www.youtube.com/user/bulkypix|</t>
  </si>
  <si>
    <t>#Bulkypix OR "Bulkypix"</t>
  </si>
  <si>
    <t>#BetaDwarf | "BetaDwarf"</t>
  </si>
  <si>
    <t>Developer - Bethesda Game Studios</t>
  </si>
  <si>
    <t>Bumble3ee Interactive SL</t>
  </si>
  <si>
    <t>https://www.youtube.com/channel/UCrGmOhmCIbquNzqhIl9xcxA|</t>
  </si>
  <si>
    <t>#Bumble3eeInteractiveSL OR "Bumble3ee Interactive SL"</t>
  </si>
  <si>
    <t>#BethesdaGameStudios | "Bethesda Game Studios"</t>
  </si>
  <si>
    <t>Developer - Bethesda Softworks</t>
  </si>
  <si>
    <t>Bungie</t>
  </si>
  <si>
    <t>#Bungie OR "Bungie"</t>
  </si>
  <si>
    <t>#BethesdaSoftworks | "Bethesda Softworks"</t>
  </si>
  <si>
    <t>Developer - BhDevStudio</t>
  </si>
  <si>
    <t>Bungie Software</t>
  </si>
  <si>
    <t>#BhDevStudio | "BhDevStudio"</t>
  </si>
  <si>
    <t>Developer - Bifrost Entertainment</t>
  </si>
  <si>
    <t>Bunnycopter</t>
  </si>
  <si>
    <t>https://www.youtube.com/user/bunnycoptergames|</t>
  </si>
  <si>
    <t>#Bunnycopter OR "Bunnycopter"</t>
  </si>
  <si>
    <t>#BifrostEntertainment | "Bifrost Entertainment"</t>
  </si>
  <si>
    <t>Developer - Big Bad Wolf</t>
  </si>
  <si>
    <t>#BigBadWolf OR "Big Bad Wolf"</t>
  </si>
  <si>
    <t>Burnt Bag Studios</t>
  </si>
  <si>
    <t>https://www.youtube.com/channel/UCD9dbmzgwUPeiA5KetYXPQg|</t>
  </si>
  <si>
    <t>#BurntBagStudios OR "Burnt Bag Studios"</t>
  </si>
  <si>
    <t>#BigBadWolf | "Big Bad Wolf"</t>
  </si>
  <si>
    <t>Developer - Big Blue Bubble Inc.</t>
  </si>
  <si>
    <t>Buschmann Studios</t>
  </si>
  <si>
    <t>#BuschmannStudios OR "Buschmann Studios"</t>
  </si>
  <si>
    <t>#BigBlueBubbleInc | "Big Blue Bubble"</t>
  </si>
  <si>
    <t>Developer - Big Cheese Studio</t>
  </si>
  <si>
    <t>Butterscotch Shenanigans</t>
  </si>
  <si>
    <t>https://www.youtube.com/channel/UC8y7TxhjQlTjOrwgjYh8eEA|</t>
  </si>
  <si>
    <t>#ButterscotchShenanigans OR "Butterscotch Shenanigans"</t>
  </si>
  <si>
    <t>#BigCheeseStudio | "Big Cheese Studio"</t>
  </si>
  <si>
    <t>Developer - Big Deez Productions</t>
  </si>
  <si>
    <t>#BigDeezProductions OR "Big Deez Productions"</t>
  </si>
  <si>
    <t>Buzzito LLC</t>
  </si>
  <si>
    <t>https://www.youtube.com/channel/UCMTb29l-FdXdadsehcwAaPg|</t>
  </si>
  <si>
    <t>#BuzzitoLLC OR "Buzzito LLC"</t>
  </si>
  <si>
    <t>#BigDeezProductions | "Big Deez Productions"</t>
  </si>
  <si>
    <t>Developer - Big Fish Games</t>
  </si>
  <si>
    <t>ByteRockers' Games</t>
  </si>
  <si>
    <t>https://www.youtube.com/channel/UCjuRMwvUi8mMzh1bESJS4hg|</t>
  </si>
  <si>
    <t>#ByteRockersGames OR "ByteRockers' Games"</t>
  </si>
  <si>
    <t>#BigFishGames | "Big Fish Games"</t>
  </si>
  <si>
    <t>Developer - Big Heart Productions</t>
  </si>
  <si>
    <t>#BigHeartProductions OR "Big Heart Productions"</t>
  </si>
  <si>
    <t>ByteRockers' Games GmbH &amp; Co. KG</t>
  </si>
  <si>
    <t>#ByteRockersGamesGmbHandCoKG OR "ByteRockers' Games GmbH &amp; Co. KG"</t>
  </si>
  <si>
    <t>#BigHeartProductions | "Big Heart Productions"</t>
  </si>
  <si>
    <t>https://www.youtube.com/channel/UCpdexron8DhR1f2cnZwYn9A|</t>
  </si>
  <si>
    <t>Developer - Big Ibby</t>
  </si>
  <si>
    <t>C Soft Team</t>
  </si>
  <si>
    <t>https://www.youtube.com/channel/UCDVt4qeXQhpFOBWSHNdy0kA|</t>
  </si>
  <si>
    <t>#CSoftTeam OR "C Soft Team"</t>
  </si>
  <si>
    <t>#BigIbby | "Big Ibby"</t>
  </si>
  <si>
    <t>Developer - Big Pixel Studios</t>
  </si>
  <si>
    <t>C.I.N.I.C. Games</t>
  </si>
  <si>
    <t>https://www.youtube.com/channel/UC76djSEFOxEo8otdJ4w1_pQ|</t>
  </si>
  <si>
    <t>#CINICGames OR "C.I.N.I.C. Games"</t>
  </si>
  <si>
    <t>#BigPixelStudios | "Big Pixel Studios"</t>
  </si>
  <si>
    <t>Developer - Big Village Games</t>
  </si>
  <si>
    <t>Cadence Games</t>
  </si>
  <si>
    <t>#CadenceGames OR "Cadence Games"</t>
  </si>
  <si>
    <t>#BigVillageGames | "Big Village Games"</t>
  </si>
  <si>
    <t>Developer - Big Way</t>
  </si>
  <si>
    <t>Calvino Noir Ltd.</t>
  </si>
  <si>
    <t>#CalvinoNoirLtd OR "Calvino Noir Ltd."</t>
  </si>
  <si>
    <t>#BigWay | "Big Way"</t>
  </si>
  <si>
    <t>Developer - Bigben Interactive</t>
  </si>
  <si>
    <t>Camel 101</t>
  </si>
  <si>
    <t>https://www.youtube.com/user/MrCamel101|</t>
  </si>
  <si>
    <t>#Camel101 OR "Camel 101"</t>
  </si>
  <si>
    <t>#BigbenInteractive | "Bigben Interactive"</t>
  </si>
  <si>
    <t>Developer - BIGLOTGAMES</t>
  </si>
  <si>
    <t>Camouflaj, LLC</t>
  </si>
  <si>
    <t>https://www.youtube.com/channel/UCTSmZepLADhhWk1UBBJ821A|</t>
  </si>
  <si>
    <t>#CamouflajLLC OR "Camouflaj"</t>
  </si>
  <si>
    <t>#BIGLOTGAMES | "BIGLOTGAMES"</t>
  </si>
  <si>
    <t>Developer - Bigmoon Entertainment</t>
  </si>
  <si>
    <t>Candescent Games, Inc</t>
  </si>
  <si>
    <t>https://www.youtube.com/channel/UCoE4T0RrjO3YdnPouvY-upw|</t>
  </si>
  <si>
    <t>#CandescentGamesInc OR "Candescent Games, Inc"</t>
  </si>
  <si>
    <t>#BigmoonEntertainment | "Bigmoon Entertainment"</t>
  </si>
  <si>
    <t>Developer - BillyGoat Entertainment Ltd</t>
  </si>
  <si>
    <t>Canu Arts</t>
  </si>
  <si>
    <t>https://www.youtube.com/channel/UCmF_KuVTjR7vrquJd7oWkgA/featured|</t>
  </si>
  <si>
    <t>#CanuArts OR "Canu Arts"</t>
  </si>
  <si>
    <t>#BillyGoatEntertainmentLtd | "BillyGoat Entertainment Ltd"</t>
  </si>
  <si>
    <t>Developer - Binx Interactive</t>
  </si>
  <si>
    <t>#BinxInteractive OR "Binx Interactive"</t>
  </si>
  <si>
    <t>Canuck Play Inc.</t>
  </si>
  <si>
    <t>https://www.youtube.com/channel/UC8nvFdjlIHXzYigKxyDcbDQ|</t>
  </si>
  <si>
    <t>#CanuckPlayInc OR "Canuck Play"</t>
  </si>
  <si>
    <t>#BinxInteractive | "Binx Interactive"</t>
  </si>
  <si>
    <t>https://www.youtube.com/channel/UC77Wq3hEM2MXiNuoordiHuA|</t>
  </si>
  <si>
    <t>Developer - Bionic Pony</t>
  </si>
  <si>
    <t>Capcom</t>
  </si>
  <si>
    <t>https://www.youtube.com/channel/UCW7h-1mymnJ96akzjrmiIgA|</t>
  </si>
  <si>
    <t>#Capcom OR "Capcom"</t>
  </si>
  <si>
    <t>#BionicPony | "Bionic Pony"</t>
  </si>
  <si>
    <t>Developer - BioWare</t>
  </si>
  <si>
    <t>Capy Games</t>
  </si>
  <si>
    <t>https://www.youtube.com/channel/UCG485XGkMiFbyXtQV3nQl_g|</t>
  </si>
  <si>
    <t>#CapyGames OR "Capy Games"</t>
  </si>
  <si>
    <t>#BioWare | "BioWare"</t>
  </si>
  <si>
    <t>Developer - Bird Bath Games</t>
  </si>
  <si>
    <t>#BirdBathGames OR "Bird Bath Games"</t>
  </si>
  <si>
    <t>Capybara Games</t>
  </si>
  <si>
    <t>#CapybaraGames OR "Capybara Games"</t>
  </si>
  <si>
    <t>#BirdBathGames | "Bird Bath Games"</t>
  </si>
  <si>
    <t>Developer - Bit Dragon</t>
  </si>
  <si>
    <t>Carbon Fire Studio</t>
  </si>
  <si>
    <r>
      <rPr>
        <rFont val="Calibri, sans-serif"/>
        <color rgb="FF000000"/>
        <sz val="10.0"/>
        <u/>
      </rPr>
      <t>https://www.youtube.com/channel/UCTAs95GuaftCiJrCdvWoV8g</t>
    </r>
    <r>
      <rPr>
        <rFont val="Calibri, sans-serif"/>
        <color rgb="FF000000"/>
        <sz val="10.0"/>
      </rPr>
      <t>|</t>
    </r>
  </si>
  <si>
    <t>#CarbonFireStudio OR "Carbon Fire Studio"</t>
  </si>
  <si>
    <t>#BitDragon | "Bit Dragon"</t>
  </si>
  <si>
    <t>Developer - Bit Golem</t>
  </si>
  <si>
    <t>#BitGolem OR "Bit Golem"</t>
  </si>
  <si>
    <t>Carbon Studio</t>
  </si>
  <si>
    <t>https://www.youtube.com/channel/UCSRUG3CmvqSu4DewC1EDD6w|</t>
  </si>
  <si>
    <t>#CarbonStudio OR "Carbon Studio"</t>
  </si>
  <si>
    <t>#BitGolem | "Bit Golem"</t>
  </si>
  <si>
    <t>https://www.youtube.com/channel/UCMksPDwW8lodYB0sfNWY2oQ|</t>
  </si>
  <si>
    <t>Developer - Bit Ink Studios</t>
  </si>
  <si>
    <t>#BitInkStudios OR "Bit Ink Studios"</t>
  </si>
  <si>
    <t>Cardboard Utopia</t>
  </si>
  <si>
    <t>https://www.youtube.com/channel/UCdvt7ktQczawU5-aapLYvOw|</t>
  </si>
  <si>
    <t>#CardboardUtopia OR "Cardboard Utopia"</t>
  </si>
  <si>
    <t>#BitInkStudios | "Bit Ink Studios"</t>
  </si>
  <si>
    <t>https://www.youtube.com/channel/UCajJDbYw5P8cIuBbf1tZDhQ|</t>
  </si>
  <si>
    <t>Developer - BitBull Ltd</t>
  </si>
  <si>
    <t>#BitBullLtd OR "BitBull Ltd"</t>
  </si>
  <si>
    <t>Carlos Coronado</t>
  </si>
  <si>
    <t>https://www.youtube.com/channel/UC3dYTLIQP8eaNUaK8ta1JVA|</t>
  </si>
  <si>
    <t>#CarlosCoronado OR "Carlos Coronado"</t>
  </si>
  <si>
    <t>#BitBullLtd | "BitBull Ltd"</t>
  </si>
  <si>
    <t>Developer - Bitecore</t>
  </si>
  <si>
    <t>CarsGames</t>
  </si>
  <si>
    <t>#CarsGames OR "CarsGames"</t>
  </si>
  <si>
    <t>#Bitecore | "Bitecore"</t>
  </si>
  <si>
    <t>Developer - Bitmap Bureau</t>
  </si>
  <si>
    <t>Cartoon Network</t>
  </si>
  <si>
    <t>https://www.youtube.com/user/CNArabic|</t>
  </si>
  <si>
    <t>#CartoonNetwork OR "Cartoon Network"</t>
  </si>
  <si>
    <t>#BitmapBureau | "Bitmap Bureau"</t>
  </si>
  <si>
    <t>Developer - Bitmap Galaxy</t>
  </si>
  <si>
    <t>#BitmapGalaxy OR "Bitmap Galaxy"</t>
  </si>
  <si>
    <t>CarX Technologies, LLC</t>
  </si>
  <si>
    <t>https://www.youtube.com/channel/UCbKgJOungDJpkacsoNhZuNQ|</t>
  </si>
  <si>
    <t>#CarXTechnologiesLLC OR "CarX Technologies"</t>
  </si>
  <si>
    <t>#BitmapGalaxy | "Bitmap Galaxy"</t>
  </si>
  <si>
    <r>
      <rPr>
        <rFont val="Arial"/>
        <color rgb="FF000000"/>
      </rPr>
      <t>https://www.youtube.com/channel/UCOc__dablBJiXov8XekfQMw</t>
    </r>
    <r>
      <rPr>
        <rFont val="Arial"/>
        <color rgb="FF000000"/>
      </rPr>
      <t>|</t>
    </r>
  </si>
  <si>
    <t>Developer - Bitten Toast Games Inc.</t>
  </si>
  <si>
    <t>Castle Pixel, LLC.</t>
  </si>
  <si>
    <r>
      <rPr>
        <rFont val="Calibri, sans-serif"/>
        <color rgb="FF000000"/>
        <sz val="10.0"/>
        <u/>
      </rPr>
      <t>https://www.youtube.com/channel/UCoe0IQ4NOIWiNxdRjgi3T9A</t>
    </r>
    <r>
      <rPr>
        <rFont val="Calibri, sans-serif"/>
        <color rgb="FF000000"/>
        <sz val="10.0"/>
      </rPr>
      <t>|</t>
    </r>
  </si>
  <si>
    <t>#BittenToastGamesInc | "Bitten Toast Games"</t>
  </si>
  <si>
    <t>Developer - Bl4ckSh33p-Soft</t>
  </si>
  <si>
    <t>Castle Steps</t>
  </si>
  <si>
    <t>#CastleSteps OR "Castle Steps"</t>
  </si>
  <si>
    <t>#Bl4ckSh33pSoft | "Bl4ckSh33p-Soft"</t>
  </si>
  <si>
    <t>Developer - Black Forest Games</t>
  </si>
  <si>
    <t>Casual Games</t>
  </si>
  <si>
    <t>#CasualGames OR "Casual Games"</t>
  </si>
  <si>
    <t>#BlackForestGames | "Black Forest Games"</t>
  </si>
  <si>
    <t>Developer - Black Hive Media</t>
  </si>
  <si>
    <t>Cat Nigiri</t>
  </si>
  <si>
    <t>https://www.youtube.com/channel/UC9FI-pWUL4rWYGak0HJZwwA|</t>
  </si>
  <si>
    <t>#CatNigiri OR "Cat Nigiri"</t>
  </si>
  <si>
    <t>#BlackHiveMedia | "Black Hive Media"</t>
  </si>
  <si>
    <t>Developer - Black Isle Studios</t>
  </si>
  <si>
    <t>#BlackIsleStudios OR "Black Isle Studios"</t>
  </si>
  <si>
    <t>Cat Trap Studios</t>
  </si>
  <si>
    <t>https://www.youtube.com/channel/UCk0lIqwa19Too0u5Dh_-i9g|</t>
  </si>
  <si>
    <t>#CatTrapStudios OR "Cat Trap Studios"</t>
  </si>
  <si>
    <t>#BlackIsleStudios | "Black Isle Studios"</t>
  </si>
  <si>
    <t>Developer - Black Lab Games</t>
  </si>
  <si>
    <t>#BlackLabGames OR "Black Lab Games"</t>
  </si>
  <si>
    <t>Catch &amp; Release</t>
  </si>
  <si>
    <t>#CatchandRelease OR "Catch &amp; Release"</t>
  </si>
  <si>
    <t>#BlackLabGames | "Black Lab Games"</t>
  </si>
  <si>
    <r>
      <rPr>
        <rFont val="Arial"/>
        <color rgb="FF000000"/>
      </rPr>
      <t>https://www.youtube.com/channel/UCRjYDn59PUJlByjzWPHslZQ</t>
    </r>
    <r>
      <rPr>
        <rFont val="Arial"/>
        <color rgb="FF000000"/>
      </rPr>
      <t>|</t>
    </r>
  </si>
  <si>
    <t>Developer - Black Matter</t>
  </si>
  <si>
    <t>#BlackMatter OR "Black Matter"</t>
  </si>
  <si>
    <t>Catness Game Studios</t>
  </si>
  <si>
    <t>https://www.youtube.com/channel/UCTjj1qO7x3fsb0F4tAow6AA|</t>
  </si>
  <si>
    <t>#CatnessGameStudios OR "Catness Game Studios"</t>
  </si>
  <si>
    <t>#BlackMatter | "Black Matter"</t>
  </si>
  <si>
    <t>Developer - Black River Studios</t>
  </si>
  <si>
    <t>#BlackRiverStudios OR "Black River Studios"</t>
  </si>
  <si>
    <t>Causal Bit Games</t>
  </si>
  <si>
    <t>https://www.youtube.com/user/causalbitgames|</t>
  </si>
  <si>
    <t>#CausalBitGames OR "Causal Bit Games"</t>
  </si>
  <si>
    <t>#BlackRiverStudios | "Black River Studios"</t>
  </si>
  <si>
    <t>https://www.youtube.com/channel/UCZjYWBLApuxYxcgjfonXVAg|</t>
  </si>
  <si>
    <t>Developer - Black Shell Games</t>
  </si>
  <si>
    <t>CCP</t>
  </si>
  <si>
    <t>https://www.youtube.com/user/ccpgames|</t>
  </si>
  <si>
    <t>#CCP OR "CCP"</t>
  </si>
  <si>
    <t>#BlackShellGames | "Black Shell Games"</t>
  </si>
  <si>
    <t>Developer - Black Tower Games</t>
  </si>
  <si>
    <t>CD Projekt</t>
  </si>
  <si>
    <t>https://www.youtube.com/user/cdpred|</t>
  </si>
  <si>
    <t>#CDProjekt OR "CD Projekt"</t>
  </si>
  <si>
    <t>#BlackTowerGames | "Black Tower Games"</t>
  </si>
  <si>
    <t>Developer - Blacklight Interactive</t>
  </si>
  <si>
    <t>#BlacklightInteractive OR "Blacklight Interactive"</t>
  </si>
  <si>
    <t>CD Projekt Red Studio</t>
  </si>
  <si>
    <t>https://www.youtube.com/channel/UCuCtanBJXOPAEIAUXf9944g|</t>
  </si>
  <si>
    <t>#CDProjektRedStudio OR "CD Projekt Red Studio"</t>
  </si>
  <si>
    <t>#BlacklightInteractive | "Blacklight Interactive"</t>
  </si>
  <si>
    <t>https://www.youtube.com/channel/UCi28fWaAEVSfwaMAK7va7-w|</t>
  </si>
  <si>
    <t>Developer - Blackmill Games</t>
  </si>
  <si>
    <t>CE-Asia</t>
  </si>
  <si>
    <t>https://www.youtube.com/channel/UCtv0ayeuNj8pfEKmUkDB6DA|</t>
  </si>
  <si>
    <t>#CEAsia OR "CE-Asia"</t>
  </si>
  <si>
    <t>#BlackmillGames | "Blackmill Games"</t>
  </si>
  <si>
    <t>Developer - BlackMuffin Studio</t>
  </si>
  <si>
    <t>#BlackMuffinStudio OR "BlackMuffin Studio"</t>
  </si>
  <si>
    <t>Cedric Maussion</t>
  </si>
  <si>
    <r>
      <rPr>
        <rFont val="Calibri, sans-serif"/>
        <color rgb="FF000000"/>
        <sz val="10.0"/>
        <u/>
      </rPr>
      <t>https://www.youtube.com/channel/UCdDRSscOtgCBTw1gE3YmP7A</t>
    </r>
    <r>
      <rPr>
        <rFont val="Calibri, sans-serif"/>
        <color rgb="FF000000"/>
        <sz val="10.0"/>
      </rPr>
      <t>|</t>
    </r>
  </si>
  <si>
    <t>#CedricMaussion OR "Cedric Maussion"</t>
  </si>
  <si>
    <t>#BlackMuffinStudio | "BlackMuffin Studio"</t>
  </si>
  <si>
    <t>Developer - Blackstaff Games</t>
  </si>
  <si>
    <t>#BlackstaffGames OR "Blackstaff Games"</t>
  </si>
  <si>
    <t>Cellar Door Games</t>
  </si>
  <si>
    <t>https://www.youtube.com/user/CellarDoorGames|</t>
  </si>
  <si>
    <t>#CellarDoorGames OR "Cellar Door Games"</t>
  </si>
  <si>
    <t>#BlackstaffGames | "Blackstaff Games"</t>
  </si>
  <si>
    <t>Developer - Blastmode</t>
  </si>
  <si>
    <t>#Blastmode OR "Blastmode"</t>
  </si>
  <si>
    <t>CFK</t>
  </si>
  <si>
    <r>
      <rPr>
        <rFont val="Calibri, sans-serif"/>
        <color rgb="FF000000"/>
        <sz val="10.0"/>
        <u/>
      </rPr>
      <t>https://www.youtube.com/channel/UCNAX10LzYIQunvdDZiNoQxg</t>
    </r>
    <r>
      <rPr>
        <rFont val="Calibri, sans-serif"/>
        <color rgb="FF000000"/>
        <sz val="10.0"/>
      </rPr>
      <t>|</t>
    </r>
  </si>
  <si>
    <t>#CFK OR "CFK"</t>
  </si>
  <si>
    <t>#Blastmode | "Blastmode"</t>
  </si>
  <si>
    <t>https://www.youtube.com/channel/UCCzT77IMNHojAa1oQI3e-Xg|</t>
  </si>
  <si>
    <t>Developer - Blazing Badger</t>
  </si>
  <si>
    <t>Chainsawesome Games</t>
  </si>
  <si>
    <t>https://www.youtube.com/user/ChainsawesomeGames|</t>
  </si>
  <si>
    <t>#ChainsawesomeGames OR "Chainsawesome Games"</t>
  </si>
  <si>
    <t>#BlazingBadger | "Blazing Badger"</t>
  </si>
  <si>
    <t>Developer - Blazing Griffin</t>
  </si>
  <si>
    <t>#BlazingGriffin OR "Blazing Griffin"</t>
  </si>
  <si>
    <t>Chameleon Games</t>
  </si>
  <si>
    <t>https://www.youtube.com/channel/UCcWCl3Ovs7KWoA8uOot5ZcA|</t>
  </si>
  <si>
    <t>#ChameleonGames OR "Chameleon Games"</t>
  </si>
  <si>
    <t>#BlazingGriffin | "Blazing Griffin"</t>
  </si>
  <si>
    <t>https://www.youtube.com/user/GriffinsEyrie|</t>
  </si>
  <si>
    <t>Developer - Blazing Planet Studio</t>
  </si>
  <si>
    <t>Chance6 Studios, LLC</t>
  </si>
  <si>
    <t>#BlazingPlanetStudio | "Blazing Planet Studio"</t>
  </si>
  <si>
    <t>Developer - Blindflug Studios</t>
  </si>
  <si>
    <t>Charm Games</t>
  </si>
  <si>
    <t>https://www.youtube.com/c/Charmgames/featured|</t>
  </si>
  <si>
    <t>#CharmGames OR "Charm Games"</t>
  </si>
  <si>
    <t>#BlindflugStudios | "Blindflug Studios"</t>
  </si>
  <si>
    <t>Developer - Blindside Interactive</t>
  </si>
  <si>
    <t>#BlindsideInteractive OR "Blindside Interactive"</t>
  </si>
  <si>
    <t>Chasing Carrots</t>
  </si>
  <si>
    <t>https://www.youtube.com/chasingcarrots|</t>
  </si>
  <si>
    <t>#ChasingCarrots OR "Chasing Carrots"</t>
  </si>
  <si>
    <t>#BlindsideInteractive | "Blindside Interactive"</t>
  </si>
  <si>
    <t>Developer - BlitWorks</t>
  </si>
  <si>
    <t>Cheat Code Studios</t>
  </si>
  <si>
    <t>#CheatCodeStudios OR "Cheat Code Studios"</t>
  </si>
  <si>
    <t>#BlitWorks | "BlitWorks"</t>
  </si>
  <si>
    <t>Developer - Blizzard Entertainment</t>
  </si>
  <si>
    <t>Check Mate Publishing</t>
  </si>
  <si>
    <t>#CheckMatePublishing OR "Check Mate Publishing"</t>
  </si>
  <si>
    <t>#BlizzardEntertainment | "Blizzard Entertainment"</t>
  </si>
  <si>
    <t>Developer - Bloober Team</t>
  </si>
  <si>
    <t>CHECK MATE SPOLKA Z OGRANICZONA ODPOWIEDZIALNOSCIA</t>
  </si>
  <si>
    <t>#BlooberTeam | "Bloober Team"</t>
  </si>
  <si>
    <t>Developer - Blood Music</t>
  </si>
  <si>
    <t>Cheese Games</t>
  </si>
  <si>
    <t>https://www.youtube.com/user/wwwChesscom|</t>
  </si>
  <si>
    <t>#CheeseGames OR "Cheese Games"</t>
  </si>
  <si>
    <t>#BloodMusic | "Blood Music"</t>
  </si>
  <si>
    <t>Developer - Bloom Digital Media Inc.</t>
  </si>
  <si>
    <t>cherepets</t>
  </si>
  <si>
    <t>#cherepets OR "cherepets"</t>
  </si>
  <si>
    <t>#BloomDigitalMediaInc | "Bloom Digital Media"</t>
  </si>
  <si>
    <t>Developer - Blowfish Studios</t>
  </si>
  <si>
    <t>Cherry Pop Games</t>
  </si>
  <si>
    <t>https://www.youtube.com/channel/UCuQ4-gWGWb8MxEc5vo3J76g|</t>
  </si>
  <si>
    <t>#CherryPopGames OR "Cherry Pop Games"</t>
  </si>
  <si>
    <t>#BlowfishStudios | "Blowfish Studios"</t>
  </si>
  <si>
    <t>Developer - Blue Castle Games</t>
  </si>
  <si>
    <t>#BlueCastleGames OR "Blue Castle Games"</t>
  </si>
  <si>
    <t>Chibig</t>
  </si>
  <si>
    <t>https://www.youtube.com/channel/UCrZX-atfVIxGXyNc-kO8-bg|</t>
  </si>
  <si>
    <t>#Chibig OR "Chibig"</t>
  </si>
  <si>
    <t>#BlueCastleGames | "Blue Castle Games"</t>
  </si>
  <si>
    <t>Developer - Blue Isle Studios</t>
  </si>
  <si>
    <t>CHIBIG, S.L.U.</t>
  </si>
  <si>
    <r>
      <rPr>
        <rFont val="Calibri, sans-serif"/>
        <color rgb="FF000000"/>
        <sz val="10.0"/>
        <u/>
      </rPr>
      <t>https://www.youtube.com/channel/UCrZX-atfVIxGXyNc-kO8-bg</t>
    </r>
    <r>
      <rPr>
        <rFont val="Calibri, sans-serif"/>
        <color rgb="FF000000"/>
        <sz val="10.0"/>
      </rPr>
      <t>|</t>
    </r>
  </si>
  <si>
    <t>#CHIBIGSLU OR "CHIBIG, S.L.U."</t>
  </si>
  <si>
    <t>#BlueIsleStudios | "Blue Isle Studios"</t>
  </si>
  <si>
    <t>Developer - Blue Mammoth Games</t>
  </si>
  <si>
    <t>#BlueMammothGames OR "Blue Mammoth Games"</t>
  </si>
  <si>
    <t>Chicken Waffle</t>
  </si>
  <si>
    <t>https://www.youtube.com/channel/UC0dDnGd6jOaGj2G7hJX8B-A|</t>
  </si>
  <si>
    <t>#ChickenWaffle OR "Chicken Waffle"</t>
  </si>
  <si>
    <t>#BlueMammothGames | "Blue Mammoth Games"</t>
  </si>
  <si>
    <t>Developer - Blue Manchu</t>
  </si>
  <si>
    <t>#BlueManchu OR "Blue Manchu"</t>
  </si>
  <si>
    <t>ChickenCat Games</t>
  </si>
  <si>
    <r>
      <rPr>
        <rFont val="Calibri, sans-serif"/>
        <color rgb="FF000000"/>
        <sz val="10.0"/>
        <u/>
      </rPr>
      <t>https://www.youtube.com/channel/UC1lHoyIA9vlMSEwl4sdWi8w</t>
    </r>
    <r>
      <rPr>
        <rFont val="Calibri, sans-serif"/>
        <color rgb="FF000000"/>
        <sz val="10.0"/>
      </rPr>
      <t>|</t>
    </r>
  </si>
  <si>
    <t>#ChickenCatGames OR "ChickenCat Games"</t>
  </si>
  <si>
    <t>#BlueManchu | "Blue Manchu"</t>
  </si>
  <si>
    <t>https://www.youtube.com/user/CardHunterGame|</t>
  </si>
  <si>
    <t>Developer - Blue Sky Studios</t>
  </si>
  <si>
    <t>#BlueSkyStudios OR "Blue Sky Studios"</t>
  </si>
  <si>
    <t>ChiliDog Interactive</t>
  </si>
  <si>
    <t>https://www.youtube.com/channel/UCiPzncRwF5mfOA_Zz1FsJ_A|</t>
  </si>
  <si>
    <t>#ChiliDogInteractive OR "ChiliDog Interactive"</t>
  </si>
  <si>
    <t>#BlueSkyStudios | "Blue Sky Studios"</t>
  </si>
  <si>
    <t>Developer - Blue Sunset Games</t>
  </si>
  <si>
    <t>ChiliDog Interactive LLC</t>
  </si>
  <si>
    <t>#ChiliDogInteractiveLLC OR "ChiliDog Interactive LLC"</t>
  </si>
  <si>
    <t>#BlueSunsetGames | "Blue Sunset Games"</t>
  </si>
  <si>
    <t>Developer - Blue Tongue Entertainment</t>
  </si>
  <si>
    <t>#BlueTongueEntertainment OR "Blue Tongue Entertainment"</t>
  </si>
  <si>
    <t>ChiliDog Interactive/ Alawar Premium</t>
  </si>
  <si>
    <t>#ChiliDogInteractive/AlawarPremium OR "ChiliDog Interactive/ Alawar Premium"</t>
  </si>
  <si>
    <t>#BlueTongueEntertainment | "Blue Tongue Entertainment"</t>
  </si>
  <si>
    <t>Developer - Blue Wizard Digital</t>
  </si>
  <si>
    <t>Chilled Mouse</t>
  </si>
  <si>
    <t>https://www.youtube.com/channel/UCXFk4epDLi248HG8qciaJOA|</t>
  </si>
  <si>
    <t>#ChilledMouse OR "Chilled Mouse"</t>
  </si>
  <si>
    <t>#BlueWizardDigital | "Blue Wizard Digital"</t>
  </si>
  <si>
    <t>Developer - Blue Wizard Digital Ltd.</t>
  </si>
  <si>
    <t>#BlueWizardDigitalLtd OR "Blue Wizard Digital Ltd."</t>
  </si>
  <si>
    <t>Choice Provisions</t>
  </si>
  <si>
    <t>https://www.youtube.com/user/choiceprovisions|</t>
  </si>
  <si>
    <t>#ChoiceProvisions OR "Choice Provisions"</t>
  </si>
  <si>
    <t>#BlueWizardDigitalLtd | "Blue Wizard Digital Ltd."</t>
  </si>
  <si>
    <t>Developer - Bluehole Studio</t>
  </si>
  <si>
    <t>#BlueholeStudio OR "Bluehole Studio"</t>
  </si>
  <si>
    <t>Chorus Worldwide</t>
  </si>
  <si>
    <t>https://www.youtube.com/user/chorusworld|</t>
  </si>
  <si>
    <t>#ChorusWorldwide OR "Chorus Worldwide"</t>
  </si>
  <si>
    <t>#BlueholeStudio | "Bluehole Studio"</t>
  </si>
  <si>
    <t>https://www.youtube.com/KRAFTONofficial|</t>
  </si>
  <si>
    <t>Developer - BNW GAMES</t>
  </si>
  <si>
    <t>Chromatic Games</t>
  </si>
  <si>
    <t>#ChromaticGames OR "Chromatic Games"</t>
  </si>
  <si>
    <t>#BNWGAMES | "BNW GAMES"</t>
  </si>
  <si>
    <t>Developer - Bohemia Interactive</t>
  </si>
  <si>
    <t>Chubby Pixel</t>
  </si>
  <si>
    <t>https://www.youtube.com/user/MalboM|</t>
  </si>
  <si>
    <t>#ChubbyPixel OR "Chubby Pixel"</t>
  </si>
  <si>
    <t>#BohemiaInteractive | "Bohemia Interactive"</t>
  </si>
  <si>
    <t>Developer - Bolder Games</t>
  </si>
  <si>
    <t>Chucklefish</t>
  </si>
  <si>
    <t>https://www.youtube.com/channel/UClwlgXslmWtaDR4sYGWxX0w|</t>
  </si>
  <si>
    <t>#Chucklefish OR "Chucklefish"</t>
  </si>
  <si>
    <t>#BolderGames | "Bolder Games"</t>
  </si>
  <si>
    <t>Developer - Bombservice</t>
  </si>
  <si>
    <t>#Bombservice OR "Bombservice"</t>
  </si>
  <si>
    <t>Chump Squad</t>
  </si>
  <si>
    <t>#ChumpSquad OR "Chump Squad"</t>
  </si>
  <si>
    <t>#Bombservice | "Bombservice"</t>
  </si>
  <si>
    <t>Developer - Boneloaf</t>
  </si>
  <si>
    <t>#Boneloaf OR "Boneloaf"</t>
  </si>
  <si>
    <t>Chuyan Inc.</t>
  </si>
  <si>
    <t>#ChuyanInc OR "Chuyan"</t>
  </si>
  <si>
    <t>#Boneloaf | "Boneloaf"</t>
  </si>
  <si>
    <t>https://www.youtube.com/channel/UCE2AJ_KAQxJYE5gNVDuzj_w|</t>
  </si>
  <si>
    <t>Developer - BONGA Software</t>
  </si>
  <si>
    <t>CI Games</t>
  </si>
  <si>
    <t>https://www.youtube.com/user/cityinteractive|</t>
  </si>
  <si>
    <t>#CIGames OR "CI Games"</t>
  </si>
  <si>
    <t>#BONGASoftware | "BONGA Software"</t>
  </si>
  <si>
    <t>Developer - Bonus Level Entertainment</t>
  </si>
  <si>
    <t>#BonusLevelEntertainment OR "Bonus Level Entertainment"</t>
  </si>
  <si>
    <t>Cimu Software Technology Co. Ltd.</t>
  </si>
  <si>
    <t>#CimuSoftwareTechnologyCoLtd OR "Cimu Software Technology Co. Ltd."</t>
  </si>
  <si>
    <t>#BonusLevelEntertainment | "Bonus Level Entertainment"</t>
  </si>
  <si>
    <r>
      <rPr>
        <rFont val="Arial"/>
        <color rgb="FF000000"/>
      </rPr>
      <t>https://www.youtube.com/channel/UCufgMfDgwbL-REkCSvsV4iA</t>
    </r>
    <r>
      <rPr>
        <rFont val="Arial"/>
        <color rgb="FF000000"/>
      </rPr>
      <t>|</t>
    </r>
  </si>
  <si>
    <t>Developer - BonusXP</t>
  </si>
  <si>
    <t>#BonusXP OR "BonusXP"</t>
  </si>
  <si>
    <t>CINIC Games</t>
  </si>
  <si>
    <t>#CINICGames OR "CINIC Games"</t>
  </si>
  <si>
    <t>#BonusXP | "BonusXP"</t>
  </si>
  <si>
    <t>https://www.youtube.com/channel/UCQtrfpry2W5kz_f7cmfl4XQ|</t>
  </si>
  <si>
    <t>Developer - Boomfire Games</t>
  </si>
  <si>
    <t>#BoomfireGames OR "Boomfire Games"</t>
  </si>
  <si>
    <t>Cipher Prime Studios</t>
  </si>
  <si>
    <t>https://www.youtube.com/user/cipherprimestudios|</t>
  </si>
  <si>
    <t>#CipherPrimeStudios OR "Cipher Prime Studios"</t>
  </si>
  <si>
    <t>#BoomfireGames | "Boomfire Games"</t>
  </si>
  <si>
    <t>https://www.youtube.com/channel/UCFpJJip8hY2th0ms35p9shA|</t>
  </si>
  <si>
    <t>Developer - BootdiskRevolution</t>
  </si>
  <si>
    <t>#BootdiskRevolution OR "BootdiskRevolution"</t>
  </si>
  <si>
    <t>CIRCLE Entertainment</t>
  </si>
  <si>
    <t>https://www.youtube.com/user/cirent2006|</t>
  </si>
  <si>
    <t>#CIRCLEEntertainment OR "CIRCLE Entertainment"</t>
  </si>
  <si>
    <t>#BootdiskRevolution | "BootdiskRevolution"</t>
  </si>
  <si>
    <t>Developer - Borealis</t>
  </si>
  <si>
    <t>#Borealis OR "Borealis"</t>
  </si>
  <si>
    <t>City Connection</t>
  </si>
  <si>
    <t>https://www.youtube.com/channel/UCZfH4hSBsiNMf-t3lL-rXvQ|</t>
  </si>
  <si>
    <t>#CityConnection OR "City Connection"</t>
  </si>
  <si>
    <t>#Borealis | "Borealis"</t>
  </si>
  <si>
    <t>https://www.youtube.com/channel/UCk8l6-02Nui9gbdfc1aL6Uw|</t>
  </si>
  <si>
    <t>Developer - Borealys Games</t>
  </si>
  <si>
    <t>City Interactive</t>
  </si>
  <si>
    <t>#CityInteractive OR "City Interactive"</t>
  </si>
  <si>
    <t>#BorealysGames | "Borealys Games"</t>
  </si>
  <si>
    <t>Developer - Born Lucky Games</t>
  </si>
  <si>
    <t>#BornLuckyGames OR "Born Lucky Games"</t>
  </si>
  <si>
    <t>Clapfoot Inc.</t>
  </si>
  <si>
    <t>https://www.youtube.com/channel/UCAaVV_lemfZWZ3VJFI42clQ|</t>
  </si>
  <si>
    <t>#ClapfootInc OR "Clapfoot"</t>
  </si>
  <si>
    <t>#BornLuckyGames | "Born Lucky Games"</t>
  </si>
  <si>
    <t>Developer - Born Ready Games</t>
  </si>
  <si>
    <t>Clear River Games</t>
  </si>
  <si>
    <t>https://www.youtube.com/channel/UCwBqR-2LuhYFZc91j3P_s2w|</t>
  </si>
  <si>
    <t>#ClearRiverGames OR "Clear River Games"</t>
  </si>
  <si>
    <t>#BornReadyGames | "Born Ready Games"</t>
  </si>
  <si>
    <t>Developer - Borsuk Software</t>
  </si>
  <si>
    <t>cleaversoft</t>
  </si>
  <si>
    <t>#cleaversoft OR "cleaversoft"</t>
  </si>
  <si>
    <t>#BorsukSoftware | "Borsuk Software"</t>
  </si>
  <si>
    <t>Developer - Bossa Studios</t>
  </si>
  <si>
    <t>Clever Endeavour Games</t>
  </si>
  <si>
    <t>https://www.youtube.com/user/cleverendeavourgames|</t>
  </si>
  <si>
    <t>#CleverEndeavourGames OR "Clever Endeavour Games"</t>
  </si>
  <si>
    <t>#BossaStudios | "Bossa Studios"</t>
  </si>
  <si>
    <t>Developer - Bowlcut Studios</t>
  </si>
  <si>
    <t>Clever Plays</t>
  </si>
  <si>
    <t>https://www.youtube.com/user/StudioCleverPlays|</t>
  </si>
  <si>
    <t>#CleverPlays OR "Clever Plays"</t>
  </si>
  <si>
    <t>#BowlcutStudios | "Bowlcut Studios"</t>
  </si>
  <si>
    <t>Developer - BoxFrog Games</t>
  </si>
  <si>
    <t>#BoxFrogGames OR "BoxFrog Games"</t>
  </si>
  <si>
    <t>Clever-Plays</t>
  </si>
  <si>
    <t>#CleverPlays OR "Clever-Plays"</t>
  </si>
  <si>
    <t>#BoxFrogGames | "BoxFrog Games"</t>
  </si>
  <si>
    <t>https://www.youtube.com/user/boxfroggames|</t>
  </si>
  <si>
    <t>Developer - Brace Yourself Games</t>
  </si>
  <si>
    <t>Clickteam</t>
  </si>
  <si>
    <t>https://www.youtube.com/channel/UC-6PL855BYl-iTyetSIi6Sw|</t>
  </si>
  <si>
    <t>#Clickteam OR "Clickteam"</t>
  </si>
  <si>
    <t>#BraceYourselfGames | "Brace Yourself Games"</t>
  </si>
  <si>
    <t>Developer - Brain Seal Ltd</t>
  </si>
  <si>
    <t>Climax Studios</t>
  </si>
  <si>
    <t>https://www.youtube.com/channel/UCc86oK2X_bJBatkAe7V7oNQ|</t>
  </si>
  <si>
    <t>#ClimaxStudios OR "Climax Studios"</t>
  </si>
  <si>
    <t>#BrainSealLtd | "Brain Seal Ltd"</t>
  </si>
  <si>
    <t>Developer - Brainseed Factory</t>
  </si>
  <si>
    <t>Cloak and Dagger Games</t>
  </si>
  <si>
    <t>#CloakandDaggerGames OR "Cloak and Dagger Games"</t>
  </si>
  <si>
    <t>#BrainseedFactory | "Brainseed Factory"</t>
  </si>
  <si>
    <t>Developer - Brainwash Gang</t>
  </si>
  <si>
    <t>#BrainwashGang OR "Brainwash Gang"</t>
  </si>
  <si>
    <t>Clockwork Origins</t>
  </si>
  <si>
    <t>#ClockworkOrigins OR "Clockwork Origins"</t>
  </si>
  <si>
    <t>#BrainwashGang | "Brainwash Gang"</t>
  </si>
  <si>
    <t>https://www.youtube.com/channel/UCc8v8n5qJJngVNfzfKKFC1w|</t>
  </si>
  <si>
    <t>Developer - Brainy Studio LLC</t>
  </si>
  <si>
    <t>Cloud5 Studios</t>
  </si>
  <si>
    <t>https://www.youtube.com/channel/UCMRu-yrWqqRPOAKWI8bGfiQ|</t>
  </si>
  <si>
    <t>#Cloud5Studios OR "Cloud5 Studios"</t>
  </si>
  <si>
    <t>#BrainyStudioLLC | "Brainy Studio LLC"</t>
  </si>
  <si>
    <t>Developer - Brave at Night</t>
  </si>
  <si>
    <t>Clouded Leopard Entertainment</t>
  </si>
  <si>
    <t>https://www.youtube.com/channel/UCnhLH_NWWmWhoKQExrPMvAQ|</t>
  </si>
  <si>
    <t>#CloudedLeopardEntertainment OR "Clouded Leopard Entertainment"</t>
  </si>
  <si>
    <t>#BraveatNight | "Brave at Night"</t>
  </si>
  <si>
    <t>Developer - Brave Giant</t>
  </si>
  <si>
    <t>#BraveGiant OR "Brave Giant"</t>
  </si>
  <si>
    <t>Cloudhead Games</t>
  </si>
  <si>
    <t>https://www.youtube.com/c/CloudheadGames/featured|</t>
  </si>
  <si>
    <t>#CloudheadGames OR "Cloudhead Games"</t>
  </si>
  <si>
    <t>#BraveGiant | "Brave Giant"</t>
  </si>
  <si>
    <t>https://www.youtube.com/channel/UCk0HR3ujTmx3h1vbvgRt4Nw|</t>
  </si>
  <si>
    <t>Developer - Brave Men Games</t>
  </si>
  <si>
    <t>Coatsink Software</t>
  </si>
  <si>
    <t>https://www.youtube.com/channel/UCECz16BztKvl-tHLYZ_WpIg|</t>
  </si>
  <si>
    <t>#CoatsinkSoftware OR "Coatsink Software"</t>
  </si>
  <si>
    <t>#BraveMenGames | "Brave Men Games"</t>
  </si>
  <si>
    <t>Developer - Bread Team</t>
  </si>
  <si>
    <t>Coco Cucumber</t>
  </si>
  <si>
    <t>https://www.youtube.com/channel/UCb556Fdy1HuTOBVtYQdrVbg|</t>
  </si>
  <si>
    <t>#CocoCucumber OR "Coco Cucumber"</t>
  </si>
  <si>
    <t>#BreadTeam | "Bread Team"</t>
  </si>
  <si>
    <t>Developer - Breadcrumbs Interactive</t>
  </si>
  <si>
    <t>#BreadcrumbsInteractive OR "Breadcrumbs Interactive"</t>
  </si>
  <si>
    <t>Cococucumber</t>
  </si>
  <si>
    <t>#Cococucumber OR "Cococucumber"</t>
  </si>
  <si>
    <t>#BreadcrumbsInteractive | "Breadcrumbs Interactive"</t>
  </si>
  <si>
    <t>https://www.youtube.com/channel/UCoX7rxPs5GbjJnq_7v-OcMA|</t>
  </si>
  <si>
    <t>Developer - Breakfall</t>
  </si>
  <si>
    <t>Coconut Games</t>
  </si>
  <si>
    <t>#CoconutGames OR "Coconut Games"</t>
  </si>
  <si>
    <t>#Breakfall | "Breakfall"</t>
  </si>
  <si>
    <t>Developer - BreakFirst</t>
  </si>
  <si>
    <t>#BreakFirst OR "BreakFirst"</t>
  </si>
  <si>
    <t>Coconut Island Games</t>
  </si>
  <si>
    <t>#CoconutIslandGames OR "Coconut Island Games"</t>
  </si>
  <si>
    <t>#BreakFirst | "BreakFirst"</t>
  </si>
  <si>
    <t>Developer - Breaking Walls</t>
  </si>
  <si>
    <t>Code Horizon</t>
  </si>
  <si>
    <t>https://www.youtube.com/channel/UCJq8kPddN3Xokn04piC2YAw|</t>
  </si>
  <si>
    <t>#CodeHorizon OR "Code Horizon"</t>
  </si>
  <si>
    <t>#BreakingWalls | "Breaking Walls"</t>
  </si>
  <si>
    <t>Developer - Breakpoint Studio</t>
  </si>
  <si>
    <t>#BreakpointStudio OR "Breakpoint Studio"</t>
  </si>
  <si>
    <t>Code-Monkeys</t>
  </si>
  <si>
    <t>https://www.youtube.com/channel/UCFK6NCbuCIVzA6Yj1G_ZqCg|</t>
  </si>
  <si>
    <t>#CodeMonkeys OR "Code-Monkeys"</t>
  </si>
  <si>
    <t>#BreakpointStudio | "Breakpoint Studio"</t>
  </si>
  <si>
    <t>Developer - BrezzaSoft</t>
  </si>
  <si>
    <t>#BrezzaSoft OR "BrezzaSoft"</t>
  </si>
  <si>
    <t>CodeAvarice</t>
  </si>
  <si>
    <t>https://www.youtube.com/user/CodeAvariceGames|</t>
  </si>
  <si>
    <t>#CodeAvarice OR "CodeAvarice"</t>
  </si>
  <si>
    <t>#BrezzaSoft | "BrezzaSoft"</t>
  </si>
  <si>
    <t>Developer - Broken Arms Games</t>
  </si>
  <si>
    <t>Coded Cole</t>
  </si>
  <si>
    <t>#CodedCole OR "Coded Cole"</t>
  </si>
  <si>
    <t>#BrokenArmsGames | "Broken Arms Games"</t>
  </si>
  <si>
    <t>Developer - Broken Rules</t>
  </si>
  <si>
    <t>Codemasters</t>
  </si>
  <si>
    <t>https://www.youtube.com/user/codemastersgames|</t>
  </si>
  <si>
    <t>#Codemasters OR "Codemasters"</t>
  </si>
  <si>
    <t>#BrokenRules | "Broken Rules"</t>
  </si>
  <si>
    <t>Developer - Bromio</t>
  </si>
  <si>
    <t>Codename Entertainment</t>
  </si>
  <si>
    <t>https://www.youtube.com/channel/UCVq-ke5EpO_2Yra6c2ua6bQ|</t>
  </si>
  <si>
    <t>#CodenameEntertainment OR "Codename Entertainment"</t>
  </si>
  <si>
    <t>#Bromio | "Bromio"</t>
  </si>
  <si>
    <t>Developer - Brushfire Games</t>
  </si>
  <si>
    <t>Codestalkers</t>
  </si>
  <si>
    <t>https://www.youtube.com/user/everlandgame|</t>
  </si>
  <si>
    <t>#Codestalkers OR "Codestalkers"</t>
  </si>
  <si>
    <t>#BrushfireGames | "Brushfire Games"</t>
  </si>
  <si>
    <t>Developer - Bryce Bucher</t>
  </si>
  <si>
    <t>#BryceBucher OR "Bryce Bucher"</t>
  </si>
  <si>
    <t>Coding Capers, LLC</t>
  </si>
  <si>
    <t>#BryceBucher | "Bryce Bucher"</t>
  </si>
  <si>
    <t>https://www.youtube.com/channel/UCXSSoCVkcmKR65LZDsYArkQ|</t>
  </si>
  <si>
    <t>Developer - btf</t>
  </si>
  <si>
    <t>#btf OR "btf"</t>
  </si>
  <si>
    <t>Coffee Addict Studio</t>
  </si>
  <si>
    <t>https://www.youtube.com/channel/UCufNaiyYo6S-C4yrU-hgq8A|</t>
  </si>
  <si>
    <t>#CoffeeAddictStudio OR "Coffee Addict Studio"</t>
  </si>
  <si>
    <t>#btf | "btf"</t>
  </si>
  <si>
    <t>Developer - Buddy System</t>
  </si>
  <si>
    <t>#BuddySystem OR "Buddy System"</t>
  </si>
  <si>
    <t>Coffee Stain Publishing</t>
  </si>
  <si>
    <t>https://www.youtube.com/channel/UCnXVz_l-_r_sLXNe1ESDhHA|</t>
  </si>
  <si>
    <t>#CoffeeStainPublishing OR "Coffee Stain Publishing"</t>
  </si>
  <si>
    <t>#BuddySystem | "Buddy System"</t>
  </si>
  <si>
    <t>https://www.youtube.com/channel/UCf8yS0_Gk_glOz11WGUIWgw|</t>
  </si>
  <si>
    <t>Developer - BUG-Studio</t>
  </si>
  <si>
    <t>Coffee Stain Studios</t>
  </si>
  <si>
    <t>#CoffeeStainStudios OR "Coffee Stain Studios"</t>
  </si>
  <si>
    <t>#BUGStudio | "BUG-Studio"</t>
  </si>
  <si>
    <t>Developer - Bugbear</t>
  </si>
  <si>
    <t>#Bugbear OR "Bugbear"</t>
  </si>
  <si>
    <t>Cogg Games Ltd</t>
  </si>
  <si>
    <r>
      <rPr>
        <rFont val="Calibri, sans-serif"/>
        <color rgb="FF000000"/>
        <sz val="10.0"/>
        <u/>
      </rPr>
      <t>https://www.youtube.com/channel/UC3mTZ54zyBXMpqDvybwXaPA</t>
    </r>
    <r>
      <rPr>
        <rFont val="Calibri, sans-serif"/>
        <color rgb="FF000000"/>
        <sz val="10.0"/>
      </rPr>
      <t>|</t>
    </r>
  </si>
  <si>
    <t>#CoggGamesLtd OR "Cogg Games Ltd"</t>
  </si>
  <si>
    <t>#Bugbear | "Bugbear"</t>
  </si>
  <si>
    <r>
      <rPr>
        <rFont val="Arial"/>
        <color rgb="FF000000"/>
      </rPr>
      <t>https://www.youtube.com/channel/UCETqu03jG52LWwWd2N4AV0Q</t>
    </r>
    <r>
      <rPr>
        <rFont val="Arial"/>
        <color rgb="FF000000"/>
      </rPr>
      <t>|</t>
    </r>
  </si>
  <si>
    <t>Developer - Bulbware</t>
  </si>
  <si>
    <t>CokeM Interactive</t>
  </si>
  <si>
    <t>#CokeMInteractive OR "CokeM Interactive"</t>
  </si>
  <si>
    <t>#Bulbware | "Bulbware"</t>
  </si>
  <si>
    <t>Developer - Bulkhead Interactive</t>
  </si>
  <si>
    <t>Cokem International</t>
  </si>
  <si>
    <t>#CokemInternational OR "Cokem International"</t>
  </si>
  <si>
    <t>#BulkheadInteractive | "Bulkhead Interactive"</t>
  </si>
  <si>
    <t>Developer - Bulwark Studios</t>
  </si>
  <si>
    <t>#BulwarkStudios OR "Bulwark Studios"</t>
  </si>
  <si>
    <t>Cold Iron Studios</t>
  </si>
  <si>
    <t>#ColdIronStudios OR "Cold Iron Studios"</t>
  </si>
  <si>
    <t>#BulwarkStudios | "Bulwark Studios"</t>
  </si>
  <si>
    <t>Developer - Bungie</t>
  </si>
  <si>
    <t>Cold Iron Studios|https://www.metacritic.com/company/cold-iron-studios</t>
  </si>
  <si>
    <t>#ColdIronStudios|https//wwwmetacriticcom/company/coldironstudios OR "Cold Iron Studios|https://www.metacritic.com/company/cold-iron-studios"</t>
  </si>
  <si>
    <t>#Bungie | "Bungie"</t>
  </si>
  <si>
    <t>Developer - Bunkovsky Games</t>
  </si>
  <si>
    <t>#BunkovskyGames OR "Bunkovsky Games"</t>
  </si>
  <si>
    <t>Coldwild Games</t>
  </si>
  <si>
    <t>https://www.youtube.com/channel/UC24lTUyNllNN1DHV0_5YGUA|</t>
  </si>
  <si>
    <t>#ColdwildGames OR "Coldwild Games"</t>
  </si>
  <si>
    <t>#BunkovskyGames | "Bunkovsky Games"</t>
  </si>
  <si>
    <t>https://www.youtube.com/channel/UCClWs2ajm3OHk0c0h959sPw|</t>
  </si>
  <si>
    <t>Developer - Bunnyhug</t>
  </si>
  <si>
    <t>#Bunnyhug OR "Bunnyhug"</t>
  </si>
  <si>
    <t>CompaNova LLC</t>
  </si>
  <si>
    <t>https://www.youtube.com/channel/UCPNFe0zuasT_XWIqF7WFDyw|</t>
  </si>
  <si>
    <t>#CompaNovaLLC OR "CompaNova LLC"</t>
  </si>
  <si>
    <t>#Bunnyhug | "Bunnyhug"</t>
  </si>
  <si>
    <t>Developer - Burning Goat Studio</t>
  </si>
  <si>
    <t>#BurningGoatStudio OR "Burning Goat Studio"</t>
  </si>
  <si>
    <t>Compulsion Games</t>
  </si>
  <si>
    <t>https://www.youtube.com/channel/UCr1AVOQF92looRxGNu8_JBg|</t>
  </si>
  <si>
    <t>#CompulsionGames OR "Compulsion Games"</t>
  </si>
  <si>
    <t>#BurningGoatStudio | "Burning Goat Studio"</t>
  </si>
  <si>
    <t>https://www.youtube.com/channel/UCV5hHWhSfIxRB0Og9WUg5JQ|</t>
  </si>
  <si>
    <t>Developer - Burnt Bag Studios</t>
  </si>
  <si>
    <t>Con Artist Games</t>
  </si>
  <si>
    <t>#ConArtistGames OR "Con Artist Games"</t>
  </si>
  <si>
    <t>#BurntBagStudios | "Burnt Bag Studios"</t>
  </si>
  <si>
    <t>Developer - Busy Toaster</t>
  </si>
  <si>
    <t>#BusyToaster OR "Busy Toaster"</t>
  </si>
  <si>
    <t>Constantin Graf</t>
  </si>
  <si>
    <r>
      <rPr>
        <rFont val="Calibri, sans-serif"/>
        <color rgb="FF000000"/>
        <sz val="10.0"/>
        <u/>
      </rPr>
      <t>https://www.youtube.com/channel/UCkEbuvJ8zbudTyfJWSfETRQ</t>
    </r>
    <r>
      <rPr>
        <rFont val="Calibri, sans-serif"/>
        <color rgb="FF000000"/>
        <sz val="10.0"/>
      </rPr>
      <t>|</t>
    </r>
  </si>
  <si>
    <t>#ConstantinGraf OR "Constantin Graf"</t>
  </si>
  <si>
    <t>#BusyToaster | "Busy Toaster"</t>
  </si>
  <si>
    <t>Developer - Butterscotch Shenanigans</t>
  </si>
  <si>
    <t>Contingent99</t>
  </si>
  <si>
    <t>https://www.youtube.com/channel/UCylxhkj56fbj6882kRJMsng|</t>
  </si>
  <si>
    <t>#Contingent99 OR "Contingent99"</t>
  </si>
  <si>
    <t>#ButterscotchShenanigans | "Butterscotch Shenanigans"</t>
  </si>
  <si>
    <t>Developer - Buzzito LLC</t>
  </si>
  <si>
    <t>Convict Games</t>
  </si>
  <si>
    <t>https://www.youtube.com/channel/UCFwUHzwohs7Sr607VG__tnQ|</t>
  </si>
  <si>
    <t>#ConvictGames OR "Convict Games"</t>
  </si>
  <si>
    <t>#BuzzitoLLC | "Buzzito LLC"</t>
  </si>
  <si>
    <t>Developer - Byte4Games</t>
  </si>
  <si>
    <t>#Byte4Games OR "Byte4Games"</t>
  </si>
  <si>
    <t>Cooply Apps</t>
  </si>
  <si>
    <t>#CooplyApps OR "Cooply Apps"</t>
  </si>
  <si>
    <t>#Byte4Games | "Byte4Games"</t>
  </si>
  <si>
    <t>https://www.youtube.com/channel/UC1UXm_qyhn8q-33q4hVdRPQ|</t>
  </si>
  <si>
    <t>Developer - ByteRockers' Games</t>
  </si>
  <si>
    <t>Cooply Solutions</t>
  </si>
  <si>
    <t>#CooplySolutions OR "Cooply Solutions"</t>
  </si>
  <si>
    <t>#ByteRockersGames | "ByteRockers' Games"</t>
  </si>
  <si>
    <t>Developer - C Soft Team</t>
  </si>
  <si>
    <t>Cordelia Games</t>
  </si>
  <si>
    <t>#CordeliaGames OR "Cordelia Games"</t>
  </si>
  <si>
    <t>#CSoftTeam | "C Soft Team"</t>
  </si>
  <si>
    <t>Developer - C-Lab</t>
  </si>
  <si>
    <t>#CLab OR "C-Lab"</t>
  </si>
  <si>
    <t>Corecell Technology</t>
  </si>
  <si>
    <t>https://www.youtube.com/user/corecellchannel|</t>
  </si>
  <si>
    <t>#CorecellTechnology OR "Corecell Technology"</t>
  </si>
  <si>
    <t>#CLab | "C-Lab"</t>
  </si>
  <si>
    <r>
      <rPr>
        <rFont val="Arial"/>
        <color rgb="FF000000"/>
      </rPr>
      <t>https://www.youtube.com/channel/UC9nLq3rvvi_6J3teWiGCDlA</t>
    </r>
    <r>
      <rPr>
        <rFont val="Arial"/>
        <color rgb="FF000000"/>
      </rPr>
      <t>|</t>
    </r>
  </si>
  <si>
    <t>Developer - Cadence Games</t>
  </si>
  <si>
    <t>Cornfox &amp; Bros.</t>
  </si>
  <si>
    <t>https://www.youtube.com/user/CornfoxBros|</t>
  </si>
  <si>
    <t>#CornfoxandBros OR "Cornfox &amp; Bros."</t>
  </si>
  <si>
    <t>#CadenceGames | "Cadence Games"</t>
  </si>
  <si>
    <t>Developer - Cafundo Estudio Criativo Eireli</t>
  </si>
  <si>
    <t>#CafundoEstudioCriativoEireli OR "Cafundo Estudio Criativo Eireli"</t>
  </si>
  <si>
    <t>Cortopia</t>
  </si>
  <si>
    <t>https://www.youtube.com/channel/UC_XLpv9FWZlvFP8dMQU3M1g|</t>
  </si>
  <si>
    <t>#Cortopia OR "Cortopia"</t>
  </si>
  <si>
    <t>#CafundoEstudioCriativoEireli | "Cafundo Estudio Criativo Eireli"</t>
  </si>
  <si>
    <t>https://www.youtube.com/channel/UCmvAwchBVnzkmQ2JKdrODyQ|</t>
  </si>
  <si>
    <t>Developer - Caged Element Inc.</t>
  </si>
  <si>
    <t>#CagedElementInc OR "Caged Element"</t>
  </si>
  <si>
    <t>Cortopia Studios</t>
  </si>
  <si>
    <t>https://www.youtube.com/c/CortopiaStudios/featured|</t>
  </si>
  <si>
    <t>#CortopiaStudios OR "Cortopia Studios"</t>
  </si>
  <si>
    <t>#CagedElementInc | "Caged Element"</t>
  </si>
  <si>
    <r>
      <rPr>
        <rFont val="Arial"/>
        <color rgb="FF000000"/>
      </rPr>
      <t>https://www.youtube.com/channel/UCxJTcbRZod8JNKg6KWkAzPw</t>
    </r>
    <r>
      <rPr>
        <rFont val="Arial"/>
        <color rgb="FF000000"/>
      </rPr>
      <t>|</t>
    </r>
  </si>
  <si>
    <t>Developer - Caipirinha Games</t>
  </si>
  <si>
    <t>#CaipirinhaGames OR "Caipirinha Games"</t>
  </si>
  <si>
    <t>Cosmic Forces</t>
  </si>
  <si>
    <t>https://www.youtube.com/channel/UCTMpUwWrUfKA5b9pqOGt39A|</t>
  </si>
  <si>
    <t>#CosmicForces OR "Cosmic Forces"</t>
  </si>
  <si>
    <t>#CaipirinhaGames | "Caipirinha Games"</t>
  </si>
  <si>
    <t>Developer - caiysware</t>
  </si>
  <si>
    <t>#caiysware OR "caiysware"</t>
  </si>
  <si>
    <t>Cosmic Picnic</t>
  </si>
  <si>
    <t>#CosmicPicnic OR "Cosmic Picnic"</t>
  </si>
  <si>
    <t>#caiysware | "caiysware"</t>
  </si>
  <si>
    <r>
      <rPr>
        <rFont val="Arial"/>
        <color rgb="FF000000"/>
      </rPr>
      <t>https://www.youtube.com/channel/UCLhKbIR_epY0-dpRTtpzrBg</t>
    </r>
    <r>
      <rPr>
        <rFont val="Arial"/>
        <color rgb="FF000000"/>
      </rPr>
      <t>|</t>
    </r>
  </si>
  <si>
    <t>Developer - Caligari Games</t>
  </si>
  <si>
    <t>#CaligariGames OR "Caligari Games"</t>
  </si>
  <si>
    <t>Cowardly Creations</t>
  </si>
  <si>
    <t>https://www.youtube.com/channel/UCZMFJNzCTUGEUwOscvy8NdA|</t>
  </si>
  <si>
    <t>#CowardlyCreations OR "Cowardly Creations"</t>
  </si>
  <si>
    <t>#CaligariGames | "Caligari Games"</t>
  </si>
  <si>
    <t>https://www.youtube.com/channel/UCwH1GwzAaBzMoNRy0d9zTIQ|</t>
  </si>
  <si>
    <t>Developer - Camel 101</t>
  </si>
  <si>
    <t>COWCAT</t>
  </si>
  <si>
    <t>https://www.youtube.com/channel/UC3Op1DL1hKXSoc_3xBSqBPA|</t>
  </si>
  <si>
    <t>#COWCAT OR "COWCAT"</t>
  </si>
  <si>
    <t>#Camel101 | "Camel 101"</t>
  </si>
  <si>
    <t>Developer - Campo Santo</t>
  </si>
  <si>
    <t>#CampoSanto OR "Campo Santo"</t>
  </si>
  <si>
    <t>cozysoft</t>
  </si>
  <si>
    <t>#cozysoft OR "cozysoft"</t>
  </si>
  <si>
    <t>#CampoSanto | "Campo Santo"</t>
  </si>
  <si>
    <t>https://www.youtube.com/channel/UCrQEMZ1k5QkXh5n5QQBwaSg|</t>
  </si>
  <si>
    <t>Developer - Canuck Play Inc.</t>
  </si>
  <si>
    <t>Crackshell</t>
  </si>
  <si>
    <t>https://www.youtube.com/user/theTransflash|</t>
  </si>
  <si>
    <t>#Crackshell OR "Crackshell"</t>
  </si>
  <si>
    <t>#CanuckPlayInc | "Canuck Play"</t>
  </si>
  <si>
    <t>Developer - Capcom</t>
  </si>
  <si>
    <t>Cradle Games</t>
  </si>
  <si>
    <t>https://www.youtube.com/channel/UC_kbjfBafGfcaGx30LyTSNQ|</t>
  </si>
  <si>
    <t>#CradleGames OR "Cradle Games"</t>
  </si>
  <si>
    <t>#Capcom | "Capcom"</t>
  </si>
  <si>
    <t>Developer - Capcom R&amp;D Division 1</t>
  </si>
  <si>
    <t>#CapcomRandDDivision1 OR "Capcom R&amp;D Division 1"</t>
  </si>
  <si>
    <t>Craftshop Arts Inc.</t>
  </si>
  <si>
    <t>https://www.youtube.com/channel/UCiJqjtN17ufW-wUfhcHw-Jg|</t>
  </si>
  <si>
    <t>#CraftshopArtsInc OR "Craftshop Arts"</t>
  </si>
  <si>
    <t>#CapcomRandDDivision1 | "Capcom R&amp;D Division 1"</t>
  </si>
  <si>
    <t>Developer - Capcom Vancouver</t>
  </si>
  <si>
    <t>#CapcomVancouver OR "Capcom Vancouver"</t>
  </si>
  <si>
    <t>Cranky Watermelon Pty Ltd</t>
  </si>
  <si>
    <t>https://www.youtube.com/channel/UCPDIJ9pRGavxzkJaBOSXPlA|</t>
  </si>
  <si>
    <t>#CrankyWatermelonPtyLtd OR "Cranky Watermelon Pty Ltd"</t>
  </si>
  <si>
    <t>#CapcomVancouver | "Capcom Vancouver"</t>
  </si>
  <si>
    <t>Developer - Capy Games</t>
  </si>
  <si>
    <t>Crate Entertainment</t>
  </si>
  <si>
    <t>https://www.youtube.com/channel/UC3-ixy5EAD5f2hZSCPT1a8w|</t>
  </si>
  <si>
    <t>#CrateEntertainment OR "Crate Entertainment"</t>
  </si>
  <si>
    <t>#CapyGames | "Capy Games"</t>
  </si>
  <si>
    <t>Developer - Carbon Fire Studio</t>
  </si>
  <si>
    <t>Crave</t>
  </si>
  <si>
    <t>#Crave OR "Crave"</t>
  </si>
  <si>
    <t>#CarbonFireStudio | "Carbon Fire Studio"</t>
  </si>
  <si>
    <r>
      <rPr>
        <rFont val="Arial"/>
        <color rgb="FF000000"/>
      </rPr>
      <t>https://www.youtube.com/channel/UCTAs95GuaftCiJrCdvWoV8g</t>
    </r>
    <r>
      <rPr>
        <rFont val="Arial"/>
        <color rgb="FF000000"/>
      </rPr>
      <t>|</t>
    </r>
  </si>
  <si>
    <t>Developer - Carbon Games</t>
  </si>
  <si>
    <t>#CarbonGames OR "Carbon Games"</t>
  </si>
  <si>
    <t>Crazy Monkey Studios</t>
  </si>
  <si>
    <t>https://www.youtube.com/channel/UCVcIRmoC4jS2bIUiUtd9Klw|</t>
  </si>
  <si>
    <t>#CrazyMonkeyStudios OR "Crazy Monkey Studios"</t>
  </si>
  <si>
    <t>#CarbonGames | "Carbon Games"</t>
  </si>
  <si>
    <t>https://www.youtube.com/user/CarbonGamesVideos|</t>
  </si>
  <si>
    <t>Developer - Cardboard Computer</t>
  </si>
  <si>
    <t>#CardboardComputer OR "Cardboard Computer"</t>
  </si>
  <si>
    <t>Crazy Viking Studios</t>
  </si>
  <si>
    <t>https://www.youtube.com/user/CrazyVikingStudios|</t>
  </si>
  <si>
    <t>#CrazyVikingStudios OR "Crazy Viking Studios"</t>
  </si>
  <si>
    <t>#CardboardComputer | "Cardboard Computer"</t>
  </si>
  <si>
    <r>
      <rPr>
        <rFont val="Arial"/>
        <color rgb="FF000000"/>
      </rPr>
      <t>https://www.youtube.com/channel/UCCSjLv7GlAsoK2ifYFl-2nQ</t>
    </r>
    <r>
      <rPr>
        <rFont val="Arial"/>
        <color rgb="FF000000"/>
      </rPr>
      <t>|</t>
    </r>
  </si>
  <si>
    <t>Developer - Cardboard Utopia</t>
  </si>
  <si>
    <t>CrazySoft</t>
  </si>
  <si>
    <t>https://www.youtube.com/channel/UC97qyEhtV0WfeK7izb3egYw|</t>
  </si>
  <si>
    <t>#CrazySoft OR "CrazySoft"</t>
  </si>
  <si>
    <t>#CardboardUtopia | "Cardboard Utopia"</t>
  </si>
  <si>
    <t>Developer - CarsGames</t>
  </si>
  <si>
    <t>Crea-ture Studios</t>
  </si>
  <si>
    <t>https://www.youtube.com/channel/UCdnRFiQB5U9JEPNbQapuY1Q|</t>
  </si>
  <si>
    <t>#CreatureStudios OR "Crea-ture Studios"</t>
  </si>
  <si>
    <t>#CarsGames | "CarsGames"</t>
  </si>
  <si>
    <t>Developer - Cartoon Network</t>
  </si>
  <si>
    <t>Creaciones Interactivas</t>
  </si>
  <si>
    <t>#CreacionesInteractivas OR "Creaciones Interactivas"</t>
  </si>
  <si>
    <t>#CartoonNetwork | "Cartoon Network"</t>
  </si>
  <si>
    <t>Developer - CarX Technologies</t>
  </si>
  <si>
    <t>#CarXTechnologies OR "CarX Technologies"</t>
  </si>
  <si>
    <t>Creamative</t>
  </si>
  <si>
    <t>https://www.youtube.com/channel/UCkgPFSq_AHiicnTB1r3cljA|</t>
  </si>
  <si>
    <t>#Creamative OR "Creamative"</t>
  </si>
  <si>
    <t>#CarXTechnologies | "CarX Technologies"</t>
  </si>
  <si>
    <t>https://www.youtube.com/user/Anatol3D|</t>
  </si>
  <si>
    <t>Developer - Cascadia Games</t>
  </si>
  <si>
    <t>#CascadiaGames OR "Cascadia Games"</t>
  </si>
  <si>
    <t>Create Something Interesting</t>
  </si>
  <si>
    <t>https://www.youtube.com/channel/UCpuL-d7SoXS2ts6M-lg7lJg|</t>
  </si>
  <si>
    <t>#CreateSomethingInteresting OR "Create Something Interesting"</t>
  </si>
  <si>
    <t>#CascadiaGames | "Cascadia Games"</t>
  </si>
  <si>
    <t>Developer - Casey Donnellan Games LLC</t>
  </si>
  <si>
    <t>#CaseyDonnellanGamesLLC OR "Casey Donnellan Games LLC"</t>
  </si>
  <si>
    <t>Creative Bytes</t>
  </si>
  <si>
    <t>#CreativeBytes OR "Creative Bytes"</t>
  </si>
  <si>
    <t>#CaseyDonnellanGamesLLC | "Casey Donnellan Games LLC"</t>
  </si>
  <si>
    <r>
      <rPr>
        <rFont val="Arial"/>
        <color rgb="FF000000"/>
      </rPr>
      <t>https://www.youtube.com/channel/UCfh3m8hsWGTYoLONH9UPF6A</t>
    </r>
    <r>
      <rPr>
        <rFont val="Arial"/>
        <color rgb="FF000000"/>
      </rPr>
      <t>|</t>
    </r>
  </si>
  <si>
    <t>Developer - Casual Games</t>
  </si>
  <si>
    <t>CREATIVE VR 3D</t>
  </si>
  <si>
    <t>https://www.youtube.com/channel/UCGdIa4WT9wOnlt9dfLhq6mQ|</t>
  </si>
  <si>
    <t>#CREATIVEVR3D OR "CREATIVE VR 3D"</t>
  </si>
  <si>
    <t>#CasualGames | "Casual Games"</t>
  </si>
  <si>
    <t>Developer - Cat Trap Studios</t>
  </si>
  <si>
    <t>Creepy Jar</t>
  </si>
  <si>
    <t>https://www.youtube.com/channel/UCCZ5dMgYoVurtpBE5omHf0Q|</t>
  </si>
  <si>
    <t>#CreepyJar OR "Creepy Jar"</t>
  </si>
  <si>
    <t>#CatTrapStudios | "Cat Trap Studios"</t>
  </si>
  <si>
    <t>Developer - Causal Bit Games</t>
  </si>
  <si>
    <t>Crema Games</t>
  </si>
  <si>
    <t>https://www.youtube.com/channel/UCAkFPXVTXsJnv1jWJUAEoFg|</t>
  </si>
  <si>
    <t>#CremaGames OR "Crema Games"</t>
  </si>
  <si>
    <t>#CausalBitGames | "Causal Bit Games"</t>
  </si>
  <si>
    <t>Developer - Caustic Reality</t>
  </si>
  <si>
    <t>#CausticReality OR "Caustic Reality"</t>
  </si>
  <si>
    <t>CremaGames</t>
  </si>
  <si>
    <t>#CremaGames OR "CremaGames"</t>
  </si>
  <si>
    <t>#CausticReality | "Caustic Reality"</t>
  </si>
  <si>
    <t>https://www.youtube.com/channel/UCBfPiSKWhWjK2y3JJTC1Dxg|</t>
  </si>
  <si>
    <t>Developer - Cave</t>
  </si>
  <si>
    <t>#Cave OR "Cave"</t>
  </si>
  <si>
    <t>Creobit</t>
  </si>
  <si>
    <t>#Creobit OR "Creobit"</t>
  </si>
  <si>
    <t>#Cave | "Cave"</t>
  </si>
  <si>
    <t>https://www.youtube.com/channel/UCMEIOqNl5OtOWVWztPdp_cQ|</t>
  </si>
  <si>
    <t>Developer - Cavyhouse</t>
  </si>
  <si>
    <t>#Cavyhouse OR "Cavyhouse"</t>
  </si>
  <si>
    <t>Crescent Moon Games</t>
  </si>
  <si>
    <t>https://www.youtube.com/user/crescentmoongames|</t>
  </si>
  <si>
    <t>#CrescentMoonGames OR "Crescent Moon Games"</t>
  </si>
  <si>
    <t>#Cavyhouse | "Cavyhouse"</t>
  </si>
  <si>
    <t>https://www.youtube.com/channel/UCpuqr-h7325cNnP0eT8Kw3g|</t>
  </si>
  <si>
    <t>Developer - CD Projekt</t>
  </si>
  <si>
    <t>Crisp Games</t>
  </si>
  <si>
    <t>https://www.youtube.com/channel/UCAoY3AFSQhEpn_CHEiWBTog|</t>
  </si>
  <si>
    <t>#CrispGames OR "Crisp Games"</t>
  </si>
  <si>
    <t>#CDProjekt | "CD Projekt"</t>
  </si>
  <si>
    <t>Developer - CD Projekt Red Studio</t>
  </si>
  <si>
    <t>Critical Reflex</t>
  </si>
  <si>
    <t>https://www.youtube.com/channel/UCKgZhHSgof2ehm6qxzEgUng|</t>
  </si>
  <si>
    <t>#CriticalReflex OR "Critical Reflex"</t>
  </si>
  <si>
    <t>#CDProjektRedStudio | "CD Projekt Red Studio"</t>
  </si>
  <si>
    <t>Developer - Cellar Door Games</t>
  </si>
  <si>
    <t>Crosse Studios</t>
  </si>
  <si>
    <t>#CrosseStudios OR "Crosse Studios"</t>
  </si>
  <si>
    <t>#CellarDoorGames | "Cellar Door Games"</t>
  </si>
  <si>
    <t>Developer - Chainsawesome Games</t>
  </si>
  <si>
    <t>Crows Crows Crows</t>
  </si>
  <si>
    <t>https://www.youtube.com/channel/UC_6qm9hr5czPglKbY_NfylQ|</t>
  </si>
  <si>
    <t>#CrowsCrowsCrows OR "Crows Crows Crows"</t>
  </si>
  <si>
    <t>#ChainsawesomeGames | "Chainsawesome Games"</t>
  </si>
  <si>
    <t>Developer - Chair Entertainment</t>
  </si>
  <si>
    <t>#ChairEntertainment OR "Chair Entertainment"</t>
  </si>
  <si>
    <t>Crunching Koalas</t>
  </si>
  <si>
    <t>https://www.youtube.com/channel/UCkLn0buGyG7ZgjVuWbbSQBw|</t>
  </si>
  <si>
    <t>#CrunchingKoalas OR "Crunching Koalas"</t>
  </si>
  <si>
    <t>#ChairEntertainment | "Chair Entertainment"</t>
  </si>
  <si>
    <t>Developer - Chameleon Games</t>
  </si>
  <si>
    <t>Crypton Future Media</t>
  </si>
  <si>
    <t>#CryptonFutureMedia OR "Crypton Future Media"</t>
  </si>
  <si>
    <t>#ChameleonGames | "Chameleon Games"</t>
  </si>
  <si>
    <t>Developer - Chaosmonger Studio</t>
  </si>
  <si>
    <t>#ChaosmongerStudio OR "Chaosmonger Studio"</t>
  </si>
  <si>
    <t>Crystalline Green Ltd.</t>
  </si>
  <si>
    <t>#CrystallineGreenLtd OR "Crystalline Green Ltd."</t>
  </si>
  <si>
    <t>#ChaosmongerStudio | "Chaosmonger Studio"</t>
  </si>
  <si>
    <t>https://www.youtube.com/channel/UCV6SXuU-UKuqU1OJV0YakEw|</t>
  </si>
  <si>
    <t>Developer - Chasing Carrots</t>
  </si>
  <si>
    <t>Crytek</t>
  </si>
  <si>
    <t>https://www.youtube.com/channel/UCr0dIxUwa5uR8Wm5VZxVwnQ|</t>
  </si>
  <si>
    <t>#Crytek OR "Crytek"</t>
  </si>
  <si>
    <t>#ChasingCarrots | "Chasing Carrots"</t>
  </si>
  <si>
    <t>Developer - Chasing Rats Games</t>
  </si>
  <si>
    <t>#ChasingRatsGames OR "Chasing Rats Games"</t>
  </si>
  <si>
    <t>Crytivo</t>
  </si>
  <si>
    <t>https://www.youtube.com/channel/UCu_6L8UWLnES7qm11yXBjcg|</t>
  </si>
  <si>
    <t>#Crytivo OR "Crytivo"</t>
  </si>
  <si>
    <t>#ChasingRatsGames | "Chasing Rats Games"</t>
  </si>
  <si>
    <t>https://www.youtube.com/channel/UCq6VQlVONnNmDMir68WRGZg|</t>
  </si>
  <si>
    <t>Developer - Cheat Code Studios</t>
  </si>
  <si>
    <t>csgood</t>
  </si>
  <si>
    <t>#csgood OR "csgood"</t>
  </si>
  <si>
    <t>#CheatCodeStudios | "Cheat Code Studios"</t>
  </si>
  <si>
    <t>Developer - Chequered Ink Ltd.</t>
  </si>
  <si>
    <t>#ChequeredInkLtd OR "Chequered Ink Ltd."</t>
  </si>
  <si>
    <t>Cunning Force Games</t>
  </si>
  <si>
    <t>https://www.youtube.com/user/CunningForceGames|</t>
  </si>
  <si>
    <t>#CunningForceGames OR "Cunning Force Games"</t>
  </si>
  <si>
    <t>#ChequeredInkLtd | "Chequered Ink Ltd."</t>
  </si>
  <si>
    <t>https://www.youtube.com/channel/UCK-YdecrUDQd5Fmi7-ooUlA|</t>
  </si>
  <si>
    <t>Developer - cherepets</t>
  </si>
  <si>
    <t>Curvature Systems LLC</t>
  </si>
  <si>
    <t>https://www.youtube.com/channel/UClhso48OhWopGoRM_C0hhbg|</t>
  </si>
  <si>
    <t>#CurvatureSystemsLLC OR "Curvature Systems LLC"</t>
  </si>
  <si>
    <t>#cherepets | "cherepets"</t>
  </si>
  <si>
    <t>Developer - Cherry Pop Games</t>
  </si>
  <si>
    <t>Curve Digital</t>
  </si>
  <si>
    <t>https://www.youtube.com/channel/UC-Bon47XlksTjY7XrFgiajg|</t>
  </si>
  <si>
    <t>#CurveDigital OR "Curve Digital"</t>
  </si>
  <si>
    <t>#CherryPopGames | "Cherry Pop Games"</t>
  </si>
  <si>
    <t>Developer - Chibig</t>
  </si>
  <si>
    <t>Curve Digital Games</t>
  </si>
  <si>
    <t>https://www.youtube.com/user/curvestudios|</t>
  </si>
  <si>
    <t>#CurveDigitalGames OR "Curve Digital Games"</t>
  </si>
  <si>
    <t>#Chibig | "Chibig"</t>
  </si>
  <si>
    <t>Developer - ChickenCat Games</t>
  </si>
  <si>
    <t>Curve Studios</t>
  </si>
  <si>
    <t>#CurveStudios OR "Curve Studios"</t>
  </si>
  <si>
    <t>#ChickenCatGames | "ChickenCat Games"</t>
  </si>
  <si>
    <r>
      <rPr>
        <rFont val="Arial"/>
        <color rgb="FF000000"/>
      </rPr>
      <t>https://www.youtube.com/channel/UC1lHoyIA9vlMSEwl4sdWi8w</t>
    </r>
    <r>
      <rPr>
        <rFont val="Arial"/>
        <color rgb="FF000000"/>
      </rPr>
      <t>|</t>
    </r>
  </si>
  <si>
    <t>Developer - ChiliDog Interactive</t>
  </si>
  <si>
    <t>Cute Cat LLC</t>
  </si>
  <si>
    <t>#CuteCatLLC OR "Cute Cat LLC"</t>
  </si>
  <si>
    <t>#ChiliDogInteractive | "ChiliDog Interactive"</t>
  </si>
  <si>
    <t>Developer - ChiliDog Interactive/ Alawar Premium</t>
  </si>
  <si>
    <t>#ChiliDogInteractiveAlawarPremium OR "ChiliDog Interactive/ Alawar Premium"</t>
  </si>
  <si>
    <t>Cyan Worlds</t>
  </si>
  <si>
    <t>#CyanWorlds OR "Cyan Worlds"</t>
  </si>
  <si>
    <t>#ChiliDogInteractiveAlawarPremium | "ChiliDog Interactive/ Alawar Premium"</t>
  </si>
  <si>
    <t>Developer - Chilled Mouse</t>
  </si>
  <si>
    <t>Cyan, Inc.</t>
  </si>
  <si>
    <t>#CyanInc OR "Cyan,"</t>
  </si>
  <si>
    <t>#ChilledMouse | "Chilled Mouse"</t>
  </si>
  <si>
    <t>Developer - Choice Provisions</t>
  </si>
  <si>
    <t>Cyber Rhino Studios</t>
  </si>
  <si>
    <t>https://www.youtube.com/user/cyberrhinostudios|</t>
  </si>
  <si>
    <t>#CyberRhinoStudios OR "Cyber Rhino Studios"</t>
  </si>
  <si>
    <t>#ChoiceProvisions | "Choice Provisions"</t>
  </si>
  <si>
    <t>Developer - Chorus Worldwide</t>
  </si>
  <si>
    <t>CyberConnect2</t>
  </si>
  <si>
    <t>https://www.youtube.com/channel/UCSPhag9Z7Qh5sGX4GVMLusQ|</t>
  </si>
  <si>
    <t>#CyberConnect2 OR "CyberConnect2"</t>
  </si>
  <si>
    <t>#ChorusWorldwide | "Chorus Worldwide"</t>
  </si>
  <si>
    <t>Developer - Chris Anselmo</t>
  </si>
  <si>
    <t>#ChrisAnselmo OR "Chris Anselmo"</t>
  </si>
  <si>
    <t>Cyberstep</t>
  </si>
  <si>
    <t>https://www.youtube.com/channel/UCvLOE9BFZYmlYWLd9eC8cOw|</t>
  </si>
  <si>
    <t>#Cyberstep OR "Cyberstep"</t>
  </si>
  <si>
    <t>#ChrisAnselmo | "Chris Anselmo"</t>
  </si>
  <si>
    <t>Developer - Christodoulou Apps</t>
  </si>
  <si>
    <t>#ChristodoulouApps OR "Christodoulou Apps"</t>
  </si>
  <si>
    <t>Cypronia</t>
  </si>
  <si>
    <t>https://www.youtube.com/channel/UCGH7aMr3A8oxeBonvoecJnA|</t>
  </si>
  <si>
    <t>#Cypronia OR "Cypronia"</t>
  </si>
  <si>
    <t>#ChristodoulouApps | "Christodoulou Apps"</t>
  </si>
  <si>
    <t>Developer - Chromatic Games</t>
  </si>
  <si>
    <t>D'Avekki Studios Limited</t>
  </si>
  <si>
    <t>https://www.youtube.com/channel/UCqEjiVMOBQPRwHxS3Wd-cww|</t>
  </si>
  <si>
    <t>#DAvekkiStudiosLimited OR "D'Avekki Studios Limited"</t>
  </si>
  <si>
    <t>#ChromaticGames | "Chromatic Games"</t>
  </si>
  <si>
    <r>
      <rPr>
        <rFont val="Arial"/>
        <color rgb="FF000000"/>
      </rPr>
      <t>https://www.youtube.com/channel/UC6rak1lOnwEAvajI5QY65nQ</t>
    </r>
    <r>
      <rPr>
        <rFont val="Arial"/>
        <color rgb="FF000000"/>
      </rPr>
      <t>|</t>
    </r>
  </si>
  <si>
    <t>Developer - Chubby Pixel</t>
  </si>
  <si>
    <t>D3Publisher</t>
  </si>
  <si>
    <t>https://www.youtube.com/user/d3publisher|</t>
  </si>
  <si>
    <t>#D3Publisher OR "D3Publisher"</t>
  </si>
  <si>
    <t>#ChubbyPixel | "Chubby Pixel"</t>
  </si>
  <si>
    <t>Developer - Chucklefish</t>
  </si>
  <si>
    <t>Daedalic Entertainment</t>
  </si>
  <si>
    <t>https://www.youtube.com/channel/UCJc-FppH_dRbXWOpUK-7fjg|</t>
  </si>
  <si>
    <t>#DaedalicEntertainment OR "Daedalic Entertainment"</t>
  </si>
  <si>
    <t>#Chucklefish | "Chucklefish"</t>
  </si>
  <si>
    <t>Developer - CI Games</t>
  </si>
  <si>
    <t>Daidai Inc.</t>
  </si>
  <si>
    <r>
      <rPr>
        <rFont val="Calibri, sans-serif"/>
        <color rgb="FF000000"/>
        <sz val="10.0"/>
      </rPr>
      <t>https://www.youtube.com/channel/UCmFDcc0yhzVssyAxjJk-xbA</t>
    </r>
    <r>
      <rPr>
        <rFont val="Calibri, sans-serif"/>
        <color rgb="FF000000"/>
        <sz val="10.0"/>
      </rPr>
      <t>|</t>
    </r>
  </si>
  <si>
    <t>#DaidaiInc OR "Daidai"</t>
  </si>
  <si>
    <t>#CIGames | "CI Games"</t>
  </si>
  <si>
    <t>Developer - CINIC Games</t>
  </si>
  <si>
    <t>Daily Magic Productions</t>
  </si>
  <si>
    <r>
      <rPr>
        <rFont val="Calibri, sans-serif"/>
        <color rgb="FF000000"/>
        <sz val="10.0"/>
      </rPr>
      <t>https://www.youtube.com/channel/UCu7sQ3Cif97DT9Gha2xa0pA</t>
    </r>
    <r>
      <rPr>
        <rFont val="Calibri, sans-serif"/>
        <color rgb="FF000000"/>
        <sz val="10.0"/>
      </rPr>
      <t>|</t>
    </r>
  </si>
  <si>
    <t>#DailyMagicProductions OR "Daily Magic Productions"</t>
  </si>
  <si>
    <t>#CINICGames | "CINIC Games"</t>
  </si>
  <si>
    <t>Developer - Cinopt Studios LLC</t>
  </si>
  <si>
    <t>#CinoptStudiosLLC OR "Cinopt Studios LLC"</t>
  </si>
  <si>
    <t>Dakko Dakko</t>
  </si>
  <si>
    <t>https://www.youtube.com/channel/UCtCJoaHe3M39HgZ3WbRBa3A|</t>
  </si>
  <si>
    <t>#DakkoDakko OR "Dakko Dakko"</t>
  </si>
  <si>
    <t>#CinoptStudiosLLC | "Cinopt Studios LLC"</t>
  </si>
  <si>
    <r>
      <rPr>
        <rFont val="Arial"/>
        <color rgb="FF000000"/>
      </rPr>
      <t>https://www.youtube.com/channel/UCvf5vQrJDPCiX1EFz0776Ew</t>
    </r>
    <r>
      <rPr>
        <rFont val="Arial"/>
        <color rgb="FF000000"/>
      </rPr>
      <t>|</t>
    </r>
  </si>
  <si>
    <t>Developer - City Interactive</t>
  </si>
  <si>
    <t>Dan &amp; Gary Games</t>
  </si>
  <si>
    <t>https://www.youtube.com/channel/UCjj867kQSeLvBZQoOzQdEWg|</t>
  </si>
  <si>
    <t>#DanandGaryGames OR "Dan &amp; Gary Games"</t>
  </si>
  <si>
    <t>#CityInteractive | "City Interactive"</t>
  </si>
  <si>
    <t>Developer - cKolmos Games</t>
  </si>
  <si>
    <t>#cKolmosGames OR "cKolmos Games"</t>
  </si>
  <si>
    <t>Dan Fornace</t>
  </si>
  <si>
    <t>https://www.youtube.com/channel/UCyyvu9ozrRszkUqQWPEtj3Q|</t>
  </si>
  <si>
    <t>#DanFornace OR "Dan Fornace"</t>
  </si>
  <si>
    <t>#cKolmosGames | "cKolmos Games"</t>
  </si>
  <si>
    <r>
      <rPr>
        <rFont val="Arial"/>
        <color rgb="FF000000"/>
      </rPr>
      <t>https://www.youtube.com/channel/UCu9CIEH-NA94HyM64Gtf8sg</t>
    </r>
    <r>
      <rPr>
        <rFont val="Arial"/>
        <color rgb="FF000000"/>
      </rPr>
      <t>|</t>
    </r>
  </si>
  <si>
    <t>Developer - Claeys Brothers Arts</t>
  </si>
  <si>
    <t>#ClaeysBrothersArts OR "Claeys Brothers Arts"</t>
  </si>
  <si>
    <t>DANGEN Entertainment</t>
  </si>
  <si>
    <t>https://www.youtube.com/dangenentertainment|</t>
  </si>
  <si>
    <t>#DANGENEntertainment OR "DANGEN Entertainment"</t>
  </si>
  <si>
    <t>#ClaeysBrothersArts | "Claeys Brothers Arts"</t>
  </si>
  <si>
    <t>https://www.youtube.com/channel/UCGMlfwfV286edst9FTZqtKg|</t>
  </si>
  <si>
    <t>Developer - Clapfoot Inc.</t>
  </si>
  <si>
    <t>Daniel Janak</t>
  </si>
  <si>
    <t>#DanielJanak OR "Daniel Janak"</t>
  </si>
  <si>
    <t>#ClapfootInc | "Clapfoot"</t>
  </si>
  <si>
    <t>Developer - Claudio Catalano</t>
  </si>
  <si>
    <t>#ClaudioCatalano OR "Claudio Catalano"</t>
  </si>
  <si>
    <t>Daniel Wengenroth</t>
  </si>
  <si>
    <t>#DanielWengenroth OR "Daniel Wengenroth"</t>
  </si>
  <si>
    <t>#ClaudioCatalano | "Claudio Catalano"</t>
  </si>
  <si>
    <t>Developer - Clever Beans</t>
  </si>
  <si>
    <t>#CleverBeans OR "Clever Beans"</t>
  </si>
  <si>
    <t>Dark Sun Pictures</t>
  </si>
  <si>
    <r>
      <rPr>
        <rFont val="Calibri, sans-serif"/>
        <color rgb="FF000000"/>
        <sz val="10.0"/>
      </rPr>
      <t>https://www.youtube.com/channel/UCQViKjAN5SnFkc0tGycUEHQ</t>
    </r>
    <r>
      <rPr>
        <rFont val="Calibri, sans-serif"/>
        <color rgb="FF000000"/>
        <sz val="10.0"/>
      </rPr>
      <t>|</t>
    </r>
  </si>
  <si>
    <t>#DarkSunPictures OR "Dark Sun Pictures"</t>
  </si>
  <si>
    <t>#CleverBeans | "Clever Beans"</t>
  </si>
  <si>
    <t>Developer - Clever Endeavour Games</t>
  </si>
  <si>
    <t>Dark-1</t>
  </si>
  <si>
    <r>
      <rPr>
        <rFont val="Calibri, sans-serif"/>
        <color rgb="FF000000"/>
        <sz val="10.0"/>
      </rPr>
      <t>https://www.youtube.com/channel/UCsAEJVo7vFGFhKv2g6DcfYg</t>
    </r>
    <r>
      <rPr>
        <rFont val="Calibri, sans-serif"/>
        <color rgb="FF000000"/>
        <sz val="10.0"/>
      </rPr>
      <t>|</t>
    </r>
  </si>
  <si>
    <t>#Dark1 OR "Dark-1"</t>
  </si>
  <si>
    <t>#CleverEndeavourGames | "Clever Endeavour Games"</t>
  </si>
  <si>
    <t>Developer - Clever Plays</t>
  </si>
  <si>
    <t>DarkDes Labs</t>
  </si>
  <si>
    <t>https://www.youtube.com/channel/UClBWPjHhRcwuev9K-z3Dd5g|</t>
  </si>
  <si>
    <t>#DarkDesLabs OR "DarkDes Labs"</t>
  </si>
  <si>
    <t>#CleverPlays | "Clever Plays"</t>
  </si>
  <si>
    <t>Developer - Cleversan Games</t>
  </si>
  <si>
    <t>#CleversanGames OR "Cleversan Games"</t>
  </si>
  <si>
    <t>Darkwind Media</t>
  </si>
  <si>
    <t>#DarkwindMedia OR "Darkwind Media"</t>
  </si>
  <si>
    <t>#CleversanGames | "Cleversan Games"</t>
  </si>
  <si>
    <r>
      <rPr>
        <rFont val="Arial"/>
        <color rgb="FF000000"/>
      </rPr>
      <t>https://www.youtube.com/channel/UC9lArftjLWXIeFeItSPivNw</t>
    </r>
    <r>
      <rPr>
        <rFont val="Arial"/>
        <color rgb="FF000000"/>
      </rPr>
      <t>|</t>
    </r>
  </si>
  <si>
    <t>Developer - Clickteam</t>
  </si>
  <si>
    <t>Dashing Strike</t>
  </si>
  <si>
    <t>https://www.youtube.com/channel/UCbmh0yNawrORQCz2KXBpk-g|</t>
  </si>
  <si>
    <t>#DashingStrike OR "Dashing Strike"</t>
  </si>
  <si>
    <t>#Clickteam | "Clickteam"</t>
  </si>
  <si>
    <t>Developer - Climax Studios</t>
  </si>
  <si>
    <t>David Grof s.p.</t>
  </si>
  <si>
    <t>#DavidGrofsp OR "David Grof s.p."</t>
  </si>
  <si>
    <t>#ClimaxStudios | "Climax Studios"</t>
  </si>
  <si>
    <t>Developer - Cloak and Dagger Games</t>
  </si>
  <si>
    <t>David OReilly</t>
  </si>
  <si>
    <r>
      <rPr>
        <rFont val="Calibri, sans-serif"/>
        <color rgb="FF000000"/>
        <sz val="10.0"/>
        <u/>
      </rPr>
      <t>https://www.youtube.com/channel/UCk6v27AaTvbEG5ItDsCeC8A</t>
    </r>
    <r>
      <rPr>
        <rFont val="Calibri, sans-serif"/>
        <color rgb="FF000000"/>
        <sz val="10.0"/>
      </rPr>
      <t>|</t>
    </r>
  </si>
  <si>
    <t>#DavidOReilly OR "David OReilly"</t>
  </si>
  <si>
    <t>#CloakandDaggerGames | "Cloak and Dagger Games"</t>
  </si>
  <si>
    <t>Developer - ClockStone Studio</t>
  </si>
  <si>
    <t>#ClockStoneStudio OR "ClockStone Studio"</t>
  </si>
  <si>
    <t>David Wehle</t>
  </si>
  <si>
    <t>https://www.youtube.com/channel/UCKP-9R75QFQX-5Au3HyfjzA|</t>
  </si>
  <si>
    <t>#DavidWehle OR "David Wehle"</t>
  </si>
  <si>
    <t>#ClockStoneStudio | "ClockStone Studio"</t>
  </si>
  <si>
    <t>Developer - Clockwork Origins</t>
  </si>
  <si>
    <t>david-lewis.com</t>
  </si>
  <si>
    <t>#davidlewiscom OR "david-lewis.com"</t>
  </si>
  <si>
    <t>#ClockworkOrigins | "Clockwork Origins"</t>
  </si>
  <si>
    <t>Developer - Cloisters</t>
  </si>
  <si>
    <t>#Cloisters OR "Cloisters"</t>
  </si>
  <si>
    <t>Daybreak Games</t>
  </si>
  <si>
    <t>https://www.youtube.com/channel/UCvLZ2K_L7iaoyUQX1Hkjl0Q|</t>
  </si>
  <si>
    <t>#DaybreakGames OR "Daybreak Games"</t>
  </si>
  <si>
    <t>#Cloisters | "Cloisters"</t>
  </si>
  <si>
    <t>Developer - Cloud5 Studios</t>
  </si>
  <si>
    <t>DB Creations</t>
  </si>
  <si>
    <t>https://www.youtube.com/channel/UC2L2yLymRfazSksdvowhU_g|</t>
  </si>
  <si>
    <t>#DBCreations OR "DB Creations"</t>
  </si>
  <si>
    <t>#Cloud5Studios | "Cloud5 Studios"</t>
  </si>
  <si>
    <t>Developer - CO5MONAUT</t>
  </si>
  <si>
    <t>#CO5MONAUT OR "CO5MONAUT"</t>
  </si>
  <si>
    <t>DCF Studios</t>
  </si>
  <si>
    <t>https://www.youtube.com/channel/UCDQsVGtrgdVGyDbdlOYyqLA|</t>
  </si>
  <si>
    <t>#DCFStudios OR "DCF Studios"</t>
  </si>
  <si>
    <t>#CO5MONAUT | "CO5MONAUT"</t>
  </si>
  <si>
    <t>https://www.youtube.com/channel/UCLZkuKQg4UhpY5BtMNxrvaA|</t>
  </si>
  <si>
    <t>Developer - Coatsink Software</t>
  </si>
  <si>
    <t>dchr1sto</t>
  </si>
  <si>
    <t>#dchr1sto OR "dchr1sto"</t>
  </si>
  <si>
    <t>#CoatsinkSoftware | "Coatsink Software"</t>
  </si>
  <si>
    <t>Developer - Coco Cucumber</t>
  </si>
  <si>
    <t>Dead Drop Studios LLC</t>
  </si>
  <si>
    <t>#CocoCucumber | "Coco Cucumber"</t>
  </si>
  <si>
    <t>Developer - Cococucumber</t>
  </si>
  <si>
    <t>Dead Mage</t>
  </si>
  <si>
    <t>https://www.youtube.com/user/deadmagestudio|</t>
  </si>
  <si>
    <t>#DeadMage OR "Dead Mage"</t>
  </si>
  <si>
    <t>#Cococucumber | "Cococucumber"</t>
  </si>
  <si>
    <t>Developer - Code Avarice</t>
  </si>
  <si>
    <t>#CodeAvarice OR "Code Avarice"</t>
  </si>
  <si>
    <t>Dead Mage Studio</t>
  </si>
  <si>
    <t>#DeadMageStudio OR "Dead Mage Studio"</t>
  </si>
  <si>
    <t>#CodeAvarice | "Code Avarice"</t>
  </si>
  <si>
    <t>https://www.youtube.com/channel/UCSiZc-Tl2uT0CumpQY-v1NQ|</t>
  </si>
  <si>
    <t>Developer - Code Headquarters</t>
  </si>
  <si>
    <t>#CodeHeadquarters OR "Code Headquarters"</t>
  </si>
  <si>
    <t>Dear Villagers</t>
  </si>
  <si>
    <t>https://www.youtube.com/channel/UCMRoOwD0UfPzNqCevbkKfaQ|</t>
  </si>
  <si>
    <t>#DearVillagers OR "Dear Villagers"</t>
  </si>
  <si>
    <t>#CodeHeadquarters | "Code Headquarters"</t>
  </si>
  <si>
    <t>Developer - Code Horizon</t>
  </si>
  <si>
    <t>Deck 13</t>
  </si>
  <si>
    <t>https://www.youtube.com/channel/UCKI7CWYr-C89WmQ9I0TwVIQ|</t>
  </si>
  <si>
    <t>#Deck13 OR "Deck 13"</t>
  </si>
  <si>
    <t>#CodeHorizon | "Code Horizon"</t>
  </si>
  <si>
    <t>Developer - Code Mystics Inc.</t>
  </si>
  <si>
    <t>#CodeMysticsInc OR "Code Mystics"</t>
  </si>
  <si>
    <t>DECK13 INTERACTIVE GMBH</t>
  </si>
  <si>
    <t>#DECK13INTERACTIVEGMBH OR "DECK13 INTERACTIVE GMBH"</t>
  </si>
  <si>
    <t>#CodeMysticsInc | "Code Mystics"</t>
  </si>
  <si>
    <t>Developer - Codebyfire</t>
  </si>
  <si>
    <t>#Codebyfire OR "Codebyfire"</t>
  </si>
  <si>
    <t>DECK13 Spotlight</t>
  </si>
  <si>
    <t>#DECK13Spotlight OR "DECK13 Spotlight"</t>
  </si>
  <si>
    <t>#Codebyfire | "Codebyfire"</t>
  </si>
  <si>
    <t>Developer - Coded Cole</t>
  </si>
  <si>
    <t>Deco Digital</t>
  </si>
  <si>
    <t>https://www.youtube.com/channel/UCBJ_XRiO7wWT51gelsVPEfQ|</t>
  </si>
  <si>
    <t>#DecoDigital OR "Deco Digital"</t>
  </si>
  <si>
    <t>#CodedCole | "Coded Cole"</t>
  </si>
  <si>
    <t>Developer - CodeManu</t>
  </si>
  <si>
    <t>#CodeManu OR "CodeManu"</t>
  </si>
  <si>
    <t>Decoy Games</t>
  </si>
  <si>
    <t>https://www.youtube.com/channel/UCDATOy5R-wJ0JGP_8dl5DmA|</t>
  </si>
  <si>
    <t>#DecoyGames OR "Decoy Games"</t>
  </si>
  <si>
    <t>#CodeManu | "CodeManu"</t>
  </si>
  <si>
    <t>https://www.youtube.com/channel/UC3bBgr8s4HD6TzWtoNUO5Tg|</t>
  </si>
  <si>
    <t>Developer - Codemasters</t>
  </si>
  <si>
    <t>Deeli network</t>
  </si>
  <si>
    <t>#Deelinetwork OR "Deeli network"</t>
  </si>
  <si>
    <t>#Codemasters | "Codemasters"</t>
  </si>
  <si>
    <t>Developer - Codename Entertainment</t>
  </si>
  <si>
    <t>Deep Silver</t>
  </si>
  <si>
    <t>https://www.youtube.com/user/deepsilverhq|</t>
  </si>
  <si>
    <t>#DeepSilver OR "Deep Silver"</t>
  </si>
  <si>
    <t>#CodenameEntertainment | "Codename Entertainment"</t>
  </si>
  <si>
    <t>Developer - Codestalkers</t>
  </si>
  <si>
    <t>DeerFarm</t>
  </si>
  <si>
    <t>https://www.youtube.com/channel/UCfyVO1tzZki6RPO2N0aSesw|</t>
  </si>
  <si>
    <t>#DeerFarm OR "DeerFarm"</t>
  </si>
  <si>
    <t>#Codestalkers | "Codestalkers"</t>
  </si>
  <si>
    <t>Developer - Coffee Stain Studios</t>
  </si>
  <si>
    <t>DeerVR Games</t>
  </si>
  <si>
    <r>
      <rPr>
        <rFont val="Calibri, sans-serif"/>
        <color rgb="FF000000"/>
        <sz val="10.0"/>
        <u/>
      </rPr>
      <t>https://www.youtube.com/channel/UCjbVWYymnzT1GJTk-2or-yw</t>
    </r>
    <r>
      <rPr>
        <rFont val="Calibri, sans-serif"/>
        <color rgb="FF000000"/>
        <sz val="10.0"/>
      </rPr>
      <t>|</t>
    </r>
  </si>
  <si>
    <t>#DeerVRGames OR "DeerVR Games"</t>
  </si>
  <si>
    <t>#CoffeeStainStudios | "Coffee Stain Studios"</t>
  </si>
  <si>
    <t>Developer - Cogg Games Ltd</t>
  </si>
  <si>
    <t>Defiant Development</t>
  </si>
  <si>
    <t>https://www.youtube.com/user/DefiantDevelopment|</t>
  </si>
  <si>
    <t>#DefiantDevelopment OR "Defiant Development"</t>
  </si>
  <si>
    <t>#CoggGamesLtd | "Cogg Games Ltd"</t>
  </si>
  <si>
    <t>Developer - Cold Iron Studios</t>
  </si>
  <si>
    <t>Degica</t>
  </si>
  <si>
    <t>https://www.youtube.com/channel/UCb_tgYLJWrELKty_e4ppYjQ|</t>
  </si>
  <si>
    <t>#Degica OR "Degica"</t>
  </si>
  <si>
    <t>#ColdIronStudios | "Cold Iron Studios"</t>
  </si>
  <si>
    <t>Developer - Cold Symmetry</t>
  </si>
  <si>
    <t>#ColdSymmetry OR "Cold Symmetry"</t>
  </si>
  <si>
    <t>DELiGHTWORKS</t>
  </si>
  <si>
    <t>https://www.youtube.com/channel/UC9QPXd85q5LTOBN3U9j_GHQ|</t>
  </si>
  <si>
    <t>#DELiGHTWORKS OR "DELiGHTWORKS"</t>
  </si>
  <si>
    <t>#ColdSymmetry | "Cold Symmetry"</t>
  </si>
  <si>
    <t>https://www.youtube.com/channel/UCWxJv0Fl32fY-c1f2x8Pcew|</t>
  </si>
  <si>
    <t>Developer - Coldwild Games</t>
  </si>
  <si>
    <t>DenySoft</t>
  </si>
  <si>
    <t>https://www.youtube.com/user/denysoft|</t>
  </si>
  <si>
    <t>#DenySoft OR "DenySoft"</t>
  </si>
  <si>
    <t>#ColdwildGames | "Coldwild Games"</t>
  </si>
  <si>
    <t>Developer - Coldwood Interactive</t>
  </si>
  <si>
    <t>#ColdwoodInteractive OR "Coldwood Interactive"</t>
  </si>
  <si>
    <t>Depth First Games</t>
  </si>
  <si>
    <t>#DepthFirstGames OR "Depth First Games"</t>
  </si>
  <si>
    <t>#ColdwoodInteractive | "Coldwood Interactive"</t>
  </si>
  <si>
    <t>Developer - Colossal Order</t>
  </si>
  <si>
    <t>#ColossalOrder OR "Colossal Order"</t>
  </si>
  <si>
    <t>Desert Owl Games LLC</t>
  </si>
  <si>
    <t>https://www.youtube.com/channel/UCCblyqX1pWFmnuINPNTLGMA|</t>
  </si>
  <si>
    <t>#DesertOwlGamesLLC OR "Desert Owl Games LLC"</t>
  </si>
  <si>
    <t>#ColossalOrder | "Colossal Order"</t>
  </si>
  <si>
    <t>https://www.youtube.com/channel/UCV9RoEcgAO1Uc7oxZGS8Lkw|</t>
  </si>
  <si>
    <t>Developer - com8com1 Software</t>
  </si>
  <si>
    <t>#com8com1Software OR "com8com1 Software"</t>
  </si>
  <si>
    <t>Destructive Creations</t>
  </si>
  <si>
    <t>https://www.youtube.com/channel/UCVMc2168-OD1mYhdE7425BA|</t>
  </si>
  <si>
    <t>#DestructiveCreations OR "Destructive Creations"</t>
  </si>
  <si>
    <t>#com8com1Software | "com8com1 Software"</t>
  </si>
  <si>
    <r>
      <rPr>
        <rFont val="Arial"/>
        <color rgb="FF000000"/>
      </rPr>
      <t>https://www.youtube.com/channel/UCxoUxO4vIzEZLhvOQSDsxbQ</t>
    </r>
    <r>
      <rPr>
        <rFont val="Arial"/>
        <color rgb="FF000000"/>
      </rPr>
      <t>|</t>
    </r>
  </si>
  <si>
    <t>Developer - comcept</t>
  </si>
  <si>
    <t>#comcept OR "comcept"</t>
  </si>
  <si>
    <t>Deverydoo</t>
  </si>
  <si>
    <t>https://www.youtube.com/channel/UCyFFILr7aXAvtBrAC6KcI7A|</t>
  </si>
  <si>
    <t>#Deverydoo OR "Deverydoo"</t>
  </si>
  <si>
    <t>#comcept | "comcept"</t>
  </si>
  <si>
    <t>Developer - CompaNova LLC</t>
  </si>
  <si>
    <t>Devespresso Games</t>
  </si>
  <si>
    <t>https://www.youtube.com/channel/UCuJc40JCZXgr3fw9_hSCPIw|</t>
  </si>
  <si>
    <t>#DevespressoGames OR "Devespresso Games"</t>
  </si>
  <si>
    <t>#CompaNovaLLC | "CompaNova LLC"</t>
  </si>
  <si>
    <t>Developer - Compile Heart</t>
  </si>
  <si>
    <t>#CompileHeart OR "Compile Heart"</t>
  </si>
  <si>
    <t>DevilishGames</t>
  </si>
  <si>
    <t>https://www.youtube.com/channel/UCUcsl2YoHHShU3gbYZg_rYA|</t>
  </si>
  <si>
    <t>#DevilishGames OR "DevilishGames"</t>
  </si>
  <si>
    <t>#CompileHeart | "Compile Heart"</t>
  </si>
  <si>
    <t>https://www.youtube.com/user/compileheartofficial|</t>
  </si>
  <si>
    <t>Developer - Compulsion Games</t>
  </si>
  <si>
    <t>Devolver Digital</t>
  </si>
  <si>
    <t>https://www.youtube.com/channel/UCSc6s-ZJXKlSQr51dsox34g|</t>
  </si>
  <si>
    <t>#DevolverDigital OR "Devolver Digital"</t>
  </si>
  <si>
    <t>#CompulsionGames | "Compulsion Games"</t>
  </si>
  <si>
    <t>Developer - Con Artist Games</t>
  </si>
  <si>
    <t>Dhood Productions</t>
  </si>
  <si>
    <r>
      <rPr>
        <rFont val="Calibri, sans-serif"/>
        <color rgb="FF000000"/>
        <sz val="10.0"/>
        <u/>
      </rPr>
      <t>https://www.youtube.com/channel/UC96wQPu5Af8Zv97nFm0z1SA</t>
    </r>
    <r>
      <rPr>
        <rFont val="Calibri, sans-serif"/>
        <color rgb="FF000000"/>
        <sz val="10.0"/>
      </rPr>
      <t>|</t>
    </r>
  </si>
  <si>
    <t>#DhoodProductions OR "Dhood Productions"</t>
  </si>
  <si>
    <t>#ConArtistGames | "Con Artist Games"</t>
  </si>
  <si>
    <t>Developer - Constantin Graf</t>
  </si>
  <si>
    <t>Die Gute Fabrik</t>
  </si>
  <si>
    <t>https://www.youtube.com/user/gutefabrik|</t>
  </si>
  <si>
    <t>#DieGuteFabrik OR "Die Gute Fabrik"</t>
  </si>
  <si>
    <t>#ConstantinGraf | "Constantin Graf"</t>
  </si>
  <si>
    <r>
      <rPr>
        <rFont val="Arial"/>
        <color rgb="FF000000"/>
      </rPr>
      <t>https://www.youtube.com/channel/UCkEbuvJ8zbudTyfJWSfETRQ</t>
    </r>
    <r>
      <rPr>
        <rFont val="Arial"/>
        <color rgb="FF000000"/>
      </rPr>
      <t>|</t>
    </r>
  </si>
  <si>
    <t>Developer - Contigo Games</t>
  </si>
  <si>
    <t>#ContigoGames OR "Contigo Games"</t>
  </si>
  <si>
    <t>Digerati</t>
  </si>
  <si>
    <r>
      <rPr>
        <rFont val="Calibri, sans-serif"/>
        <color rgb="FF000000"/>
        <sz val="10.0"/>
        <u/>
      </rPr>
      <t>https://www.youtube.com/channel/UCNorJVNaR2bqOkbBsBfdvbA</t>
    </r>
    <r>
      <rPr>
        <rFont val="Calibri, sans-serif"/>
        <color rgb="FF000000"/>
        <sz val="10.0"/>
      </rPr>
      <t>|</t>
    </r>
  </si>
  <si>
    <t>#Digerati OR "Digerati"</t>
  </si>
  <si>
    <t>#ContigoGames | "Contigo Games"</t>
  </si>
  <si>
    <t>https://www.youtube.com/user/contigogames|</t>
  </si>
  <si>
    <t>Developer - Convict Games</t>
  </si>
  <si>
    <t>Digerati Distribution</t>
  </si>
  <si>
    <t>https://www.youtube.com/channel/UCNorJVNaR2bqOkbBsBfdvbA|</t>
  </si>
  <si>
    <t>#DigeratiDistribution OR "Digerati Distribution"</t>
  </si>
  <si>
    <t>#ConvictGames | "Convict Games"</t>
  </si>
  <si>
    <t>Developer - CooCooSqueaky</t>
  </si>
  <si>
    <t>#CooCooSqueaky OR "CooCooSqueaky"</t>
  </si>
  <si>
    <t>Diggidy</t>
  </si>
  <si>
    <t>#Diggidy OR "Diggidy"</t>
  </si>
  <si>
    <t>#CooCooSqueaky | "CooCooSqueaky"</t>
  </si>
  <si>
    <t>https://www.youtube.com/user/CooCooSqueaky|</t>
  </si>
  <si>
    <t>Developer - Cool-Two Interactive</t>
  </si>
  <si>
    <t>#CoolTwoInteractive OR "Cool-Two Interactive"</t>
  </si>
  <si>
    <t>Diggidy.net</t>
  </si>
  <si>
    <t>https://www.youtube.com/channel/UC3mfJzKP04AULd3YXPwxTbQ|</t>
  </si>
  <si>
    <t>#Diggidynet OR "Diggidy.net"</t>
  </si>
  <si>
    <t>#CoolTwoInteractive | "Cool-Two Interactive"</t>
  </si>
  <si>
    <t>Developer - Cordelia Games</t>
  </si>
  <si>
    <t>DIGHENTIS</t>
  </si>
  <si>
    <r>
      <rPr>
        <rFont val="Calibri, sans-serif"/>
        <color rgb="FF000000"/>
        <sz val="10.0"/>
        <u/>
      </rPr>
      <t>https://www.youtube.com/channel/UCCJthoDxZYmrWVfZ2QSiovw</t>
    </r>
    <r>
      <rPr>
        <rFont val="Calibri, sans-serif"/>
        <color rgb="FF000000"/>
        <sz val="10.0"/>
      </rPr>
      <t>|</t>
    </r>
  </si>
  <si>
    <t>#DIGHENTIS OR "DIGHENTIS"</t>
  </si>
  <si>
    <t>#CordeliaGames | "Cordelia Games"</t>
  </si>
  <si>
    <r>
      <rPr>
        <rFont val="Arial"/>
        <color rgb="FF000000"/>
      </rPr>
      <t>https://www.youtube.com/channel/UCqWWH5B21B_Xz3j7YtHUCVA</t>
    </r>
    <r>
      <rPr>
        <rFont val="Arial"/>
        <color rgb="FF000000"/>
      </rPr>
      <t>|</t>
    </r>
  </si>
  <si>
    <t>Developer - Corecell Technology</t>
  </si>
  <si>
    <t>Digiart Interactive</t>
  </si>
  <si>
    <t>https://www.youtube.com/channel/UCHxBM0Goc2CElaNakK6ej5A|</t>
  </si>
  <si>
    <t>#DigiartInteractive OR "Digiart Interactive"</t>
  </si>
  <si>
    <t>#CorecellTechnology | "Corecell Technology"</t>
  </si>
  <si>
    <t>Developer - Corey Martin</t>
  </si>
  <si>
    <t>#CoreyMartin OR "Corey Martin"</t>
  </si>
  <si>
    <t>Digital Continue</t>
  </si>
  <si>
    <t>https://www.youtube.com/channel/UC6q7NMFheFwyTAMcW0bgtxQ|</t>
  </si>
  <si>
    <t>#DigitalContinue OR "Digital Continue"</t>
  </si>
  <si>
    <t>#CoreyMartin | "Corey Martin"</t>
  </si>
  <si>
    <t>https://www.youtube.com/channel/UC6mp1dGFmDN96FPWPIbsqeQ|</t>
  </si>
  <si>
    <t>Developer - Cornfox &amp; Bros.</t>
  </si>
  <si>
    <t>Digital Crafter</t>
  </si>
  <si>
    <t>https://www.youtube.com/digitalcrafterteam|</t>
  </si>
  <si>
    <t>#DigitalCrafter OR "Digital Crafter"</t>
  </si>
  <si>
    <t>#CornfoxandBros | "Cornfox &amp; Bros."</t>
  </si>
  <si>
    <t>Developer - Cosen</t>
  </si>
  <si>
    <t>#Cosen OR "Cosen"</t>
  </si>
  <si>
    <t>Digital DNA Games</t>
  </si>
  <si>
    <t>https://www.youtube.com/channel/UCYXdezAOFnuyT6zPcLFZkag|</t>
  </si>
  <si>
    <t>#DigitalDNAGames OR "Digital DNA Games"</t>
  </si>
  <si>
    <t>#Cosen | "Cosen"</t>
  </si>
  <si>
    <t>https://www.youtube.com/channel/UC2WO-FWfsn_8d-W8un6l5aQ|</t>
  </si>
  <si>
    <t>Developer - Cosmic Forces</t>
  </si>
  <si>
    <t>Digital Domain</t>
  </si>
  <si>
    <r>
      <rPr>
        <rFont val="Calibri, sans-serif"/>
        <color rgb="FF000000"/>
        <sz val="10.0"/>
        <u/>
      </rPr>
      <t>https://www.youtube.com/channel/UCSgPTr9PWOyRfXanNJXnrsQ</t>
    </r>
    <r>
      <rPr>
        <rFont val="Calibri, sans-serif"/>
        <color rgb="FF000000"/>
        <sz val="10.0"/>
      </rPr>
      <t>|</t>
    </r>
  </si>
  <si>
    <t>#DigitalDomain OR "Digital Domain"</t>
  </si>
  <si>
    <t>#CosmicForces | "Cosmic Forces"</t>
  </si>
  <si>
    <t>Developer - Cosmic Picnic</t>
  </si>
  <si>
    <t>Digital Dreams</t>
  </si>
  <si>
    <t>https://www.youtube.com/channel/UCugFS09zZmVIDKq4NxHJT-w|</t>
  </si>
  <si>
    <t>#DigitalDreams OR "Digital Dreams"</t>
  </si>
  <si>
    <t>#CosmicPicnic | "Cosmic Picnic"</t>
  </si>
  <si>
    <t>Developer - Counterplay Games</t>
  </si>
  <si>
    <t>#CounterplayGames OR "Counterplay Games"</t>
  </si>
  <si>
    <t>Digital Dreams Entertainment LLC</t>
  </si>
  <si>
    <t>https://www.youtube.com/channel/UClpoPsEpwHc8_S5e6ssOAxA|</t>
  </si>
  <si>
    <t>#DigitalDreamsEntertainmentLLC OR "Digital Dreams Entertainment LLC"</t>
  </si>
  <si>
    <t>#CounterplayGames | "Counterplay Games"</t>
  </si>
  <si>
    <t>Developer - COWCAT</t>
  </si>
  <si>
    <t>Digital Eclipse</t>
  </si>
  <si>
    <t>https://www.youtube.com/channel/UCMNWgPOxVefpQ1T_h8I9dAg|</t>
  </si>
  <si>
    <t>#DigitalEclipse OR "Digital Eclipse"</t>
  </si>
  <si>
    <t>#COWCAT | "COWCAT"</t>
  </si>
  <si>
    <t>Developer - cozysoft</t>
  </si>
  <si>
    <t>Digital Extremes</t>
  </si>
  <si>
    <t>https://www.youtube.com/channel/UCBIdHvSAyoud-CNZOVKW2-w|</t>
  </si>
  <si>
    <t>#DigitalExtremes OR "Digital Extremes"</t>
  </si>
  <si>
    <t>#cozysoft | "cozysoft"</t>
  </si>
  <si>
    <t>Developer - Cracked Heads Games</t>
  </si>
  <si>
    <t>#CrackedHeadsGames OR "Cracked Heads Games"</t>
  </si>
  <si>
    <t>Digital Leisure</t>
  </si>
  <si>
    <t>https://www.youtube.com/channel/UC9_1DizGLQ_OmbEGPuTDIwA|</t>
  </si>
  <si>
    <t>#DigitalLeisure OR "Digital Leisure"</t>
  </si>
  <si>
    <t>#CrackedHeadsGames | "Cracked Heads Games"</t>
  </si>
  <si>
    <t>https://www.youtube.com/channel/UCb5GihS7VguzNP0-pF4HhdA|</t>
  </si>
  <si>
    <t>Developer - Crackshell</t>
  </si>
  <si>
    <t>Digital Leisure Inc.</t>
  </si>
  <si>
    <t>#DigitalLeisureInc OR "Digital Leisure"</t>
  </si>
  <si>
    <t>#Crackshell | "Crackshell"</t>
  </si>
  <si>
    <t>Developer - Cradle Games</t>
  </si>
  <si>
    <t>Digital Smash</t>
  </si>
  <si>
    <t>#DigitalSmash OR "Digital Smash"</t>
  </si>
  <si>
    <t>#CradleGames | "Cradle Games"</t>
  </si>
  <si>
    <t>Developer - Craftshop Arts Inc.</t>
  </si>
  <si>
    <t>Digital Sun</t>
  </si>
  <si>
    <r>
      <rPr>
        <rFont val="Calibri, sans-serif"/>
        <color rgb="FF000000"/>
        <sz val="10.0"/>
        <u/>
      </rPr>
      <t>https://www.youtube.com/channel/UCsfgc4LirS1i7HTam6DPvkg</t>
    </r>
    <r>
      <rPr>
        <rFont val="Calibri, sans-serif"/>
        <color rgb="FF000000"/>
        <sz val="10.0"/>
      </rPr>
      <t>|</t>
    </r>
  </si>
  <si>
    <t>#DigitalSun OR "Digital Sun"</t>
  </si>
  <si>
    <t>#CraftshopArtsInc | "Craftshop Arts"</t>
  </si>
  <si>
    <t>Developer - Crafty Studios</t>
  </si>
  <si>
    <t>#CraftyStudios OR "Crafty Studios"</t>
  </si>
  <si>
    <t>Digital Tentacle S.L.</t>
  </si>
  <si>
    <t>https://www.youtube.com/user/DigitalTentacle|</t>
  </si>
  <si>
    <t>#DigitalTentacleSL OR "Digital Tentacle S.L."</t>
  </si>
  <si>
    <t>#CraftyStudios | "Crafty Studios"</t>
  </si>
  <si>
    <t>Developer - Craneballs s.r.o.</t>
  </si>
  <si>
    <t>#Craneballssro OR "Craneballs s.r.o."</t>
  </si>
  <si>
    <t>Digital Tribe</t>
  </si>
  <si>
    <t>#DigitalTribe OR "Digital Tribe"</t>
  </si>
  <si>
    <t>#Craneballssro | "Craneballs s.r.o."</t>
  </si>
  <si>
    <t>https://www.youtube.com/channel/UCMnJPBbu4ird7u9BrI99qWw|</t>
  </si>
  <si>
    <t>Developer - Cranky Watermelon Pty Ltd</t>
  </si>
  <si>
    <t>digitaldav</t>
  </si>
  <si>
    <t>#digitaldav OR "digitaldav"</t>
  </si>
  <si>
    <t>#CrankyWatermelonPtyLtd | "Cranky Watermelon Pty Ltd"</t>
  </si>
  <si>
    <t>Developer - Crate Entertainment</t>
  </si>
  <si>
    <t>DigiToyz</t>
  </si>
  <si>
    <t>#DigiToyz OR "DigiToyz"</t>
  </si>
  <si>
    <t>#CrateEntertainment | "Crate Entertainment"</t>
  </si>
  <si>
    <t>Developer - Crazy Monkey Studios</t>
  </si>
  <si>
    <t>DillyFrame</t>
  </si>
  <si>
    <t>https://www.youtube.com/channel/UCqq11lmoePGmQBLdKt9k0sg|</t>
  </si>
  <si>
    <t>#DillyFrame OR "DillyFrame"</t>
  </si>
  <si>
    <t>#CrazyMonkeyStudios | "Crazy Monkey Studios"</t>
  </si>
  <si>
    <t>Developer - Crazy Monkeys</t>
  </si>
  <si>
    <t>#CrazyMonkeys OR "Crazy Monkeys"</t>
  </si>
  <si>
    <t>Dim Bulb Games</t>
  </si>
  <si>
    <t>https://www.youtube.com/channel/UCj0WsCEkGMWF5-I5fv_6aYA|</t>
  </si>
  <si>
    <t>#DimBulbGames OR "Dim Bulb Games"</t>
  </si>
  <si>
    <t>#CrazyMonkeys | "Crazy Monkeys"</t>
  </si>
  <si>
    <t>Developer - Crazy Viking Studios</t>
  </si>
  <si>
    <t>Dino Dini</t>
  </si>
  <si>
    <r>
      <rPr>
        <rFont val="Calibri, sans-serif"/>
        <color rgb="FF000000"/>
        <sz val="10.0"/>
        <u/>
      </rPr>
      <t>https://www.youtube.com/channel/UCd359G69NIqKeS-rP5v04lw</t>
    </r>
    <r>
      <rPr>
        <rFont val="Calibri, sans-serif"/>
        <color rgb="FF000000"/>
        <sz val="10.0"/>
      </rPr>
      <t>|</t>
    </r>
  </si>
  <si>
    <t>#DinoDini OR "Dino Dini"</t>
  </si>
  <si>
    <t>#CrazyVikingStudios | "Crazy Viking Studios"</t>
  </si>
  <si>
    <t>Developer - CrazyBunch</t>
  </si>
  <si>
    <t>#CrazyBunch OR "CrazyBunch"</t>
  </si>
  <si>
    <t>Diplodocus Games</t>
  </si>
  <si>
    <t>https://www.youtube.com/channel/UC6Z3Bw9NayL0Nrif-HbH3TA|</t>
  </si>
  <si>
    <t>#DiplodocusGames OR "Diplodocus Games"</t>
  </si>
  <si>
    <t>#CrazyBunch | "CrazyBunch"</t>
  </si>
  <si>
    <t>https://www.youtube.com/channel/UCjkXGwgKhAu6JhQH6hY3L_w|</t>
  </si>
  <si>
    <t>Developer - CrazySoft</t>
  </si>
  <si>
    <t>Dire Wolf Digital</t>
  </si>
  <si>
    <t>https://www.youtube.com/direwolfdigital|</t>
  </si>
  <si>
    <t>#DireWolfDigital OR "Dire Wolf Digital"</t>
  </si>
  <si>
    <t>#CrazySoft | "CrazySoft"</t>
  </si>
  <si>
    <t>Developer - Crea-ture Studios</t>
  </si>
  <si>
    <t>Disaster Box</t>
  </si>
  <si>
    <t>#DisasterBox OR "Disaster Box"</t>
  </si>
  <si>
    <t>#CreatureStudios | "Crea-ture Studios"</t>
  </si>
  <si>
    <t>Developer - Creamative</t>
  </si>
  <si>
    <t>Discord Games</t>
  </si>
  <si>
    <t>https://www.youtube.com/channel/UCZ5XnGb-3t7jCkXdawN2tkA|</t>
  </si>
  <si>
    <t>#DiscordGames OR "Discord Games"</t>
  </si>
  <si>
    <t>#Creamative | "Creamative"</t>
  </si>
  <si>
    <t>Developer - Create Something Interesting</t>
  </si>
  <si>
    <t>Disney Interactive Studios</t>
  </si>
  <si>
    <t>https://www.youtube.com/channel/UCiiRfR-7GZKOkMGjyktxxIA|</t>
  </si>
  <si>
    <t>#DisneyInteractiveStudios OR "Disney Interactive Studios"</t>
  </si>
  <si>
    <t>#CreateSomethingInteresting | "Create Something Interesting"</t>
  </si>
  <si>
    <t>Developer - Creative Assembly</t>
  </si>
  <si>
    <t>#CreativeAssembly OR "Creative Assembly"</t>
  </si>
  <si>
    <t>Disparity Games</t>
  </si>
  <si>
    <t>#DisparityGames OR "Disparity Games"</t>
  </si>
  <si>
    <t>#CreativeAssembly | "Creative Assembly"</t>
  </si>
  <si>
    <t>https://www.youtube.com/channel/UCZ8971nmuwBUtUeG8EM2AbA|</t>
  </si>
  <si>
    <t>Developer - Creative Bytes</t>
  </si>
  <si>
    <t>Dispatch Games</t>
  </si>
  <si>
    <t>https://www.youtube.com/channel/UCFUAfluR_oHc-d4QDJeExpQ|</t>
  </si>
  <si>
    <t>#DispatchGames OR "Dispatch Games"</t>
  </si>
  <si>
    <t>#CreativeBytes | "Creative Bytes"</t>
  </si>
  <si>
    <r>
      <rPr>
        <rFont val="Arial"/>
        <color rgb="FF000000"/>
      </rPr>
      <t>https://www.youtube.com/channel/UC5i8KYEBc9Wa4F0K2Id9mDQ</t>
    </r>
    <r>
      <rPr>
        <rFont val="Arial"/>
        <color rgb="FF000000"/>
      </rPr>
      <t>|</t>
    </r>
  </si>
  <si>
    <t>Developer - Creative England</t>
  </si>
  <si>
    <t>#CreativeEngland OR "Creative England"</t>
  </si>
  <si>
    <t>Disruptive Games</t>
  </si>
  <si>
    <t>https://www.youtube.com/channel/UCnbAQjEC78xyMvQwXX8vXcw|</t>
  </si>
  <si>
    <t>#DisruptiveGames OR "Disruptive Games"</t>
  </si>
  <si>
    <t>#CreativeEngland | "Creative England"</t>
  </si>
  <si>
    <t>https://www.youtube.com/channel/UCJ_WymEXmsUNrU32Z_CCVpA|</t>
  </si>
  <si>
    <t>Developer - CreativeForge Games</t>
  </si>
  <si>
    <t>#CreativeForgeGames OR "CreativeForge Games"</t>
  </si>
  <si>
    <t>Dissident Logic</t>
  </si>
  <si>
    <t>https://www.youtube.com/user/dissidentlogic|</t>
  </si>
  <si>
    <t>#DissidentLogic OR "Dissident Logic"</t>
  </si>
  <si>
    <t>#CreativeForgeGames | "CreativeForge Games"</t>
  </si>
  <si>
    <t>https://www.youtube.com/user/CreativeForgeGames|</t>
  </si>
  <si>
    <t>Developer - Creepy Jar</t>
  </si>
  <si>
    <t>Distractionware Limited</t>
  </si>
  <si>
    <t>#DistractionwareLimited OR "Distractionware Limited"</t>
  </si>
  <si>
    <t>#CreepyJar | "Creepy Jar"</t>
  </si>
  <si>
    <t>Developer - CremaGames</t>
  </si>
  <si>
    <t>DMM GAMES</t>
  </si>
  <si>
    <t>https://www.youtube.com/channel/UCA9pqnSkFZKc0sm0HiGVFYA|</t>
  </si>
  <si>
    <t>#DMMGAMES OR "DMM GAMES"</t>
  </si>
  <si>
    <t>#CremaGames | "CremaGames"</t>
  </si>
  <si>
    <t>Developer - Creobit</t>
  </si>
  <si>
    <t>DNA Softworks C.B</t>
  </si>
  <si>
    <r>
      <rPr>
        <rFont val="Calibri, sans-serif"/>
        <color rgb="FF000000"/>
        <sz val="10.0"/>
        <u/>
      </rPr>
      <t>https://www.youtube.com/channel/UC8wp8b-UOdUEjKNERFeAnQw</t>
    </r>
    <r>
      <rPr>
        <rFont val="Calibri, sans-serif"/>
        <color rgb="FF000000"/>
        <sz val="10.0"/>
      </rPr>
      <t>|</t>
    </r>
  </si>
  <si>
    <t>#DNASoftworksCB OR "DNA Softworks C.B"</t>
  </si>
  <si>
    <t>#Creobit | "Creobit"</t>
  </si>
  <si>
    <t>Developer - CREOTEAM</t>
  </si>
  <si>
    <t>#CREOTEAM OR "CREOTEAM"</t>
  </si>
  <si>
    <t>DNT FRAMEWORK SLU</t>
  </si>
  <si>
    <t>#DNTFRAMEWORKSLU OR "DNT FRAMEWORK SLU"</t>
  </si>
  <si>
    <t>#CREOTEAM | "CREOTEAM"</t>
  </si>
  <si>
    <t>https://www.youtube.com/channel/UCRDYDUQjDzuG5YIsThl4P7w|</t>
  </si>
  <si>
    <t>Developer - Crescent Moon Games</t>
  </si>
  <si>
    <t>Dobermann Studios</t>
  </si>
  <si>
    <t>#DobermannStudios OR "Dobermann Studios"</t>
  </si>
  <si>
    <t>#CrescentMoonGames | "Crescent Moon Games"</t>
  </si>
  <si>
    <t>Developer - Crisp Games</t>
  </si>
  <si>
    <t>Doborog Games</t>
  </si>
  <si>
    <t>https://www.youtube.com/channel/UC8vi7BoHx66bTN4mgej3onQ|</t>
  </si>
  <si>
    <t>#DoborogGames OR "Doborog Games"</t>
  </si>
  <si>
    <t>#CrispGames | "Crisp Games"</t>
  </si>
  <si>
    <t>Developer - Criterion Games</t>
  </si>
  <si>
    <t>#CriterionGames OR "Criterion Games"</t>
  </si>
  <si>
    <t>dogMelon Pty Ltd</t>
  </si>
  <si>
    <t>#dogMelonPtyLtd OR "dogMelon Pty Ltd"</t>
  </si>
  <si>
    <t>#CriterionGames | "Criterion Games"</t>
  </si>
  <si>
    <t>https://www.youtube.com/criteriongames|</t>
  </si>
  <si>
    <t>Developer - Critical Reflex</t>
  </si>
  <si>
    <t>Dolores Entertainment</t>
  </si>
  <si>
    <t>https://www.youtube.com/channel/UCR07MVV9WNFtx46_vluLt2A|</t>
  </si>
  <si>
    <t>#DoloresEntertainment OR "Dolores Entertainment"</t>
  </si>
  <si>
    <t>#CriticalReflex | "Critical Reflex"</t>
  </si>
  <si>
    <t>Developer - Cross Game Studio</t>
  </si>
  <si>
    <t>#CrossGameStudio OR "Cross Game Studio"</t>
  </si>
  <si>
    <t>Dolores Entertainment SL</t>
  </si>
  <si>
    <t>#DoloresEntertainmentSL OR "Dolores Entertainment SL"</t>
  </si>
  <si>
    <t>#CrossGameStudio | "Cross Game Studio"</t>
  </si>
  <si>
    <t>Developer - Croteam</t>
  </si>
  <si>
    <t>#Croteam OR "Croteam"</t>
  </si>
  <si>
    <t>Dominique Grieshofer</t>
  </si>
  <si>
    <t>https://www.youtube.com/channel/UCjcaGlE0SklB48hm3Uq-kFg|</t>
  </si>
  <si>
    <t>#DominiqueGrieshofer OR "Dominique Grieshofer"</t>
  </si>
  <si>
    <t>#Croteam | "Croteam"</t>
  </si>
  <si>
    <t>https://www.youtube.com/channel/UCYh4bynh4OegFLiHMvodmQQ|</t>
  </si>
  <si>
    <t>Developer - Crunching Koalas</t>
  </si>
  <si>
    <t>DOMO Studio</t>
  </si>
  <si>
    <t>#DOMOStudio OR "DOMO Studio"</t>
  </si>
  <si>
    <t>#CrunchingKoalas | "Crunching Koalas"</t>
  </si>
  <si>
    <t>Developer - Cryptic Studios</t>
  </si>
  <si>
    <t>#CrypticStudios OR "Cryptic Studios"</t>
  </si>
  <si>
    <t>Donkey Crew</t>
  </si>
  <si>
    <t>https://www.youtube.com/channel/UCG_SsbXM_z_3N2Ql8zNbYPA|</t>
  </si>
  <si>
    <t>#DonkeyCrew OR "Donkey Crew"</t>
  </si>
  <si>
    <t>#CrypticStudios | "Cryptic Studios"</t>
  </si>
  <si>
    <t>https://www.youtube.com/channel/UCw89nqnGVm6KEF_R4NSPkqQ|</t>
  </si>
  <si>
    <t>Developer - Crypton Future Media</t>
  </si>
  <si>
    <t>Donley Time Foundation</t>
  </si>
  <si>
    <t>https://www.youtube.com/channel/UCmAkVGrq0HybMBWUciyyM7A|</t>
  </si>
  <si>
    <t>#DonleyTimeFoundation OR "Donley Time Foundation"</t>
  </si>
  <si>
    <t>#CryptonFutureMedia | "Crypton Future Media"</t>
  </si>
  <si>
    <t>Developer - Crystal Dynamics</t>
  </si>
  <si>
    <t>#CrystalDynamics OR "Crystal Dynamics"</t>
  </si>
  <si>
    <t>DONTNOD Entertainment</t>
  </si>
  <si>
    <t>https://www.youtube.com/channel/UCXde0XwoBkAB8qvyPZBQstQ|</t>
  </si>
  <si>
    <t>#DONTNODEntertainment OR "DONTNOD Entertainment"</t>
  </si>
  <si>
    <t>#CrystalDynamics | "Crystal Dynamics"</t>
  </si>
  <si>
    <t>https://www.youtube.com/channel/UCV2im83uINbaUSg1cUGpAIQ|</t>
  </si>
  <si>
    <t>Developer - Crytek</t>
  </si>
  <si>
    <t>DOOD GAMES</t>
  </si>
  <si>
    <t>#DOODGAMES OR "DOOD GAMES"</t>
  </si>
  <si>
    <t>#Crytek | "Crytek"</t>
  </si>
  <si>
    <t>Developer - Crytivo</t>
  </si>
  <si>
    <t>DotEmu</t>
  </si>
  <si>
    <t>https://www.youtube.com/user/DotEmu|</t>
  </si>
  <si>
    <t>#DotEmu OR "DotEmu"</t>
  </si>
  <si>
    <t>#Crytivo | "Crytivo"</t>
  </si>
  <si>
    <t>Developer - csgood</t>
  </si>
  <si>
    <t>Double Damage Games</t>
  </si>
  <si>
    <t>#DoubleDamageGames OR "Double Damage Games"</t>
  </si>
  <si>
    <t>#csgood | "csgood"</t>
  </si>
  <si>
    <t>Developer - Cubeish Games</t>
  </si>
  <si>
    <t>#CubeishGames OR "Cubeish Games"</t>
  </si>
  <si>
    <t>Double Eleven</t>
  </si>
  <si>
    <t>https://www.youtube.com/user/DoubleElevenLtd|</t>
  </si>
  <si>
    <t>#DoubleEleven OR "Double Eleven"</t>
  </si>
  <si>
    <t>#CubeishGames | "Cubeish Games"</t>
  </si>
  <si>
    <t>Developer - Cunning Force Games</t>
  </si>
  <si>
    <t>Double Fine Presents</t>
  </si>
  <si>
    <t>#DoubleFinePresents OR "Double Fine Presents"</t>
  </si>
  <si>
    <t>#CunningForceGames | "Cunning Force Games"</t>
  </si>
  <si>
    <t>Developer - Curvature Systems LLC</t>
  </si>
  <si>
    <t>Double Fine Productions</t>
  </si>
  <si>
    <t>https://www.youtube.com/user/DoubleFineProd|</t>
  </si>
  <si>
    <t>#DoubleFineProductions OR "Double Fine Productions"</t>
  </si>
  <si>
    <t>#CurvatureSystemsLLC | "Curvature Systems LLC"</t>
  </si>
  <si>
    <t>Developer - Curve Digital</t>
  </si>
  <si>
    <t>DoubleMoose Games</t>
  </si>
  <si>
    <t>https://www.youtube.com/channel/UCAiKrZDrrSJnLpDM-zEVyng|</t>
  </si>
  <si>
    <t>#DoubleMooseGames OR "DoubleMoose Games"</t>
  </si>
  <si>
    <t>#CurveDigital | "Curve Digital"</t>
  </si>
  <si>
    <t>Developer - Curve Digital Games</t>
  </si>
  <si>
    <t>Dovetail Games</t>
  </si>
  <si>
    <t>https://www.youtube.com/channel/UCMhnBf1MhYYmUWOmGQPY2cQ|</t>
  </si>
  <si>
    <t>#DovetailGames OR "Dovetail Games"</t>
  </si>
  <si>
    <t>#CurveDigitalGames | "Curve Digital Games"</t>
  </si>
  <si>
    <t>Developer - CWAVESOFT</t>
  </si>
  <si>
    <t>#CWAVESOFT OR "CWAVESOFT"</t>
  </si>
  <si>
    <t>Drageus Games</t>
  </si>
  <si>
    <t>https://www.youtube.com/channel/UC2vIauTeDy_Fh0VPbmqLPqQ|</t>
  </si>
  <si>
    <t>#DrageusGames OR "Drageus Games"</t>
  </si>
  <si>
    <t>#CWAVESOFT | "CWAVESOFT"</t>
  </si>
  <si>
    <t>Developer - Cyan Worlds</t>
  </si>
  <si>
    <t>Dragonest</t>
  </si>
  <si>
    <t>https://www.youtube.com/channel/UCQTfKhEzrBp9DRrKNEyXM5Q|</t>
  </si>
  <si>
    <t>#Dragonest OR "Dragonest"</t>
  </si>
  <si>
    <t>#CyanWorlds | "Cyan Worlds"</t>
  </si>
  <si>
    <t>Developer - Cyanide</t>
  </si>
  <si>
    <t>#Cyanide OR "Cyanide"</t>
  </si>
  <si>
    <t>Dragoon Entertainment Ltd.</t>
  </si>
  <si>
    <t>https://www.youtube.com/user/DragoonCanada/featured|</t>
  </si>
  <si>
    <t>#DragoonEntertainmentLtd OR "Dragoon Entertainment Ltd."</t>
  </si>
  <si>
    <t>#Cyanide | "Cyanide"</t>
  </si>
  <si>
    <t>https://www.youtube.com/channel/UC3kZ_QcjJgAPen57Xwwcj4g|</t>
  </si>
  <si>
    <t>Developer - Cyber Group Studios</t>
  </si>
  <si>
    <t>#CyberGroupStudios OR "Cyber Group Studios"</t>
  </si>
  <si>
    <t>Draknek &amp; Friends</t>
  </si>
  <si>
    <t>https://www.youtube.com/user/Draknek|</t>
  </si>
  <si>
    <t>#DraknekandFriends OR "Draknek &amp; Friends"</t>
  </si>
  <si>
    <t>#CyberGroupStudios | "Cyber Group Studios"</t>
  </si>
  <si>
    <t>https://www.youtube.com/channel/UCfp5BaeMHn0Wog9Rb4MQoew|</t>
  </si>
  <si>
    <t>Developer - Cyber Rhino Studios</t>
  </si>
  <si>
    <t>Draw Distance</t>
  </si>
  <si>
    <t>https://www.youtube.com/channel/UCo1Z1imk8O9q0JU94lfZU6A|</t>
  </si>
  <si>
    <t>#DrawDistance OR "Draw Distance"</t>
  </si>
  <si>
    <t>#CyberRhinoStudios | "Cyber Rhino Studios"</t>
  </si>
  <si>
    <t>Developer - CyberConnect2</t>
  </si>
  <si>
    <t>Draydur Studio</t>
  </si>
  <si>
    <t>https://www.youtube.com/channel/UCtp2Q-E4U0lnlA2RonbsZIA|</t>
  </si>
  <si>
    <t>#DraydurStudio OR "Draydur Studio"</t>
  </si>
  <si>
    <t>#CyberConnect2 | "CyberConnect2"</t>
  </si>
  <si>
    <t>Developer - Cybernate</t>
  </si>
  <si>
    <t>#Cybernate OR "Cybernate"</t>
  </si>
  <si>
    <t>Dreadbit</t>
  </si>
  <si>
    <t>https://www.youtube.com/channel/UCzi1K_XVSqv1wEeqic-Xijw|</t>
  </si>
  <si>
    <t>#Dreadbit OR "Dreadbit"</t>
  </si>
  <si>
    <t>#Cybernate | "Cybernate"</t>
  </si>
  <si>
    <t>Developer - Cyberstep</t>
  </si>
  <si>
    <t>Dreadlocks</t>
  </si>
  <si>
    <t>https://www.youtube.com/channel/UCgLe7_8ivFcdH7o4s59GJzg|</t>
  </si>
  <si>
    <t>#Dreadlocks OR "Dreadlocks"</t>
  </si>
  <si>
    <t>#Cyberstep | "Cyberstep"</t>
  </si>
  <si>
    <t>Developer - Cyclone Games</t>
  </si>
  <si>
    <t>#CycloneGames OR "Cyclone Games"</t>
  </si>
  <si>
    <t>Dreadlocks Ltd</t>
  </si>
  <si>
    <t>#DreadlocksLtd OR "Dreadlocks Ltd"</t>
  </si>
  <si>
    <t>#CycloneGames | "Cyclone Games"</t>
  </si>
  <si>
    <t>Developer - D'Avekki Studios Limited</t>
  </si>
  <si>
    <t>Dreamloop Games</t>
  </si>
  <si>
    <t>https://www.youtube.com/channel/UCoDYDllmK4Muzhwx6NdUgjg|</t>
  </si>
  <si>
    <t>#DreamloopGames OR "Dreamloop Games"</t>
  </si>
  <si>
    <t>#DAvekkiStudiosLimited | "D'Avekki Studios Limited"</t>
  </si>
  <si>
    <t>Developer - D6 TEAM</t>
  </si>
  <si>
    <t>#D6TEAM OR "D6 TEAM"</t>
  </si>
  <si>
    <t>Dreamoji</t>
  </si>
  <si>
    <t>#Dreamoji OR "Dreamoji"</t>
  </si>
  <si>
    <t>#D6TEAM | "D6 TEAM"</t>
  </si>
  <si>
    <t>Developer - Daedalic Entertainment</t>
  </si>
  <si>
    <t>DreamSail Games</t>
  </si>
  <si>
    <r>
      <rPr>
        <rFont val="Calibri, sans-serif"/>
        <color rgb="FF000000"/>
        <sz val="10.0"/>
        <u/>
      </rPr>
      <t>https://www.youtube.com/channel/UCqvn3ZRxC2uS53UJqFL4-2Q</t>
    </r>
    <r>
      <rPr>
        <rFont val="Calibri, sans-serif"/>
        <color rgb="FF000000"/>
        <sz val="10.0"/>
      </rPr>
      <t>|</t>
    </r>
  </si>
  <si>
    <t>#DreamSailGames OR "DreamSail Games"</t>
  </si>
  <si>
    <t>#DaedalicEntertainment | "Daedalic Entertainment"</t>
  </si>
  <si>
    <t>Developer - Daedalic Studio West</t>
  </si>
  <si>
    <t>#DaedalicStudioWest OR "Daedalic Studio West"</t>
  </si>
  <si>
    <t>DrinkBox Studios</t>
  </si>
  <si>
    <t>https://www.youtube.com/user/drinkboxstudios|</t>
  </si>
  <si>
    <t>#DrinkBoxStudios OR "DrinkBox Studios"</t>
  </si>
  <si>
    <t>#DaedalicStudioWest | "Daedalic Studio West"</t>
  </si>
  <si>
    <t>https://www.youtube.com/user/DaedalicEnt|</t>
  </si>
  <si>
    <t>Developer - Dan Smith Studios</t>
  </si>
  <si>
    <t>#DanSmithStudios OR "Dan Smith Studios"</t>
  </si>
  <si>
    <t>Drool</t>
  </si>
  <si>
    <t>https://www.youtube.com/channel/UCZgdlIhLWnn3Ix0WOnZPn5A|</t>
  </si>
  <si>
    <t>#Drool OR "Drool"</t>
  </si>
  <si>
    <t>#DanSmithStudios | "Dan Smith Studios"</t>
  </si>
  <si>
    <t>Developer - DANGEN Entertainment</t>
  </si>
  <si>
    <t>drool Games</t>
  </si>
  <si>
    <t>#droolGames OR "drool Games"</t>
  </si>
  <si>
    <t>#DANGENEntertainment | "DANGEN Entertainment"</t>
  </si>
  <si>
    <t>Developer - Daniel A. Ramirez</t>
  </si>
  <si>
    <t>#DanielARamirez OR "Daniel A. Ramirez"</t>
  </si>
  <si>
    <t>Drop Dead Interactive</t>
  </si>
  <si>
    <t>https://www.youtube.com/channel/UCwsKrisAJo-WqwZ7nu6yc-Q|</t>
  </si>
  <si>
    <t>#DropDeadInteractive OR "Drop Dead Interactive"</t>
  </si>
  <si>
    <t>#DanielARamirez | "Daniel A. Ramirez"</t>
  </si>
  <si>
    <t>Developer - Daniel Janak</t>
  </si>
  <si>
    <t>DRUNKEN APES</t>
  </si>
  <si>
    <t>https://www.youtube.com/channel/UC5iJ0LdvMUTYZoLGm53gQTQ|</t>
  </si>
  <si>
    <t>#DRUNKENAPES OR "DRUNKEN APES"</t>
  </si>
  <si>
    <t>#DanielJanak | "Daniel Janak"</t>
  </si>
  <si>
    <t>Developer - Dark Screen Games</t>
  </si>
  <si>
    <t>#DarkScreenGames OR "Dark Screen Games"</t>
  </si>
  <si>
    <t>DSK Green Ice Games</t>
  </si>
  <si>
    <t>#DSKGreenIceGames OR "DSK Green Ice Games"</t>
  </si>
  <si>
    <t>#DarkScreenGames | "Dark Screen Games"</t>
  </si>
  <si>
    <t>https://www.youtube.com/channel/UC7Y9ynqXa7su0FQpKJtf0OQ|</t>
  </si>
  <si>
    <t>Developer - Dark Sun Pictures</t>
  </si>
  <si>
    <t>Duaik Entretenimento</t>
  </si>
  <si>
    <t>https://www.youtube.com/user/duaik|</t>
  </si>
  <si>
    <t>#DuaikEntretenimento OR "Duaik Entretenimento"</t>
  </si>
  <si>
    <t>#DarkSunPictures | "Dark Sun Pictures"</t>
  </si>
  <si>
    <r>
      <rPr>
        <rFont val="Arial"/>
        <color rgb="FF000000"/>
      </rPr>
      <t>https://www.youtube.com/channel/UCQViKjAN5SnFkc0tGycUEHQ</t>
    </r>
    <r>
      <rPr>
        <rFont val="Arial"/>
        <color rgb="FF000000"/>
      </rPr>
      <t>|</t>
    </r>
  </si>
  <si>
    <t>Developer - Dark-1</t>
  </si>
  <si>
    <t>DUCK</t>
  </si>
  <si>
    <t>#DUCK OR "DUCK"</t>
  </si>
  <si>
    <t>#Dark1 | "Dark-1"</t>
  </si>
  <si>
    <r>
      <rPr>
        <rFont val="Arial"/>
        <color rgb="FF000000"/>
      </rPr>
      <t>https://www.youtube.com/channel/UCsAEJVo7vFGFhKv2g6DcfYg</t>
    </r>
    <r>
      <rPr>
        <rFont val="Arial"/>
        <color rgb="FF000000"/>
      </rPr>
      <t>|</t>
    </r>
  </si>
  <si>
    <t>Developer - DarkDes Labs</t>
  </si>
  <si>
    <t>Duel Studios</t>
  </si>
  <si>
    <t>https://www.youtube.com/channel/UCe0xWcid6-_Whmp_WSprp6w|</t>
  </si>
  <si>
    <t>#DuelStudios OR "Duel Studios"</t>
  </si>
  <si>
    <t>#DarkDesLabs | "DarkDes Labs"</t>
  </si>
  <si>
    <t>Developer - Darkflow Software</t>
  </si>
  <si>
    <t>#DarkflowSoftware OR "Darkflow Software"</t>
  </si>
  <si>
    <t>Dumb and Fat Games</t>
  </si>
  <si>
    <t>#DumbandFatGames OR "Dumb and Fat Games"</t>
  </si>
  <si>
    <t>#DarkflowSoftware | "Darkflow Software"</t>
  </si>
  <si>
    <t>Developer - DarkStar Games</t>
  </si>
  <si>
    <t>#DarkStarGames OR "DarkStar Games"</t>
  </si>
  <si>
    <t>Duranik</t>
  </si>
  <si>
    <r>
      <rPr>
        <rFont val="Calibri, sans-serif"/>
        <color rgb="FF000000"/>
        <sz val="10.0"/>
        <u/>
      </rPr>
      <t>https://www.youtube.com/channel/UCTDgcQGyw8BN7cm1xNet1Dw</t>
    </r>
    <r>
      <rPr>
        <rFont val="Calibri, sans-serif"/>
        <color rgb="FF000000"/>
        <sz val="10.0"/>
      </rPr>
      <t>|</t>
    </r>
  </si>
  <si>
    <t>#Duranik OR "Duranik"</t>
  </si>
  <si>
    <t>#DarkStarGames | "DarkStar Games"</t>
  </si>
  <si>
    <r>
      <rPr>
        <rFont val="Arial"/>
        <color rgb="FF000000"/>
      </rPr>
      <t>https://www.youtube.com/channel/UCBgJRwohiFmrgcHXYZpMlUA</t>
    </r>
    <r>
      <rPr>
        <rFont val="Arial"/>
        <color rgb="FF000000"/>
      </rPr>
      <t>|</t>
    </r>
  </si>
  <si>
    <t>Developer - Darkwind Media</t>
  </si>
  <si>
    <t>Dusenberry Martin Racing</t>
  </si>
  <si>
    <t>#DusenberryMartinRacing OR "Dusenberry Martin Racing"</t>
  </si>
  <si>
    <t>#DarkwindMedia | "Darkwind Media"</t>
  </si>
  <si>
    <t>Developer - Data East</t>
  </si>
  <si>
    <t>#DataEast OR "Data East"</t>
  </si>
  <si>
    <t>Dynamic Voltage Games</t>
  </si>
  <si>
    <t>https://www.youtube.com/channel/UCw6T0HoWg6NJBuUieg-B5Mw|</t>
  </si>
  <si>
    <t>#DynamicVoltageGames OR "Dynamic Voltage Games"</t>
  </si>
  <si>
    <t>#DataEast | "Data East"</t>
  </si>
  <si>
    <t>Developer - David Grof s.p.</t>
  </si>
  <si>
    <t>E-Home Entertainment</t>
  </si>
  <si>
    <t>https://www.youtube.com/channel/UCkbOwZ9uVQDmuk-SXyXt0zw|</t>
  </si>
  <si>
    <t>#EHomeEntertainment OR "E-Home Entertainment"</t>
  </si>
  <si>
    <t>#DavidGrofsp | "David Grof s.p."</t>
  </si>
  <si>
    <t>Developer - David Wehle</t>
  </si>
  <si>
    <t>E-Line Media</t>
  </si>
  <si>
    <t>https://www.youtube.com/channel/UCtRQpXLFaFPkJny9VOeGKQw|</t>
  </si>
  <si>
    <t>#ELineMedia OR "E-Line Media"</t>
  </si>
  <si>
    <t>#DavidWehle | "David Wehle"</t>
  </si>
  <si>
    <t>Developer - david-lewis.com</t>
  </si>
  <si>
    <t>EA Games</t>
  </si>
  <si>
    <t>https://www.youtube.com/channel/UCIHBybdoneVVpaQK7xMz1ww|</t>
  </si>
  <si>
    <t>#EAGames OR "EA Games"</t>
  </si>
  <si>
    <t>#davidlewiscom | "david-lewis.com"</t>
  </si>
  <si>
    <t>Developer - DCF Studios</t>
  </si>
  <si>
    <t>EA Sports</t>
  </si>
  <si>
    <t>https://www.youtube.com/user/EASPORTS|</t>
  </si>
  <si>
    <t>#EASports OR "EA Sports"</t>
  </si>
  <si>
    <t>#DCFStudios | "DCF Studios"</t>
  </si>
  <si>
    <t>Developer - Dead Mage</t>
  </si>
  <si>
    <t>Early Morning Studio</t>
  </si>
  <si>
    <t>https://www.youtube.com/channel/UCxTd_NFFH-mH5G5YiWaFPtg|</t>
  </si>
  <si>
    <t>#EarlyMorningStudio OR "Early Morning Studio"</t>
  </si>
  <si>
    <t>#DeadMage | "Dead Mage"</t>
  </si>
  <si>
    <t>Developer - Deadbeat Studios</t>
  </si>
  <si>
    <t>#DeadbeatStudios OR "Deadbeat Studios"</t>
  </si>
  <si>
    <t>Earthborn Interactive, LLC</t>
  </si>
  <si>
    <t>#DeadbeatStudios | "Deadbeat Studios"</t>
  </si>
  <si>
    <t>Developer - DeadToast Entertainment</t>
  </si>
  <si>
    <t>#DeadToastEntertainment OR "DeadToast Entertainment"</t>
  </si>
  <si>
    <t>East2West Games</t>
  </si>
  <si>
    <r>
      <rPr>
        <rFont val="Calibri, sans-serif"/>
        <color rgb="FF000000"/>
        <sz val="10.0"/>
        <u/>
      </rPr>
      <t>https://www.youtube.com/channel/UCdG9QO00tgPn8OrFcgPDcOQ</t>
    </r>
    <r>
      <rPr>
        <rFont val="Calibri, sans-serif"/>
        <color rgb="FF000000"/>
        <sz val="10.0"/>
      </rPr>
      <t>|</t>
    </r>
  </si>
  <si>
    <t>#East2WestGames OR "East2West Games"</t>
  </si>
  <si>
    <t>#DeadToastEntertainment | "DeadToast Entertainment"</t>
  </si>
  <si>
    <t>https://www.youtube.com/channel/UCWuNU_6_cB_CsMtPbr-UyyQ|</t>
  </si>
  <si>
    <t>Developer - Dean 'Rocket' Hall</t>
  </si>
  <si>
    <t>#DeanRocketHall OR "Dean 'Rocket' Hall"</t>
  </si>
  <si>
    <t>east2westgame</t>
  </si>
  <si>
    <t>#east2westgame OR "east2westgame"</t>
  </si>
  <si>
    <t>#DeanRocketHall | "Dean 'Rocket' Hall"</t>
  </si>
  <si>
    <t>https://www.youtube.com/channel/UCrYYRuhieWktnpH3UhRahCw|</t>
  </si>
  <si>
    <t>Developer - Deck 13</t>
  </si>
  <si>
    <t>EastAsiaSoft</t>
  </si>
  <si>
    <t>https://www.youtube.com/eastasiasoft|</t>
  </si>
  <si>
    <t>#EastAsiaSoft OR "EastAsiaSoft"</t>
  </si>
  <si>
    <t>#Deck13 | "Deck 13"</t>
  </si>
  <si>
    <t>Developer - Deck Nine Games</t>
  </si>
  <si>
    <t>#DeckNineGames OR "Deck Nine Games"</t>
  </si>
  <si>
    <t>Eastshade Studios</t>
  </si>
  <si>
    <t>https://www.youtube.com/channel/UCgQIHazUQdXEwDlN3It4XLw|</t>
  </si>
  <si>
    <t>#EastshadeStudios OR "Eastshade Studios"</t>
  </si>
  <si>
    <t>#DeckNineGames | "Deck Nine Games"</t>
  </si>
  <si>
    <r>
      <rPr>
        <rFont val="Arial"/>
        <color rgb="FF000000"/>
      </rPr>
      <t>https://www.youtube.com/channel/UCKWH_2rYvZSH2P1L8YFqEBw</t>
    </r>
    <r>
      <rPr>
        <rFont val="Arial"/>
        <color rgb="FF000000"/>
      </rPr>
      <t>|</t>
    </r>
  </si>
  <si>
    <t>Developer - DECK13 Spotlight</t>
  </si>
  <si>
    <t>Eastshade Studios LLC</t>
  </si>
  <si>
    <t>#EastshadeStudiosLLC OR "Eastshade Studios LLC"</t>
  </si>
  <si>
    <t>#DECK13Spotlight | "DECK13 Spotlight"</t>
  </si>
  <si>
    <t>Developer - Deco Digital</t>
  </si>
  <si>
    <t>Easy Day Studios Pty Ltd</t>
  </si>
  <si>
    <t>#EasyDayStudiosPtyLtd OR "Easy Day Studios Pty Ltd"</t>
  </si>
  <si>
    <t>#DecoDigital | "Deco Digital"</t>
  </si>
  <si>
    <t>Developer - Decoy Games</t>
  </si>
  <si>
    <t>Eclipse Games</t>
  </si>
  <si>
    <t>https://www.youtube.com/channel/UClY8Sc_-TjRD8a2R_Cqbw5w|</t>
  </si>
  <si>
    <t>#EclipseGames OR "Eclipse Games"</t>
  </si>
  <si>
    <t>#DecoyGames | "Decoy Games"</t>
  </si>
  <si>
    <t>Developer - Deeli network</t>
  </si>
  <si>
    <t>Edelica Computer Entertainment</t>
  </si>
  <si>
    <t>#EdelicaComputerEntertainment OR "Edelica Computer Entertainment"</t>
  </si>
  <si>
    <t>#Deelinetwork | "Deeli network"</t>
  </si>
  <si>
    <t>Developer - Deep Silver</t>
  </si>
  <si>
    <t>Edge Entertainment</t>
  </si>
  <si>
    <t>#EdgeEntertainment OR "Edge Entertainment"</t>
  </si>
  <si>
    <t>#DeepSilver | "Deep Silver"</t>
  </si>
  <si>
    <t>Developer - Deep Silver Dambuster Studios</t>
  </si>
  <si>
    <t>#DeepSilverDambusterStudios OR "Deep Silver Dambuster Studios"</t>
  </si>
  <si>
    <t>Edge of Reality</t>
  </si>
  <si>
    <t>#EdgeofReality OR "Edge of Reality"</t>
  </si>
  <si>
    <t>#DeepSilverDambusterStudios | "Deep Silver Dambuster Studios"</t>
  </si>
  <si>
    <r>
      <rPr>
        <rFont val="Arial"/>
        <color rgb="FF000000"/>
      </rPr>
      <t>https://www.youtube.com/channel/UCoONu2Dif1X9j9x-pRR8rrw</t>
    </r>
    <r>
      <rPr>
        <rFont val="Arial"/>
        <color rgb="FF000000"/>
      </rPr>
      <t>|</t>
    </r>
  </si>
  <si>
    <t>Developer - DeerFarm</t>
  </si>
  <si>
    <t>EgameEd Stodio</t>
  </si>
  <si>
    <t>#EgameEdStodio OR "EgameEd Stodio"</t>
  </si>
  <si>
    <t>#DeerFarm | "DeerFarm"</t>
  </si>
  <si>
    <t>Developer - Defiant Development</t>
  </si>
  <si>
    <t>Eggcode</t>
  </si>
  <si>
    <t>https://www.youtube.com/user/EggcodeGames|</t>
  </si>
  <si>
    <t>#Eggcode OR "Eggcode"</t>
  </si>
  <si>
    <t>#DefiantDevelopment | "Defiant Development"</t>
  </si>
  <si>
    <t>Developer - Delphinium Interactive</t>
  </si>
  <si>
    <t>#DelphiniumInteractive OR "Delphinium Interactive"</t>
  </si>
  <si>
    <t>eHome Entertainment Development Company Ltd.</t>
  </si>
  <si>
    <t>#eHomeEntertainmentDevelopmentCompanyLtd OR "eHome Entertainment Development Company Ltd."</t>
  </si>
  <si>
    <t>#DelphiniumInteractive | "Delphinium Interactive"</t>
  </si>
  <si>
    <t>Developer - Demagog Studio</t>
  </si>
  <si>
    <t>#DemagogStudio OR "Demagog Studio"</t>
  </si>
  <si>
    <t>Eiconic Games</t>
  </si>
  <si>
    <t>https://www.youtube.com/channel/UCKWDlywhuFQyO_gNvPeWF0A|</t>
  </si>
  <si>
    <t>#EiconicGames OR "Eiconic Games"</t>
  </si>
  <si>
    <t>#DemagogStudio | "Demagog Studio"</t>
  </si>
  <si>
    <t>https://www.youtube.com/channel/UCKnyXl983V8OdhyBi9cS7zQ|</t>
  </si>
  <si>
    <t>Developer - Demimonde</t>
  </si>
  <si>
    <t>#Demimonde OR "Demimonde"</t>
  </si>
  <si>
    <t>EIZAO STUDIO</t>
  </si>
  <si>
    <t>#EIZAOSTUDIO OR "EIZAO STUDIO"</t>
  </si>
  <si>
    <t>#Demimonde | "Demimonde"</t>
  </si>
  <si>
    <t>Developer - Dennaton</t>
  </si>
  <si>
    <t>#Dennaton OR "Dennaton"</t>
  </si>
  <si>
    <t>Eko</t>
  </si>
  <si>
    <t>https://www.youtube.com/channel/UCuBqI12MMwRi9ZuulS-ldQA|</t>
  </si>
  <si>
    <t>#Eko OR "Eko"</t>
  </si>
  <si>
    <t>#Dennaton | "Dennaton"</t>
  </si>
  <si>
    <t>Developer - Destructive Creations</t>
  </si>
  <si>
    <t>Elasto Mania Team</t>
  </si>
  <si>
    <t>https://www.youtube.com/channel/UCnaulrdCSwREmbXHYk1nbDA|</t>
  </si>
  <si>
    <t>#ElastoManiaTeam OR "Elasto Mania Team"</t>
  </si>
  <si>
    <t>#DestructiveCreations | "Destructive Creations"</t>
  </si>
  <si>
    <t>Developer - Deverydoo</t>
  </si>
  <si>
    <t>Elden Pixels</t>
  </si>
  <si>
    <t>https://www.youtube.com/channel/UCNMgKay4Aq1th_nX3QECrrQ|</t>
  </si>
  <si>
    <t>#EldenPixels OR "Elden Pixels"</t>
  </si>
  <si>
    <t>#Deverydoo | "Deverydoo"</t>
  </si>
  <si>
    <t>Developer - Devespresso Games</t>
  </si>
  <si>
    <t>Electronic Arts</t>
  </si>
  <si>
    <t>https://www.youtube.com/user/EA|</t>
  </si>
  <si>
    <t>#ElectronicArts OR "Electronic Arts"</t>
  </si>
  <si>
    <t>#DevespressoGames | "Devespresso Games"</t>
  </si>
  <si>
    <t>Developer - DevilishGames</t>
  </si>
  <si>
    <t>ELIOT</t>
  </si>
  <si>
    <t>https://www.youtube.com/channel/UCTPKFVZAmuimKj16_a6Tl-g|</t>
  </si>
  <si>
    <t>#ELIOT OR "ELIOT"</t>
  </si>
  <si>
    <t>#DevilishGames | "DevilishGames"</t>
  </si>
  <si>
    <t>Developer - Devolver Digital</t>
  </si>
  <si>
    <t>Ellada Games</t>
  </si>
  <si>
    <t>https://www.youtube.com/channel/UCdMH44GOqBze3D3VtqpoSBw|</t>
  </si>
  <si>
    <t>#ElladaGames OR "Ellada Games"</t>
  </si>
  <si>
    <t>#DevolverDigital | "Devolver Digital"</t>
  </si>
  <si>
    <t>Developer - Dhood Productions</t>
  </si>
  <si>
    <t>EM Studios</t>
  </si>
  <si>
    <t>https://www.youtube.com/user/ShredItGame|</t>
  </si>
  <si>
    <t>#EMStudios OR "EM Studios"</t>
  </si>
  <si>
    <t>#DhoodProductions | "Dhood Productions"</t>
  </si>
  <si>
    <r>
      <rPr>
        <rFont val="Arial"/>
        <color rgb="FF000000"/>
      </rPr>
      <t>https://www.youtube.com/channel/UC96wQPu5Af8Zv97nFm0z1SA</t>
    </r>
    <r>
      <rPr>
        <rFont val="Arial"/>
        <color rgb="FF000000"/>
      </rPr>
      <t>|</t>
    </r>
  </si>
  <si>
    <t>Developer - Dice</t>
  </si>
  <si>
    <t>#Dice OR "Dice"</t>
  </si>
  <si>
    <t>EM Studios Ltd</t>
  </si>
  <si>
    <t>#EMStudiosLtd OR "EM Studios Ltd"</t>
  </si>
  <si>
    <t>#Dice | "Dice"</t>
  </si>
  <si>
    <t>Developer - DICO</t>
  </si>
  <si>
    <t>#DICO OR "DICO"</t>
  </si>
  <si>
    <t>Emberlab</t>
  </si>
  <si>
    <t>https://www.youtube.com/user/EmberLab|</t>
  </si>
  <si>
    <t>#Emberlab OR "Emberlab"</t>
  </si>
  <si>
    <t>#DICO | "DICO"</t>
  </si>
  <si>
    <t>Developer - Die Gute Fabrik</t>
  </si>
  <si>
    <t>emergeWorlds</t>
  </si>
  <si>
    <t>https://www.youtube.com/channel/UCSbiNMvRLyJQKFkLRxlD7-Q/featured|</t>
  </si>
  <si>
    <t>#emergeWorlds OR "emergeWorlds"</t>
  </si>
  <si>
    <t>#DieGuteFabrik | "Die Gute Fabrik"</t>
  </si>
  <si>
    <t>Developer - Different Tales</t>
  </si>
  <si>
    <t>#DifferentTales OR "Different Tales"</t>
  </si>
  <si>
    <t>Emilios Manolidis</t>
  </si>
  <si>
    <t>https://www.youtube.com/channel/UCzpcR0NnrcgyS9SJuZ68_WA|</t>
  </si>
  <si>
    <t>#EmiliosManolidis OR "Emilios Manolidis"</t>
  </si>
  <si>
    <t>#DifferentTales | "Different Tales"</t>
  </si>
  <si>
    <t>Developer - Digerati Distribution</t>
  </si>
  <si>
    <t>En Masse Entertainment</t>
  </si>
  <si>
    <t>https://www.youtube.com/channel/UCbc3sstOiNO3Ue6LWumPBrg|</t>
  </si>
  <si>
    <t>#EnMasseEntertainment OR "En Masse Entertainment"</t>
  </si>
  <si>
    <t>#DigeratiDistribution | "Digerati Distribution"</t>
  </si>
  <si>
    <t>Developer - Digiart Interactive</t>
  </si>
  <si>
    <t>Endeavor One Inc.</t>
  </si>
  <si>
    <t>https://www.youtube.com/channel/UC_zUAnbN9McnWFBSMnPph9A|</t>
  </si>
  <si>
    <t>#EndeavorOneInc OR "Endeavor One"</t>
  </si>
  <si>
    <t>#DigiartInteractive | "Digiart Interactive"</t>
  </si>
  <si>
    <t>Developer - Digital Continue</t>
  </si>
  <si>
    <t>Endice Software</t>
  </si>
  <si>
    <t>#EndiceSoftware OR "Endice Software"</t>
  </si>
  <si>
    <t>#DigitalContinue | "Digital Continue"</t>
  </si>
  <si>
    <t>Developer - Digital DNA Games</t>
  </si>
  <si>
    <t>Endnight Studios</t>
  </si>
  <si>
    <t>https://www.youtube.com/channel/UC6-FnHAfGz8qh7SMBY_A01g|</t>
  </si>
  <si>
    <t>#EndnightStudios OR "Endnight Studios"</t>
  </si>
  <si>
    <t>#DigitalDNAGames | "Digital DNA Games"</t>
  </si>
  <si>
    <t>Developer - Digital Dreams</t>
  </si>
  <si>
    <t>Enhance Games</t>
  </si>
  <si>
    <t>https://www.youtube.com/channel/UCx5HiLT3LHMynkv52q-LW5Q|</t>
  </si>
  <si>
    <t>#EnhanceGames OR "Enhance Games"</t>
  </si>
  <si>
    <t>#DigitalDreams | "Digital Dreams"</t>
  </si>
  <si>
    <t>Developer - Digital Dreams Entertainment LLC</t>
  </si>
  <si>
    <t>Enjoy These Pixels</t>
  </si>
  <si>
    <t>#EnjoyThesePixels OR "Enjoy These Pixels"</t>
  </si>
  <si>
    <t>#DigitalDreamsEntertainmentLLC | "Digital Dreams Entertainment LLC"</t>
  </si>
  <si>
    <t>Developer - Digital Eclipse</t>
  </si>
  <si>
    <t>EnjoyUp Games</t>
  </si>
  <si>
    <r>
      <rPr>
        <rFont val="Calibri, sans-serif"/>
        <color rgb="FF000000"/>
        <sz val="10.0"/>
        <u/>
      </rPr>
      <t>https://www.youtube.com/channel/UCP3pn5EhuRGWSgpLQIpNREA</t>
    </r>
    <r>
      <rPr>
        <rFont val="Calibri, sans-serif"/>
        <color rgb="FF000000"/>
        <sz val="10.0"/>
      </rPr>
      <t>|</t>
    </r>
  </si>
  <si>
    <t>#EnjoyUpGames OR "EnjoyUp Games"</t>
  </si>
  <si>
    <t>#DigitalEclipse | "Digital Eclipse"</t>
  </si>
  <si>
    <t>Developer - Digital Extremes</t>
  </si>
  <si>
    <t>Ennui Studio</t>
  </si>
  <si>
    <t>https://www.youtube.com/channel/UCBJ0C1-vCnkqmYYw0_SKUng|</t>
  </si>
  <si>
    <t>#EnnuiStudio OR "Ennui Studio"</t>
  </si>
  <si>
    <t>#DigitalExtremes | "Digital Extremes"</t>
  </si>
  <si>
    <t>Developer - Digital Leisure</t>
  </si>
  <si>
    <t>EnsenaSoft</t>
  </si>
  <si>
    <t>#DigitalLeisure | "Digital Leisure"</t>
  </si>
  <si>
    <t>Developer - Digital Reality</t>
  </si>
  <si>
    <t>#DigitalReality OR "Digital Reality"</t>
  </si>
  <si>
    <t>Entalto Studios</t>
  </si>
  <si>
    <t>https://www.youtube.com/channel/UCQ3CwygBsnUyVmSbykAdSXQ|</t>
  </si>
  <si>
    <t>#EntaltoStudios OR "Entalto Studios"</t>
  </si>
  <si>
    <t>#DigitalReality | "Digital Reality"</t>
  </si>
  <si>
    <t>Developer - Digital Sun</t>
  </si>
  <si>
    <t>Entergram</t>
  </si>
  <si>
    <t>https://www.youtube.com/channel/UC5L29DMpV7CgtsU6mxV6cGw|</t>
  </si>
  <si>
    <t>#Entergram OR "Entergram"</t>
  </si>
  <si>
    <t>#DigitalSun | "Digital Sun"</t>
  </si>
  <si>
    <r>
      <rPr>
        <rFont val="Arial"/>
        <color rgb="FF000000"/>
      </rPr>
      <t>https://www.youtube.com/channel/UCsfgc4LirS1i7HTam6DPvkg</t>
    </r>
    <r>
      <rPr>
        <rFont val="Arial"/>
        <color rgb="FF000000"/>
      </rPr>
      <t>|</t>
    </r>
  </si>
  <si>
    <t>Developer - Digital Tentacle S.L.</t>
  </si>
  <si>
    <t>Entrepreneurial Game Studio</t>
  </si>
  <si>
    <t>https://www.youtube.com/channel/UCrZWQJ-ondfmBRbgVaRZ1Ag|</t>
  </si>
  <si>
    <t>#EntrepreneurialGameStudio OR "Entrepreneurial Game Studio"</t>
  </si>
  <si>
    <t>#DigitalTentacleSL | "Digital Tentacle S.L."</t>
  </si>
  <si>
    <t>Developer - Digital Tribe</t>
  </si>
  <si>
    <t>Entwickler-X</t>
  </si>
  <si>
    <t>https://www.youtube.com/user/entwicklerx|</t>
  </si>
  <si>
    <t>#EntwicklerX OR "Entwickler-X"</t>
  </si>
  <si>
    <t>#DigitalTribe | "Digital Tribe"</t>
  </si>
  <si>
    <t>Developer - digitaldav</t>
  </si>
  <si>
    <t>EOK Labs</t>
  </si>
  <si>
    <t>#EOKLabs OR "EOK Labs"</t>
  </si>
  <si>
    <t>#digitaldav | "digitaldav"</t>
  </si>
  <si>
    <t>Developer - DigiTales Interactive</t>
  </si>
  <si>
    <t>#DigiTalesInteractive OR "DigiTales Interactive"</t>
  </si>
  <si>
    <t>EP Games</t>
  </si>
  <si>
    <t>https://www.youtube.com/user/EPGamesEU|</t>
  </si>
  <si>
    <t>#EPGames OR "EP Games"</t>
  </si>
  <si>
    <t>#DigiTalesInteractive | "DigiTales Interactive"</t>
  </si>
  <si>
    <t>Developer - DigiToyz</t>
  </si>
  <si>
    <t>Epic Games</t>
  </si>
  <si>
    <t>https://www.youtube.com/channel/UC5Qk8mWBwtMyEj7iQQYRk1A|</t>
  </si>
  <si>
    <t>#EpicGames OR "Epic Games"</t>
  </si>
  <si>
    <t>#DigiToyz | "DigiToyz"</t>
  </si>
  <si>
    <t>Developer - Digixart Entertainment</t>
  </si>
  <si>
    <t>#DigixartEntertainment OR "Digixart Entertainment"</t>
  </si>
  <si>
    <t>Epitasis Games</t>
  </si>
  <si>
    <t>https://www.youtube.com/channel/UCE3qneBUZnsRyrO0G97iSEQ|</t>
  </si>
  <si>
    <t>#EpitasisGames OR "Epitasis Games"</t>
  </si>
  <si>
    <t>#DigixartEntertainment | "Digixart Entertainment"</t>
  </si>
  <si>
    <t>https://www.youtube.com/channel/UCgeCOoPKhOcnrX-BE-GmJKA|</t>
  </si>
  <si>
    <t>Developer - DillyFrame</t>
  </si>
  <si>
    <t>EpiXR Games</t>
  </si>
  <si>
    <t>https://www.youtube.com/channel/UCKCZISCV_V-xAe4KrL-PPzg|</t>
  </si>
  <si>
    <t>#EpiXRGames OR "EpiXR Games"</t>
  </si>
  <si>
    <t>#DillyFrame | "DillyFrame"</t>
  </si>
  <si>
    <t>Developer - Dim Bulb Games</t>
  </si>
  <si>
    <t>Epopeia Games</t>
  </si>
  <si>
    <t>https://www.youtube.com/channel/UCfjoCr1bKPxO7_ulL7x7lmw|</t>
  </si>
  <si>
    <t>#EpopeiaGames OR "Epopeia Games"</t>
  </si>
  <si>
    <t>#DimBulbGames | "Dim Bulb Games"</t>
  </si>
  <si>
    <t>Developer - Dimps Corporation</t>
  </si>
  <si>
    <t>#DimpsCorporation OR "Dimps Corporation"</t>
  </si>
  <si>
    <t>Erdem Sen</t>
  </si>
  <si>
    <t>https://www.youtube.com/channel/UCH1ORP9563XpQB4I0bGk9qA|</t>
  </si>
  <si>
    <t>#ErdemSen OR "Erdem Sen"</t>
  </si>
  <si>
    <t>#DimpsCorporation | "Dimps Corporation"</t>
  </si>
  <si>
    <t>Developer - Diplodocus Games</t>
  </si>
  <si>
    <t>Eric Freeman</t>
  </si>
  <si>
    <t>#EricFreeman OR "Eric Freeman"</t>
  </si>
  <si>
    <t>#DiplodocusGames | "Diplodocus Games"</t>
  </si>
  <si>
    <t>Developer - Dire Wolf Digital</t>
  </si>
  <si>
    <t>ERIK GAMES</t>
  </si>
  <si>
    <t>https://www.youtube.com/channel/UCeS8luiHxmEOkeJIhml2sfg|</t>
  </si>
  <si>
    <t>#ERIKGAMES OR "ERIK GAMES"</t>
  </si>
  <si>
    <t>#DireWolfDigital | "Dire Wolf Digital"</t>
  </si>
  <si>
    <t>Developer - Discord Games</t>
  </si>
  <si>
    <t>Ertem Yazilim</t>
  </si>
  <si>
    <t>#ErtemYazilim OR "Ertem Yazilim"</t>
  </si>
  <si>
    <t>#DiscordGames | "Discord Games"</t>
  </si>
  <si>
    <t>Developer - Disparity Games</t>
  </si>
  <si>
    <t>Escape</t>
  </si>
  <si>
    <t>#Escape OR "Escape"</t>
  </si>
  <si>
    <t>#DisparityGames | "Disparity Games"</t>
  </si>
  <si>
    <t>Developer - Dissident Logic</t>
  </si>
  <si>
    <t>Escapism Softworks</t>
  </si>
  <si>
    <t>https://www.youtube.com/channel/UCLBAMr9xvLSHuqwvOLEixag|</t>
  </si>
  <si>
    <t>#EscapismSoftworks OR "Escapism Softworks"</t>
  </si>
  <si>
    <t>#DissidentLogic | "Dissident Logic"</t>
  </si>
  <si>
    <t>Developer - Distractionware Limited</t>
  </si>
  <si>
    <t>Escogitare</t>
  </si>
  <si>
    <t>#Escogitare OR "Escogitare"</t>
  </si>
  <si>
    <t>#DistractionwareLimited | "Distractionware Limited"</t>
  </si>
  <si>
    <t>Developer - DIVERS</t>
  </si>
  <si>
    <t>#DIVERS OR "DIVERS"</t>
  </si>
  <si>
    <t>EskemaGames</t>
  </si>
  <si>
    <t>https://www.youtube.com/channel/UCijDglPD0acGO9fZglUjSkw|</t>
  </si>
  <si>
    <t>#EskemaGames OR "EskemaGames"</t>
  </si>
  <si>
    <t>#DIVERS | "DIVERS"</t>
  </si>
  <si>
    <t>Developer - Dlala Studios</t>
  </si>
  <si>
    <t>#DlalaStudios OR "Dlala Studios"</t>
  </si>
  <si>
    <t>Estacion Pi</t>
  </si>
  <si>
    <t>https://www.youtube.com/channel/UCSDQgi-TU_dMj5gHQEJpGwQ|</t>
  </si>
  <si>
    <t>#EstacionPi OR "Estacion Pi"</t>
  </si>
  <si>
    <t>#DlalaStudios | "Dlala Studios"</t>
  </si>
  <si>
    <t>https://www.youtube.com/user/dlalastudiosgames|</t>
  </si>
  <si>
    <t>Developer - Dobermann Studios</t>
  </si>
  <si>
    <t>Estinb Labs</t>
  </si>
  <si>
    <t>#EstinbLabs OR "Estinb Labs"</t>
  </si>
  <si>
    <t>#DobermannStudios | "Dobermann Studios"</t>
  </si>
  <si>
    <t>Developer - Doborog Games</t>
  </si>
  <si>
    <t>EternaI</t>
  </si>
  <si>
    <t>#EternaI OR "EternaI"</t>
  </si>
  <si>
    <t>#DoborogGames | "Doborog Games"</t>
  </si>
  <si>
    <t>Developer - Dodge Roll</t>
  </si>
  <si>
    <t>#DodgeRoll OR "Dodge Roll"</t>
  </si>
  <si>
    <t>Etter Studio GmbH</t>
  </si>
  <si>
    <t>https://www.youtube.com/channel/UC22pcZrS1Jx2pDK4hXjHpog|</t>
  </si>
  <si>
    <t>#EtterStudioGmbH OR "Etter Studio GmbH"</t>
  </si>
  <si>
    <t>#DodgeRoll | "Dodge Roll"</t>
  </si>
  <si>
    <t>Developer - dogMelon Pty Ltd</t>
  </si>
  <si>
    <t>EuroVideo Medien</t>
  </si>
  <si>
    <t>https://www.youtube.com/channel/UCbBcEmxDp--iY0Z-L0Lbntw|</t>
  </si>
  <si>
    <t>#EuroVideoMedien OR "EuroVideo Medien"</t>
  </si>
  <si>
    <t>#dogMelonPtyLtd | "dogMelon Pty Ltd"</t>
  </si>
  <si>
    <t>Developer - Doinksoft</t>
  </si>
  <si>
    <t>#Doinksoft OR "Doinksoft"</t>
  </si>
  <si>
    <t>Everglow Interactive Inc.</t>
  </si>
  <si>
    <t>https://www.youtube.com/channel/UCg3scYhWcPmyfJcSkulJcow|</t>
  </si>
  <si>
    <t>#EverglowInteractiveInc OR "Everglow Interactive"</t>
  </si>
  <si>
    <t>#Doinksoft | "Doinksoft"</t>
  </si>
  <si>
    <t>Developer - Dolores Entertainment</t>
  </si>
  <si>
    <t>Evil Empire</t>
  </si>
  <si>
    <t>#EvilEmpire OR "Evil Empire"</t>
  </si>
  <si>
    <t>#DoloresEntertainment | "Dolores Entertainment"</t>
  </si>
  <si>
    <t>Developer - Dolores Entertainment SL</t>
  </si>
  <si>
    <t>Evil Tortilla Games Incorporated</t>
  </si>
  <si>
    <t>https://www.youtube.com/channel/UCxPMynhvSqPgmjLoe91tRcg|</t>
  </si>
  <si>
    <t>#EvilTortillaGamesIncorporated OR "Evil Tortilla Games Incorporated"</t>
  </si>
  <si>
    <t>#DoloresEntertainmentSL | "Dolores Entertainment SL"</t>
  </si>
  <si>
    <t>Developer - Dominique Grieshofer</t>
  </si>
  <si>
    <t>Excalibur Publishing</t>
  </si>
  <si>
    <t>https://www.youtube.com/user/ExcaliburPubVideos|</t>
  </si>
  <si>
    <t>#ExcaliburPublishing OR "Excalibur Publishing"</t>
  </si>
  <si>
    <t>#DominiqueGrieshofer | "Dominique Grieshofer"</t>
  </si>
  <si>
    <t>Developer - DOMO Studio</t>
  </si>
  <si>
    <t>Excalibur Publishing Limited</t>
  </si>
  <si>
    <t>#ExcaliburPublishingLimited OR "Excalibur Publishing Limited"</t>
  </si>
  <si>
    <t>#DOMOStudio | "DOMO Studio"</t>
  </si>
  <si>
    <t>Developer - Donkey Crew</t>
  </si>
  <si>
    <t>EXOR Studios</t>
  </si>
  <si>
    <t>#DonkeyCrew | "Donkey Crew"</t>
  </si>
  <si>
    <t>Developer - Donley Time Foundation</t>
  </si>
  <si>
    <t>Exordium Games</t>
  </si>
  <si>
    <t>https://www.youtube.com/channel/UCthAa3_2Iwr3hpDhwAdxPDQ|</t>
  </si>
  <si>
    <t>#ExordiumGames OR "Exordium Games"</t>
  </si>
  <si>
    <t>#DonleyTimeFoundation | "Donley Time Foundation"</t>
  </si>
  <si>
    <t>Developer - DONTNOD Entertainment</t>
  </si>
  <si>
    <t>Expansive Worlds</t>
  </si>
  <si>
    <t>https://www.youtube.com/channel/UCT4y83PIfd34qxS2vPIqwcg|</t>
  </si>
  <si>
    <t>#ExpansiveWorlds OR "Expansive Worlds"</t>
  </si>
  <si>
    <t>#DONTNODEntertainment | "DONTNOD Entertainment"</t>
  </si>
  <si>
    <t>Developer - DOOD GAMES</t>
  </si>
  <si>
    <t>Experience Inc.</t>
  </si>
  <si>
    <t>https://www.youtube.com/channel/UCuTCAtDvew2jJ_SMKCwzaeQ|</t>
  </si>
  <si>
    <t>#ExperienceInc OR "Experience"</t>
  </si>
  <si>
    <t>#DOODGAMES | "DOOD GAMES"</t>
  </si>
  <si>
    <t>Developer - DotEmu</t>
  </si>
  <si>
    <t>Experiment 7</t>
  </si>
  <si>
    <t>https://www.youtube.com/channel/UCsqVCTCyKM_j38f-8YRZpLg|</t>
  </si>
  <si>
    <t>#Experiment7 OR "Experiment 7"</t>
  </si>
  <si>
    <t>#DotEmu | "DotEmu"</t>
  </si>
  <si>
    <t>Developer - Double Damage Games</t>
  </si>
  <si>
    <t>Exploding Brain Games L.L.C.</t>
  </si>
  <si>
    <t>https://www.youtube.com/channel/UCE3eLIEDerE1dFky_27CF-A|</t>
  </si>
  <si>
    <t>#ExplodingBrainGamesLLC OR "Exploding Brain Games L.L.C."</t>
  </si>
  <si>
    <t>#DoubleDamageGames | "Double Damage Games"</t>
  </si>
  <si>
    <t>Developer - Double Eleven</t>
  </si>
  <si>
    <t>Exploding Tuba Studios</t>
  </si>
  <si>
    <r>
      <rPr>
        <rFont val="Calibri, sans-serif"/>
        <color rgb="FF000000"/>
        <sz val="10.0"/>
        <u/>
      </rPr>
      <t>https://www.youtube.com/channel/UCB1b9jvZFybNjZfZgC-VXlQ</t>
    </r>
    <r>
      <rPr>
        <rFont val="Calibri, sans-serif"/>
        <color rgb="FF000000"/>
        <sz val="10.0"/>
      </rPr>
      <t>|</t>
    </r>
  </si>
  <si>
    <t>#ExplodingTubaStudios OR "Exploding Tuba Studios"</t>
  </si>
  <si>
    <t>#DoubleEleven | "Double Eleven"</t>
  </si>
  <si>
    <t>Developer - Double Fine Productions</t>
  </si>
  <si>
    <t>Extra Mile Studios</t>
  </si>
  <si>
    <t>https://www.youtube.com/channel/UCycAP0v2TahFoeUeC6D9gQQ|</t>
  </si>
  <si>
    <t>#ExtraMileStudios OR "Extra Mile Studios"</t>
  </si>
  <si>
    <t>#DoubleFineProductions | "Double Fine Productions"</t>
  </si>
  <si>
    <t>Developer - Double Helix Games</t>
  </si>
  <si>
    <t>#DoubleHelixGames OR "Double Helix Games"</t>
  </si>
  <si>
    <t>eyethree</t>
  </si>
  <si>
    <t>#eyethree OR "eyethree"</t>
  </si>
  <si>
    <t>#DoubleHelixGames | "Double Helix Games"</t>
  </si>
  <si>
    <t>https://www.youtube.com/user/DoubleHelixGames|</t>
  </si>
  <si>
    <t>Developer - Double Stallion Games</t>
  </si>
  <si>
    <t>#DoubleStallionGames OR "Double Stallion Games"</t>
  </si>
  <si>
    <t>EzeN Labs</t>
  </si>
  <si>
    <t>#EzeNLabs OR "EzeN Labs"</t>
  </si>
  <si>
    <t>#DoubleStallionGames | "Double Stallion Games"</t>
  </si>
  <si>
    <t>https://www.youtube.com/user/DoubleStallionGames|</t>
  </si>
  <si>
    <t>Developer - DoubleMoose Games</t>
  </si>
  <si>
    <t>Fabian Viking</t>
  </si>
  <si>
    <t>#FabianViking OR "Fabian Viking"</t>
  </si>
  <si>
    <t>#DoubleMooseGames | "DoubleMoose Games"</t>
  </si>
  <si>
    <t>Developer - Douze Dixiemes</t>
  </si>
  <si>
    <t>#DouzeDixiemes OR "Douze Dixiemes"</t>
  </si>
  <si>
    <t>Fabraz</t>
  </si>
  <si>
    <t>https://www.youtube.com/user/Fabrazz|</t>
  </si>
  <si>
    <t>#Fabraz OR "Fabraz"</t>
  </si>
  <si>
    <t>#DouzeDixiemes | "Douze Dixiemes"</t>
  </si>
  <si>
    <t>Developer - Dovetail Games</t>
  </si>
  <si>
    <t>Fabrik Games</t>
  </si>
  <si>
    <t>https://www.youtube.com/channel/UCX2rxzDxMRo3FM7UGpvWJKA|</t>
  </si>
  <si>
    <t>#FabrikGames OR "Fabrik Games"</t>
  </si>
  <si>
    <t>#DovetailGames | "Dovetail Games"</t>
  </si>
  <si>
    <t>Developer - DP Games</t>
  </si>
  <si>
    <t>#DPGames OR "DP Games"</t>
  </si>
  <si>
    <t>Factoria Cultural Gestio, S.L.</t>
  </si>
  <si>
    <t>#FactoriaCulturalGestioSL OR "Factoria Cultural Gestio, S.L."</t>
  </si>
  <si>
    <t>#DPGames | "DP Games"</t>
  </si>
  <si>
    <t>https://www.youtube.com/channel/UCabSxa9SPW6tf6tl7V8RvHA|</t>
  </si>
  <si>
    <t>Developer - DR Studios</t>
  </si>
  <si>
    <t>#DRStudios OR "DR Studios"</t>
  </si>
  <si>
    <t>Failbetter Games</t>
  </si>
  <si>
    <t>https://www.youtube.com/channel/UCGzfuqW2ufIrxkrKkVia17w|</t>
  </si>
  <si>
    <t>#FailbetterGames OR "Failbetter Games"</t>
  </si>
  <si>
    <t>#DRStudios | "DR Studios"</t>
  </si>
  <si>
    <t>https://www.youtube.com/channel/UCij8ucRPbYIU_1udIDwZO7w|</t>
  </si>
  <si>
    <t>Developer - Drageus Games</t>
  </si>
  <si>
    <t>Fair Play Labs</t>
  </si>
  <si>
    <t>https://www.youtube.com/channel/UCEKD6UQhPZ7RDyXAPfzuc8g|</t>
  </si>
  <si>
    <t>#FairPlayLabs OR "Fair Play Labs"</t>
  </si>
  <si>
    <t>#DrageusGames | "Drageus Games"</t>
  </si>
  <si>
    <t>Developer - Dragonest</t>
  </si>
  <si>
    <t>Fallen Planet Studios LTD</t>
  </si>
  <si>
    <t>https://www.youtube.com/channel/UC4DWY4gXVBEQ1DVtolSruuw|</t>
  </si>
  <si>
    <t>#FallenPlanetStudiosLTD OR "Fallen Planet Studios LTD"</t>
  </si>
  <si>
    <t>#Dragonest | "Dragonest"</t>
  </si>
  <si>
    <t>Developer - Drakhar Studio</t>
  </si>
  <si>
    <t>#DrakharStudio OR "Drakhar Studio"</t>
  </si>
  <si>
    <t>Falling Squirrel</t>
  </si>
  <si>
    <t>https://www.youtube.com/channel/UCndQeZtXTEzib-z80xJBiZQ|</t>
  </si>
  <si>
    <t>#FallingSquirrel OR "Falling Squirrel"</t>
  </si>
  <si>
    <t>#DrakharStudio | "Drakhar Studio"</t>
  </si>
  <si>
    <t>https://www.youtube.com/channel/UCKJqj2B_dXqDr1ESc0zgx4g|</t>
  </si>
  <si>
    <t>Developer - Drakkar Dev</t>
  </si>
  <si>
    <t>#DrakkarDev OR "Drakkar Dev"</t>
  </si>
  <si>
    <t>Famiku</t>
  </si>
  <si>
    <t>#Famiku OR "Famiku"</t>
  </si>
  <si>
    <t>#DrakkarDev | "Drakkar Dev"</t>
  </si>
  <si>
    <t>https://www.youtube.com/user/DrakkarDev|</t>
  </si>
  <si>
    <t>Developer - Draw Distance</t>
  </si>
  <si>
    <t>Fancy Fish Games</t>
  </si>
  <si>
    <t>https://www.youtube.com/user/FancyFishGames|</t>
  </si>
  <si>
    <t>#FancyFishGames OR "Fancy Fish Games"</t>
  </si>
  <si>
    <t>#DrawDistance | "Draw Distance"</t>
  </si>
  <si>
    <t>Developer - Draydur Studio</t>
  </si>
  <si>
    <t>Fangamer</t>
  </si>
  <si>
    <r>
      <rPr>
        <rFont val="Calibri, sans-serif"/>
        <color rgb="FF000000"/>
        <sz val="10.0"/>
        <u/>
      </rPr>
      <t>https://www.youtube.com/channel/UCrqfIYOTpB1pu6j8qn4xMNA</t>
    </r>
    <r>
      <rPr>
        <rFont val="Calibri, sans-serif"/>
        <color rgb="FF000000"/>
        <sz val="10.0"/>
      </rPr>
      <t>|</t>
    </r>
  </si>
  <si>
    <t>#Fangamer OR "Fangamer"</t>
  </si>
  <si>
    <t>#DraydurStudio | "Draydur Studio"</t>
  </si>
  <si>
    <t>Developer - Dreadbit</t>
  </si>
  <si>
    <t>Fantastico Studio</t>
  </si>
  <si>
    <t>https://www.youtube.com/channel/UCBYbYqkKwJqk4-vv7j1M5Fg|</t>
  </si>
  <si>
    <t>#FantasticoStudio OR "Fantastico Studio"</t>
  </si>
  <si>
    <t>#Dreadbit | "Dreadbit"</t>
  </si>
  <si>
    <t>Developer - Dreadlocks Ltd</t>
  </si>
  <si>
    <t>Farsight Studios</t>
  </si>
  <si>
    <t>https://www.youtube.com/channel/UC1glnouC7upVBFXj7HTl4jw|</t>
  </si>
  <si>
    <t>#FarsightStudios OR "Farsight Studios"</t>
  </si>
  <si>
    <t>#DreadlocksLtd | "Dreadlocks Ltd"</t>
  </si>
  <si>
    <t>Developer - Dreamloop Games</t>
  </si>
  <si>
    <t>Farsight Technologies</t>
  </si>
  <si>
    <t>#FarsightTechnologies OR "Farsight Technologies"</t>
  </si>
  <si>
    <t>#DreamloopGames | "Dreamloop Games"</t>
  </si>
  <si>
    <t>Developer - Dreamoji</t>
  </si>
  <si>
    <t>Fashion Luxury Games</t>
  </si>
  <si>
    <t>#FashionLuxuryGames OR "Fashion Luxury Games"</t>
  </si>
  <si>
    <t>#Dreamoji | "Dreamoji"</t>
  </si>
  <si>
    <t>Developer - Dreams Uncorporated</t>
  </si>
  <si>
    <t>#DreamsUncorporated OR "Dreams Uncorporated"</t>
  </si>
  <si>
    <t>Fast Travel Games</t>
  </si>
  <si>
    <t>https://www.youtube.com/channel/UCkDZ7MN6u3l9LHp_zkGTJVA|</t>
  </si>
  <si>
    <t>#FastTravelGames OR "Fast Travel Games"</t>
  </si>
  <si>
    <t>#DreamsUncorporated | "Dreams Uncorporated"</t>
  </si>
  <si>
    <t>https://www.youtube.com/channel/UC85_rLYuQL6m4L8lZZl9gJQ|</t>
  </si>
  <si>
    <t>Developer - DrinkBox Studios</t>
  </si>
  <si>
    <t>Fatbot Games</t>
  </si>
  <si>
    <t>https://www.youtube.com/channel/UC61dziScxD93x_kacdgZS4A|</t>
  </si>
  <si>
    <t>#FatbotGames OR "Fatbot Games"</t>
  </si>
  <si>
    <t>#DrinkBoxStudios | "DrinkBox Studios"</t>
  </si>
  <si>
    <t>Developer - Drone Champions League</t>
  </si>
  <si>
    <t>#DroneChampionsLeague OR "Drone Champions League"</t>
  </si>
  <si>
    <t>Fatshark</t>
  </si>
  <si>
    <r>
      <rPr>
        <rFont val="Calibri, sans-serif"/>
        <color rgb="FF000000"/>
        <sz val="10.0"/>
        <u/>
      </rPr>
      <t>https://www.youtube.com/channel/UCfhGCMntOdvnorxaMNCbDOg</t>
    </r>
    <r>
      <rPr>
        <rFont val="Calibri, sans-serif"/>
        <color rgb="FF000000"/>
        <sz val="10.0"/>
      </rPr>
      <t>|</t>
    </r>
  </si>
  <si>
    <t>#Fatshark OR "Fatshark"</t>
  </si>
  <si>
    <t>#DroneChampionsLeague | "Drone Champions League"</t>
  </si>
  <si>
    <t>https://www.youtube.com/user/tomslai5|</t>
  </si>
  <si>
    <t>Developer - drool Games</t>
  </si>
  <si>
    <t>Fatshark AB</t>
  </si>
  <si>
    <t>https://www.youtube.com/channel/UCfhGCMntOdvnorxaMNCbDOg|</t>
  </si>
  <si>
    <t>#FatsharkAB OR "Fatshark AB"</t>
  </si>
  <si>
    <t>#droolGames | "drool Games"</t>
  </si>
  <si>
    <t>Developer - Drop Dead Interactive</t>
  </si>
  <si>
    <t>FDG Entertainment</t>
  </si>
  <si>
    <t>https://www.youtube.com/channel/UCaeIfI6Z3ps8FP6i2AguQaw|</t>
  </si>
  <si>
    <t>#FDGEntertainment OR "FDG Entertainment"</t>
  </si>
  <si>
    <t>#DropDeadInteractive | "Drop Dead Interactive"</t>
  </si>
  <si>
    <t>Developer - DRUNKEN APES</t>
  </si>
  <si>
    <t>Feardemic</t>
  </si>
  <si>
    <t>https://www.youtube.com/channel/UCKRPoHyDApVcEFfhhyAG4ew|</t>
  </si>
  <si>
    <t>#Feardemic OR "Feardemic"</t>
  </si>
  <si>
    <t>#DRUNKENAPES | "DRUNKEN APES"</t>
  </si>
  <si>
    <t>Developer - DSK Green Ice Games</t>
  </si>
  <si>
    <t>Fellow Traveller</t>
  </si>
  <si>
    <t>https://www.youtube.com/c/fellowtraveller|</t>
  </si>
  <si>
    <t>#FellowTraveller OR "Fellow Traveller"</t>
  </si>
  <si>
    <t>#DSKGreenIceGames | "DSK Green Ice Games"</t>
  </si>
  <si>
    <t>Developer - Duaik Entretenimento</t>
  </si>
  <si>
    <t>FennecFox Entertainment</t>
  </si>
  <si>
    <t>https://www.youtube.com/channel/UCbqy2YZN4z1GYixx9euep6w|</t>
  </si>
  <si>
    <t>#FennecFoxEntertainment OR "FennecFox Entertainment"</t>
  </si>
  <si>
    <t>#DuaikEntretenimento | "Duaik Entretenimento"</t>
  </si>
  <si>
    <t>Developer - Dual Effect</t>
  </si>
  <si>
    <t>#DualEffect OR "Dual Effect"</t>
  </si>
  <si>
    <t>Feperd Games</t>
  </si>
  <si>
    <t>#FeperdGames OR "Feperd Games"</t>
  </si>
  <si>
    <t>#DualEffect | "Dual Effect"</t>
  </si>
  <si>
    <r>
      <rPr>
        <rFont val="Arial"/>
        <color rgb="FF000000"/>
      </rPr>
      <t>https://www.youtube.com/channel/UCoiINuP73lsAjA8X3dMGp_Q</t>
    </r>
    <r>
      <rPr>
        <rFont val="Arial"/>
        <color rgb="FF000000"/>
      </rPr>
      <t>|</t>
    </r>
  </si>
  <si>
    <t>Developer - DuCats Games Studio</t>
  </si>
  <si>
    <t>#DuCatsGamesStudio OR "DuCats Games Studio"</t>
  </si>
  <si>
    <t>Fermenter Games</t>
  </si>
  <si>
    <t>#FermenterGames OR "Fermenter Games"</t>
  </si>
  <si>
    <t>#DuCatsGamesStudio | "DuCats Games Studio"</t>
  </si>
  <si>
    <t>https://www.youtube.com/channel/UC2BXxvcetRfdqxXRnCyOQ2A|</t>
  </si>
  <si>
    <t>Developer - Duck Team</t>
  </si>
  <si>
    <t>#DuckTeam OR "Duck Team"</t>
  </si>
  <si>
    <t>Fibrum Limited</t>
  </si>
  <si>
    <t>https://www.youtube.com/user/Fibrum|</t>
  </si>
  <si>
    <t>#FibrumLimited OR "Fibrum Limited"</t>
  </si>
  <si>
    <t>#DuckTeam | "Duck Team"</t>
  </si>
  <si>
    <t>youtube.com/channel/UCouhzKJL5opYOXFCWQ1Jb2Q|</t>
  </si>
  <si>
    <t>Developer - Duckbridge</t>
  </si>
  <si>
    <t>#Duckbridge OR "Duckbridge"</t>
  </si>
  <si>
    <t>FilRip</t>
  </si>
  <si>
    <t>#FilRip OR "FilRip"</t>
  </si>
  <si>
    <t>#Duckbridge | "Duckbridge"</t>
  </si>
  <si>
    <r>
      <rPr>
        <rFont val="Arial"/>
        <color rgb="FF000000"/>
      </rPr>
      <t>https://www.youtube.com/channel/UCEpTxsVtdzVZhtigmZ7Q1EA</t>
    </r>
    <r>
      <rPr>
        <rFont val="Arial"/>
        <color rgb="FF000000"/>
      </rPr>
      <t>|</t>
    </r>
  </si>
  <si>
    <t>Developer - Duel Studios</t>
  </si>
  <si>
    <t>Final Form Games, LLC</t>
  </si>
  <si>
    <t>https://www.youtube.com/channel/UCUmN5bPbz5kR7J2UOFqLT9Q|</t>
  </si>
  <si>
    <t>#FinalFormGamesLLC OR "Final Form Games"</t>
  </si>
  <si>
    <t>#DuelStudios | "Duel Studios"</t>
  </si>
  <si>
    <t>Developer - Dumb and Fat Games</t>
  </si>
  <si>
    <t>FinalBoss Games</t>
  </si>
  <si>
    <t>https://www.youtube.com/channel/UCx8IdaZkBAIKxQ29WJzm4Iw|</t>
  </si>
  <si>
    <t>#FinalBossGames OR "FinalBoss Games"</t>
  </si>
  <si>
    <t>#DumbandFatGames | "Dumb and Fat Games"</t>
  </si>
  <si>
    <t>Developer - Durbek</t>
  </si>
  <si>
    <t>#Durbek OR "Durbek"</t>
  </si>
  <si>
    <t>Finish Line Games</t>
  </si>
  <si>
    <t>https://www.youtube.com/channel/UCGJFxuUH8tHRy-b1BrkatUw|</t>
  </si>
  <si>
    <t>#FinishLineGames OR "Finish Line Games"</t>
  </si>
  <si>
    <t>#Durbek | "Durbek"</t>
  </si>
  <si>
    <t>Developer - Dustwind Studios</t>
  </si>
  <si>
    <t>#DustwindStudios OR "Dustwind Studios"</t>
  </si>
  <si>
    <t>Finite Reflection Studios, LLC</t>
  </si>
  <si>
    <t>#DustwindStudios | "Dustwind Studios"</t>
  </si>
  <si>
    <t>https://www.youtube.com/channel/UCkNmrM7SY2kr9BEYba42pxg|</t>
  </si>
  <si>
    <t>Developer - Dynamic Voltage Games</t>
  </si>
  <si>
    <t>Finji</t>
  </si>
  <si>
    <t>https://www.youtube.com/channel/UCU2wQyZ5XlSSrsMXJIOYGGA|</t>
  </si>
  <si>
    <t>#Finji OR "Finji"</t>
  </si>
  <si>
    <t>#DynamicVoltageGames | "Dynamic Voltage Games"</t>
  </si>
  <si>
    <t>Developer - E-Home Entertainment</t>
  </si>
  <si>
    <t>Fire Hose Games</t>
  </si>
  <si>
    <t>https://www.youtube.com/channel/UCxAuey9AeCb32LqDYvf-NXg|</t>
  </si>
  <si>
    <t>#FireHoseGames OR "Fire Hose Games"</t>
  </si>
  <si>
    <t>#EHomeEntertainment | "E-Home Entertainment"</t>
  </si>
  <si>
    <t>Developer - E-Line Media</t>
  </si>
  <si>
    <t>Firebird Lab</t>
  </si>
  <si>
    <t>#FirebirdLab OR "Firebird Lab"</t>
  </si>
  <si>
    <t>#ELineMedia | "E-Line Media"</t>
  </si>
  <si>
    <t>Developer - EA Canada</t>
  </si>
  <si>
    <t>#EACanada OR "EA Canada"</t>
  </si>
  <si>
    <t>Fireproof Games</t>
  </si>
  <si>
    <t>https://www.youtube.com/user/FireproofGames|</t>
  </si>
  <si>
    <t>#FireproofGames OR "Fireproof Games"</t>
  </si>
  <si>
    <t>#EACanada | "EA Canada"</t>
  </si>
  <si>
    <t>Developer - EA DICE</t>
  </si>
  <si>
    <t>#EADICE OR "EA DICE"</t>
  </si>
  <si>
    <t>Fireshine Games</t>
  </si>
  <si>
    <t>https://www.youtube.com/channel/UCUaskG4XCg1vcp6Aa0HRCiw|</t>
  </si>
  <si>
    <t>#FireshineGames OR "Fireshine Games"</t>
  </si>
  <si>
    <t>#EADICE | "EA DICE"</t>
  </si>
  <si>
    <t>Developer - EA Sports</t>
  </si>
  <si>
    <t>Firesprite</t>
  </si>
  <si>
    <t>https://www.youtube.com/channel/UCR-Fp5r4Kt6YCLuuF-ADhKw|</t>
  </si>
  <si>
    <t>#Firesprite OR "Firesprite"</t>
  </si>
  <si>
    <t>#EASports | "EA Sports"</t>
  </si>
  <si>
    <t>Developer - EA Tiburon</t>
  </si>
  <si>
    <t>#EATiburon OR "EA Tiburon"</t>
  </si>
  <si>
    <t>First Contact Entertainment</t>
  </si>
  <si>
    <t>https://www.youtube.com/channel/UCFDazRglN4Yp33aXEeaJMTQ|</t>
  </si>
  <si>
    <t>#FirstContactEntertainment OR "First Contact Entertainment"</t>
  </si>
  <si>
    <t>#EATiburon | "EA Tiburon"</t>
  </si>
  <si>
    <t>Developer - EA Vancouver</t>
  </si>
  <si>
    <t>#EAVancouver OR "EA Vancouver"</t>
  </si>
  <si>
    <t>Fishing Planet LLC</t>
  </si>
  <si>
    <t>#FishingPlanetLLC OR "Fishing Planet LLC"</t>
  </si>
  <si>
    <t>#EAVancouver | "EA Vancouver"</t>
  </si>
  <si>
    <t>Developer - East2West Games</t>
  </si>
  <si>
    <t>FitXR</t>
  </si>
  <si>
    <t>https://www.youtube.com/channel/UC5j5_pTobcYj50xfaxE68Ng|</t>
  </si>
  <si>
    <t>#FitXR OR "FitXR"</t>
  </si>
  <si>
    <t>#East2WestGames | "East2West Games"</t>
  </si>
  <si>
    <r>
      <rPr>
        <rFont val="Arial"/>
        <color rgb="FF000000"/>
      </rPr>
      <t>https://www.youtube.com/channel/UCdG9QO00tgPn8OrFcgPDcOQ</t>
    </r>
    <r>
      <rPr>
        <rFont val="Arial"/>
        <color rgb="FF000000"/>
      </rPr>
      <t>|</t>
    </r>
  </si>
  <si>
    <t>Developer - EastAsiaSoft</t>
  </si>
  <si>
    <t>Five Aces Publishing Ltd.</t>
  </si>
  <si>
    <t>#FiveAcesPublishingLtd OR "Five Aces Publishing Ltd."</t>
  </si>
  <si>
    <t>#EastAsiaSoft | "EastAsiaSoft"</t>
  </si>
  <si>
    <t>Developer - Eastshade Studios</t>
  </si>
  <si>
    <t>Five Star Apps vAlexey Kropotin</t>
  </si>
  <si>
    <t>#FiveStarAppsvAlexeyKropotin OR "Five Star Apps vAlexey Kropotin"</t>
  </si>
  <si>
    <t>#EastshadeStudios | "Eastshade Studios"</t>
  </si>
  <si>
    <t>Developer - Easy Day Studios Pty Ltd</t>
  </si>
  <si>
    <t>Five Star Games</t>
  </si>
  <si>
    <t>https://www.youtube.com/channel/UCGc_SIbIUKdkT4iBMRd83QA/|</t>
  </si>
  <si>
    <t>#FiveStarGames OR "Five Star Games"</t>
  </si>
  <si>
    <t>#EasyDayStudiosPtyLtd | "Easy Day Studios Pty Ltd"</t>
  </si>
  <si>
    <t>Developer - ebi-hime</t>
  </si>
  <si>
    <t>#ebihime OR "ebi-hime"</t>
  </si>
  <si>
    <t>FiveXGames</t>
  </si>
  <si>
    <t>https://www.youtube.com/channel/UC9h2BmH5IPgy8bdTslThsYQ|</t>
  </si>
  <si>
    <t>#FiveXGames OR "FiveXGames"</t>
  </si>
  <si>
    <t>#ebihime | "ebi-hime"</t>
  </si>
  <si>
    <r>
      <rPr>
        <rFont val="Arial"/>
        <color rgb="FF000000"/>
      </rPr>
      <t>https://www.youtube.com/channel/UC0JORcoH76LyaDCU4jp9D6A</t>
    </r>
    <r>
      <rPr>
        <rFont val="Arial"/>
        <color rgb="FF000000"/>
      </rPr>
      <t>|</t>
    </r>
  </si>
  <si>
    <t>Developer - Echodog Games</t>
  </si>
  <si>
    <t>#EchodogGames OR "Echodog Games"</t>
  </si>
  <si>
    <t>Flaming Fowl Studios</t>
  </si>
  <si>
    <t>https://www.youtube.com/channel/UCjk-MuFwHWdYbVk_dt9m51A|</t>
  </si>
  <si>
    <t>#FlamingFowlStudios OR "Flaming Fowl Studios"</t>
  </si>
  <si>
    <t>#EchodogGames | "Echodog Games"</t>
  </si>
  <si>
    <t>https://www.youtube.com/channel/UCNI3ncuFKFPEWf6mWibxfBg|</t>
  </si>
  <si>
    <t>Developer - Eclipse Games</t>
  </si>
  <si>
    <t>FLARB LLC</t>
  </si>
  <si>
    <t>https://www.youtube.com/channel/UCg7U99z2qjZDwofNYOhJkjw|</t>
  </si>
  <si>
    <t>#FLARBLLC OR "FLARB LLC"</t>
  </si>
  <si>
    <t>#EclipseGames | "Eclipse Games"</t>
  </si>
  <si>
    <t>Developer - Edelica Computer Entertainment</t>
  </si>
  <si>
    <t>Flashbulb</t>
  </si>
  <si>
    <t>https://www.youtube.com/channel/UCx4CQ706t48ZPys_lqwLY8w|</t>
  </si>
  <si>
    <t>#Flashbulb OR "Flashbulb"</t>
  </si>
  <si>
    <t>#EdelicaComputerEntertainment | "Edelica Computer Entertainment"</t>
  </si>
  <si>
    <t>Developer - Eden Games Mobile</t>
  </si>
  <si>
    <t>#EdenGamesMobile OR "Eden Games Mobile"</t>
  </si>
  <si>
    <t>Flashman Games</t>
  </si>
  <si>
    <t>https://www.youtube.com/channel/UCruQ3cAJrOWb6_a-aquGp5Q|</t>
  </si>
  <si>
    <t>#FlashmanGames OR "Flashman Games"</t>
  </si>
  <si>
    <t>#EdenGamesMobile | "Eden Games Mobile"</t>
  </si>
  <si>
    <t>https://www.youtube.com/channel/UC3x_BngoEMLa_qNKx2nVqGA|</t>
  </si>
  <si>
    <t>Developer - Edge of Reality</t>
  </si>
  <si>
    <t>Flavourworks</t>
  </si>
  <si>
    <t>https://www.youtube.com/channel/UC1nl1z6SIA3329TMOgn8fzA|</t>
  </si>
  <si>
    <t>#Flavourworks OR "Flavourworks"</t>
  </si>
  <si>
    <t>#EdgeofReality | "Edge of Reality"</t>
  </si>
  <si>
    <t>Developer - EgameEd Stodio</t>
  </si>
  <si>
    <t>Flight School Studio</t>
  </si>
  <si>
    <t>https://www.youtube.com/channel/UC_UoBAtgwYzty_Cam5fbaQQ|</t>
  </si>
  <si>
    <t>#FlightSchoolStudio OR "Flight School Studio"</t>
  </si>
  <si>
    <t>#EgameEdStodio | "EgameEd Stodio"</t>
  </si>
  <si>
    <t>Developer - Eggcode</t>
  </si>
  <si>
    <t>Flippfly</t>
  </si>
  <si>
    <t>https://www.youtube.com/channel/UC2cAl3znus0WPc_vnHb54_Q|</t>
  </si>
  <si>
    <t>#Flippfly OR "Flippfly"</t>
  </si>
  <si>
    <t>#Eggcode | "Eggcode"</t>
  </si>
  <si>
    <t>Developer - EggNut</t>
  </si>
  <si>
    <t>#EggNut OR "EggNut"</t>
  </si>
  <si>
    <t>Flow Fire Games</t>
  </si>
  <si>
    <r>
      <rPr>
        <rFont val="Calibri, sans-serif"/>
        <color rgb="FF000000"/>
        <sz val="10.0"/>
        <u/>
      </rPr>
      <t>https://www.youtube.com/channel/UCeruOLuiPejw-Lmnr23f38Q</t>
    </r>
    <r>
      <rPr>
        <rFont val="Calibri, sans-serif"/>
        <color rgb="FF000000"/>
        <sz val="10.0"/>
      </rPr>
      <t>|</t>
    </r>
  </si>
  <si>
    <t>#FlowFireGames OR "Flow Fire Games"</t>
  </si>
  <si>
    <t>#EggNut | "EggNut"</t>
  </si>
  <si>
    <t>https://www.youtube.com/channel/UCuMRlW41RPLs-lW62MRSOVg|</t>
  </si>
  <si>
    <t>Developer - Eidos Montreal</t>
  </si>
  <si>
    <t>#EidosMontreal OR "Eidos Montreal"</t>
  </si>
  <si>
    <t>Flux Games</t>
  </si>
  <si>
    <t>https://www.youtube.com/channel/UCFpu6t5sPSsC1EcwvdwJo3A|</t>
  </si>
  <si>
    <t>#FluxGames OR "Flux Games"</t>
  </si>
  <si>
    <t>#EidosMontreal | "Eidos Montreal"</t>
  </si>
  <si>
    <t>https://www.youtube.com/user/EidosMontreal|</t>
  </si>
  <si>
    <t>Developer - Eight Points</t>
  </si>
  <si>
    <t>#EightPoints OR "Eight Points"</t>
  </si>
  <si>
    <t>Fluxart Studios</t>
  </si>
  <si>
    <t>#FluxartStudios OR "Fluxart Studios"</t>
  </si>
  <si>
    <t>#EightPoints | "Eight Points"</t>
  </si>
  <si>
    <t>Developer - Eighting/Raizing</t>
  </si>
  <si>
    <t>#EightingRaizing OR "Eighting/Raizing"</t>
  </si>
  <si>
    <t>Flyhigh Works</t>
  </si>
  <si>
    <t>https://www.youtube.com/channel/UCZUZDy1N3_AVuMEAGq1vZFw|</t>
  </si>
  <si>
    <t>#FlyhighWorks OR "Flyhigh Works"</t>
  </si>
  <si>
    <t>#EightingRaizing | "Eighting/Raizing"</t>
  </si>
  <si>
    <t>Developer - Einzelartig Games</t>
  </si>
  <si>
    <t>#EinzelartigGames OR "Einzelartig Games"</t>
  </si>
  <si>
    <t>Flying Carpets Games</t>
  </si>
  <si>
    <t>https://www.youtube.com/channel/UC3J4VJ0HPRkV45fnioSXQKQ|</t>
  </si>
  <si>
    <t>#FlyingCarpetsGames OR "Flying Carpets Games"</t>
  </si>
  <si>
    <t>#EinzelartigGames | "Einzelartig Games"</t>
  </si>
  <si>
    <t>https://www.youtube.com/user/KaiKieschnick|</t>
  </si>
  <si>
    <t>Developer - EIZAO STUDIO</t>
  </si>
  <si>
    <t>Flying Islands Team</t>
  </si>
  <si>
    <t>https://www.youtube.com/channel/UCUTL29_AUUP9Jg9psUl_dpg/featured|</t>
  </si>
  <si>
    <t>#FlyingIslandsTeam OR "Flying Islands Team"</t>
  </si>
  <si>
    <t>#EIZAOSTUDIO | "EIZAO STUDIO"</t>
  </si>
  <si>
    <t>Developer - Eko</t>
  </si>
  <si>
    <t>Flying Mollusk</t>
  </si>
  <si>
    <t>#FlyingMollusk OR "Flying Mollusk"</t>
  </si>
  <si>
    <t>#Eko | "Eko"</t>
  </si>
  <si>
    <t>Developer - EKO Software</t>
  </si>
  <si>
    <t>#EKOSoftware OR "EKO Software"</t>
  </si>
  <si>
    <t>Flying Oak Games</t>
  </si>
  <si>
    <t>https://www.youtube.com/channel/UCBcS_LkHltN6tpl8kPZSSiA|</t>
  </si>
  <si>
    <t>#FlyingOakGames OR "Flying Oak Games"</t>
  </si>
  <si>
    <t>#EKOSoftware | "EKO Software"</t>
  </si>
  <si>
    <t>Developer - Elasto Mania Team</t>
  </si>
  <si>
    <t>Flying Tiger Development</t>
  </si>
  <si>
    <t>#FlyingTigerDevelopment OR "Flying Tiger Development"</t>
  </si>
  <si>
    <t>#ElastoManiaTeam | "Elasto Mania Team"</t>
  </si>
  <si>
    <t>Developer - Elden Pixels</t>
  </si>
  <si>
    <t>Flying Turtle</t>
  </si>
  <si>
    <t>#FlyingTurtle OR "Flying Turtle"</t>
  </si>
  <si>
    <t>#EldenPixels | "Elden Pixels"</t>
  </si>
  <si>
    <t>Developer - Elder Games</t>
  </si>
  <si>
    <t>#ElderGames OR "Elder Games"</t>
  </si>
  <si>
    <t>FMV Interactive</t>
  </si>
  <si>
    <t>https://www.youtube.com/user/FMVWorldTV|</t>
  </si>
  <si>
    <t>#FMVInteractive OR "FMV Interactive"</t>
  </si>
  <si>
    <t>#ElderGames | "Elder Games"</t>
  </si>
  <si>
    <t>https://youtube.com/channel/UCB4ppYNC9k1BFLu1sDKgt8Q|</t>
  </si>
  <si>
    <t>Developer - Electronic Arts</t>
  </si>
  <si>
    <t>Fntastic</t>
  </si>
  <si>
    <t>https://www.youtube.com/channel/UCPZZa_BN5dbjKyczts30dAA|</t>
  </si>
  <si>
    <t>#Fntastic OR "Fntastic"</t>
  </si>
  <si>
    <t>#ElectronicArts | "Electronic Arts"</t>
  </si>
  <si>
    <t>Developer - Elefantopia LLC</t>
  </si>
  <si>
    <t>#ElefantopiaLLC OR "Elefantopia LLC"</t>
  </si>
  <si>
    <t>Foam Punch</t>
  </si>
  <si>
    <t>#FoamPunch OR "Foam Punch"</t>
  </si>
  <si>
    <t>#ElefantopiaLLC | "Elefantopia LLC"</t>
  </si>
  <si>
    <t>Developer - Ellada Games</t>
  </si>
  <si>
    <t>Focus Home Interactive</t>
  </si>
  <si>
    <r>
      <rPr>
        <rFont val="Calibri, sans-serif"/>
        <color rgb="FF000000"/>
        <sz val="10.0"/>
        <u/>
      </rPr>
      <t>https://www.youtube.com/channel/UCSSBsIYMg-XugI79dwN-6wQ</t>
    </r>
    <r>
      <rPr>
        <rFont val="Calibri, sans-serif"/>
        <color rgb="FF000000"/>
        <sz val="10.0"/>
      </rPr>
      <t>|</t>
    </r>
  </si>
  <si>
    <t>#FocusHomeInteractive OR "Focus Home Interactive"</t>
  </si>
  <si>
    <t>#ElladaGames | "Ellada Games"</t>
  </si>
  <si>
    <t>Developer - EM Studios</t>
  </si>
  <si>
    <t>Foldergeist Studios</t>
  </si>
  <si>
    <t>https://www.youtube.com/channel/UCdlqRhCGzv0jUoqLcE_HF1w|</t>
  </si>
  <si>
    <t>#FoldergeistStudios OR "Foldergeist Studios"</t>
  </si>
  <si>
    <t>#EMStudios | "EM Studios"</t>
  </si>
  <si>
    <t>Developer - Emberlab</t>
  </si>
  <si>
    <t>Fordesoft</t>
  </si>
  <si>
    <r>
      <rPr>
        <rFont val="Calibri, sans-serif"/>
        <color rgb="FF000000"/>
        <sz val="10.0"/>
        <u/>
      </rPr>
      <t>https://www.youtube.com/channel/UCN_1sYtxnTI2KI258_T4UwQ</t>
    </r>
    <r>
      <rPr>
        <rFont val="Calibri, sans-serif"/>
        <color rgb="FF000000"/>
        <sz val="10.0"/>
      </rPr>
      <t>|</t>
    </r>
  </si>
  <si>
    <t>#Fordesoft OR "Fordesoft"</t>
  </si>
  <si>
    <t>#Emberlab | "Emberlab"</t>
  </si>
  <si>
    <t>Developer - Emil Ismaylov</t>
  </si>
  <si>
    <t>#EmilIsmaylov OR "Emil Ismaylov"</t>
  </si>
  <si>
    <t>Forever Entertainment</t>
  </si>
  <si>
    <t>https://www.youtube.com/user/ForeverEntert|</t>
  </si>
  <si>
    <t>#ForeverEntertainment OR "Forever Entertainment"</t>
  </si>
  <si>
    <t>#EmilIsmaylov | "Emil Ismaylov"</t>
  </si>
  <si>
    <t>Developer - Emilie Coyo</t>
  </si>
  <si>
    <t>#EmilieCoyo OR "Emilie Coyo"</t>
  </si>
  <si>
    <t>Forge Reply</t>
  </si>
  <si>
    <t>https://www.youtube.com/channel/UCiGjb32Yc4pFQw5USvb8nDQ|</t>
  </si>
  <si>
    <t>#ForgeReply OR "Forge Reply"</t>
  </si>
  <si>
    <t>#EmilieCoyo | "Emilie Coyo"</t>
  </si>
  <si>
    <t>https://www.youtube.com/channel/UCZuw09-HvFmEa82H4oXFAKA|</t>
  </si>
  <si>
    <t>Developer - Emilios Manolidis</t>
  </si>
  <si>
    <t>Forthright Entertainment</t>
  </si>
  <si>
    <r>
      <rPr>
        <rFont val="Calibri, sans-serif"/>
        <color rgb="FF000000"/>
        <sz val="10.0"/>
        <u/>
      </rPr>
      <t>https://www.youtube.com/channel/UCo_iaKEjp-YsOGQVAbbjiFQ</t>
    </r>
    <r>
      <rPr>
        <rFont val="Calibri, sans-serif"/>
        <color rgb="FF000000"/>
        <sz val="10.0"/>
      </rPr>
      <t>|</t>
    </r>
  </si>
  <si>
    <t>#ForthrightEntertainment OR "Forthright Entertainment"</t>
  </si>
  <si>
    <t>#EmiliosManolidis | "Emilios Manolidis"</t>
  </si>
  <si>
    <t>Developer - Empty Clip Studios</t>
  </si>
  <si>
    <t>#EmptyClipStudios OR "Empty Clip Studios"</t>
  </si>
  <si>
    <t>ForwardXP</t>
  </si>
  <si>
    <t>#ForwardXP OR "ForwardXP"</t>
  </si>
  <si>
    <t>#EmptyClipStudios | "Empty Clip Studios"</t>
  </si>
  <si>
    <t>https://www.youtube.com/channel/UCK2NjR_0VGg0RdkXZGoMi0w|</t>
  </si>
  <si>
    <t>Developer - Empyrean</t>
  </si>
  <si>
    <t>#Empyrean OR "Empyrean"</t>
  </si>
  <si>
    <t>Fountain Digital Labs Limited</t>
  </si>
  <si>
    <t>#FountainDigitalLabsLimited OR "Fountain Digital Labs Limited"</t>
  </si>
  <si>
    <t>#Empyrean | "Empyrean"</t>
  </si>
  <si>
    <t>https://www.youtube.com/channel/UCQEZp7MukKN_XfNhkQejrXg|</t>
  </si>
  <si>
    <t>Developer - Endflame</t>
  </si>
  <si>
    <t>#Endflame OR "Endflame"</t>
  </si>
  <si>
    <t>Four Horses</t>
  </si>
  <si>
    <t>#FourHorses OR "Four Horses"</t>
  </si>
  <si>
    <t>#Endflame | "Endflame"</t>
  </si>
  <si>
    <t>youtube.com/channel/UCgonn3RMDuaYJn9aoVIe9Cw|</t>
  </si>
  <si>
    <t>Developer - Engine Software</t>
  </si>
  <si>
    <t>#EngineSoftware OR "Engine Software"</t>
  </si>
  <si>
    <t>FOUR HORSES LTD.</t>
  </si>
  <si>
    <t>#FOURHORSESLTD OR "FOUR HORSES LTD."</t>
  </si>
  <si>
    <t>#EngineSoftware | "Engine Software"</t>
  </si>
  <si>
    <t>https://www.youtube.com/user/EngineBV|</t>
  </si>
  <si>
    <t>Developer - Enhance Games</t>
  </si>
  <si>
    <t>FoxNext VR Studio</t>
  </si>
  <si>
    <t>#FoxNextVRStudio OR "FoxNext VR Studio"</t>
  </si>
  <si>
    <t>#EnhanceGames | "Enhance Games"</t>
  </si>
  <si>
    <t>Developer - Enjoy These Pixels</t>
  </si>
  <si>
    <t>fpsVisonary Software</t>
  </si>
  <si>
    <t>#fpsVisonarySoftware OR "fpsVisonary Software"</t>
  </si>
  <si>
    <t>#EnjoyThesePixels | "Enjoy These Pixels"</t>
  </si>
  <si>
    <t>Developer - EnjoyUp Games</t>
  </si>
  <si>
    <t>Fractal Box &amp; Moving Player</t>
  </si>
  <si>
    <t>#FractalBoxandMovingPlayer OR "Fractal Box &amp; Moving Player"</t>
  </si>
  <si>
    <t>#EnjoyUpGames | "EnjoyUp Games"</t>
  </si>
  <si>
    <r>
      <rPr>
        <rFont val="Arial"/>
        <color rgb="FF000000"/>
      </rPr>
      <t>https://www.youtube.com/channel/UCP3pn5EhuRGWSgpLQIpNREA</t>
    </r>
    <r>
      <rPr>
        <rFont val="Arial"/>
        <color rgb="FF000000"/>
      </rPr>
      <t>|</t>
    </r>
  </si>
  <si>
    <t>Developer - Entrepreneurial Game Studio</t>
  </si>
  <si>
    <t>Fractal Phase</t>
  </si>
  <si>
    <t>https://www.youtube.com/user/nihilocrat|</t>
  </si>
  <si>
    <t>#FractalPhase OR "Fractal Phase"</t>
  </si>
  <si>
    <t>#EntrepreneurialGameStudio | "Entrepreneurial Game Studio"</t>
  </si>
  <si>
    <t>Developer - Entwickler-X</t>
  </si>
  <si>
    <t>Fractured Sands</t>
  </si>
  <si>
    <t>#FracturedSands OR "Fractured Sands"</t>
  </si>
  <si>
    <t>#EntwicklerX | "Entwickler-X"</t>
  </si>
  <si>
    <t>Developer - EOK Labs</t>
  </si>
  <si>
    <t>FrameLine Network</t>
  </si>
  <si>
    <t>#FrameLineNetwork OR "FrameLine Network"</t>
  </si>
  <si>
    <t>#EOKLabs | "EOK Labs"</t>
  </si>
  <si>
    <t>Developer - Eolith</t>
  </si>
  <si>
    <t>#Eolith OR "Eolith"</t>
  </si>
  <si>
    <t>Fraoula</t>
  </si>
  <si>
    <t>#Fraoula OR "Fraoula"</t>
  </si>
  <si>
    <t>#Eolith | "Eolith"</t>
  </si>
  <si>
    <t>Developer - EP Games</t>
  </si>
  <si>
    <t>Freaky Creations</t>
  </si>
  <si>
    <t>#FreakyCreations OR "Freaky Creations"</t>
  </si>
  <si>
    <t>#EPGames | "EP Games"</t>
  </si>
  <si>
    <t>Developer - Epic Games</t>
  </si>
  <si>
    <t>Freedom Games</t>
  </si>
  <si>
    <t>https://www.youtube.com/channel/UCF6Ux007k7BGAq5JfL7clzA|</t>
  </si>
  <si>
    <t>#FreedomGames OR "Freedom Games"</t>
  </si>
  <si>
    <t>#EpicGames | "Epic Games"</t>
  </si>
  <si>
    <t>Developer - Epic llama warchief</t>
  </si>
  <si>
    <t>#Epicllamawarchief OR "Epic llama warchief"</t>
  </si>
  <si>
    <t>Freejam</t>
  </si>
  <si>
    <t>#Freejam OR "Freejam"</t>
  </si>
  <si>
    <t>#Epicllamawarchief | "Epic llama warchief"</t>
  </si>
  <si>
    <t>Developer - EpicByte</t>
  </si>
  <si>
    <t>#EpicByte OR "EpicByte"</t>
  </si>
  <si>
    <t>Frictional Games</t>
  </si>
  <si>
    <r>
      <rPr>
        <rFont val="Calibri, sans-serif"/>
        <color rgb="FF000000"/>
        <sz val="10.0"/>
        <u/>
      </rPr>
      <t>https://www.youtube.com/channel/UCeeGH6XtPlEuCC9IPHvCLFA</t>
    </r>
    <r>
      <rPr>
        <rFont val="Calibri, sans-serif"/>
        <color rgb="FF000000"/>
        <sz val="10.0"/>
      </rPr>
      <t>|</t>
    </r>
  </si>
  <si>
    <t>#FrictionalGames OR "Frictional Games"</t>
  </si>
  <si>
    <t>#EpicByte | "EpicByte"</t>
  </si>
  <si>
    <t>https://www.youtube.com/channel/UChrN3hrTNQW17buha8Xd16g|</t>
  </si>
  <si>
    <t>Developer - Epiphany Games</t>
  </si>
  <si>
    <t>#EpiphanyGames OR "Epiphany Games"</t>
  </si>
  <si>
    <t>Friend &amp; Foe</t>
  </si>
  <si>
    <r>
      <rPr>
        <rFont val="Calibri, sans-serif"/>
        <color rgb="FF000000"/>
        <sz val="10.0"/>
        <u/>
      </rPr>
      <t>https://www.youtube.com/channel/UCQ7IXAKfYka5mwgcubPBu1g</t>
    </r>
    <r>
      <rPr>
        <rFont val="Calibri, sans-serif"/>
        <color rgb="FF000000"/>
        <sz val="10.0"/>
      </rPr>
      <t>|</t>
    </r>
  </si>
  <si>
    <t>#FriendandFoe OR "Friend &amp; Foe"</t>
  </si>
  <si>
    <t>#EpiphanyGames | "Epiphany Games"</t>
  </si>
  <si>
    <t>https://www.youtube.com/user/morganlean|</t>
  </si>
  <si>
    <t>Developer - Epitasis Games</t>
  </si>
  <si>
    <t>Frima Studio</t>
  </si>
  <si>
    <t>#FrimaStudio OR "Frima Studio"</t>
  </si>
  <si>
    <t>#EpitasisGames | "Epitasis Games"</t>
  </si>
  <si>
    <t>Developer - EpiXR Games</t>
  </si>
  <si>
    <t>Frogmind</t>
  </si>
  <si>
    <t>https://www.youtube.com/channel/UC1rbZiiMujfO_LnxKWaEuig|</t>
  </si>
  <si>
    <t>#Frogmind OR "Frogmind"</t>
  </si>
  <si>
    <t>#EpiXRGames | "EpiXR Games"</t>
  </si>
  <si>
    <t>Developer - Epopeia Games</t>
  </si>
  <si>
    <t>Frogwares</t>
  </si>
  <si>
    <t>https://www.youtube.com/channel/UCciY3FqSxrfKQ2nMDUrlf4w|</t>
  </si>
  <si>
    <t>#Frogwares OR "Frogwares"</t>
  </si>
  <si>
    <t>#EpopeiaGames | "Epopeia Games"</t>
  </si>
  <si>
    <t>Developer - EQ Games</t>
  </si>
  <si>
    <t>#EQGames OR "EQ Games"</t>
  </si>
  <si>
    <t>From Nothing Game Studios</t>
  </si>
  <si>
    <t>https://www.youtube.com/channel/UC5VERVVMtVo2vY5Lf7SRvHA|</t>
  </si>
  <si>
    <t>#FromNothingGameStudios OR "From Nothing Game Studios"</t>
  </si>
  <si>
    <t>#EQGames | "EQ Games"</t>
  </si>
  <si>
    <t>Developer - Erdem Sen</t>
  </si>
  <si>
    <t>From the Future LLC</t>
  </si>
  <si>
    <t>https://www.youtube.com/channel/UCHs80utA0pdwgztScUX9JBw|</t>
  </si>
  <si>
    <t>#FromtheFutureLLC OR "From the Future LLC"</t>
  </si>
  <si>
    <t>#ErdemSen | "Erdem Sen"</t>
  </si>
  <si>
    <t>Developer - Eric Freeman</t>
  </si>
  <si>
    <t>Frontier Developments</t>
  </si>
  <si>
    <t>https://www.youtube.com/channel/UCS7AY7pWr_7qKt44WHP4QpQ|</t>
  </si>
  <si>
    <t>#FrontierDevelopments OR "Frontier Developments"</t>
  </si>
  <si>
    <t>#EricFreeman | "Eric Freeman"</t>
  </si>
  <si>
    <t>Developer - Error 404 Game Studios</t>
  </si>
  <si>
    <t>#Error404GameStudios OR "Error 404 Game Studios"</t>
  </si>
  <si>
    <t>Frontier Foundry</t>
  </si>
  <si>
    <t>#FrontierFoundry OR "Frontier Foundry"</t>
  </si>
  <si>
    <t>#Error404GameStudios | "Error 404 Game Studios"</t>
  </si>
  <si>
    <t>https://www.youtube.com/channel/UCIrvA1S3DzeaRSc1Wence5g|</t>
  </si>
  <si>
    <t>Developer - Escape</t>
  </si>
  <si>
    <t>Frost Earth Studio</t>
  </si>
  <si>
    <t>https://www.youtube.com/channel/UCfTB-xUv2Il2MRdpLwZ3yCA|</t>
  </si>
  <si>
    <t>#FrostEarthStudio OR "Frost Earth Studio"</t>
  </si>
  <si>
    <t>#Escape | "Escape"</t>
  </si>
  <si>
    <t>Developer - Escapism Softworks</t>
  </si>
  <si>
    <t>Frozen District</t>
  </si>
  <si>
    <t>https://www.youtube.com/channel/UCL3vgi5OWc8nsSn-Keai5qw|</t>
  </si>
  <si>
    <t>#FrozenDistrict OR "Frozen District"</t>
  </si>
  <si>
    <t>#EscapismSoftworks | "Escapism Softworks"</t>
  </si>
  <si>
    <t>Developer - Escogitare</t>
  </si>
  <si>
    <t>Frozenbyte, Inc.</t>
  </si>
  <si>
    <t>#FrozenbyteInc OR "Frozenbyte,"</t>
  </si>
  <si>
    <t>#Escogitare | "Escogitare"</t>
  </si>
  <si>
    <r>
      <rPr>
        <rFont val="Arial"/>
        <color rgb="FF000000"/>
      </rPr>
      <t>https://www.youtube.com/channel/UCR2cymkNZNl7h4edK3vyEpw</t>
    </r>
    <r>
      <rPr>
        <rFont val="Arial"/>
        <color rgb="FF000000"/>
      </rPr>
      <t>|</t>
    </r>
  </si>
  <si>
    <t>Developer - EskemaGames</t>
  </si>
  <si>
    <t>Frymore</t>
  </si>
  <si>
    <r>
      <rPr>
        <rFont val="Calibri, sans-serif"/>
        <color rgb="FF000000"/>
        <sz val="10.0"/>
        <u/>
      </rPr>
      <t>https://www.youtube.com/channel/UCdExgRVV_wUOfpBrZpjkbxw</t>
    </r>
    <r>
      <rPr>
        <rFont val="Calibri, sans-serif"/>
        <color rgb="FF000000"/>
        <sz val="10.0"/>
      </rPr>
      <t>|</t>
    </r>
  </si>
  <si>
    <t>#Frymore OR "Frymore"</t>
  </si>
  <si>
    <t>#EskemaGames | "EskemaGames"</t>
  </si>
  <si>
    <t>Developer - Estacion Pi</t>
  </si>
  <si>
    <t>FSG games</t>
  </si>
  <si>
    <t>https://www.youtube.com/channel/UC5yFjOVTgTqWmdTaz9qNRGg|</t>
  </si>
  <si>
    <t>#FSGgames OR "FSG games"</t>
  </si>
  <si>
    <t>#EstacionPi | "Estacion Pi"</t>
  </si>
  <si>
    <t>Developer - Estinb Labs</t>
  </si>
  <si>
    <t>Full Control</t>
  </si>
  <si>
    <t>https://www.youtube.com/channel/UCr7UTXF6MJ5G4Atba_Fhr0Q|</t>
  </si>
  <si>
    <t>#FullControl OR "Full Control"</t>
  </si>
  <si>
    <t>#EstinbLabs | "Estinb Labs"</t>
  </si>
  <si>
    <t>Developer - EternaI</t>
  </si>
  <si>
    <t>Fullbright</t>
  </si>
  <si>
    <t>#Fullbright OR "Fullbright"</t>
  </si>
  <si>
    <t>#EternaI | "EternaI"</t>
  </si>
  <si>
    <t>Developer - Eternal</t>
  </si>
  <si>
    <t>#Eternal OR "Eternal"</t>
  </si>
  <si>
    <t>FullPowerSideAttack.com</t>
  </si>
  <si>
    <r>
      <rPr>
        <rFont val="Calibri, sans-serif"/>
        <color rgb="FF000000"/>
        <sz val="10.0"/>
        <u/>
      </rPr>
      <t>https://www.youtube.com/channel/UCiP15cQc0NYDxR9kwd4E2DA</t>
    </r>
    <r>
      <rPr>
        <rFont val="Calibri, sans-serif"/>
        <color rgb="FF000000"/>
        <sz val="10.0"/>
      </rPr>
      <t>|</t>
    </r>
  </si>
  <si>
    <t>#FullPowerSideAttackcom OR "FullPowerSideAttack.com"</t>
  </si>
  <si>
    <t>#Eternal | "Eternal"</t>
  </si>
  <si>
    <t>https://www.youtube.com/channel/UC8h6HYRMCLgnzjyhPhY23ZQ|</t>
  </si>
  <si>
    <t>Developer - Etranges Libellules</t>
  </si>
  <si>
    <t>#EtrangesLibellules OR "Etranges Libellules"</t>
  </si>
  <si>
    <t>Fumiko Game Studio</t>
  </si>
  <si>
    <t>https://www.youtube.com/channel/UCq6uyKljiSgds95ryNfD4nw|</t>
  </si>
  <si>
    <t>#FumikoGameStudio OR "Fumiko Game Studio"</t>
  </si>
  <si>
    <t>#EtrangesLibellules | "Etranges Libellules"</t>
  </si>
  <si>
    <t>Developer - Euphoria Games</t>
  </si>
  <si>
    <t>#EuphoriaGames OR "Euphoria Games"</t>
  </si>
  <si>
    <t>Fun Games LLC</t>
  </si>
  <si>
    <t>#FunGamesLLC OR "Fun Games LLC"</t>
  </si>
  <si>
    <t>#EuphoriaGames | "Euphoria Games"</t>
  </si>
  <si>
    <t>https://www.youtube.com/channel/UC5xsTxTysKUj51hVn_1tM9Q|</t>
  </si>
  <si>
    <t>Developer - EVC</t>
  </si>
  <si>
    <t>#EVC OR "EVC"</t>
  </si>
  <si>
    <t>Fun Punch Games</t>
  </si>
  <si>
    <t>#FunPunchGames OR "Fun Punch Games"</t>
  </si>
  <si>
    <t>#EVC | "EVC"</t>
  </si>
  <si>
    <t>Developer - Event Horizon Software</t>
  </si>
  <si>
    <t>#EventHorizonSoftware OR "Event Horizon Software"</t>
  </si>
  <si>
    <t>Funbox Media</t>
  </si>
  <si>
    <t>https://www.youtube.com/user/FunboxMediaLtd|</t>
  </si>
  <si>
    <t>#FunboxMedia OR "Funbox Media"</t>
  </si>
  <si>
    <t>#EventHorizonSoftware | "Event Horizon Software"</t>
  </si>
  <si>
    <t>https://www.youtube.com/channel/UCvc3oonWHlQ16UI3YvMzDwA|</t>
  </si>
  <si>
    <t>Developer - Everglow Interactive Inc.</t>
  </si>
  <si>
    <t>Funcom</t>
  </si>
  <si>
    <t>https://www.youtube.com/user/Funcom|</t>
  </si>
  <si>
    <t>#Funcom OR "Funcom"</t>
  </si>
  <si>
    <t>#EverglowInteractiveInc | "Everglow Interactive"</t>
  </si>
  <si>
    <t>Developer - Evil Tortilla Games Incorporated</t>
  </si>
  <si>
    <t>Funktronic Labs</t>
  </si>
  <si>
    <t>https://www.youtube.com/channel/UCYUkPLVs7cjcB7eDnqEpq6Q|</t>
  </si>
  <si>
    <t>#FunktronicLabs OR "Funktronic Labs"</t>
  </si>
  <si>
    <t>#EvilTortillaGamesIncorporated | "Evil Tortilla Games Incorporated"</t>
  </si>
  <si>
    <t>Developer - Exbleative</t>
  </si>
  <si>
    <t>#Exbleative OR "Exbleative"</t>
  </si>
  <si>
    <t>Funky Punky Games</t>
  </si>
  <si>
    <t>#FunkyPunkyGames OR "Funky Punky Games"</t>
  </si>
  <si>
    <t>#Exbleative | "Exbleative"</t>
  </si>
  <si>
    <t>https://www.youtube.com/channel/UCFggZMJeKRc6YqcAyepibuA|</t>
  </si>
  <si>
    <t>Developer - Excalibur Publishing</t>
  </si>
  <si>
    <t>Funomena</t>
  </si>
  <si>
    <t>https://www.youtube.com/user/funomena/featured|</t>
  </si>
  <si>
    <t>#Funomena OR "Funomena"</t>
  </si>
  <si>
    <t>#ExcaliburPublishing | "Excalibur Publishing"</t>
  </si>
  <si>
    <t>Developer - EXE Create</t>
  </si>
  <si>
    <t>#EXECreate OR "EXE Create"</t>
  </si>
  <si>
    <t>Funselektor Labs Inc.</t>
  </si>
  <si>
    <t>https://www.youtube.com/channel/UCrNHgOBz_cGcH4YY9AQsAdA|</t>
  </si>
  <si>
    <t>#FunselektorLabsInc OR "Funselektor Labs"</t>
  </si>
  <si>
    <t>#EXECreate | "EXE Create"</t>
  </si>
  <si>
    <t>Developer - Exient Entertainment</t>
  </si>
  <si>
    <t>#ExientEntertainment OR "Exient Entertainment"</t>
  </si>
  <si>
    <t>Funsoft</t>
  </si>
  <si>
    <t>https://www.youtube.com/channel/UC-Vw0uIUAYB3xZiw25T8X_A|</t>
  </si>
  <si>
    <t>#Funsoft OR "Funsoft"</t>
  </si>
  <si>
    <t>#ExientEntertainment | "Exient Entertainment"</t>
  </si>
  <si>
    <t>https://www.youtube.com/channel/UCvxJ-J7QFutwOG8Z_xJqj0A|</t>
  </si>
  <si>
    <t>Developer - Exiin</t>
  </si>
  <si>
    <t>#Exiin OR "Exiin"</t>
  </si>
  <si>
    <t>FuRyu</t>
  </si>
  <si>
    <t>https://www.youtube.com/user/FuryuGameChannel|</t>
  </si>
  <si>
    <t>#FuRyu OR "FuRyu"</t>
  </si>
  <si>
    <t>#Exiin | "Exiin"</t>
  </si>
  <si>
    <t>https://www.youtube.com/channel/UCodGDwKOKdvbEqHRoHgTOOA|</t>
  </si>
  <si>
    <t>Developer - EXNOA LLC</t>
  </si>
  <si>
    <t>#EXNOALLC OR "EXNOA LLC"</t>
  </si>
  <si>
    <t>FusionPlay</t>
  </si>
  <si>
    <t>https://www.youtube.com/channel/UCGQ9Uk0sfhw7j78sRo6dazA|</t>
  </si>
  <si>
    <t>#FusionPlay OR "FusionPlay"</t>
  </si>
  <si>
    <t>#EXNOALLC | "EXNOA LLC"</t>
  </si>
  <si>
    <t>https://www.youtube.com/channel/UCrnp_Uhv8sDPz74LpslpE_w|</t>
  </si>
  <si>
    <t>Developer - Exordium Games</t>
  </si>
  <si>
    <t>Future Friends Games</t>
  </si>
  <si>
    <t>https://www.youtube.com/channel/UCOyh-BlRgMZI5I-jkYhYV7g|</t>
  </si>
  <si>
    <t>#FutureFriendsGames OR "Future Friends Games"</t>
  </si>
  <si>
    <t>#ExordiumGames | "Exordium Games"</t>
  </si>
  <si>
    <t>Developer - Expansive Worlds</t>
  </si>
  <si>
    <t>FuturLab</t>
  </si>
  <si>
    <t>https://www.youtube.com/channel/UC9tW5zVgnSHUryH3JMZFgOw|</t>
  </si>
  <si>
    <t>#FuturLab OR "FuturLab"</t>
  </si>
  <si>
    <t>#ExpansiveWorlds | "Expansive Worlds"</t>
  </si>
  <si>
    <t>Developer - Experience Inc.</t>
  </si>
  <si>
    <t>FX Games</t>
  </si>
  <si>
    <t>https://www.youtube.com/channel/UCfhO44CmdWHqbmUviJvBarg|</t>
  </si>
  <si>
    <t>#FXGames OR "FX Games"</t>
  </si>
  <si>
    <t>#ExperienceInc | "Experience"</t>
  </si>
  <si>
    <t>Developer - Experiment 101</t>
  </si>
  <si>
    <t>#Experiment101 OR "Experiment 101"</t>
  </si>
  <si>
    <t>G-mode</t>
  </si>
  <si>
    <r>
      <rPr>
        <rFont val="Calibri, sans-serif"/>
        <color rgb="FF000000"/>
        <sz val="10.0"/>
        <u/>
      </rPr>
      <t>https://www.youtube.com/channel/UCcBETAj7rHcuDyh6h_aELmA</t>
    </r>
    <r>
      <rPr>
        <rFont val="Calibri, sans-serif"/>
        <color rgb="FF000000"/>
        <sz val="10.0"/>
      </rPr>
      <t>|</t>
    </r>
  </si>
  <si>
    <t>#Gmode OR "G-mode"</t>
  </si>
  <si>
    <t>#Experiment101 | "Experiment 101"</t>
  </si>
  <si>
    <t>Developer - Exploding Brain Games L.L.C.</t>
  </si>
  <si>
    <t>G&amp;L Architectural Graphics Inc</t>
  </si>
  <si>
    <t>#GandLArchitecturalGraphicsInc OR "G&amp;L Architectural Graphics Inc"</t>
  </si>
  <si>
    <t>#ExplodingBrainGamesLLC | "Exploding Brain Games L.L.C."</t>
  </si>
  <si>
    <t>Developer - Explosm</t>
  </si>
  <si>
    <t>#Explosm OR "Explosm"</t>
  </si>
  <si>
    <t>Gaijin Distribution</t>
  </si>
  <si>
    <t>https://www.youtube.com/user/GaijinEntertainment|</t>
  </si>
  <si>
    <t>#GaijinDistribution OR "Gaijin Distribution"</t>
  </si>
  <si>
    <t>#Explosm | "Explosm"</t>
  </si>
  <si>
    <t>https://www.youtube.com/user/ExplosmEntertainment|</t>
  </si>
  <si>
    <t>Developer - Extend Studio</t>
  </si>
  <si>
    <t>#ExtendStudio OR "Extend Studio"</t>
  </si>
  <si>
    <t>Gaijin Entertainment</t>
  </si>
  <si>
    <t>#GaijinEntertainment OR "Gaijin Entertainment"</t>
  </si>
  <si>
    <t>#ExtendStudio | "Extend Studio"</t>
  </si>
  <si>
    <t>Developer - eyethree</t>
  </si>
  <si>
    <t>Gaijin Games</t>
  </si>
  <si>
    <t>https://www.youtube.com/channel/UCPZsNertSS82YCT2qX9-wHA|</t>
  </si>
  <si>
    <t>#GaijinGames OR "Gaijin Games"</t>
  </si>
  <si>
    <t>#eyethree | "eyethree"</t>
  </si>
  <si>
    <t>Developer - Ezekiel Rage</t>
  </si>
  <si>
    <t>#EzekielRage OR "Ezekiel Rage"</t>
  </si>
  <si>
    <t>GAIJINWORKS</t>
  </si>
  <si>
    <t>#GAIJINWORKS OR "GAIJINWORKS"</t>
  </si>
  <si>
    <t>#EzekielRage | "Ezekiel Rage"</t>
  </si>
  <si>
    <t>Developer - EzeN Labs</t>
  </si>
  <si>
    <t>GalaxyTrail</t>
  </si>
  <si>
    <t>https://www.youtube.com/channel/UCMgiDqI2E6EMLVoeS5dMaZQ|</t>
  </si>
  <si>
    <t>#GalaxyTrail OR "GalaxyTrail"</t>
  </si>
  <si>
    <t>#EzeNLabs | "EzeN Labs"</t>
  </si>
  <si>
    <t>Developer - F2Z Digital Media Inc.</t>
  </si>
  <si>
    <t>#F2ZDigitalMediaInc OR "F2Z Digital Media"</t>
  </si>
  <si>
    <t>Gambitious</t>
  </si>
  <si>
    <t>https://www.youtube.com/channel/UCiGN1qxWu3rTmQltBbWMesw|</t>
  </si>
  <si>
    <t>#Gambitious OR "Gambitious"</t>
  </si>
  <si>
    <t>#F2ZDigitalMediaInc | "F2Z Digital Media"</t>
  </si>
  <si>
    <t>Developer - Fabian Viking</t>
  </si>
  <si>
    <t>Game Freak</t>
  </si>
  <si>
    <t>https://www.youtube.com/channel/UCRQDg6qStpqGGpdU6e2DOZw|</t>
  </si>
  <si>
    <t>#GameFreak OR "Game Freak"</t>
  </si>
  <si>
    <t>#FabianViking | "Fabian Viking"</t>
  </si>
  <si>
    <t>Developer - Fabraz</t>
  </si>
  <si>
    <t>Game Gen</t>
  </si>
  <si>
    <t>https://www.youtube.com/channel/UCLCXY0-jXqyoCBb1WA6PXMw|</t>
  </si>
  <si>
    <t>#GameGen OR "Game Gen"</t>
  </si>
  <si>
    <t>#Fabraz | "Fabraz"</t>
  </si>
  <si>
    <t>Developer - Facepalm Games</t>
  </si>
  <si>
    <t>#FacepalmGames OR "Facepalm Games"</t>
  </si>
  <si>
    <t>Game Grumps</t>
  </si>
  <si>
    <t>https://www.youtube.com/user/gamegrumps|</t>
  </si>
  <si>
    <t>#GameGrumps OR "Game Grumps"</t>
  </si>
  <si>
    <t>#FacepalmGames | "Facepalm Games"</t>
  </si>
  <si>
    <t>Developer - Facepunch Studios</t>
  </si>
  <si>
    <t>#FacepunchStudios OR "Facepunch Studios"</t>
  </si>
  <si>
    <t>Game Mechanic Studios, LLC</t>
  </si>
  <si>
    <t>#FacepunchStudios | "Facepunch Studios"</t>
  </si>
  <si>
    <t>https://www.youtube.com/channel/UCcw0KZs8oa3QgHnckw7EXXA|</t>
  </si>
  <si>
    <t>Developer - Failbetter Games</t>
  </si>
  <si>
    <t>Game Solutions 2</t>
  </si>
  <si>
    <t>#GameSolutions2 OR "Game Solutions 2"</t>
  </si>
  <si>
    <t>#FailbetterGames | "Failbetter Games"</t>
  </si>
  <si>
    <t>Developer - Fair Play Labs</t>
  </si>
  <si>
    <t>GameArt Studio GmbH</t>
  </si>
  <si>
    <t>https://www.youtube.com/channel/UCIB4zs0tyHu9acl_Uszrxyg|</t>
  </si>
  <si>
    <t>#GameArtStudioGmbH OR "GameArt Studio GmbH"</t>
  </si>
  <si>
    <t>#FairPlayLabs | "Fair Play Labs"</t>
  </si>
  <si>
    <t>Developer - FairPlay Studios</t>
  </si>
  <si>
    <t>#FairPlayStudios OR "FairPlay Studios"</t>
  </si>
  <si>
    <t>GameCoder Studios</t>
  </si>
  <si>
    <t>https://www.youtube.com/user/GameCoderOfficial|</t>
  </si>
  <si>
    <t>#GameCoderStudios OR "GameCoder Studios"</t>
  </si>
  <si>
    <t>#FairPlayStudios | "FairPlay Studios"</t>
  </si>
  <si>
    <t>https://www.youtube.com/channel/UCbGBkFrpCUE9wHM3Uq09qMg|</t>
  </si>
  <si>
    <t>Developer - Falcom</t>
  </si>
  <si>
    <t>#Falcom OR "Falcom"</t>
  </si>
  <si>
    <t>Gamedust</t>
  </si>
  <si>
    <t>https://www.youtube.com/channel/UCNgjs4ZrzgTHA_d1l6zSX1A|</t>
  </si>
  <si>
    <t>#Gamedust OR "Gamedust"</t>
  </si>
  <si>
    <t>#Falcom | "Falcom"</t>
  </si>
  <si>
    <t>https://www.youtube.com/user/NihonFalcomSince1981|</t>
  </si>
  <si>
    <t>Developer - Fallen Flag Studio</t>
  </si>
  <si>
    <t>#FallenFlagStudio OR "Fallen Flag Studio"</t>
  </si>
  <si>
    <t>Gamella Studios</t>
  </si>
  <si>
    <t>#GamellaStudios OR "Gamella Studios"</t>
  </si>
  <si>
    <t>#FallenFlagStudio | "Fallen Flag Studio"</t>
  </si>
  <si>
    <t>https://www.youtube.com/channel/UCoSstTGDMUe8G28Vfanfcdg|</t>
  </si>
  <si>
    <t>Developer - Fallen Tree Games</t>
  </si>
  <si>
    <t>#FallenTreeGames OR "Fallen Tree Games"</t>
  </si>
  <si>
    <t>Gameloft</t>
  </si>
  <si>
    <t>https://www.youtube.com/user/gameloft|</t>
  </si>
  <si>
    <t>#Gameloft OR "Gameloft"</t>
  </si>
  <si>
    <t>#FallenTreeGames | "Fallen Tree Games"</t>
  </si>
  <si>
    <t>https://www.youtube.com/user/fallentreegames|</t>
  </si>
  <si>
    <t>Developer - Falling Squirrel</t>
  </si>
  <si>
    <t>GameMill Entertainment</t>
  </si>
  <si>
    <t>https://www.youtube.com/channel/UCfuHLNojyt-1tgYe7HH9s7w|</t>
  </si>
  <si>
    <t>#GameMillEntertainment OR "GameMill Entertainment"</t>
  </si>
  <si>
    <t>#FallingSquirrel | "Falling Squirrel"</t>
  </si>
  <si>
    <t>Developer - Fancy Fish Games</t>
  </si>
  <si>
    <t>GameMill Publishing</t>
  </si>
  <si>
    <t>#GameMillPublishing OR "GameMill Publishing"</t>
  </si>
  <si>
    <t>#FancyFishGames | "Fancy Fish Games"</t>
  </si>
  <si>
    <t>Developer - Fantastico Studio</t>
  </si>
  <si>
    <t>GameParadiso</t>
  </si>
  <si>
    <t>https://www.youtube.com/channel/UC5a1tUQwR6x2vt-ezmaUy2w|</t>
  </si>
  <si>
    <t>#GameParadiso OR "GameParadiso"</t>
  </si>
  <si>
    <t>#FantasticoStudio | "Fantastico Studio"</t>
  </si>
  <si>
    <t>Developer - Fantasy Flight Games</t>
  </si>
  <si>
    <t>#FantasyFlightGames OR "Fantasy Flight Games"</t>
  </si>
  <si>
    <t>Gamepoch</t>
  </si>
  <si>
    <t>https://www.youtube.com/channel/UCFOvHZb67GLUguBPc9izt3g|</t>
  </si>
  <si>
    <t>#Gamepoch OR "Gamepoch"</t>
  </si>
  <si>
    <t>#FantasyFlightGames | "Fantasy Flight Games"</t>
  </si>
  <si>
    <t>https://www.youtube.com/user/FantasyFlightStudio|</t>
  </si>
  <si>
    <t>Developer - Farsight Studios</t>
  </si>
  <si>
    <t>Gamer Bear</t>
  </si>
  <si>
    <t>#GamerBear OR "Gamer Bear"</t>
  </si>
  <si>
    <t>#FarsightStudios | "Farsight Studios"</t>
  </si>
  <si>
    <t>Developer - Farsight Technologies</t>
  </si>
  <si>
    <t>Gamera Games</t>
  </si>
  <si>
    <t>https://www.youtube.com/channel/UCz8gQ6472MuZsU0bETetSPQ|</t>
  </si>
  <si>
    <t>#GameraGames OR "Gamera Games"</t>
  </si>
  <si>
    <t>#FarsightTechnologies | "Farsight Technologies"</t>
  </si>
  <si>
    <t>Developer - Fashion Luxury Games</t>
  </si>
  <si>
    <t>Gamera Interactive</t>
  </si>
  <si>
    <t>https://www.youtube.com/channel/UCI-6N2UiFMVeIGx8dFsuMNQ|</t>
  </si>
  <si>
    <t>#GameraInteractive OR "Gamera Interactive"</t>
  </si>
  <si>
    <t>#FashionLuxuryGames | "Fashion Luxury Games"</t>
  </si>
  <si>
    <t>Developer - FastGame</t>
  </si>
  <si>
    <t>#FastGame OR "FastGame"</t>
  </si>
  <si>
    <t>GAMERA NEST SL</t>
  </si>
  <si>
    <t>#GAMERANESTSL OR "GAMERA NEST SL"</t>
  </si>
  <si>
    <t>#FastGame | "FastGame"</t>
  </si>
  <si>
    <t>Developer - Fat Panda Games</t>
  </si>
  <si>
    <t>#FatPandaGames OR "Fat Panda Games"</t>
  </si>
  <si>
    <t>Games Farm</t>
  </si>
  <si>
    <t>https://www.youtube.com/channel/UC0iRmqQS0fOa-Q3hGVLy6BA|</t>
  </si>
  <si>
    <t>#GamesFarm OR "Games Farm"</t>
  </si>
  <si>
    <t>#FatPandaGames | "Fat Panda Games"</t>
  </si>
  <si>
    <t>https://www.youtube.com/channel/UCeffSCPBepQ8Lctx9475q-w|</t>
  </si>
  <si>
    <t>Developer - Fatbot Games</t>
  </si>
  <si>
    <t>GAMES IN FLAMES UG</t>
  </si>
  <si>
    <t>#GAMESINFLAMESUG OR "GAMES IN FLAMES UG"</t>
  </si>
  <si>
    <t>#FatbotGames | "Fatbot Games"</t>
  </si>
  <si>
    <t>Developer - Fatshark AB</t>
  </si>
  <si>
    <t>Games Workshop</t>
  </si>
  <si>
    <t>https://www.youtube.com/user/GamesWorkshopWNT|</t>
  </si>
  <si>
    <t>#GamesWorkshop OR "Games Workshop"</t>
  </si>
  <si>
    <t>#FatsharkAB | "Fatshark AB"</t>
  </si>
  <si>
    <t>Developer - FDG Entertainment</t>
  </si>
  <si>
    <t>GameTomo</t>
  </si>
  <si>
    <t>https://www.youtube.com/channel/UC0lvmdqN11GHzwo1qpAifJA|</t>
  </si>
  <si>
    <t>#GameTomo OR "GameTomo"</t>
  </si>
  <si>
    <t>#FDGEntertainment | "FDG Entertainment"</t>
  </si>
  <si>
    <t>Developer - Feardemic</t>
  </si>
  <si>
    <t>GameTrust</t>
  </si>
  <si>
    <t>https://www.youtube.com/channel/UC41_XYYwuYeMp7mydCRJCxg|</t>
  </si>
  <si>
    <t>#GameTrust OR "GameTrust"</t>
  </si>
  <si>
    <t>#Feardemic | "Feardemic"</t>
  </si>
  <si>
    <t>Developer - FedeG's Games</t>
  </si>
  <si>
    <t>#FedeGsGames OR "FedeG's Games"</t>
  </si>
  <si>
    <t>gaming company</t>
  </si>
  <si>
    <t>#gamingcompany OR "gaming company"</t>
  </si>
  <si>
    <t>#FedeGsGames | "FedeG's Games"</t>
  </si>
  <si>
    <t>Developer - Fellow Traveller</t>
  </si>
  <si>
    <t>Gamious</t>
  </si>
  <si>
    <t>https://www.youtube.com/channel/UCBhMBFqRV-9InLQedflxeqg|</t>
  </si>
  <si>
    <t>#Gamious OR "Gamious"</t>
  </si>
  <si>
    <t>#FellowTraveller | "Fellow Traveller"</t>
  </si>
  <si>
    <t>Developer - FennecFox Entertainment</t>
  </si>
  <si>
    <t>Gammera Nest</t>
  </si>
  <si>
    <t>https://www.youtube.com/channel/UCAmqjo7V_dsne_E6zr17-yw|</t>
  </si>
  <si>
    <t>#GammeraNest OR "Gammera Nest"</t>
  </si>
  <si>
    <t>#FennecFoxEntertainment | "FennecFox Entertainment"</t>
  </si>
  <si>
    <t>Developer - Feperd Games</t>
  </si>
  <si>
    <t>GAMMERA NEST SL</t>
  </si>
  <si>
    <r>
      <rPr>
        <rFont val="Calibri, sans-serif"/>
        <color rgb="FF000000"/>
        <sz val="10.0"/>
        <u/>
      </rPr>
      <t>https://www.youtube.com/channel/UCAmqjo7V_dsne_E6zr17-yw</t>
    </r>
    <r>
      <rPr>
        <rFont val="Calibri, sans-serif"/>
        <color rgb="FF000000"/>
        <sz val="10.0"/>
      </rPr>
      <t>|</t>
    </r>
  </si>
  <si>
    <t>#GAMMERANESTSL OR "GAMMERA NEST SL"</t>
  </si>
  <si>
    <t>#FeperdGames | "Feperd Games"</t>
  </si>
  <si>
    <t>Developer - Feral Cat Den</t>
  </si>
  <si>
    <t>#FeralCatDen OR "Feral Cat Den"</t>
  </si>
  <si>
    <t>Gamuzumi</t>
  </si>
  <si>
    <t>https://www.youtube.com/channel/UC24JcWWKxiJxJGjGUQPSenA|</t>
  </si>
  <si>
    <t>#Gamuzumi OR "Gamuzumi"</t>
  </si>
  <si>
    <t>#FeralCatDen | "Feral Cat Den"</t>
  </si>
  <si>
    <r>
      <rPr>
        <rFont val="Arial"/>
        <color rgb="FF000000"/>
      </rPr>
      <t>https://www.youtube.com/channel/UC1grOVtZ2aTJYKzXvpUr1fg</t>
    </r>
    <r>
      <rPr>
        <rFont val="Arial"/>
        <color rgb="FF000000"/>
      </rPr>
      <t>|</t>
    </r>
  </si>
  <si>
    <t>Developer - Fermenter Games</t>
  </si>
  <si>
    <t>Garage 227</t>
  </si>
  <si>
    <t>https://www.youtube.com/user/Garage227|</t>
  </si>
  <si>
    <t>#Garage227 OR "Garage 227"</t>
  </si>
  <si>
    <t>#FermenterGames | "Fermenter Games"</t>
  </si>
  <si>
    <t>Developer - Fiction Factory Games</t>
  </si>
  <si>
    <t>#FictionFactoryGames OR "Fiction Factory Games"</t>
  </si>
  <si>
    <t>Gateway Interactive</t>
  </si>
  <si>
    <t>https://www.youtube.com/channel/UCKQ_MEKTkc02ASXlCG3MlqA|</t>
  </si>
  <si>
    <t>#GatewayInteractive OR "Gateway Interactive"</t>
  </si>
  <si>
    <t>#FictionFactoryGames | "Fiction Factory Games"</t>
  </si>
  <si>
    <r>
      <rPr>
        <rFont val="Arial"/>
        <color rgb="FF000000"/>
      </rPr>
      <t>https://www.youtube.com/channel/UCDuwq-KDYKrAz3vm39reWDw</t>
    </r>
    <r>
      <rPr>
        <rFont val="Arial"/>
        <color rgb="FF000000"/>
      </rPr>
      <t>|</t>
    </r>
  </si>
  <si>
    <t>Developer - Fiddlesticks Games</t>
  </si>
  <si>
    <t>#FiddlesticksGames OR "Fiddlesticks Games"</t>
  </si>
  <si>
    <t>Gattai Games</t>
  </si>
  <si>
    <t>https://www.youtube.com/channel/UC5rd8C96oAovuhTXed9RFyA|</t>
  </si>
  <si>
    <t>#GattaiGames OR "Gattai Games"</t>
  </si>
  <si>
    <t>#FiddlesticksGames | "Fiddlesticks Games"</t>
  </si>
  <si>
    <r>
      <rPr>
        <rFont val="Arial"/>
        <color rgb="FF000000"/>
      </rPr>
      <t>https://www.youtube.com/channel/UCXaEoBB4tzCq89FBQolok2Q</t>
    </r>
    <r>
      <rPr>
        <rFont val="Arial"/>
        <color rgb="FF000000"/>
      </rPr>
      <t>|</t>
    </r>
  </si>
  <si>
    <t>Developer - FilRip</t>
  </si>
  <si>
    <t>Gazillion</t>
  </si>
  <si>
    <t>#Gazillion OR "Gazillion"</t>
  </si>
  <si>
    <t>#FilRip | "FilRip"</t>
  </si>
  <si>
    <t>Developer - Final Strike Games</t>
  </si>
  <si>
    <t>#FinalStrikeGames OR "Final Strike Games"</t>
  </si>
  <si>
    <t>GbR Thomas Claus und Frank Menzel</t>
  </si>
  <si>
    <t>#GbRThomasClausundFrankMenzel OR "GbR Thomas Claus und Frank Menzel"</t>
  </si>
  <si>
    <t>#FinalStrikeGames | "Final Strike Games"</t>
  </si>
  <si>
    <t>Developer - FinalBoss Games</t>
  </si>
  <si>
    <t>Gearbox Publishing</t>
  </si>
  <si>
    <t>https://www.youtube.com/channel/UCSRO0JNUYTCjsk7VmMdNYKw|</t>
  </si>
  <si>
    <t>#GearboxPublishing OR "Gearbox Publishing"</t>
  </si>
  <si>
    <t>#FinalBossGames | "FinalBoss Games"</t>
  </si>
  <si>
    <t>Developer - Finish Line Games</t>
  </si>
  <si>
    <t>Gearbox Software</t>
  </si>
  <si>
    <t>#GearboxSoftware OR "Gearbox Software"</t>
  </si>
  <si>
    <t>#FinishLineGames | "Finish Line Games"</t>
  </si>
  <si>
    <t>Developer - Finji</t>
  </si>
  <si>
    <t>Gearhead Games</t>
  </si>
  <si>
    <t>https://www.youtube.com/channel/UCIVIecAGcF12-CJefYhiaoQ|</t>
  </si>
  <si>
    <t>#GearheadGames OR "Gearhead Games"</t>
  </si>
  <si>
    <t>#Finji | "Finji"</t>
  </si>
  <si>
    <t>Developer - FiolaSoft Studio</t>
  </si>
  <si>
    <t>#FiolaSoftStudio OR "FiolaSoft Studio"</t>
  </si>
  <si>
    <t>Gears for Breakfast</t>
  </si>
  <si>
    <t>https://www.youtube.com/channel/UCOywx5hjexDJUP-trlckYNA|</t>
  </si>
  <si>
    <t>#GearsforBreakfast OR "Gears for Breakfast"</t>
  </si>
  <si>
    <t>#FiolaSoftStudio | "FiolaSoft Studio"</t>
  </si>
  <si>
    <t>https://www.youtube.com/fiolasoft|</t>
  </si>
  <si>
    <t>Developer - Firaxis Games</t>
  </si>
  <si>
    <t>#FiraxisGames OR "Firaxis Games"</t>
  </si>
  <si>
    <t>Gemdrops</t>
  </si>
  <si>
    <t>https://www.youtube.com/channel/UCO0F3x7iORtg5UUAGf6ajFg|</t>
  </si>
  <si>
    <t>#Gemdrops OR "Gemdrops"</t>
  </si>
  <si>
    <t>#FiraxisGames | "Firaxis Games"</t>
  </si>
  <si>
    <t>https://www.youtube.com/channel/UCWj7XnnfbKHGVnZ8iSoETSQ|</t>
  </si>
  <si>
    <t>Developer - Fireart Games</t>
  </si>
  <si>
    <t>#FireartGames OR "Fireart Games"</t>
  </si>
  <si>
    <t>George Batchelor</t>
  </si>
  <si>
    <t>https://www.youtube.com/channel/UCBV2Pev9Ul2TSJAb6mZAHTQ|</t>
  </si>
  <si>
    <t>#GeorgeBatchelor OR "George Batchelor"</t>
  </si>
  <si>
    <t>#FireartGames | "Fireart Games"</t>
  </si>
  <si>
    <t>https://www.youtube.com/channel/UCKp0znC7Q1gekJGmdPtiw3Q|</t>
  </si>
  <si>
    <t>Developer - Firebird Lab</t>
  </si>
  <si>
    <t>Gersh Games LLC</t>
  </si>
  <si>
    <t>https://www.youtube.com/channel/UCHgjGcFIHDLQVQVw7U-jIDQ|</t>
  </si>
  <si>
    <t>#GershGamesLLC OR "Gersh Games LLC"</t>
  </si>
  <si>
    <t>#FirebirdLab | "Firebird Lab"</t>
  </si>
  <si>
    <t>Developer - Firesprite</t>
  </si>
  <si>
    <t>gFaUmNe</t>
  </si>
  <si>
    <t>https://www.youtube.com/channel/UCU33MaIK6wBxhpx3REO48aA|</t>
  </si>
  <si>
    <t>#gFaUmNe OR "gFaUmNe"</t>
  </si>
  <si>
    <t>#Firesprite | "Firesprite"</t>
  </si>
  <si>
    <t>Developer - First Watch Games</t>
  </si>
  <si>
    <t>#FirstWatchGames OR "First Watch Games"</t>
  </si>
  <si>
    <t>Ghislain Avrillon</t>
  </si>
  <si>
    <t>#GhislainAvrillon OR "Ghislain Avrillon"</t>
  </si>
  <si>
    <t>#FirstWatchGames | "First Watch Games"</t>
  </si>
  <si>
    <t>Developer - Fishcow Studio</t>
  </si>
  <si>
    <t>#FishcowStudio OR "Fishcow Studio"</t>
  </si>
  <si>
    <t>Ghost of a Tale</t>
  </si>
  <si>
    <t>#GhostofaTale OR "Ghost of a Tale"</t>
  </si>
  <si>
    <t>#FishcowStudio | "Fishcow Studio"</t>
  </si>
  <si>
    <t>https://www.youtube.com/user/fishcowstudio|</t>
  </si>
  <si>
    <t>Developer - Fishing Planet LLC</t>
  </si>
  <si>
    <t>Ghost Time Games</t>
  </si>
  <si>
    <t>https://www.youtube.com/channel/UC0g57t_jtqv9N3fdRFWXYcA|</t>
  </si>
  <si>
    <t>#GhostTimeGames OR "Ghost Time Games"</t>
  </si>
  <si>
    <t>#FishingPlanetLLC | "Fishing Planet LLC"</t>
  </si>
  <si>
    <t>Developer - Five Star Apps vAlexey Kropotin</t>
  </si>
  <si>
    <t>Gianluca Troiano</t>
  </si>
  <si>
    <r>
      <rPr>
        <rFont val="Calibri, sans-serif"/>
        <color rgb="FF000000"/>
        <sz val="10.0"/>
        <u/>
      </rPr>
      <t>https://www.youtube.com/channel/UCcTgNPbI3HbYUE8FIdlJhag</t>
    </r>
    <r>
      <rPr>
        <rFont val="Calibri, sans-serif"/>
        <color rgb="FF000000"/>
        <sz val="10.0"/>
      </rPr>
      <t>|</t>
    </r>
  </si>
  <si>
    <t>#GianlucaTroiano OR "Gianluca Troiano"</t>
  </si>
  <si>
    <t>#FiveStarAppsvAlexeyKropotin | "Five Star Apps vAlexey Kropotin"</t>
  </si>
  <si>
    <t>Developer - Fizbin</t>
  </si>
  <si>
    <t>#Fizbin OR "Fizbin"</t>
  </si>
  <si>
    <t>Giant Margarita</t>
  </si>
  <si>
    <t>https://www.youtube.com/channel/UCDahy8yAr8tMFjfVJ7-fPrQ|</t>
  </si>
  <si>
    <t>#GiantMargarita OR "Giant Margarita"</t>
  </si>
  <si>
    <t>#Fizbin | "Fizbin"</t>
  </si>
  <si>
    <t>Developer - Flamebait Games</t>
  </si>
  <si>
    <t>#FlamebaitGames OR "Flamebait Games"</t>
  </si>
  <si>
    <t>Giant Squid</t>
  </si>
  <si>
    <r>
      <rPr>
        <rFont val="Calibri, sans-serif"/>
        <color rgb="FF000000"/>
        <sz val="10.0"/>
        <u/>
      </rPr>
      <t>https://www.youtube.com/channel/UCvKqAkcvntSw59M61KGVyjw</t>
    </r>
    <r>
      <rPr>
        <rFont val="Calibri, sans-serif"/>
        <color rgb="FF000000"/>
        <sz val="10.0"/>
      </rPr>
      <t>|</t>
    </r>
  </si>
  <si>
    <t>#GiantSquid OR "Giant Squid"</t>
  </si>
  <si>
    <t>#FlamebaitGames | "Flamebait Games"</t>
  </si>
  <si>
    <t>https://www.youtube.com/channel/UCquCHIIf10VsVbbFre-DZDw|</t>
  </si>
  <si>
    <t>Developer - FLARB LLC</t>
  </si>
  <si>
    <t>Giants Software</t>
  </si>
  <si>
    <t>https://www.youtube.com/user/GiantsSoftware|</t>
  </si>
  <si>
    <t>#GiantsSoftware OR "Giants Software"</t>
  </si>
  <si>
    <t>#FLARBLLC | "FLARB LLC"</t>
  </si>
  <si>
    <t>Developer - Flashbulb</t>
  </si>
  <si>
    <t>Giiku Games</t>
  </si>
  <si>
    <t>https://www.youtube.com/channel/UC3JpiLQ8M9C90kCwZTnzOTQ|</t>
  </si>
  <si>
    <t>#GiikuGames OR "Giiku Games"</t>
  </si>
  <si>
    <t>#Flashbulb | "Flashbulb"</t>
  </si>
  <si>
    <t>Developer - Flazm</t>
  </si>
  <si>
    <t>#Flazm OR "Flazm"</t>
  </si>
  <si>
    <t>Gilson B. Pontes</t>
  </si>
  <si>
    <t>#GilsonBPontes OR "Gilson B. Pontes"</t>
  </si>
  <si>
    <t>#Flazm | "Flazm"</t>
  </si>
  <si>
    <t>https://www.youtube.com/user/flazmify|</t>
  </si>
  <si>
    <t>Developer - Flight School Studio</t>
  </si>
  <si>
    <t>Girls Make Games</t>
  </si>
  <si>
    <t>https://www.youtube.com/channel/UCJncBCo76nxG-5Sm6KrlS_Q|</t>
  </si>
  <si>
    <t>#GirlsMakeGames OR "Girls Make Games"</t>
  </si>
  <si>
    <t>#FlightSchoolStudio | "Flight School Studio"</t>
  </si>
  <si>
    <t>Developer - Flippfly</t>
  </si>
  <si>
    <t>Glaive Games</t>
  </si>
  <si>
    <t>https://www.youtube.com/channel/UCO9fydhq1z7NlbPO7XcH57w|</t>
  </si>
  <si>
    <t>#GlaiveGames OR "Glaive Games"</t>
  </si>
  <si>
    <t>#Flippfly | "Flippfly"</t>
  </si>
  <si>
    <t>Developer - Flow Fire Games</t>
  </si>
  <si>
    <t>Glass Bottom Games</t>
  </si>
  <si>
    <t>https://www.youtube.com/user/GlassBottomGames|</t>
  </si>
  <si>
    <t>#GlassBottomGames OR "Glass Bottom Games"</t>
  </si>
  <si>
    <t>#FlowFireGames | "Flow Fire Games"</t>
  </si>
  <si>
    <t>Developer - Flux Games</t>
  </si>
  <si>
    <t>Glass Knuckle Games</t>
  </si>
  <si>
    <t>https://www.youtube.com/user/glassknucklegames|</t>
  </si>
  <si>
    <t>#GlassKnuckleGames OR "Glass Knuckle Games"</t>
  </si>
  <si>
    <t>#FluxGames | "Flux Games"</t>
  </si>
  <si>
    <t>Developer - Flyhigh Works</t>
  </si>
  <si>
    <t>GLITCH CREATIVE</t>
  </si>
  <si>
    <t>#GLITCHCREATIVE OR "GLITCH CREATIVE"</t>
  </si>
  <si>
    <t>#FlyhighWorks | "Flyhigh Works"</t>
  </si>
  <si>
    <t>Developer - Flying Islands Team</t>
  </si>
  <si>
    <t>Glitchy Pixel</t>
  </si>
  <si>
    <t>#GlitchyPixel OR "Glitchy Pixel"</t>
  </si>
  <si>
    <t>#FlyingIslandsTeam | "Flying Islands Team"</t>
  </si>
  <si>
    <t>Developer - Flying Mollusk</t>
  </si>
  <si>
    <t>Gloomywood</t>
  </si>
  <si>
    <t>https://www.youtube.com/channel/UCfzEuq8J8KzDlpDM_RXeOLg|</t>
  </si>
  <si>
    <t>#Gloomywood OR "Gloomywood"</t>
  </si>
  <si>
    <t>#FlyingMollusk | "Flying Mollusk"</t>
  </si>
  <si>
    <t>Developer - Flying Oak Games</t>
  </si>
  <si>
    <t>Gnomic Studios</t>
  </si>
  <si>
    <t>https://www.youtube.com/user/gnomicstudios|</t>
  </si>
  <si>
    <t>#GnomicStudios OR "Gnomic Studios"</t>
  </si>
  <si>
    <t>#FlyingOakGames | "Flying Oak Games"</t>
  </si>
  <si>
    <t>Developer - Flying Tiger Entertainment Inc.</t>
  </si>
  <si>
    <t>#FlyingTigerEntertainmentInc OR "Flying Tiger Entertainment"</t>
  </si>
  <si>
    <t>God As A Cucumber</t>
  </si>
  <si>
    <t>https://www.youtube.com/channel/UC0IVC8QaDBtZILeexOxijZw|</t>
  </si>
  <si>
    <t>#GodAsACucumber OR "God As A Cucumber"</t>
  </si>
  <si>
    <t>#FlyingTigerEntertainmentInc | "Flying Tiger Entertainment"</t>
  </si>
  <si>
    <t>https://www.youtube.com/channel/UCTSvfpX7Yjc354vH5y_ayIw|</t>
  </si>
  <si>
    <t>Developer - Flying Turtle</t>
  </si>
  <si>
    <t>Godbey Games LLC</t>
  </si>
  <si>
    <t>https://www.youtube.com/channel/UCYDUdQ1pJXMhyoc6dGDA81A|</t>
  </si>
  <si>
    <t>#GodbeyGamesLLC OR "Godbey Games LLC"</t>
  </si>
  <si>
    <t>#FlyingTurtle | "Flying Turtle"</t>
  </si>
  <si>
    <t>Developer - Flying Wild Hog</t>
  </si>
  <si>
    <t>#FlyingWildHog OR "Flying Wild Hog"</t>
  </si>
  <si>
    <t>Gogii Games</t>
  </si>
  <si>
    <t>https://www.youtube.com/channel/UCffUVHRsQh_dJx7eQ7HOjrw|</t>
  </si>
  <si>
    <t>#GogiiGames OR "Gogii Games"</t>
  </si>
  <si>
    <t>#FlyingWildHog | "Flying Wild Hog"</t>
  </si>
  <si>
    <t>https://www.youtube.com/channel/UCbdVV-sIF8lmUrdPouxopEw|</t>
  </si>
  <si>
    <t>Developer - FM Studio</t>
  </si>
  <si>
    <t>#FMStudio OR "FM Studio"</t>
  </si>
  <si>
    <t>Goldmark Studios</t>
  </si>
  <si>
    <t>#GoldmarkStudios OR "Goldmark Studios"</t>
  </si>
  <si>
    <t>#FMStudio | "FM Studio"</t>
  </si>
  <si>
    <t>https://www.youtube.com/channel/UCxtYejLVp3YH0VYju9sKpUA|</t>
  </si>
  <si>
    <t>Developer - FMV Interactive</t>
  </si>
  <si>
    <t>Golnabi</t>
  </si>
  <si>
    <t>#Golnabi OR "Golnabi"</t>
  </si>
  <si>
    <t>#FMVInteractive | "FMV Interactive"</t>
  </si>
  <si>
    <t>Developer - Fntastic</t>
  </si>
  <si>
    <t>Good Catch</t>
  </si>
  <si>
    <t>https://www.youtube.com/channel/UCVw0EDS5dm9pnydqcsKCquQ|</t>
  </si>
  <si>
    <t>#GoodCatch OR "Good Catch"</t>
  </si>
  <si>
    <t>#Fntastic | "Fntastic"</t>
  </si>
  <si>
    <t>Developer - Foam Punch</t>
  </si>
  <si>
    <t>Good net technology co. Ltd</t>
  </si>
  <si>
    <t>#GoodnettechnologycoLtd OR "Good net technology co. Ltd"</t>
  </si>
  <si>
    <t>#FoamPunch | "Foam Punch"</t>
  </si>
  <si>
    <t>Developer - Foam Sword</t>
  </si>
  <si>
    <t>#FoamSword OR "Foam Sword"</t>
  </si>
  <si>
    <t>Good Shepherd Entertainment</t>
  </si>
  <si>
    <t>#GoodShepherdEntertainment OR "Good Shepherd Entertainment"</t>
  </si>
  <si>
    <t>#FoamSword | "Foam Sword"</t>
  </si>
  <si>
    <t>https://www.youtube.com/channel/UCAX0imZBbvUrLStfEzWw4uQ|</t>
  </si>
  <si>
    <t>Developer - Focus Home Interactive</t>
  </si>
  <si>
    <t>Good Vision</t>
  </si>
  <si>
    <t>#GoodVision OR "Good Vision"</t>
  </si>
  <si>
    <t>#FocusHomeInteractive | "Focus Home Interactive"</t>
  </si>
  <si>
    <r>
      <rPr>
        <rFont val="Arial"/>
        <color rgb="FF000000"/>
      </rPr>
      <t>https://www.youtube.com/channel/UCSSBsIYMg-XugI79dwN-6wQ</t>
    </r>
    <r>
      <rPr>
        <rFont val="Arial"/>
        <color rgb="FF000000"/>
      </rPr>
      <t>|</t>
    </r>
  </si>
  <si>
    <t>Developer - Foggy Box Games</t>
  </si>
  <si>
    <t>#FoggyBoxGames OR "Foggy Box Games"</t>
  </si>
  <si>
    <t>goonswarm</t>
  </si>
  <si>
    <t>#goonswarm OR "goonswarm"</t>
  </si>
  <si>
    <t>#FoggyBoxGames | "Foggy Box Games"</t>
  </si>
  <si>
    <r>
      <rPr>
        <rFont val="Arial"/>
        <color rgb="FF000000"/>
      </rPr>
      <t>https://www.youtube.com/channel/UClH2OI8DXHRP-RwkGcpnZxw</t>
    </r>
    <r>
      <rPr>
        <rFont val="Arial"/>
        <color rgb="FF000000"/>
      </rPr>
      <t>|</t>
    </r>
  </si>
  <si>
    <t>Developer - Foldergeist Studios</t>
  </si>
  <si>
    <t>Gossamer Games</t>
  </si>
  <si>
    <t>https://www.youtube.com/channel/UCOrXJq_9ifWOsRwBS0Ga-Vw|</t>
  </si>
  <si>
    <t>#GossamerGames OR "Gossamer Games"</t>
  </si>
  <si>
    <t>#FoldergeistStudios | "Foldergeist Studios"</t>
  </si>
  <si>
    <t>Developer - Forever Entertainment</t>
  </si>
  <si>
    <t>Gotham City Films, LLC</t>
  </si>
  <si>
    <t>#GothamCityFilmsLLC OR "Gotham City Films"</t>
  </si>
  <si>
    <t>#ForeverEntertainment | "Forever Entertainment"</t>
  </si>
  <si>
    <t>Developer - Forge Reply</t>
  </si>
  <si>
    <t>Grab Games</t>
  </si>
  <si>
    <t>https://www.youtube.com/channel/UCdYrIhyWRW1e3XItku7ViPw|</t>
  </si>
  <si>
    <t>#GrabGames OR "Grab Games"</t>
  </si>
  <si>
    <t>#ForgeReply | "Forge Reply"</t>
  </si>
  <si>
    <t>Developer - Fort Triumph LTD</t>
  </si>
  <si>
    <t>#FortTriumphLTD OR "Fort Triumph LTD"</t>
  </si>
  <si>
    <t>Grab The Games</t>
  </si>
  <si>
    <t>#GrabTheGames OR "Grab The Games"</t>
  </si>
  <si>
    <t>#FortTriumphLTD | "Fort Triumph LTD"</t>
  </si>
  <si>
    <r>
      <rPr>
        <rFont val="Arial"/>
        <color rgb="FF000000"/>
      </rPr>
      <t>https://www.youtube.com/channel/UCE2H1wY5zczY1oNjBaPIPsQ</t>
    </r>
    <r>
      <rPr>
        <rFont val="Arial"/>
        <color rgb="FF000000"/>
      </rPr>
      <t>|</t>
    </r>
  </si>
  <si>
    <t>Developer - ForwardXP</t>
  </si>
  <si>
    <t>Graffiti Games</t>
  </si>
  <si>
    <t>https://www.youtube.com/channel/UC8oi8y6reDnAK2qjs6x5ILQ|</t>
  </si>
  <si>
    <t>#GraffitiGames OR "Graffiti Games"</t>
  </si>
  <si>
    <t>#ForwardXP | "ForwardXP"</t>
  </si>
  <si>
    <r>
      <rPr>
        <rFont val="Arial"/>
        <color rgb="FF000000"/>
      </rPr>
      <t>https://www.youtube.com/channel/UC62F64exFn-0XCqn5sZBFig</t>
    </r>
    <r>
      <rPr>
        <rFont val="Arial"/>
        <color rgb="FF000000"/>
      </rPr>
      <t>|</t>
    </r>
  </si>
  <si>
    <t>Developer - Four Horses</t>
  </si>
  <si>
    <t>Grande Games</t>
  </si>
  <si>
    <t>#GrandeGames OR "Grande Games"</t>
  </si>
  <si>
    <t>#FourHorses | "Four Horses"</t>
  </si>
  <si>
    <t>Developer - Four5Six Pixel</t>
  </si>
  <si>
    <t>#Four5SixPixel OR "Four5Six Pixel"</t>
  </si>
  <si>
    <t>Granzella Inc.</t>
  </si>
  <si>
    <t>https://www.youtube.com/user/GranzellaInc|</t>
  </si>
  <si>
    <t>#GranzellaInc OR "Granzella"</t>
  </si>
  <si>
    <t>#Four5SixPixel | "Four5Six Pixel"</t>
  </si>
  <si>
    <t>Developer - Fractal Phase</t>
  </si>
  <si>
    <t>GraphicDNA</t>
  </si>
  <si>
    <t>#GraphicDNA OR "GraphicDNA"</t>
  </si>
  <si>
    <t>#FractalPhase | "Fractal Phase"</t>
  </si>
  <si>
    <t>Developer - Fractured Sands</t>
  </si>
  <si>
    <t>Graphite Lab</t>
  </si>
  <si>
    <t>https://www.youtube.com/user/GraphiteLabInc|</t>
  </si>
  <si>
    <t>#GraphiteLab OR "Graphite Lab"</t>
  </si>
  <si>
    <t>#FracturedSands | "Fractured Sands"</t>
  </si>
  <si>
    <t>Developer - Frame Studios Interactive</t>
  </si>
  <si>
    <t>#FrameStudiosInteractive OR "Frame Studios Interactive"</t>
  </si>
  <si>
    <t>GrappleHook Games</t>
  </si>
  <si>
    <t>#GrappleHookGames OR "GrappleHook Games"</t>
  </si>
  <si>
    <t>#FrameStudiosInteractive | "Frame Studios Interactive"</t>
  </si>
  <si>
    <t>Developer - FrameLine Network</t>
  </si>
  <si>
    <t>GrassGames</t>
  </si>
  <si>
    <t>#GrassGames OR "GrassGames"</t>
  </si>
  <si>
    <t>#FrameLineNetwork | "FrameLine Network"</t>
  </si>
  <si>
    <t>Developer - Francis Vace</t>
  </si>
  <si>
    <t>#FrancisVace OR "Francis Vace"</t>
  </si>
  <si>
    <t>Graybeard Games</t>
  </si>
  <si>
    <t>https://www.youtube.com/channel/UCQbO-bzrXyJezP2jVs-lsSg|</t>
  </si>
  <si>
    <t>#GraybeardGames OR "Graybeard Games"</t>
  </si>
  <si>
    <t>#FrancisVace | "Francis Vace"</t>
  </si>
  <si>
    <t>https://www.youtube.com/channel/UC9ShCWBBjLBMOdB7UEtSZaA|</t>
  </si>
  <si>
    <t>Developer - Freejam</t>
  </si>
  <si>
    <t>Green Bray Games</t>
  </si>
  <si>
    <t>https://www.youtube.com/channel/UCQhvyYOKS0yAIvpYrJy3l4Q|</t>
  </si>
  <si>
    <t>#GreenBrayGames OR "Green Bray Games"</t>
  </si>
  <si>
    <t>#Freejam | "Freejam"</t>
  </si>
  <si>
    <t>Developer - FreeStyleGames</t>
  </si>
  <si>
    <t>#FreeStyleGames OR "FreeStyleGames"</t>
  </si>
  <si>
    <t>Green Dinosaur Games</t>
  </si>
  <si>
    <t>#GreenDinosaurGames OR "Green Dinosaur Games"</t>
  </si>
  <si>
    <t>#FreeStyleGames | "FreeStyleGames"</t>
  </si>
  <si>
    <t>Developer - FreezeNova</t>
  </si>
  <si>
    <t>#FreezeNova OR "FreezeNova"</t>
  </si>
  <si>
    <t>Green Hill</t>
  </si>
  <si>
    <t>#GreenHill OR "Green Hill"</t>
  </si>
  <si>
    <t>#FreezeNova | "FreezeNova"</t>
  </si>
  <si>
    <t>https://www.youtube.com/channel/UC8eBocII6bfVYERQuiiNEyQ|</t>
  </si>
  <si>
    <t>Developer - French-Bread</t>
  </si>
  <si>
    <t>#FrenchBread OR "French-Bread"</t>
  </si>
  <si>
    <t>Green Lava Studios</t>
  </si>
  <si>
    <t>https://www.youtube.com/channel/UC2zFaptl1DIpEhjlrOEPgxA|</t>
  </si>
  <si>
    <t>#GreenLavaStudios OR "Green Lava Studios"</t>
  </si>
  <si>
    <t>#FrenchBread | "French-Bread"</t>
  </si>
  <si>
    <t>Developer - Freshly Squeezed</t>
  </si>
  <si>
    <t>#FreshlySqueezed OR "Freshly Squeezed"</t>
  </si>
  <si>
    <t>Green Man Gaming Publishing</t>
  </si>
  <si>
    <t>https://www.youtube.com/channel/UCPm-BJOUyqBQ_oXoGSnGZzw|</t>
  </si>
  <si>
    <t>#GreenManGamingPublishing OR "Green Man Gaming Publishing"</t>
  </si>
  <si>
    <t>#FreshlySqueezed | "Freshly Squeezed"</t>
  </si>
  <si>
    <t>https://www.youtube.com/channel/UC_yvkzQcGUoFMSKFaZ5lfCw|</t>
  </si>
  <si>
    <t>Developer - Frictional Games</t>
  </si>
  <si>
    <t>Green Man Loaded</t>
  </si>
  <si>
    <t>https://www.youtube.com/channel/UCbONsRevt2_YIN6sLigGIzQ|</t>
  </si>
  <si>
    <t>#GreenManLoaded OR "Green Man Loaded"</t>
  </si>
  <si>
    <t>#FrictionalGames | "Frictional Games"</t>
  </si>
  <si>
    <r>
      <rPr>
        <rFont val="Arial"/>
        <color rgb="FF000000"/>
      </rPr>
      <t>https://www.youtube.com/channel/UCeeGH6XtPlEuCC9IPHvCLFA</t>
    </r>
    <r>
      <rPr>
        <rFont val="Arial"/>
        <color rgb="FF000000"/>
      </rPr>
      <t>|</t>
    </r>
  </si>
  <si>
    <t>Developer - Frima Studio</t>
  </si>
  <si>
    <t>Grey Box</t>
  </si>
  <si>
    <t>#GreyBox OR "Grey Box"</t>
  </si>
  <si>
    <t>#FrimaStudio | "Frima Studio"</t>
  </si>
  <si>
    <t>Developer - Frogmind</t>
  </si>
  <si>
    <t>Greyhead Studio LLC</t>
  </si>
  <si>
    <t>#GreyheadStudioLLC OR "Greyhead Studio LLC"</t>
  </si>
  <si>
    <t>#Frogmind | "Frogmind"</t>
  </si>
  <si>
    <t>Developer - Frogwares</t>
  </si>
  <si>
    <t>Grimm Bros.</t>
  </si>
  <si>
    <t>https://www.youtube.com/channel/UCBPq2cHhzgpkyfLtmHb0uPQ|</t>
  </si>
  <si>
    <t>#GrimmBros OR "Grimm Bros."</t>
  </si>
  <si>
    <t>#Frogwares | "Frogwares"</t>
  </si>
  <si>
    <t>Developer - From Nothing Game Studios</t>
  </si>
  <si>
    <t>GrimTalin</t>
  </si>
  <si>
    <t>https://www.youtube.com/user/TalinuFromTheHood|</t>
  </si>
  <si>
    <t>#GrimTalin OR "GrimTalin"</t>
  </si>
  <si>
    <t>#FromNothingGameStudios | "From Nothing Game Studios"</t>
  </si>
  <si>
    <t>Developer - From Software</t>
  </si>
  <si>
    <t>#FromSoftware OR "From Software"</t>
  </si>
  <si>
    <t>Grimwood Team</t>
  </si>
  <si>
    <t>https://www.youtube.com/channel/UCEgL5IRJpQnUP51xfxRjkdQ|</t>
  </si>
  <si>
    <t>#GrimwoodTeam OR "Grimwood Team"</t>
  </si>
  <si>
    <t>#FromSoftware | "From Software"</t>
  </si>
  <si>
    <t>https://www.youtube.com/user/FromSoftwareInc|</t>
  </si>
  <si>
    <t>Developer - Frontier Developments</t>
  </si>
  <si>
    <t>Grinding Gear Games</t>
  </si>
  <si>
    <t>https://www.youtube.com/channel/UCcB_lciCYrBACyI40u2Hgqw|</t>
  </si>
  <si>
    <t>#GrindingGearGames OR "Grinding Gear Games"</t>
  </si>
  <si>
    <t>#FrontierDevelopments | "Frontier Developments"</t>
  </si>
  <si>
    <t>Developer - Frostwood Interactive</t>
  </si>
  <si>
    <t>#FrostwoodInteractive OR "Frostwood Interactive"</t>
  </si>
  <si>
    <t>Grindstone</t>
  </si>
  <si>
    <r>
      <rPr>
        <rFont val="Calibri, sans-serif"/>
        <color rgb="FF000000"/>
        <sz val="10.0"/>
        <u/>
      </rPr>
      <t>https://www.youtube.com/channel/UCrSZDHZS5kfULPHZOV64SXw</t>
    </r>
    <r>
      <rPr>
        <rFont val="Calibri, sans-serif"/>
        <color rgb="FF000000"/>
        <sz val="10.0"/>
      </rPr>
      <t>|</t>
    </r>
  </si>
  <si>
    <t>#Grindstone OR "Grindstone"</t>
  </si>
  <si>
    <t>#FrostwoodInteractive | "Frostwood Interactive"</t>
  </si>
  <si>
    <t>https://www.youtube.com/channel/UCmKas3l_kf1K1D7XEWVy8ag|</t>
  </si>
  <si>
    <t>Developer - Frozen Flame Interactive</t>
  </si>
  <si>
    <t>#FrozenFlameInteractive OR "Frozen Flame Interactive"</t>
  </si>
  <si>
    <t>Grip Digital</t>
  </si>
  <si>
    <t>https://www.youtube.com/channel/UCnG-rtFjsH26Cn2UnBUAs5Q|</t>
  </si>
  <si>
    <t>#GripDigital OR "Grip Digital"</t>
  </si>
  <si>
    <t>#FrozenFlameInteractive | "Frozen Flame Interactive"</t>
  </si>
  <si>
    <t>https://www.youtube.com/channel/UCqAl_5A4_o1VX3j1ycR1H0g|</t>
  </si>
  <si>
    <t>Developer - FSG games</t>
  </si>
  <si>
    <t>Grip Games</t>
  </si>
  <si>
    <t>#GripGames OR "Grip Games"</t>
  </si>
  <si>
    <t>#FSGgames | "FSG games"</t>
  </si>
  <si>
    <t>Developer - Full Control</t>
  </si>
  <si>
    <t>Grogan</t>
  </si>
  <si>
    <t>https://www.youtube.com/channel/UCNMJ0wSNEfOQr69nDjChMSg|</t>
  </si>
  <si>
    <t>#Grogan OR "Grogan"</t>
  </si>
  <si>
    <t>#FullControl | "Full Control"</t>
  </si>
  <si>
    <t>Developer - FullPowerSideAttack.com</t>
  </si>
  <si>
    <t>Groovy Milk</t>
  </si>
  <si>
    <t>https://www.youtube.com/channel/UCwHm2cZxTOfr5_WQVaaZ-Pg|</t>
  </si>
  <si>
    <t>#GroovyMilk OR "Groovy Milk"</t>
  </si>
  <si>
    <t>#FullPowerSideAttackcom | "FullPowerSideAttack.com"</t>
  </si>
  <si>
    <r>
      <rPr>
        <rFont val="Arial"/>
        <color rgb="FF000000"/>
      </rPr>
      <t>https://www.youtube.com/channel/UCiP15cQc0NYDxR9kwd4E2DA</t>
    </r>
    <r>
      <rPr>
        <rFont val="Arial"/>
        <color rgb="FF000000"/>
      </rPr>
      <t>|</t>
    </r>
  </si>
  <si>
    <t>Developer - Fumiko Game Studio</t>
  </si>
  <si>
    <t>GrosChevaux</t>
  </si>
  <si>
    <t>https://www.youtube.com/channel/UCue4jFgJ53vhju57QuSYfiw|</t>
  </si>
  <si>
    <t>#GrosChevaux OR "GrosChevaux"</t>
  </si>
  <si>
    <t>#FumikoGameStudio | "Fumiko Game Studio"</t>
  </si>
  <si>
    <t>Developer - Funbox Media</t>
  </si>
  <si>
    <t>Ground Shatter Ltd.</t>
  </si>
  <si>
    <t>https://www.youtube.com/channel/UCvlFUt5BSalUem6zC5YI5bg|</t>
  </si>
  <si>
    <t>#GroundShatterLtd OR "Ground Shatter Ltd."</t>
  </si>
  <si>
    <t>#FunboxMedia | "Funbox Media"</t>
  </si>
  <si>
    <t>Developer - Funcom</t>
  </si>
  <si>
    <t>Grounding Inc.</t>
  </si>
  <si>
    <t>https://www.youtube.com/channel/UCTBCNnPseRIB29-nfQzb86A|</t>
  </si>
  <si>
    <t>#GroundingInc OR "Grounding"</t>
  </si>
  <si>
    <t>#Funcom | "Funcom"</t>
  </si>
  <si>
    <t>Developer - Funktronic Labs</t>
  </si>
  <si>
    <t>Grumpyface Studios</t>
  </si>
  <si>
    <r>
      <rPr>
        <rFont val="Calibri, sans-serif"/>
        <color rgb="FF000000"/>
        <sz val="10.0"/>
        <u/>
      </rPr>
      <t>https://www.youtube.com/channel/UC0WjZQMO36EXknSqI3r8SQw</t>
    </r>
    <r>
      <rPr>
        <rFont val="Calibri, sans-serif"/>
        <color rgb="FF000000"/>
        <sz val="10.0"/>
      </rPr>
      <t>|</t>
    </r>
  </si>
  <si>
    <t>#GrumpyfaceStudios OR "Grumpyface Studios"</t>
  </si>
  <si>
    <t>#FunktronicLabs | "Funktronic Labs"</t>
  </si>
  <si>
    <t>Developer - Funselektor Labs Inc.</t>
  </si>
  <si>
    <t>GS2 Games</t>
  </si>
  <si>
    <t>https://www.youtube.com/channel/UCLbS24nSBmIHV3NTZ8-AqhA|</t>
  </si>
  <si>
    <t>#GS2Games OR "GS2 Games"</t>
  </si>
  <si>
    <t>#FunselektorLabsInc | "Funselektor Labs"</t>
  </si>
  <si>
    <t>Developer - Funsolve</t>
  </si>
  <si>
    <t>#Funsolve OR "Funsolve"</t>
  </si>
  <si>
    <t>GS2 Games and Plug In Digital</t>
  </si>
  <si>
    <t>#GS2GamesandPlugInDigital OR "GS2 Games and Plug In Digital"</t>
  </si>
  <si>
    <t>#Funsolve | "Funsolve"</t>
  </si>
  <si>
    <t>Developer - Future Games of London</t>
  </si>
  <si>
    <t>#FutureGamesofLondon OR "Future Games of London"</t>
  </si>
  <si>
    <t>GS2 Games Inc.</t>
  </si>
  <si>
    <t>#GS2GamesInc OR "GS2 Games"</t>
  </si>
  <si>
    <t>#FutureGamesofLondon | "Future Games of London"</t>
  </si>
  <si>
    <t>https://www.youtube.com/channel/UCUEmrNRm--bBhjq5I1YkJXw|</t>
  </si>
  <si>
    <t>Developer - FuturLab</t>
  </si>
  <si>
    <t>Guangzhou Good Games Network</t>
  </si>
  <si>
    <t>https://www.youtube.com/channel/UC37YlHJJsJMxp1jUKMMJbqQ|</t>
  </si>
  <si>
    <t>#GuangzhouGoodGamesNetwork OR "Guangzhou Good Games Network"</t>
  </si>
  <si>
    <t>#FuturLab | "FuturLab"</t>
  </si>
  <si>
    <t>Developer - FX Games</t>
  </si>
  <si>
    <t>Guara Studios</t>
  </si>
  <si>
    <r>
      <rPr>
        <rFont val="Calibri, sans-serif"/>
        <color rgb="FF000000"/>
        <sz val="10.0"/>
        <u/>
      </rPr>
      <t>https://www.youtube.com/channel/UC4MRzYC2w7yuqkSGvF4w7-A</t>
    </r>
    <r>
      <rPr>
        <rFont val="Calibri, sans-serif"/>
        <color rgb="FF000000"/>
        <sz val="10.0"/>
      </rPr>
      <t>|</t>
    </r>
  </si>
  <si>
    <t>#GuaraStudios OR "Guara Studios"</t>
  </si>
  <si>
    <t>#FXGames | "FX Games"</t>
  </si>
  <si>
    <t>Developer - FYQD Personal Studio</t>
  </si>
  <si>
    <t>#FYQDPersonalStudio OR "FYQD Personal Studio"</t>
  </si>
  <si>
    <t>GuGames DEV</t>
  </si>
  <si>
    <t>#GuGamesDEV OR "GuGames DEV"</t>
  </si>
  <si>
    <t>#FYQDPersonalStudio | "FYQD Personal Studio"</t>
  </si>
  <si>
    <t>https://www.youtube.com/channel/UCnj8o4A5vCdBSbKUMalR7fQ|</t>
  </si>
  <si>
    <t>Developer - G5 Software</t>
  </si>
  <si>
    <t>#G5Software OR "G5 Software"</t>
  </si>
  <si>
    <t>gumi Inc.</t>
  </si>
  <si>
    <r>
      <rPr>
        <rFont val="Calibri, sans-serif"/>
        <color rgb="FF000000"/>
        <sz val="10.0"/>
        <u/>
      </rPr>
      <t>https://www.youtube.com/channel/UCkhIHrUhMIy_0etFcu5yvfA</t>
    </r>
    <r>
      <rPr>
        <rFont val="Calibri, sans-serif"/>
        <color rgb="FF000000"/>
        <sz val="10.0"/>
      </rPr>
      <t>|</t>
    </r>
  </si>
  <si>
    <t>#gumiInc OR "gumi"</t>
  </si>
  <si>
    <t>#G5Software | "G5 Software"</t>
  </si>
  <si>
    <t>https://www.youtube.com/channel/UCwRcUJnaCMcWDjkmY9tl6YA|</t>
  </si>
  <si>
    <t>Developer - Gabe Cuzzillo</t>
  </si>
  <si>
    <t>#GabeCuzzillo OR "Gabe Cuzzillo"</t>
  </si>
  <si>
    <t>Gun Media</t>
  </si>
  <si>
    <t>https://www.youtube.com/channel/UCJiugJZ3UsEQuQzRcnblN2A|</t>
  </si>
  <si>
    <t>#GunMedia OR "Gun Media"</t>
  </si>
  <si>
    <t>#GabeCuzzillo | "Gabe Cuzzillo"</t>
  </si>
  <si>
    <t>Developer - Gagonfe</t>
  </si>
  <si>
    <t>#Gagonfe OR "Gagonfe"</t>
  </si>
  <si>
    <t>Gunfire Games</t>
  </si>
  <si>
    <t>https://www.youtube.com/channel/UCfDFveFDZSLTma3oyY0L9nw|</t>
  </si>
  <si>
    <t>#GunfireGames OR "Gunfire Games"</t>
  </si>
  <si>
    <t>#Gagonfe | "Gagonfe"</t>
  </si>
  <si>
    <t>https://www.youtube.com/channel/UCnz5IalrT8g2-5NlRHERV5A|</t>
  </si>
  <si>
    <t>Developer - Gaijin Distribution</t>
  </si>
  <si>
    <t>GungHo</t>
  </si>
  <si>
    <t>https://www.youtube.com/c/GungHoAmerica|</t>
  </si>
  <si>
    <t>#GungHo OR "GungHo"</t>
  </si>
  <si>
    <t>#GaijinDistribution | "Gaijin Distribution"</t>
  </si>
  <si>
    <t>Developer - Gaijin Entertainment</t>
  </si>
  <si>
    <t>Gunstar Studios</t>
  </si>
  <si>
    <t>https://www.youtube.com/channel/UCauwgku3qkQO7sd4CybAxFQ|</t>
  </si>
  <si>
    <t>#GunstarStudios OR "Gunstar Studios"</t>
  </si>
  <si>
    <t>#GaijinEntertainment | "Gaijin Entertainment"</t>
  </si>
  <si>
    <t>Developer - Gambrinous</t>
  </si>
  <si>
    <t>#Gambrinous OR "Gambrinous"</t>
  </si>
  <si>
    <t>GuriGroup</t>
  </si>
  <si>
    <t>#GuriGroup OR "GuriGroup"</t>
  </si>
  <si>
    <t>#Gambrinous | "Gambrinous"</t>
  </si>
  <si>
    <t>https://www.youtube.com/channel/UCs9xWQlXpkHVoSrbdCPBwyQ|</t>
  </si>
  <si>
    <t>Developer - Game Freak</t>
  </si>
  <si>
    <t>GUTS Department</t>
  </si>
  <si>
    <t>#GUTSDepartment OR "GUTS Department"</t>
  </si>
  <si>
    <t>#GameFreak | "Game Freak"</t>
  </si>
  <si>
    <t>Developer - Game Gen</t>
  </si>
  <si>
    <t>H2 Interactive Co., Ltd.</t>
  </si>
  <si>
    <t>#GameGen | "Game Gen"</t>
  </si>
  <si>
    <t>Developer - GameArt Studio GmbH</t>
  </si>
  <si>
    <t>Haemimont Games</t>
  </si>
  <si>
    <t>https://www.youtube.com/channel/UCKJ-tKNQHlWec_tbIRS3CCA|</t>
  </si>
  <si>
    <t>#HaemimontGames OR "Haemimont Games"</t>
  </si>
  <si>
    <t>#GameArtStudioGmbH | "GameArt Studio GmbH"</t>
  </si>
  <si>
    <t>Developer - Gamebrew Studio</t>
  </si>
  <si>
    <t>#GamebrewStudio OR "Gamebrew Studio"</t>
  </si>
  <si>
    <t>Hailstorm Games Inc</t>
  </si>
  <si>
    <t>https://www.youtube.com/channel/UCOM6uUzF9yu_zIDLl9qq4cw|</t>
  </si>
  <si>
    <t>#HailstormGamesInc OR "Hailstorm Games Inc"</t>
  </si>
  <si>
    <t>#GamebrewStudio | "Gamebrew Studio"</t>
  </si>
  <si>
    <t>https://www.youtube.com/user/SentreStage|</t>
  </si>
  <si>
    <t>Developer - Gamechuck</t>
  </si>
  <si>
    <t>#Gamechuck OR "Gamechuck"</t>
  </si>
  <si>
    <t>Halcyon Palace</t>
  </si>
  <si>
    <t>https://www.youtube.com/channel/UCtudto5btfd9F7lAefOerxA|</t>
  </si>
  <si>
    <t>#HalcyonPalace OR "Halcyon Palace"</t>
  </si>
  <si>
    <t>#Gamechuck | "Gamechuck"</t>
  </si>
  <si>
    <t>https://www.youtube.com/channel/UCx15vSM3AKUKQjV4dSQXZXQ|</t>
  </si>
  <si>
    <t>Developer - GameDesignDan</t>
  </si>
  <si>
    <t>#GameDesignDan OR "GameDesignDan"</t>
  </si>
  <si>
    <t>Half-Face Games</t>
  </si>
  <si>
    <t>#HalfFaceGames OR "Half-Face Games"</t>
  </si>
  <si>
    <t>#GameDesignDan | "GameDesignDan"</t>
  </si>
  <si>
    <t>Developer - Gamedust</t>
  </si>
  <si>
    <t>Halfbrick Studios</t>
  </si>
  <si>
    <t>https://www.youtube.com/user/HalfbrickStudios|</t>
  </si>
  <si>
    <t>#HalfbrickStudios OR "Halfbrick Studios"</t>
  </si>
  <si>
    <t>#Gamedust | "Gamedust"</t>
  </si>
  <si>
    <t>Developer - Gamella Studios</t>
  </si>
  <si>
    <t>Hammerhead VR</t>
  </si>
  <si>
    <t>#HammerheadVR OR "Hammerhead VR"</t>
  </si>
  <si>
    <t>#GamellaStudios | "Gamella Studios"</t>
  </si>
  <si>
    <t>Developer - Gameloft</t>
  </si>
  <si>
    <t>Hamster</t>
  </si>
  <si>
    <t>https://www.youtube.com/user/HAMSTERCorporation|</t>
  </si>
  <si>
    <t>#Hamster OR "Hamster"</t>
  </si>
  <si>
    <t>#Gameloft | "Gameloft"</t>
  </si>
  <si>
    <t>Developer - GameMill Entertainment</t>
  </si>
  <si>
    <t>HandMade Game</t>
  </si>
  <si>
    <t>#HandMadeGame OR "HandMade Game"</t>
  </si>
  <si>
    <t>#GameMillEntertainment | "GameMill Entertainment"</t>
  </si>
  <si>
    <t>Developer - GameMill Publishing</t>
  </si>
  <si>
    <t>HandyGames</t>
  </si>
  <si>
    <t>https://www.youtube.com/user/handygamesgmbh|</t>
  </si>
  <si>
    <t>#HandyGames OR "HandyGames"</t>
  </si>
  <si>
    <t>#GameMillPublishing | "GameMill Publishing"</t>
  </si>
  <si>
    <t>Developer - Gamer Bear</t>
  </si>
  <si>
    <t>Hangonit</t>
  </si>
  <si>
    <t>https://www.youtube.com/channel/UCp0qmnlg1avm-b9o4ULi1xw|</t>
  </si>
  <si>
    <t>#Hangonit OR "Hangonit"</t>
  </si>
  <si>
    <t>#GamerBear | "Gamer Bear"</t>
  </si>
  <si>
    <t>Developer - Gamera Games</t>
  </si>
  <si>
    <t>HANGZHOU ELECTRONIC SOUL NETWORK TECHNOLOGY CO., LTD</t>
  </si>
  <si>
    <t>#HANGZHOUELECTRONICSOULNETWORKTECHNOLOGYCOLTD OR "HANGZHOU ELECTRONIC SOUL NETWORK TECHNOLOGY CO."</t>
  </si>
  <si>
    <t>#GameraGames | "Gamera Games"</t>
  </si>
  <si>
    <t>Developer - Gamera Interactive</t>
  </si>
  <si>
    <t>Hap</t>
  </si>
  <si>
    <t>https://www.youtube.com/channel/UCxVPVtufuJRmpEwTlpJw79A|</t>
  </si>
  <si>
    <t>#Hap OR "Hap"</t>
  </si>
  <si>
    <t>#GameraInteractive | "Gamera Interactive"</t>
  </si>
  <si>
    <t>Developer - Games Farm</t>
  </si>
  <si>
    <t>Hapa Games</t>
  </si>
  <si>
    <t>https://www.youtube.com/user/HapaGames|</t>
  </si>
  <si>
    <t>#HapaGames OR "Hapa Games"</t>
  </si>
  <si>
    <t>#GamesFarm | "Games Farm"</t>
  </si>
  <si>
    <t>Developer - Games Workshop</t>
  </si>
  <si>
    <t>Happinet</t>
  </si>
  <si>
    <t>#Happinet OR "Happinet"</t>
  </si>
  <si>
    <t>#GamesWorkshop | "Games Workshop"</t>
  </si>
  <si>
    <t>Developer - GameTrust</t>
  </si>
  <si>
    <t>Happion Laboratories</t>
  </si>
  <si>
    <t>https://www.youtube.com/channel/UC6A5SoV67N-H7t5IexR3NQg|</t>
  </si>
  <si>
    <t>#HappionLaboratories OR "Happion Laboratories"</t>
  </si>
  <si>
    <t>#GameTrust | "GameTrust"</t>
  </si>
  <si>
    <t>Developer - Gaming Minds Studios</t>
  </si>
  <si>
    <t>#GamingMindsStudios OR "Gaming Minds Studios"</t>
  </si>
  <si>
    <t>Happy Badger Studio</t>
  </si>
  <si>
    <t>https://www.youtube.com/channel/UCoI4g3Mvs62QS_wDfJ2e_pw|</t>
  </si>
  <si>
    <t>#HappyBadgerStudio OR "Happy Badger Studio"</t>
  </si>
  <si>
    <t>#GamingMindsStudios | "Gaming Minds Studios"</t>
  </si>
  <si>
    <t>https://www.youtube.com/channel/UCTGVCNALPiVy5qWuRlX7Qlg|</t>
  </si>
  <si>
    <t>Developer - Gamious</t>
  </si>
  <si>
    <t>Happy Dance Games</t>
  </si>
  <si>
    <t>https://www.youtube.com/channel/UCDavs7f8vVLGAVKpS5CmV4w|</t>
  </si>
  <si>
    <t>#HappyDanceGames OR "Happy Dance Games"</t>
  </si>
  <si>
    <t>#Gamious | "Gamious"</t>
  </si>
  <si>
    <t>Developer - Gamuzumi</t>
  </si>
  <si>
    <t>Hard Copy Games</t>
  </si>
  <si>
    <r>
      <rPr>
        <rFont val="Calibri, sans-serif"/>
        <color rgb="FF000000"/>
        <sz val="10.0"/>
        <u/>
      </rPr>
      <t>https://www.youtube.com/channel/UCwFijuELXNOHjbE66aYhzJw</t>
    </r>
    <r>
      <rPr>
        <rFont val="Calibri, sans-serif"/>
        <color rgb="FF000000"/>
        <sz val="10.0"/>
      </rPr>
      <t>|</t>
    </r>
  </si>
  <si>
    <t>#HardCopyGames OR "Hard Copy Games"</t>
  </si>
  <si>
    <t>#Gamuzumi | "Gamuzumi"</t>
  </si>
  <si>
    <t>Developer - Ganbarion</t>
  </si>
  <si>
    <t>#Ganbarion OR "Ganbarion"</t>
  </si>
  <si>
    <t>Harmonix Music Systems</t>
  </si>
  <si>
    <t>https://www.youtube.com/user/HarmonixMusic|</t>
  </si>
  <si>
    <t>#HarmonixMusicSystems OR "Harmonix Music Systems"</t>
  </si>
  <si>
    <t>#Ganbarion | "Ganbarion"</t>
  </si>
  <si>
    <t>Developer - Garage 227</t>
  </si>
  <si>
    <t>Haruneko</t>
  </si>
  <si>
    <t>https://www.youtube.com/channel/UCLazQBI-GiCOlq_s21WOWEg|</t>
  </si>
  <si>
    <t>#Haruneko OR "Haruneko"</t>
  </si>
  <si>
    <t>#Garage227 | "Garage 227"</t>
  </si>
  <si>
    <t>Developer - Gasket Games</t>
  </si>
  <si>
    <t>#GasketGames OR "Gasket Games"</t>
  </si>
  <si>
    <t>Hatinh Interactive</t>
  </si>
  <si>
    <t>https://www.youtube.com/channel/UCpxSyLlk-GwfWHRcRIwdLeA|</t>
  </si>
  <si>
    <t>#HatinhInteractive OR "Hatinh Interactive"</t>
  </si>
  <si>
    <t>#GasketGames | "Gasket Games"</t>
  </si>
  <si>
    <t>https://www.youtube.com/channel/UCRYK0LLr68xoj0j0WqZ23eg|</t>
  </si>
  <si>
    <t>Developer - Gateway Interactive</t>
  </si>
  <si>
    <t>HB Studios Multimedia</t>
  </si>
  <si>
    <t>https://www.youtube.com/user/HBStudiosDeveloper|</t>
  </si>
  <si>
    <t>#HBStudiosMultimedia OR "HB Studios Multimedia"</t>
  </si>
  <si>
    <t>#GatewayInteractive | "Gateway Interactive"</t>
  </si>
  <si>
    <t>Developer - Gauntlet Games</t>
  </si>
  <si>
    <t>#GauntletGames OR "Gauntlet Games"</t>
  </si>
  <si>
    <t>Headup Games</t>
  </si>
  <si>
    <t>https://www.youtube.com/channel/UCgQ4dlqbcfZ_mYuX1qXk0CA|</t>
  </si>
  <si>
    <t>#HeadupGames OR "Headup Games"</t>
  </si>
  <si>
    <t>#GauntletGames | "Gauntlet Games"</t>
  </si>
  <si>
    <t>https://www.youtube.com/user/PlayGauntlet|</t>
  </si>
  <si>
    <t>Developer - Gazillion</t>
  </si>
  <si>
    <t>Heart Machine</t>
  </si>
  <si>
    <t>https://www.youtube.com/channel/UCa51fhR6WdJz29f66hAmh5g|</t>
  </si>
  <si>
    <t>#HeartMachine OR "Heart Machine"</t>
  </si>
  <si>
    <t>#Gazillion | "Gazillion"</t>
  </si>
  <si>
    <t>Developer - GbR Thomas Claus und Frank Menzel</t>
  </si>
  <si>
    <t>HeartBit Interactive</t>
  </si>
  <si>
    <t>https://www.youtube.com/channel/UC_3FSmLOXMGXUknmBCMwIvg|</t>
  </si>
  <si>
    <t>#HeartBitInteractive OR "HeartBit Interactive"</t>
  </si>
  <si>
    <t>#GbRThomasClausundFrankMenzel | "GbR Thomas Claus und Frank Menzel"</t>
  </si>
  <si>
    <t>Developer - Gearbox Publishing</t>
  </si>
  <si>
    <t>Heavy Iron Studios</t>
  </si>
  <si>
    <t>https://www.youtube.com/channel/UCt8CYmDmYi2KZo1h05BjzDA|</t>
  </si>
  <si>
    <t>#HeavyIronStudios OR "Heavy Iron Studios"</t>
  </si>
  <si>
    <t>#GearboxPublishing | "Gearbox Publishing"</t>
  </si>
  <si>
    <t>Developer - Gearbox Software</t>
  </si>
  <si>
    <t>Heavy Spectrum</t>
  </si>
  <si>
    <t>https://www.youtube.com/channel/UCCbyKxbeTQGXg4vPdv6h5Tw|</t>
  </si>
  <si>
    <t>#HeavySpectrum OR "Heavy Spectrum"</t>
  </si>
  <si>
    <t>#GearboxSoftware | "Gearbox Software"</t>
  </si>
  <si>
    <t>Developer - Gearhead Games</t>
  </si>
  <si>
    <t>Hellbent Games</t>
  </si>
  <si>
    <t>https://www.youtube.com/channel/UC_01cxtJyU9IpzKfhJQs-Uw|</t>
  </si>
  <si>
    <t>#HellbentGames OR "Hellbent Games"</t>
  </si>
  <si>
    <t>#GearheadGames | "Gearhead Games"</t>
  </si>
  <si>
    <t>Developer - Gears for Breakfast</t>
  </si>
  <si>
    <t>Hellfire Games</t>
  </si>
  <si>
    <t>https://www.youtube.com/channel/UC855O8ENyjGYM81A7_pJiJA|</t>
  </si>
  <si>
    <t>#HellfireGames OR "Hellfire Games"</t>
  </si>
  <si>
    <t>#GearsforBreakfast | "Gears for Breakfast"</t>
  </si>
  <si>
    <t>Developer - Gemdrops</t>
  </si>
  <si>
    <t>Hello Games</t>
  </si>
  <si>
    <t>https://www.youtube.com/channel/UCGKx5XhGuf09VERiw_QIemA|</t>
  </si>
  <si>
    <t>#HelloGames OR "Hello Games"</t>
  </si>
  <si>
    <t>#Gemdrops | "Gemdrops"</t>
  </si>
  <si>
    <t>Developer - Gentlymad</t>
  </si>
  <si>
    <t>#Gentlymad OR "Gentlymad"</t>
  </si>
  <si>
    <t>Hello There</t>
  </si>
  <si>
    <t>https://www.youtube.com/channel/UCTkIk7ei9PkljCRqmRgq-fA|</t>
  </si>
  <si>
    <t>#HelloThere OR "Hello There"</t>
  </si>
  <si>
    <t>#Gentlymad | "Gentlymad"</t>
  </si>
  <si>
    <t>https://www.youtube.com/channel/UCX3lrzKISg-uHCzN-TMVq3A|</t>
  </si>
  <si>
    <t>Developer - Gersh Games LLC</t>
  </si>
  <si>
    <t>Henchman &amp; Goon</t>
  </si>
  <si>
    <t>https://www.youtube.com/channel/UCAZk_e1bJJ9q6ymRK5u8AuA|</t>
  </si>
  <si>
    <t>#HenchmanandGoon OR "Henchman &amp; Goon"</t>
  </si>
  <si>
    <t>#GershGamesLLC | "Gersh Games LLC"</t>
  </si>
  <si>
    <t>Developer - gFaUmNe</t>
  </si>
  <si>
    <t>Henchmen Studio</t>
  </si>
  <si>
    <t>#HenchmenStudio OR "Henchmen Studio"</t>
  </si>
  <si>
    <t>#gFaUmNe | "gFaUmNe"</t>
  </si>
  <si>
    <t>Developer - Ghost Dog Films</t>
  </si>
  <si>
    <t>#GhostDogFilms OR "Ghost Dog Films"</t>
  </si>
  <si>
    <t>Hero Concept</t>
  </si>
  <si>
    <t>https://www.youtube.com/channel/UCYHxDtg-aslp_AwbkCFaXnA|</t>
  </si>
  <si>
    <t>#HeroConcept OR "Hero Concept"</t>
  </si>
  <si>
    <t>#GhostDogFilms | "Ghost Dog Films"</t>
  </si>
  <si>
    <r>
      <rPr>
        <rFont val="Arial"/>
        <color rgb="FF000000"/>
      </rPr>
      <t>https://www.youtube.com/channel/UC6fnu1OtwSFZG_HhGB0qzLQ</t>
    </r>
    <r>
      <rPr>
        <rFont val="Arial"/>
        <color rgb="FF000000"/>
      </rPr>
      <t>|</t>
    </r>
  </si>
  <si>
    <t>Developer - Ghost Games</t>
  </si>
  <si>
    <t>#GhostGames OR "Ghost Games"</t>
  </si>
  <si>
    <t>HeroCraft</t>
  </si>
  <si>
    <r>
      <rPr>
        <rFont val="Calibri, sans-serif"/>
        <color rgb="FF000000"/>
        <sz val="10.0"/>
        <u/>
      </rPr>
      <t>https://www.youtube.com/channel/UCDM84b5RTB30uKHtqqR-TcA</t>
    </r>
    <r>
      <rPr>
        <rFont val="Calibri, sans-serif"/>
        <color rgb="FF000000"/>
        <sz val="10.0"/>
      </rPr>
      <t>|</t>
    </r>
  </si>
  <si>
    <t>#HeroCraft OR "HeroCraft"</t>
  </si>
  <si>
    <t>#GhostGames | "Ghost Games"</t>
  </si>
  <si>
    <t>Developer - Ghost of a Tale</t>
  </si>
  <si>
    <t>HeroCraft, Ltd</t>
  </si>
  <si>
    <t>#HeroCraftLtd OR "HeroCraft"</t>
  </si>
  <si>
    <t>#GhostofaTale | "Ghost of a Tale"</t>
  </si>
  <si>
    <t>Developer - Ghost Ship Games</t>
  </si>
  <si>
    <t>#GhostShipGames OR "Ghost Ship Games"</t>
  </si>
  <si>
    <t>HES Interactive</t>
  </si>
  <si>
    <t>#HESInteractive OR "HES Interactive"</t>
  </si>
  <si>
    <t>#GhostShipGames | "Ghost Ship Games"</t>
  </si>
  <si>
    <t>https://www.youtube.com/channel/UCPmGHVe1Dg_GnxPvP3jYDxQ|</t>
  </si>
  <si>
    <t>Developer - Ghost Time Games</t>
  </si>
  <si>
    <t>Hex Entertainment</t>
  </si>
  <si>
    <t>https://www.youtube.com/channel/UCvfssZjW-PFwkgDgm_LW2XA|</t>
  </si>
  <si>
    <t>#HexEntertainment OR "Hex Entertainment"</t>
  </si>
  <si>
    <t>#GhostTimeGames | "Ghost Time Games"</t>
  </si>
  <si>
    <t>Developer - Ghost Town Games Ltd.</t>
  </si>
  <si>
    <t>#GhostTownGamesLtd OR "Ghost Town Games Ltd."</t>
  </si>
  <si>
    <t>Hexterion</t>
  </si>
  <si>
    <t>#Hexterion OR "Hexterion"</t>
  </si>
  <si>
    <t>#GhostTownGamesLtd | "Ghost Town Games Ltd."</t>
  </si>
  <si>
    <t>https://www.youtube.com/channel/UCQW0Pm840aqggwF0oJ3GbPA|</t>
  </si>
  <si>
    <t>Developer - Giant Margarita</t>
  </si>
  <si>
    <t>Hi-Bit Studios</t>
  </si>
  <si>
    <t>https://www.youtube.com/channel/UC6HCQEnRdDL2MORk6JW-VSw|</t>
  </si>
  <si>
    <t>#HiBitStudios OR "Hi-Bit Studios"</t>
  </si>
  <si>
    <t>#GiantMargarita | "Giant Margarita"</t>
  </si>
  <si>
    <t>Developer - Giant Sparrow</t>
  </si>
  <si>
    <t>#GiantSparrow OR "Giant Sparrow"</t>
  </si>
  <si>
    <t>Hi-Rez Studios</t>
  </si>
  <si>
    <t>https://www.youtube.com/channel/UChU7-OvMJtArQoh_aatB8ew|</t>
  </si>
  <si>
    <t>#HiRezStudios OR "Hi-Rez Studios"</t>
  </si>
  <si>
    <t>#GiantSparrow | "Giant Sparrow"</t>
  </si>
  <si>
    <t>Developer - Giant Squid</t>
  </si>
  <si>
    <t>Hibernian Workshop</t>
  </si>
  <si>
    <t>#HibernianWorkshop OR "Hibernian Workshop"</t>
  </si>
  <si>
    <t>#GiantSquid | "Giant Squid"</t>
  </si>
  <si>
    <r>
      <rPr>
        <rFont val="Arial"/>
        <color rgb="FF000000"/>
      </rPr>
      <t>https://www.youtube.com/channel/UCvKqAkcvntSw59M61KGVyjw</t>
    </r>
    <r>
      <rPr>
        <rFont val="Arial"/>
        <color rgb="FF000000"/>
      </rPr>
      <t>|</t>
    </r>
  </si>
  <si>
    <t>Developer - Giants Software</t>
  </si>
  <si>
    <t>Hidden Achievement</t>
  </si>
  <si>
    <t>https://www.youtube.com/channel/UC-Ic1a5YCbQHeVo20OuTWzA|</t>
  </si>
  <si>
    <t>#HiddenAchievement OR "Hidden Achievement"</t>
  </si>
  <si>
    <t>#GiantsSoftware | "Giants Software"</t>
  </si>
  <si>
    <t>Developer - Gibier Games</t>
  </si>
  <si>
    <t>#GibierGames OR "Gibier Games"</t>
  </si>
  <si>
    <t>Hidden Trap</t>
  </si>
  <si>
    <t>https://www.youtube.com/channel/UCwvid4iftrPpXx_sUKjavzA|</t>
  </si>
  <si>
    <t>#HiddenTrap OR "Hidden Trap"</t>
  </si>
  <si>
    <t>#GibierGames | "Gibier Games"</t>
  </si>
  <si>
    <r>
      <rPr>
        <rFont val="Arial"/>
        <color rgb="FF000000"/>
      </rPr>
      <t>https://www.youtube.com/channel/UCeafokBwbKIn4GvHZReW2sg</t>
    </r>
    <r>
      <rPr>
        <rFont val="Arial"/>
        <color rgb="FF000000"/>
      </rPr>
      <t>|</t>
    </r>
  </si>
  <si>
    <t>Developer - Giiku Games</t>
  </si>
  <si>
    <t>High Horse Entertainment</t>
  </si>
  <si>
    <t>https://www.youtube.com/channel/UCaLIxNXcE3aa0ankP137Cjw|</t>
  </si>
  <si>
    <t>#HighHorseEntertainment OR "High Horse Entertainment"</t>
  </si>
  <si>
    <t>#GiikuGames | "Giiku Games"</t>
  </si>
  <si>
    <t>Developer - Ginger Biscuit Games</t>
  </si>
  <si>
    <t>#GingerBiscuitGames OR "Ginger Biscuit Games"</t>
  </si>
  <si>
    <t>Highwire Games</t>
  </si>
  <si>
    <r>
      <rPr>
        <rFont val="Calibri, sans-serif"/>
        <color rgb="FF000000"/>
        <sz val="10.0"/>
        <u/>
      </rPr>
      <t>https://www.youtube.com/channel/UC21X92gdmUXoUUWHNc4pGzw</t>
    </r>
    <r>
      <rPr>
        <rFont val="Calibri, sans-serif"/>
        <color rgb="FF000000"/>
        <sz val="10.0"/>
      </rPr>
      <t>|</t>
    </r>
  </si>
  <si>
    <t>#HighwireGames OR "Highwire Games"</t>
  </si>
  <si>
    <t>#GingerBiscuitGames | "Ginger Biscuit Games"</t>
  </si>
  <si>
    <t>Developer - Glaive Games</t>
  </si>
  <si>
    <t>Hinchliffe Solutions Limited</t>
  </si>
  <si>
    <t>#HinchliffeSolutionsLimited OR "Hinchliffe Solutions Limited"</t>
  </si>
  <si>
    <t>#GlaiveGames | "Glaive Games"</t>
  </si>
  <si>
    <t>Developer - Glass Bottom Games</t>
  </si>
  <si>
    <t>Hinterland</t>
  </si>
  <si>
    <t>https://www.youtube.com/user/hinterlandgames|</t>
  </si>
  <si>
    <t>#Hinterland OR "Hinterland"</t>
  </si>
  <si>
    <t>#GlassBottomGames | "Glass Bottom Games"</t>
  </si>
  <si>
    <t>Developer - Glee-Cheese Studio</t>
  </si>
  <si>
    <t>#GleeCheeseStudio OR "Glee-Cheese Studio"</t>
  </si>
  <si>
    <t>Hit-Point Co., Ltd.</t>
  </si>
  <si>
    <t>#GleeCheeseStudio | "Glee-Cheese Studio"</t>
  </si>
  <si>
    <t>Developer - Gloomywood</t>
  </si>
  <si>
    <t>Hitcents</t>
  </si>
  <si>
    <t>https://www.youtube.com/channel/UC5WsQjUsEba65OwVXh2Frtw|</t>
  </si>
  <si>
    <t>#Hitcents OR "Hitcents"</t>
  </si>
  <si>
    <t>#Gloomywood | "Gloomywood"</t>
  </si>
  <si>
    <t>Developer - Goblinz</t>
  </si>
  <si>
    <t>#Goblinz OR "Goblinz"</t>
  </si>
  <si>
    <t>HOF Studios</t>
  </si>
  <si>
    <t>https://www.youtube.com/channel/UC-LKhuSMBKc39pWyaWKXLFQ|</t>
  </si>
  <si>
    <t>#HOFStudios OR "HOF Studios"</t>
  </si>
  <si>
    <t>#Goblinz | "Goblinz"</t>
  </si>
  <si>
    <t>https://www.youtube.com/channel/UCF60F2U_fnAPnFCzW4XwUwg|</t>
  </si>
  <si>
    <t>Developer - God As A Cucumber</t>
  </si>
  <si>
    <t>Holik Krisztian</t>
  </si>
  <si>
    <r>
      <rPr>
        <rFont val="Calibri, sans-serif"/>
        <color rgb="FF000000"/>
        <sz val="10.0"/>
        <u/>
      </rPr>
      <t>https://www.youtube.com/channel/UC6eBJh6QqOPvkeUpK5tJ3yg</t>
    </r>
    <r>
      <rPr>
        <rFont val="Calibri, sans-serif"/>
        <color rgb="FF000000"/>
        <sz val="10.0"/>
      </rPr>
      <t>|</t>
    </r>
  </si>
  <si>
    <t>#HolikKrisztian OR "Holik Krisztian"</t>
  </si>
  <si>
    <t>#GodAsACucumber | "God As A Cucumber"</t>
  </si>
  <si>
    <t>Developer - Godbey Games LLC</t>
  </si>
  <si>
    <t>Hollow Ponds</t>
  </si>
  <si>
    <t>https://www.youtube.com/channel/UCuLQfTY_GkTULtXbHxf3zJg|</t>
  </si>
  <si>
    <t>#HollowPonds OR "Hollow Ponds"</t>
  </si>
  <si>
    <t>#GodbeyGamesLLC | "Godbey Games LLC"</t>
  </si>
  <si>
    <t>Developer - Gogii Games</t>
  </si>
  <si>
    <t>Hollow Tree Games</t>
  </si>
  <si>
    <t>#HollowTreeGames OR "Hollow Tree Games"</t>
  </si>
  <si>
    <t>#GogiiGames | "Gogii Games"</t>
  </si>
  <si>
    <t>Developer - Golden Ruby Games</t>
  </si>
  <si>
    <t>#GoldenRubyGames OR "Golden Ruby Games"</t>
  </si>
  <si>
    <t>Holmade Games</t>
  </si>
  <si>
    <t>https://www.youtube.com/channel/UCO9fzWQGGSWqQzJDDbtA58g|</t>
  </si>
  <si>
    <t>#HolmadeGames OR "Holmade Games"</t>
  </si>
  <si>
    <t>#GoldenRubyGames | "Golden Ruby Games"</t>
  </si>
  <si>
    <t>https://www.youtube.com/channel/UCV6O19HPm0AZYjW99uKepog|</t>
  </si>
  <si>
    <t>Developer - Goldmark Studios</t>
  </si>
  <si>
    <t>Holospark</t>
  </si>
  <si>
    <t>#Holospark OR "Holospark"</t>
  </si>
  <si>
    <t>#GoldmarkStudios | "Goldmark Studios"</t>
  </si>
  <si>
    <t>Developer - Golnabi</t>
  </si>
  <si>
    <t>Home Entertainment Suppliers</t>
  </si>
  <si>
    <t>#HomeEntertainmentSuppliers OR "Home Entertainment Suppliers"</t>
  </si>
  <si>
    <t>#Golnabi | "Golnabi"</t>
  </si>
  <si>
    <t>Developer - Goloso Games</t>
  </si>
  <si>
    <t>#GolosoGames OR "Goloso Games"</t>
  </si>
  <si>
    <t>Honeyslug Ltd</t>
  </si>
  <si>
    <t>#HoneyslugLtd OR "Honeyslug Ltd"</t>
  </si>
  <si>
    <t>#GolosoGames | "Goloso Games"</t>
  </si>
  <si>
    <t>https://www.youtube.com/channel/UCEAQyMQveI4_jWkXiXbrKYQ|</t>
  </si>
  <si>
    <t>Developer - Good Catch</t>
  </si>
  <si>
    <t>Honor Code, Inc.</t>
  </si>
  <si>
    <t>#HonorCodeInc OR "Honor Code,"</t>
  </si>
  <si>
    <t>#GoodCatch | "Good Catch"</t>
  </si>
  <si>
    <t>Developer - Good Gate Media</t>
  </si>
  <si>
    <t>#GoodGateMedia OR "Good Gate Media"</t>
  </si>
  <si>
    <t>HOODED GAMING LTD</t>
  </si>
  <si>
    <r>
      <rPr>
        <rFont val="Calibri, sans-serif"/>
        <color rgb="FF000000"/>
        <sz val="10.0"/>
        <u/>
      </rPr>
      <t>https://www.youtube.com/channel/UCWaP9GkR6bPrzEvREjH669g</t>
    </r>
    <r>
      <rPr>
        <rFont val="Calibri, sans-serif"/>
        <color rgb="FF000000"/>
        <sz val="10.0"/>
      </rPr>
      <t>|</t>
    </r>
  </si>
  <si>
    <t>#HOODEDGAMINGLTD OR "HOODED GAMING LTD"</t>
  </si>
  <si>
    <t>#GoodGateMedia | "Good Gate Media"</t>
  </si>
  <si>
    <t>https://www.youtube.com/channel/UCjW0dDKukXYiqyVF7GQgKOw|</t>
  </si>
  <si>
    <t>Developer - Good net technology co. Ltd</t>
  </si>
  <si>
    <t>Hooplehead &amp; Co.</t>
  </si>
  <si>
    <t>#HoopleheadandCo OR "Hooplehead &amp; Co."</t>
  </si>
  <si>
    <t>#GoodnettechnologycoLtd | "Good net technology co. Ltd"</t>
  </si>
  <si>
    <t>Developer - Gosatsu Visual Novels</t>
  </si>
  <si>
    <t>#GosatsuVisualNovels OR "Gosatsu Visual Novels"</t>
  </si>
  <si>
    <t>HopFrog</t>
  </si>
  <si>
    <t>#HopFrog OR "HopFrog"</t>
  </si>
  <si>
    <t>#GosatsuVisualNovels | "Gosatsu Visual Novels"</t>
  </si>
  <si>
    <r>
      <rPr>
        <rFont val="Arial"/>
        <color rgb="FF000000"/>
      </rPr>
      <t>https://www.youtube.com/channel/UCJHANCH5Z7H80mg6YDoCDuQ</t>
    </r>
    <r>
      <rPr>
        <rFont val="Arial"/>
        <color rgb="FF000000"/>
      </rPr>
      <t>|</t>
    </r>
  </si>
  <si>
    <t>Developer - Gossamer Games</t>
  </si>
  <si>
    <t>Hoplite Research</t>
  </si>
  <si>
    <t>#HopliteResearch OR "Hoplite Research"</t>
  </si>
  <si>
    <t>#GossamerGames | "Gossamer Games"</t>
  </si>
  <si>
    <t>Developer - GPC Games</t>
  </si>
  <si>
    <t>#GPCGames OR "GPC Games"</t>
  </si>
  <si>
    <t>Hoplon Infotainment</t>
  </si>
  <si>
    <t>https://www.youtube.com/user/taikodomgame|</t>
  </si>
  <si>
    <t>#HoplonInfotainment OR "Hoplon Infotainment"</t>
  </si>
  <si>
    <t>#GPCGames | "GPC Games"</t>
  </si>
  <si>
    <t>Developer - GR3 Project</t>
  </si>
  <si>
    <t>#GR3Project OR "GR3 Project"</t>
  </si>
  <si>
    <t>Hopoo Games</t>
  </si>
  <si>
    <t>https://www.youtube.com/user/spacegame2012|</t>
  </si>
  <si>
    <t>#HopooGames OR "Hopoo Games"</t>
  </si>
  <si>
    <t>#GR3Project | "GR3 Project"</t>
  </si>
  <si>
    <t>Developer - Grab Games</t>
  </si>
  <si>
    <t>Horberg Productions</t>
  </si>
  <si>
    <t>#HorbergProductions OR "Horberg Productions"</t>
  </si>
  <si>
    <t>#GrabGames | "Grab Games"</t>
  </si>
  <si>
    <t>Developer - Graceful Decay</t>
  </si>
  <si>
    <t>#GracefulDecay OR "Graceful Decay"</t>
  </si>
  <si>
    <t>HoundPicked Games</t>
  </si>
  <si>
    <t>https://www.youtube.com/channel/UC8CnVswobJ2TIN5ICu7PeGg|</t>
  </si>
  <si>
    <t>#HoundPickedGames OR "HoundPicked Games"</t>
  </si>
  <si>
    <t>#GracefulDecay | "Graceful Decay"</t>
  </si>
  <si>
    <t>Developer - Gradual Games/The 6502 Collective</t>
  </si>
  <si>
    <t>#GradualGamesThe6502Collective OR "Gradual Games/The 6502 Collective"</t>
  </si>
  <si>
    <t>House House</t>
  </si>
  <si>
    <t>https://www.youtube.com/channel/UC3tJKuDoJSN2dMbd8ViAHug|</t>
  </si>
  <si>
    <t>#HouseHouse OR "House House"</t>
  </si>
  <si>
    <t>#GradualGamesThe6502Collective | "Gradual Games/The 6502 Collective"</t>
  </si>
  <si>
    <t>https://www.youtube.com/channel/UCosIv3w7f_7hRKVzMmLll1A|</t>
  </si>
  <si>
    <t>Developer - Grande Games</t>
  </si>
  <si>
    <t>House Pixel Games</t>
  </si>
  <si>
    <t>https://www.youtube.com/channel/UCorDXRud8by_9VFzIRbYzKQ|</t>
  </si>
  <si>
    <t>#HousePixelGames OR "House Pixel Games"</t>
  </si>
  <si>
    <t>#GrandeGames | "Grande Games"</t>
  </si>
  <si>
    <t>Developer - Granzella Inc.</t>
  </si>
  <si>
    <t>Household Games Inc.</t>
  </si>
  <si>
    <t>https://www.youtube.com/channel/UCkPK6paEQSQOGxvtNYlHwPQ|</t>
  </si>
  <si>
    <t>#HouseholdGamesInc OR "Household Games"</t>
  </si>
  <si>
    <t>#GranzellaInc | "Granzella"</t>
  </si>
  <si>
    <t>Developer - GraphicDNA</t>
  </si>
  <si>
    <t>HUCAST</t>
  </si>
  <si>
    <t>#HUCAST OR "HUCAST"</t>
  </si>
  <si>
    <t>#GraphicDNA | "GraphicDNA"</t>
  </si>
  <si>
    <t>Developer - Graphite Lab</t>
  </si>
  <si>
    <t>Huey Games</t>
  </si>
  <si>
    <t>https://www.youtube.com/channel/UC6ki3qtcxp8Em0it2Ylph5A|</t>
  </si>
  <si>
    <t>#HueyGames OR "Huey Games"</t>
  </si>
  <si>
    <t>#GraphiteLab | "Graphite Lab"</t>
  </si>
  <si>
    <t>Developer - GrassGames</t>
  </si>
  <si>
    <t>Humanature Studios</t>
  </si>
  <si>
    <t>https://www.youtube.com/channel/UCgymZbMcnD71UKFnhqZABUg|</t>
  </si>
  <si>
    <t>#HumanatureStudios OR "Humanature Studios"</t>
  </si>
  <si>
    <t>#GrassGames | "GrassGames"</t>
  </si>
  <si>
    <t>Developer - Graybeard Games</t>
  </si>
  <si>
    <t>Humble Bundle</t>
  </si>
  <si>
    <t>https://www.youtube.com/user/humblebundle|</t>
  </si>
  <si>
    <t>#HumbleBundle OR "Humble Bundle"</t>
  </si>
  <si>
    <t>#GraybeardGames | "Graybeard Games"</t>
  </si>
  <si>
    <t>Developer - Grayfax Software</t>
  </si>
  <si>
    <t>#GrayfaxSoftware OR "Grayfax Software"</t>
  </si>
  <si>
    <t>Humble Games</t>
  </si>
  <si>
    <t>#GrayfaxSoftware | "Grayfax Software"</t>
  </si>
  <si>
    <t>Developer - Green Bray Games</t>
  </si>
  <si>
    <t>Humble Hearts</t>
  </si>
  <si>
    <t>#HumbleHearts OR "Humble Hearts"</t>
  </si>
  <si>
    <t>#GreenBrayGames | "Green Bray Games"</t>
  </si>
  <si>
    <t>Developer - Green Dinosaur Games</t>
  </si>
  <si>
    <t>Hungry Bear Games</t>
  </si>
  <si>
    <t>https://www.youtube.com/channel/UCfu4ypUDzvrh6mPAUiPF6cQ|</t>
  </si>
  <si>
    <t>#HungryBearGames OR "Hungry Bear Games"</t>
  </si>
  <si>
    <t>#GreenDinosaurGames | "Green Dinosaur Games"</t>
  </si>
  <si>
    <t>Developer - Green Lava Studios</t>
  </si>
  <si>
    <t>Hut 90</t>
  </si>
  <si>
    <t>https://www.youtube.com/user/lovepreetnl|</t>
  </si>
  <si>
    <t>#Hut90 OR "Hut 90"</t>
  </si>
  <si>
    <t>#GreenLavaStudios | "Green Lava Studios"</t>
  </si>
  <si>
    <t>Developer - Greg Lobanov</t>
  </si>
  <si>
    <t>#GregLobanov OR "Greg Lobanov"</t>
  </si>
  <si>
    <t>Hydra Games SA</t>
  </si>
  <si>
    <t>https://www.youtube.com/channel/UCegW2IwbEmvuqJUpbxPM1og|</t>
  </si>
  <si>
    <t>#HydraGamesSA OR "Hydra Games SA"</t>
  </si>
  <si>
    <t>#GregLobanov | "Greg Lobanov"</t>
  </si>
  <si>
    <t>https://www.youtube.com/user/BanovG|</t>
  </si>
  <si>
    <t>Developer - Greyhead Studio LLC</t>
  </si>
  <si>
    <t>Hyper Awesome Entertainment</t>
  </si>
  <si>
    <t>#HyperAwesomeEntertainment OR "Hyper Awesome Entertainment"</t>
  </si>
  <si>
    <t>#GreyheadStudioLLC | "Greyhead Studio LLC"</t>
  </si>
  <si>
    <r>
      <rPr>
        <rFont val="Arial"/>
        <color rgb="FF000000"/>
      </rPr>
      <t>https://www.youtube.com/channel/UCEUvQAdrDu7jCo-8fhrNKFg</t>
    </r>
    <r>
      <rPr>
        <rFont val="Arial"/>
        <color rgb="FF000000"/>
      </rPr>
      <t>|</t>
    </r>
  </si>
  <si>
    <t>Developer - Grimorio of Games</t>
  </si>
  <si>
    <t>#GrimorioofGames OR "Grimorio of Games"</t>
  </si>
  <si>
    <t>Hyper Hippo Productions</t>
  </si>
  <si>
    <t>https://www.youtube.com/channel/UCwsIFUdZhYwacvSEx11TXVw|</t>
  </si>
  <si>
    <t>#HyperHippoProductions OR "Hyper Hippo Productions"</t>
  </si>
  <si>
    <t>#GrimorioofGames | "Grimorio of Games"</t>
  </si>
  <si>
    <t>https://www.youtube.com/channel/UC8TaBI7TNq6t9LLjoCQ1kgw|</t>
  </si>
  <si>
    <t>Developer - GrimTalin</t>
  </si>
  <si>
    <t>Hyper Luminal Games Ltd</t>
  </si>
  <si>
    <t>https://www.youtube.com/channel/UC9F9wyUAjUebKW5bMH_jjZg|</t>
  </si>
  <si>
    <t>#HyperLuminalGamesLtd OR "Hyper Luminal Games Ltd"</t>
  </si>
  <si>
    <t>#GrimTalin | "GrimTalin"</t>
  </si>
  <si>
    <t>Developer - Grimwood Team</t>
  </si>
  <si>
    <t>Hyperbolic Magnetism</t>
  </si>
  <si>
    <t>https://www.youtube.com/user/HyperbolicMagnetism|</t>
  </si>
  <si>
    <t>#HyperbolicMagnetism OR "Hyperbolic Magnetism"</t>
  </si>
  <si>
    <t>#GrimwoodTeam | "Grimwood Team"</t>
  </si>
  <si>
    <t>Developer - grin robot</t>
  </si>
  <si>
    <t>#grinrobot OR "grin robot"</t>
  </si>
  <si>
    <t>Hypersect</t>
  </si>
  <si>
    <t>https://www.youtube.com/channel/UCK1aOOZMaqZAnesQjisWZvw|</t>
  </si>
  <si>
    <t>#Hypersect OR "Hypersect"</t>
  </si>
  <si>
    <t>#grinrobot | "grin robot"</t>
  </si>
  <si>
    <t>Developer - Grinding Gear Games</t>
  </si>
  <si>
    <t>Hypertrain Digital</t>
  </si>
  <si>
    <t>https://www.youtube.com/channel/UCWS11f046PFQ5T4iLbM462g|</t>
  </si>
  <si>
    <t>#HypertrainDigital OR "Hypertrain Digital"</t>
  </si>
  <si>
    <t>#GrindingGearGames | "Grinding Gear Games"</t>
  </si>
  <si>
    <t>Developer - Grip Digital</t>
  </si>
  <si>
    <t>HypeTrain Digital</t>
  </si>
  <si>
    <t>#HypeTrainDigital OR "HypeTrain Digital"</t>
  </si>
  <si>
    <t>#GripDigital | "Grip Digital"</t>
  </si>
  <si>
    <t>Developer - Grip Games</t>
  </si>
  <si>
    <t>i-illusions</t>
  </si>
  <si>
    <t>https://www.youtube.com/channel/UCEY4VDGFa8R8U16zc7rmTxA|</t>
  </si>
  <si>
    <t>#iillusions OR "i-illusions"</t>
  </si>
  <si>
    <t>#GripGames | "Grip Games"</t>
  </si>
  <si>
    <t>Developer - Grogan</t>
  </si>
  <si>
    <t>iam8bit</t>
  </si>
  <si>
    <t>https://www.youtube.com/channel/UCGPYAU8qQEgY9f-PUWGFSfg|</t>
  </si>
  <si>
    <t>#iam8bit OR "iam8bit"</t>
  </si>
  <si>
    <t>#Grogan | "Grogan"</t>
  </si>
  <si>
    <t>Developer - Groovy Milk</t>
  </si>
  <si>
    <t>IBAR EZKERRAR IKASTOLA S. COOP.</t>
  </si>
  <si>
    <t>#IBAREZKERRARIKASTOLASCOOP OR "IBAR EZKERRAR IKASTOLA S. COOP."</t>
  </si>
  <si>
    <t>#GroovyMilk | "Groovy Milk"</t>
  </si>
  <si>
    <t>Developer - GrosChevaux</t>
  </si>
  <si>
    <t>icampomanes</t>
  </si>
  <si>
    <t>#icampomanes OR "icampomanes"</t>
  </si>
  <si>
    <t>#GrosChevaux | "GrosChevaux"</t>
  </si>
  <si>
    <t>Developer - Ground Shatter Ltd.</t>
  </si>
  <si>
    <t>Ice BEAM Ltd.</t>
  </si>
  <si>
    <t>https://www.youtube.com/channel/UCZ2hWbMHLjoht67128ubanA|</t>
  </si>
  <si>
    <t>#IceBEAMLtd OR "Ice BEAM Ltd."</t>
  </si>
  <si>
    <t>#GroundShatterLtd | "Ground Shatter Ltd."</t>
  </si>
  <si>
    <t>Developer - Grounding Inc.</t>
  </si>
  <si>
    <t>Ice-Pick Lodge</t>
  </si>
  <si>
    <t>https://www.youtube.com/channel/UCd2ng5IYrQZi4IXEeMV0Ayg|</t>
  </si>
  <si>
    <t>#IcePickLodge OR "Ice-Pick Lodge"</t>
  </si>
  <si>
    <t>#GroundingInc | "Grounding"</t>
  </si>
  <si>
    <t>Developer - Grumpyface Studios</t>
  </si>
  <si>
    <t>Iceberg Interactive</t>
  </si>
  <si>
    <t>https://www.youtube.com/user/iceberginteractive|</t>
  </si>
  <si>
    <t>#IcebergInteractive OR "Iceberg Interactive"</t>
  </si>
  <si>
    <t>#GrumpyfaceStudios | "Grumpyface Studios"</t>
  </si>
  <si>
    <r>
      <rPr>
        <rFont val="Arial"/>
        <color rgb="FF000000"/>
      </rPr>
      <t>https://www.youtube.com/channel/UC0WjZQMO36EXknSqI3r8SQw</t>
    </r>
    <r>
      <rPr>
        <rFont val="Arial"/>
        <color rgb="FF000000"/>
      </rPr>
      <t>|</t>
    </r>
  </si>
  <si>
    <t>Developer - GS2 Games</t>
  </si>
  <si>
    <t>Iceflake Studios</t>
  </si>
  <si>
    <t>https://www.youtube.com/user/iceflakestudios|</t>
  </si>
  <si>
    <t>#IceflakeStudios OR "Iceflake Studios"</t>
  </si>
  <si>
    <t>#GS2Games | "GS2 Games"</t>
  </si>
  <si>
    <t>Developer - Guangzhou Good Games Network</t>
  </si>
  <si>
    <t>Ichigoichie</t>
  </si>
  <si>
    <t>#Ichigoichie OR "Ichigoichie"</t>
  </si>
  <si>
    <t>#GuangzhouGoodGamesNetwork | "Guangzhou Good Games Network"</t>
  </si>
  <si>
    <t>Developer - Guara Studios</t>
  </si>
  <si>
    <t>id Software</t>
  </si>
  <si>
    <t>#GuaraStudios | "Guara Studios"</t>
  </si>
  <si>
    <r>
      <rPr>
        <rFont val="Arial"/>
        <color rgb="FF000000"/>
      </rPr>
      <t>https://www.youtube.com/channel/UC4MRzYC2w7yuqkSGvF4w7-A</t>
    </r>
    <r>
      <rPr>
        <rFont val="Arial"/>
        <color rgb="FF000000"/>
      </rPr>
      <t>|</t>
    </r>
  </si>
  <si>
    <t>Developer - Guerrilla</t>
  </si>
  <si>
    <t>#Guerrilla OR "Guerrilla"</t>
  </si>
  <si>
    <t>Idea Factory</t>
  </si>
  <si>
    <t>https://www.youtube.com/channel/UCnh0ZgQvKkbjGV5xHe6xbfQ|</t>
  </si>
  <si>
    <t>#IdeaFactory OR "Idea Factory"</t>
  </si>
  <si>
    <t>#Guerrilla | "Guerrilla"</t>
  </si>
  <si>
    <t>https://www.youtube.com/channel/UC_wKmY44qpHoXzi3fiE9aQQ|</t>
  </si>
  <si>
    <t>Developer - GuGames DEV</t>
  </si>
  <si>
    <t>IElectric</t>
  </si>
  <si>
    <t>#IElectric OR "IElectric"</t>
  </si>
  <si>
    <t>#GuGamesDEV | "GuGames DEV"</t>
  </si>
  <si>
    <t>Developer - Gunfire Games</t>
  </si>
  <si>
    <t>iFree Studio</t>
  </si>
  <si>
    <t>https://www.youtube.com/channel/UC3fhybIuhHenyeMsKfp53gg|</t>
  </si>
  <si>
    <t>#iFreeStudio OR "iFree Studio"</t>
  </si>
  <si>
    <t>#GunfireGames | "Gunfire Games"</t>
  </si>
  <si>
    <t>Developer - Guru Games</t>
  </si>
  <si>
    <t>#GuruGames OR "Guru Games"</t>
  </si>
  <si>
    <t>IGGYMOB</t>
  </si>
  <si>
    <t>https://www.youtube.com/channel/UCt_f9mNoHumqqAIGoKmtYDA|</t>
  </si>
  <si>
    <t>#IGGYMOB OR "IGGYMOB"</t>
  </si>
  <si>
    <t>#GuruGames | "Guru Games"</t>
  </si>
  <si>
    <t>https://www.youtube.com/channel/UC1q1e3Q9IKMk4nDlAGb_5Jg|</t>
  </si>
  <si>
    <t>Developer - Gust</t>
  </si>
  <si>
    <t>#Gust OR "Gust"</t>
  </si>
  <si>
    <t>ignite720</t>
  </si>
  <si>
    <t>#ignite720 OR "ignite720"</t>
  </si>
  <si>
    <t>#Gust | "Gust"</t>
  </si>
  <si>
    <t>https://www.youtube.com/user/KOEITECMOofficial|</t>
  </si>
  <si>
    <t>Developer - Gwen Frey</t>
  </si>
  <si>
    <t>#GwenFrey OR "Gwen Frey"</t>
  </si>
  <si>
    <t>Ignition Publishing</t>
  </si>
  <si>
    <t>https://www.youtube.com/channel/UCnpV4PXlX373z78vlT1-ZSw|</t>
  </si>
  <si>
    <t>#IgnitionPublishing OR "Ignition Publishing"</t>
  </si>
  <si>
    <t>#GwenFrey | "Gwen Frey"</t>
  </si>
  <si>
    <t>https://www.youtube.com/channel/UCM8DWXsq5bgRFgV0rxASw_Q|</t>
  </si>
  <si>
    <t>Developer - Haemimont Games</t>
  </si>
  <si>
    <t>IKG SOFTWARE</t>
  </si>
  <si>
    <t>#IKGSOFTWARE OR "IKG SOFTWARE"</t>
  </si>
  <si>
    <t>#HaemimontGames | "Haemimont Games"</t>
  </si>
  <si>
    <t>Developer - Hailstorm Games Inc</t>
  </si>
  <si>
    <t>Ikon Games</t>
  </si>
  <si>
    <t>https://www.youtube.com/channel/UCuccgZQBzmnT8dqvbeKnSaA|</t>
  </si>
  <si>
    <t>#IkonGames OR "Ikon Games"</t>
  </si>
  <si>
    <t>#HailstormGamesInc | "Hailstorm Games Inc"</t>
  </si>
  <si>
    <t>Developer - HAKAMA</t>
  </si>
  <si>
    <t>#HAKAMA OR "HAKAMA"</t>
  </si>
  <si>
    <t>IllFonic</t>
  </si>
  <si>
    <t>https://www.youtube.com/channel/UCd3Xj5W-Of9OwMkKdcGjHiw|</t>
  </si>
  <si>
    <t>#IllFonic OR "IllFonic"</t>
  </si>
  <si>
    <t>#HAKAMA | "HAKAMA"</t>
  </si>
  <si>
    <t>Developer - HakJak Productions</t>
  </si>
  <si>
    <t>#HakJakProductions OR "HakJak Productions"</t>
  </si>
  <si>
    <t>Illion Corp</t>
  </si>
  <si>
    <t>#IllionCorp OR "Illion Corp"</t>
  </si>
  <si>
    <t>#HakJakProductions | "HakJak Productions"</t>
  </si>
  <si>
    <t>https://www.youtube.com/channel/UC5sj6mxIErB1bsq4jAsGf8A|</t>
  </si>
  <si>
    <t>Developer - Half-Face Games</t>
  </si>
  <si>
    <t>Ilusis Interactive Graphics</t>
  </si>
  <si>
    <t>#IlusisInteractiveGraphics OR "Ilusis Interactive Graphics"</t>
  </si>
  <si>
    <t>#HalfFaceGames | "Half-Face Games"</t>
  </si>
  <si>
    <t>Developer - Halfbrick Studios</t>
  </si>
  <si>
    <t>Image &amp; Form</t>
  </si>
  <si>
    <t>https://www.youtube.com/channel/UCrX7uDPq0SCXtFhbzpPdFgw|</t>
  </si>
  <si>
    <t>#ImageandForm OR "Image &amp; Form"</t>
  </si>
  <si>
    <t>#HalfbrickStudios | "Halfbrick Studios"</t>
  </si>
  <si>
    <t>Developer - Hammer and Ravens</t>
  </si>
  <si>
    <t>#HammerandRavens OR "Hammer and Ravens"</t>
  </si>
  <si>
    <t>ImaginationOverflow</t>
  </si>
  <si>
    <t>https://www.youtube.com/channel/UC_zdox2LIm3eapKAMm0I_9w|</t>
  </si>
  <si>
    <t>#ImaginationOverflow OR "ImaginationOverflow"</t>
  </si>
  <si>
    <t>#HammerandRavens | "Hammer and Ravens"</t>
  </si>
  <si>
    <t>Developer - Hamster</t>
  </si>
  <si>
    <t>IMGN.PRO</t>
  </si>
  <si>
    <t>https://www.youtube.com/channel/UCF9o8Z9Z50F6Qd0XxlU5MCg|</t>
  </si>
  <si>
    <t>#IMGNPRO OR "IMGN.PRO"</t>
  </si>
  <si>
    <t>#Hamster | "Hamster"</t>
  </si>
  <si>
    <t>Developer - HandyGames</t>
  </si>
  <si>
    <t>Immersive VR Education</t>
  </si>
  <si>
    <t>https://www.youtube.com/c/ImmersiveVREducation/featured|</t>
  </si>
  <si>
    <t>#ImmersiveVREducation OR "Immersive VR Education"</t>
  </si>
  <si>
    <t>#HandyGames | "HandyGames"</t>
  </si>
  <si>
    <t>Developer - Hangar 13</t>
  </si>
  <si>
    <t>#Hangar13 OR "Hangar 13"</t>
  </si>
  <si>
    <t>Imperative Entertainment</t>
  </si>
  <si>
    <t>#ImperativeEntertainment OR "Imperative Entertainment"</t>
  </si>
  <si>
    <t>#Hangar13 | "Hangar 13"</t>
  </si>
  <si>
    <t>Developer - Hangonit</t>
  </si>
  <si>
    <t>Improx Games</t>
  </si>
  <si>
    <t>https://www.youtube.com/channel/UC13OIIrGYFvNNrUuLiYAV2g|</t>
  </si>
  <si>
    <t>#ImproxGames OR "Improx Games"</t>
  </si>
  <si>
    <t>#Hangonit | "Hangonit"</t>
  </si>
  <si>
    <t>Developer - Happion Laboratories</t>
  </si>
  <si>
    <t>IN</t>
  </si>
  <si>
    <t>#IN OR "IN"</t>
  </si>
  <si>
    <t>#HappionLaboratories | "Happion Laboratories"</t>
  </si>
  <si>
    <t>Developer - Happy Broccoli Games</t>
  </si>
  <si>
    <t>#HappyBroccoliGames OR "Happy Broccoli Games"</t>
  </si>
  <si>
    <t>In Vitro Games</t>
  </si>
  <si>
    <t>https://www.youtube.com/channel/UCP-Uy1gS0YsX5tXhVUpAmQQ|</t>
  </si>
  <si>
    <t>#InVitroGames OR "In Vitro Games"</t>
  </si>
  <si>
    <t>#HappyBroccoliGames | "Happy Broccoli Games"</t>
  </si>
  <si>
    <t>https://www.youtube.com/channel/UCCMKkx8PqtUqSllyp-pSw5A|</t>
  </si>
  <si>
    <t>Developer - Happy Ray Games</t>
  </si>
  <si>
    <t>#HappyRayGames OR "Happy Ray Games"</t>
  </si>
  <si>
    <t>Inception VR, Inc.</t>
  </si>
  <si>
    <t>#InceptionVRInc OR "Inception VR,"</t>
  </si>
  <si>
    <t>#HappyRayGames | "Happy Ray Games"</t>
  </si>
  <si>
    <t>Developer - Happy Tuesday</t>
  </si>
  <si>
    <t>#HappyTuesday OR "Happy Tuesday"</t>
  </si>
  <si>
    <t>Indie Remix Studios LLC</t>
  </si>
  <si>
    <t>https://www.youtube.com/channel/UCKx5jLdWxmjbD4abDvuNK0g|</t>
  </si>
  <si>
    <t>#IndieRemixStudiosLLC OR "Indie Remix Studios LLC"</t>
  </si>
  <si>
    <t>#HappyTuesday | "Happy Tuesday"</t>
  </si>
  <si>
    <t>Developer - Harebrained Schemes LLC</t>
  </si>
  <si>
    <t>#HarebrainedSchemesLLC OR "Harebrained Schemes LLC"</t>
  </si>
  <si>
    <t>IndieGala</t>
  </si>
  <si>
    <t>https://www.youtube.com/user/IndieGala|</t>
  </si>
  <si>
    <t>#IndieGala OR "IndieGala"</t>
  </si>
  <si>
    <t>#HarebrainedSchemesLLC | "Harebrained Schemes LLC"</t>
  </si>
  <si>
    <t>Developer - Harmonix Music Systems</t>
  </si>
  <si>
    <t>IndieMax</t>
  </si>
  <si>
    <t>https://www.youtube.com/channel/UCwIbqCRhsIHaXnEsGYRGF8w|</t>
  </si>
  <si>
    <t>#IndieMax OR "IndieMax"</t>
  </si>
  <si>
    <t>#HarmonixMusicSystems | "Harmonix Music Systems"</t>
  </si>
  <si>
    <t>Developer - Haruneko</t>
  </si>
  <si>
    <t>indienova</t>
  </si>
  <si>
    <t>https://www.youtube.com/channel/UCpznyvvTh5prmh-kQV0B72Q|</t>
  </si>
  <si>
    <t>#indienova OR "indienova"</t>
  </si>
  <si>
    <t>#Haruneko | "Haruneko"</t>
  </si>
  <si>
    <t>Developer - Hazelight</t>
  </si>
  <si>
    <t>#Hazelight OR "Hazelight"</t>
  </si>
  <si>
    <t>Indietopia Games</t>
  </si>
  <si>
    <t>https://www.youtube.com/channel/UCfPK7JYC7xB4D8iHKRBBuWA|</t>
  </si>
  <si>
    <t>#IndietopiaGames OR "Indietopia Games"</t>
  </si>
  <si>
    <t>#Hazelight | "Hazelight"</t>
  </si>
  <si>
    <t>https://www.youtube.com/channel/UC0F3KVIFTkE3qfB0Uxe5FKA|</t>
  </si>
  <si>
    <t>Developer - HB Studios Multimedia</t>
  </si>
  <si>
    <t>Inertia Game Studios</t>
  </si>
  <si>
    <t>https://www.youtube.com/channel/UCqkLNBfqoeQe8QeplOGK61A|</t>
  </si>
  <si>
    <t>#InertiaGameStudios OR "Inertia Game Studios"</t>
  </si>
  <si>
    <t>#HBStudiosMultimedia | "HB Studios Multimedia"</t>
  </si>
  <si>
    <t>Developer - Headbang Club</t>
  </si>
  <si>
    <t>#HeadbangClub OR "Headbang Club"</t>
  </si>
  <si>
    <t>Inferno...</t>
  </si>
  <si>
    <t>#Inferno OR "Inferno..."</t>
  </si>
  <si>
    <t>#HeadbangClub | "Headbang Club"</t>
  </si>
  <si>
    <t>https://www.youtube.com/channel/UCIbouHfQ6A8Of-5GmB4NJpA|</t>
  </si>
  <si>
    <t>Developer - Headup Games</t>
  </si>
  <si>
    <t>Infinigon</t>
  </si>
  <si>
    <t>https://www.youtube.com/channel/UCgnVbkJenT2chccArWIQBFg|</t>
  </si>
  <si>
    <t>#Infinigon OR "Infinigon"</t>
  </si>
  <si>
    <t>#HeadupGames | "Headup Games"</t>
  </si>
  <si>
    <t>Developer - Heart Machine</t>
  </si>
  <si>
    <t>Infinitap Games</t>
  </si>
  <si>
    <t>#InfinitapGames OR "Infinitap Games"</t>
  </si>
  <si>
    <t>#HeartMachine | "Heart Machine"</t>
  </si>
  <si>
    <t>Developer - HeartBit Interactive</t>
  </si>
  <si>
    <t>Infinite Dreams</t>
  </si>
  <si>
    <t>https://www.youtube.com/user/idreamsgames|</t>
  </si>
  <si>
    <t>#InfiniteDreams OR "Infinite Dreams"</t>
  </si>
  <si>
    <t>#HeartBitInteractive | "HeartBit Interactive"</t>
  </si>
  <si>
    <t>Developer - Heavy Iron Studios</t>
  </si>
  <si>
    <t>Infinite Dreams Inc.</t>
  </si>
  <si>
    <t>#InfiniteDreamsInc OR "Infinite Dreams"</t>
  </si>
  <si>
    <t>#HeavyIronStudios | "Heavy Iron Studios"</t>
  </si>
  <si>
    <t>Developer - Hellbent Games</t>
  </si>
  <si>
    <t>Infinite Fall</t>
  </si>
  <si>
    <t>#InfiniteFall OR "Infinite Fall"</t>
  </si>
  <si>
    <t>#HellbentGames | "Hellbent Games"</t>
  </si>
  <si>
    <t>Developer - Hello Games</t>
  </si>
  <si>
    <t>Infinite Madaa</t>
  </si>
  <si>
    <t>#InfiniteMadaa OR "Infinite Madaa"</t>
  </si>
  <si>
    <t>#HelloGames | "Hello Games"</t>
  </si>
  <si>
    <t>Developer - Henchmen Studio</t>
  </si>
  <si>
    <t>Infinite Monkeys</t>
  </si>
  <si>
    <t>#InfiniteMonkeys OR "Infinite Monkeys"</t>
  </si>
  <si>
    <t>#HenchmenStudio | "Henchmen Studio"</t>
  </si>
  <si>
    <t>Developer - Henk Nieborg</t>
  </si>
  <si>
    <t>#HenkNieborg OR "Henk Nieborg"</t>
  </si>
  <si>
    <t>Infinite State Games</t>
  </si>
  <si>
    <t>https://www.youtube.com/channel/UCpFukXw8sIdOdfuAUxkVMug|</t>
  </si>
  <si>
    <t>#InfiniteStateGames OR "Infinite State Games"</t>
  </si>
  <si>
    <t>#HenkNieborg | "Henk Nieborg"</t>
  </si>
  <si>
    <t>https://www.youtube.com/user/goatboyNL|</t>
  </si>
  <si>
    <t>Developer - Hero Concept</t>
  </si>
  <si>
    <t>Infuse Studio</t>
  </si>
  <si>
    <t>https://www.youtube.com/channel/UC0ts1EEnlPLq9tpKGc4muxg|</t>
  </si>
  <si>
    <t>#InfuseStudio OR "Infuse Studio"</t>
  </si>
  <si>
    <t>#HeroConcept | "Hero Concept"</t>
  </si>
  <si>
    <t>Developer - HeroCraft</t>
  </si>
  <si>
    <t>ININ Games</t>
  </si>
  <si>
    <t>https://www.youtube.com/channel/UCWsWdMF_dTNCj3mx33mOdMA|</t>
  </si>
  <si>
    <t>#ININGames OR "ININ Games"</t>
  </si>
  <si>
    <t>#HeroCraft | "HeroCraft"</t>
  </si>
  <si>
    <t>https://www.youtube.com/channel/UCDM84b5RTB30uKHtqqR-TcA|</t>
  </si>
  <si>
    <t>Developer - HeSaw</t>
  </si>
  <si>
    <t>#HeSaw OR "HeSaw"</t>
  </si>
  <si>
    <t>inkle</t>
  </si>
  <si>
    <t>#inkle OR "inkle"</t>
  </si>
  <si>
    <t>#HeSaw | "HeSaw"</t>
  </si>
  <si>
    <t>Developer - HexaDrive</t>
  </si>
  <si>
    <t>#HexaDrive OR "HexaDrive"</t>
  </si>
  <si>
    <t>Inlogic Software</t>
  </si>
  <si>
    <t>#InlogicSoftware OR "Inlogic Software"</t>
  </si>
  <si>
    <t>#HexaDrive | "HexaDrive"</t>
  </si>
  <si>
    <t>https://www.youtube.com/user/hexadrive666666|</t>
  </si>
  <si>
    <t>Developer - Hexterion</t>
  </si>
  <si>
    <t>Innersloth</t>
  </si>
  <si>
    <t>https://www.youtube.com/channel/UCKuI2VapWQjkMz2DDrLvLKw|</t>
  </si>
  <si>
    <t>#Innersloth OR "Innersloth"</t>
  </si>
  <si>
    <t>#Hexterion | "Hexterion"</t>
  </si>
  <si>
    <t>Developer - Hi-Rez Studios</t>
  </si>
  <si>
    <t>Innerspace VR</t>
  </si>
  <si>
    <t>https://www.youtube.com/channel/UCvLTMkWaP56shlRVszYEChQ|</t>
  </si>
  <si>
    <t>#InnerspaceVR OR "Innerspace VR"</t>
  </si>
  <si>
    <t>#HiRezStudios | "Hi-Rez Studios"</t>
  </si>
  <si>
    <t>Developer - Hidden Achievement</t>
  </si>
  <si>
    <t>Inpleron LTD</t>
  </si>
  <si>
    <t>#InpleronLTD OR "Inpleron LTD"</t>
  </si>
  <si>
    <t>#HiddenAchievement | "Hidden Achievement"</t>
  </si>
  <si>
    <t>Developer - Hidden Fields</t>
  </si>
  <si>
    <t>#HiddenFields OR "Hidden Fields"</t>
  </si>
  <si>
    <t>Insomniac Games</t>
  </si>
  <si>
    <t>https://www.youtube.com/channel/UCbBuGaZMd6bN1mxW886u1Gg|</t>
  </si>
  <si>
    <t>#InsomniacGames OR "Insomniac Games"</t>
  </si>
  <si>
    <t>#HiddenFields | "Hidden Fields"</t>
  </si>
  <si>
    <t>Developer - Hidden Path Entertainment</t>
  </si>
  <si>
    <t>#HiddenPathEntertainment OR "Hidden Path Entertainment"</t>
  </si>
  <si>
    <t>Interabang Entertainment</t>
  </si>
  <si>
    <t>#InterabangEntertainment OR "Interabang Entertainment"</t>
  </si>
  <si>
    <t>#HiddenPathEntertainment | "Hidden Path Entertainment"</t>
  </si>
  <si>
    <t>https://www.youtube.com/channel/UCwYRBXnA6EN8gTxDBuHxOpQ|</t>
  </si>
  <si>
    <t>Developer - Hidden Variable Studios</t>
  </si>
  <si>
    <t>#HiddenVariableStudios OR "Hidden Variable Studios"</t>
  </si>
  <si>
    <t>Interactive Dreams Limited</t>
  </si>
  <si>
    <t>#InteractiveDreamsLimited OR "Interactive Dreams Limited"</t>
  </si>
  <si>
    <t>#HiddenVariableStudios | "Hidden Variable Studios"</t>
  </si>
  <si>
    <r>
      <rPr>
        <rFont val="Arial"/>
        <color rgb="FF000000"/>
      </rPr>
      <t>https://www.youtube.com/channel/UCf0JVDMlEOZCRQmV0zlwqUw</t>
    </r>
    <r>
      <rPr>
        <rFont val="Arial"/>
        <color rgb="FF000000"/>
      </rPr>
      <t>|</t>
    </r>
  </si>
  <si>
    <t>Developer - High Moon Studios</t>
  </si>
  <si>
    <t>#HighMoonStudios OR "High Moon Studios"</t>
  </si>
  <si>
    <t>Interactive Stone</t>
  </si>
  <si>
    <t>https://www.youtube.com/channel/UCr_Wl0hOPgkgInwqQvhi2zw|</t>
  </si>
  <si>
    <t>#InteractiveStone OR "Interactive Stone"</t>
  </si>
  <si>
    <t>#HighMoonStudios | "High Moon Studios"</t>
  </si>
  <si>
    <t>https://www.youtube.com/channel/UCbZKgy-fe1TeXuGd6kItVuw|</t>
  </si>
  <si>
    <t>Developer - High Tea Frog</t>
  </si>
  <si>
    <t>#HighTeaFrog OR "High Tea Frog"</t>
  </si>
  <si>
    <t>INTERCONTINENTAL</t>
  </si>
  <si>
    <t>#INTERCONTINENTAL OR "INTERCONTINENTAL"</t>
  </si>
  <si>
    <t>#HighTeaFrog | "High Tea Frog"</t>
  </si>
  <si>
    <t>https://www.youtube.com/channel/UCq4UW6X7jtsOR_9oVMYOzNQ|</t>
  </si>
  <si>
    <t>Developer - High Voltage Software</t>
  </si>
  <si>
    <t>#HighVoltageSoftware OR "High Voltage Software"</t>
  </si>
  <si>
    <t>INTERMARUM</t>
  </si>
  <si>
    <t>https://www.youtube.com/channel/UClRjqSbM1IqH9qrRTX1qIPg|</t>
  </si>
  <si>
    <t>#INTERMARUM OR "INTERMARUM"</t>
  </si>
  <si>
    <t>#HighVoltageSoftware | "High Voltage Software"</t>
  </si>
  <si>
    <t>https://www.youtube.com/user/HighVoltageSoftware|</t>
  </si>
  <si>
    <t>Developer - Hikergames</t>
  </si>
  <si>
    <t>#Hikergames OR "Hikergames"</t>
  </si>
  <si>
    <t>INTERNET URL S.A.</t>
  </si>
  <si>
    <t>#INTERNETURLSA OR "INTERNET URL S.A."</t>
  </si>
  <si>
    <t>#Hikergames | "Hikergames"</t>
  </si>
  <si>
    <t>https://www.youtube.com/channel/UCVRm4eu9-DiZ4GhOlLGMVpw|</t>
  </si>
  <si>
    <t>Developer - Hinterland</t>
  </si>
  <si>
    <t>Interplay</t>
  </si>
  <si>
    <t>#Interplay OR "Interplay"</t>
  </si>
  <si>
    <t>#Hinterland | "Hinterland"</t>
  </si>
  <si>
    <t>Developer - HIPSTER WHALE</t>
  </si>
  <si>
    <t>#HIPSTERWHALE OR "HIPSTER WHALE"</t>
  </si>
  <si>
    <t>Interstellar Apps</t>
  </si>
  <si>
    <t>#InterstellarApps OR "Interstellar Apps"</t>
  </si>
  <si>
    <t>#HIPSTERWHALE | "HIPSTER WHALE"</t>
  </si>
  <si>
    <t>https://www.youtube.com/channel/UC2ZrKhy1sr9uF4EM6mDvKFg|</t>
  </si>
  <si>
    <t>Developer - Hitcents</t>
  </si>
  <si>
    <t>Intetic</t>
  </si>
  <si>
    <t>https://www.youtube.com/channel/UCSduF9KBevKuqPm-gSwkchQ|</t>
  </si>
  <si>
    <t>#Intetic OR "Intetic"</t>
  </si>
  <si>
    <t>#Hitcents | "Hitcents"</t>
  </si>
  <si>
    <t>Developer - HOF Studios</t>
  </si>
  <si>
    <t>Inti Creates</t>
  </si>
  <si>
    <t>https://www.youtube.com/user/inticreates|</t>
  </si>
  <si>
    <t>#IntiCreates OR "Inti Creates"</t>
  </si>
  <si>
    <t>#HOFStudios | "HOF Studios"</t>
  </si>
  <si>
    <t>Developer - Holik Krisztian</t>
  </si>
  <si>
    <t>IntraGames</t>
  </si>
  <si>
    <t>https://www.youtube.com/channel/UCiJ0UsnqG4FFkvbxHFHWE0g|</t>
  </si>
  <si>
    <t>#IntraGames OR "IntraGames"</t>
  </si>
  <si>
    <t>#HolikKrisztian | "Holik Krisztian"</t>
  </si>
  <si>
    <t>Developer - Hollow Ponds and Richard Hogg</t>
  </si>
  <si>
    <t>#HollowPondsandRichardHogg OR "Hollow Ponds and Richard Hogg"</t>
  </si>
  <si>
    <t>Invader Studios</t>
  </si>
  <si>
    <t>https://www.youtube.com/channel/UCYmdrgYCuSrXPzzj_EbEtfA|</t>
  </si>
  <si>
    <t>#InvaderStudios OR "Invader Studios"</t>
  </si>
  <si>
    <t>#HollowPondsandRichardHogg | "Hollow Ponds and Richard Hogg"</t>
  </si>
  <si>
    <t>Developer - Holmade Games</t>
  </si>
  <si>
    <t>Inversive Games</t>
  </si>
  <si>
    <t>#InversiveGames OR "Inversive Games"</t>
  </si>
  <si>
    <t>#HolmadeGames | "Holmade Games"</t>
  </si>
  <si>
    <t>Developer - Hologryph</t>
  </si>
  <si>
    <t>#Hologryph OR "Hologryph"</t>
  </si>
  <si>
    <t>InvertMouse</t>
  </si>
  <si>
    <r>
      <rPr>
        <rFont val="Calibri, sans-serif"/>
        <color rgb="FF000000"/>
        <sz val="10.0"/>
        <u/>
      </rPr>
      <t>https://www.youtube.com/channel/UCNalbIZcCDKdQo0SOpsc-3g</t>
    </r>
    <r>
      <rPr>
        <rFont val="Calibri, sans-serif"/>
        <color rgb="FF000000"/>
        <sz val="10.0"/>
      </rPr>
      <t>|</t>
    </r>
  </si>
  <si>
    <t>#InvertMouse OR "InvertMouse"</t>
  </si>
  <si>
    <t>#Hologryph | "Hologryph"</t>
  </si>
  <si>
    <t>Developer - Holospark</t>
  </si>
  <si>
    <t>Invictus</t>
  </si>
  <si>
    <t>#Invictus OR "Invictus"</t>
  </si>
  <si>
    <t>#Holospark | "Holospark"</t>
  </si>
  <si>
    <t>Developer - Home Entertainment Suppliers</t>
  </si>
  <si>
    <t>Invincible Cat</t>
  </si>
  <si>
    <t>https://www.youtube.com/channel/UCMwA4nko1-E4DrzDR_18AWQ|</t>
  </si>
  <si>
    <t>#InvincibleCat OR "Invincible Cat"</t>
  </si>
  <si>
    <t>#HomeEntertainmentSuppliers | "Home Entertainment Suppliers"</t>
  </si>
  <si>
    <t>Developer - Honig Studios</t>
  </si>
  <si>
    <t>#HonigStudios OR "Honig Studios"</t>
  </si>
  <si>
    <t>Invisible Walls ApS</t>
  </si>
  <si>
    <t>https://www.youtube.com/channel/UCAqeOUBMp_aX3tVZm1i_njQ|</t>
  </si>
  <si>
    <t>#InvisibleWallsApS OR "Invisible Walls ApS"</t>
  </si>
  <si>
    <t>#HonigStudios | "Honig Studios"</t>
  </si>
  <si>
    <t>https://www.youtube.com/channel/UCIdSLNGyzOeouCfMYICF8XQ|</t>
  </si>
  <si>
    <t>Developer - HopFrog</t>
  </si>
  <si>
    <t>InXile Entertainment</t>
  </si>
  <si>
    <t>https://www.youtube.com/channel/UCg5idxxVnOx25-pYmeMhUCg|</t>
  </si>
  <si>
    <t>#InXileEntertainment OR "InXile Entertainment"</t>
  </si>
  <si>
    <t>#HopFrog | "HopFrog"</t>
  </si>
  <si>
    <t>Developer - Hoplite Research</t>
  </si>
  <si>
    <t>Io Interactive</t>
  </si>
  <si>
    <t>https://www.youtube.com/channel/UC3weMspMB9NQ8rn_G75yeSg|</t>
  </si>
  <si>
    <t>#IoInteractive OR "Io Interactive"</t>
  </si>
  <si>
    <t>#HopliteResearch | "Hoplite Research"</t>
  </si>
  <si>
    <t>Developer - Hoplon Infotainment</t>
  </si>
  <si>
    <t>IO Studio</t>
  </si>
  <si>
    <t>https://www.youtube.com/user/hitman|</t>
  </si>
  <si>
    <t>#IOStudio OR "IO Studio"</t>
  </si>
  <si>
    <t>#HoplonInfotainment | "Hoplon Infotainment"</t>
  </si>
  <si>
    <t>Developer - Hopoo Games</t>
  </si>
  <si>
    <t>Ionized Games</t>
  </si>
  <si>
    <t>https://www.youtube.com/channel/UCs6FF_QWnlZixvQhO4dVb4w|</t>
  </si>
  <si>
    <t>#IonizedGames OR "Ionized Games"</t>
  </si>
  <si>
    <t>#HopooGames | "Hopoo Games"</t>
  </si>
  <si>
    <t>Developer - House House</t>
  </si>
  <si>
    <t>Iridium Studios</t>
  </si>
  <si>
    <t>https://www.youtube.com/channel/UC3pprVA27gPWYboDNXEvXyQ|</t>
  </si>
  <si>
    <t>#IridiumStudios OR "Iridium Studios"</t>
  </si>
  <si>
    <t>#HouseHouse | "House House"</t>
  </si>
  <si>
    <t>Developer - House Pixel Games</t>
  </si>
  <si>
    <t>iRobot Games Studio</t>
  </si>
  <si>
    <r>
      <rPr>
        <rFont val="Calibri, sans-serif"/>
        <color rgb="FF000000"/>
        <sz val="10.0"/>
        <u/>
      </rPr>
      <t>https://www.youtube.com/channel/UCYCQKOZzq-h0HJiQXfXyN-w</t>
    </r>
    <r>
      <rPr>
        <rFont val="Calibri, sans-serif"/>
        <color rgb="FF000000"/>
        <sz val="10.0"/>
      </rPr>
      <t>|</t>
    </r>
  </si>
  <si>
    <t>#iRobotGamesStudio OR "iRobot Games Studio"</t>
  </si>
  <si>
    <t>#HousePixelGames | "House Pixel Games"</t>
  </si>
  <si>
    <t>Developer - Household Games Inc.</t>
  </si>
  <si>
    <t>Iron Galaxy Studios</t>
  </si>
  <si>
    <t>#HouseholdGamesInc | "Household Games"</t>
  </si>
  <si>
    <t>Developer - Housemarque</t>
  </si>
  <si>
    <t>#Housemarque OR "Housemarque"</t>
  </si>
  <si>
    <t>It's Anecdotal</t>
  </si>
  <si>
    <t>https://www.youtube.com/channel/UCTnFQXUllrFInFWOnrkqSOw|</t>
  </si>
  <si>
    <t>#ItsAnecdotal OR "It's Anecdotal"</t>
  </si>
  <si>
    <t>#Housemarque | "Housemarque"</t>
  </si>
  <si>
    <t>https://www.youtube.com/channel/UC45wyOMS7ZvOAmMuW16BtXQ|</t>
  </si>
  <si>
    <t>Developer - Huang YueFeng</t>
  </si>
  <si>
    <t>#HuangYueFeng OR "Huang YueFeng"</t>
  </si>
  <si>
    <t>IV Productions</t>
  </si>
  <si>
    <t>https://www.youtube.com/channel/UC5j_s3EfBfHcfWMg9TIFC_g|</t>
  </si>
  <si>
    <t>#IVProductions OR "IV Productions"</t>
  </si>
  <si>
    <t>#HuangYueFeng | "Huang YueFeng"</t>
  </si>
  <si>
    <t>Developer - HUCAST</t>
  </si>
  <si>
    <t>Ivanovich Games</t>
  </si>
  <si>
    <t>https://www.youtube.com/user/ivanovichGames|</t>
  </si>
  <si>
    <t>#IvanovichGames OR "Ivanovich Games"</t>
  </si>
  <si>
    <t>#HUCAST | "HUCAST"</t>
  </si>
  <si>
    <t>Developer - Huey Games</t>
  </si>
  <si>
    <t>Ivanovich Games SL</t>
  </si>
  <si>
    <t>#IvanovichGamesSL OR "Ivanovich Games SL"</t>
  </si>
  <si>
    <t>#HueyGames | "Huey Games"</t>
  </si>
  <si>
    <t>Developer - HugePixel</t>
  </si>
  <si>
    <t>#HugePixel OR "HugePixel"</t>
  </si>
  <si>
    <t>Ivent Games</t>
  </si>
  <si>
    <t>#IventGames OR "Ivent Games"</t>
  </si>
  <si>
    <t>#HugePixel | "HugePixel"</t>
  </si>
  <si>
    <t>Developer - Humanature Studios</t>
  </si>
  <si>
    <t>Ivy Games LLC</t>
  </si>
  <si>
    <r>
      <rPr>
        <rFont val="Calibri, sans-serif"/>
        <color rgb="FF000000"/>
        <sz val="10.0"/>
        <u/>
      </rPr>
      <t>https://www.youtube.com/channel/UCSABkCrwoGT6HjT_2d6AZtw</t>
    </r>
    <r>
      <rPr>
        <rFont val="Calibri, sans-serif"/>
        <color rgb="FF000000"/>
        <sz val="10.0"/>
      </rPr>
      <t>|</t>
    </r>
  </si>
  <si>
    <t>#IvyGamesLLC OR "Ivy Games LLC"</t>
  </si>
  <si>
    <t>#HumanatureStudios | "Humanature Studios"</t>
  </si>
  <si>
    <t>Developer - Humble Bundle</t>
  </si>
  <si>
    <t>Izanagi Games</t>
  </si>
  <si>
    <t>https://www.youtube.com/channel/UChWg_PrdkJLBCEhtVrII-MQ|</t>
  </si>
  <si>
    <t>#IzanagiGames OR "Izanagi Games"</t>
  </si>
  <si>
    <t>#HumbleBundle | "Humble Bundle"</t>
  </si>
  <si>
    <t>Developer - Humble Grove</t>
  </si>
  <si>
    <t>#HumbleGrove OR "Humble Grove"</t>
  </si>
  <si>
    <t>J&amp;B Software 84</t>
  </si>
  <si>
    <r>
      <rPr>
        <rFont val="Calibri, sans-serif"/>
        <color rgb="FF000000"/>
        <sz val="10.0"/>
        <u/>
      </rPr>
      <t>https://www.youtube.com/channel/UCkAsxoa5XdH-FDvdSIBy1hg</t>
    </r>
    <r>
      <rPr>
        <rFont val="Calibri, sans-serif"/>
        <color rgb="FF000000"/>
        <sz val="10.0"/>
      </rPr>
      <t>|</t>
    </r>
  </si>
  <si>
    <t>#JandBSoftware84 OR "J&amp;B Software 84"</t>
  </si>
  <si>
    <t>#HumbleGrove | "Humble Grove"</t>
  </si>
  <si>
    <t>https://www.youtube.com/channel/UCVJzhvz1TJ52Ls8BXfEtSaA|</t>
  </si>
  <si>
    <t>Developer - Hut 90</t>
  </si>
  <si>
    <t>J600</t>
  </si>
  <si>
    <t>#J600 OR "J600"</t>
  </si>
  <si>
    <t>#Hut90 | "Hut 90"</t>
  </si>
  <si>
    <t>Developer - Hydra Games SA</t>
  </si>
  <si>
    <t>Jackbox Games, Inc.</t>
  </si>
  <si>
    <t>#JackboxGamesInc OR "Jackbox Games,"</t>
  </si>
  <si>
    <t>#HydraGamesSA | "Hydra Games SA"</t>
  </si>
  <si>
    <t>Developer - Hyper Awesome Entertainment</t>
  </si>
  <si>
    <t>Jamit Games</t>
  </si>
  <si>
    <t>#JamitGames OR "Jamit Games"</t>
  </si>
  <si>
    <t>#HyperAwesomeEntertainment | "Hyper Awesome Entertainment"</t>
  </si>
  <si>
    <t>Developer - Hyper Games</t>
  </si>
  <si>
    <t>#HyperGames OR "Hyper Games"</t>
  </si>
  <si>
    <t>Jammed Up Studios</t>
  </si>
  <si>
    <t>#JammedUpStudios OR "Jammed Up Studios"</t>
  </si>
  <si>
    <t>#HyperGames | "Hyper Games"</t>
  </si>
  <si>
    <t>https://www.youtube.com/channel/UCUFGswW0nZ1ppYgqP8BP88g|</t>
  </si>
  <si>
    <t>Developer - Hyper Luminal Games Ltd</t>
  </si>
  <si>
    <t>JanduSoft</t>
  </si>
  <si>
    <t>https://www.youtube.com/jandusoft|</t>
  </si>
  <si>
    <t>#JanduSoft OR "JanduSoft"</t>
  </si>
  <si>
    <t>#HyperLuminalGamesLtd | "Hyper Luminal Games Ltd"</t>
  </si>
  <si>
    <t>Developer - Hypersect</t>
  </si>
  <si>
    <t>JapanStudio</t>
  </si>
  <si>
    <t>#Hypersect | "Hypersect"</t>
  </si>
  <si>
    <t>Developer - HypeTrain Digital</t>
  </si>
  <si>
    <t>jasonthedesign</t>
  </si>
  <si>
    <t>#jasonthedesign OR "jasonthedesign"</t>
  </si>
  <si>
    <t>#HypeTrainDigital | "HypeTrain Digital"</t>
  </si>
  <si>
    <t>Developer - Ian Atherton</t>
  </si>
  <si>
    <t>#IanAtherton OR "Ian Atherton"</t>
  </si>
  <si>
    <t>JB Gaming Inc.</t>
  </si>
  <si>
    <r>
      <rPr>
        <rFont val="Calibri, sans-serif"/>
        <color rgb="FF000000"/>
        <sz val="10.0"/>
        <u/>
      </rPr>
      <t>https://www.youtube.com/channel/UCd_UA95qODUtm8q_Z5OBsng</t>
    </r>
    <r>
      <rPr>
        <rFont val="Calibri, sans-serif"/>
        <color rgb="FF000000"/>
        <sz val="10.0"/>
      </rPr>
      <t>|</t>
    </r>
  </si>
  <si>
    <t>#JBGamingInc OR "JB Gaming"</t>
  </si>
  <si>
    <t>#IanAtherton | "Ian Atherton"</t>
  </si>
  <si>
    <t>Developer - Ice-Pick Lodge</t>
  </si>
  <si>
    <t>Jerome LABBE t/a Carbon fire Studios</t>
  </si>
  <si>
    <r>
      <rPr>
        <rFont val="Calibri, sans-serif"/>
        <color rgb="FF000000"/>
        <sz val="10.0"/>
        <u/>
      </rPr>
      <t>https://www.youtube.com/channel/UCTAs95GuaftCiJrCdvWoV8g</t>
    </r>
    <r>
      <rPr>
        <rFont val="Calibri, sans-serif"/>
        <color rgb="FF000000"/>
        <sz val="10.0"/>
      </rPr>
      <t>|</t>
    </r>
  </si>
  <si>
    <t>#JeromeLABBEt/aCarbonfireStudios OR "Jerome LABBE t/a Carbon fire Studios"</t>
  </si>
  <si>
    <t>#IcePickLodge | "Ice-Pick Lodge"</t>
  </si>
  <si>
    <t>Developer - Iceberg Interactive</t>
  </si>
  <si>
    <t>JForce Games</t>
  </si>
  <si>
    <t>https://www.youtube.com/channel/UCdYOFCTauwpQtdYO2r5gzMQ|</t>
  </si>
  <si>
    <t>#JForceGames OR "JForce Games"</t>
  </si>
  <si>
    <t>#IcebergInteractive | "Iceberg Interactive"</t>
  </si>
  <si>
    <t>Developer - Iceflake Studios</t>
  </si>
  <si>
    <t>JKM corp</t>
  </si>
  <si>
    <t>#JKMcorp OR "JKM corp"</t>
  </si>
  <si>
    <t>#IceflakeStudios | "Iceflake Studios"</t>
  </si>
  <si>
    <t>Developer - Ichigoichie</t>
  </si>
  <si>
    <t>JOANNA DOROTA BUCKA-KOLENDO</t>
  </si>
  <si>
    <t>#JOANNADOROTABUCKAKOLENDO OR "JOANNA DOROTA BUCKA-KOLENDO"</t>
  </si>
  <si>
    <t>#Ichigoichie | "Ichigoichie"</t>
  </si>
  <si>
    <t>Developer - idoz &amp; phops</t>
  </si>
  <si>
    <t>#idozandphops OR "idoz &amp; phops"</t>
  </si>
  <si>
    <t>Joanne Hamer</t>
  </si>
  <si>
    <t>#JoanneHamer OR "Joanne Hamer"</t>
  </si>
  <si>
    <t>#idozandphops | "idoz &amp; phops"</t>
  </si>
  <si>
    <t>https://www.youtube.com/channel/UC0hbVIbYqMNoI5oCntS7l4g|</t>
  </si>
  <si>
    <t>Developer - IElectric</t>
  </si>
  <si>
    <t>Joe Richardson</t>
  </si>
  <si>
    <t>https://www.youtube.com/channel/UCJVZSrBWh_hV3RMlrg4Zgcg|</t>
  </si>
  <si>
    <t>#JoeRichardson OR "Joe Richardson"</t>
  </si>
  <si>
    <t>#IElectric | "IElectric"</t>
  </si>
  <si>
    <t>Developer - iFree Studio</t>
  </si>
  <si>
    <t>John Lisenby Jr</t>
  </si>
  <si>
    <t>https://www.youtube.com/channel/UCXWlscg_UVKi3owd6EXvGSQ|</t>
  </si>
  <si>
    <t>#JohnLisenbyJr OR "John Lisenby Jr"</t>
  </si>
  <si>
    <t>#iFreeStudio | "iFree Studio"</t>
  </si>
  <si>
    <t>Developer - iFun4all</t>
  </si>
  <si>
    <t>#iFun4all OR "iFun4all"</t>
  </si>
  <si>
    <t>Johnny Ostad</t>
  </si>
  <si>
    <t>https://www.youtube.com/user/JohnnyOstad|</t>
  </si>
  <si>
    <t>#JohnnyOstad OR "Johnny Ostad"</t>
  </si>
  <si>
    <t>#iFun4all | "iFun4all"</t>
  </si>
  <si>
    <t>Developer - ignite720</t>
  </si>
  <si>
    <t>Joindots</t>
  </si>
  <si>
    <t>#Joindots OR "Joindots"</t>
  </si>
  <si>
    <t>#ignite720 | "ignite720"</t>
  </si>
  <si>
    <t>Developer - Ignition Publishing</t>
  </si>
  <si>
    <t>Jordi Ramon Puig</t>
  </si>
  <si>
    <t>#JordiRamonPuig OR "Jordi Ramon Puig"</t>
  </si>
  <si>
    <t>#IgnitionPublishing | "Ignition Publishing"</t>
  </si>
  <si>
    <t>Developer - IKG SOFTWARE</t>
  </si>
  <si>
    <t>Journey Bound Games Inc.</t>
  </si>
  <si>
    <t>https://www.youtube.com/channel/UCTbKNsMSoC4HyiDqpkpOzkg|</t>
  </si>
  <si>
    <t>#JourneyBoundGamesInc OR "Journey Bound Games"</t>
  </si>
  <si>
    <t>#IKGSOFTWARE | "IKG SOFTWARE"</t>
  </si>
  <si>
    <t>Developer - Ikon Games</t>
  </si>
  <si>
    <t>Joy Way</t>
  </si>
  <si>
    <t>https://www.youtube.com/channel/UCLGXz9Ewqqn5aEesry1Jxag|</t>
  </si>
  <si>
    <t>#JoyWay OR "Joy Way"</t>
  </si>
  <si>
    <t>#IkonGames | "Ikon Games"</t>
  </si>
  <si>
    <t>Developer - IllFonic</t>
  </si>
  <si>
    <t>JoyBits</t>
  </si>
  <si>
    <t>https://www.youtube.com/channel/UCpshYGAhFYObtL51gCMsY6Q|</t>
  </si>
  <si>
    <t>#JoyBits OR "JoyBits"</t>
  </si>
  <si>
    <t>#IllFonic | "IllFonic"</t>
  </si>
  <si>
    <t>Developer - Ilusis Interactive Graphics</t>
  </si>
  <si>
    <t>JoyBits Ltd.</t>
  </si>
  <si>
    <t>#JoyBitsLtd OR "JoyBits Ltd."</t>
  </si>
  <si>
    <t>#IlusisInteractiveGraphics | "Ilusis Interactive Graphics"</t>
  </si>
  <si>
    <t>Developer - Image &amp; Form</t>
  </si>
  <si>
    <t>Joycity</t>
  </si>
  <si>
    <t>https://www.youtube.com/user/jcenest|</t>
  </si>
  <si>
    <t>#Joycity OR "Joycity"</t>
  </si>
  <si>
    <t>#ImageandForm | "Image &amp; Form"</t>
  </si>
  <si>
    <t>Developer - ImaginationOverflow</t>
  </si>
  <si>
    <t>Joystick Labs, LLC</t>
  </si>
  <si>
    <t>#JoystickLabsLLC OR "Joystick Labs"</t>
  </si>
  <si>
    <t>#ImaginationOverflow | "ImaginationOverflow"</t>
  </si>
  <si>
    <t>Developer - IMGN.PRO</t>
  </si>
  <si>
    <t>Juan Alberto Munoz</t>
  </si>
  <si>
    <t>#JuanAlbertoMunoz OR "Juan Alberto Munoz"</t>
  </si>
  <si>
    <t>#IMGNPRO | "IMGN.PRO"</t>
  </si>
  <si>
    <t>Developer - Improx Games</t>
  </si>
  <si>
    <t>Juicy Beast Studio</t>
  </si>
  <si>
    <t>https://www.youtube.com/user/juicybeaststudio|</t>
  </si>
  <si>
    <t>#JuicyBeastStudio OR "Juicy Beast Studio"</t>
  </si>
  <si>
    <t>#ImproxGames | "Improx Games"</t>
  </si>
  <si>
    <t>Developer - IN</t>
  </si>
  <si>
    <t>Juicy Cupcake</t>
  </si>
  <si>
    <t>https://www.youtube.com/channel/UCClK0QtahLts49v7FlcrXKQ|</t>
  </si>
  <si>
    <t>#JuicyCupcake OR "Juicy Cupcake"</t>
  </si>
  <si>
    <t>#IN | "IN"</t>
  </si>
  <si>
    <t>Developer - In Vitro Games</t>
  </si>
  <si>
    <t>Jujubee</t>
  </si>
  <si>
    <t>https://www.youtube.com/channel/UCnE0lJcuE6xh3C_KgCgMsXw|</t>
  </si>
  <si>
    <t>#Jujubee OR "Jujubee"</t>
  </si>
  <si>
    <t>#InVitroGames | "In Vitro Games"</t>
  </si>
  <si>
    <t>Developer - Indie Remix Studios LLC</t>
  </si>
  <si>
    <t>Jujubee Games Studio</t>
  </si>
  <si>
    <t>#JujubeeGamesStudio OR "Jujubee Games Studio"</t>
  </si>
  <si>
    <t>#IndieRemixStudiosLLC | "Indie Remix Studios LLC"</t>
  </si>
  <si>
    <t>Developer - Indoor Astronaut</t>
  </si>
  <si>
    <t>#IndoorAstronaut OR "Indoor Astronaut"</t>
  </si>
  <si>
    <t>JUNGLE GAMES, LLC</t>
  </si>
  <si>
    <t>#JUNGLEGAMESLLC OR "JUNGLE GAMES"</t>
  </si>
  <si>
    <t>#IndoorAstronaut | "Indoor Astronaut"</t>
  </si>
  <si>
    <t>https://www.youtube.com/channel/UCm5lESZFu8vQ1Ncw3l94Ulg|</t>
  </si>
  <si>
    <t>Developer - Inertia Game Studios</t>
  </si>
  <si>
    <t>Just For Games</t>
  </si>
  <si>
    <t>https://www.youtube.com/channel/UCWPWlU1x4M1dA9LlwfrjF4A|</t>
  </si>
  <si>
    <t>#JustForGames OR "Just For Games"</t>
  </si>
  <si>
    <t>#InertiaGameStudios | "Inertia Game Studios"</t>
  </si>
  <si>
    <t>Developer - Infamous Quests</t>
  </si>
  <si>
    <t>#InfamousQuests OR "Infamous Quests"</t>
  </si>
  <si>
    <t>Kabuk Games</t>
  </si>
  <si>
    <t>https://www.youtube.com/channel/UC7QvbGOoUzyd906JsrbaXIA|</t>
  </si>
  <si>
    <t>#KabukGames OR "Kabuk Games"</t>
  </si>
  <si>
    <t>#InfamousQuests | "Infamous Quests"</t>
  </si>
  <si>
    <t>https://www.youtube.com/user/InfamousQuests|</t>
  </si>
  <si>
    <t>Developer - Infinigon</t>
  </si>
  <si>
    <t>Kadokawa</t>
  </si>
  <si>
    <t>https://www.youtube.com/channel/UC4UqzID_eubKyb4O0bxnCgA|</t>
  </si>
  <si>
    <t>#Kadokawa OR "Kadokawa"</t>
  </si>
  <si>
    <t>#Infinigon | "Infinigon"</t>
  </si>
  <si>
    <t>Developer - Infinigon Games</t>
  </si>
  <si>
    <t>#InfinigonGames OR "Infinigon Games"</t>
  </si>
  <si>
    <t>Kaia Studios</t>
  </si>
  <si>
    <t>youtube.com/channel/UCur9iBMhI9cdb50K9TVAxSg|</t>
  </si>
  <si>
    <t>#KaiaStudios OR "Kaia Studios"</t>
  </si>
  <si>
    <t>#InfinigonGames | "Infinigon Games"</t>
  </si>
  <si>
    <t>Developer - Infinite Dreams</t>
  </si>
  <si>
    <t>Kaio Interactive</t>
  </si>
  <si>
    <t>#KaioInteractive OR "Kaio Interactive"</t>
  </si>
  <si>
    <t>#InfiniteDreams | "Infinite Dreams"</t>
  </si>
  <si>
    <t>Developer - Infinite State Games</t>
  </si>
  <si>
    <t>Kairosoft Co. Ltd</t>
  </si>
  <si>
    <t>https://www.youtube.com/channel/UCVidj3Qs-LeQI4_X5RFYlZw|</t>
  </si>
  <si>
    <t>#KairosoftCoLtd OR "Kairosoft Co. Ltd"</t>
  </si>
  <si>
    <t>#InfiniteStateGames | "Infinite State Games"</t>
  </si>
  <si>
    <t>Developer - Infinity Ward</t>
  </si>
  <si>
    <t>#InfinityWard OR "Infinity Ward"</t>
  </si>
  <si>
    <t>Kalman ruszkai</t>
  </si>
  <si>
    <t>#Kalmanruszkai OR "Kalman ruszkai"</t>
  </si>
  <si>
    <t>#InfinityWard | "Infinity Ward"</t>
  </si>
  <si>
    <t>https://www.youtube.com/user/infinityward|</t>
  </si>
  <si>
    <t>Developer - Infuse Studio</t>
  </si>
  <si>
    <t>Kalypso</t>
  </si>
  <si>
    <t>https://www.youtube.com/channel/UCPErdGziYvSMycjJwF9WlTw|</t>
  </si>
  <si>
    <t>#Kalypso OR "Kalypso"</t>
  </si>
  <si>
    <t>#InfuseStudio | "Infuse Studio"</t>
  </si>
  <si>
    <t>Developer - iNK Stories</t>
  </si>
  <si>
    <t>#iNKStories OR "iNK Stories"</t>
  </si>
  <si>
    <t>Kamel Benlahrech t/a neko.works</t>
  </si>
  <si>
    <t>https://www.youtube.com/user/nekoworksofficial|</t>
  </si>
  <si>
    <t>#KamelBenlahrecht/anekoworks OR "Kamel Benlahrech t/a neko.works"</t>
  </si>
  <si>
    <t>#iNKStories | "iNK Stories"</t>
  </si>
  <si>
    <t>https://www.youtube.com/channel/UCcDgBNY5SLnEmm2U64u8myg|</t>
  </si>
  <si>
    <t>Developer - Inlogic Software</t>
  </si>
  <si>
    <t>Kaneda Games</t>
  </si>
  <si>
    <t>https://www.youtube.com/channel/UCdsSUoKyOv83tfsZ1WmHB7Q|</t>
  </si>
  <si>
    <t>#KanedaGames OR "Kaneda Games"</t>
  </si>
  <si>
    <t>#InlogicSoftware | "Inlogic Software"</t>
  </si>
  <si>
    <t>Developer - Innersloth</t>
  </si>
  <si>
    <t>Kasedo Games</t>
  </si>
  <si>
    <t>https://www.youtube.com/channel/UC-Ih2APqVOOSMaqf7Po5uBQ|</t>
  </si>
  <si>
    <t>#KasedoGames OR "Kasedo Games"</t>
  </si>
  <si>
    <t>#Innersloth | "Innersloth"</t>
  </si>
  <si>
    <t>Developer - Insatiable Cycle LLC</t>
  </si>
  <si>
    <t>#InsatiableCycleLLC OR "Insatiable Cycle LLC"</t>
  </si>
  <si>
    <t>Kbros Games</t>
  </si>
  <si>
    <t>https://www.youtube.com/channel/UCKUyp_STtH_Ly0AHUIGI3Bg|</t>
  </si>
  <si>
    <t>#KbrosGames OR "Kbros Games"</t>
  </si>
  <si>
    <t>#InsatiableCycleLLC | "Insatiable Cycle LLC"</t>
  </si>
  <si>
    <t>Developer - Insomniac Games</t>
  </si>
  <si>
    <t>kChamp Games</t>
  </si>
  <si>
    <t>https://www.youtube.com/channel/UC6CkPl0xpdCuSoBBuwPc4Gw|</t>
  </si>
  <si>
    <t>#kChampGames OR "kChamp Games"</t>
  </si>
  <si>
    <t>#InsomniacGames | "Insomniac Games"</t>
  </si>
  <si>
    <t>Developer - Interabang Entertainment</t>
  </si>
  <si>
    <t>Kedronic UAB</t>
  </si>
  <si>
    <t>https://www.youtube.com/channel/UCZ8UxTZN6-T-5aBxQJSzQ5w|</t>
  </si>
  <si>
    <t>#KedronicUAB OR "Kedronic UAB"</t>
  </si>
  <si>
    <t>#InterabangEntertainment | "Interabang Entertainment"</t>
  </si>
  <si>
    <t>Developer - Interactive Dreams Limited</t>
  </si>
  <si>
    <t>Keen Software House</t>
  </si>
  <si>
    <t>https://www.youtube.com/user/SpaceEngineersGame|</t>
  </si>
  <si>
    <t>#KeenSoftwareHouse OR "Keen Software House"</t>
  </si>
  <si>
    <t>#InteractiveDreamsLimited | "Interactive Dreams Limited"</t>
  </si>
  <si>
    <t>Developer - Interactive Stone</t>
  </si>
  <si>
    <t>KEEN VISION</t>
  </si>
  <si>
    <t>#KEENVISION OR "KEEN VISION"</t>
  </si>
  <si>
    <t>#InteractiveStone | "Interactive Stone"</t>
  </si>
  <si>
    <t>Developer - INTERMARUM</t>
  </si>
  <si>
    <t>Keinart Lobre</t>
  </si>
  <si>
    <t>https://www.youtube.com/channel/UCb0qDho-3vq-MVEc7j3FeNA|</t>
  </si>
  <si>
    <t>#KeinartLobre OR "Keinart Lobre"</t>
  </si>
  <si>
    <t>#INTERMARUM | "INTERMARUM"</t>
  </si>
  <si>
    <t>Developer - INTERNET URL S.A.</t>
  </si>
  <si>
    <t>Kelsam</t>
  </si>
  <si>
    <t>https://www.youtube.com/channel/UCmi3Q7Rj7V9AR2cJIzIfvqA|</t>
  </si>
  <si>
    <t>#Kelsam OR "Kelsam"</t>
  </si>
  <si>
    <t>#INTERNETURLSA | "INTERNET URL S.A."</t>
  </si>
  <si>
    <t>Developer - Interstellar Apps</t>
  </si>
  <si>
    <t>Kemco</t>
  </si>
  <si>
    <t>https://www.youtube.com/user/KemcoGames|</t>
  </si>
  <si>
    <t>#Kemco OR "Kemco"</t>
  </si>
  <si>
    <t>#InterstellarApps | "Interstellar Apps"</t>
  </si>
  <si>
    <t>Developer - Intetic</t>
  </si>
  <si>
    <t>Kenny Roy</t>
  </si>
  <si>
    <t>https://www.youtube.com/channel/UCFKBPkeshkufsXXDEXV16fg|</t>
  </si>
  <si>
    <t>#KennyRoy OR "Kenny Roy"</t>
  </si>
  <si>
    <t>#Intetic | "Intetic"</t>
  </si>
  <si>
    <t>Developer - Inti Creates</t>
  </si>
  <si>
    <t>KeokeN Interactive</t>
  </si>
  <si>
    <t>https://www.youtube.com/keokeninteractive|</t>
  </si>
  <si>
    <t>#KeokeNInteractive OR "KeokeN Interactive"</t>
  </si>
  <si>
    <t>#IntiCreates | "Inti Creates"</t>
  </si>
  <si>
    <t>Developer - Introversion</t>
  </si>
  <si>
    <t>#Introversion OR "Introversion"</t>
  </si>
  <si>
    <t>kFunction Ltd.</t>
  </si>
  <si>
    <t>https://www.youtube.com/channel/UCoiQjvR5d3ysiORLeXbN_bA|</t>
  </si>
  <si>
    <t>#kFunctionLtd OR "kFunction Ltd."</t>
  </si>
  <si>
    <t>#Introversion | "Introversion"</t>
  </si>
  <si>
    <t>https://www.youtube.com/user/ivsoftware|</t>
  </si>
  <si>
    <t>Developer - Invader Studios</t>
  </si>
  <si>
    <t>Khud0</t>
  </si>
  <si>
    <t>https://www.youtube.com/channel/UCTr74O-QyugnwXyrcxsXGEA|</t>
  </si>
  <si>
    <t>#Khud0 OR "Khud0"</t>
  </si>
  <si>
    <t>#InvaderStudios | "Invader Studios"</t>
  </si>
  <si>
    <t>Developer - Inversive Games</t>
  </si>
  <si>
    <t>Kieran Flynn</t>
  </si>
  <si>
    <t>#KieranFlynn OR "Kieran Flynn"</t>
  </si>
  <si>
    <t>#InversiveGames | "Inversive Games"</t>
  </si>
  <si>
    <r>
      <rPr>
        <rFont val="Arial"/>
        <color rgb="FF000000"/>
      </rPr>
      <t>https://www.youtube.com/channel/UCa7IsChNJykC13eeULPvuPg</t>
    </r>
    <r>
      <rPr>
        <rFont val="Arial"/>
        <color rgb="FF000000"/>
      </rPr>
      <t>|</t>
    </r>
  </si>
  <si>
    <t>Developer - InvertMouse</t>
  </si>
  <si>
    <t>Killer Bees Games</t>
  </si>
  <si>
    <t>https://www.youtube.com/channel/UC22FjI1x5EyO1knuWXSiLHQ|</t>
  </si>
  <si>
    <t>#KillerBeesGames OR "Killer Bees Games"</t>
  </si>
  <si>
    <t>#InvertMouse | "InvertMouse"</t>
  </si>
  <si>
    <r>
      <rPr>
        <rFont val="Arial"/>
        <color rgb="FF000000"/>
      </rPr>
      <t>https://www.youtube.com/channel/UCNalbIZcCDKdQo0SOpsc-3g</t>
    </r>
    <r>
      <rPr>
        <rFont val="Arial"/>
        <color rgb="FF000000"/>
      </rPr>
      <t>|</t>
    </r>
  </si>
  <si>
    <t>Developer - Invictus</t>
  </si>
  <si>
    <t>KillHouse Games</t>
  </si>
  <si>
    <t>https://www.youtube.com/channel/UCPt3aY19O7vMpz_2t5NFElQ|</t>
  </si>
  <si>
    <t>#KillHouseGames OR "KillHouse Games"</t>
  </si>
  <si>
    <t>#Invictus | "Invictus"</t>
  </si>
  <si>
    <t>Developer - Invisible Walls ApS</t>
  </si>
  <si>
    <t>KILLHOUSE GAMES SRL</t>
  </si>
  <si>
    <t>https://www.youtube.com/killhousegames/|</t>
  </si>
  <si>
    <t>#KILLHOUSEGAMESSRL OR "KILLHOUSE GAMES SRL"</t>
  </si>
  <si>
    <t>#InvisibleWallsApS | "Invisible Walls ApS"</t>
  </si>
  <si>
    <t>Developer - InXile Entertainment</t>
  </si>
  <si>
    <t>Killmonday Games</t>
  </si>
  <si>
    <t>https://www.youtube.com/channel/UCUq-SKP-K7VpAJjRYIgKHgQ|</t>
  </si>
  <si>
    <t>#KillmondayGames OR "Killmonday Games"</t>
  </si>
  <si>
    <t>#InXileEntertainment | "InXile Entertainment"</t>
  </si>
  <si>
    <t>Developer - IO Entertainment</t>
  </si>
  <si>
    <t>#IOEntertainment OR "IO Entertainment"</t>
  </si>
  <si>
    <t>Killmonday Games HB</t>
  </si>
  <si>
    <t>https://www.youtube.com/killmondaygames|</t>
  </si>
  <si>
    <t>#KillmondayGamesHB OR "Killmonday Games HB"</t>
  </si>
  <si>
    <t>#IOEntertainment | "IO Entertainment"</t>
  </si>
  <si>
    <t>Developer - Io Interactive</t>
  </si>
  <si>
    <t>Kimulator's Films inc.</t>
  </si>
  <si>
    <t>https://www.youtube.com/channel/UCPrWQM-ExCwF0hvZKDL-VVg|</t>
  </si>
  <si>
    <t>#KimulatorsFilmsinc OR "Kimulator's Films"</t>
  </si>
  <si>
    <t>#IoInteractive | "Io Interactive"</t>
  </si>
  <si>
    <t>Developer - ION LANDS</t>
  </si>
  <si>
    <t>#IONLANDS OR "ION LANDS"</t>
  </si>
  <si>
    <t>Kingdom Games</t>
  </si>
  <si>
    <t>https://www.youtube.com/channel/UCOFXzaTW-yBzonnKR5TdbTw|</t>
  </si>
  <si>
    <t>#KingdomGames OR "Kingdom Games"</t>
  </si>
  <si>
    <t>#IONLANDS | "ION LANDS"</t>
  </si>
  <si>
    <t>https://www.youtube.com/channel/UCBf3dDQviNFvcH8Bh8Tof0g|</t>
  </si>
  <si>
    <t>Developer - iRobot Games Studio</t>
  </si>
  <si>
    <t>KISS Ltd.</t>
  </si>
  <si>
    <t>https://www.youtube.com/channel/UCn-yBFxdk4X2o2DL11vQ6Cw|</t>
  </si>
  <si>
    <t>#KISSLtd OR "KISS Ltd."</t>
  </si>
  <si>
    <t>#iRobotGamesStudio | "iRobot Games Studio"</t>
  </si>
  <si>
    <r>
      <rPr>
        <rFont val="Arial"/>
        <color rgb="FF000000"/>
      </rPr>
      <t>https://www.youtube.com/channel/UCYCQKOZzq-h0HJiQXfXyN-w</t>
    </r>
    <r>
      <rPr>
        <rFont val="Arial"/>
        <color rgb="FF000000"/>
      </rPr>
      <t>|</t>
    </r>
  </si>
  <si>
    <t>Developer - Iron Lore Entertainment</t>
  </si>
  <si>
    <t>#IronLoreEntertainment OR "Iron Lore Entertainment"</t>
  </si>
  <si>
    <t>Kiss Publishing Ltd</t>
  </si>
  <si>
    <r>
      <rPr>
        <rFont val="Calibri, sans-serif"/>
        <color rgb="FF000000"/>
        <sz val="10.0"/>
        <u/>
      </rPr>
      <t>https://www.youtube.com/channel/UCn-yBFxdk4X2o2DL11vQ6Cw</t>
    </r>
    <r>
      <rPr>
        <rFont val="Calibri, sans-serif"/>
        <color rgb="FF000000"/>
        <sz val="10.0"/>
      </rPr>
      <t>|</t>
    </r>
  </si>
  <si>
    <t>#KissPublishingLtd OR "Kiss Publishing Ltd"</t>
  </si>
  <si>
    <t>#IronLoreEntertainment | "Iron Lore Entertainment"</t>
  </si>
  <si>
    <t>Developer - IronOak Games</t>
  </si>
  <si>
    <t>#IronOakGames OR "IronOak Games"</t>
  </si>
  <si>
    <t>Kistler Benjamin</t>
  </si>
  <si>
    <t>https://www.youtube.com/channel/UChjvfrvE7R7Rkrv90iRVxPQ|</t>
  </si>
  <si>
    <t>#KistlerBenjamin OR "Kistler Benjamin"</t>
  </si>
  <si>
    <t>#IronOakGames | "IronOak Games"</t>
  </si>
  <si>
    <t>https://www.youtube.com/channel/UCFG7zZoANfHNy4npvdg96PQ|</t>
  </si>
  <si>
    <t>Developer - Irrational Games</t>
  </si>
  <si>
    <t>#IrrationalGames OR "Irrational Games"</t>
  </si>
  <si>
    <t>Kitfox Games</t>
  </si>
  <si>
    <t>https://www.youtube.com/channel/UCK0wWfg2_bqWOQFFNWp58mw|</t>
  </si>
  <si>
    <t>#KitfoxGames OR "Kitfox Games"</t>
  </si>
  <si>
    <t>#IrrationalGames | "Irrational Games"</t>
  </si>
  <si>
    <t>Developer - ISOMETRICORP Games</t>
  </si>
  <si>
    <t>#ISOMETRICORPGames OR "ISOMETRICORP Games"</t>
  </si>
  <si>
    <t>Kittehface Software</t>
  </si>
  <si>
    <t>https://www.youtube.com/channel/UCivv3H-Vkl1JSNDu0mqiFLQ|</t>
  </si>
  <si>
    <t>#KittehfaceSoftware OR "Kittehface Software"</t>
  </si>
  <si>
    <t>#ISOMETRICORPGames | "ISOMETRICORP Games"</t>
  </si>
  <si>
    <t>Developer - It's Anecdotal</t>
  </si>
  <si>
    <t>Kiz Studios</t>
  </si>
  <si>
    <t>https://www.youtube.com/channel/UCXyhyFM7bHIrqqlraRDOWxQ|</t>
  </si>
  <si>
    <t>#KizStudios OR "Kiz Studios"</t>
  </si>
  <si>
    <t>#ItsAnecdotal | "It's Anecdotal"</t>
  </si>
  <si>
    <t>Developer - Italic Pig</t>
  </si>
  <si>
    <t>#ItalicPig OR "Italic Pig"</t>
  </si>
  <si>
    <t>KLab Global Pte. Ltd.</t>
  </si>
  <si>
    <t>#KLabGlobalPteLtd OR "KLab Global Pte. Ltd."</t>
  </si>
  <si>
    <t>#ItalicPig | "Italic Pig"</t>
  </si>
  <si>
    <t>https://www.youtube.com/channel/UC_g4NEJB0H41wGhjmPAEpyw|</t>
  </si>
  <si>
    <t>Developer - Italo Games</t>
  </si>
  <si>
    <t>#ItaloGames OR "Italo Games"</t>
  </si>
  <si>
    <t>Klabater</t>
  </si>
  <si>
    <t>https://www.youtube.com/channel/UC2n6OOoCwyJhNe4LyNQePZw|</t>
  </si>
  <si>
    <t>#Klabater OR "Klabater"</t>
  </si>
  <si>
    <t>#ItaloGames | "Italo Games"</t>
  </si>
  <si>
    <t>https://www.youtube.com/channel/UC30MDxX16MTurtfgSZVsnAA|</t>
  </si>
  <si>
    <t>Developer - Ivent Games</t>
  </si>
  <si>
    <t>Klei Entertainment</t>
  </si>
  <si>
    <t>https://www.youtube.com/channel/UCzbYAkDCuQYdZ_fKz9MLrWA|</t>
  </si>
  <si>
    <t>#KleiEntertainment OR "Klei Entertainment"</t>
  </si>
  <si>
    <t>#IventGames | "Ivent Games"</t>
  </si>
  <si>
    <t>Developer - Ivory Tower</t>
  </si>
  <si>
    <t>#IvoryTower OR "Ivory Tower"</t>
  </si>
  <si>
    <t>Klik! Games</t>
  </si>
  <si>
    <t>#KlikGames OR "Klik! Games"</t>
  </si>
  <si>
    <t>#IvoryTower | "Ivory Tower"</t>
  </si>
  <si>
    <t>Developer - J&amp;B Software 84</t>
  </si>
  <si>
    <t>Kluge Interactive</t>
  </si>
  <si>
    <t>https://www.youtube.com/channel/UCeZvZxRAV_pl8bq9icdmgGA|</t>
  </si>
  <si>
    <t>#KlugeInteractive OR "Kluge Interactive"</t>
  </si>
  <si>
    <t>#JandBSoftware84 | "J&amp;B Software 84"</t>
  </si>
  <si>
    <r>
      <rPr>
        <rFont val="Arial"/>
        <color rgb="FF000000"/>
      </rPr>
      <t>https://www.youtube.com/channel/UCkAsxoa5XdH-FDvdSIBy1hg</t>
    </r>
    <r>
      <rPr>
        <rFont val="Arial"/>
        <color rgb="FF000000"/>
      </rPr>
      <t>|</t>
    </r>
  </si>
  <si>
    <t>Developer - J600</t>
  </si>
  <si>
    <t>klutzGames</t>
  </si>
  <si>
    <t>#klutzGames OR "klutzGames"</t>
  </si>
  <si>
    <t>#J600 | "J600"</t>
  </si>
  <si>
    <t>Developer - Jammed Up Studios</t>
  </si>
  <si>
    <t>Knocktwice Games</t>
  </si>
  <si>
    <t>https://www.youtube.com/channel/UCDGMeaSrKrpyPCVbhoZFTTQ|</t>
  </si>
  <si>
    <t>#KnocktwiceGames OR "Knocktwice Games"</t>
  </si>
  <si>
    <t>#JammedUpStudios | "Jammed Up Studios"</t>
  </si>
  <si>
    <t>Developer - JanduSoft</t>
  </si>
  <si>
    <t>KO-OP</t>
  </si>
  <si>
    <t>https://www.youtube.com/channel/UC8BCOSxp368sO1u2gx4kgKA|</t>
  </si>
  <si>
    <t>#KOOP OR "KO-OP"</t>
  </si>
  <si>
    <t>#JanduSoft | "JanduSoft"</t>
  </si>
  <si>
    <t>Developer - Jani Penttinen</t>
  </si>
  <si>
    <t>#JaniPenttinen OR "Jani Penttinen"</t>
  </si>
  <si>
    <t>Koch Media</t>
  </si>
  <si>
    <t>https://www.youtube.com/channel/UCT14Saa9onPsneEQT9CuBEA|</t>
  </si>
  <si>
    <t>#KochMedia OR "Koch Media"</t>
  </si>
  <si>
    <t>#JaniPenttinen | "Jani Penttinen"</t>
  </si>
  <si>
    <t>https://www.youtube.com/channel/UCN98yqe-X6DeBlhDxDahzrQ|</t>
  </si>
  <si>
    <t>Developer - Jankenteam</t>
  </si>
  <si>
    <t>#Jankenteam OR "Jankenteam"</t>
  </si>
  <si>
    <t>KodiiSystems</t>
  </si>
  <si>
    <r>
      <rPr>
        <rFont val="Calibri, sans-serif"/>
        <color rgb="FF000000"/>
        <sz val="10.0"/>
        <u/>
      </rPr>
      <t>https://www.youtube.com/channel/UCci28HK6hNeH8qfGFn_cPog</t>
    </r>
    <r>
      <rPr>
        <rFont val="Calibri, sans-serif"/>
        <color rgb="FF000000"/>
        <sz val="10.0"/>
      </rPr>
      <t>|</t>
    </r>
  </si>
  <si>
    <t>#KodiiSystems OR "KodiiSystems"</t>
  </si>
  <si>
    <t>#Jankenteam | "Jankenteam"</t>
  </si>
  <si>
    <t>Developer - Jason Oda</t>
  </si>
  <si>
    <t>#JasonOda OR "Jason Oda"</t>
  </si>
  <si>
    <t>Kodobur</t>
  </si>
  <si>
    <t>https://www.youtube.com/channel/UCg-owzeJEbbw15Yb3dZQvMQ|</t>
  </si>
  <si>
    <t>#Kodobur OR "Kodobur"</t>
  </si>
  <si>
    <t>#JasonOda | "Jason Oda"</t>
  </si>
  <si>
    <r>
      <rPr>
        <rFont val="Arial"/>
        <color rgb="FF000000"/>
      </rPr>
      <t>https://www.youtube.com/channel/UCH8Duhkw_W11AW5sxdGajMA</t>
    </r>
    <r>
      <rPr>
        <rFont val="Arial"/>
        <color rgb="FF000000"/>
      </rPr>
      <t>|</t>
    </r>
  </si>
  <si>
    <t>Developer - Jason Roberts</t>
  </si>
  <si>
    <t>#JasonRoberts OR "Jason Roberts"</t>
  </si>
  <si>
    <t>Kodobur Yazilim</t>
  </si>
  <si>
    <t>#KodoburYazilim OR "Kodobur Yazilim"</t>
  </si>
  <si>
    <t>#JasonRoberts | "Jason Roberts"</t>
  </si>
  <si>
    <t>Developer - jasonthedesign</t>
  </si>
  <si>
    <t>KODOBUR YAZILIM BILISIM TASARIM ARG</t>
  </si>
  <si>
    <t>#KODOBURYAZILIMBILISIMTASARIMARG OR "KODOBUR YAZILIM BILISIM TASARIM ARG"</t>
  </si>
  <si>
    <t>#jasonthedesign | "jasonthedesign"</t>
  </si>
  <si>
    <t>Developer - Jaywalkers Interactive</t>
  </si>
  <si>
    <t>#JaywalkersInteractive OR "Jaywalkers Interactive"</t>
  </si>
  <si>
    <t>Koei Tecmo Games</t>
  </si>
  <si>
    <t>https://www.youtube.com/channel/UCM0d5CqnNiJu4zsPTnwmjAQ|</t>
  </si>
  <si>
    <t>#KoeiTecmoGames OR "Koei Tecmo Games"</t>
  </si>
  <si>
    <t>#JaywalkersInteractive | "Jaywalkers Interactive"</t>
  </si>
  <si>
    <t>https://www.youtube.com/user/jaywalkersint|</t>
  </si>
  <si>
    <t>Developer - Jeppe Carlsen</t>
  </si>
  <si>
    <t>#JeppeCarlsen OR "Jeppe Carlsen"</t>
  </si>
  <si>
    <t>Kojima Productions</t>
  </si>
  <si>
    <t>https://www.youtube.com/channel/UC6lUqvh42Oc3XL19Edgd9QA|</t>
  </si>
  <si>
    <t>#KojimaProductions OR "Kojima Productions"</t>
  </si>
  <si>
    <t>#JeppeCarlsen | "Jeppe Carlsen"</t>
  </si>
  <si>
    <t>https://www.youtube.com/channel/UCmrMiMLs_aR1QXKNzjYnMLA|</t>
  </si>
  <si>
    <t>Developer - Jerzie</t>
  </si>
  <si>
    <t>#Jerzie OR "Jerzie"</t>
  </si>
  <si>
    <t>Komi Games</t>
  </si>
  <si>
    <t>https://www.youtube.com/channel/UCm_gNH6n7Npdz7Pt-96NmnA|</t>
  </si>
  <si>
    <t>#KomiGames OR "Komi Games"</t>
  </si>
  <si>
    <t>#Jerzie | "Jerzie"</t>
  </si>
  <si>
    <r>
      <rPr>
        <rFont val="Arial"/>
        <color rgb="FF000000"/>
      </rPr>
      <t>https://www.youtube.com/channel/UC0SCbFfccOFKFzPh12sxzOw</t>
    </r>
    <r>
      <rPr>
        <rFont val="Arial"/>
        <color rgb="FF000000"/>
      </rPr>
      <t>|</t>
    </r>
  </si>
  <si>
    <t>Developer - Jesse Makkonen</t>
  </si>
  <si>
    <t>#JesseMakkonen OR "Jesse Makkonen"</t>
  </si>
  <si>
    <t>Konami</t>
  </si>
  <si>
    <t>https://www.youtube.com/channel/UCWSPqhLRvqjC-vLYA5_n4LQ|</t>
  </si>
  <si>
    <t>#Konami OR "Konami"</t>
  </si>
  <si>
    <t>#JesseMakkonen | "Jesse Makkonen"</t>
  </si>
  <si>
    <t>https://www.youtube.com/channel/UChhJWwxCj4N6NcA3IwvKH7g|</t>
  </si>
  <si>
    <t>Developer - JForce Games</t>
  </si>
  <si>
    <t>Kongregate</t>
  </si>
  <si>
    <t>https://www.youtube.com/channel/UCFQZz0p0Ug9grMMzqWveMYw|</t>
  </si>
  <si>
    <t>#Kongregate OR "Kongregate"</t>
  </si>
  <si>
    <t>#JForceGames | "JForce Games"</t>
  </si>
  <si>
    <t>Developer - JKM corp</t>
  </si>
  <si>
    <t>Koth Studio SL</t>
  </si>
  <si>
    <t>#KothStudioSL OR "Koth Studio SL"</t>
  </si>
  <si>
    <t>#JKMcorp | "JKM corp"</t>
  </si>
  <si>
    <t>Developer - Jo-Mei Games</t>
  </si>
  <si>
    <t>#JoMeiGames OR "Jo-Mei Games"</t>
  </si>
  <si>
    <t>Kotobuki Solution Co., Ltd.</t>
  </si>
  <si>
    <t>#KotobukiSolutionCoLtd OR "Kotobuki Solution Co"</t>
  </si>
  <si>
    <t>#JoMeiGames | "Jo-Mei Games"</t>
  </si>
  <si>
    <t>Developer - JOANNA DOROTA BUCKA-KOLENDO</t>
  </si>
  <si>
    <t>KR Games</t>
  </si>
  <si>
    <t>https://www.youtube.com/channel/UCx_dENHlyBRJfdPMlFnQV4g|</t>
  </si>
  <si>
    <t>#KRGames OR "KR Games"</t>
  </si>
  <si>
    <t>#JOANNADOROTABUCKAKOLENDO | "JOANNA DOROTA BUCKA-KOLENDO"</t>
  </si>
  <si>
    <t>Developer - Joe Richardson</t>
  </si>
  <si>
    <t>Krafted Games</t>
  </si>
  <si>
    <t>#KraftedGames OR "Krafted Games"</t>
  </si>
  <si>
    <t>#JoeRichardson | "Joe Richardson"</t>
  </si>
  <si>
    <t>Developer - John Lisenby Jr</t>
  </si>
  <si>
    <t>KRAFTON Inc.</t>
  </si>
  <si>
    <t>#KRAFTONInc OR "KRAFTON"</t>
  </si>
  <si>
    <t>#JohnLisenbyJr | "John Lisenby Jr"</t>
  </si>
  <si>
    <t>Developer - Johnny Ostad</t>
  </si>
  <si>
    <t>Krewe Studios</t>
  </si>
  <si>
    <t>https://www.youtube.com/channel/UC-iGByyabTFVVYXffWNdvnQ|</t>
  </si>
  <si>
    <t>#KreweStudios OR "Krewe Studios"</t>
  </si>
  <si>
    <t>#JohnnyOstad | "Johnny Ostad"</t>
  </si>
  <si>
    <t>Developer - Joindots</t>
  </si>
  <si>
    <t>Krillbite Studio</t>
  </si>
  <si>
    <t>https://www.youtube.com/user/krillbite|</t>
  </si>
  <si>
    <t>#KrillbiteStudio OR "Krillbite Studio"</t>
  </si>
  <si>
    <t>#Joindots | "Joindots"</t>
  </si>
  <si>
    <t>Developer - Jonas Tyroller</t>
  </si>
  <si>
    <t>#JonasTyroller OR "Jonas Tyroller"</t>
  </si>
  <si>
    <t>Krome Studios</t>
  </si>
  <si>
    <t>https://www.youtube.com/user/TheKromeStudios|</t>
  </si>
  <si>
    <t>#KromeStudios OR "Krome Studios"</t>
  </si>
  <si>
    <t>#JonasTyroller | "Jonas Tyroller"</t>
  </si>
  <si>
    <t>https://www.youtube.com/channel/UC_p_9arduPuxM8DHTGIuSOg|</t>
  </si>
  <si>
    <t>Developer - Josep Monzonis Hernandez</t>
  </si>
  <si>
    <t>#JosepMonzonisHernandez OR "Josep Monzonis Hernandez"</t>
  </si>
  <si>
    <t>KrosafIT</t>
  </si>
  <si>
    <t>#KrosafIT OR "KrosafIT"</t>
  </si>
  <si>
    <t>#JosepMonzonisHernandez | "Josep Monzonis Hernandez"</t>
  </si>
  <si>
    <t>Developer - Josyan</t>
  </si>
  <si>
    <t>#Josyan OR "Josyan"</t>
  </si>
  <si>
    <t>Ktulhu Solutions</t>
  </si>
  <si>
    <t>https://www.youtube.com/channel/UC4VH3BmiEG1L_Goo82tTvjA|</t>
  </si>
  <si>
    <t>#KtulhuSolutions OR "Ktulhu Solutions"</t>
  </si>
  <si>
    <t>#Josyan | "Josyan"</t>
  </si>
  <si>
    <t>https://www.youtube.com/user/josyanf1|</t>
  </si>
  <si>
    <t>Developer - Journey Bound Games Inc.</t>
  </si>
  <si>
    <t>KUNOS-Simulazioni</t>
  </si>
  <si>
    <r>
      <rPr>
        <rFont val="Calibri, sans-serif"/>
        <color rgb="FF000000"/>
        <sz val="10.0"/>
        <u/>
      </rPr>
      <t>https://www.youtube.com/channel/UCC6EIwxMsAxM78LpCCXpltQ</t>
    </r>
    <r>
      <rPr>
        <rFont val="Calibri, sans-serif"/>
        <color rgb="FF000000"/>
        <sz val="10.0"/>
      </rPr>
      <t>|</t>
    </r>
  </si>
  <si>
    <t>#KUNOSSimulazioni OR "KUNOS-Simulazioni"</t>
  </si>
  <si>
    <t>#JourneyBoundGamesInc | "Journey Bound Games"</t>
  </si>
  <si>
    <t>Developer - JoWooD Entertainment AG</t>
  </si>
  <si>
    <t>#JoWooDEntertainmentAG OR "JoWooD Entertainment AG"</t>
  </si>
  <si>
    <t>Kurosh ValaNejad &amp; Peter Brinson</t>
  </si>
  <si>
    <t>#KuroshValaNejadandPeterBrinson OR "Kurosh ValaNejad &amp; Peter Brinson"</t>
  </si>
  <si>
    <t>#JoWooDEntertainmentAG | "JoWooD Entertainment AG"</t>
  </si>
  <si>
    <t>https://www.youtube.com/channel/UCFPzaDCRt9GqVjzDJkyOJ9g|</t>
  </si>
  <si>
    <t>Developer - JoyBits</t>
  </si>
  <si>
    <t>Kylotonn</t>
  </si>
  <si>
    <t>https://www.youtube.com/channel/UCJD3hVZ9D1F_Z_1mWyyX74g|</t>
  </si>
  <si>
    <t>#Kylotonn OR "Kylotonn"</t>
  </si>
  <si>
    <t>#JoyBits | "JoyBits"</t>
  </si>
  <si>
    <t>Developer - JoyBits Ltd.</t>
  </si>
  <si>
    <t>La Cosa Entertainment</t>
  </si>
  <si>
    <t>https://www.youtube.com/channel/UC3EZgU8dBBeweC1K_pCmXeg|</t>
  </si>
  <si>
    <t>#LaCosaEntertainment OR "La Cosa Entertainment"</t>
  </si>
  <si>
    <t>#JoyBitsLtd | "JoyBits Ltd."</t>
  </si>
  <si>
    <t>Developer - Joycity</t>
  </si>
  <si>
    <t>La Poule Noire</t>
  </si>
  <si>
    <r>
      <rPr>
        <rFont val="Calibri, sans-serif"/>
        <color rgb="FF000000"/>
        <sz val="10.0"/>
        <u/>
      </rPr>
      <t>https://www.youtube.com/channel/UCCrTVPhLb3itHcwwgtnwJYQ</t>
    </r>
    <r>
      <rPr>
        <rFont val="Calibri, sans-serif"/>
        <color rgb="FF000000"/>
        <sz val="10.0"/>
      </rPr>
      <t>|</t>
    </r>
  </si>
  <si>
    <t>#LaPouleNoire OR "La Poule Noire"</t>
  </si>
  <si>
    <t>#Joycity | "Joycity"</t>
  </si>
  <si>
    <t>Developer - JoyMasher</t>
  </si>
  <si>
    <t>#JoyMasher OR "JoyMasher"</t>
  </si>
  <si>
    <t>Labrodex Studios</t>
  </si>
  <si>
    <t>https://www.youtube.com/channel/UCgBrYtFGsDaQsN37mfY9BMw|</t>
  </si>
  <si>
    <t>#LabrodexStudios OR "Labrodex Studios"</t>
  </si>
  <si>
    <t>#JoyMasher | "JoyMasher"</t>
  </si>
  <si>
    <t>https://www.youtube.com/user/JoyMasher|</t>
  </si>
  <si>
    <t>Developer - Juggler Games</t>
  </si>
  <si>
    <t>#JugglerGames OR "Juggler Games"</t>
  </si>
  <si>
    <t>Lakento</t>
  </si>
  <si>
    <t>#Lakento OR "Lakento"</t>
  </si>
  <si>
    <t>#JugglerGames | "Juggler Games"</t>
  </si>
  <si>
    <t>https://www.youtube.com/channel/UCCueDoNe3jr1W5nTftTOYYg|</t>
  </si>
  <si>
    <t>Developer - Juicy Beast Studio</t>
  </si>
  <si>
    <t>LAN - GAMES EOOD</t>
  </si>
  <si>
    <t>#LANGAMESEOOD OR "LAN - GAMES EOOD"</t>
  </si>
  <si>
    <t>#JuicyBeastStudio | "Juicy Beast Studio"</t>
  </si>
  <si>
    <t>Developer - Juicy Cupcake</t>
  </si>
  <si>
    <t>LandFall Games</t>
  </si>
  <si>
    <t>https://www.youtube.com/channel/UCIlwIUzgQz7wEJAXwZf73lg|</t>
  </si>
  <si>
    <t>#LandFallGames OR "LandFall Games"</t>
  </si>
  <si>
    <t>#JuicyCupcake | "Juicy Cupcake"</t>
  </si>
  <si>
    <t>Developer - Jujubee Games Studio</t>
  </si>
  <si>
    <t>Larian Studios Games</t>
  </si>
  <si>
    <t>https://www.youtube.com/user/larianstudios|</t>
  </si>
  <si>
    <t>#LarianStudiosGames OR "Larian Studios Games"</t>
  </si>
  <si>
    <t>#JujubeeGamesStudio | "Jujubee Games Studio"</t>
  </si>
  <si>
    <t>Developer - Julian Laufer</t>
  </si>
  <si>
    <t>#JulianLaufer OR "Julian Laufer"</t>
  </si>
  <si>
    <t>Last Dimension</t>
  </si>
  <si>
    <t>#LastDimension OR "Last Dimension"</t>
  </si>
  <si>
    <t>#JulianLaufer | "Julian Laufer"</t>
  </si>
  <si>
    <t>Developer - Just Add Oil Games</t>
  </si>
  <si>
    <t>#JustAddOilGames OR "Just Add Oil Games"</t>
  </si>
  <si>
    <t>Last Limb Games</t>
  </si>
  <si>
    <t>#LastLimbGames OR "Last Limb Games"</t>
  </si>
  <si>
    <t>#JustAddOilGames | "Just Add Oil Games"</t>
  </si>
  <si>
    <t>Developer - Just Add Water</t>
  </si>
  <si>
    <t>#JustAddWater OR "Just Add Water"</t>
  </si>
  <si>
    <t>Laughing Jackal</t>
  </si>
  <si>
    <t>https://www.youtube.com/channel/UCWkI0640fYRFcalbPDsFSPQ|</t>
  </si>
  <si>
    <t>#LaughingJackal OR "Laughing Jackal"</t>
  </si>
  <si>
    <t>#JustAddWater | "Just Add Water"</t>
  </si>
  <si>
    <t>https://www.youtube.com/user/jawltd|</t>
  </si>
  <si>
    <t>Developer - Jutsu Games</t>
  </si>
  <si>
    <t>#JutsuGames OR "Jutsu Games"</t>
  </si>
  <si>
    <t>Lazerpants Studios LLC</t>
  </si>
  <si>
    <t>https://www.youtube.com/channel/UCjYZb-LH0Q4GUk0Rw5i1l4Q|</t>
  </si>
  <si>
    <t>#LazerpantsStudiosLLC OR "Lazerpants Studios LLC"</t>
  </si>
  <si>
    <t>#JutsuGames | "Jutsu Games"</t>
  </si>
  <si>
    <t>https://www.youtube.com/channel/UC03hSKQ0dafUtpRg9jxcjQw|</t>
  </si>
  <si>
    <t>Developer - Kadokawa</t>
  </si>
  <si>
    <t>LBC Games</t>
  </si>
  <si>
    <t>https://www.youtube.com/channel/UCYdxJDcwlDyeGqPdgEeH9pw|</t>
  </si>
  <si>
    <t>#LBCGames OR "LBC Games"</t>
  </si>
  <si>
    <t>#Kadokawa | "Kadokawa"</t>
  </si>
  <si>
    <t>Developer - Kaigan Games OU</t>
  </si>
  <si>
    <t>#KaiganGamesOU OR "Kaigan Games OU"</t>
  </si>
  <si>
    <t>Leadman Games</t>
  </si>
  <si>
    <t>https://www.youtube.com/channel/UCmSg61-QYgQicLmmocsY3fQ|</t>
  </si>
  <si>
    <t>#LeadmanGames OR "Leadman Games"</t>
  </si>
  <si>
    <t>#KaiganGamesOU | "Kaigan Games OU"</t>
  </si>
  <si>
    <t>https://www.youtube.com/channel/UCP9nkYKQpTdIuJgoPnsiaPQ|</t>
  </si>
  <si>
    <t>Developer - Kaiko</t>
  </si>
  <si>
    <t>#Kaiko OR "Kaiko"</t>
  </si>
  <si>
    <t>League of Geeks</t>
  </si>
  <si>
    <t>https://www.youtube.com/channel/UCHnS2VA8-I0auRuW1L98pHw|</t>
  </si>
  <si>
    <t>#LeagueofGeeks OR "League of Geeks"</t>
  </si>
  <si>
    <t>#Kaiko | "Kaiko"</t>
  </si>
  <si>
    <t>Developer - Kaio Meris</t>
  </si>
  <si>
    <t>#KaioMeris OR "Kaio Meris"</t>
  </si>
  <si>
    <t>LearnDistrict Inc.</t>
  </si>
  <si>
    <r>
      <rPr>
        <rFont val="Calibri, sans-serif"/>
        <color rgb="FF000000"/>
        <sz val="10.0"/>
        <u/>
      </rPr>
      <t>https://www.youtube.com/channel/UCDfgK8LraQXWEiT3teakHJw</t>
    </r>
    <r>
      <rPr>
        <rFont val="Calibri, sans-serif"/>
        <color rgb="FF000000"/>
        <sz val="10.0"/>
      </rPr>
      <t>|</t>
    </r>
  </si>
  <si>
    <t>#LearnDistrictInc OR "LearnDistrict"</t>
  </si>
  <si>
    <t>#KaioMeris | "Kaio Meris"</t>
  </si>
  <si>
    <r>
      <rPr>
        <rFont val="Arial"/>
        <color rgb="FF000000"/>
      </rPr>
      <t>https://www.youtube.com/channel/UCZIITnVj5mtYtWePMa8kQzQ</t>
    </r>
    <r>
      <rPr>
        <rFont val="Arial"/>
        <color rgb="FF000000"/>
      </rPr>
      <t>|</t>
    </r>
  </si>
  <si>
    <t>Developer - Kaizen Game Works</t>
  </si>
  <si>
    <t>#KaizenGameWorks OR "Kaizen Game Works"</t>
  </si>
  <si>
    <t>LegionVR, LLC</t>
  </si>
  <si>
    <t>#LegionVRLLC OR "LegionVR"</t>
  </si>
  <si>
    <t>#KaizenGameWorks | "Kaizen Game Works"</t>
  </si>
  <si>
    <t>https://www.youtube.com/channel/UCXLSssOnTwEA_f-5Q0-Poqw|</t>
  </si>
  <si>
    <t>Developer - Kaleidoscube</t>
  </si>
  <si>
    <t>#Kaleidoscube OR "Kaleidoscube"</t>
  </si>
  <si>
    <t>Leikir Studio</t>
  </si>
  <si>
    <t>https://www.youtube.com/channel/UC0Fv45d8QpB2FC-CFE2dlOg|</t>
  </si>
  <si>
    <t>#LeikirStudio OR "Leikir Studio"</t>
  </si>
  <si>
    <t>#Kaleidoscube | "Kaleidoscube"</t>
  </si>
  <si>
    <r>
      <rPr>
        <rFont val="Arial"/>
        <color rgb="FF000000"/>
      </rPr>
      <t>https://www.youtube.com/channel/UC-vaxl1lGxsqHyU0j5GOSzA</t>
    </r>
    <r>
      <rPr>
        <rFont val="Arial"/>
        <color rgb="FF000000"/>
      </rPr>
      <t>|</t>
    </r>
  </si>
  <si>
    <t>Developer - Kalman ruszkai</t>
  </si>
  <si>
    <t>lemeshev.a</t>
  </si>
  <si>
    <t>#lemesheva OR "lemeshev.a"</t>
  </si>
  <si>
    <t>#Kalmanruszkai | "Kalman ruszkai"</t>
  </si>
  <si>
    <t>Developer - Kalypso</t>
  </si>
  <si>
    <t>Lemondo Entertainment</t>
  </si>
  <si>
    <t>#LemondoEntertainment OR "Lemondo Entertainment"</t>
  </si>
  <si>
    <t>#Kalypso | "Kalypso"</t>
  </si>
  <si>
    <t>Developer - Kaneda Games</t>
  </si>
  <si>
    <t>Leoful</t>
  </si>
  <si>
    <t>https://www.youtube.com/channel/UCFhK4V7tjXPkYIWwYmbkz6A|</t>
  </si>
  <si>
    <t>#Leoful OR "Leoful"</t>
  </si>
  <si>
    <t>#KanedaGames | "Kaneda Games"</t>
  </si>
  <si>
    <t>Developer - kChamp Games</t>
  </si>
  <si>
    <t>Leonardo Interactive</t>
  </si>
  <si>
    <t>https://www.youtube.com/channel/UCLgJVr9pd8CQS8p811V1IlA|</t>
  </si>
  <si>
    <t>#LeonardoInteractive OR "Leonardo Interactive"</t>
  </si>
  <si>
    <t>#kChampGames | "kChamp Games"</t>
  </si>
  <si>
    <t>Developer - Kedronic UAB</t>
  </si>
  <si>
    <t>Level 5</t>
  </si>
  <si>
    <t>https://www.youtube.com/user/LEVEL5ch|</t>
  </si>
  <si>
    <t>#Level5 OR "Level 5"</t>
  </si>
  <si>
    <t>#KedronicUAB | "Kedronic UAB"</t>
  </si>
  <si>
    <t>Developer - Keen Games</t>
  </si>
  <si>
    <t>#KeenGames OR "Keen Games"</t>
  </si>
  <si>
    <t>Level Up Labs</t>
  </si>
  <si>
    <t>#LevelUpLabs OR "Level Up Labs"</t>
  </si>
  <si>
    <t>#KeenGames | "Keen Games"</t>
  </si>
  <si>
    <t>Developer - Keen Software House</t>
  </si>
  <si>
    <t>Leveled Games</t>
  </si>
  <si>
    <t>https://www.youtube.com/channel/UCvMiy81zMkG_N6qhsWSsIIw|</t>
  </si>
  <si>
    <t>#LeveledGames OR "Leveled Games"</t>
  </si>
  <si>
    <t>#KeenSoftwareHouse | "Keen Software House"</t>
  </si>
  <si>
    <t>Developer - Keinart Lobre</t>
  </si>
  <si>
    <t>Levi D. Smith</t>
  </si>
  <si>
    <t>https://youtube.com/user/gitcommand|</t>
  </si>
  <si>
    <t>#LeviDSmith OR "Levi D. Smith"</t>
  </si>
  <si>
    <t>#KeinartLobre | "Keinart Lobre"</t>
  </si>
  <si>
    <t>Developer - Keith Burgun Games</t>
  </si>
  <si>
    <t>#KeithBurgunGames OR "Keith Burgun Games"</t>
  </si>
  <si>
    <t>LFMIT STUDIO</t>
  </si>
  <si>
    <t>#LFMITSTUDIO OR "LFMIT STUDIO"</t>
  </si>
  <si>
    <t>#KeithBurgunGames | "Keith Burgun Games"</t>
  </si>
  <si>
    <t>https://www.youtube.com/channel/UCMn-G34oxMozKJEMIwxAnAA|</t>
  </si>
  <si>
    <t>Developer - Kelsam</t>
  </si>
  <si>
    <t>LGS Games Productions</t>
  </si>
  <si>
    <r>
      <rPr>
        <rFont val="Calibri, sans-serif"/>
        <color rgb="FF000000"/>
        <sz val="10.0"/>
        <u/>
      </rPr>
      <t>https://www.youtube.com/channel/UCQuOwFMi1j4AiF9w51ljyiw</t>
    </r>
    <r>
      <rPr>
        <rFont val="Calibri, sans-serif"/>
        <color rgb="FF000000"/>
        <sz val="10.0"/>
      </rPr>
      <t>|</t>
    </r>
  </si>
  <si>
    <t>#LGSGamesProductions OR "LGS Games Productions"</t>
  </si>
  <si>
    <t>#Kelsam | "Kelsam"</t>
  </si>
  <si>
    <t>Developer - Kemco</t>
  </si>
  <si>
    <t>LGS Productions</t>
  </si>
  <si>
    <t>https://www.youtube.com/channel/UCQuOwFMi1j4AiF9w51ljyiw|</t>
  </si>
  <si>
    <t>#LGSProductions OR "LGS Productions"</t>
  </si>
  <si>
    <t>#Kemco | "Kemco"</t>
  </si>
  <si>
    <t>Developer - Kenny Creanor</t>
  </si>
  <si>
    <t>#KennyCreanor OR "Kenny Creanor"</t>
  </si>
  <si>
    <t>Liam Carpenter</t>
  </si>
  <si>
    <t>#LiamCarpenter OR "Liam Carpenter"</t>
  </si>
  <si>
    <t>#KennyCreanor | "Kenny Creanor"</t>
  </si>
  <si>
    <t>Developer - Kenny Roy</t>
  </si>
  <si>
    <t>Lichthund</t>
  </si>
  <si>
    <t>https://www.youtube.com/channel/UCS5UGUSzELQHp0sMyVy9HdQ|</t>
  </si>
  <si>
    <t>#Lichthund OR "Lichthund"</t>
  </si>
  <si>
    <t>#KennyRoy | "Kenny Roy"</t>
  </si>
  <si>
    <t>Developer - Kenny Sun</t>
  </si>
  <si>
    <t>#KennySun OR "Kenny Sun"</t>
  </si>
  <si>
    <t>Lienzo</t>
  </si>
  <si>
    <t>https://www.youtube.com/channel/UCs-DqcTSj3-ariPq_prniAQ|</t>
  </si>
  <si>
    <t>#Lienzo OR "Lienzo"</t>
  </si>
  <si>
    <t>#KennySun | "Kenny Sun"</t>
  </si>
  <si>
    <t>https://www.youtube.com/channel/UCpSmWb-SnfGLc9cqcRxwp6g|</t>
  </si>
  <si>
    <t>Developer - KeokeN Interactive</t>
  </si>
  <si>
    <t>LifeSpark Entertainment</t>
  </si>
  <si>
    <t>#LifeSparkEntertainment OR "LifeSpark Entertainment"</t>
  </si>
  <si>
    <t>#KeokeNInteractive | "KeokeN Interactive"</t>
  </si>
  <si>
    <t>Developer - Khud0</t>
  </si>
  <si>
    <t>Light Brick</t>
  </si>
  <si>
    <t>https://www.youtube.com/channel/UCwA3wBQF6bGgjNXehGfKsaA|</t>
  </si>
  <si>
    <t>#LightBrick OR "Light Brick"</t>
  </si>
  <si>
    <t>#Khud0 | "Khud0"</t>
  </si>
  <si>
    <t>Developer - Killer Bees Games</t>
  </si>
  <si>
    <t>Lightbulb Crew</t>
  </si>
  <si>
    <t>https://www.youtube.com/channel/UCQmqXgcpA51EhdQCQu0TImg|</t>
  </si>
  <si>
    <t>#LightbulbCrew OR "Lightbulb Crew"</t>
  </si>
  <si>
    <t>#KillerBeesGames | "Killer Bees Games"</t>
  </si>
  <si>
    <t>Developer - Killmonday Games HB</t>
  </si>
  <si>
    <t>Lightning Game Studios</t>
  </si>
  <si>
    <t>#LightningGameStudios OR "Lightning Game Studios"</t>
  </si>
  <si>
    <t>#KillmondayGamesHB | "Killmonday Games HB"</t>
  </si>
  <si>
    <t>Developer - Kind Cat Games</t>
  </si>
  <si>
    <t>#KindCatGames OR "Kind Cat Games"</t>
  </si>
  <si>
    <t>Lightning Games</t>
  </si>
  <si>
    <t>https://www.youtube.com/channel/UCRMsZ9RbO8hVlVsd9zMmdNA|</t>
  </si>
  <si>
    <t>#LightningGames OR "Lightning Games"</t>
  </si>
  <si>
    <t>#KindCatGames | "Kind Cat Games"</t>
  </si>
  <si>
    <t>https://www.youtube.com/channel/UCR2MDCjVFdTlzMTTEP1VvWA|</t>
  </si>
  <si>
    <t>Developer - KING Art</t>
  </si>
  <si>
    <t>#KINGArt OR "KING Art"</t>
  </si>
  <si>
    <t>Lightning Rod Games</t>
  </si>
  <si>
    <t>https://www.youtube.com/channel/UC1ipHLmZ5OOPrhnqeDDBAGw|</t>
  </si>
  <si>
    <t>#LightningRodGames OR "Lightning Rod Games"</t>
  </si>
  <si>
    <t>#KINGArt | "KING Art"</t>
  </si>
  <si>
    <t>https://www.youtube.com/channel/UC_8Ta9YihABH8w40SbwlR1g|</t>
  </si>
  <si>
    <t>Developer - Kinmoku</t>
  </si>
  <si>
    <t>#Kinmoku OR "Kinmoku"</t>
  </si>
  <si>
    <t>Lightwood Games</t>
  </si>
  <si>
    <t>https://www.youtube.com/channel/UCdg3Zrn9OBha3mcnJ3nsWsQ|</t>
  </si>
  <si>
    <t>#LightwoodGames OR "Lightwood Games"</t>
  </si>
  <si>
    <t>#Kinmoku | "Kinmoku"</t>
  </si>
  <si>
    <t>https://www.youtube.com/user/TwistedMelody87|</t>
  </si>
  <si>
    <t>Developer - Kiss Publishing Ltd</t>
  </si>
  <si>
    <t>liica,Inc.</t>
  </si>
  <si>
    <t>#KissPublishingLtd | "Kiss Publishing Ltd"</t>
  </si>
  <si>
    <r>
      <rPr>
        <rFont val="Arial"/>
        <color rgb="FF000000"/>
      </rPr>
      <t>https://www.youtube.com/channel/UCn-yBFxdk4X2o2DL11vQ6Cw</t>
    </r>
    <r>
      <rPr>
        <rFont val="Arial"/>
        <color rgb="FF000000"/>
      </rPr>
      <t>|</t>
    </r>
  </si>
  <si>
    <t>Developer - Kite Games</t>
  </si>
  <si>
    <t>#KiteGames OR "Kite Games"</t>
  </si>
  <si>
    <t>Lillymo Games</t>
  </si>
  <si>
    <r>
      <rPr>
        <rFont val="Calibri, sans-serif"/>
        <color rgb="FF000000"/>
        <sz val="10.0"/>
        <u/>
      </rPr>
      <t>https://www.youtube.com/channel/UCoUDEyAbGZDz7na5Sy_t1bQ</t>
    </r>
    <r>
      <rPr>
        <rFont val="Calibri, sans-serif"/>
        <color rgb="FF000000"/>
        <sz val="10.0"/>
      </rPr>
      <t>|</t>
    </r>
  </si>
  <si>
    <t>#LillymoGames OR "Lillymo Games"</t>
  </si>
  <si>
    <t>#KiteGames | "Kite Games"</t>
  </si>
  <si>
    <t>Developer - Kitfox Games</t>
  </si>
  <si>
    <t>Limited Run Games</t>
  </si>
  <si>
    <t>https://www.youtube.com/channel/UCFAOJQ3saQ84R8m3JoDOlYQ|</t>
  </si>
  <si>
    <t>#LimitedRunGames OR "Limited Run Games"</t>
  </si>
  <si>
    <t>#KitfoxGames | "Kitfox Games"</t>
  </si>
  <si>
    <t>Developer - Kittehface Software</t>
  </si>
  <si>
    <t>Limitless Ltd</t>
  </si>
  <si>
    <t>#LimitlessLtd OR "Limitless Ltd"</t>
  </si>
  <si>
    <t>#KittehfaceSoftware | "Kittehface Software"</t>
  </si>
  <si>
    <t>Developer - Klabater</t>
  </si>
  <si>
    <t>Lince Works</t>
  </si>
  <si>
    <t>https://www.youtube.com/user/linceworks|</t>
  </si>
  <si>
    <t>#LinceWorks OR "Lince Works"</t>
  </si>
  <si>
    <t>#Klabater | "Klabater"</t>
  </si>
  <si>
    <t>Developer - Klassefilm</t>
  </si>
  <si>
    <t>#Klassefilm OR "Klassefilm"</t>
  </si>
  <si>
    <t>LINE Games</t>
  </si>
  <si>
    <t>https://www.youtube.com/channel/UC_y30umdFXutVY1mTJJOHFQ|</t>
  </si>
  <si>
    <t>#LINEGames OR "LINE Games"</t>
  </si>
  <si>
    <t>#Klassefilm | "Klassefilm"</t>
  </si>
  <si>
    <t>Developer - Klei Entertainment</t>
  </si>
  <si>
    <t>Lion Castle</t>
  </si>
  <si>
    <t>https://www.youtube.com/channel/UCU-h1A0E2ye8wkknVkjjgIQ|</t>
  </si>
  <si>
    <t>#LionCastle OR "Lion Castle"</t>
  </si>
  <si>
    <t>#KleiEntertainment | "Klei Entertainment"</t>
  </si>
  <si>
    <t>Developer - Klik! Games</t>
  </si>
  <si>
    <t>Lionsfilm</t>
  </si>
  <si>
    <t>https://www.youtube.com/channel/UCaEOPxThcYGnOn1UsK9Y05w|</t>
  </si>
  <si>
    <t>#Lionsfilm OR "Lionsfilm"</t>
  </si>
  <si>
    <t>#KlikGames | "Klik! Games"</t>
  </si>
  <si>
    <t>Developer - klutzGames</t>
  </si>
  <si>
    <t>Liquid Bit</t>
  </si>
  <si>
    <t>https://www.youtube.com/channel/UC3djlhxAGvozSL-XgRSD4zQ|</t>
  </si>
  <si>
    <t>#LiquidBit OR "Liquid Bit"</t>
  </si>
  <si>
    <t>#klutzGames | "klutzGames"</t>
  </si>
  <si>
    <r>
      <rPr>
        <rFont val="Arial"/>
        <color rgb="FF000000"/>
      </rPr>
      <t>https://www.youtube.com/channel/UC10-t1r_UoZ3kfu28SVvU-g</t>
    </r>
    <r>
      <rPr>
        <rFont val="Arial"/>
        <color rgb="FF000000"/>
      </rPr>
      <t>|</t>
    </r>
  </si>
  <si>
    <t>Developer - Knuist &amp; Perzik</t>
  </si>
  <si>
    <t>#KnuistandPerzik OR "Knuist &amp; Perzik"</t>
  </si>
  <si>
    <t>Litchi Game</t>
  </si>
  <si>
    <t>https://www.youtube.com/channel/UCsoP5WAfKvitloyO1FYPQNA|</t>
  </si>
  <si>
    <t>#LitchiGame OR "Litchi Game"</t>
  </si>
  <si>
    <t>#KnuistandPerzik | "Knuist &amp; Perzik"</t>
  </si>
  <si>
    <t>https://www.youtube.com/user/twlkd|</t>
  </si>
  <si>
    <t>Developer - Koch Media</t>
  </si>
  <si>
    <t>litewkak</t>
  </si>
  <si>
    <t>#litewkak OR "litewkak"</t>
  </si>
  <si>
    <t>#KochMedia | "Koch Media"</t>
  </si>
  <si>
    <t>Developer - KodiiSystems</t>
  </si>
  <si>
    <t>Lithic Entertainment Inc.</t>
  </si>
  <si>
    <t>https://www.youtube.com/channel/UCajz14e3jx6QKd_062CQL4Q|</t>
  </si>
  <si>
    <t>#LithicEntertainmentInc OR "Lithic Entertainment"</t>
  </si>
  <si>
    <t>#KodiiSystems | "KodiiSystems"</t>
  </si>
  <si>
    <r>
      <rPr>
        <rFont val="Arial"/>
        <color rgb="FF000000"/>
      </rPr>
      <t>https://www.youtube.com/channel/UCci28HK6hNeH8qfGFn_cPog</t>
    </r>
    <r>
      <rPr>
        <rFont val="Arial"/>
        <color rgb="FF000000"/>
      </rPr>
      <t>|</t>
    </r>
  </si>
  <si>
    <t>Developer - Kodo Linija</t>
  </si>
  <si>
    <t>#KodoLinija OR "Kodo Linija"</t>
  </si>
  <si>
    <t>Little Green Men</t>
  </si>
  <si>
    <t>#LittleGreenMen OR "Little Green Men"</t>
  </si>
  <si>
    <t>#KodoLinija | "Kodo Linija"</t>
  </si>
  <si>
    <t>https://www.youtube.com/channel/UCYRe2i1dSAXCr6a6TYsQawQ|</t>
  </si>
  <si>
    <t>Developer - Koei Tecmo Games</t>
  </si>
  <si>
    <t>Little Orbit</t>
  </si>
  <si>
    <t>https://www.youtube.com/channel/UCTIrvArkwWzTUVXp5BEgT0g|</t>
  </si>
  <si>
    <t>#LittleOrbit OR "Little Orbit"</t>
  </si>
  <si>
    <t>#KoeiTecmoGames | "Koei Tecmo Games"</t>
  </si>
  <si>
    <t>Developer - Kojima Productions</t>
  </si>
  <si>
    <t>Little Star Media, Inc.</t>
  </si>
  <si>
    <t>#LittleStarMediaInc OR "Little Star Media,"</t>
  </si>
  <si>
    <t>#KojimaProductions | "Kojima Productions"</t>
  </si>
  <si>
    <t>Developer - Komi Games</t>
  </si>
  <si>
    <t>LittleGreenBob</t>
  </si>
  <si>
    <t>#LittleGreenBob OR "LittleGreenBob"</t>
  </si>
  <si>
    <t>#KomiGames | "Komi Games"</t>
  </si>
  <si>
    <t>Developer - Konami</t>
  </si>
  <si>
    <t>Live Aliens</t>
  </si>
  <si>
    <t>#LiveAliens OR "Live Aliens"</t>
  </si>
  <si>
    <t>#Konami | "Konami"</t>
  </si>
  <si>
    <t>Developer - Konfa Games</t>
  </si>
  <si>
    <t>#KonfaGames OR "Konfa Games"</t>
  </si>
  <si>
    <t>Llamasoft</t>
  </si>
  <si>
    <t>https://www.youtube.com/user/LLamasoftInc|</t>
  </si>
  <si>
    <t>#Llamasoft OR "Llamasoft"</t>
  </si>
  <si>
    <t>#KonfaGames | "Konfa Games"</t>
  </si>
  <si>
    <t>https://www.youtube.com/channel/UCi5zZpbwwNVVHHgNBawdfyA|</t>
  </si>
  <si>
    <t>Developer - Kong Orange</t>
  </si>
  <si>
    <t>#KongOrange OR "Kong Orange"</t>
  </si>
  <si>
    <t>LLC Blini Games</t>
  </si>
  <si>
    <t>https://www.youtube.com/channel/UCYu2AAHl2BLkeyQGZ1IQ9xg|</t>
  </si>
  <si>
    <t>#LLCBliniGames OR "LLC Blini Games"</t>
  </si>
  <si>
    <t>#KongOrange | "Kong Orange"</t>
  </si>
  <si>
    <t>https://www.youtube.com/channel/UCVsZd1Y5z1E0Vmfwu0bonbA|</t>
  </si>
  <si>
    <t>Developer - Kongregate</t>
  </si>
  <si>
    <t>LLC CARX TECHNOLOGIES</t>
  </si>
  <si>
    <t>#LLCCARXTECHNOLOGIES OR "LLC CARX TECHNOLOGIES"</t>
  </si>
  <si>
    <t>#Kongregate | "Kongregate"</t>
  </si>
  <si>
    <t>Developer - KR Games</t>
  </si>
  <si>
    <t>LoadUpGames.com</t>
  </si>
  <si>
    <t>https://www.youtube.com/channel/UCN4JHtM6NxdPn4YzslGBPAw|</t>
  </si>
  <si>
    <t>#LoadUpGamescom OR "LoadUpGames.com"</t>
  </si>
  <si>
    <t>#KRGames | "KR Games"</t>
  </si>
  <si>
    <t>Developer - Krafted Games</t>
  </si>
  <si>
    <t>Lockem Reality Inc</t>
  </si>
  <si>
    <t>https://www.youtube.com/channel/UC0VAi784KNAL9GLy8TszWJQ|</t>
  </si>
  <si>
    <t>#LockemRealityInc OR "Lockem Reality Inc"</t>
  </si>
  <si>
    <t>#KraftedGames | "Krafted Games"</t>
  </si>
  <si>
    <r>
      <rPr>
        <rFont val="Arial"/>
        <color rgb="FF000000"/>
      </rPr>
      <t>https://www.youtube.com/channel/UCfGuovzL77ukNWv_s9sJ_6g</t>
    </r>
    <r>
      <rPr>
        <rFont val="Arial"/>
        <color rgb="FF000000"/>
      </rPr>
      <t>|</t>
    </r>
  </si>
  <si>
    <t>Developer - Kraken Unleashed</t>
  </si>
  <si>
    <t>#KrakenUnleashed OR "Kraken Unleashed"</t>
  </si>
  <si>
    <t>Locomalito</t>
  </si>
  <si>
    <r>
      <rPr>
        <rFont val="Calibri, sans-serif"/>
        <color rgb="FF000000"/>
        <sz val="10.0"/>
        <u/>
      </rPr>
      <t>https://www.youtube.com/channel/UC6gsovO_c2-DrUEfGMifbgg</t>
    </r>
    <r>
      <rPr>
        <rFont val="Calibri, sans-serif"/>
        <color rgb="FF000000"/>
        <sz val="10.0"/>
      </rPr>
      <t>|</t>
    </r>
  </si>
  <si>
    <t>#Locomalito OR "Locomalito"</t>
  </si>
  <si>
    <t>#KrakenUnleashed | "Kraken Unleashed"</t>
  </si>
  <si>
    <t>Developer - Krewe Studios</t>
  </si>
  <si>
    <t>Log Games</t>
  </si>
  <si>
    <t>https://www.youtube.com/channel/UCNZG2SZU67dzSj64cVw-HMA|</t>
  </si>
  <si>
    <t>#LogGames OR "Log Games"</t>
  </si>
  <si>
    <t>#KreweStudios | "Krewe Studios"</t>
  </si>
  <si>
    <t>Developer - Krillbite Studio</t>
  </si>
  <si>
    <t>Log Games Ltd</t>
  </si>
  <si>
    <t>#LogGamesLtd OR "Log Games Ltd"</t>
  </si>
  <si>
    <t>#KrillbiteStudio | "Krillbite Studio"</t>
  </si>
  <si>
    <t>Developer - Krome Studios</t>
  </si>
  <si>
    <t>Logic.Cat</t>
  </si>
  <si>
    <t>#LogicCat OR "Logic.Cat"</t>
  </si>
  <si>
    <t>#KromeStudios | "Krome Studios"</t>
  </si>
  <si>
    <t>Developer - KrosafIT</t>
  </si>
  <si>
    <t>Loneminded</t>
  </si>
  <si>
    <t>https://www.youtube.com/channel/UCEdqvWdIgOp-SNeOxvLydww|</t>
  </si>
  <si>
    <t>#Loneminded OR "Loneminded"</t>
  </si>
  <si>
    <t>#KrosafIT | "KrosafIT"</t>
  </si>
  <si>
    <t>Developer - KT Racing</t>
  </si>
  <si>
    <t>#KTRacing OR "KT Racing"</t>
  </si>
  <si>
    <t>LoneWolf Studios</t>
  </si>
  <si>
    <t>#LoneWolfStudios OR "LoneWolf Studios"</t>
  </si>
  <si>
    <t>#KTRacing | "KT Racing"</t>
  </si>
  <si>
    <t>Developer - Kuju Entertainment</t>
  </si>
  <si>
    <t>#KujuEntertainment OR "Kuju Entertainment"</t>
  </si>
  <si>
    <t>LoopyMood</t>
  </si>
  <si>
    <t>https://www.youtube.com/channel/UCzgOwBorAP9T2-HatCAgOxw|</t>
  </si>
  <si>
    <t>#LoopyMood OR "LoopyMood"</t>
  </si>
  <si>
    <t>#KujuEntertainment | "Kuju Entertainment"</t>
  </si>
  <si>
    <t>Developer - Kukouri Mobile Entertainment</t>
  </si>
  <si>
    <t>#KukouriMobileEntertainment OR "Kukouri Mobile Entertainment"</t>
  </si>
  <si>
    <t>LOOT Entertainment</t>
  </si>
  <si>
    <t>#LOOTEntertainment OR "LOOT Entertainment"</t>
  </si>
  <si>
    <t>#KukouriMobileEntertainment | "Kukouri Mobile Entertainment"</t>
  </si>
  <si>
    <r>
      <rPr>
        <rFont val="Arial"/>
        <color rgb="FF000000"/>
      </rPr>
      <t>https://www.youtube.com/channel/UCndos7ELOfZ0_lyZQvvq1cg</t>
    </r>
    <r>
      <rPr>
        <rFont val="Arial"/>
        <color rgb="FF000000"/>
      </rPr>
      <t>|</t>
    </r>
  </si>
  <si>
    <t>Developer - Kunos Simulazioni</t>
  </si>
  <si>
    <t>#KunosSimulazioni OR "Kunos Simulazioni"</t>
  </si>
  <si>
    <t>LOOT Interactive</t>
  </si>
  <si>
    <t>#LOOTInteractive OR "LOOT Interactive"</t>
  </si>
  <si>
    <t>#KunosSimulazioni | "Kunos Simulazioni"</t>
  </si>
  <si>
    <t>https://www.youtube.com/user/KUNOSSimulazioni|</t>
  </si>
  <si>
    <t>Developer - Kyle Thompson</t>
  </si>
  <si>
    <t>#KyleThompson OR "Kyle Thompson"</t>
  </si>
  <si>
    <t>Lost in the Garden</t>
  </si>
  <si>
    <t>https://www.youtube.com/channel/UCHuEfL8tD9gufm7Iso4iXKg|</t>
  </si>
  <si>
    <t>#LostintheGarden OR "Lost in the Garden"</t>
  </si>
  <si>
    <t>#KyleThompson | "Kyle Thompson"</t>
  </si>
  <si>
    <t>Developer - Kylotonn</t>
  </si>
  <si>
    <t>Lost Tech LLC</t>
  </si>
  <si>
    <t>#LostTechLLC OR "Lost Tech LLC"</t>
  </si>
  <si>
    <t>#Kylotonn | "Kylotonn"</t>
  </si>
  <si>
    <t>Developer - Kyodai</t>
  </si>
  <si>
    <t>#Kyodai OR "Kyodai"</t>
  </si>
  <si>
    <t>Loveridge Design</t>
  </si>
  <si>
    <t>#LoveridgeDesign OR "Loveridge Design"</t>
  </si>
  <si>
    <t>#Kyodai | "Kyodai"</t>
  </si>
  <si>
    <t>https://www.youtube.com/channel/UCrIUJmjL11xZsmAMng7KF2g|</t>
  </si>
  <si>
    <t>Developer - La Belle Games</t>
  </si>
  <si>
    <t>#LaBelleGames OR "La Belle Games"</t>
  </si>
  <si>
    <t>Loveridge Designs</t>
  </si>
  <si>
    <t>#LoveridgeDesigns OR "Loveridge Designs"</t>
  </si>
  <si>
    <t>#LaBelleGames | "La Belle Games"</t>
  </si>
  <si>
    <t>https://www.youtube.com/channel/UCEbY4yKZdpe4IK_8CN14tNw|</t>
  </si>
  <si>
    <t>Developer - La Poule Noire</t>
  </si>
  <si>
    <t>Lozange Lab</t>
  </si>
  <si>
    <t>https://www.youtube.com/channel/UC8CUk6F1ixlCe5AOaKifPfg|</t>
  </si>
  <si>
    <t>#LozangeLab OR "Lozange Lab"</t>
  </si>
  <si>
    <t>#LaPouleNoire | "La Poule Noire"</t>
  </si>
  <si>
    <r>
      <rPr>
        <rFont val="Arial"/>
        <color rgb="FF000000"/>
      </rPr>
      <t>https://www.youtube.com/channel/UCCrTVPhLb3itHcwwgtnwJYQ</t>
    </r>
    <r>
      <rPr>
        <rFont val="Arial"/>
        <color rgb="FF000000"/>
      </rPr>
      <t>|</t>
    </r>
  </si>
  <si>
    <t>Developer - Lab Zero Games</t>
  </si>
  <si>
    <t>#LabZeroGames OR "Lab Zero Games"</t>
  </si>
  <si>
    <t>LucasArts</t>
  </si>
  <si>
    <t>#LucasArts OR "LucasArts"</t>
  </si>
  <si>
    <t>#LabZeroGames | "Lab Zero Games"</t>
  </si>
  <si>
    <t>https://www.youtube.com/channel/UCSvJctUjDhlGS3jFwlhSB-g|</t>
  </si>
  <si>
    <t>Developer - Lab42</t>
  </si>
  <si>
    <t>#Lab42 OR "Lab42"</t>
  </si>
  <si>
    <t>Lucid Games</t>
  </si>
  <si>
    <t>https://www.youtube.com/user/LucidGamesLtd|</t>
  </si>
  <si>
    <t>#LucidGames OR "Lucid Games"</t>
  </si>
  <si>
    <t>#Lab42 | "Lab42"</t>
  </si>
  <si>
    <r>
      <rPr>
        <rFont val="Arial"/>
        <color rgb="FF000000"/>
      </rPr>
      <t>https://www.youtube.com/channel/UC1KtnMmLXPM0aNwisQniUuA</t>
    </r>
    <r>
      <rPr>
        <rFont val="Arial"/>
        <color rgb="FF000000"/>
      </rPr>
      <t>|</t>
    </r>
  </si>
  <si>
    <t>Developer - LABS Works</t>
  </si>
  <si>
    <t>#LABSWorks OR "LABS Works"</t>
  </si>
  <si>
    <t>Lucid Sight</t>
  </si>
  <si>
    <t>https://www.youtube.com/channel/UCd8s-wJY03ariKNjN6rpkYw|</t>
  </si>
  <si>
    <t>#LucidSight OR "Lucid Sight"</t>
  </si>
  <si>
    <t>#LABSWorks | "LABS Works"</t>
  </si>
  <si>
    <t>https://www.youtube.com/channel/UCn-wXFFQSSW_pfbPHqSJf5Q|</t>
  </si>
  <si>
    <t>Developer - Lamplight Studios</t>
  </si>
  <si>
    <t>#LamplightStudios OR "Lamplight Studios"</t>
  </si>
  <si>
    <t>Lucky VR Inc.</t>
  </si>
  <si>
    <t>https://www.youtube.com/channel/UCONTg7JfSN5lre6L-dMDwrw|</t>
  </si>
  <si>
    <t>#LuckyVRInc OR "Lucky VR"</t>
  </si>
  <si>
    <t>#LamplightStudios | "Lamplight Studios"</t>
  </si>
  <si>
    <t>https://www.youtube.com/channel/UCgC8NqLPLmgggjOk6ReLvXQ|</t>
  </si>
  <si>
    <t>Developer - LAN - GAMES EOOD</t>
  </si>
  <si>
    <t>Ludicrous Games LLC</t>
  </si>
  <si>
    <r>
      <rPr>
        <rFont val="Calibri, sans-serif"/>
        <color rgb="FF000000"/>
        <sz val="10.0"/>
        <u/>
      </rPr>
      <t>https://www.youtube.com/channel/UCGUcVYigR9BrSrN-G9lUQCA</t>
    </r>
    <r>
      <rPr>
        <rFont val="Calibri, sans-serif"/>
        <color rgb="FF000000"/>
        <sz val="10.0"/>
      </rPr>
      <t>|</t>
    </r>
  </si>
  <si>
    <t>#LudicrousGamesLLC OR "Ludicrous Games LLC"</t>
  </si>
  <si>
    <t>#LANGAMESEOOD | "LAN - GAMES EOOD"</t>
  </si>
  <si>
    <t>Developer - Lancarse</t>
  </si>
  <si>
    <t>#Lancarse OR "Lancarse"</t>
  </si>
  <si>
    <t>Ludosity Interactive</t>
  </si>
  <si>
    <t>#Lancarse | "Lancarse"</t>
  </si>
  <si>
    <r>
      <rPr>
        <rFont val="Arial"/>
        <color rgb="FF000000"/>
      </rPr>
      <t>https://www.youtube.com/channel/UCaLuYzuu3xepgWjGt9KtLrA</t>
    </r>
    <r>
      <rPr>
        <rFont val="Arial"/>
        <color rgb="FF000000"/>
      </rPr>
      <t>|</t>
    </r>
  </si>
  <si>
    <t>Developer - LandFall Games</t>
  </si>
  <si>
    <t>Lukewarm Media</t>
  </si>
  <si>
    <t>#LukewarmMedia OR "Lukewarm Media"</t>
  </si>
  <si>
    <t>#LandFallGames | "LandFall Games"</t>
  </si>
  <si>
    <t>Developer - Larian Studios Games</t>
  </si>
  <si>
    <t>Lumen Game Dev</t>
  </si>
  <si>
    <t>#LumenGameDev OR "Lumen Game Dev"</t>
  </si>
  <si>
    <t>#LarianStudiosGames | "Larian Studios Games"</t>
  </si>
  <si>
    <t>Developer - Lasse Zacho Malver</t>
  </si>
  <si>
    <t>#LasseZachoMalver OR "Lasse Zacho Malver"</t>
  </si>
  <si>
    <t>Lumenox ehf</t>
  </si>
  <si>
    <t>https://www.youtube.com/channel/UCwllSnUdOOZZz7mKdWHX6fg|</t>
  </si>
  <si>
    <t>#Lumenoxehf OR "Lumenox ehf"</t>
  </si>
  <si>
    <t>#LasseZachoMalver | "Lasse Zacho Malver"</t>
  </si>
  <si>
    <t>Developer - Last Limb Games</t>
  </si>
  <si>
    <t>Lunatic Pixels</t>
  </si>
  <si>
    <t>https://www.youtube.com/channel/UCtlgiZfIJVaRMCFwXFG9n3g|</t>
  </si>
  <si>
    <t>#LunaticPixels OR "Lunatic Pixels"</t>
  </si>
  <si>
    <t>#LastLimbGames | "Last Limb Games"</t>
  </si>
  <si>
    <t>Developer - Laughing Machines</t>
  </si>
  <si>
    <t>#LaughingMachines OR "Laughing Machines"</t>
  </si>
  <si>
    <t>LusionSoft</t>
  </si>
  <si>
    <r>
      <rPr>
        <rFont val="Calibri, sans-serif"/>
        <color rgb="FF000000"/>
        <sz val="10.0"/>
        <u/>
      </rPr>
      <t>https://www.youtube.com/channel/UC67y82d8fk5OmQYySIl7e4A</t>
    </r>
    <r>
      <rPr>
        <rFont val="Calibri, sans-serif"/>
        <color rgb="FF000000"/>
        <sz val="10.0"/>
      </rPr>
      <t>|</t>
    </r>
  </si>
  <si>
    <t>#LusionSoft OR "LusionSoft"</t>
  </si>
  <si>
    <t>#LaughingMachines | "Laughing Machines"</t>
  </si>
  <si>
    <t>https://www.youtube.com/channel/UCeYVDK5vBxHNflTEZH1-4xw|</t>
  </si>
  <si>
    <t>Developer - Lazerpants Studios LLC</t>
  </si>
  <si>
    <t>LVF STUDIO</t>
  </si>
  <si>
    <r>
      <rPr>
        <rFont val="Calibri, sans-serif"/>
        <color rgb="FF000000"/>
        <sz val="10.0"/>
        <u/>
      </rPr>
      <t>https://www.youtube.com/channel/UCP0dqoC3-Shx3pMraph_QlQ</t>
    </r>
    <r>
      <rPr>
        <rFont val="Calibri, sans-serif"/>
        <color rgb="FF000000"/>
        <sz val="10.0"/>
      </rPr>
      <t>|</t>
    </r>
  </si>
  <si>
    <t>#LVFSTUDIO OR "LVF STUDIO"</t>
  </si>
  <si>
    <t>#LazerpantsStudiosLLC | "Lazerpants Studios LLC"</t>
  </si>
  <si>
    <t>Developer - Lazy Bear Games</t>
  </si>
  <si>
    <t>#LazyBearGames OR "Lazy Bear Games"</t>
  </si>
  <si>
    <t>M07 Games</t>
  </si>
  <si>
    <r>
      <rPr>
        <rFont val="Calibri, sans-serif"/>
        <color rgb="FF000000"/>
        <sz val="10.0"/>
        <u/>
      </rPr>
      <t>https://www.youtube.com/channel/UCaTrGp_3GwyZ6pNcgjycflQ</t>
    </r>
    <r>
      <rPr>
        <rFont val="Calibri, sans-serif"/>
        <color rgb="FF000000"/>
        <sz val="10.0"/>
      </rPr>
      <t>|</t>
    </r>
  </si>
  <si>
    <t>#M07Games OR "M07 Games"</t>
  </si>
  <si>
    <t>#LazyBearGames | "Lazy Bear Games"</t>
  </si>
  <si>
    <t>https://www.youtube.com/user/GameJamStudio|</t>
  </si>
  <si>
    <t>Developer - LBC Games</t>
  </si>
  <si>
    <t>M2</t>
  </si>
  <si>
    <r>
      <rPr>
        <rFont val="Calibri, sans-serif"/>
        <color rgb="FF000000"/>
        <sz val="10.0"/>
        <u/>
      </rPr>
      <t>https://www.youtube.com/channel/UCTQVIXvcHrR9jYoJ6qaBAow</t>
    </r>
    <r>
      <rPr>
        <rFont val="Calibri, sans-serif"/>
        <color rgb="FF000000"/>
        <sz val="10.0"/>
      </rPr>
      <t>|</t>
    </r>
  </si>
  <si>
    <t>#M2 OR "M2"</t>
  </si>
  <si>
    <t>#LBCGames | "LBC Games"</t>
  </si>
  <si>
    <t>Developer - League of Geeks</t>
  </si>
  <si>
    <t>M2H</t>
  </si>
  <si>
    <t>https://www.youtube.com/channel/UC-JtyeHUwubu26qv0zuMJLA|</t>
  </si>
  <si>
    <t>#M2H OR "M2H"</t>
  </si>
  <si>
    <t>#LeagueofGeeks | "League of Geeks"</t>
  </si>
  <si>
    <t>Developer - LEAP Game Studios</t>
  </si>
  <si>
    <t>#LEAPGameStudios OR "LEAP Game Studios"</t>
  </si>
  <si>
    <t>M2H &amp; BlackMill Games</t>
  </si>
  <si>
    <t>#M2HandBlackMillGames OR "M2H &amp; BlackMill Games"</t>
  </si>
  <si>
    <t>#LEAPGameStudios | "LEAP Game Studios"</t>
  </si>
  <si>
    <t>https://www.youtube.com/channel/UCT6SwhCQb0adfjccrshMJ6Q|</t>
  </si>
  <si>
    <t>Developer - Leikir Studio</t>
  </si>
  <si>
    <t>Mad Catz</t>
  </si>
  <si>
    <r>
      <rPr>
        <rFont val="Calibri, sans-serif"/>
        <color rgb="FF000000"/>
        <sz val="10.0"/>
        <u/>
      </rPr>
      <t>https://www.youtube.com/channel/UC71REfPEsBKVu0DixC0wffw</t>
    </r>
    <r>
      <rPr>
        <rFont val="Calibri, sans-serif"/>
        <color rgb="FF000000"/>
        <sz val="10.0"/>
      </rPr>
      <t>|</t>
    </r>
  </si>
  <si>
    <t>#MadCatz OR "Mad Catz"</t>
  </si>
  <si>
    <t>#LeikirStudio | "Leikir Studio"</t>
  </si>
  <si>
    <t>Developer - lemeshev.a</t>
  </si>
  <si>
    <t>MAD DOG GAMES LLC</t>
  </si>
  <si>
    <t>https://www.youtube.com/channel/UCoqSb8Hgjg0NCPLUk0KocQA|</t>
  </si>
  <si>
    <t>#MADDOGGAMESLLC OR "MAD DOG GAMES LLC"</t>
  </si>
  <si>
    <t>#lemesheva | "lemeshev.a"</t>
  </si>
  <si>
    <t>Developer - Lemonbomb Entertainment</t>
  </si>
  <si>
    <t>#LemonbombEntertainment OR "Lemonbomb Entertainment"</t>
  </si>
  <si>
    <t>Mad Fellows Ltd</t>
  </si>
  <si>
    <t>https://www.youtube.com/channel/UC0sY35Rk5hsF4KOU1oDD23A|</t>
  </si>
  <si>
    <t>#MadFellowsLtd OR "Mad Fellows Ltd"</t>
  </si>
  <si>
    <t>#LemonbombEntertainment | "Lemonbomb Entertainment"</t>
  </si>
  <si>
    <t>https://www.youtube.com/channel/UCIW_Xt2GnAcbWBljp-NdTKg|</t>
  </si>
  <si>
    <t>Developer - Les Bird and Ruben Cabrera</t>
  </si>
  <si>
    <t>#LesBirdandRubenCabrera OR "Les Bird and Ruben Cabrera"</t>
  </si>
  <si>
    <t>Mad Mimic</t>
  </si>
  <si>
    <t>https://www.youtube.com/channel/UCT6ShgZaVhndp5G_ek47cmg|</t>
  </si>
  <si>
    <t>#MadMimic OR "Mad Mimic"</t>
  </si>
  <si>
    <t>#LesBirdandRubenCabrera | "Les Bird and Ruben Cabrera"</t>
  </si>
  <si>
    <t>Developer - Level 91 Entertainment</t>
  </si>
  <si>
    <t>#Level91Entertainment OR "Level 91 Entertainment"</t>
  </si>
  <si>
    <t>Mad Triangles</t>
  </si>
  <si>
    <t>https://www.youtube.com/channel/UCz-a5tChZzU3EAce9HdgTTA|</t>
  </si>
  <si>
    <t>#MadTriangles OR "Mad Triangles"</t>
  </si>
  <si>
    <t>#Level91Entertainment | "Level 91 Entertainment"</t>
  </si>
  <si>
    <t>Developer - Level Up Labs</t>
  </si>
  <si>
    <t>MAD.com</t>
  </si>
  <si>
    <t>#MADcom OR "MAD.com"</t>
  </si>
  <si>
    <t>#LevelUpLabs | "Level Up Labs"</t>
  </si>
  <si>
    <t>Developer - Leveled Games</t>
  </si>
  <si>
    <t>MADE GmbH</t>
  </si>
  <si>
    <t>#MADEGmbH OR "MADE GmbH"</t>
  </si>
  <si>
    <t>#LeveledGames | "Leveled Games"</t>
  </si>
  <si>
    <t>Developer - Levi D. Smith</t>
  </si>
  <si>
    <t>MadGearGames</t>
  </si>
  <si>
    <t>https://www.youtube.com/channel/UCT4v_jfXaamImIqtgMeB9PQ|</t>
  </si>
  <si>
    <t>#MadGearGames OR "MadGearGames"</t>
  </si>
  <si>
    <t>#LeviDSmith | "Levi D. Smith"</t>
  </si>
  <si>
    <t>Developer - LFMIT STUDIO</t>
  </si>
  <si>
    <t>Madruga Works</t>
  </si>
  <si>
    <t>https://www.youtube.com/channel/UCu3j3CzveEo-tt3a2_4eK3Q|</t>
  </si>
  <si>
    <t>#MadrugaWorks OR "Madruga Works"</t>
  </si>
  <si>
    <t>#LFMITSTUDIO | "LFMIT STUDIO"</t>
  </si>
  <si>
    <t>Developer - Liam Carpenter</t>
  </si>
  <si>
    <t>Mages.</t>
  </si>
  <si>
    <t>https://www.youtube.com/channel/UCriOn7PEq-GFE4Vsn9B5kBA|</t>
  </si>
  <si>
    <t>#Mages OR "Mages."</t>
  </si>
  <si>
    <t>#LiamCarpenter | "Liam Carpenter"</t>
  </si>
  <si>
    <t>Developer - Lienzo</t>
  </si>
  <si>
    <t>Magic Design Studios</t>
  </si>
  <si>
    <t>https://www.youtube.com/channel/UCXKSFoM1TQvL5_-vThc21pQ|</t>
  </si>
  <si>
    <t>#MagicDesignStudios OR "Magic Design Studios"</t>
  </si>
  <si>
    <t>#Lienzo | "Lienzo"</t>
  </si>
  <si>
    <t>Developer - Light Brick</t>
  </si>
  <si>
    <t>Magic Pixel Kft.</t>
  </si>
  <si>
    <t>#MagicPixelKft OR "Magic Pixel Kft."</t>
  </si>
  <si>
    <t>#LightBrick | "Light Brick"</t>
  </si>
  <si>
    <t>Developer - Lightbulb Crew</t>
  </si>
  <si>
    <t>MAGIC Spell Studios</t>
  </si>
  <si>
    <t>#MAGICSpellStudios OR "MAGIC Spell Studios"</t>
  </si>
  <si>
    <t>#LightbulbCrew | "Lightbulb Crew"</t>
  </si>
  <si>
    <t>Developer - Lightning Rod Games</t>
  </si>
  <si>
    <t>MAGIC Spell Studios, LLC</t>
  </si>
  <si>
    <t>#LightningRodGames | "Lightning Rod Games"</t>
  </si>
  <si>
    <t>Developer - lightUp</t>
  </si>
  <si>
    <t>#lightUp OR "lightUp"</t>
  </si>
  <si>
    <t>MagicalTimeBean</t>
  </si>
  <si>
    <t>https://www.youtube.com/channel/UCDUiA5KCCVfrvOefTGfRA3w|</t>
  </si>
  <si>
    <t>#MagicalTimeBean OR "MagicalTimeBean"</t>
  </si>
  <si>
    <t>#lightUp | "lightUp"</t>
  </si>
  <si>
    <t>Developer - Lightwood Games</t>
  </si>
  <si>
    <t>MagneticRealms</t>
  </si>
  <si>
    <t>https://www.youtube.com/channel/UCaodQpdfHFOvY9M0D2pdS6Q|</t>
  </si>
  <si>
    <t>#MagneticRealms OR "MagneticRealms"</t>
  </si>
  <si>
    <t>#LightwoodGames | "Lightwood Games"</t>
  </si>
  <si>
    <t>Developer - Lillymo Games</t>
  </si>
  <si>
    <t>Magnin and Associates</t>
  </si>
  <si>
    <t>#MagninandAssociates OR "Magnin and Associates"</t>
  </si>
  <si>
    <t>#LillymoGames | "Lillymo Games"</t>
  </si>
  <si>
    <r>
      <rPr>
        <rFont val="Arial"/>
        <color rgb="FF000000"/>
      </rPr>
      <t>https://www.youtube.com/channel/UCoUDEyAbGZDz7na5Sy_t1bQ</t>
    </r>
    <r>
      <rPr>
        <rFont val="Arial"/>
        <color rgb="FF000000"/>
      </rPr>
      <t>|</t>
    </r>
  </si>
  <si>
    <t>Developer - Limbic Entertainment</t>
  </si>
  <si>
    <t>#LimbicEntertainment OR "Limbic Entertainment"</t>
  </si>
  <si>
    <t>MaikelChan</t>
  </si>
  <si>
    <t>#MaikelChan OR "MaikelChan"</t>
  </si>
  <si>
    <t>#LimbicEntertainment | "Limbic Entertainment"</t>
  </si>
  <si>
    <r>
      <rPr>
        <rFont val="Arial"/>
        <color rgb="FF000000"/>
      </rPr>
      <t>https://www.youtube.com/channel/UCVJefBm68Vj1mOrNeX3OCiw</t>
    </r>
    <r>
      <rPr>
        <rFont val="Arial"/>
        <color rgb="FF000000"/>
      </rPr>
      <t>|</t>
    </r>
  </si>
  <si>
    <t>Developer - Lince Works</t>
  </si>
  <si>
    <t>Main Loop</t>
  </si>
  <si>
    <t>#MainLoop OR "Main Loop"</t>
  </si>
  <si>
    <t>#LinceWorks | "Lince Works"</t>
  </si>
  <si>
    <t>Developer - Lion Castle</t>
  </si>
  <si>
    <t>Majesco</t>
  </si>
  <si>
    <t>https://www.youtube.com/channel/UChqYBanLUjz8SoVR8ImI2HA|</t>
  </si>
  <si>
    <t>#Majesco OR "Majesco"</t>
  </si>
  <si>
    <t>#LionCastle | "Lion Castle"</t>
  </si>
  <si>
    <t>Developer - Liquid Bit</t>
  </si>
  <si>
    <t>Majesco Games</t>
  </si>
  <si>
    <t>#MajescoGames OR "Majesco Games"</t>
  </si>
  <si>
    <t>#LiquidBit | "Liquid Bit"</t>
  </si>
  <si>
    <t>Developer - Litchi Game</t>
  </si>
  <si>
    <t>MakinGames</t>
  </si>
  <si>
    <t>https://www.youtube.com/channel/UC3ll__FRxF4hnqVssNWW5wQ|</t>
  </si>
  <si>
    <t>#MakinGames OR "MakinGames"</t>
  </si>
  <si>
    <t>#LitchiGame | "Litchi Game"</t>
  </si>
  <si>
    <t>Developer - litewkak</t>
  </si>
  <si>
    <t>ManaVoid Entertainment Inc.</t>
  </si>
  <si>
    <t>https://www.youtube.com/channel/UC3sQVegopCpHS07-fd7TOeA|</t>
  </si>
  <si>
    <t>#ManaVoidEntertainmentInc OR "ManaVoid Entertainment"</t>
  </si>
  <si>
    <t>#litewkak | "litewkak"</t>
  </si>
  <si>
    <t>Developer - Lithic Entertainment Inc.</t>
  </si>
  <si>
    <t>Mandragora</t>
  </si>
  <si>
    <t>https://www.youtube.com/channel/UCchyFofw7FNq_4mHX16EdxA|</t>
  </si>
  <si>
    <t>#Mandragora OR "Mandragora"</t>
  </si>
  <si>
    <t>#LithicEntertainmentInc | "Lithic Entertainment"</t>
  </si>
  <si>
    <t>Developer - Little Green Men</t>
  </si>
  <si>
    <t>Manekoware</t>
  </si>
  <si>
    <t>https://www.youtube.com/channel/UC0TTrMoRzPhJdoHDk2Mb9gQ|</t>
  </si>
  <si>
    <t>#Manekoware OR "Manekoware"</t>
  </si>
  <si>
    <t>#LittleGreenMen | "Little Green Men"</t>
  </si>
  <si>
    <t>Developer - LittleGreenBob</t>
  </si>
  <si>
    <t>Mango Protocol</t>
  </si>
  <si>
    <t>https://www.youtube.com/mangoprotocol|</t>
  </si>
  <si>
    <t>#MangoProtocol OR "Mango Protocol"</t>
  </si>
  <si>
    <t>#LittleGreenBob | "LittleGreenBob"</t>
  </si>
  <si>
    <t>Developer - Live Aliens</t>
  </si>
  <si>
    <t>Manic Interactive, LLC</t>
  </si>
  <si>
    <t>#ManicInteractiveLLC OR "Manic Interactive"</t>
  </si>
  <si>
    <t>#LiveAliens | "Live Aliens"</t>
  </si>
  <si>
    <t>Developer - Live Wire</t>
  </si>
  <si>
    <t>#LiveWire OR "Live Wire"</t>
  </si>
  <si>
    <t>Mantisco</t>
  </si>
  <si>
    <t>#Mantisco OR "Mantisco"</t>
  </si>
  <si>
    <t>#LiveWire | "Live Wire"</t>
  </si>
  <si>
    <t>https://www.youtube.com/channel/UCQM9VMJjbQS_ugT-4I-zqzA|</t>
  </si>
  <si>
    <t>Developer - Lizardcube</t>
  </si>
  <si>
    <t>#Lizardcube OR "Lizardcube"</t>
  </si>
  <si>
    <t>Manufacture 43</t>
  </si>
  <si>
    <t>https://www.youtube.com/channel/UCgaB8t0HLXh158EMfGJWZoQ|</t>
  </si>
  <si>
    <t>#Manufacture43 OR "Manufacture 43"</t>
  </si>
  <si>
    <t>#Lizardcube | "Lizardcube"</t>
  </si>
  <si>
    <t>https://www.youtube.com/channel/UCfOArUJg55EDmVLAWTd7FIA|</t>
  </si>
  <si>
    <t>Developer - LKA</t>
  </si>
  <si>
    <t>#LKA OR "LKA"</t>
  </si>
  <si>
    <t>Marco Ayala Games</t>
  </si>
  <si>
    <t>https://www.youtube.com/channel/UC5R-AIUbWv_yhd2TfH7z5hw|</t>
  </si>
  <si>
    <t>#MarcoAyalaGames OR "Marco Ayala Games"</t>
  </si>
  <si>
    <t>#LKA | "LKA"</t>
  </si>
  <si>
    <t>Developer - LKA Interactive</t>
  </si>
  <si>
    <t>#LKAInteractive OR "LKA Interactive"</t>
  </si>
  <si>
    <t>Mardonpol Inc.</t>
  </si>
  <si>
    <t>https://www.youtube.com/channel/UCpPnG58zF56DAyYZLir3fhA|</t>
  </si>
  <si>
    <t>#MardonpolInc OR "Mardonpol"</t>
  </si>
  <si>
    <t>#LKAInteractive | "LKA Interactive"</t>
  </si>
  <si>
    <t>Developer - Llamasoft</t>
  </si>
  <si>
    <t>Marine Electrical International Limited</t>
  </si>
  <si>
    <t>#MarineElectricalInternationalLimited OR "Marine Electrical International Limited"</t>
  </si>
  <si>
    <t>#Llamasoft | "Llamasoft"</t>
  </si>
  <si>
    <t>Developer - LoadUpGames.com</t>
  </si>
  <si>
    <t>Marker Limited</t>
  </si>
  <si>
    <t>#MarkerLimited OR "Marker Limited"</t>
  </si>
  <si>
    <t>#LoadUpGamescom | "LoadUpGames.com"</t>
  </si>
  <si>
    <t>Developer - Locomalito</t>
  </si>
  <si>
    <t>Markt &amp; Technik</t>
  </si>
  <si>
    <r>
      <rPr>
        <rFont val="Calibri, sans-serif"/>
        <color rgb="FF000000"/>
        <sz val="10.0"/>
        <u/>
      </rPr>
      <t>https://www.youtube.com/channel/UCQO8m3v3y4_cv06L4dNPD8w</t>
    </r>
    <r>
      <rPr>
        <rFont val="Calibri, sans-serif"/>
        <color rgb="FF000000"/>
        <sz val="10.0"/>
      </rPr>
      <t>|</t>
    </r>
  </si>
  <si>
    <t>#MarktandTechnik OR "Markt &amp; Technik"</t>
  </si>
  <si>
    <t>#Locomalito | "Locomalito"</t>
  </si>
  <si>
    <r>
      <rPr>
        <rFont val="Arial"/>
        <color rgb="FF000000"/>
      </rPr>
      <t>https://www.youtube.com/channel/UC6gsovO_c2-DrUEfGMifbgg</t>
    </r>
    <r>
      <rPr>
        <rFont val="Arial"/>
        <color rgb="FF000000"/>
      </rPr>
      <t>|</t>
    </r>
  </si>
  <si>
    <t>Developer - Logic.Cat</t>
  </si>
  <si>
    <t>Marvelous AQL</t>
  </si>
  <si>
    <t>https://www.youtube.com/channel/UCnWlnvH7aa7-kHHyXVH_fRw|</t>
  </si>
  <si>
    <t>#MarvelousAQL OR "Marvelous AQL"</t>
  </si>
  <si>
    <t>#LogicCat | "Logic.Cat"</t>
  </si>
  <si>
    <t>Developer - Loneminded</t>
  </si>
  <si>
    <t>Marvelous Inc.</t>
  </si>
  <si>
    <t>https://www.youtube.com/user/MarvelousGamesEU|</t>
  </si>
  <si>
    <t>#MarvelousInc OR "Marvelous"</t>
  </si>
  <si>
    <t>#Loneminded | "Loneminded"</t>
  </si>
  <si>
    <t>Developer - LoneWolf Studios</t>
  </si>
  <si>
    <t>Mash Games</t>
  </si>
  <si>
    <t>https://www.youtube.com/channel/UC_GfoVnckK6AQn28Fr9G9hQ|</t>
  </si>
  <si>
    <t>#MashGames OR "Mash Games"</t>
  </si>
  <si>
    <t>#LoneWolfStudios | "LoneWolf Studios"</t>
  </si>
  <si>
    <r>
      <rPr>
        <rFont val="Arial"/>
        <color rgb="FF000000"/>
      </rPr>
      <t>https://www.youtube.com/channel/UCecRJe4fBPtj_G8zNlHn1Hw</t>
    </r>
    <r>
      <rPr>
        <rFont val="Arial"/>
        <color rgb="FF000000"/>
      </rPr>
      <t>|</t>
    </r>
  </si>
  <si>
    <t>Developer - Long Neck Games</t>
  </si>
  <si>
    <t>#LongNeckGames OR "Long Neck Games"</t>
  </si>
  <si>
    <t>Mass Creation</t>
  </si>
  <si>
    <r>
      <rPr>
        <rFont val="Calibri, sans-serif"/>
        <color rgb="FF000000"/>
        <sz val="10.0"/>
        <u/>
      </rPr>
      <t>https://www.youtube.com/channel/UCKdHOjzWS7YWOcAk5jCEERQ</t>
    </r>
    <r>
      <rPr>
        <rFont val="Calibri, sans-serif"/>
        <color rgb="FF000000"/>
        <sz val="10.0"/>
      </rPr>
      <t>|</t>
    </r>
  </si>
  <si>
    <t>#MassCreation OR "Mass Creation"</t>
  </si>
  <si>
    <t>#LongNeckGames | "Long Neck Games"</t>
  </si>
  <si>
    <t>Developer - Longtail Studios</t>
  </si>
  <si>
    <t>#LongtailStudios OR "Longtail Studios"</t>
  </si>
  <si>
    <t>Massive Damage, Inc.</t>
  </si>
  <si>
    <t>#MassiveDamageInc OR "Massive Damage,"</t>
  </si>
  <si>
    <t>#LongtailStudios | "Longtail Studios"</t>
  </si>
  <si>
    <t>Developer - LookAtMyGame</t>
  </si>
  <si>
    <t>#LookAtMyGame OR "LookAtMyGame"</t>
  </si>
  <si>
    <t>Massive Entertainment</t>
  </si>
  <si>
    <t>https://www.youtube.com/channel/UC4VT-B99uR3mzokfHHZg2Tg|</t>
  </si>
  <si>
    <t>#MassiveEntertainment OR "Massive Entertainment"</t>
  </si>
  <si>
    <t>#LookAtMyGame | "LookAtMyGame"</t>
  </si>
  <si>
    <r>
      <rPr>
        <rFont val="Arial"/>
        <color rgb="FF000000"/>
      </rPr>
      <t>https://www.youtube.com/channel/UCXr8SD15Yo4wmqi7b67o-eg</t>
    </r>
    <r>
      <rPr>
        <rFont val="Arial"/>
        <color rgb="FF000000"/>
      </rPr>
      <t>|</t>
    </r>
  </si>
  <si>
    <t>Developer - LoopyMood</t>
  </si>
  <si>
    <t>Mastiff</t>
  </si>
  <si>
    <t>https://www.youtube.com/channel/UCnmAaj1iTnV2sKFX72LVr6w|</t>
  </si>
  <si>
    <t>#Mastiff OR "Mastiff"</t>
  </si>
  <si>
    <t>#LoopyMood | "LoopyMood"</t>
  </si>
  <si>
    <t>Developer - Loren Lemcke</t>
  </si>
  <si>
    <t>#LorenLemcke OR "Loren Lemcke"</t>
  </si>
  <si>
    <t>Matt Makes Games Inc.</t>
  </si>
  <si>
    <t>#MattMakesGamesInc OR "Matt Makes Games"</t>
  </si>
  <si>
    <t>#LorenLemcke | "Loren Lemcke"</t>
  </si>
  <si>
    <t>https://www.youtube.com/channel/UC_lGPMbmA-VufP9ZoJumUIg|</t>
  </si>
  <si>
    <t>Developer - Lorestrome</t>
  </si>
  <si>
    <t>#Lorestrome OR "Lorestrome"</t>
  </si>
  <si>
    <t>Mattrified</t>
  </si>
  <si>
    <t>https://www.youtube.com/user/mattrified|</t>
  </si>
  <si>
    <t>#Mattrified OR "Mattrified"</t>
  </si>
  <si>
    <t>#Lorestrome | "Lorestrome"</t>
  </si>
  <si>
    <t>Developer - Lost in the Garden</t>
  </si>
  <si>
    <t>Mauricio Felippe</t>
  </si>
  <si>
    <t>https://www.youtube.com/channel/UCpu2467m4dO20Ur5RqL2xPQ|</t>
  </si>
  <si>
    <t>#MauricioFelippe OR "Mauricio Felippe"</t>
  </si>
  <si>
    <t>#LostintheGarden | "Lost in the Garden"</t>
  </si>
  <si>
    <t>Developer - Lost Tech LLC</t>
  </si>
  <si>
    <t>Mautilus s.r.o.</t>
  </si>
  <si>
    <t>https://www.youtube.com/channel/UCk7r6zuY-KY8BbPAxkuxeYA|</t>
  </si>
  <si>
    <t>#Mautilussro OR "Mautilus s.r.o."</t>
  </si>
  <si>
    <t>#LostTechLLC | "Lost Tech LLC"</t>
  </si>
  <si>
    <r>
      <rPr>
        <rFont val="Arial"/>
        <color rgb="FF000000"/>
      </rPr>
      <t>https://www.youtube.com/channel/UCZftUv3mrR0Focx-OSs1RGw</t>
    </r>
    <r>
      <rPr>
        <rFont val="Arial"/>
        <color rgb="FF000000"/>
      </rPr>
      <t>|</t>
    </r>
  </si>
  <si>
    <t>Developer - Lovedelic</t>
  </si>
  <si>
    <t>#Lovedelic OR "Lovedelic"</t>
  </si>
  <si>
    <t>Max Interactive Studio</t>
  </si>
  <si>
    <t>https://www.youtube.com/channel/UCVRk-31xACjsaqD5oZVmzhw|</t>
  </si>
  <si>
    <t>#MaxInteractiveStudio OR "Max Interactive Studio"</t>
  </si>
  <si>
    <t>#Lovedelic | "Lovedelic"</t>
  </si>
  <si>
    <t>https://www.youtube.com/channel/UCs9w3cGu4KTxKIw1w07zG-g|</t>
  </si>
  <si>
    <t>Developer - Loveridge Design</t>
  </si>
  <si>
    <t>Maxim Nuriev</t>
  </si>
  <si>
    <t>https://www.youtube.com/user/redmassacreg|</t>
  </si>
  <si>
    <t>#MaximNuriev OR "Maxim Nuriev"</t>
  </si>
  <si>
    <t>#LoveridgeDesign | "Loveridge Design"</t>
  </si>
  <si>
    <r>
      <rPr>
        <rFont val="Arial"/>
        <color rgb="FF000000"/>
      </rPr>
      <t>https://www.youtube.com/channel/UCi2D15tO0wi_REaPHALfE0A</t>
    </r>
    <r>
      <rPr>
        <rFont val="Arial"/>
        <color rgb="FF000000"/>
      </rPr>
      <t>|</t>
    </r>
  </si>
  <si>
    <t>Developer - Lozange Lab</t>
  </si>
  <si>
    <t>Maximum Games</t>
  </si>
  <si>
    <t>https://www.youtube.com/channel/UCQthemUrkJnFZRRmGfTvyGA|</t>
  </si>
  <si>
    <t>#MaximumGames OR "Maximum Games"</t>
  </si>
  <si>
    <t>#LozangeLab | "Lozange Lab"</t>
  </si>
  <si>
    <t>Developer - Lucas Pope</t>
  </si>
  <si>
    <t>#LucasPope OR "Lucas Pope"</t>
  </si>
  <si>
    <t>Maxis</t>
  </si>
  <si>
    <t>https://www.youtube.com/channel/UCEyMBWgXwz8ifr-0JBa4LUw|</t>
  </si>
  <si>
    <t>#Maxis OR "Maxis"</t>
  </si>
  <si>
    <t>#LucasPope | "Lucas Pope"</t>
  </si>
  <si>
    <t>Developer - Lucasfilm Games (Legacy)</t>
  </si>
  <si>
    <t>#LucasfilmGamesLegacy OR "Lucasfilm Games (Legacy)"</t>
  </si>
  <si>
    <t>Maze Theory</t>
  </si>
  <si>
    <t>https://www.youtube.com/channel/UCcJ2YL3RRtvlqP3IOKkFjrw|</t>
  </si>
  <si>
    <t>#MazeTheory OR "Maze Theory"</t>
  </si>
  <si>
    <t>#LucasfilmGamesLegacy | "Lucasfilm Games (Legacy)"</t>
  </si>
  <si>
    <t>Developer - LuchinVladimir</t>
  </si>
  <si>
    <t>#LuchinVladimir OR "LuchinVladimir"</t>
  </si>
  <si>
    <t>MCW</t>
  </si>
  <si>
    <t>#MCW OR "MCW"</t>
  </si>
  <si>
    <t>#LuchinVladimir | "LuchinVladimir"</t>
  </si>
  <si>
    <t>Developer - Lucid</t>
  </si>
  <si>
    <t>#Lucid OR "Lucid"</t>
  </si>
  <si>
    <t>MD GAMES</t>
  </si>
  <si>
    <t>https://www.youtube.com/channel/UCtAJgJtgZznL6Dq-MLlroeQ|</t>
  </si>
  <si>
    <t>#MDGAMES OR "MD GAMES"</t>
  </si>
  <si>
    <t>#Lucid | "Lucid"</t>
  </si>
  <si>
    <t>Developer - Lucid Dreams Studio</t>
  </si>
  <si>
    <t>#LucidDreamsStudio OR "Lucid Dreams Studio"</t>
  </si>
  <si>
    <t>Mechabit Ltd</t>
  </si>
  <si>
    <t>https://www.youtube.com/channel/UCUNyKybk5xqiUI1h9baRezA|</t>
  </si>
  <si>
    <t>#MechabitLtd OR "Mechabit Ltd"</t>
  </si>
  <si>
    <t>#LucidDreamsStudio | "Lucid Dreams Studio"</t>
  </si>
  <si>
    <t>https://www.youtube.com/channel/UCOjRoWihjFWMTg5iTBJWwFA|</t>
  </si>
  <si>
    <t>Developer - Lucid Games</t>
  </si>
  <si>
    <t>MEDIAPRODUCCION SL</t>
  </si>
  <si>
    <t>https://www.youtube.com/channel/UCbvWA6i9hCFkcCsv22gua1g|</t>
  </si>
  <si>
    <t>#MEDIAPRODUCCIONSL OR "MEDIAPRODUCCION SL"</t>
  </si>
  <si>
    <t>#LucidGames | "Lucid Games"</t>
  </si>
  <si>
    <t>Developer - Lucky Brograms</t>
  </si>
  <si>
    <t>#LuckyBrograms OR "Lucky Brograms"</t>
  </si>
  <si>
    <t>Mediascape</t>
  </si>
  <si>
    <t>#Mediascape OR "Mediascape"</t>
  </si>
  <si>
    <t>#LuckyBrograms | "Lucky Brograms"</t>
  </si>
  <si>
    <t>https://www.youtube.com/channel/UCmsnPCpl52pj_Iq2cdXo0cg|</t>
  </si>
  <si>
    <t>Developer - Lucky Mountain Games</t>
  </si>
  <si>
    <t>#LuckyMountainGames OR "Lucky Mountain Games"</t>
  </si>
  <si>
    <t>Meerkat Gaming</t>
  </si>
  <si>
    <t>#MeerkatGaming OR "Meerkat Gaming"</t>
  </si>
  <si>
    <t>#LuckyMountainGames | "Lucky Mountain Games"</t>
  </si>
  <si>
    <r>
      <rPr>
        <rFont val="Arial"/>
        <color rgb="FF000000"/>
      </rPr>
      <t>https://www.youtube.com/channel/UCfdc7MEZ4Bo0LSSg53OliwA</t>
    </r>
    <r>
      <rPr>
        <rFont val="Arial"/>
        <color rgb="FF000000"/>
      </rPr>
      <t>|</t>
    </r>
  </si>
  <si>
    <t>Developer - LuckyHammers</t>
  </si>
  <si>
    <t>#LuckyHammers OR "LuckyHammers"</t>
  </si>
  <si>
    <t>Mega Cat Studios</t>
  </si>
  <si>
    <t>https://www.youtube.com/channel/UCNPmGfnaHl3cpuKEfT4Jy6Q|</t>
  </si>
  <si>
    <t>#MegaCatStudios OR "Mega Cat Studios"</t>
  </si>
  <si>
    <t>#LuckyHammers | "LuckyHammers"</t>
  </si>
  <si>
    <t>https://www.youtube.com/channel/UCefIPrWmctZNTnJ-0aPsTng|</t>
  </si>
  <si>
    <t>Developer - Ludicrous Games LLC</t>
  </si>
  <si>
    <t>Mega Crit Games</t>
  </si>
  <si>
    <t>https://www.youtube.com/channel/UCEFMIvLMz1cwKhB9GD_hAWw|</t>
  </si>
  <si>
    <t>#MegaCritGames OR "Mega Crit Games"</t>
  </si>
  <si>
    <t>#LudicrousGamesLLC | "Ludicrous Games LLC"</t>
  </si>
  <si>
    <r>
      <rPr>
        <rFont val="Arial"/>
        <color rgb="FF000000"/>
      </rPr>
      <t>https://www.youtube.com/channel/UCGUcVYigR9BrSrN-G9lUQCA</t>
    </r>
    <r>
      <rPr>
        <rFont val="Arial"/>
        <color rgb="FF000000"/>
      </rPr>
      <t>|</t>
    </r>
  </si>
  <si>
    <t>Developer - Ludomotion</t>
  </si>
  <si>
    <t>#Ludomotion OR "Ludomotion"</t>
  </si>
  <si>
    <t>Megastorm Games</t>
  </si>
  <si>
    <t>#MegastormGames OR "Megastorm Games"</t>
  </si>
  <si>
    <t>#Ludomotion | "Ludomotion"</t>
  </si>
  <si>
    <t>https://www.youtube.com/user/Bezircle|</t>
  </si>
  <si>
    <t>Developer - LuGus Studios</t>
  </si>
  <si>
    <t>#LuGusStudios OR "LuGus Studios"</t>
  </si>
  <si>
    <t>Mehrdad Pakbaz</t>
  </si>
  <si>
    <t>#MehrdadPakbaz OR "Mehrdad Pakbaz"</t>
  </si>
  <si>
    <t>#LuGusStudios | "LuGus Studios"</t>
  </si>
  <si>
    <t>https://www.youtube.com/channel/UCjfAr0iVkNBvVz9mocMS7Qw|</t>
  </si>
  <si>
    <t>Developer - Luis Antonio</t>
  </si>
  <si>
    <t>#LuisAntonio OR "Luis Antonio"</t>
  </si>
  <si>
    <t>Mekiwi</t>
  </si>
  <si>
    <t>https://youtube.com/channel/UCjwgi8gJE6Ptk06xtC1oKAA|</t>
  </si>
  <si>
    <t>#Mekiwi OR "Mekiwi"</t>
  </si>
  <si>
    <t>#LuisAntonio | "Luis Antonio"</t>
  </si>
  <si>
    <t>Developer - Lumen Game Dev</t>
  </si>
  <si>
    <t>Melbot Studios</t>
  </si>
  <si>
    <t>#MelbotStudios OR "Melbot Studios"</t>
  </si>
  <si>
    <t>#LumenGameDev | "Lumen Game Dev"</t>
  </si>
  <si>
    <t>Developer - Lumenox ehf</t>
  </si>
  <si>
    <t>Mental Drink</t>
  </si>
  <si>
    <t>#MentalDrink OR "Mental Drink"</t>
  </si>
  <si>
    <t>#Lumenoxehf | "Lumenox ehf"</t>
  </si>
  <si>
    <t>Developer - Lunar Great Wall Studios</t>
  </si>
  <si>
    <t>#LunarGreatWallStudios OR "Lunar Great Wall Studios"</t>
  </si>
  <si>
    <t>Mental Moose</t>
  </si>
  <si>
    <t>https://www.youtube.com/channel/UCyDQDUAwqHunzfCWrQ11Zmg|</t>
  </si>
  <si>
    <t>#MentalMoose OR "Mental Moose"</t>
  </si>
  <si>
    <t>#LunarGreatWallStudios | "Lunar Great Wall Studios"</t>
  </si>
  <si>
    <t>https://www.youtube.com/channel/UCqE3hifuc1yfbBBFE6peCOw|</t>
  </si>
  <si>
    <t>Developer - Lunar Ray Games</t>
  </si>
  <si>
    <t>#LunarRayGames OR "Lunar Ray Games"</t>
  </si>
  <si>
    <t>Mercury Steam</t>
  </si>
  <si>
    <t>https://www.youtube.com/channel/UCT56v9xTV0UnQY63I840Saw|</t>
  </si>
  <si>
    <t>#MercurySteam OR "Mercury Steam"</t>
  </si>
  <si>
    <t>#LunarRayGames | "Lunar Ray Games"</t>
  </si>
  <si>
    <t>https://www.youtube.com/user/LunarRayGames|</t>
  </si>
  <si>
    <t>Developer - Lunic Games / Danilo Domingues</t>
  </si>
  <si>
    <t>#LunicGamesDaniloDomingues OR "Lunic Games / Danilo Domingues"</t>
  </si>
  <si>
    <t>Mercury Steam Entertainment SL</t>
  </si>
  <si>
    <r>
      <rPr>
        <rFont val="Calibri, sans-serif"/>
        <color rgb="FF000000"/>
        <sz val="10.0"/>
        <u/>
      </rPr>
      <t>https://www.youtube.com/channel/UCT56v9xTV0UnQY63I840Saw</t>
    </r>
    <r>
      <rPr>
        <rFont val="Calibri, sans-serif"/>
        <color rgb="FF000000"/>
        <sz val="10.0"/>
      </rPr>
      <t>|</t>
    </r>
  </si>
  <si>
    <t>#MercurySteamEntertainmentSL OR "Mercury Steam Entertainment SL"</t>
  </si>
  <si>
    <t>#LunicGamesDaniloDomingues | "Lunic Games / Danilo Domingues"</t>
  </si>
  <si>
    <t>https://www.youtube.com/channel/UClD7HTiBNWx1woqY77PO3Vw|</t>
  </si>
  <si>
    <t>Developer - LVF STUDIO</t>
  </si>
  <si>
    <t>Merge Games</t>
  </si>
  <si>
    <t>https://www.youtube.com/mergegames|</t>
  </si>
  <si>
    <t>#MergeGames OR "Merge Games"</t>
  </si>
  <si>
    <t>#LVFSTUDIO | "LVF STUDIO"</t>
  </si>
  <si>
    <r>
      <rPr>
        <rFont val="Arial"/>
        <color rgb="FF000000"/>
      </rPr>
      <t>https://www.youtube.com/channel/UCP0dqoC3-Shx3pMraph_QlQ</t>
    </r>
    <r>
      <rPr>
        <rFont val="Arial"/>
        <color rgb="FF000000"/>
      </rPr>
      <t>|</t>
    </r>
  </si>
  <si>
    <t>Developer - Lyrelark 2021</t>
  </si>
  <si>
    <t>#Lyrelark2021 OR "Lyrelark 2021"</t>
  </si>
  <si>
    <t>Merj Media</t>
  </si>
  <si>
    <t>#MerjMedia OR "Merj Media"</t>
  </si>
  <si>
    <t>#Lyrelark2021 | "Lyrelark 2021"</t>
  </si>
  <si>
    <t>Developer - M07 Games</t>
  </si>
  <si>
    <t>Messhof</t>
  </si>
  <si>
    <t>https://www.youtube.com/user/messhof|</t>
  </si>
  <si>
    <t>#Messhof OR "Messhof"</t>
  </si>
  <si>
    <t>#M07Games | "M07 Games"</t>
  </si>
  <si>
    <r>
      <rPr>
        <rFont val="Arial"/>
        <color rgb="FF000000"/>
      </rPr>
      <t>https://www.youtube.com/channel/UCaTrGp_3GwyZ6pNcgjycflQ</t>
    </r>
    <r>
      <rPr>
        <rFont val="Arial"/>
        <color rgb="FF000000"/>
      </rPr>
      <t>|</t>
    </r>
  </si>
  <si>
    <t>Developer - M2</t>
  </si>
  <si>
    <t>META Publishing</t>
  </si>
  <si>
    <t>https://www.youtube.com/channel/UCKmFzdYS6VETZ-ivArHXRLw|</t>
  </si>
  <si>
    <t>#METAPublishing OR "META Publishing"</t>
  </si>
  <si>
    <t>#M2 | "M2"</t>
  </si>
  <si>
    <t>Developer - M2H</t>
  </si>
  <si>
    <t>Metalhead Software</t>
  </si>
  <si>
    <t>https://www.youtube.com/user/MetalheadSoftware|</t>
  </si>
  <si>
    <t>#MetalheadSoftware OR "Metalhead Software"</t>
  </si>
  <si>
    <t>#M2H | "M2H"</t>
  </si>
  <si>
    <t>Developer - MachineGames</t>
  </si>
  <si>
    <t>#MachineGames OR "MachineGames"</t>
  </si>
  <si>
    <t>Metanaut</t>
  </si>
  <si>
    <t>https://www.youtube.com/channel/UCM_WNm6AaPqoimDcmGbdz9A|</t>
  </si>
  <si>
    <t>#Metanaut OR "Metanaut"</t>
  </si>
  <si>
    <t>#MachineGames | "MachineGames"</t>
  </si>
  <si>
    <t>Developer - Macrales Studio</t>
  </si>
  <si>
    <t>#MacralesStudio OR "Macrales Studio"</t>
  </si>
  <si>
    <t>Metanet Software Inc.</t>
  </si>
  <si>
    <r>
      <rPr>
        <rFont val="Calibri, sans-serif"/>
        <color rgb="FF000000"/>
        <sz val="10.0"/>
        <u/>
      </rPr>
      <t>https://www.youtube.com/channel/UClnQFEB9kbk1QI8qx2ICZdA</t>
    </r>
    <r>
      <rPr>
        <rFont val="Calibri, sans-serif"/>
        <color rgb="FF000000"/>
        <sz val="10.0"/>
      </rPr>
      <t>|</t>
    </r>
  </si>
  <si>
    <t>#MetanetSoftwareInc OR "Metanet Software"</t>
  </si>
  <si>
    <t>#MacralesStudio | "Macrales Studio"</t>
  </si>
  <si>
    <t>https://www.youtube.com/channel/UCvzqFzCWFVA6r-SzN8KtzXw|</t>
  </si>
  <si>
    <t>Developer - Mad About Pandas</t>
  </si>
  <si>
    <t>#MadAboutPandas OR "Mad About Pandas"</t>
  </si>
  <si>
    <t>Meteorbyte Studios</t>
  </si>
  <si>
    <t>https://www.youtube.com/channel/UCV5cgq7nzdlj3QILuZ-9BKQ|</t>
  </si>
  <si>
    <t>#MeteorbyteStudios OR "Meteorbyte Studios"</t>
  </si>
  <si>
    <t>#MadAboutPandas | "Mad About Pandas"</t>
  </si>
  <si>
    <r>
      <rPr>
        <rFont val="Arial"/>
        <color rgb="FF000000"/>
      </rPr>
      <t>https://www.youtube.com/channel/UCf4yOfOFpTfhYWj14fUfcaA</t>
    </r>
    <r>
      <rPr>
        <rFont val="Arial"/>
        <color rgb="FF000000"/>
      </rPr>
      <t>|</t>
    </r>
  </si>
  <si>
    <t>Developer - MAD DOG GAMES LLC</t>
  </si>
  <si>
    <t>Metronomik</t>
  </si>
  <si>
    <t>https://www.youtube.com/channel/UC_4urX_QDK7iC_d2FPCt9fg|</t>
  </si>
  <si>
    <t>#Metronomik OR "Metronomik"</t>
  </si>
  <si>
    <t>#MADDOGGAMESLLC | "MAD DOG GAMES LLC"</t>
  </si>
  <si>
    <t>Developer - Mad Fellows Ltd</t>
  </si>
  <si>
    <t>Michael Todd Games</t>
  </si>
  <si>
    <t>#MichaelToddGames OR "Michael Todd Games"</t>
  </si>
  <si>
    <t>#MadFellowsLtd | "Mad Fellows Ltd"</t>
  </si>
  <si>
    <t>Developer - Mad Mimic</t>
  </si>
  <si>
    <t>MichaelArts</t>
  </si>
  <si>
    <t>#MichaelArts OR "MichaelArts"</t>
  </si>
  <si>
    <t>#MadMimic | "Mad Mimic"</t>
  </si>
  <si>
    <t>Developer - MAD.com</t>
  </si>
  <si>
    <t>Micro</t>
  </si>
  <si>
    <t>#Micro OR "Micro"</t>
  </si>
  <si>
    <t>#MADcom | "MAD.com"</t>
  </si>
  <si>
    <t>Developer - MADE GmbH</t>
  </si>
  <si>
    <t>MicrobrainGames</t>
  </si>
  <si>
    <t>#MicrobrainGames OR "MicrobrainGames"</t>
  </si>
  <si>
    <t>#MADEGmbH | "MADE GmbH"</t>
  </si>
  <si>
    <t>Developer - Madmind Studio</t>
  </si>
  <si>
    <t>#MadmindStudio OR "Madmind Studio"</t>
  </si>
  <si>
    <t>Microids</t>
  </si>
  <si>
    <t>#MadmindStudio | "Madmind Studio"</t>
  </si>
  <si>
    <t>https://www.youtube.com/channel/UC9O-JlW4y6zba_D4b12w7zA|</t>
  </si>
  <si>
    <t>Developer - Madruga Works</t>
  </si>
  <si>
    <t>Microsoft</t>
  </si>
  <si>
    <t>https://www.youtube.com/channel/UCFtEEv80fQVKkD4h1PF-Xqw|</t>
  </si>
  <si>
    <t>#Microsoft OR "Microsoft"</t>
  </si>
  <si>
    <t>#MadrugaWorks | "Madruga Works"</t>
  </si>
  <si>
    <t>Developer - Mages.</t>
  </si>
  <si>
    <t>Microsoft Corporation</t>
  </si>
  <si>
    <t>https://www.youtube.com/user/IndiaMicrosoftVideos|</t>
  </si>
  <si>
    <t>#MicrosoftCorporation OR "Microsoft Corporation"</t>
  </si>
  <si>
    <t>#Mages | "Mages."</t>
  </si>
  <si>
    <t>Developer - Magic Design Studios</t>
  </si>
  <si>
    <t>Microsoft Game Studios</t>
  </si>
  <si>
    <t>https://www.youtube.com/user/xbox|</t>
  </si>
  <si>
    <t>#MicrosoftGameStudios OR "Microsoft Game Studios"</t>
  </si>
  <si>
    <t>#MagicDesignStudios | "Magic Design Studios"</t>
  </si>
  <si>
    <t>Developer - Magic Pixel Kft.</t>
  </si>
  <si>
    <t>MidBoss</t>
  </si>
  <si>
    <t>https://www.youtube.com/channel/UCwsn5acq4AJwrVSZbqdtPtw|</t>
  </si>
  <si>
    <t>#MidBoss OR "MidBoss"</t>
  </si>
  <si>
    <t>#MagicPixelKft | "Magic Pixel Kft."</t>
  </si>
  <si>
    <t>Developer - Magic Pockets</t>
  </si>
  <si>
    <t>#MagicPockets OR "Magic Pockets"</t>
  </si>
  <si>
    <t>Midgar Studio</t>
  </si>
  <si>
    <t>https://www.youtube.com/channel/UCX_WILw_lgDUTs0GtvI4CKg|</t>
  </si>
  <si>
    <t>#MidgarStudio OR "Midgar Studio"</t>
  </si>
  <si>
    <t>#MagicPockets | "Magic Pockets"</t>
  </si>
  <si>
    <r>
      <rPr>
        <rFont val="Arial"/>
        <color rgb="FF000000"/>
      </rPr>
      <t>https://www.youtube.com/channel/UCKwDV42FW6NwLAu_A7bNbXA</t>
    </r>
    <r>
      <rPr>
        <rFont val="Arial"/>
        <color rgb="FF000000"/>
      </rPr>
      <t>|</t>
    </r>
  </si>
  <si>
    <t>Developer - Magic Sandbox</t>
  </si>
  <si>
    <t>#MagicSandbox OR "Magic Sandbox"</t>
  </si>
  <si>
    <t>Midnight City</t>
  </si>
  <si>
    <t>#MidnightCity OR "Midnight City"</t>
  </si>
  <si>
    <t>#MagicSandbox | "Magic Sandbox"</t>
  </si>
  <si>
    <t>Developer - MAGIC Spell Studios</t>
  </si>
  <si>
    <t>Midnight Hub</t>
  </si>
  <si>
    <t>https://www.youtube.com/channel/UCb28GKTJddxa2Bk2xqOW4cw|</t>
  </si>
  <si>
    <t>#MidnightHub OR "Midnight Hub"</t>
  </si>
  <si>
    <t>#MAGICSpellStudios | "MAGIC Spell Studios"</t>
  </si>
  <si>
    <t>Developer - Magicfish Studio</t>
  </si>
  <si>
    <t>#MagicfishStudio OR "Magicfish Studio"</t>
  </si>
  <si>
    <t>Midtask</t>
  </si>
  <si>
    <t>#Midtask OR "Midtask"</t>
  </si>
  <si>
    <t>#MagicfishStudio | "Magicfish Studio"</t>
  </si>
  <si>
    <t>Developer - MagneticRealms</t>
  </si>
  <si>
    <t>Mighty Rabbit Studios</t>
  </si>
  <si>
    <t>#MightyRabbitStudios OR "Mighty Rabbit Studios"</t>
  </si>
  <si>
    <t>#MagneticRealms | "MagneticRealms"</t>
  </si>
  <si>
    <t>Developer - Magnin &amp; Associates</t>
  </si>
  <si>
    <t>#MagninandAssociates OR "Magnin &amp; Associates"</t>
  </si>
  <si>
    <t>Mighty Studios LLC</t>
  </si>
  <si>
    <t>https://www.youtube.com/user/mightystudiosvids|</t>
  </si>
  <si>
    <t>#MightyStudiosLLC OR "Mighty Studios LLC"</t>
  </si>
  <si>
    <t>#MagninandAssociates | "Magnin &amp; Associates"</t>
  </si>
  <si>
    <t>Developer - Magnin and Associates</t>
  </si>
  <si>
    <t>miHoYo</t>
  </si>
  <si>
    <t>https://www.youtube.com/channel/UCVWIHM1P7kh1RrZQXLg8Yhw|</t>
  </si>
  <si>
    <t>#miHoYo OR "miHoYo"</t>
  </si>
  <si>
    <t>#MagninandAssociates | "Magnin and Associates"</t>
  </si>
  <si>
    <t>Developer - MaikelChan</t>
  </si>
  <si>
    <t>Mike Bithell</t>
  </si>
  <si>
    <t>https://www.youtube.com/channel/UCv6OKznvPrwdqHVBZoAZXnw|</t>
  </si>
  <si>
    <t>#MikeBithell OR "Mike Bithell"</t>
  </si>
  <si>
    <t>#MaikelChan | "MaikelChan"</t>
  </si>
  <si>
    <t>Developer - MakinGames</t>
  </si>
  <si>
    <t>Mike Palotas</t>
  </si>
  <si>
    <r>
      <rPr>
        <rFont val="Calibri, sans-serif"/>
        <color rgb="FF000000"/>
        <sz val="10.0"/>
        <u/>
      </rPr>
      <t>https://www.youtube.com/channel/UCA-6P7uVzm47r1PZ2SHNIOQ</t>
    </r>
    <r>
      <rPr>
        <rFont val="Calibri, sans-serif"/>
        <color rgb="FF000000"/>
        <sz val="10.0"/>
      </rPr>
      <t>|</t>
    </r>
  </si>
  <si>
    <t>#MikePalotas OR "Mike Palotas"</t>
  </si>
  <si>
    <t>#MakinGames | "MakinGames"</t>
  </si>
  <si>
    <t>Developer - Makoto Sanada</t>
  </si>
  <si>
    <t>#MakotoSanada OR "Makoto Sanada"</t>
  </si>
  <si>
    <t>MilanDevelopment</t>
  </si>
  <si>
    <t>#MilanDevelopment OR "MilanDevelopment"</t>
  </si>
  <si>
    <t>#MakotoSanada | "Makoto Sanada"</t>
  </si>
  <si>
    <t>Developer - Man-Eater Games</t>
  </si>
  <si>
    <t>#ManEaterGames OR "Man-Eater Games"</t>
  </si>
  <si>
    <t>Milestone</t>
  </si>
  <si>
    <r>
      <rPr>
        <rFont val="Calibri, sans-serif"/>
        <color rgb="FF000000"/>
        <sz val="10.0"/>
        <u/>
      </rPr>
      <t>https://www.youtube.com/channel/UCy9_4oCluE1Cih3QjQWLjdg</t>
    </r>
    <r>
      <rPr>
        <rFont val="Calibri, sans-serif"/>
        <color rgb="FF000000"/>
        <sz val="10.0"/>
      </rPr>
      <t>|</t>
    </r>
  </si>
  <si>
    <t>#Milestone OR "Milestone"</t>
  </si>
  <si>
    <t>#ManEaterGames | "Man-Eater Games"</t>
  </si>
  <si>
    <t>Developer - ManaVoid Entertainment Inc.</t>
  </si>
  <si>
    <t>MileStone Inc.</t>
  </si>
  <si>
    <t>#MileStoneInc OR "MileStone"</t>
  </si>
  <si>
    <t>#ManaVoidEntertainmentInc | "ManaVoid Entertainment"</t>
  </si>
  <si>
    <t>Developer - Mandragora</t>
  </si>
  <si>
    <t>Milestone S.r.l</t>
  </si>
  <si>
    <t>https://www.youtube.com/channel/UCy9_4oCluE1Cih3QjQWLjdg|</t>
  </si>
  <si>
    <t>#MilestoneSrl OR "Milestone S.r.l"</t>
  </si>
  <si>
    <t>#Mandragora | "Mandragora"</t>
  </si>
  <si>
    <t>Developer - Manekoware</t>
  </si>
  <si>
    <t>Milkbag Games</t>
  </si>
  <si>
    <t>https://www.youtube.com/channel/UCBasbl6N1gMEOnAHHzBYy5g|</t>
  </si>
  <si>
    <t>#MilkbagGames OR "Milkbag Games"</t>
  </si>
  <si>
    <t>#Manekoware | "Manekoware"</t>
  </si>
  <si>
    <t>Developer - Mango Protocol</t>
  </si>
  <si>
    <t>Milkstone Studios</t>
  </si>
  <si>
    <t>https://www.youtube.com/user/MilkstoneStudios|</t>
  </si>
  <si>
    <t>#MilkstoneStudios OR "Milkstone Studios"</t>
  </si>
  <si>
    <t>#MangoProtocol | "Mango Protocol"</t>
  </si>
  <si>
    <t>Developer - Mantisco</t>
  </si>
  <si>
    <t>Milky Tea Ltd</t>
  </si>
  <si>
    <t>#MilkyTeaLtd OR "Milky Tea Ltd"</t>
  </si>
  <si>
    <t>#Mantisco | "Mantisco"</t>
  </si>
  <si>
    <t>Developer - Manufacture 43</t>
  </si>
  <si>
    <t>Milky Tea Studios</t>
  </si>
  <si>
    <t>https://www.youtube.com/user/MilkyTeaStudios|</t>
  </si>
  <si>
    <t>#MilkyTeaStudios OR "Milky Tea Studios"</t>
  </si>
  <si>
    <t>#Manufacture43 | "Manufacture 43"</t>
  </si>
  <si>
    <t>Developer - Maple Powered Games</t>
  </si>
  <si>
    <t>#MaplePoweredGames OR "Maple Powered Games"</t>
  </si>
  <si>
    <t>Mind Body Aware Games LLC</t>
  </si>
  <si>
    <t>#MindBodyAwareGamesLLC OR "Mind Body Aware Games LLC"</t>
  </si>
  <si>
    <t>#MaplePoweredGames | "Maple Powered Games"</t>
  </si>
  <si>
    <t>Developer - Marcelo Barbosa</t>
  </si>
  <si>
    <t>#MarceloBarbosa OR "Marcelo Barbosa"</t>
  </si>
  <si>
    <t>Mind's Eye Games</t>
  </si>
  <si>
    <t>https://www.youtube.com/channel/UC-6lKpzUEstmWHkKB1B81_A|</t>
  </si>
  <si>
    <t>#MindsEyeGames OR "Mind's Eye Games"</t>
  </si>
  <si>
    <t>#MarceloBarbosa | "Marcelo Barbosa"</t>
  </si>
  <si>
    <t>Developer - Marcos Game Dev</t>
  </si>
  <si>
    <t>#MarcosGameDev OR "Marcos Game Dev"</t>
  </si>
  <si>
    <t>Minibeast LLC</t>
  </si>
  <si>
    <t>#MinibeastLLC OR "Minibeast LLC"</t>
  </si>
  <si>
    <t>#MarcosGameDev | "Marcos Game Dev"</t>
  </si>
  <si>
    <t>https://www.youtube.com/channel/UCC0RqWklkXJwAd_HIsxRZDg|</t>
  </si>
  <si>
    <t>Developer - Marionette Games</t>
  </si>
  <si>
    <t>#MarionetteGames OR "Marionette Games"</t>
  </si>
  <si>
    <t>Miniclip</t>
  </si>
  <si>
    <t>https://www.youtube.com/miniclip|</t>
  </si>
  <si>
    <t>#Miniclip OR "Miniclip"</t>
  </si>
  <si>
    <t>#MarionetteGames | "Marionette Games"</t>
  </si>
  <si>
    <t>https://www.youtube.com/channel/UCIbS7viCVmXLPD9U7nnuCAA|</t>
  </si>
  <si>
    <t>Developer - Marker Limited</t>
  </si>
  <si>
    <t>Miniclip.com</t>
  </si>
  <si>
    <t>https://www.youtube.com/user/roberto97spain|</t>
  </si>
  <si>
    <t>#Miniclipcom OR "Miniclip.com"</t>
  </si>
  <si>
    <t>#MarkerLimited | "Marker Limited"</t>
  </si>
  <si>
    <t>Developer - Markt &amp; Technik</t>
  </si>
  <si>
    <t>MINLISOFT</t>
  </si>
  <si>
    <t>#MINLISOFT OR "MINLISOFT"</t>
  </si>
  <si>
    <t>#MarktandTechnik | "Markt &amp; Technik"</t>
  </si>
  <si>
    <r>
      <rPr>
        <rFont val="Arial"/>
        <color rgb="FF000000"/>
      </rPr>
      <t>https://www.youtube.com/channel/UCEssyFtGqMHERRiwTVEU29w</t>
    </r>
    <r>
      <rPr>
        <rFont val="Arial"/>
        <color rgb="FF000000"/>
      </rPr>
      <t>|</t>
    </r>
  </si>
  <si>
    <t>Developer - Marslit Games</t>
  </si>
  <si>
    <t>#MarslitGames OR "Marslit Games"</t>
  </si>
  <si>
    <t>Minority Media Inc.</t>
  </si>
  <si>
    <t>https://www.youtube.com/user/MinorityMediaInc|</t>
  </si>
  <si>
    <t>#MinorityMediaInc OR "Minority Media"</t>
  </si>
  <si>
    <t>#MarslitGames | "Marslit Games"</t>
  </si>
  <si>
    <r>
      <rPr>
        <rFont val="Arial"/>
        <color rgb="FF000000"/>
      </rPr>
      <t>https://www.youtube.com/channel/UCJCcrNCqKIcyb-9A4Wlq3tQ</t>
    </r>
    <r>
      <rPr>
        <rFont val="Arial"/>
        <color rgb="FF000000"/>
      </rPr>
      <t>|</t>
    </r>
  </si>
  <si>
    <t>Developer - Martin Magni</t>
  </si>
  <si>
    <t>#MartinMagni OR "Martin Magni"</t>
  </si>
  <si>
    <t>Mirage Interactive (China)</t>
  </si>
  <si>
    <t>#MirageInteractiveChina OR "Mirage Interactive (China)"</t>
  </si>
  <si>
    <t>#MartinMagni | "Martin Magni"</t>
  </si>
  <si>
    <t>https://www.youtube.com/channel/UCckfyog_-zyeR5WoWKhc_XQ|</t>
  </si>
  <si>
    <t>Developer - Marvelous Inc.</t>
  </si>
  <si>
    <t>Mire Studios</t>
  </si>
  <si>
    <t>https://www.youtube.com/channel/UCjojl_EWBXC8S8wIPjrobEA|</t>
  </si>
  <si>
    <t>#MireStudios OR "Mire Studios"</t>
  </si>
  <si>
    <t>#MarvelousInc | "Marvelous"</t>
  </si>
  <si>
    <t>Developer - Maschinen-Mensch</t>
  </si>
  <si>
    <t>#MaschinenMensch OR "Maschinen-Mensch"</t>
  </si>
  <si>
    <t>MIROWIN</t>
  </si>
  <si>
    <t>https://www.youtube.com/channel/UCMKmIdu3ZndpqD9n32ZIifw|</t>
  </si>
  <si>
    <t>#MIROWIN OR "MIROWIN"</t>
  </si>
  <si>
    <t>#MaschinenMensch | "Maschinen-Mensch"</t>
  </si>
  <si>
    <t>https://www.youtube.com/channel/UCnHy9PebZ7Hw8MY5oJOo-pA|</t>
  </si>
  <si>
    <t>Developer - Mash Games</t>
  </si>
  <si>
    <t>Misc Games</t>
  </si>
  <si>
    <t>https://www.youtube.com/channel/UC3JfVbPcC7lDuHmey3-XHvw|</t>
  </si>
  <si>
    <t>#MiscGames OR "Misc Games"</t>
  </si>
  <si>
    <t>#MashGames | "Mash Games"</t>
  </si>
  <si>
    <t>Developer - Mass Creation</t>
  </si>
  <si>
    <t>Mischief</t>
  </si>
  <si>
    <t>https://www.youtube.com/channel/UCXIH8lJ-nGFaJP5m5cO3rhg|</t>
  </si>
  <si>
    <t>#Mischief OR "Mischief"</t>
  </si>
  <si>
    <t>#MassCreation | "Mass Creation"</t>
  </si>
  <si>
    <r>
      <rPr>
        <rFont val="Arial"/>
        <color rgb="FF000000"/>
      </rPr>
      <t>https://www.youtube.com/channel/UCKdHOjzWS7YWOcAk5jCEERQ</t>
    </r>
    <r>
      <rPr>
        <rFont val="Arial"/>
        <color rgb="FF000000"/>
      </rPr>
      <t>|</t>
    </r>
  </si>
  <si>
    <t>Developer - Mass Media</t>
  </si>
  <si>
    <t>#MassMedia OR "Mass Media"</t>
  </si>
  <si>
    <t>mistopportunity</t>
  </si>
  <si>
    <t>#mistopportunity OR "mistopportunity"</t>
  </si>
  <si>
    <t>#MassMedia | "Mass Media"</t>
  </si>
  <si>
    <t>Developer - Massive Entertainment</t>
  </si>
  <si>
    <t>Mixed Realms Pte Ltd</t>
  </si>
  <si>
    <t>https://www.youtube.com/channel/UCvV4B8XDw8IuvQfCSJdra-A|</t>
  </si>
  <si>
    <t>#MixedRealmsPteLtd OR "Mixed Realms Pte Ltd"</t>
  </si>
  <si>
    <t>#MassiveEntertainment | "Massive Entertainment"</t>
  </si>
  <si>
    <t>Developer - Massive Monster</t>
  </si>
  <si>
    <t>#MassiveMonster OR "Massive Monster"</t>
  </si>
  <si>
    <t>MixedBag</t>
  </si>
  <si>
    <t>https://www.youtube.com/channel/UC3VkphZ-pv7p-RHAHgdfXzw|</t>
  </si>
  <si>
    <t>#MixedBag OR "MixedBag"</t>
  </si>
  <si>
    <t>#MassiveMonster | "Massive Monster"</t>
  </si>
  <si>
    <t>https://www.youtube.com/channel/UC-z28AAWkqUnGNo_TejEuPA|</t>
  </si>
  <si>
    <t>Developer - MasterCode</t>
  </si>
  <si>
    <t>#MasterCode OR "MasterCode"</t>
  </si>
  <si>
    <t>Mixtvision</t>
  </si>
  <si>
    <t>https://www.youtube.com/channel/UCI0r9unjyY8Ad6GE7H5Dl5w|</t>
  </si>
  <si>
    <t>#Mixtvision OR "Mixtvision"</t>
  </si>
  <si>
    <t>#MasterCode | "MasterCode"</t>
  </si>
  <si>
    <t>Developer - Mastiff</t>
  </si>
  <si>
    <t>mixtvision digital GmbH &amp; Co.KG</t>
  </si>
  <si>
    <t>#mixtvisiondigitalGmbHandCoKG OR "mixtvision digital GmbH &amp; Co.KG"</t>
  </si>
  <si>
    <t>#Mastiff | "Mastiff"</t>
  </si>
  <si>
    <t>Developer - Matias Schmied</t>
  </si>
  <si>
    <t>#MatiasSchmied OR "Matias Schmied"</t>
  </si>
  <si>
    <t>MLB AM</t>
  </si>
  <si>
    <t>#MLBAM OR "MLB AM"</t>
  </si>
  <si>
    <t>#MatiasSchmied | "Matias Schmied"</t>
  </si>
  <si>
    <t>https://www.youtube.com/channel/UCRdUwNHpnJeXa1528d3Tpcw|</t>
  </si>
  <si>
    <t>Developer - Matt Makes Games Inc.</t>
  </si>
  <si>
    <t>MLB.com</t>
  </si>
  <si>
    <t>https://www.youtube.com/channel/UCoLrcjPV5PbUrUyXq5mjc_A|</t>
  </si>
  <si>
    <t>#MLBcom OR "MLB.com"</t>
  </si>
  <si>
    <t>#MattMakesGamesInc | "Matt Makes Games"</t>
  </si>
  <si>
    <t>Developer - matt nauman</t>
  </si>
  <si>
    <t>#mattnauman OR "matt nauman"</t>
  </si>
  <si>
    <t>Mobirate Studio Ltd</t>
  </si>
  <si>
    <r>
      <rPr>
        <rFont val="Calibri, sans-serif"/>
        <color rgb="FF000000"/>
        <sz val="10.0"/>
        <u/>
      </rPr>
      <t>https://www.youtube.com/channel/UCbn7aaGW5RLTCQYIQqiYSWA</t>
    </r>
    <r>
      <rPr>
        <rFont val="Calibri, sans-serif"/>
        <color rgb="FF000000"/>
        <sz val="10.0"/>
      </rPr>
      <t>|</t>
    </r>
  </si>
  <si>
    <t>#MobirateStudioLtd OR "Mobirate Studio Ltd"</t>
  </si>
  <si>
    <t>#mattnauman | "matt nauman"</t>
  </si>
  <si>
    <t>Developer - Mattrified</t>
  </si>
  <si>
    <t>Mode 7 Games</t>
  </si>
  <si>
    <t>https://www.youtube.com/channel/UCC6k_OylMxVMzKrziWcP_OQ|</t>
  </si>
  <si>
    <t>#Mode7Games OR "Mode 7 Games"</t>
  </si>
  <si>
    <t>#Mattrified | "Mattrified"</t>
  </si>
  <si>
    <t>Developer - Mauricio Felippe</t>
  </si>
  <si>
    <t>Mode4</t>
  </si>
  <si>
    <t>https://www.youtube.com/channel/UClk15nqxFOBKtDlNKyJP2EA|</t>
  </si>
  <si>
    <t>#Mode4 OR "Mode4"</t>
  </si>
  <si>
    <t>#MauricioFelippe | "Mauricio Felippe"</t>
  </si>
  <si>
    <t>Developer - Mautilus s.r.o.</t>
  </si>
  <si>
    <t>Modern Storyteller</t>
  </si>
  <si>
    <t>https://www.youtube.com/channel/UCXIhbVLrISW4fSi9LaMV9jQ|</t>
  </si>
  <si>
    <t>#ModernStoryteller OR "Modern Storyteller"</t>
  </si>
  <si>
    <t>#Mautilussro | "Mautilus s.r.o."</t>
  </si>
  <si>
    <t>Developer - Max Interactive Studio</t>
  </si>
  <si>
    <t>Modus</t>
  </si>
  <si>
    <t>https://www.youtube.com/channel/UCdYYIsM2m513a3RUQ_zqWqQ|</t>
  </si>
  <si>
    <t>#Modus OR "Modus"</t>
  </si>
  <si>
    <t>#MaxInteractiveStudio | "Max Interactive Studio"</t>
  </si>
  <si>
    <t>Developer - Maxim Nuriev</t>
  </si>
  <si>
    <t>Modus Games</t>
  </si>
  <si>
    <t>#ModusGames OR "Modus Games"</t>
  </si>
  <si>
    <t>#MaximNuriev | "Maxim Nuriev"</t>
  </si>
  <si>
    <t>Developer - Maximum Games</t>
  </si>
  <si>
    <t>MoFunZone Inc.</t>
  </si>
  <si>
    <t>#MoFunZoneInc OR "MoFunZone"</t>
  </si>
  <si>
    <t>#MaximumGames | "Maximum Games"</t>
  </si>
  <si>
    <t>Developer - Maxis</t>
  </si>
  <si>
    <t>moheiji</t>
  </si>
  <si>
    <t>#moheiji OR "moheiji"</t>
  </si>
  <si>
    <t>#Maxis | "Maxis"</t>
  </si>
  <si>
    <t>Developer - Maze Theory</t>
  </si>
  <si>
    <t>Mojang AB</t>
  </si>
  <si>
    <t>https://www.youtube.com/user/TeamMojang|</t>
  </si>
  <si>
    <t>#MojangAB OR "Mojang AB"</t>
  </si>
  <si>
    <t>#MazeTheory | "Maze Theory"</t>
  </si>
  <si>
    <t>Developer - MCW</t>
  </si>
  <si>
    <t>Mommy's Best Games</t>
  </si>
  <si>
    <t>https://www.youtube.com/channel/UCqu_pYIHcdJHu0Zp46TH8qQ|</t>
  </si>
  <si>
    <t>#MommysBestGames OR "Mommy's Best Games"</t>
  </si>
  <si>
    <t>#MCW | "MCW"</t>
  </si>
  <si>
    <t>Developer - MD GAMES</t>
  </si>
  <si>
    <t>Momo-pi</t>
  </si>
  <si>
    <t>https://www.youtube.com/channel/UCevy2K-sGswil9Edr3tTMtw|</t>
  </si>
  <si>
    <t>#Momopi OR "Momo-pi"</t>
  </si>
  <si>
    <t>#MDGAMES | "MD GAMES"</t>
  </si>
  <si>
    <t>Developer - Mecha Studios</t>
  </si>
  <si>
    <t>#MechaStudios OR "Mecha Studios"</t>
  </si>
  <si>
    <t>Monad Rock</t>
  </si>
  <si>
    <t>https://www.youtube.com/channel/UCq4qLvpj-YqU_63I9ioxAmg|</t>
  </si>
  <si>
    <t>#MonadRock OR "Monad Rock"</t>
  </si>
  <si>
    <t>#MechaStudios | "Mecha Studios"</t>
  </si>
  <si>
    <t>https://www.youtube.com/mechastudios|</t>
  </si>
  <si>
    <t>Developer - Mechabit Ltd</t>
  </si>
  <si>
    <t>Monkey Stories Games</t>
  </si>
  <si>
    <t>#MonkeyStoriesGames OR "Monkey Stories Games"</t>
  </si>
  <si>
    <t>#MechabitLtd | "Mechabit Ltd"</t>
  </si>
  <si>
    <t>Developer - Mechanical Head Studios</t>
  </si>
  <si>
    <t>#MechanicalHeadStudios OR "Mechanical Head Studios"</t>
  </si>
  <si>
    <t>Monochrome, Inc.</t>
  </si>
  <si>
    <t>https://www.youtube.com/c/MonochromeGames/featured|</t>
  </si>
  <si>
    <t>#MonochromeInc OR "Monochrome,"</t>
  </si>
  <si>
    <t>#MechanicalHeadStudios | "Mechanical Head Studios"</t>
  </si>
  <si>
    <t>https://www.youtube.com/channel/UCb7FqAY9l3wJ_AmO6EEjWyw|</t>
  </si>
  <si>
    <t>Developer - Mediatonic</t>
  </si>
  <si>
    <t>#Mediatonic OR "Mediatonic"</t>
  </si>
  <si>
    <t>Monolith Productions</t>
  </si>
  <si>
    <t>https://www.youtube.com/channel/UCrkVHixT01CGo6N_8rTIG3w|</t>
  </si>
  <si>
    <t>#MonolithProductions OR "Monolith Productions"</t>
  </si>
  <si>
    <t>#Mediatonic | "Mediatonic"</t>
  </si>
  <si>
    <t>https://www.youtube.com/user/Mediatonic|</t>
  </si>
  <si>
    <t>Developer - Mega Cat Studios</t>
  </si>
  <si>
    <t>Monomi Park</t>
  </si>
  <si>
    <t>https://www.youtube.com/channel/UCr4CsSQsFzaVTMR2HzPLUhw|</t>
  </si>
  <si>
    <t>#MonomiPark OR "Monomi Park"</t>
  </si>
  <si>
    <t>#MegaCatStudios | "Mega Cat Studios"</t>
  </si>
  <si>
    <t>Developer - Mega Crit Games</t>
  </si>
  <si>
    <t>Monster Couch</t>
  </si>
  <si>
    <t>https://www.youtube.com/channel/UCe1-FNdGp2QJxjUVD6M4I0g|</t>
  </si>
  <si>
    <t>#MonsterCouch OR "Monster Couch"</t>
  </si>
  <si>
    <t>#MegaCritGames | "Mega Crit Games"</t>
  </si>
  <si>
    <t>Developer - Megagon Industries</t>
  </si>
  <si>
    <t>#MegagonIndustries OR "Megagon Industries"</t>
  </si>
  <si>
    <t>Monster Games Inc.</t>
  </si>
  <si>
    <t>https://www.youtube.com/channel/UC7l-l_2z93ZbS3W5782GowQ|</t>
  </si>
  <si>
    <t>#MonsterGamesInc OR "Monster Games"</t>
  </si>
  <si>
    <t>#MegagonIndustries | "Megagon Industries"</t>
  </si>
  <si>
    <t>https://www.youtube.com/channel/UCRcMF-vKKJzEZr7Bc4wzZ5g|</t>
  </si>
  <si>
    <t>Developer - Megastorm Games</t>
  </si>
  <si>
    <t>Moonbite Games</t>
  </si>
  <si>
    <t>#MoonbiteGames OR "Moonbite Games"</t>
  </si>
  <si>
    <t>#MegastormGames | "Megastorm Games"</t>
  </si>
  <si>
    <t>Developer - Mehrdad Pakbaz</t>
  </si>
  <si>
    <t>Mooneye Studios</t>
  </si>
  <si>
    <t>https://www.youtube.com/channel/UCC8JvTXXZS7CZep36WCQXpQ|</t>
  </si>
  <si>
    <t>#MooneyeStudios OR "Mooneye Studios"</t>
  </si>
  <si>
    <t>#MehrdadPakbaz | "Mehrdad Pakbaz"</t>
  </si>
  <si>
    <t>Developer - Mekiwi</t>
  </si>
  <si>
    <t>MOONFACTORY SC</t>
  </si>
  <si>
    <t>#MOONFACTORYSC OR "MOONFACTORY SC"</t>
  </si>
  <si>
    <t>#Mekiwi | "Mekiwi"</t>
  </si>
  <si>
    <t>Developer - Mental Drink</t>
  </si>
  <si>
    <t>Moonradish Inc.</t>
  </si>
  <si>
    <t>https://www.youtube.com/channel/UCxinj-pb-NsSU_u9j2I5XpQ|</t>
  </si>
  <si>
    <t>#MoonradishInc OR "Moonradish"</t>
  </si>
  <si>
    <t>#MentalDrink | "Mental Drink"</t>
  </si>
  <si>
    <t>Developer - Mental Moose</t>
  </si>
  <si>
    <t>Moonray Studios</t>
  </si>
  <si>
    <r>
      <rPr>
        <rFont val="Calibri, sans-serif"/>
        <color rgb="FF000000"/>
        <sz val="10.0"/>
        <u/>
      </rPr>
      <t>https://www.youtube.com/channel/UC0lEstF-3MrhPwpVvcJmyMg</t>
    </r>
    <r>
      <rPr>
        <rFont val="Calibri, sans-serif"/>
        <color rgb="FF000000"/>
        <sz val="10.0"/>
      </rPr>
      <t>|</t>
    </r>
  </si>
  <si>
    <t>#MoonrayStudios OR "Moonray Studios"</t>
  </si>
  <si>
    <t>#MentalMoose | "Mental Moose"</t>
  </si>
  <si>
    <t>Developer - Mercury Steam</t>
  </si>
  <si>
    <t>Moss</t>
  </si>
  <si>
    <t>#Moss OR "Moss"</t>
  </si>
  <si>
    <t>#MercurySteam | "Mercury Steam"</t>
  </si>
  <si>
    <t>Developer - Merge Games</t>
  </si>
  <si>
    <t>Mossmouth</t>
  </si>
  <si>
    <t>https://www.youtube.com/channel/UCup5p9U4Uqk9hF6ru110-Cg|</t>
  </si>
  <si>
    <t>#Mossmouth OR "Mossmouth"</t>
  </si>
  <si>
    <t>#MergeGames | "Merge Games"</t>
  </si>
  <si>
    <t>Developer - Meridian4</t>
  </si>
  <si>
    <t>#Meridian4 OR "Meridian4"</t>
  </si>
  <si>
    <t>MoStudios</t>
  </si>
  <si>
    <t>#MoStudios OR "MoStudios"</t>
  </si>
  <si>
    <t>#Meridian4 | "Meridian4"</t>
  </si>
  <si>
    <t>https://www.youtube.com/channel/UCyR8pz8dV10-DHq5P_e-_tQ|</t>
  </si>
  <si>
    <t>Developer - Merj Media</t>
  </si>
  <si>
    <t>Mother Gaia Studio</t>
  </si>
  <si>
    <t>https://www.youtube.com/user/mgaiastudio|</t>
  </si>
  <si>
    <t>#MotherGaiaStudio OR "Mother Gaia Studio"</t>
  </si>
  <si>
    <t>#MerjMedia | "Merj Media"</t>
  </si>
  <si>
    <t>Developer - Messhof</t>
  </si>
  <si>
    <t>Mothership Entertainment</t>
  </si>
  <si>
    <r>
      <rPr>
        <rFont val="Calibri, sans-serif"/>
        <color rgb="FF000000"/>
        <sz val="10.0"/>
        <u/>
      </rPr>
      <t>https://www.youtube.com/channel/UCSEk3SYUnIlsj9u7aLbDPPg</t>
    </r>
    <r>
      <rPr>
        <rFont val="Calibri, sans-serif"/>
        <color rgb="FF000000"/>
        <sz val="10.0"/>
      </rPr>
      <t>|</t>
    </r>
  </si>
  <si>
    <t>#MothershipEntertainment OR "Mothership Entertainment"</t>
  </si>
  <si>
    <t>#Messhof | "Messhof"</t>
  </si>
  <si>
    <t>Developer - Metalhead Software</t>
  </si>
  <si>
    <t>Motiga</t>
  </si>
  <si>
    <t>https://www.youtube.com/user/motigagames|</t>
  </si>
  <si>
    <t>#Motiga OR "Motiga"</t>
  </si>
  <si>
    <t>#MetalheadSoftware | "Metalhead Software"</t>
  </si>
  <si>
    <t>Developer - Metanet Software Inc.</t>
  </si>
  <si>
    <t>Motion Twin</t>
  </si>
  <si>
    <t>https://www.youtube.com/channel/UCqeVdbCP-fVjSGEVnY-3lWQ|</t>
  </si>
  <si>
    <t>#MotionTwin OR "Motion Twin"</t>
  </si>
  <si>
    <t>#MetanetSoftwareInc | "Metanet Software"</t>
  </si>
  <si>
    <r>
      <rPr>
        <rFont val="Arial"/>
        <color rgb="FF000000"/>
      </rPr>
      <t>https://www.youtube.com/channel/UClnQFEB9kbk1QI8qx2ICZdA</t>
    </r>
    <r>
      <rPr>
        <rFont val="Arial"/>
        <color rgb="FF000000"/>
      </rPr>
      <t>|</t>
    </r>
  </si>
  <si>
    <t>Developer - Meteorbyte Studios</t>
  </si>
  <si>
    <t>Motor Trend Group</t>
  </si>
  <si>
    <t>https://www.youtube.com/channel/UCBbGy7uIulb70uu6xmhv0xg|</t>
  </si>
  <si>
    <t>#MotorTrendGroup OR "Motor Trend Group"</t>
  </si>
  <si>
    <t>#MeteorbyteStudios | "Meteorbyte Studios"</t>
  </si>
  <si>
    <t>Developer - Metronomik</t>
  </si>
  <si>
    <t>Motorsport Games</t>
  </si>
  <si>
    <t>https://www.youtube.com/channel/UCgRjb0rsxi4nghXvl2LUTaQ|</t>
  </si>
  <si>
    <t>#MotorsportGames OR "Motorsport Games"</t>
  </si>
  <si>
    <t>#Metronomik | "Metronomik"</t>
  </si>
  <si>
    <t>Developer - Michael Burns</t>
  </si>
  <si>
    <t>#MichaelBurns OR "Michael Burns"</t>
  </si>
  <si>
    <t>Moving Dimensions</t>
  </si>
  <si>
    <t>https://www.youtube.com/channel/UCmksCHaupG0_dyxeGzG49Hw|</t>
  </si>
  <si>
    <t>#MovingDimensions OR "Moving Dimensions"</t>
  </si>
  <si>
    <t>#MichaelBurns | "Michael Burns"</t>
  </si>
  <si>
    <t>Developer - Michael Todd Games</t>
  </si>
  <si>
    <t>Moving Player</t>
  </si>
  <si>
    <t>#MovingPlayer OR "Moving Player"</t>
  </si>
  <si>
    <t>#MichaelToddGames | "Michael Todd Games"</t>
  </si>
  <si>
    <t>Developer - MichaelArts</t>
  </si>
  <si>
    <t>MuHa Games</t>
  </si>
  <si>
    <t>https://www.youtube.com/channel/UCyKLfXWcY_cUD7VdeNU3zNA|</t>
  </si>
  <si>
    <t>#MuHaGames OR "MuHa Games"</t>
  </si>
  <si>
    <t>#MichaelArts | "MichaelArts"</t>
  </si>
  <si>
    <t>Developer - MicrobrainGames</t>
  </si>
  <si>
    <t>Multitool Studios</t>
  </si>
  <si>
    <t>https://www.youtube.com/channel/UCT0MnTgv5_SiumP-n9mGZ0Q|</t>
  </si>
  <si>
    <t>#MultitoolStudios OR "Multitool Studios"</t>
  </si>
  <si>
    <t>#MicrobrainGames | "MicrobrainGames"</t>
  </si>
  <si>
    <t>Developer - Microsoft Corporation</t>
  </si>
  <si>
    <t>MunkyFun, Inc.</t>
  </si>
  <si>
    <t>https://www.youtube.com/user/MunkyFunGames|</t>
  </si>
  <si>
    <t>#MunkyFunInc OR "MunkyFun,"</t>
  </si>
  <si>
    <t>#MicrosoftCorporation | "Microsoft Corporation"</t>
  </si>
  <si>
    <t>Developer - Microsoft Foundry Intern Program</t>
  </si>
  <si>
    <t>#MicrosoftFoundryInternProgram OR "Microsoft Foundry Intern Program"</t>
  </si>
  <si>
    <t>Muse Games</t>
  </si>
  <si>
    <t>https://www.youtube.com/user/musegames|</t>
  </si>
  <si>
    <t>#MuseGames OR "Muse Games"</t>
  </si>
  <si>
    <t>#MicrosoftFoundryInternProgram | "Microsoft Foundry Intern Program"</t>
  </si>
  <si>
    <t>Developer - Microsoft Game Studios</t>
  </si>
  <si>
    <t>Mutan</t>
  </si>
  <si>
    <t>#Mutan OR "Mutan"</t>
  </si>
  <si>
    <t>#MicrosoftGameStudios | "Microsoft Game Studios"</t>
  </si>
  <si>
    <t>Developer - MidBoss</t>
  </si>
  <si>
    <t>Mutated Software</t>
  </si>
  <si>
    <t>#MutatedSoftware OR "Mutated Software"</t>
  </si>
  <si>
    <t>#MidBoss | "MidBoss"</t>
  </si>
  <si>
    <t>Developer - Midgar Studio</t>
  </si>
  <si>
    <t>MWM Interactive</t>
  </si>
  <si>
    <t>https://www.youtube.com/channel/UCOxGVBWbbORf3EXQYj00EcA|</t>
  </si>
  <si>
    <t>#MWMInteractive OR "MWM Interactive"</t>
  </si>
  <si>
    <t>#MidgarStudio | "Midgar Studio"</t>
  </si>
  <si>
    <t>Developer - Midipixel</t>
  </si>
  <si>
    <t>#Midipixel OR "Midipixel"</t>
  </si>
  <si>
    <t>MY COM</t>
  </si>
  <si>
    <t>https://www.youtube.com/channel/UCUQtvcHLnaLef96wSaG6HFA|</t>
  </si>
  <si>
    <t>#MYCOM OR "MY COM"</t>
  </si>
  <si>
    <t>#Midipixel | "Midipixel"</t>
  </si>
  <si>
    <t>Developer - Midnight Hub</t>
  </si>
  <si>
    <t>My Dog Zorro</t>
  </si>
  <si>
    <t>https://www.youtube.com/channel/UCOh_ZmvWWrBL3WzBK1exO5Q|</t>
  </si>
  <si>
    <t>#MyDogZorro OR "My Dog Zorro"</t>
  </si>
  <si>
    <t>#MidnightHub | "Midnight Hub"</t>
  </si>
  <si>
    <t>Developer - Midtask</t>
  </si>
  <si>
    <t>My World srls</t>
  </si>
  <si>
    <t>#MyWorldsrls OR "My World srls"</t>
  </si>
  <si>
    <t>#Midtask | "Midtask"</t>
  </si>
  <si>
    <t>Developer - Mighty Kingdom</t>
  </si>
  <si>
    <t>#MightyKingdom OR "Mighty Kingdom"</t>
  </si>
  <si>
    <t>MY.COM</t>
  </si>
  <si>
    <t>#MYCOM OR "MY.COM"</t>
  </si>
  <si>
    <t>#MightyKingdom | "Mighty Kingdom"</t>
  </si>
  <si>
    <t>https://www.youtube.com/user/mightykingdomgames|</t>
  </si>
  <si>
    <t>Developer - Mighty Polygon</t>
  </si>
  <si>
    <t>#MightyPolygon OR "Mighty Polygon"</t>
  </si>
  <si>
    <t>MY.GAMES</t>
  </si>
  <si>
    <t>#MYGAMES OR "MY.GAMES"</t>
  </si>
  <si>
    <t>#MightyPolygon | "Mighty Polygon"</t>
  </si>
  <si>
    <t>https://www.youtube.com/channel/UCxwppLiT2j14_6l2JfZV7Iw|</t>
  </si>
  <si>
    <t>Developer - Mighty Rabbit Studios</t>
  </si>
  <si>
    <t>MyDearest</t>
  </si>
  <si>
    <r>
      <rPr>
        <rFont val="Calibri, sans-serif"/>
        <color rgb="FF000000"/>
        <sz val="10.0"/>
        <u/>
      </rPr>
      <t>https://www.youtube.com/channel/UCzYfmRE2d6uWI3WorYAbXTw</t>
    </r>
    <r>
      <rPr>
        <rFont val="Calibri, sans-serif"/>
        <color rgb="FF000000"/>
        <sz val="10.0"/>
      </rPr>
      <t>|</t>
    </r>
  </si>
  <si>
    <t>#MyDearest OR "MyDearest"</t>
  </si>
  <si>
    <t>#MightyRabbitStudios | "Mighty Rabbit Studios"</t>
  </si>
  <si>
    <t>Developer - Mighty Studios LLC</t>
  </si>
  <si>
    <t>MyDearest Inc.</t>
  </si>
  <si>
    <t>#MyDearestInc OR "MyDearest"</t>
  </si>
  <si>
    <t>#MightyStudiosLLC | "Mighty Studios LLC"</t>
  </si>
  <si>
    <t>Developer - Mighty Yell</t>
  </si>
  <si>
    <t>#MightyYell OR "Mighty Yell"</t>
  </si>
  <si>
    <t>myNiKa.de</t>
  </si>
  <si>
    <t>#myNiKade OR "myNiKa.de"</t>
  </si>
  <si>
    <t>#MightyYell | "Mighty Yell"</t>
  </si>
  <si>
    <r>
      <rPr>
        <rFont val="Arial"/>
        <color rgb="FF000000"/>
      </rPr>
      <t>https://www.youtube.com/channel/UC8WijkHTLI7oxUBwEyoK8KQ</t>
    </r>
    <r>
      <rPr>
        <rFont val="Arial"/>
        <color rgb="FF000000"/>
      </rPr>
      <t>|</t>
    </r>
  </si>
  <si>
    <t>Developer - miHoYo</t>
  </si>
  <si>
    <t>Myriad Games Studio</t>
  </si>
  <si>
    <t>https://www.youtube.com/channel/UCoDV4VF03Rm17AIKgwp2G3A|</t>
  </si>
  <si>
    <t>#MyriadGamesStudio OR "Myriad Games Studio"</t>
  </si>
  <si>
    <t>#miHoYo | "miHoYo"</t>
  </si>
  <si>
    <t>Developer - Mike Bithell</t>
  </si>
  <si>
    <t>Mythical City Games</t>
  </si>
  <si>
    <t>https://www.youtube.com/channel/UCb7vn5_EYrbB1wTqwFU_aew|</t>
  </si>
  <si>
    <t>#MythicalCityGames OR "Mythical City Games"</t>
  </si>
  <si>
    <t>#MikeBithell | "Mike Bithell"</t>
  </si>
  <si>
    <t>Developer - Mike Palotas</t>
  </si>
  <si>
    <t>MythicOwl</t>
  </si>
  <si>
    <t>https://www.youtube.com/channel/UCQvYmIw3QNxnrLXLwisOTQQ|</t>
  </si>
  <si>
    <t>#MythicOwl OR "MythicOwl"</t>
  </si>
  <si>
    <t>#MikePalotas | "Mike Palotas"</t>
  </si>
  <si>
    <r>
      <rPr>
        <rFont val="Arial"/>
        <color rgb="FF000000"/>
      </rPr>
      <t>https://www.youtube.com/channel/UCA-6P7uVzm47r1PZ2SHNIOQ</t>
    </r>
    <r>
      <rPr>
        <rFont val="Arial"/>
        <color rgb="FF000000"/>
      </rPr>
      <t>|</t>
    </r>
  </si>
  <si>
    <t>Developer - MilanDevelopment</t>
  </si>
  <si>
    <t>N-Fusion Interactive</t>
  </si>
  <si>
    <t>https://www.youtube.com/user/NFusionInteractive|</t>
  </si>
  <si>
    <t>#NFusionInteractive OR "N-Fusion Interactive"</t>
  </si>
  <si>
    <t>#MilanDevelopment | "MilanDevelopment"</t>
  </si>
  <si>
    <t>Developer - Mild Beast Games</t>
  </si>
  <si>
    <t>#MildBeastGames OR "Mild Beast Games"</t>
  </si>
  <si>
    <t>Nacon</t>
  </si>
  <si>
    <t>https://www.youtube.com/channel/UC6CGQMMnnUwwjeK0ujkeF6Q|</t>
  </si>
  <si>
    <t>#Nacon OR "Nacon"</t>
  </si>
  <si>
    <t>#MildBeastGames | "Mild Beast Games"</t>
  </si>
  <si>
    <t>https://www.youtube.com/channel/UC6E6gulBbJtxX4JtDeVoKiw|</t>
  </si>
  <si>
    <t>Developer - MileStone Inc.</t>
  </si>
  <si>
    <t>NaissusWorks</t>
  </si>
  <si>
    <t>https://www.youtube.com/user/NaissusWorks|</t>
  </si>
  <si>
    <t>#NaissusWorks OR "NaissusWorks"</t>
  </si>
  <si>
    <t>#MileStoneInc | "MileStone"</t>
  </si>
  <si>
    <t>Developer - Milestone S.r.l</t>
  </si>
  <si>
    <t>Nakana.io</t>
  </si>
  <si>
    <t>https://www.youtube.com/channel/UC4xp7AMSkgDUHEmDdMqa3HQ|</t>
  </si>
  <si>
    <t>#Nakanaio OR "Nakana.io"</t>
  </si>
  <si>
    <t>#MilestoneSrl | "Milestone S.r.l"</t>
  </si>
  <si>
    <t>Developer - Milkstone Studios</t>
  </si>
  <si>
    <t>Namazu Studios</t>
  </si>
  <si>
    <t>#NamazuStudios OR "Namazu Studios"</t>
  </si>
  <si>
    <t>#MilkstoneStudios | "Milkstone Studios"</t>
  </si>
  <si>
    <t>Developer - Milky Tea Studios</t>
  </si>
  <si>
    <t>Namazu Studios LLC</t>
  </si>
  <si>
    <t>https://www.youtube.com/channel/UCUd0FUTg5zIuVw76FW69Hjg|</t>
  </si>
  <si>
    <t>#NamazuStudiosLLC OR "Namazu Studios LLC"</t>
  </si>
  <si>
    <t>#MilkyTeaStudios | "Milky Tea Studios"</t>
  </si>
  <si>
    <t>Developer - Mimimi Productions</t>
  </si>
  <si>
    <t>#MimimiProductions OR "Mimimi Productions"</t>
  </si>
  <si>
    <t>Namco</t>
  </si>
  <si>
    <t>#Namco OR "Namco"</t>
  </si>
  <si>
    <t>#MimimiProductions | "Mimimi Productions"</t>
  </si>
  <si>
    <t>https://www.youtube.com/user/MimimiProductions|</t>
  </si>
  <si>
    <t>Developer - Minato Giken</t>
  </si>
  <si>
    <t>#MinatoGiken OR "Minato Giken"</t>
  </si>
  <si>
    <t>Namco Bandai Games</t>
  </si>
  <si>
    <t>https://www.youtube.com/channel/UC_ntXHv-XdKCD7CPynVvnQw|</t>
  </si>
  <si>
    <t>#NamcoBandaiGames OR "Namco Bandai Games"</t>
  </si>
  <si>
    <t>#MinatoGiken | "Minato Giken"</t>
  </si>
  <si>
    <t>https://www.youtube.com/channel/UCLs1Q8iDgGXU0l4ctToIkuw|</t>
  </si>
  <si>
    <t>Developer - Mind's Eye Games</t>
  </si>
  <si>
    <t>NamelessStudio</t>
  </si>
  <si>
    <t>https://www.youtube.com/channel/UCZnecYqHGS3rTqjHB3CW6Dw</t>
  </si>
  <si>
    <t>#NamelessStudio OR "NamelessStudio"</t>
  </si>
  <si>
    <t>#MindsEyeGames | "Mind's Eye Games"</t>
  </si>
  <si>
    <t>Developer - Minibeast LLC</t>
  </si>
  <si>
    <t>NAMI TENTOU MUSHI</t>
  </si>
  <si>
    <r>
      <rPr>
        <rFont val="Calibri, sans-serif"/>
        <color rgb="FF000000"/>
        <sz val="10.0"/>
        <u/>
      </rPr>
      <t>https://www.youtube.com/channel/UCvpRfRX7vvUh0MfjPHSV0dQ</t>
    </r>
    <r>
      <rPr>
        <rFont val="Calibri, sans-serif"/>
        <color rgb="FF000000"/>
        <sz val="10.0"/>
      </rPr>
      <t>|</t>
    </r>
  </si>
  <si>
    <t>#NAMITENTOUMUSHI OR "NAMI TENTOU MUSHI"</t>
  </si>
  <si>
    <t>#MinibeastLLC | "Minibeast LLC"</t>
  </si>
  <si>
    <t>Developer - Miniclip</t>
  </si>
  <si>
    <t>Nangok Software</t>
  </si>
  <si>
    <t>#NangokSoftware OR "Nangok Software"</t>
  </si>
  <si>
    <t>#Miniclip | "Miniclip"</t>
  </si>
  <si>
    <t>Developer - MINLISOFT</t>
  </si>
  <si>
    <t>Nano Games</t>
  </si>
  <si>
    <t>https://www.youtube.com/channel/UC8Ws9WhH7L7hC7mk9gznYbQ|</t>
  </si>
  <si>
    <t>#NanoGames OR "Nano Games"</t>
  </si>
  <si>
    <t>#MINLISOFT | "MINLISOFT"</t>
  </si>
  <si>
    <t>Developer - Minskworks</t>
  </si>
  <si>
    <t>#Minskworks OR "Minskworks"</t>
  </si>
  <si>
    <t>Naps Team</t>
  </si>
  <si>
    <t>https://www.youtube.com/channel/UCi3-7CjjkhwFmD0j4ywaaPA|</t>
  </si>
  <si>
    <t>#NapsTeam OR "Naps Team"</t>
  </si>
  <si>
    <t>#Minskworks | "Minskworks"</t>
  </si>
  <si>
    <t>https://www.youtube.com/channel/UCrUBk4VtqEI0XTSguGddkSQ|</t>
  </si>
  <si>
    <t>Developer - Mire Studios</t>
  </si>
  <si>
    <t>naptime.games</t>
  </si>
  <si>
    <t>#naptimegames OR "naptime.games"</t>
  </si>
  <si>
    <t>#MireStudios | "Mire Studios"</t>
  </si>
  <si>
    <t>Developer - Misc Games</t>
  </si>
  <si>
    <t>Nathan Seedhouse</t>
  </si>
  <si>
    <t>#NathanSeedhouse OR "Nathan Seedhouse"</t>
  </si>
  <si>
    <t>#MiscGames | "Misc Games"</t>
  </si>
  <si>
    <t>Developer - Mischief</t>
  </si>
  <si>
    <t>National Westminster Bank plc</t>
  </si>
  <si>
    <t>#NationalWestminsterBankplc OR "National Westminster Bank plc"</t>
  </si>
  <si>
    <t>#Mischief | "Mischief"</t>
  </si>
  <si>
    <t>Developer - Mistfly Games</t>
  </si>
  <si>
    <t>#MistflyGames OR "Mistfly Games"</t>
  </si>
  <si>
    <t>Natsume</t>
  </si>
  <si>
    <t>https://www.youtube.com/channel/UCzQu9Zj8Dpj7gkQ53qDomyA|</t>
  </si>
  <si>
    <t>#Natsume OR "Natsume"</t>
  </si>
  <si>
    <t>#MistflyGames | "Mistfly Games"</t>
  </si>
  <si>
    <t>Developer - Mito Games</t>
  </si>
  <si>
    <t>#MitoGames OR "Mito Games"</t>
  </si>
  <si>
    <t>NCSOFT</t>
  </si>
  <si>
    <t>https://www.youtube.com/channel/UC3a5gHVMzpdhmNj9JefvTzw|</t>
  </si>
  <si>
    <t>#NCSOFT OR "NCSOFT"</t>
  </si>
  <si>
    <t>#MitoGames | "Mito Games"</t>
  </si>
  <si>
    <t>https://www.youtube.com/channel/UCcQs8oHvTIuNxeIcoO9DgTQ|</t>
  </si>
  <si>
    <t>Developer - MixedBag</t>
  </si>
  <si>
    <t>Ndemic Creations</t>
  </si>
  <si>
    <t>https://www.youtube.com/channel/UC59p734JQOQybBNcwcp01Gg|</t>
  </si>
  <si>
    <t>#NdemicCreations OR "Ndemic Creations"</t>
  </si>
  <si>
    <t>#MixedBag | "MixedBag"</t>
  </si>
  <si>
    <t>Developer - MLB AM</t>
  </si>
  <si>
    <t>nDreams</t>
  </si>
  <si>
    <t>https://www.youtube.com/channel/UCI5twGy4kDS1xf141wZP5jg|</t>
  </si>
  <si>
    <t>#nDreams OR "nDreams"</t>
  </si>
  <si>
    <t>#MLBAM | "MLB AM"</t>
  </si>
  <si>
    <t>Developer - MLB.com</t>
  </si>
  <si>
    <t>Neat Corporation</t>
  </si>
  <si>
    <t>https://www.youtube.com/channel/UC7cwtDiMw26xg5KqI7tp4lw/featured|</t>
  </si>
  <si>
    <t>#NeatCorporation OR "Neat Corporation"</t>
  </si>
  <si>
    <t>#MLBcom | "MLB.com"</t>
  </si>
  <si>
    <t>Developer - MM//Productions</t>
  </si>
  <si>
    <t>#MMProductions OR "MM//Productions"</t>
  </si>
  <si>
    <t>Necrophone</t>
  </si>
  <si>
    <t>#Necrophone OR "Necrophone"</t>
  </si>
  <si>
    <t>#MMProductions | "MM//Productions"</t>
  </si>
  <si>
    <t>Developer - MMEU</t>
  </si>
  <si>
    <t>#MMEU OR "MMEU"</t>
  </si>
  <si>
    <t>Necrosoft Games</t>
  </si>
  <si>
    <t>https://www.youtube.com/channel/UCY4e9nyxjQO8f9SNHrMZgLw|</t>
  </si>
  <si>
    <t>#NecrosoftGames OR "Necrosoft Games"</t>
  </si>
  <si>
    <t>#MMEU | "MMEU"</t>
  </si>
  <si>
    <t>Developer - Mobirate Studio Ltd</t>
  </si>
  <si>
    <t>Neil Barkhina</t>
  </si>
  <si>
    <t>#NeilBarkhina OR "Neil Barkhina"</t>
  </si>
  <si>
    <t>#MobirateStudioLtd | "Mobirate Studio Ltd"</t>
  </si>
  <si>
    <r>
      <rPr>
        <rFont val="Arial"/>
        <color rgb="FF000000"/>
      </rPr>
      <t>https://www.youtube.com/channel/UCbn7aaGW5RLTCQYIQqiYSWA</t>
    </r>
    <r>
      <rPr>
        <rFont val="Arial"/>
        <color rgb="FF000000"/>
      </rPr>
      <t>|</t>
    </r>
  </si>
  <si>
    <t>Developer - Mode4</t>
  </si>
  <si>
    <t>Neko Entertainment</t>
  </si>
  <si>
    <t>https://www.youtube.com/user/nekoentertainment93|</t>
  </si>
  <si>
    <t>#NekoEntertainment OR "Neko Entertainment"</t>
  </si>
  <si>
    <t>#Mode4 | "Mode4"</t>
  </si>
  <si>
    <t>Developer - Modern Dream</t>
  </si>
  <si>
    <t>#ModernDream OR "Modern Dream"</t>
  </si>
  <si>
    <t>NEKO WORKs</t>
  </si>
  <si>
    <t>https://www.youtube.com/channel/UCo1SoPp0YuMnXEEe9txiwLw|</t>
  </si>
  <si>
    <t>#NEKOWORKs OR "NEKO WORKs"</t>
  </si>
  <si>
    <t>#ModernDream | "Modern Dream"</t>
  </si>
  <si>
    <t>Developer - Modern Storyteller</t>
  </si>
  <si>
    <t>neko.works</t>
  </si>
  <si>
    <t>#nekoworks OR "neko.works"</t>
  </si>
  <si>
    <t>#ModernStoryteller | "Modern Storyteller"</t>
  </si>
  <si>
    <t>Developer - Modus</t>
  </si>
  <si>
    <t>Nellyvision</t>
  </si>
  <si>
    <t>#Nellyvision OR "Nellyvision"</t>
  </si>
  <si>
    <t>#Modus | "Modus"</t>
  </si>
  <si>
    <t>Developer - Modus Games</t>
  </si>
  <si>
    <t>Nemesys</t>
  </si>
  <si>
    <t>https://www.youtube.com/channel/UCoLB41kLUTa_IVnpxPcmeiA|</t>
  </si>
  <si>
    <t>#Nemesys OR "Nemesys"</t>
  </si>
  <si>
    <t>#ModusGames | "Modus Games"</t>
  </si>
  <si>
    <t>Developer - Modus Studios Brazil</t>
  </si>
  <si>
    <t>#ModusStudiosBrazil OR "Modus Studios Brazil"</t>
  </si>
  <si>
    <t>NeocoreGames</t>
  </si>
  <si>
    <t>https://www.youtube.com/channel/UCpwr-mzrycsVUXraTF-dMUg|</t>
  </si>
  <si>
    <t>#NeocoreGames OR "NeocoreGames"</t>
  </si>
  <si>
    <t>#ModusStudiosBrazil | "Modus Studios Brazil"</t>
  </si>
  <si>
    <t>Developer - MoFunZone Inc.</t>
  </si>
  <si>
    <t>Neon Doctrine</t>
  </si>
  <si>
    <t>https://www.youtube.com/channel/UCqJyNeDKdjAStJBiUTGhLiQ|</t>
  </si>
  <si>
    <t>#NeonDoctrine OR "Neon Doctrine"</t>
  </si>
  <si>
    <t>#MoFunZoneInc | "MoFunZone"</t>
  </si>
  <si>
    <t>Developer - moheiji</t>
  </si>
  <si>
    <t>Neowiz</t>
  </si>
  <si>
    <t>https://www.youtube.com/channel/UCff4V1viqVuuDpCrIc-689Q|</t>
  </si>
  <si>
    <t>#Neowiz OR "Neowiz"</t>
  </si>
  <si>
    <t>#moheiji | "moheiji"</t>
  </si>
  <si>
    <t>Developer - Moi Rai Games</t>
  </si>
  <si>
    <t>#MoiRaiGames OR "Moi Rai Games"</t>
  </si>
  <si>
    <t>Neptune Interactive Inc.</t>
  </si>
  <si>
    <t>https://www.youtube.com/channel/UCIYtWtXZuswusAHpX4KMnLQ|</t>
  </si>
  <si>
    <t>#NeptuneInteractiveInc OR "Neptune Interactive"</t>
  </si>
  <si>
    <t>#MoiRaiGames | "Moi Rai Games"</t>
  </si>
  <si>
    <r>
      <rPr>
        <rFont val="Arial"/>
        <color rgb="FF000000"/>
      </rPr>
      <t>https://www.youtube.com/channel/UC5GhVyRedVUbuWoeEtpRqeA</t>
    </r>
    <r>
      <rPr>
        <rFont val="Arial"/>
        <color rgb="FF000000"/>
      </rPr>
      <t>|</t>
    </r>
  </si>
  <si>
    <t>Developer - Mojang AB</t>
  </si>
  <si>
    <t>Neralex</t>
  </si>
  <si>
    <t>#Neralex OR "Neralex"</t>
  </si>
  <si>
    <t>#MojangAB | "Mojang AB"</t>
  </si>
  <si>
    <t>Developer - Mojiken Studio</t>
  </si>
  <si>
    <t>#MojikenStudio OR "Mojiken Studio"</t>
  </si>
  <si>
    <t>NerdRage Studios Ltd.</t>
  </si>
  <si>
    <t>https://www.youtube.com/channel/UCPKUmrpU0oYJcImRCKDeiLQ|</t>
  </si>
  <si>
    <t>#NerdRageStudiosLtd OR "NerdRage Studios Ltd."</t>
  </si>
  <si>
    <t>#MojikenStudio | "Mojiken Studio"</t>
  </si>
  <si>
    <t>https://www.youtube.com/channel/UCSw0lhYMjFnvzdo2oipQIoQ|</t>
  </si>
  <si>
    <t>Developer - Mojo Bones</t>
  </si>
  <si>
    <t>#MojoBones OR "Mojo Bones"</t>
  </si>
  <si>
    <t>NetEase Game</t>
  </si>
  <si>
    <t>https://www.youtube.com/channel/UC7fPAi77lcCWFUc94UHyfGg|</t>
  </si>
  <si>
    <t>#NetEaseGame OR "NetEase Game"</t>
  </si>
  <si>
    <t>#MojoBones | "Mojo Bones"</t>
  </si>
  <si>
    <t>https://www.youtube.com/user/MojoBonesLTD|</t>
  </si>
  <si>
    <t>Developer - Mommy's Best Games</t>
  </si>
  <si>
    <t>Netflix</t>
  </si>
  <si>
    <t>https://www.youtube.com/channel/UCWOA1ZGywLbqmigxE4Qlvuw|</t>
  </si>
  <si>
    <t>#Netflix OR "Netflix"</t>
  </si>
  <si>
    <t>#MommysBestGames | "Mommy's Best Games"</t>
  </si>
  <si>
    <t>Developer - Momo-pi</t>
  </si>
  <si>
    <t>Netmin e.K.</t>
  </si>
  <si>
    <t>#NetmineK OR "Netmin e.K."</t>
  </si>
  <si>
    <t>#Momopi | "Momo-pi"</t>
  </si>
  <si>
    <t>Developer - Monochrome Paris</t>
  </si>
  <si>
    <t>#MonochromeParis OR "Monochrome Paris"</t>
  </si>
  <si>
    <t>Nevernaut Games</t>
  </si>
  <si>
    <t>https://www.youtube.com/channel/UCUIYlv2Dptc0-DIW0qECvuA|</t>
  </si>
  <si>
    <t>#NevernautGames OR "Nevernaut Games"</t>
  </si>
  <si>
    <t>#MonochromeParis | "Monochrome Paris"</t>
  </si>
  <si>
    <t>https://www.youtube.com/channel/UC-yGzx7HMfmf3zCL0b3iFiw|</t>
  </si>
  <si>
    <t>Developer - Monokel</t>
  </si>
  <si>
    <t>#Monokel OR "Monokel"</t>
  </si>
  <si>
    <t>Newt Industries, LLC</t>
  </si>
  <si>
    <t>#Monokel | "Monokel"</t>
  </si>
  <si>
    <t>Developer - Monolith Productions</t>
  </si>
  <si>
    <t>Nexon</t>
  </si>
  <si>
    <t>https://www.youtube.com/user/NEXON|</t>
  </si>
  <si>
    <t>#Nexon OR "Nexon"</t>
  </si>
  <si>
    <t>#MonolithProductions | "Monolith Productions"</t>
  </si>
  <si>
    <t>Developer - Monomi Park</t>
  </si>
  <si>
    <t>NExT Studios</t>
  </si>
  <si>
    <t>https://www.youtube.com/channel/UCKE_CfoSegV4sJZxLhHgYWg|</t>
  </si>
  <si>
    <t>#NExTStudios OR "NExT Studios"</t>
  </si>
  <si>
    <t>#MonomiPark | "Monomi Park"</t>
  </si>
  <si>
    <t>Developer - Monstars Inc.</t>
  </si>
  <si>
    <t>#MonstarsInc OR "Monstars"</t>
  </si>
  <si>
    <t>NextGen Games</t>
  </si>
  <si>
    <t>https://www.youtube.com/channel/UCiMp3rUfNrPX560ROL60T7A|</t>
  </si>
  <si>
    <t>#NextGenGames OR "NextGen Games"</t>
  </si>
  <si>
    <t>#MonstarsInc | "Monstars"</t>
  </si>
  <si>
    <t>Developer - Monster Couch</t>
  </si>
  <si>
    <t>Nexus Game Studio</t>
  </si>
  <si>
    <t>https://www.youtube.com/channel/UCRYSHyl6F5sO3sSsD94yK4Q|</t>
  </si>
  <si>
    <t>#NexusGameStudio OR "Nexus Game Studio"</t>
  </si>
  <si>
    <t>#MonsterCouch | "Monster Couch"</t>
  </si>
  <si>
    <t>Developer - Monster Games Inc.</t>
  </si>
  <si>
    <t>NG:DEV.TEAM</t>
  </si>
  <si>
    <t>https://www.youtube.com/user/NGDEVTEAM|</t>
  </si>
  <si>
    <t>#NGDEVTEAM OR "NG:DEV.TEAM"</t>
  </si>
  <si>
    <t>#MonsterGamesInc | "Monster Games"</t>
  </si>
  <si>
    <t>Developer - Moon Studios</t>
  </si>
  <si>
    <t>#MoonStudios OR "Moon Studios"</t>
  </si>
  <si>
    <t>Nicalis</t>
  </si>
  <si>
    <t>https://www.youtube.com/channel/UCbs6rvWuxYkSEJ5ksKzAdcA|</t>
  </si>
  <si>
    <t>#Nicalis OR "Nicalis"</t>
  </si>
  <si>
    <t>#MoonStudios | "Moon Studios"</t>
  </si>
  <si>
    <t>https://www.youtube.com/user/moongamestudios|</t>
  </si>
  <si>
    <t>Developer - Moondrop Studios</t>
  </si>
  <si>
    <t>#MoondropStudios OR "Moondrop Studios"</t>
  </si>
  <si>
    <t>Nick John</t>
  </si>
  <si>
    <t>#NickJohn OR "Nick John"</t>
  </si>
  <si>
    <t>#MoondropStudios | "Moondrop Studios"</t>
  </si>
  <si>
    <t>https://www.youtube.com/user/moondropchannel|</t>
  </si>
  <si>
    <t>Developer - Mooneye Studios</t>
  </si>
  <si>
    <t>NicoplvGames</t>
  </si>
  <si>
    <t>#NicoplvGames OR "NicoplvGames"</t>
  </si>
  <si>
    <t>#MooneyeStudios | "Mooneye Studios"</t>
  </si>
  <si>
    <t>Developer - Moonlight Kids</t>
  </si>
  <si>
    <t>#MoonlightKids OR "Moonlight Kids"</t>
  </si>
  <si>
    <t>Night Dive Studios</t>
  </si>
  <si>
    <t>https://www.youtube.com/channel/UCNFs4mUpyf3GxBbfLSty78A|</t>
  </si>
  <si>
    <t>#NightDiveStudios OR "Night Dive Studios"</t>
  </si>
  <si>
    <t>#MoonlightKids | "Moonlight Kids"</t>
  </si>
  <si>
    <t>https://www.youtube.com/channel/UCkopGHRZZtOQ5n7q4CMJOTQ|</t>
  </si>
  <si>
    <t>Developer - Moonradish Inc.</t>
  </si>
  <si>
    <t>Night Light Interactive</t>
  </si>
  <si>
    <r>
      <rPr>
        <rFont val="Calibri, sans-serif"/>
        <color rgb="FF000000"/>
        <sz val="10.0"/>
        <u/>
      </rPr>
      <t>https://www.youtube.com/channel/UCVgbb1vC_LRYrEiTHZHOd7A</t>
    </r>
    <r>
      <rPr>
        <rFont val="Calibri, sans-serif"/>
        <color rgb="FF000000"/>
        <sz val="10.0"/>
      </rPr>
      <t>|</t>
    </r>
  </si>
  <si>
    <t>#NightLightInteractive OR "Night Light Interactive"</t>
  </si>
  <si>
    <t>#MoonradishInc | "Moonradish"</t>
  </si>
  <si>
    <t>Developer - Moonray Studios</t>
  </si>
  <si>
    <t>Night School Studio</t>
  </si>
  <si>
    <t>https://www.youtube.com/channel/UCQHcsLEtdPdXG_B_UyiVPgg|</t>
  </si>
  <si>
    <t>#NightSchoolStudio OR "Night School Studio"</t>
  </si>
  <si>
    <t>#MoonrayStudios | "Moonray Studios"</t>
  </si>
  <si>
    <r>
      <rPr>
        <rFont val="Arial"/>
        <color rgb="FF000000"/>
      </rPr>
      <t>https://www.youtube.com/channel/UC0lEstF-3MrhPwpVvcJmyMg</t>
    </r>
    <r>
      <rPr>
        <rFont val="Arial"/>
        <color rgb="FF000000"/>
      </rPr>
      <t>|</t>
    </r>
  </si>
  <si>
    <t>Developer - Moraes Studio</t>
  </si>
  <si>
    <t>#MoraesStudio OR "Moraes Studio"</t>
  </si>
  <si>
    <t>Nighthawk Interactive</t>
  </si>
  <si>
    <t>https://www.youtube.com/channel/UCieBw0YXvbK8hpwJASqUsFQ|</t>
  </si>
  <si>
    <t>#NighthawkInteractive OR "Nighthawk Interactive"</t>
  </si>
  <si>
    <t>#MoraesStudio | "Moraes Studio"</t>
  </si>
  <si>
    <t>https://www.youtube.com/channel/UC_JB_nbk8WTpUzCQpkZJdLw|</t>
  </si>
  <si>
    <t>Developer - Morgan Games</t>
  </si>
  <si>
    <t>#MorganGames OR "Morgan Games"</t>
  </si>
  <si>
    <t>NiKo MaKi</t>
  </si>
  <si>
    <t>#NiKoMaKi OR "NiKo MaKi"</t>
  </si>
  <si>
    <t>#MorganGames | "Morgan Games"</t>
  </si>
  <si>
    <t>https://www.youtube.com/channel/UCPJ9mCrFlOpu-kWplr1YILA|</t>
  </si>
  <si>
    <t>Developer - Morteshka</t>
  </si>
  <si>
    <t>#Morteshka OR "Morteshka"</t>
  </si>
  <si>
    <t>Nilo Studios</t>
  </si>
  <si>
    <t>#NiloStudios OR "Nilo Studios"</t>
  </si>
  <si>
    <t>#Morteshka | "Morteshka"</t>
  </si>
  <si>
    <t>https://www.youtube.com/channel/UCta2BOUXjPCHuCnVcSW1mbg|</t>
  </si>
  <si>
    <t>Developer - Moss</t>
  </si>
  <si>
    <t>Nine Tales Digital</t>
  </si>
  <si>
    <t>#NineTalesDigital OR "Nine Tales Digital"</t>
  </si>
  <si>
    <t>#Moss | "Moss"</t>
  </si>
  <si>
    <t>Developer - Mossmouth</t>
  </si>
  <si>
    <t>Ninja Egg</t>
  </si>
  <si>
    <t>#NinjaEgg OR "Ninja Egg"</t>
  </si>
  <si>
    <t>#Mossmouth | "Mossmouth"</t>
  </si>
  <si>
    <t>Developer - MoStudios</t>
  </si>
  <si>
    <t>Ninja Kiwi</t>
  </si>
  <si>
    <t>https://www.youtube.com/channel/UC41ZwGKy2KewJvud4p-IXUw|</t>
  </si>
  <si>
    <t>#NinjaKiwi OR "Ninja Kiwi"</t>
  </si>
  <si>
    <t>#MoStudios | "MoStudios"</t>
  </si>
  <si>
    <r>
      <rPr>
        <rFont val="Arial"/>
        <color rgb="FF000000"/>
      </rPr>
      <t>https://www.youtube.com/channel/UCA42Dc3e1mXUdyK5S1SCsQA</t>
    </r>
    <r>
      <rPr>
        <rFont val="Arial"/>
        <color rgb="FF000000"/>
      </rPr>
      <t>|</t>
    </r>
  </si>
  <si>
    <t>Developer - Motiga</t>
  </si>
  <si>
    <t>Ninja Theory</t>
  </si>
  <si>
    <t>https://www.youtube.com/channel/UCPe-Z0xVV3aFyCtU-3PE-Bw|</t>
  </si>
  <si>
    <t>#NinjaTheory OR "Ninja Theory"</t>
  </si>
  <si>
    <t>#Motiga | "Motiga"</t>
  </si>
  <si>
    <t>Developer - Motion Twin</t>
  </si>
  <si>
    <t>NinjaBee</t>
  </si>
  <si>
    <t>https://www.youtube.com/user/ninjabeegames|</t>
  </si>
  <si>
    <t>#NinjaBee OR "NinjaBee"</t>
  </si>
  <si>
    <t>#MotionTwin | "Motion Twin"</t>
  </si>
  <si>
    <t>Developer - Motive Studios</t>
  </si>
  <si>
    <t>#MotiveStudios OR "Motive Studios"</t>
  </si>
  <si>
    <t>Nippon Ichi Software</t>
  </si>
  <si>
    <t>https://www.youtube.com/user/NISAmerica|</t>
  </si>
  <si>
    <t>#NipponIchiSoftware OR "Nippon Ichi Software"</t>
  </si>
  <si>
    <t>#MotiveStudios | "Motive Studios"</t>
  </si>
  <si>
    <t>Developer - Motorsport Games</t>
  </si>
  <si>
    <t>NIS America</t>
  </si>
  <si>
    <t>https://www.youtube.com/user/nisamerica|</t>
  </si>
  <si>
    <t>#NISAmerica OR "NIS America"</t>
  </si>
  <si>
    <t>#MotorsportGames | "Motorsport Games"</t>
  </si>
  <si>
    <t>Developer - Mouldy Toof Studios</t>
  </si>
  <si>
    <t>#MouldyToofStudios OR "Mouldy Toof Studios"</t>
  </si>
  <si>
    <t>Nival International Limited</t>
  </si>
  <si>
    <t>#NivalInternationalLimited OR "Nival International Limited"</t>
  </si>
  <si>
    <t>#MouldyToofStudios | "Mouldy Toof Studios"</t>
  </si>
  <si>
    <t>Developer - Moving Dimensions</t>
  </si>
  <si>
    <t>NNG LAB</t>
  </si>
  <si>
    <t>#NNGLAB OR "NNG LAB"</t>
  </si>
  <si>
    <t>#MovingDimensions | "Moving Dimensions"</t>
  </si>
  <si>
    <t>Developer - Moving Player</t>
  </si>
  <si>
    <t>Nnooo</t>
  </si>
  <si>
    <t>https://www.youtube.com/channel/UCs_qNubT55eQqq95S-WNAZg|</t>
  </si>
  <si>
    <t>#Nnooo OR "Nnooo"</t>
  </si>
  <si>
    <t>#MovingPlayer | "Moving Player"</t>
  </si>
  <si>
    <t>Developer - Mr. Nutz Studio</t>
  </si>
  <si>
    <t>#MrNutzStudio OR "Mr. Nutz Studio"</t>
  </si>
  <si>
    <t>No Brakes Games</t>
  </si>
  <si>
    <t>https://www.youtube.com/channel/UCKSLIIgYLUZsHz1ZlgAA0IA|</t>
  </si>
  <si>
    <t>#NoBrakesGames OR "No Brakes Games"</t>
  </si>
  <si>
    <t>#MrNutzStudio | "Mr. Nutz Studio"</t>
  </si>
  <si>
    <t>https://www.youtube.com/channel/UCnK3BGf-0yuQhlW19bKmKTA|</t>
  </si>
  <si>
    <t>Developer - MrCiastku</t>
  </si>
  <si>
    <t>#MrCiastku OR "MrCiastku"</t>
  </si>
  <si>
    <t>No Goblin</t>
  </si>
  <si>
    <t>#NoGoblin OR "No Goblin"</t>
  </si>
  <si>
    <t>#MrCiastku | "MrCiastku"</t>
  </si>
  <si>
    <t>https://www.youtube.com/channel/UCpi6pjsG4F-GwsgL9j5PKxQ|</t>
  </si>
  <si>
    <t>Developer - MuHa Games</t>
  </si>
  <si>
    <t>No Gravity Games</t>
  </si>
  <si>
    <t>https://www.youtube.com/channel/UC8GUYwcNiMTNy9rn9ZrjMxQ|</t>
  </si>
  <si>
    <t>#NoGravityGames OR "No Gravity Games"</t>
  </si>
  <si>
    <t>#MuHaGames | "MuHa Games"</t>
  </si>
  <si>
    <t>Developer - Multitool Studios</t>
  </si>
  <si>
    <t>No Matter Studios</t>
  </si>
  <si>
    <t>#NoMatterStudios OR "No Matter Studios"</t>
  </si>
  <si>
    <t>#MultitoolStudios | "Multitool Studios"</t>
  </si>
  <si>
    <t>Developer - Muse Games</t>
  </si>
  <si>
    <t>No More Robots</t>
  </si>
  <si>
    <t>https://www.youtube.com/channel/UC-lCh5mkOJEnaLmfJwDdBqA|</t>
  </si>
  <si>
    <t>#NoMoreRobots OR "No More Robots"</t>
  </si>
  <si>
    <t>#MuseGames | "Muse Games"</t>
  </si>
  <si>
    <t>Developer - Mutan</t>
  </si>
  <si>
    <t>No Pest Productions</t>
  </si>
  <si>
    <t>https://www.youtube.com/channel/UCh_Yc0PpxwZ1BKUdkirlTvw|</t>
  </si>
  <si>
    <t>#NoPestProductions OR "No Pest Productions"</t>
  </si>
  <si>
    <t>#Mutan | "Mutan"</t>
  </si>
  <si>
    <t>Developer - Mutated Software</t>
  </si>
  <si>
    <t>Noahcode</t>
  </si>
  <si>
    <r>
      <rPr>
        <rFont val="Calibri, sans-serif"/>
        <color rgb="FF000000"/>
        <sz val="10.0"/>
        <u/>
      </rPr>
      <t>https://www.youtube.com/channel/UCWAnTgyZLO1O1RJiXc9ZJPA</t>
    </r>
    <r>
      <rPr>
        <rFont val="Calibri, sans-serif"/>
        <color rgb="FF000000"/>
        <sz val="10.0"/>
      </rPr>
      <t>|</t>
    </r>
  </si>
  <si>
    <t>#Noahcode OR "Noahcode"</t>
  </si>
  <si>
    <t>#MutatedSoftware | "Mutated Software"</t>
  </si>
  <si>
    <t>Developer - MY COM</t>
  </si>
  <si>
    <t>Nodding Heads Games</t>
  </si>
  <si>
    <t>#NoddingHeadsGames OR "Nodding Heads Games"</t>
  </si>
  <si>
    <t>#MYCOM | "MY COM"</t>
  </si>
  <si>
    <t>Developer - MY.COM</t>
  </si>
  <si>
    <t>Noego</t>
  </si>
  <si>
    <t>#Noego OR "Noego"</t>
  </si>
  <si>
    <t>#MYCOM | "MY.COM"</t>
  </si>
  <si>
    <t>Developer - MY.GAMES</t>
  </si>
  <si>
    <t>Noio</t>
  </si>
  <si>
    <t>https://www.youtube.com/channel/UCr-_X2iubjmC13SxjjrghwQ|</t>
  </si>
  <si>
    <t>#Noio OR "Noio"</t>
  </si>
  <si>
    <t>#MYGAMES | "MY.GAMES"</t>
  </si>
  <si>
    <t>Developer - myNiKa.de</t>
  </si>
  <si>
    <t>Nomad Games</t>
  </si>
  <si>
    <t>https://www.youtube.com/channel/UCMnMgatmwZMVR5rpZEQleyw|</t>
  </si>
  <si>
    <t>#NomadGames OR "Nomad Games"</t>
  </si>
  <si>
    <t>#myNiKade | "myNiKa.de"</t>
  </si>
  <si>
    <r>
      <rPr>
        <rFont val="Arial"/>
        <color rgb="FF000000"/>
      </rPr>
      <t>https://www.youtube.com/channel/UC0-nLvSIuIA2jumWg1i22aw</t>
    </r>
    <r>
      <rPr>
        <rFont val="Arial"/>
        <color rgb="FF000000"/>
      </rPr>
      <t>|</t>
    </r>
  </si>
  <si>
    <t>Developer - Myoubouh Corp</t>
  </si>
  <si>
    <t>#MyoubouhCorp OR "Myoubouh Corp"</t>
  </si>
  <si>
    <t>NomnomNami</t>
  </si>
  <si>
    <t>https://www.youtube.com/channel/UCSNzbhbYnbOFBVFzu_CQNmw|</t>
  </si>
  <si>
    <t>#NomnomNami OR "NomnomNami"</t>
  </si>
  <si>
    <t>#MyoubouhCorp | "Myoubouh Corp"</t>
  </si>
  <si>
    <t>https://www.youtube.com/channel/UCz8ORHG20UwrsTFTCv83D7w|</t>
  </si>
  <si>
    <t>Developer - Myriad Games Studio</t>
  </si>
  <si>
    <t>Nonostante Games</t>
  </si>
  <si>
    <t>https://www.youtube.com/channel/UCnYOjQFjqMIbt8N7xdB41tw|</t>
  </si>
  <si>
    <t>#NonostanteGames OR "Nonostante Games"</t>
  </si>
  <si>
    <t>#MyriadGamesStudio | "Myriad Games Studio"</t>
  </si>
  <si>
    <t>Developer - MythicOwl</t>
  </si>
  <si>
    <t>Noobles Studio</t>
  </si>
  <si>
    <t>https://www.youtube.com/channel/UCcSpKJjhsyiqKKgjy4mCP2g|</t>
  </si>
  <si>
    <t>#NooblesStudio OR "Noobles Studio"</t>
  </si>
  <si>
    <t>#MythicOwl | "MythicOwl"</t>
  </si>
  <si>
    <t>Developer - N-Fusion Interactive</t>
  </si>
  <si>
    <t>Noodlecake Studios</t>
  </si>
  <si>
    <t>https://www.youtube.com/user/NoodlecakeGames|</t>
  </si>
  <si>
    <t>#NoodlecakeStudios OR "Noodlecake Studios"</t>
  </si>
  <si>
    <t>#NFusionInteractive | "N-Fusion Interactive"</t>
  </si>
  <si>
    <t>Developer - N-RACING</t>
  </si>
  <si>
    <t>#NRACING OR "N-RACING"</t>
  </si>
  <si>
    <t>noowanda</t>
  </si>
  <si>
    <t>https://www.youtube.com/user/scheichs|</t>
  </si>
  <si>
    <t>#noowanda OR "noowanda"</t>
  </si>
  <si>
    <t>#NRACING | "N-RACING"</t>
  </si>
  <si>
    <t>Developer - n-Space</t>
  </si>
  <si>
    <t>#nSpace OR "n-Space"</t>
  </si>
  <si>
    <t>Nordic Games Publishing</t>
  </si>
  <si>
    <t>https://www.youtube.com/channel/UCpUu6hoAK8axMVZ2c_jgMCQ|</t>
  </si>
  <si>
    <t>#NordicGamesPublishing OR "Nordic Games Publishing"</t>
  </si>
  <si>
    <t>#nSpace | "n-Space"</t>
  </si>
  <si>
    <t>Developer - Nadeo</t>
  </si>
  <si>
    <t>#Nadeo OR "Nadeo"</t>
  </si>
  <si>
    <t>Nordic Mist Games</t>
  </si>
  <si>
    <t>#NordicMistGames OR "Nordic Mist Games"</t>
  </si>
  <si>
    <t>#Nadeo | "Nadeo"</t>
  </si>
  <si>
    <t>Developer - NaissusWorks</t>
  </si>
  <si>
    <t>Norsfell</t>
  </si>
  <si>
    <t>https://www.youtube.com/user/norsfell|</t>
  </si>
  <si>
    <t>#Norsfell OR "Norsfell"</t>
  </si>
  <si>
    <t>#NaissusWorks | "NaissusWorks"</t>
  </si>
  <si>
    <t>Developer - Nakana.io</t>
  </si>
  <si>
    <t>Nostatic Software</t>
  </si>
  <si>
    <t>https://www.youtube.com/channel/UCltEoz3obT3pd2qOd3ANIrg|</t>
  </si>
  <si>
    <t>#NostaticSoftware OR "Nostatic Software"</t>
  </si>
  <si>
    <t>#Nakanaio | "Nakana.io"</t>
  </si>
  <si>
    <t>Developer - Namazu Studios LLC</t>
  </si>
  <si>
    <t>Not Yet</t>
  </si>
  <si>
    <t>#NotYet OR "Not Yet"</t>
  </si>
  <si>
    <t>#NamazuStudiosLLC | "Namazu Studios LLC"</t>
  </si>
  <si>
    <t>Developer - NamelessStudio</t>
  </si>
  <si>
    <t>Nowhere Studios</t>
  </si>
  <si>
    <t>https://www.youtube.com/channel/UCF_CYUe4HwY8VpBm8QXIGzQ|</t>
  </si>
  <si>
    <t>#NowhereStudios OR "Nowhere Studios"</t>
  </si>
  <si>
    <t>#NamelessStudio | "NamelessStudio"</t>
  </si>
  <si>
    <t>Developer - NAMI TENTOU MUSHI</t>
  </si>
  <si>
    <t>Nsrgames</t>
  </si>
  <si>
    <t>#Nsrgames OR "Nsrgames"</t>
  </si>
  <si>
    <t>#NAMITENTOUMUSHI | "NAMI TENTOU MUSHI"</t>
  </si>
  <si>
    <t>https://www.youtube.com/namitentou|</t>
  </si>
  <si>
    <t>Developer - Nangok Software</t>
  </si>
  <si>
    <t>Nuclear Tales</t>
  </si>
  <si>
    <t>https://www.youtube.com/channel/UCA3ghdzUJrJSnd3ikcpzNmA|</t>
  </si>
  <si>
    <t>#NuclearTales OR "Nuclear Tales"</t>
  </si>
  <si>
    <t>#NangokSoftware | "Nangok Software"</t>
  </si>
  <si>
    <t>Developer - Nano Games</t>
  </si>
  <si>
    <t>Numantian Games</t>
  </si>
  <si>
    <t>https://www.youtube.com/user/NumantianGames|</t>
  </si>
  <si>
    <t>#NumantianGames OR "Numantian Games"</t>
  </si>
  <si>
    <t>#NanoGames | "Nano Games"</t>
  </si>
  <si>
    <t>Developer - Naoka Games</t>
  </si>
  <si>
    <t>#NaokaGames OR "Naoka Games"</t>
  </si>
  <si>
    <t>Numskull Games</t>
  </si>
  <si>
    <t>https://www.youtube.com/channel/UCQBrRt752CoRwqY042mFdHw|</t>
  </si>
  <si>
    <t>#NumskullGames OR "Numskull Games"</t>
  </si>
  <si>
    <t>#NaokaGames | "Naoka Games"</t>
  </si>
  <si>
    <r>
      <rPr>
        <rFont val="Arial"/>
        <color rgb="FF000000"/>
      </rPr>
      <t>https://www.youtube.com/channel/UCkfjs5JUeW0AZ7wRGbb3z3w</t>
    </r>
    <r>
      <rPr>
        <rFont val="Arial"/>
        <color rgb="FF000000"/>
      </rPr>
      <t>|</t>
    </r>
  </si>
  <si>
    <t>Developer - NAPE GAMES</t>
  </si>
  <si>
    <t>#NAPEGAMES OR "NAPE GAMES"</t>
  </si>
  <si>
    <t>nWay</t>
  </si>
  <si>
    <t>https://www.youtube.com/channel/UC6Vfa93hXbl_1DSBVPmxwJw|</t>
  </si>
  <si>
    <t>#nWay OR "nWay"</t>
  </si>
  <si>
    <t>#NAPEGAMES | "NAPE GAMES"</t>
  </si>
  <si>
    <t>https://www.youtube.com/channel/UCMv38OkhSTz5LuWXaE0z85A|</t>
  </si>
  <si>
    <t>Developer - Naps Team</t>
  </si>
  <si>
    <t>O.Stogden</t>
  </si>
  <si>
    <t>#OStogden OR "O.Stogden"</t>
  </si>
  <si>
    <t>#NapsTeam | "Naps Team"</t>
  </si>
  <si>
    <t>Developer - naptime.games</t>
  </si>
  <si>
    <t>Oasis Games</t>
  </si>
  <si>
    <t>https://www.youtube.com/channel/UCSkxy8lARBP_vQrBW1uH7MQ|</t>
  </si>
  <si>
    <t>#OasisGames OR "Oasis Games"</t>
  </si>
  <si>
    <t>#naptimegames | "naptime.games"</t>
  </si>
  <si>
    <t>Developer - Natsume</t>
  </si>
  <si>
    <t>Oath Inc</t>
  </si>
  <si>
    <t>#OathInc OR "Oath Inc"</t>
  </si>
  <si>
    <t>#Natsume | "Natsume"</t>
  </si>
  <si>
    <t>Developer - Navegante Entertainment</t>
  </si>
  <si>
    <t>#NaveganteEntertainment OR "Navegante Entertainment"</t>
  </si>
  <si>
    <t>Obsidian Entertainment</t>
  </si>
  <si>
    <t>https://www.youtube.com/channel/UC4xyf_Z-pEQOTaRVyjXfA1g|</t>
  </si>
  <si>
    <t>#ObsidianEntertainment OR "Obsidian Entertainment"</t>
  </si>
  <si>
    <t>#NaveganteEntertainment | "Navegante Entertainment"</t>
  </si>
  <si>
    <r>
      <rPr>
        <rFont val="Arial"/>
        <color rgb="FF000000"/>
      </rPr>
      <t>https://www.youtube.com/channel/UCNTHe7S-UTCAbarUHDDCXvw</t>
    </r>
    <r>
      <rPr>
        <rFont val="Arial"/>
        <color rgb="FF000000"/>
      </rPr>
      <t>|</t>
    </r>
  </si>
  <si>
    <t>Developer - Nazca</t>
  </si>
  <si>
    <t>#Nazca OR "Nazca"</t>
  </si>
  <si>
    <t>Ocean Media LLC</t>
  </si>
  <si>
    <t>#OceanMediaLLC OR "Ocean Media LLC"</t>
  </si>
  <si>
    <t>#Nazca | "Nazca"</t>
  </si>
  <si>
    <t>Developer - Ndemic Creations</t>
  </si>
  <si>
    <t>Odd Meter</t>
  </si>
  <si>
    <t>#OddMeter OR "Odd Meter"</t>
  </si>
  <si>
    <t>#NdemicCreations | "Ndemic Creations"</t>
  </si>
  <si>
    <t>Developer - nDreams</t>
  </si>
  <si>
    <t>Odd Raven Studios</t>
  </si>
  <si>
    <t>https://www.youtube.com/channel/UCgN-9CN3MFKHg7wOpebI63A|</t>
  </si>
  <si>
    <t>#OddRavenStudios OR "Odd Raven Studios"</t>
  </si>
  <si>
    <t>#nDreams | "nDreams"</t>
  </si>
  <si>
    <t>Developer - Neil Barkhina</t>
  </si>
  <si>
    <t>Oddboy</t>
  </si>
  <si>
    <t>https://www.youtube.com/channel/UCRNN-WW5kcGDJwwiqyiG-bw|</t>
  </si>
  <si>
    <t>#Oddboy OR "Oddboy"</t>
  </si>
  <si>
    <t>#NeilBarkhina | "Neil Barkhina"</t>
  </si>
  <si>
    <t>Developer - Neko Entertainment</t>
  </si>
  <si>
    <t>Odders Lab</t>
  </si>
  <si>
    <r>
      <rPr>
        <rFont val="Calibri, sans-serif"/>
        <color rgb="FF000000"/>
        <sz val="10.0"/>
        <u/>
      </rPr>
      <t>https://www.youtube.com/channel/UCN4s5kzF_H4dGIvdgb_OvwA</t>
    </r>
    <r>
      <rPr>
        <rFont val="Calibri, sans-serif"/>
        <color rgb="FF000000"/>
        <sz val="10.0"/>
      </rPr>
      <t>|</t>
    </r>
  </si>
  <si>
    <t>#OddersLab OR "Odders Lab"</t>
  </si>
  <si>
    <t>#NekoEntertainment | "Neko Entertainment"</t>
  </si>
  <si>
    <t>Developer - neko.works</t>
  </si>
  <si>
    <t>Oddworld Inhabitants</t>
  </si>
  <si>
    <t>https://www.youtube.com/channel/UCw5iN5n8itJ3qA2u-OQjIWA|</t>
  </si>
  <si>
    <t>#OddworldInhabitants OR "Oddworld Inhabitants"</t>
  </si>
  <si>
    <t>#nekoworks | "neko.works"</t>
  </si>
  <si>
    <t>Developer - Nemesys</t>
  </si>
  <si>
    <t>Okomotive</t>
  </si>
  <si>
    <t>#Okomotive OR "Okomotive"</t>
  </si>
  <si>
    <t>#Nemesys | "Nemesys"</t>
  </si>
  <si>
    <t>Developer - NeoBird GmbH &amp; Co. KG</t>
  </si>
  <si>
    <t>#NeoBirdGmbHandCoKG OR "NeoBird GmbH &amp; Co. KG"</t>
  </si>
  <si>
    <t>Old Apes</t>
  </si>
  <si>
    <t>https://www.youtube.com/channel/UCodj4JMJbfodpttXp9Ud6aA|</t>
  </si>
  <si>
    <t>#OldApes OR "Old Apes"</t>
  </si>
  <si>
    <t>#NeoBirdGmbHandCoKG | "NeoBird GmbH &amp; Co. KG"</t>
  </si>
  <si>
    <t>Developer - NeocoreGames</t>
  </si>
  <si>
    <t>Olle</t>
  </si>
  <si>
    <r>
      <rPr>
        <rFont val="Calibri, sans-serif"/>
        <color rgb="FF000000"/>
        <sz val="10.0"/>
        <u/>
      </rPr>
      <t>https://www.youtube.com/channel/UCFHRWrzxjgKQWhciQdFoRcQ</t>
    </r>
    <r>
      <rPr>
        <rFont val="Calibri, sans-serif"/>
        <color rgb="FF000000"/>
        <sz val="10.0"/>
      </rPr>
      <t>|</t>
    </r>
  </si>
  <si>
    <t>#Olle OR "Olle"</t>
  </si>
  <si>
    <t>#NeocoreGames | "NeocoreGames"</t>
  </si>
  <si>
    <t>Developer - Neon Giant</t>
  </si>
  <si>
    <t>#NeonGiant OR "Neon Giant"</t>
  </si>
  <si>
    <t>omegaGo Team</t>
  </si>
  <si>
    <t>#omegaGoTeam OR "omegaGo Team"</t>
  </si>
  <si>
    <t>#NeonGiant | "Neon Giant"</t>
  </si>
  <si>
    <t>https://www.youtube.com/channel/UCCoDakigCFU09DpR8V3yyWw|</t>
  </si>
  <si>
    <t>Developer - Neopica</t>
  </si>
  <si>
    <t>#Neopica OR "Neopica"</t>
  </si>
  <si>
    <t>One Earth Rising</t>
  </si>
  <si>
    <t>https://www.youtube.com/channel/UC9GQtC-d8roQSrGYNS8w39g|</t>
  </si>
  <si>
    <t>#OneEarthRising OR "One Earth Rising"</t>
  </si>
  <si>
    <t>#Neopica | "Neopica"</t>
  </si>
  <si>
    <t>Developer - Neralex</t>
  </si>
  <si>
    <t>ONE MORE LEVEL</t>
  </si>
  <si>
    <t>https://www.youtube.com/user/onemorelevel|</t>
  </si>
  <si>
    <t>#ONEMORELEVEL OR "ONE MORE LEVEL"</t>
  </si>
  <si>
    <t>#Neralex | "Neralex"</t>
  </si>
  <si>
    <t>Developer - Nerd Game Studio</t>
  </si>
  <si>
    <t>#NerdGameStudio OR "Nerd Game Studio"</t>
  </si>
  <si>
    <t>ONEVISION GAMES</t>
  </si>
  <si>
    <t>https://www.youtube.com/channel/UCOplAJ3JjwBbYBZ71_b71JQ|</t>
  </si>
  <si>
    <t>#ONEVISIONGAMES OR "ONEVISION GAMES"</t>
  </si>
  <si>
    <t>#NerdGameStudio | "Nerd Game Studio"</t>
  </si>
  <si>
    <t>https://www.youtube.com/channel/UCGSnd6gOXMgFuKvNXXFXZsw|</t>
  </si>
  <si>
    <t>Developer - Nerd Games</t>
  </si>
  <si>
    <t>#NerdGames OR "Nerd Games"</t>
  </si>
  <si>
    <t>Onion Games</t>
  </si>
  <si>
    <t>https://www.youtube.com/channel/UCqtZ9aom-dfkP30SKaUvLpA|</t>
  </si>
  <si>
    <t>#OnionGames OR "Onion Games"</t>
  </si>
  <si>
    <t>#NerdGames | "Nerd Games"</t>
  </si>
  <si>
    <t>https://www.youtube.com/channel/UC-Lfzqz9MuTnbbF9bZsgDcQ|</t>
  </si>
  <si>
    <t>Developer - Nerd Monkeys</t>
  </si>
  <si>
    <t>#NerdMonkeys OR "Nerd Monkeys"</t>
  </si>
  <si>
    <t>Only By Midnight</t>
  </si>
  <si>
    <t>https://www.youtube.com/channel/UC7-ohQ5wKRMsYicuRCTtFuQ|</t>
  </si>
  <si>
    <t>#OnlyByMidnight OR "Only By Midnight"</t>
  </si>
  <si>
    <t>#NerdMonkeys | "Nerd Monkeys"</t>
  </si>
  <si>
    <t>https://www.youtube.com/channel/UCOOnm_yEMHYmwdkocnt2o9A|</t>
  </si>
  <si>
    <t>Developer - Nerdook Productions</t>
  </si>
  <si>
    <t>#NerdookProductions OR "Nerdook Productions"</t>
  </si>
  <si>
    <t>ONLYUSEmeFEET</t>
  </si>
  <si>
    <t>#ONLYUSEmeFEET OR "ONLYUSEmeFEET"</t>
  </si>
  <si>
    <t>#NerdookProductions | "Nerdook Productions"</t>
  </si>
  <si>
    <r>
      <rPr>
        <rFont val="Arial"/>
        <color rgb="FF000000"/>
      </rPr>
      <t>https://www.youtube.com/channel/UCPSvGqBl1PM4D-32L_qXDUQ</t>
    </r>
    <r>
      <rPr>
        <rFont val="Arial"/>
        <color rgb="FF000000"/>
      </rPr>
      <t>|</t>
    </r>
  </si>
  <si>
    <t>Developer - NerdRage Studios Ltd.</t>
  </si>
  <si>
    <t>OnSkull Games</t>
  </si>
  <si>
    <t>https://www.youtube.com/channel/UC_jbruF1MW756cPoaiHkH4A|</t>
  </si>
  <si>
    <t>#OnSkullGames OR "OnSkull Games"</t>
  </si>
  <si>
    <t>#NerdRageStudiosLtd | "NerdRage Studios Ltd."</t>
  </si>
  <si>
    <t>Developer - NetherRealm Studios</t>
  </si>
  <si>
    <t>#NetherRealmStudios OR "NetherRealm Studios"</t>
  </si>
  <si>
    <t>Onteca</t>
  </si>
  <si>
    <t>https://www.youtube.com/user/Onteca|</t>
  </si>
  <si>
    <t>#Onteca OR "Onteca"</t>
  </si>
  <si>
    <t>#NetherRealmStudios | "NetherRealm Studios"</t>
  </si>
  <si>
    <t>https://www.youtube.com/channel/UCIsBZx1DJpogO_ZgoQeBkBQ|</t>
  </si>
  <si>
    <t>Developer - Netmin e.K.</t>
  </si>
  <si>
    <t>OPQAM</t>
  </si>
  <si>
    <t>https://www.youtube.com/channel/UC7yvh8TXS-oDyc_Ls0LNQSw|</t>
  </si>
  <si>
    <t>#OPQAM OR "OPQAM"</t>
  </si>
  <si>
    <t>#NetmineK | "Netmin e.K."</t>
  </si>
  <si>
    <t>Developer - Nevernaut Games</t>
  </si>
  <si>
    <t>Orange Bridge Studios</t>
  </si>
  <si>
    <t>#OrangeBridgeStudios OR "Orange Bridge Studios"</t>
  </si>
  <si>
    <t>#NevernautGames | "Nevernaut Games"</t>
  </si>
  <si>
    <t>Developer - New World Interactive</t>
  </si>
  <si>
    <t>#NewWorldInteractive OR "New World Interactive"</t>
  </si>
  <si>
    <t>orange inc.</t>
  </si>
  <si>
    <r>
      <rPr>
        <rFont val="Calibri, sans-serif"/>
        <color rgb="FF000000"/>
        <sz val="10.0"/>
        <u/>
      </rPr>
      <t>https://www.youtube.com/channel/UCzdsXPsLEKV2cIaCYPANVzg</t>
    </r>
    <r>
      <rPr>
        <rFont val="Calibri, sans-serif"/>
        <color rgb="FF000000"/>
        <sz val="10.0"/>
      </rPr>
      <t>|</t>
    </r>
  </si>
  <si>
    <t>#orangeinc OR "orange"</t>
  </si>
  <si>
    <t>#NewWorldInteractive | "New World Interactive"</t>
  </si>
  <si>
    <t>https://www.youtube.com/channel/UCHJFAUuzepjQJJzsSJdUD1Q|</t>
  </si>
  <si>
    <t>Developer - Nexile</t>
  </si>
  <si>
    <t>#Nexile OR "Nexile"</t>
  </si>
  <si>
    <t>Orenda</t>
  </si>
  <si>
    <t>#Orenda OR "Orenda"</t>
  </si>
  <si>
    <t>#Nexile | "Nexile"</t>
  </si>
  <si>
    <t>https://www.youtube.com/channel/UCsc4-tYRezB8Ac8_M7yU1Rg|</t>
  </si>
  <si>
    <t>Developer - NExT Studios</t>
  </si>
  <si>
    <t>ORiGO GAMES</t>
  </si>
  <si>
    <t>#ORiGOGAMES OR "ORiGO GAMES"</t>
  </si>
  <si>
    <t>#NExTStudios | "NExT Studios"</t>
  </si>
  <si>
    <t>Developer - Nibb Games</t>
  </si>
  <si>
    <t>#NibbGames OR "Nibb Games"</t>
  </si>
  <si>
    <t>Orube Game Studio</t>
  </si>
  <si>
    <t>https://www.youtube.com/channel/UCOsmipJDupIL7CGgMr3LORA|</t>
  </si>
  <si>
    <t>#OrubeGameStudio OR "Orube Game Studio"</t>
  </si>
  <si>
    <t>#NibbGames | "Nibb Games"</t>
  </si>
  <si>
    <r>
      <rPr>
        <rFont val="Arial"/>
        <color rgb="FF000000"/>
      </rPr>
      <t>https://www.youtube.com/channel/UCq9M_N84cZ9j0ZRhmSHr8YA</t>
    </r>
    <r>
      <rPr>
        <rFont val="Arial"/>
        <color rgb="FF000000"/>
      </rPr>
      <t>|</t>
    </r>
  </si>
  <si>
    <t>Developer - Nicalis</t>
  </si>
  <si>
    <t>Osgoode Media</t>
  </si>
  <si>
    <t>https://www.youtube.com/channel/UCu1lUESJSMK4xi-2NbkB1BA|</t>
  </si>
  <si>
    <t>#OsgoodeMedia OR "Osgoode Media"</t>
  </si>
  <si>
    <t>#Nicalis | "Nicalis"</t>
  </si>
  <si>
    <t>Developer - Nick John</t>
  </si>
  <si>
    <t>Other Ocean Group</t>
  </si>
  <si>
    <t>https://www.youtube.com/channel/UCSWJPS8N-T14i-1_inR5Kjw|</t>
  </si>
  <si>
    <t>#OtherOceanGroup OR "Other Ocean Group"</t>
  </si>
  <si>
    <t>#NickJohn | "Nick John"</t>
  </si>
  <si>
    <t>Developer - Nickolas Machado</t>
  </si>
  <si>
    <t>#NickolasMachado OR "Nickolas Machado"</t>
  </si>
  <si>
    <t>Other Ocean Interactive</t>
  </si>
  <si>
    <t>#OtherOceanInteractive OR "Other Ocean Interactive"</t>
  </si>
  <si>
    <t>#NickolasMachado | "Nickolas Machado"</t>
  </si>
  <si>
    <t>Developer - Nicolas Meyssonnier</t>
  </si>
  <si>
    <t>#NicolasMeyssonnier OR "Nicolas Meyssonnier"</t>
  </si>
  <si>
    <t>Otterrific Games, LLC</t>
  </si>
  <si>
    <t>#OtterrificGamesLLC OR "Otterrific Games"</t>
  </si>
  <si>
    <t>#NicolasMeyssonnier | "Nicolas Meyssonnier"</t>
  </si>
  <si>
    <t>https://www.youtube.com/channel/UCmeds0MLhjfkjD_5acPnFlQ|</t>
  </si>
  <si>
    <t>Developer - NicoplvGames</t>
  </si>
  <si>
    <t>Outerloop Games</t>
  </si>
  <si>
    <t>https://www.youtube.com/channel/UCtzLOsaDmZ4q7_zTHVw3FAg|</t>
  </si>
  <si>
    <t>#OuterloopGames OR "Outerloop Games"</t>
  </si>
  <si>
    <t>#NicoplvGames | "NicoplvGames"</t>
  </si>
  <si>
    <t>Developer - Night Dive Studios</t>
  </si>
  <si>
    <t>Outfit7 Limited</t>
  </si>
  <si>
    <t>https://www.youtube.com/channel/UCjk3ZQiDvx00ciZl2wCpULA|</t>
  </si>
  <si>
    <t>#Outfit7Limited OR "Outfit7 Limited"</t>
  </si>
  <si>
    <t>#NightDiveStudios | "Night Dive Studios"</t>
  </si>
  <si>
    <t>Developer - Night School Studio</t>
  </si>
  <si>
    <t>Outlands</t>
  </si>
  <si>
    <t>#Outlands OR "Outlands"</t>
  </si>
  <si>
    <t>#NightSchoolStudio | "Night School Studio"</t>
  </si>
  <si>
    <t>Developer - Nighthawk Interactive</t>
  </si>
  <si>
    <t>Outright Games</t>
  </si>
  <si>
    <t>https://www.youtube.com/channel/UCiLTIbCYFkXhxldNzew_LMA|</t>
  </si>
  <si>
    <t>#OutrightGames OR "Outright Games"</t>
  </si>
  <si>
    <t>#NighthawkInteractive | "Nighthawk Interactive"</t>
  </si>
  <si>
    <t>Developer - Nigoro</t>
  </si>
  <si>
    <t>#Nigoro OR "Nigoro"</t>
  </si>
  <si>
    <t>Outsider Games</t>
  </si>
  <si>
    <t>https://www.youtube.com/user/0utsiderGames|</t>
  </si>
  <si>
    <t>#OutsiderGames OR "Outsider Games"</t>
  </si>
  <si>
    <t>#Nigoro | "Nigoro"</t>
  </si>
  <si>
    <r>
      <rPr>
        <rFont val="Arial"/>
        <color rgb="FF000000"/>
      </rPr>
      <t>https://www.youtube.com/channel/UCKhO5j-Dab1wd4l1bNFzJ8A</t>
    </r>
    <r>
      <rPr>
        <rFont val="Arial"/>
        <color rgb="FF000000"/>
      </rPr>
      <t>|</t>
    </r>
  </si>
  <si>
    <t>Developer - Nilo Studios</t>
  </si>
  <si>
    <t>Over The Moon</t>
  </si>
  <si>
    <t>https://www.youtube.com/channel/UCa2ZaEDTj4sS5TRuQbEW51g|</t>
  </si>
  <si>
    <t>#OverTheMoon OR "Over The Moon"</t>
  </si>
  <si>
    <t>#NiloStudios | "Nilo Studios"</t>
  </si>
  <si>
    <t>Developer - Nine Dots Studio</t>
  </si>
  <si>
    <t>#NineDotsStudio OR "Nine Dots Studio"</t>
  </si>
  <si>
    <t>Over the Top Games</t>
  </si>
  <si>
    <t>https://www.youtube.com/channel/UCF0cRYs94klID6iP1UL6YOg|</t>
  </si>
  <si>
    <t>#OvertheTopGames OR "Over the Top Games"</t>
  </si>
  <si>
    <t>#NineDotsStudio | "Nine Dots Studio"</t>
  </si>
  <si>
    <t>https://www.youtube.com/user/ninedotsstudio|</t>
  </si>
  <si>
    <t>Developer - Ninja Egg</t>
  </si>
  <si>
    <t>OverGamez</t>
  </si>
  <si>
    <t>https://www.youtube.com/channel/UCnrU3y2itLaTntFMbw7dkmQ|</t>
  </si>
  <si>
    <t>#OverGamez OR "OverGamez"</t>
  </si>
  <si>
    <t>#NinjaEgg | "Ninja Egg"</t>
  </si>
  <si>
    <t>Developer - Ninja Kiwi</t>
  </si>
  <si>
    <t>Ovid Works</t>
  </si>
  <si>
    <t>https://www.youtube.com/channel/UCasv_pHRt8SEmb7VOT9rvSw|</t>
  </si>
  <si>
    <t>#OvidWorks OR "Ovid Works"</t>
  </si>
  <si>
    <t>#NinjaKiwi | "Ninja Kiwi"</t>
  </si>
  <si>
    <t>Developer - Ninja Theory</t>
  </si>
  <si>
    <t>Owlchemy Labs</t>
  </si>
  <si>
    <t>https://www.youtube.com/owlchemylabs|</t>
  </si>
  <si>
    <t>#OwlchemyLabs OR "Owlchemy Labs"</t>
  </si>
  <si>
    <t>#NinjaTheory | "Ninja Theory"</t>
  </si>
  <si>
    <t>Developer - NinjaBee</t>
  </si>
  <si>
    <t>Owlgorithm</t>
  </si>
  <si>
    <r>
      <rPr>
        <rFont val="Calibri, sans-serif"/>
        <color rgb="FF000000"/>
        <sz val="10.0"/>
        <u/>
      </rPr>
      <t>https://www.youtube.com/channel/UCOLX6O-xvpnKRRaj4YBJ0lQ</t>
    </r>
    <r>
      <rPr>
        <rFont val="Calibri, sans-serif"/>
        <color rgb="FF000000"/>
        <sz val="10.0"/>
      </rPr>
      <t>|</t>
    </r>
  </si>
  <si>
    <t>#Owlgorithm OR "Owlgorithm"</t>
  </si>
  <si>
    <t>#NinjaBee | "NinjaBee"</t>
  </si>
  <si>
    <t>Developer - Nippon Ichi Software</t>
  </si>
  <si>
    <t>Oxygene</t>
  </si>
  <si>
    <t>#Oxygene OR "Oxygene"</t>
  </si>
  <si>
    <t>#NipponIchiSoftware | "Nippon Ichi Software"</t>
  </si>
  <si>
    <t>Developer - Nixxes Software</t>
  </si>
  <si>
    <t>#NixxesSoftware OR "Nixxes Software"</t>
  </si>
  <si>
    <t>Pablo Vidaurre Sanz</t>
  </si>
  <si>
    <t>#PabloVidaurreSanz OR "Pablo Vidaurre Sanz"</t>
  </si>
  <si>
    <t>#NixxesSoftware | "Nixxes Software"</t>
  </si>
  <si>
    <t>https://www.youtube.com/channel/UCJdgFqeLeQYNkadbJisKUKg|</t>
  </si>
  <si>
    <t>Developer - NMK</t>
  </si>
  <si>
    <t>#NMK OR "NMK"</t>
  </si>
  <si>
    <t>Painted Black Games</t>
  </si>
  <si>
    <t>#PaintedBlackGames OR "Painted Black Games"</t>
  </si>
  <si>
    <t>#NMK | "NMK"</t>
  </si>
  <si>
    <t>Developer - NNG LAB</t>
  </si>
  <si>
    <t>Paleo Games LLC</t>
  </si>
  <si>
    <t>https://www.youtube.com/channel/UCVlhbyYzRFHAEqFhPN191Uw|</t>
  </si>
  <si>
    <t>#PaleoGamesLLC OR "Paleo Games LLC"</t>
  </si>
  <si>
    <t>#NNGLAB | "NNG LAB"</t>
  </si>
  <si>
    <t>Developer - Nnooo</t>
  </si>
  <si>
    <t>Panache Digital Games</t>
  </si>
  <si>
    <t>https://www.youtube.com/channel/UCJoRdHp3Bd4dgSeYhQWmQfQ|</t>
  </si>
  <si>
    <t>#PanacheDigitalGames OR "Panache Digital Games"</t>
  </si>
  <si>
    <t>#Nnooo | "Nnooo"</t>
  </si>
  <si>
    <t>Developer - No Brakes Games</t>
  </si>
  <si>
    <t>Panda Indie Studio</t>
  </si>
  <si>
    <r>
      <rPr>
        <rFont val="Calibri, sans-serif"/>
        <color rgb="FF000000"/>
        <sz val="10.0"/>
        <u/>
      </rPr>
      <t>https://www.youtube.com/channel/UCI_UdioloFUQpm8yWgpCjKQ</t>
    </r>
    <r>
      <rPr>
        <rFont val="Calibri, sans-serif"/>
        <color rgb="FF000000"/>
        <sz val="10.0"/>
      </rPr>
      <t>|</t>
    </r>
  </si>
  <si>
    <t>#PandaIndieStudio OR "Panda Indie Studio"</t>
  </si>
  <si>
    <t>#NoBrakesGames | "No Brakes Games"</t>
  </si>
  <si>
    <t>Developer - No Code</t>
  </si>
  <si>
    <t>#NoCode OR "No Code"</t>
  </si>
  <si>
    <t>PANDABALL APS</t>
  </si>
  <si>
    <t>https://www.youtube.com/channel/UCyeYHgzOzVbFa_FMw3SVp9Q/featured|</t>
  </si>
  <si>
    <t>#PANDABALLAPS OR "PANDABALL APS"</t>
  </si>
  <si>
    <t>#NoCode | "No Code"</t>
  </si>
  <si>
    <t>Developer - No Goblin</t>
  </si>
  <si>
    <t>Panic Button</t>
  </si>
  <si>
    <t>#PanicButton OR "Panic Button"</t>
  </si>
  <si>
    <t>#NoGoblin | "No Goblin"</t>
  </si>
  <si>
    <t>Developer - No Gravity Games</t>
  </si>
  <si>
    <t>AggroCrab</t>
  </si>
  <si>
    <t>#NoGravityGames | "No Gravity Games"</t>
  </si>
  <si>
    <t>Developer - No Matter Studios</t>
  </si>
  <si>
    <t>Paper Cult</t>
  </si>
  <si>
    <r>
      <rPr>
        <rFont val="Calibri, sans-serif"/>
        <color rgb="FF000000"/>
        <sz val="10.0"/>
        <u/>
      </rPr>
      <t>https://www.youtube.com/channel/UCYaLjiGdDIaCfOsE1pmWeKw</t>
    </r>
    <r>
      <rPr>
        <rFont val="Calibri, sans-serif"/>
        <color rgb="FF000000"/>
        <sz val="10.0"/>
      </rPr>
      <t>|</t>
    </r>
  </si>
  <si>
    <t>#PaperCult OR "Paper Cult"</t>
  </si>
  <si>
    <t>#NoMatterStudios | "No Matter Studios"</t>
  </si>
  <si>
    <t>Developer - No More Robots</t>
  </si>
  <si>
    <t>PaperSeven</t>
  </si>
  <si>
    <t>https://www.youtube.com/user/wearepaperseven|</t>
  </si>
  <si>
    <t>#PaperSeven OR "PaperSeven"</t>
  </si>
  <si>
    <t>#NoMoreRobots | "No More Robots"</t>
  </si>
  <si>
    <t>Developer - No Pest Productions</t>
  </si>
  <si>
    <t>Paradox Development Studio</t>
  </si>
  <si>
    <t>https://www.youtube.com/user/Paradoxplaza|</t>
  </si>
  <si>
    <t>#ParadoxDevelopmentStudio OR "Paradox Development Studio"</t>
  </si>
  <si>
    <t>#NoPestProductions | "No Pest Productions"</t>
  </si>
  <si>
    <t>Developer - Noahcode</t>
  </si>
  <si>
    <t>Paradox Interactive</t>
  </si>
  <si>
    <t>#ParadoxInteractive OR "Paradox Interactive"</t>
  </si>
  <si>
    <t>#Noahcode | "Noahcode"</t>
  </si>
  <si>
    <r>
      <rPr>
        <rFont val="Arial"/>
        <color rgb="FF000000"/>
      </rPr>
      <t>https://www.youtube.com/channel/UCWAnTgyZLO1O1RJiXc9ZJPA</t>
    </r>
    <r>
      <rPr>
        <rFont val="Arial"/>
        <color rgb="FF000000"/>
      </rPr>
      <t>|</t>
    </r>
  </si>
  <si>
    <t>Developer - Nodding Heads Games</t>
  </si>
  <si>
    <t>Parallel Circles</t>
  </si>
  <si>
    <t>https://www.youtube.com/channel/UC96yUpeP0uJLuWCfGlTg_pA|</t>
  </si>
  <si>
    <t>#ParallelCircles OR "Parallel Circles"</t>
  </si>
  <si>
    <t>#NoddingHeadsGames | "Nodding Heads Games"</t>
  </si>
  <si>
    <t>Developer - Noi</t>
  </si>
  <si>
    <t>#Noi OR "Noi"</t>
  </si>
  <si>
    <t>Paranoid Productions</t>
  </si>
  <si>
    <t>#ParanoidProductions OR "Paranoid Productions"</t>
  </si>
  <si>
    <t>#Noi | "Noi"</t>
  </si>
  <si>
    <t>Developer - Noio</t>
  </si>
  <si>
    <t>PARK ESM</t>
  </si>
  <si>
    <t>https://www.youtube.com/channel/UCc1_KYVRgksNIjRPDyWv5nw|</t>
  </si>
  <si>
    <t>#PARKESM OR "PARK ESM"</t>
  </si>
  <si>
    <t>#Noio | "Noio"</t>
  </si>
  <si>
    <t>Developer - Nomad Games</t>
  </si>
  <si>
    <t>Pasta Games</t>
  </si>
  <si>
    <t>#PastaGames OR "Pasta Games"</t>
  </si>
  <si>
    <t>#NomadGames | "Nomad Games"</t>
  </si>
  <si>
    <t>Developer - NomnomNami</t>
  </si>
  <si>
    <t>Payload Studios</t>
  </si>
  <si>
    <t>https://www.youtube.com/channel/UCvN4u4k_LBNYaS9Hh07HrjQ|</t>
  </si>
  <si>
    <t>#PayloadStudios OR "Payload Studios"</t>
  </si>
  <si>
    <t>#NomnomNami | "NomnomNami"</t>
  </si>
  <si>
    <t>Developer - Nonostante Games</t>
  </si>
  <si>
    <t>PD Design Studio Pte Ltd</t>
  </si>
  <si>
    <t>https://www.youtube.com/user/PDDesignStudio|</t>
  </si>
  <si>
    <t>#PDDesignStudioPteLtd OR "PD Design Studio Pte Ltd"</t>
  </si>
  <si>
    <t>#NonostanteGames | "Nonostante Games"</t>
  </si>
  <si>
    <t>Developer - Noobles Studio</t>
  </si>
  <si>
    <t>Pearl Abyss</t>
  </si>
  <si>
    <t>https://www.youtube.com/channel/UCVtC-cy2yO6u0dOB7UeajDw|</t>
  </si>
  <si>
    <t>#PearlAbyss OR "Pearl Abyss"</t>
  </si>
  <si>
    <t>#NooblesStudio | "Noobles Studio"</t>
  </si>
  <si>
    <t>Developer - Nordic Games Publishing</t>
  </si>
  <si>
    <t>Peerssa</t>
  </si>
  <si>
    <t>#Peerssa OR "Peerssa"</t>
  </si>
  <si>
    <t>#NordicGamesPublishing | "Nordic Games Publishing"</t>
  </si>
  <si>
    <t>Developer - Nordic Mist Games</t>
  </si>
  <si>
    <t>Pelfast</t>
  </si>
  <si>
    <t>https://www.youtube.com/user/pelfast|</t>
  </si>
  <si>
    <t>#Pelfast OR "Pelfast"</t>
  </si>
  <si>
    <t>#NordicMistGames | "Nordic Mist Games"</t>
  </si>
  <si>
    <t>Developer - Norsfell</t>
  </si>
  <si>
    <t>Penguin Pop Games LLC</t>
  </si>
  <si>
    <r>
      <rPr>
        <rFont val="Calibri, sans-serif"/>
        <color rgb="FF000000"/>
        <sz val="10.0"/>
        <u/>
      </rPr>
      <t>https://www.youtube.com/channel/UC4EoelBvQKOFbEm0n5hO6SA</t>
    </r>
    <r>
      <rPr>
        <rFont val="Calibri, sans-serif"/>
        <color rgb="FF000000"/>
        <sz val="10.0"/>
      </rPr>
      <t>|</t>
    </r>
  </si>
  <si>
    <t>#PenguinPopGamesLLC OR "Penguin Pop Games LLC"</t>
  </si>
  <si>
    <t>#Norsfell | "Norsfell"</t>
  </si>
  <si>
    <t>Developer - Nosebleed Interactive</t>
  </si>
  <si>
    <t>#NosebleedInteractive OR "Nosebleed Interactive"</t>
  </si>
  <si>
    <t>Penny Black Studios</t>
  </si>
  <si>
    <r>
      <rPr>
        <rFont val="Calibri, sans-serif"/>
        <color rgb="FF000000"/>
        <sz val="10.0"/>
        <u/>
      </rPr>
      <t>https://www.youtube.com/channel/UCUV02SSLvKCeauaGE3DDghg</t>
    </r>
    <r>
      <rPr>
        <rFont val="Calibri, sans-serif"/>
        <color rgb="FF000000"/>
        <sz val="10.0"/>
      </rPr>
      <t>|</t>
    </r>
  </si>
  <si>
    <t>#PennyBlackStudios OR "Penny Black Studios"</t>
  </si>
  <si>
    <t>#NosebleedInteractive | "Nosebleed Interactive"</t>
  </si>
  <si>
    <r>
      <rPr>
        <rFont val="Arial"/>
        <color rgb="FF000000"/>
      </rPr>
      <t>https://www.youtube.com/channel/UCbTg1Ku7x7OueK8eHuGf_lQ</t>
    </r>
    <r>
      <rPr>
        <rFont val="Arial"/>
        <color rgb="FF000000"/>
      </rPr>
      <t>|</t>
    </r>
  </si>
  <si>
    <t>Developer - Noskov Sergey</t>
  </si>
  <si>
    <t>#NoskovSergey OR "Noskov Sergey"</t>
  </si>
  <si>
    <t>Penrose Studios</t>
  </si>
  <si>
    <r>
      <rPr>
        <rFont val="Calibri, sans-serif"/>
        <color rgb="FF000000"/>
        <sz val="10.0"/>
        <u/>
      </rPr>
      <t>https://www.youtube.com/channel/UCIfQPuJEO6n4t9_9aqwYb8A</t>
    </r>
    <r>
      <rPr>
        <rFont val="Calibri, sans-serif"/>
        <color rgb="FF000000"/>
        <sz val="10.0"/>
      </rPr>
      <t>|</t>
    </r>
  </si>
  <si>
    <t>#PenroseStudios OR "Penrose Studios"</t>
  </si>
  <si>
    <t>#NoskovSergey | "Noskov Sergey"</t>
  </si>
  <si>
    <t>Developer - Nostatic Software</t>
  </si>
  <si>
    <t>Pentadimensional Games</t>
  </si>
  <si>
    <t>https://www.youtube.com/channel/UCjWrUrICeauUU0cZhnimK4w|</t>
  </si>
  <si>
    <t>#PentadimensionalGames OR "Pentadimensional Games"</t>
  </si>
  <si>
    <t>#NostaticSoftware | "Nostatic Software"</t>
  </si>
  <si>
    <t>Developer - Not Yet</t>
  </si>
  <si>
    <t>pepeizq's apps</t>
  </si>
  <si>
    <t>#pepeizqsapps OR "pepeizq's apps"</t>
  </si>
  <si>
    <t>#NotYet | "Not Yet"</t>
  </si>
  <si>
    <t>Developer - Nowhere Studios</t>
  </si>
  <si>
    <t>perfect victim entertainment</t>
  </si>
  <si>
    <t>#perfectvictimentertainment OR "perfect victim entertainment"</t>
  </si>
  <si>
    <t>#NowhereStudios | "Nowhere Studios"</t>
  </si>
  <si>
    <t>Developer - npckc</t>
  </si>
  <si>
    <t>#npckc OR "npckc"</t>
  </si>
  <si>
    <t>Perfect World Beijing</t>
  </si>
  <si>
    <t>#PerfectWorldBeijing OR "Perfect World Beijing"</t>
  </si>
  <si>
    <t>#npckc | "npckc"</t>
  </si>
  <si>
    <t>https://www.youtube.com/channel/UC1rWN46x4Xa13Z0Kk2IpiAA|</t>
  </si>
  <si>
    <t>Developer - Nsrgames</t>
  </si>
  <si>
    <t>Perfect World Entertainment</t>
  </si>
  <si>
    <t>https://www.youtube.com/channel/UCZqfJGZI5wmtZDbBSgez-9A|</t>
  </si>
  <si>
    <t>#PerfectWorldEntertainment OR "Perfect World Entertainment"</t>
  </si>
  <si>
    <t>#Nsrgames | "Nsrgames"</t>
  </si>
  <si>
    <t>Developer - Nuclear Tales</t>
  </si>
  <si>
    <t>Perfectly Paranormal</t>
  </si>
  <si>
    <t>https://www.youtube.com/user/PerfectlyParanormal|</t>
  </si>
  <si>
    <t>#PerfectlyParanormal OR "Perfectly Paranormal"</t>
  </si>
  <si>
    <t>#NuclearTales | "Nuclear Tales"</t>
  </si>
  <si>
    <t>Developer - Nuke Nine</t>
  </si>
  <si>
    <t>#NukeNine OR "Nuke Nine"</t>
  </si>
  <si>
    <t>Performance Designed Products</t>
  </si>
  <si>
    <t>https://www.youtube.com/channel/UCmQKsd-WYBLtomXZ9Ok-J1g|</t>
  </si>
  <si>
    <t>#PerformanceDesignedProducts OR "Performance Designed Products"</t>
  </si>
  <si>
    <t>#NukeNine | "Nuke Nine"</t>
  </si>
  <si>
    <t>https://www.youtube.com/channel/UCL5YbVSTWI3PRx6l9gT6k6A|</t>
  </si>
  <si>
    <t>Developer - Nullpointer Games</t>
  </si>
  <si>
    <t>#NullpointerGames OR "Nullpointer Games"</t>
  </si>
  <si>
    <t>Performance Designed Products LLC</t>
  </si>
  <si>
    <t>#PerformanceDesignedProductsLLC OR "Performance Designed Products LLC"</t>
  </si>
  <si>
    <t>#NullpointerGames | "Nullpointer Games"</t>
  </si>
  <si>
    <t>https://www.youtube.com/channel/UC6uyGCLW1Xas7467hbDSfGw|</t>
  </si>
  <si>
    <t>Developer - Numantian Games</t>
  </si>
  <si>
    <t>Perp Games</t>
  </si>
  <si>
    <t>https://www.youtube.com/channel/UCEUZ98GU6PTwt10vUTmviXw|</t>
  </si>
  <si>
    <t>#PerpGames OR "Perp Games"</t>
  </si>
  <si>
    <t>#NumantianGames | "Numantian Games"</t>
  </si>
  <si>
    <t>Developer - Numskull Games</t>
  </si>
  <si>
    <t>Perpetual</t>
  </si>
  <si>
    <t>#Perpetual OR "Perpetual"</t>
  </si>
  <si>
    <t>#NumskullGames | "Numskull Games"</t>
  </si>
  <si>
    <t>Developer - Nupixo Games</t>
  </si>
  <si>
    <t>#NupixoGames OR "Nupixo Games"</t>
  </si>
  <si>
    <t>Perpetual FX Creative</t>
  </si>
  <si>
    <t>#PerpetualFXCreative OR "Perpetual FX Creative"</t>
  </si>
  <si>
    <t>#NupixoGames | "Nupixo Games"</t>
  </si>
  <si>
    <t>https://www.youtube.com/channel/UCpt472dn1tkRlLHRkoodcvQ|</t>
  </si>
  <si>
    <t>Developer - NURENDSOFT</t>
  </si>
  <si>
    <t>#NURENDSOFT OR "NURENDSOFT"</t>
  </si>
  <si>
    <t>Perpetual Games</t>
  </si>
  <si>
    <t>#PerpetualGames OR "Perpetual Games"</t>
  </si>
  <si>
    <t>#NURENDSOFT | "NURENDSOFT"</t>
  </si>
  <si>
    <t>https://www.youtube.com/user/Nurendsoft|</t>
  </si>
  <si>
    <t>Developer - nWay</t>
  </si>
  <si>
    <t>Persistant Studios</t>
  </si>
  <si>
    <t>https://www.youtube.com/channel/UC64QZQhSsETFIuYWWrPM4PQ|</t>
  </si>
  <si>
    <t>#PersistantStudios OR "Persistant Studios"</t>
  </si>
  <si>
    <t>#nWay | "nWay"</t>
  </si>
  <si>
    <t>Developer - NXgames</t>
  </si>
  <si>
    <t>#NXgames OR "NXgames"</t>
  </si>
  <si>
    <t>Peter Lu &amp; Lea Schonfelder</t>
  </si>
  <si>
    <t>https://www.youtube.com/channel/UCUeyldjAZ60bWnB8D8tUZgw|</t>
  </si>
  <si>
    <t>#PeterLuandLeaSchonfelder OR "Peter Lu &amp; Lea Schonfelder"</t>
  </si>
  <si>
    <t>#NXgames | "NXgames"</t>
  </si>
  <si>
    <t>Developer - O.Stogden</t>
  </si>
  <si>
    <t>Petite Games</t>
  </si>
  <si>
    <t>https://www.youtube.com/channel/UCCk2bvsZsWmc6OWIBuPPE5A|</t>
  </si>
  <si>
    <t>#PetiteGames OR "Petite Games"</t>
  </si>
  <si>
    <t>#OStogden | "O.Stogden"</t>
  </si>
  <si>
    <t>Developer - Obscure Tales</t>
  </si>
  <si>
    <t>#ObscureTales OR "Obscure Tales"</t>
  </si>
  <si>
    <t>PETOONS STUDIO SL</t>
  </si>
  <si>
    <t>https://www.youtube.com/petoons|</t>
  </si>
  <si>
    <t>#PETOONSSTUDIOSL OR "PETOONS STUDIO SL"</t>
  </si>
  <si>
    <t>#ObscureTales | "Obscure Tales"</t>
  </si>
  <si>
    <t>https://www.youtube.com/channel/UCJraQLJisVevssRZKtPxWVA|</t>
  </si>
  <si>
    <t>Developer - Obsidian Entertainment</t>
  </si>
  <si>
    <t>Petroglyph</t>
  </si>
  <si>
    <t>https://www.youtube.com/channel/UCorkyFoPfQ6uZtl8vRyU1ew|</t>
  </si>
  <si>
    <t>#Petroglyph OR "Petroglyph"</t>
  </si>
  <si>
    <t>#ObsidianEntertainment | "Obsidian Entertainment"</t>
  </si>
  <si>
    <t>Developer - Ocellus Studio</t>
  </si>
  <si>
    <t>#OcellusStudio OR "Ocellus Studio"</t>
  </si>
  <si>
    <t>Phantom 8</t>
  </si>
  <si>
    <t>#Phantom8 OR "Phantom 8"</t>
  </si>
  <si>
    <t>#OcellusStudio | "Ocellus Studio"</t>
  </si>
  <si>
    <t>https://www.youtube.com/channel/UCH1GiCbRzHeK0Zuhx9TxYYg|</t>
  </si>
  <si>
    <t>Developer - Odd Bug Studio</t>
  </si>
  <si>
    <t>#OddBugStudio OR "Odd Bug Studio"</t>
  </si>
  <si>
    <t>Phaser Lock Interactive</t>
  </si>
  <si>
    <t>https://www.youtube.com/channel/UCb78Dc6mi3IqQ6bywzbg_-A/featured|</t>
  </si>
  <si>
    <t>#PhaserLockInteractive OR "Phaser Lock Interactive"</t>
  </si>
  <si>
    <t>#OddBugStudio | "Odd Bug Studio"</t>
  </si>
  <si>
    <t>https://www.youtube.com/channel/UCUiGWQHjlZotHwJP2UiAhyg|</t>
  </si>
  <si>
    <t>Developer - Oddworld Inhabitants</t>
  </si>
  <si>
    <t>Phigames</t>
  </si>
  <si>
    <t>https://www.youtube.com/channel/UClHI95ZA4LhiXUXRJwLtuBg|</t>
  </si>
  <si>
    <t>#Phigames OR "Phigames"</t>
  </si>
  <si>
    <t>#OddworldInhabitants | "Oddworld Inhabitants"</t>
  </si>
  <si>
    <t>Developer - Okomotive</t>
  </si>
  <si>
    <t>Phil Reeks</t>
  </si>
  <si>
    <t>#PhilReeks OR "Phil Reeks"</t>
  </si>
  <si>
    <t>#Okomotive | "Okomotive"</t>
  </si>
  <si>
    <t>Developer - Old Apes</t>
  </si>
  <si>
    <t>PHL Collective</t>
  </si>
  <si>
    <t>https://www.youtube.com/channel/UCIoJvmg8rA-6OVubz6GU_HA|</t>
  </si>
  <si>
    <t>#PHLCollective OR "PHL Collective"</t>
  </si>
  <si>
    <t>#OldApes | "Old Apes"</t>
  </si>
  <si>
    <t>Developer - Olle</t>
  </si>
  <si>
    <t>Phoenix Labs</t>
  </si>
  <si>
    <t>https://www.youtube.com/channel/UCusPK94V3F4HkGBBkpZA7wg|</t>
  </si>
  <si>
    <t>#PhoenixLabs OR "Phoenix Labs"</t>
  </si>
  <si>
    <t>#Olle | "Olle"</t>
  </si>
  <si>
    <t>Developer - Omega Force</t>
  </si>
  <si>
    <t>#OmegaForce OR "Omega Force"</t>
  </si>
  <si>
    <t>Phoenix Reborn Games</t>
  </si>
  <si>
    <t>#PhoenixRebornGames OR "Phoenix Reborn Games"</t>
  </si>
  <si>
    <t>#OmegaForce | "Omega Force"</t>
  </si>
  <si>
    <t>https://www.youtube.com/channel/UCYwuQdFSr2BreKQuIiaPBTA|</t>
  </si>
  <si>
    <t>Developer - omegaGo Team</t>
  </si>
  <si>
    <t>Phoenixx Inc.</t>
  </si>
  <si>
    <t>https://www.youtube.com/channel/UC7GFEi5fF9-mfLIqnyzRMDw|</t>
  </si>
  <si>
    <t>#PhoenixxInc OR "Phoenixx"</t>
  </si>
  <si>
    <t>#omegaGoTeam | "omegaGo Team"</t>
  </si>
  <si>
    <t>Developer - ON3D</t>
  </si>
  <si>
    <t>#ON3D OR "ON3D"</t>
  </si>
  <si>
    <t>Phosphor Games</t>
  </si>
  <si>
    <t>#PhosphorGames OR "Phosphor Games"</t>
  </si>
  <si>
    <t>#ON3D | "ON3D"</t>
  </si>
  <si>
    <r>
      <rPr>
        <rFont val="Arial"/>
        <color rgb="FF000000"/>
      </rPr>
      <t>https://www.youtube.com/channel/UCZUnVW-CDHng1joJU0qsmSw</t>
    </r>
    <r>
      <rPr>
        <rFont val="Arial"/>
        <color rgb="FF000000"/>
      </rPr>
      <t>|</t>
    </r>
  </si>
  <si>
    <t>Developer - One Earth Rising</t>
  </si>
  <si>
    <t>Phosphor Games Studio, LLC</t>
  </si>
  <si>
    <t>#OneEarthRising | "One Earth Rising"</t>
  </si>
  <si>
    <t>Developer - One Guy Games</t>
  </si>
  <si>
    <t>#OneGuyGames OR "One Guy Games"</t>
  </si>
  <si>
    <t>Phung Games</t>
  </si>
  <si>
    <t>https://www.youtube.com/channel/UC0E1TWGU1DDHvRSsQGQ5S4w|</t>
  </si>
  <si>
    <t>#PhungGames OR "Phung Games"</t>
  </si>
  <si>
    <t>#OneGuyGames | "One Guy Games"</t>
  </si>
  <si>
    <t>Developer - ONE MORE LEVEL</t>
  </si>
  <si>
    <t>Pico Sacro Games</t>
  </si>
  <si>
    <t>https://www.youtube.com/channel/UCMoJFCygFboHrMT2pPwhqwQ|</t>
  </si>
  <si>
    <t>#PicoSacroGames OR "Pico Sacro Games"</t>
  </si>
  <si>
    <t>#ONEMORELEVEL | "ONE MORE LEVEL"</t>
  </si>
  <si>
    <t>Developer - One or Eight</t>
  </si>
  <si>
    <t>#OneorEight OR "One or Eight"</t>
  </si>
  <si>
    <t>PID Games</t>
  </si>
  <si>
    <t>https://www.youtube.com/channel/UCzuf_jpBGRHU3IDCishmpoQ|</t>
  </si>
  <si>
    <t>#PIDGames OR "PID Games"</t>
  </si>
  <si>
    <t>#OneorEight | "One | Eight"</t>
  </si>
  <si>
    <t>Developer - One True Game Studios</t>
  </si>
  <si>
    <t>#OneTrueGameStudios OR "One True Game Studios"</t>
  </si>
  <si>
    <t>Pigeon Dev Games</t>
  </si>
  <si>
    <t>#PigeonDevGames OR "Pigeon Dev Games"</t>
  </si>
  <si>
    <t>#OneTrueGameStudios | "One True Game Studios"</t>
  </si>
  <si>
    <t>Developer - ONEOONE GAMES</t>
  </si>
  <si>
    <t>#ONEOONEGAMES OR "ONEOONE GAMES"</t>
  </si>
  <si>
    <t>PigeonDev</t>
  </si>
  <si>
    <t>#PigeonDev OR "PigeonDev"</t>
  </si>
  <si>
    <t>#ONEOONEGAMES | "ONEOONE GAMES"</t>
  </si>
  <si>
    <t>https://www.youtube.com/channel/UCB1cwGGu53PgCGp1R7Hy_Gw|</t>
  </si>
  <si>
    <t>Developer - ONEVISION GAMES</t>
  </si>
  <si>
    <t>PikPok</t>
  </si>
  <si>
    <t>https://www.youtube.com/user/pikpokgames|</t>
  </si>
  <si>
    <t>#PikPok OR "PikPok"</t>
  </si>
  <si>
    <t>#ONEVISIONGAMES | "ONEVISION GAMES"</t>
  </si>
  <si>
    <t>Developer - Onion Games</t>
  </si>
  <si>
    <t>Pillow Castle Games</t>
  </si>
  <si>
    <t>https://www.youtube.com/channel/UCIQwQd_A0P8gN-s8YEBFUhA|</t>
  </si>
  <si>
    <t>#PillowCastleGames OR "Pillow Castle Games"</t>
  </si>
  <si>
    <t>#OnionGames | "Onion Games"</t>
  </si>
  <si>
    <t>Developer - Onion Soup</t>
  </si>
  <si>
    <t>#OnionSoup OR "Onion Soup"</t>
  </si>
  <si>
    <t>PillowPigGames</t>
  </si>
  <si>
    <t>https://www.youtube.com/channel/UCmRMHFGpVDAZePLuVmRD5Cw|</t>
  </si>
  <si>
    <t>#PillowPigGames OR "PillowPigGames"</t>
  </si>
  <si>
    <t>#OnionSoup | "Onion Soup"</t>
  </si>
  <si>
    <t>https://www.youtube.com/channel/UCacTjt0wRn3y-7wBVSW2MZQ|</t>
  </si>
  <si>
    <t>Developer - Only By Midnight</t>
  </si>
  <si>
    <t>PimpGames</t>
  </si>
  <si>
    <t>https://www.youtube.com/channel/UCVPEHCfdAWqincdpV-ULVYA|</t>
  </si>
  <si>
    <t>#PimpGames OR "PimpGames"</t>
  </si>
  <si>
    <t>#OnlyByMidnight | "Only By Midnight"</t>
  </si>
  <si>
    <t>Developer - ONLYUSEmeFEET</t>
  </si>
  <si>
    <t>PipeDream Games</t>
  </si>
  <si>
    <t>https://www.youtube.com/channel/UCm-NI5ekAYW9ZaQfZSyolLQ|</t>
  </si>
  <si>
    <t>#PipeDreamGames OR "PipeDream Games"</t>
  </si>
  <si>
    <t>#ONLYUSEmeFEET | "ONLYUSEmeFEET"</t>
  </si>
  <si>
    <t>Developer - Onyx Lute</t>
  </si>
  <si>
    <t>#OnyxLute OR "Onyx Lute"</t>
  </si>
  <si>
    <t>Piranaking</t>
  </si>
  <si>
    <r>
      <rPr>
        <rFont val="Calibri, sans-serif"/>
        <color rgb="FF000000"/>
        <sz val="10.0"/>
        <u/>
      </rPr>
      <t>https://www.youtube.com/channel/UCpZDuy7yCYtP_bbaWc_XEmg</t>
    </r>
    <r>
      <rPr>
        <rFont val="Calibri, sans-serif"/>
        <color rgb="FF000000"/>
        <sz val="10.0"/>
      </rPr>
      <t>|</t>
    </r>
  </si>
  <si>
    <t>#Piranaking OR "Piranaking"</t>
  </si>
  <si>
    <t>#OnyxLute | "Onyx Lute"</t>
  </si>
  <si>
    <t>https://www.youtube.com/channel/UCTq5C-TthChjPrviN668Uwg|</t>
  </si>
  <si>
    <t>Developer - Orbit Studio</t>
  </si>
  <si>
    <t>#OrbitStudio OR "Orbit Studio"</t>
  </si>
  <si>
    <t>Piranha Games</t>
  </si>
  <si>
    <t>#PiranhaGames OR "Piranha Games"</t>
  </si>
  <si>
    <t>#OrbitStudio | "Orbit Studio"</t>
  </si>
  <si>
    <t>https://www.youtube.com/channel/UCJSfI0Wyk16WjM83UJJc69g|</t>
  </si>
  <si>
    <t>Developer - Orchid Games</t>
  </si>
  <si>
    <t>#OrchidGames OR "Orchid Games"</t>
  </si>
  <si>
    <t>PiRho Soft, inc</t>
  </si>
  <si>
    <r>
      <rPr>
        <rFont val="Calibri, sans-serif"/>
        <color rgb="FF000000"/>
        <sz val="10.0"/>
        <u/>
      </rPr>
      <t>https://www.youtube.com/channel/UCRiSxdervZlO_RnMOa-PMhw</t>
    </r>
    <r>
      <rPr>
        <rFont val="Calibri, sans-serif"/>
        <color rgb="FF000000"/>
        <sz val="10.0"/>
      </rPr>
      <t>|</t>
    </r>
  </si>
  <si>
    <t>#PiRhoSoftinc OR "PiRho Soft, inc"</t>
  </si>
  <si>
    <t>#OrchidGames | "Orchid Games"</t>
  </si>
  <si>
    <t>https://www.youtube.com/user/OrchidGames|</t>
  </si>
  <si>
    <t>Developer - Orenji Games</t>
  </si>
  <si>
    <t>#OrenjiGames OR "Orenji Games"</t>
  </si>
  <si>
    <t>Pix Arts</t>
  </si>
  <si>
    <t>https://www.youtube.com/channel/UCNYseIF4qpnxKXkYtmOZoRA|</t>
  </si>
  <si>
    <t>#PixArts OR "Pix Arts"</t>
  </si>
  <si>
    <t>#OrenjiGames | "Orenji Games"</t>
  </si>
  <si>
    <t>https://www.youtube.com/channel/UC9addTg0YcxJsM69Oh7ROLA|</t>
  </si>
  <si>
    <t>Developer - Original Fire Games</t>
  </si>
  <si>
    <t>#OriginalFireGames OR "Original Fire Games"</t>
  </si>
  <si>
    <t>Pixel Cream</t>
  </si>
  <si>
    <t>https://www.youtube.com/channel/UCvqQjOE36n2yiptTHYhY8cg|</t>
  </si>
  <si>
    <t>#PixelCream OR "Pixel Cream"</t>
  </si>
  <si>
    <t>#OriginalFireGames | "Original Fire Games"</t>
  </si>
  <si>
    <r>
      <rPr>
        <rFont val="Arial"/>
        <color rgb="FF000000"/>
      </rPr>
      <t>https://www.youtube.com/channel/UCwGbQyP4E34SH1SbgHs8Hmg</t>
    </r>
    <r>
      <rPr>
        <rFont val="Arial"/>
        <color rgb="FF000000"/>
      </rPr>
      <t>|</t>
    </r>
  </si>
  <si>
    <t>Developer - Orube Game Studio</t>
  </si>
  <si>
    <t>Pixel Envision Ltd.</t>
  </si>
  <si>
    <t>https://www.youtube.com/channel/UCom9f4UJmR-zv6_J55cBt4w|</t>
  </si>
  <si>
    <t>#PixelEnvisionLtd OR "Pixel Envision Ltd."</t>
  </si>
  <si>
    <t>#OrubeGameStudio | "Orube Game Studio"</t>
  </si>
  <si>
    <t>Developer - Oscar Brittain</t>
  </si>
  <si>
    <t>#OscarBrittain OR "Oscar Brittain"</t>
  </si>
  <si>
    <t>Pixel Lantern</t>
  </si>
  <si>
    <t>#PixelLantern OR "Pixel Lantern"</t>
  </si>
  <si>
    <t>#OscarBrittain | "Oscar Brittain"</t>
  </si>
  <si>
    <r>
      <rPr>
        <rFont val="Arial"/>
        <color rgb="FF000000"/>
      </rPr>
      <t>https://www.youtube.com/channel/UC9mK_LlInWg0rIFZh2Elj5w</t>
    </r>
    <r>
      <rPr>
        <rFont val="Arial"/>
        <color rgb="FF000000"/>
      </rPr>
      <t>|</t>
    </r>
  </si>
  <si>
    <t>Developer - Osgoode Media</t>
  </si>
  <si>
    <t>Pixel Maniacs</t>
  </si>
  <si>
    <t>https://www.youtube.com/channel/UChLh5RZrSKCG-viuiU8C0Ew|</t>
  </si>
  <si>
    <t>#PixelManiacs OR "Pixel Maniacs"</t>
  </si>
  <si>
    <t>#OsgoodeMedia | "Osgoode Media"</t>
  </si>
  <si>
    <t>Developer - Oskar Stalberg</t>
  </si>
  <si>
    <t>#OskarStalberg OR "Oskar Stalberg"</t>
  </si>
  <si>
    <t>Pixel Maverick Games</t>
  </si>
  <si>
    <r>
      <rPr>
        <rFont val="Calibri, sans-serif"/>
        <color rgb="FF000000"/>
        <sz val="10.0"/>
        <u/>
      </rPr>
      <t>https://www.youtube.com/channel/UC03De-953caner1qLKJC-cQ</t>
    </r>
    <r>
      <rPr>
        <rFont val="Calibri, sans-serif"/>
        <color rgb="FF000000"/>
        <sz val="10.0"/>
      </rPr>
      <t>|</t>
    </r>
  </si>
  <si>
    <t>#PixelMaverickGames OR "Pixel Maverick Games"</t>
  </si>
  <si>
    <t>#OskarStalberg | "Oskar Stalberg"</t>
  </si>
  <si>
    <t>Developer - OSome Studio</t>
  </si>
  <si>
    <t>#OSomeStudio OR "OSome Studio"</t>
  </si>
  <si>
    <t>Pixel Opus</t>
  </si>
  <si>
    <t>#PixelOpus OR "Pixel Opus"</t>
  </si>
  <si>
    <t>#OSomeStudio | "OSome Studio"</t>
  </si>
  <si>
    <t>https://www.youtube.com/channel/UC02GuyTyFjjva2BqS-c8GJw|</t>
  </si>
  <si>
    <t>Developer - Ostrich Banditos</t>
  </si>
  <si>
    <t>#OstrichBanditos OR "Ostrich Banditos"</t>
  </si>
  <si>
    <t>Pixel Reef</t>
  </si>
  <si>
    <t>https://www.youtube.com/c/PixelReef/featured|</t>
  </si>
  <si>
    <t>#PixelReef OR "Pixel Reef"</t>
  </si>
  <si>
    <t>#OstrichBanditos | "Ostrich Banditos"</t>
  </si>
  <si>
    <t>Developer - Other Ocean Interactive</t>
  </si>
  <si>
    <t>Pixel Reign</t>
  </si>
  <si>
    <t>https://www.youtube.com/channel/UCytlGnb7EwTvDvIGMAo-vBQ|</t>
  </si>
  <si>
    <t>#PixelReign OR "Pixel Reign"</t>
  </si>
  <si>
    <t>#OtherOceanInteractive | "Other Ocean Interactive"</t>
  </si>
  <si>
    <t>Developer - OtherSide Entertainment</t>
  </si>
  <si>
    <t>#OtherSideEntertainment OR "OtherSide Entertainment"</t>
  </si>
  <si>
    <t>Pixel Ripped Inc.</t>
  </si>
  <si>
    <t>https://www.youtube.com/channel/UCnOy8FDUWUp1ji9msQ7QSug|</t>
  </si>
  <si>
    <t>#PixelRippedInc OR "Pixel Ripped"</t>
  </si>
  <si>
    <t>#OtherSideEntertainment | "OtherSide Entertainment"</t>
  </si>
  <si>
    <t>https://www.youtube.com/channel/UCpa4L_96ElAgH1hit3aya9w|</t>
  </si>
  <si>
    <t>Developer - Out of the Blue Games S.L.</t>
  </si>
  <si>
    <t>#OutoftheBlueGamesSL OR "Out of the Blue Games S.L."</t>
  </si>
  <si>
    <t>pixel.games</t>
  </si>
  <si>
    <t>https://www.youtube.com/channel/UCRODwdJruxLXcF4TEYVJhyQ|</t>
  </si>
  <si>
    <t>#pixelgames OR "pixel.games"</t>
  </si>
  <si>
    <t>#OutoftheBlueGamesSL | "Out of the Blue Games S.L."</t>
  </si>
  <si>
    <t>https://www.youtube.com/channel/UCDj2bbmSc-Zbz8wHRC-gWig|</t>
  </si>
  <si>
    <t>Developer - Outfit7 Limited</t>
  </si>
  <si>
    <t>pixel.lu</t>
  </si>
  <si>
    <t>#pixellu OR "pixel.lu"</t>
  </si>
  <si>
    <t>#Outfit7Limited | "Outfit7 Limited"</t>
  </si>
  <si>
    <t>Developer - Outlands</t>
  </si>
  <si>
    <t>PixeLakes LLC</t>
  </si>
  <si>
    <t>https://www.youtube.com/channel/UCR3DWJEYcXFiO5HvjbqvN7Q|</t>
  </si>
  <si>
    <t>#PixeLakesLLC OR "PixeLakes LLC"</t>
  </si>
  <si>
    <t>#Outlands | "Outlands"</t>
  </si>
  <si>
    <t>Developer - Outright Games</t>
  </si>
  <si>
    <t>Pixeland Games</t>
  </si>
  <si>
    <t>https://www.youtube.com/channel/UCRHUVd6BGVS6zZyUJNVKQQw|</t>
  </si>
  <si>
    <t>#PixelandGames OR "Pixeland Games"</t>
  </si>
  <si>
    <t>#OutrightGames | "Outright Games"</t>
  </si>
  <si>
    <t>Developer - Outsider Games</t>
  </si>
  <si>
    <t>Pixelheart</t>
  </si>
  <si>
    <t>https://www.youtube.com/channel/UCvVFbjxmdigLH1Ly11vtHPA|</t>
  </si>
  <si>
    <t>#Pixelheart OR "Pixelheart"</t>
  </si>
  <si>
    <t>#OutsiderGames | "Outsider Games"</t>
  </si>
  <si>
    <t>Developer - Over The Moon</t>
  </si>
  <si>
    <t>Pixellore</t>
  </si>
  <si>
    <t>https://www.youtube.com/channel/UCrxerOth9uxwHuA5ZOUbAvw|</t>
  </si>
  <si>
    <t>#Pixellore OR "Pixellore"</t>
  </si>
  <si>
    <t>#OverTheMoon | "Over The Moon"</t>
  </si>
  <si>
    <t>Developer - Over the Top Games</t>
  </si>
  <si>
    <t>PixelNAUTS</t>
  </si>
  <si>
    <t>https://www.youtube.com/user/PixelNAUTSGames|</t>
  </si>
  <si>
    <t>#PixelNAUTS OR "PixelNAUTS"</t>
  </si>
  <si>
    <t>#OvertheTopGames | "Over the Top Games"</t>
  </si>
  <si>
    <t>Developer - overGame Studio</t>
  </si>
  <si>
    <t>#overGameStudio OR "overGame Studio"</t>
  </si>
  <si>
    <t>Pixelteriyaki</t>
  </si>
  <si>
    <r>
      <rPr>
        <rFont val="Calibri, sans-serif"/>
        <color rgb="FF000000"/>
        <sz val="10.0"/>
        <u/>
      </rPr>
      <t>https://www.youtube.com/channel/UCEKp8RrK1LurdIOU-5lx6Dg</t>
    </r>
    <r>
      <rPr>
        <rFont val="Calibri, sans-serif"/>
        <color rgb="FF000000"/>
        <sz val="10.0"/>
      </rPr>
      <t>|</t>
    </r>
  </si>
  <si>
    <t>#Pixelteriyaki OR "Pixelteriyaki"</t>
  </si>
  <si>
    <t>#overGameStudio | "overGame Studio"</t>
  </si>
  <si>
    <t>https://www.youtube.com/channel/UCu7Bjt8SxZb43tTMqHOWtQw|</t>
  </si>
  <si>
    <t>Developer - Overhype Studios</t>
  </si>
  <si>
    <t>#OverhypeStudios OR "Overhype Studios"</t>
  </si>
  <si>
    <t>Pixmain</t>
  </si>
  <si>
    <t>https://www.youtube.com/channel/UC3Oxhp2-9BfBKQzUEGzV6SA|</t>
  </si>
  <si>
    <t>#Pixmain OR "Pixmain"</t>
  </si>
  <si>
    <t>#OverhypeStudios | "Overhype Studios"</t>
  </si>
  <si>
    <t>https://www.youtube.com/user/OverhypeStudiosDev|</t>
  </si>
  <si>
    <t>Developer - Overkill Software</t>
  </si>
  <si>
    <t>#OverkillSoftware OR "Overkill Software"</t>
  </si>
  <si>
    <t>Planet Entertainment</t>
  </si>
  <si>
    <t>#PlanetEntertainment OR "Planet Entertainment"</t>
  </si>
  <si>
    <t>#OverkillSoftware | "Overkill Software"</t>
  </si>
  <si>
    <t>https://www.youtube.com/channel/UCssdZ293BU5UBeTerxh0oiw|</t>
  </si>
  <si>
    <t>Developer - OverPowered Team</t>
  </si>
  <si>
    <t>#OverPoweredTeam OR "OverPowered Team"</t>
  </si>
  <si>
    <t>PlatinumGames</t>
  </si>
  <si>
    <t>https://www.youtube.com/channel/UCPuG5gaLOk-b_R7N_bp9HaA|</t>
  </si>
  <si>
    <t>#PlatinumGames OR "PlatinumGames"</t>
  </si>
  <si>
    <t>#OverPoweredTeam | "OverPowered Team"</t>
  </si>
  <si>
    <t>https://www.youtube.com/channel/UC15_Q-fu07DLIYbXvCEQFzQ|</t>
  </si>
  <si>
    <t>Developer - Ovid Works</t>
  </si>
  <si>
    <t>PLATINUMROCKET INC.</t>
  </si>
  <si>
    <t>#PLATINUMROCKETINC OR "PLATINUMROCKET"</t>
  </si>
  <si>
    <t>#OvidWorks | "Ovid Works"</t>
  </si>
  <si>
    <t>Developer - Owlcat Games</t>
  </si>
  <si>
    <t>#OwlcatGames OR "Owlcat Games"</t>
  </si>
  <si>
    <t>Plausible Concept</t>
  </si>
  <si>
    <t>#PlausibleConcept OR "Plausible Concept"</t>
  </si>
  <si>
    <t>#OwlcatGames | "Owlcat Games"</t>
  </si>
  <si>
    <t>https://www.youtube.com/channel/UCo1yuqm85x6iyko4dKhZPiA|</t>
  </si>
  <si>
    <t>Developer - Owned by Gravity</t>
  </si>
  <si>
    <t>#OwnedbyGravity OR "Owned by Gravity"</t>
  </si>
  <si>
    <t>Play 'Em</t>
  </si>
  <si>
    <t>#PlayEm OR "Play 'Em"</t>
  </si>
  <si>
    <t>#OwnedbyGravity | "Owned by Gravity"</t>
  </si>
  <si>
    <t>Developer - Oxeye</t>
  </si>
  <si>
    <t>#Oxeye OR "Oxeye"</t>
  </si>
  <si>
    <t>Play It</t>
  </si>
  <si>
    <t>#PlayIt OR "Play It"</t>
  </si>
  <si>
    <t>#Oxeye | "Oxeye"</t>
  </si>
  <si>
    <t>https://www.youtube.com/channel/UCSTTJlyXmdGLGIAmzcwkaTA|</t>
  </si>
  <si>
    <t>Developer - Oxygene</t>
  </si>
  <si>
    <t>Play It!</t>
  </si>
  <si>
    <t>#PlayIt OR "Play It!"</t>
  </si>
  <si>
    <t>#Oxygene | "Oxygene"</t>
  </si>
  <si>
    <t>Developer - Pablo Testa</t>
  </si>
  <si>
    <t>#PabloTesta OR "Pablo Testa"</t>
  </si>
  <si>
    <t>Play to Win Studios</t>
  </si>
  <si>
    <t>#PlaytoWinStudios OR "Play to Win Studios"</t>
  </si>
  <si>
    <t>#PabloTesta | "Pablo Testa"</t>
  </si>
  <si>
    <t>Developer - Pablo Vidaurre Sanz</t>
  </si>
  <si>
    <t>Play-Em</t>
  </si>
  <si>
    <t>#PlayEm OR "Play-Em"</t>
  </si>
  <si>
    <t>#PabloVidaurreSanz | "Pablo Vidaurre Sanz"</t>
  </si>
  <si>
    <t>Developer - Painted Black Games</t>
  </si>
  <si>
    <t>PlayAlong TV limited</t>
  </si>
  <si>
    <t>#PlayAlongTVlimited OR "PlayAlong TV limited"</t>
  </si>
  <si>
    <t>#PaintedBlackGames | "Painted Black Games"</t>
  </si>
  <si>
    <t>Developer - Palindrome Interactive</t>
  </si>
  <si>
    <t>#PalindromeInteractive OR "Palindrome Interactive"</t>
  </si>
  <si>
    <t>PLAYDEAD</t>
  </si>
  <si>
    <t>https://www.youtube.com/channel/UCFTDD15D6v3T0Fzuoiec38w|</t>
  </si>
  <si>
    <t>#PLAYDEAD OR "PLAYDEAD"</t>
  </si>
  <si>
    <t>#PalindromeInteractive | "Palindrome Interactive"</t>
  </si>
  <si>
    <t>Developer - Panache Digital Games</t>
  </si>
  <si>
    <t>Playdigious</t>
  </si>
  <si>
    <t>https://www.youtube.com/channel/UCJSfDsPsdHR99IgFZNr5vgA|</t>
  </si>
  <si>
    <t>#Playdigious OR "Playdigious"</t>
  </si>
  <si>
    <t>#PanacheDigitalGames | "Panache Digital Games"</t>
  </si>
  <si>
    <t>Developer - Panda Indie Studio</t>
  </si>
  <si>
    <t>Playdius</t>
  </si>
  <si>
    <t>#Playdius OR "Playdius"</t>
  </si>
  <si>
    <t>#PandaIndieStudio | "Panda Indie Studio"</t>
  </si>
  <si>
    <t>Developer - Panic Button</t>
  </si>
  <si>
    <t>PlayEveryWare</t>
  </si>
  <si>
    <t>https://www.youtube.com/channel/UCratDmV7OCYirrLbGYEJgPw|</t>
  </si>
  <si>
    <t>#PlayEveryWare OR "PlayEveryWare"</t>
  </si>
  <si>
    <t>#PanicButton | "Panic Button"</t>
  </si>
  <si>
    <t>Developer - Paper Castle Games</t>
  </si>
  <si>
    <t>#PaperCastleGames OR "Paper Castle Games"</t>
  </si>
  <si>
    <t>Playful Corp.</t>
  </si>
  <si>
    <t>https://www.youtube.com/user/playfulcorp|</t>
  </si>
  <si>
    <t>#PlayfulCorp OR "Playful Corp."</t>
  </si>
  <si>
    <t>#PaperCastleGames | "Paper Castle Games"</t>
  </si>
  <si>
    <t>https://www.youtube.com/channel/UC43OAedZO_EW9xmwYrtKDmw|</t>
  </si>
  <si>
    <t>Developer - Paper Cult</t>
  </si>
  <si>
    <t>Playgroundsquad</t>
  </si>
  <si>
    <r>
      <rPr>
        <rFont val="Calibri, sans-serif"/>
        <color rgb="FF000000"/>
        <sz val="10.0"/>
        <u/>
      </rPr>
      <t>https://www.youtube.com/channel/UCgqhq6k4arf30E0Z49AANpg</t>
    </r>
    <r>
      <rPr>
        <rFont val="Calibri, sans-serif"/>
        <color rgb="FF000000"/>
        <sz val="10.0"/>
      </rPr>
      <t>|</t>
    </r>
  </si>
  <si>
    <t>#Playgroundsquad OR "Playgroundsquad"</t>
  </si>
  <si>
    <t>#PaperCult | "Paper Cult"</t>
  </si>
  <si>
    <r>
      <rPr>
        <rFont val="Arial"/>
        <color rgb="FF000000"/>
      </rPr>
      <t>https://www.youtube.com/channel/UCYaLjiGdDIaCfOsE1pmWeKw</t>
    </r>
    <r>
      <rPr>
        <rFont val="Arial"/>
        <color rgb="FF000000"/>
      </rPr>
      <t>|</t>
    </r>
  </si>
  <si>
    <t>Developer - PaperSeven</t>
  </si>
  <si>
    <t>Playism</t>
  </si>
  <si>
    <t>#PaperSeven | "PaperSeven"</t>
  </si>
  <si>
    <t>Developer - Parabole</t>
  </si>
  <si>
    <t>#Parabole OR "Parabole"</t>
  </si>
  <si>
    <t>Playmind</t>
  </si>
  <si>
    <t>https://www.youtube.com/user/playmind1|</t>
  </si>
  <si>
    <t>#Playmind OR "Playmind"</t>
  </si>
  <si>
    <t>#Parabole | "Parabole"</t>
  </si>
  <si>
    <t>Developer - Paradox Development Studio</t>
  </si>
  <si>
    <t>Playmous</t>
  </si>
  <si>
    <r>
      <rPr>
        <rFont val="Calibri, sans-serif"/>
        <color rgb="FF000000"/>
        <sz val="10.0"/>
        <u/>
      </rPr>
      <t>https://www.youtube.com/channel/UC42E42XxLd-K2CSvha7vlQA</t>
    </r>
    <r>
      <rPr>
        <rFont val="Calibri, sans-serif"/>
        <color rgb="FF000000"/>
        <sz val="10.0"/>
      </rPr>
      <t>|</t>
    </r>
  </si>
  <si>
    <t>#Playmous OR "Playmous"</t>
  </si>
  <si>
    <t>#ParadoxDevelopmentStudio | "Paradox Development Studio"</t>
  </si>
  <si>
    <t>Developer - Paradox Interactive</t>
  </si>
  <si>
    <t>Playniac</t>
  </si>
  <si>
    <t>https://www.youtube.com/channel/UCEAHdW52YKdM4OFkpXUVzQg|</t>
  </si>
  <si>
    <t>#Playniac OR "Playniac"</t>
  </si>
  <si>
    <t>#ParadoxInteractive | "Paradox Interactive"</t>
  </si>
  <si>
    <t>Developer - Paralune LLC</t>
  </si>
  <si>
    <t>#ParaluneLLC OR "Paralune LLC"</t>
  </si>
  <si>
    <t>Playrise Digital</t>
  </si>
  <si>
    <t>https://www.youtube.com/channel/UCpFTByDTqwxe4zJOHXvvGIw|</t>
  </si>
  <si>
    <t>#PlayriseDigital OR "Playrise Digital"</t>
  </si>
  <si>
    <t>#ParaluneLLC | "Paralune LLC"</t>
  </si>
  <si>
    <t>https://www.youtube.com/channel/UCVkwnM-fd8gv5Fsx7FuDA7Q|</t>
  </si>
  <si>
    <t>Developer - Paranoid Productions</t>
  </si>
  <si>
    <t>Playsaurus</t>
  </si>
  <si>
    <t>https://www.youtube.com/Playsaurus|</t>
  </si>
  <si>
    <t>#Playsaurus OR "Playsaurus"</t>
  </si>
  <si>
    <t>#ParanoidProductions | "Paranoid Productions"</t>
  </si>
  <si>
    <r>
      <rPr>
        <rFont val="Arial"/>
        <color rgb="FF000000"/>
      </rPr>
      <t>https://www.youtube.com/channel/UCj6zFWVjOG_803ZR0x5m_BQ</t>
    </r>
    <r>
      <rPr>
        <rFont val="Arial"/>
        <color rgb="FF000000"/>
      </rPr>
      <t>|</t>
    </r>
  </si>
  <si>
    <t>Developer - Passtech Games</t>
  </si>
  <si>
    <t>#PasstechGames OR "Passtech Games"</t>
  </si>
  <si>
    <t>PLAYSAURUS INC.</t>
  </si>
  <si>
    <t>#PLAYSAURUSINC OR "PLAYSAURUS"</t>
  </si>
  <si>
    <t>#PasstechGames | "Passtech Games"</t>
  </si>
  <si>
    <t>https://www.youtube.com/user/PasstechGames|</t>
  </si>
  <si>
    <t>Developer - Pasta Games</t>
  </si>
  <si>
    <t>Playstack</t>
  </si>
  <si>
    <t>https://www.youtube.com/channel/UCznkRchE04jrOPmlgPbfZyA|</t>
  </si>
  <si>
    <t>#Playstack OR "Playstack"</t>
  </si>
  <si>
    <t>#PastaGames | "Pasta Games"</t>
  </si>
  <si>
    <t>Developer - Path Games</t>
  </si>
  <si>
    <t>#PathGames OR "Path Games"</t>
  </si>
  <si>
    <t>PlayStation Studios</t>
  </si>
  <si>
    <t>https://www.youtube.com/channel/UClcQ90LedRcM_HFR-mZsENg|</t>
  </si>
  <si>
    <t>#PlayStationStudios OR "PlayStation Studios"</t>
  </si>
  <si>
    <t>#PathGames | "Path Games"</t>
  </si>
  <si>
    <t>Developer - Pathea Games</t>
  </si>
  <si>
    <t>#PatheaGames OR "Pathea Games"</t>
  </si>
  <si>
    <t>Playstige Interactive</t>
  </si>
  <si>
    <t>https://www.youtube.com/channel/UCnd624wso8n5FQPX8slnbvw|</t>
  </si>
  <si>
    <t>#PlaystigeInteractive OR "Playstige Interactive"</t>
  </si>
  <si>
    <t>#PatheaGames | "Pathea Games"</t>
  </si>
  <si>
    <t>https://www.youtube.com/channel/UCwxUMBx6wFWy2-MKApgwLGA|</t>
  </si>
  <si>
    <t>Developer - Paul Cuisset</t>
  </si>
  <si>
    <t>#PaulCuisset OR "Paul Cuisset"</t>
  </si>
  <si>
    <t>Playtonic Friends</t>
  </si>
  <si>
    <t>https://www.youtube.com/channel/UCueKkTDzpAUAof825AsGZtQ|</t>
  </si>
  <si>
    <t>#PlaytonicFriends OR "Playtonic Friends"</t>
  </si>
  <si>
    <t>#PaulCuisset | "Paul Cuisset"</t>
  </si>
  <si>
    <t>Developer - Payload Studios</t>
  </si>
  <si>
    <t>PlayWay</t>
  </si>
  <si>
    <t>https://www.youtube.com/user/ThePlayWay|</t>
  </si>
  <si>
    <t>#PlayWay OR "PlayWay"</t>
  </si>
  <si>
    <t>#PayloadStudios | "Payload Studios"</t>
  </si>
  <si>
    <t>Developer - Peachy Keen Games</t>
  </si>
  <si>
    <t>#PeachyKeenGames OR "Peachy Keen Games"</t>
  </si>
  <si>
    <t>PlayWay plc</t>
  </si>
  <si>
    <t>#PlayWayplc OR "PlayWay plc"</t>
  </si>
  <si>
    <t>#PeachyKeenGames | "Peachy Keen Games"</t>
  </si>
  <si>
    <t>Developer - Pearl Abyss</t>
  </si>
  <si>
    <t>Playwing</t>
  </si>
  <si>
    <t>https://www.youtube.com/channel/UCBEK9pTzzgxibSuBkOPnF5w|</t>
  </si>
  <si>
    <t>#Playwing OR "Playwing"</t>
  </si>
  <si>
    <t>#PearlAbyss | "Pearl Abyss"</t>
  </si>
  <si>
    <t>Developer - Peerssa</t>
  </si>
  <si>
    <t>Plug In Digital</t>
  </si>
  <si>
    <t>https://www.youtube.com/channel/UCaiCUcmNJMBCuAE6iqcI8iQ|</t>
  </si>
  <si>
    <t>#PlugInDigital OR "Plug In Digital"</t>
  </si>
  <si>
    <t>#Peerssa | "Peerssa"</t>
  </si>
  <si>
    <t>Developer - Pendulo Studios</t>
  </si>
  <si>
    <t>#PenduloStudios OR "Pendulo Studios"</t>
  </si>
  <si>
    <t>PM Studios Inc.</t>
  </si>
  <si>
    <t>https://www.youtube.com/channel/UClC-bkpBrlusTA0Wh4XgVbg|</t>
  </si>
  <si>
    <t>#PMStudiosInc OR "PM Studios"</t>
  </si>
  <si>
    <t>#PenduloStudios | "Pendulo Studios"</t>
  </si>
  <si>
    <t>Developer - Penguin Pop Games LLC</t>
  </si>
  <si>
    <t>Pocket Software Games</t>
  </si>
  <si>
    <t>https://www.youtube.com/channel/UCPUyzKpGbihVRuNqLEiiF0A|</t>
  </si>
  <si>
    <t>#PocketSoftwareGames OR "Pocket Software Games"</t>
  </si>
  <si>
    <t>#PenguinPopGamesLLC | "Penguin Pop Games LLC"</t>
  </si>
  <si>
    <r>
      <rPr>
        <rFont val="Arial"/>
        <color rgb="FF000000"/>
      </rPr>
      <t>https://www.youtube.com/channel/UC4EoelBvQKOFbEm0n5hO6SA</t>
    </r>
    <r>
      <rPr>
        <rFont val="Arial"/>
        <color rgb="FF000000"/>
      </rPr>
      <t>|</t>
    </r>
  </si>
  <si>
    <t>Developer - Pentadimensional Games</t>
  </si>
  <si>
    <t>Pocket Trap</t>
  </si>
  <si>
    <r>
      <rPr>
        <rFont val="Calibri, sans-serif"/>
        <color rgb="FF000000"/>
        <sz val="10.0"/>
        <u/>
      </rPr>
      <t>https://www.youtube.com/channel/UCi_5rM-TTrNPMDCy7V9IK9w</t>
    </r>
    <r>
      <rPr>
        <rFont val="Calibri, sans-serif"/>
        <color rgb="FF000000"/>
        <sz val="10.0"/>
      </rPr>
      <t>|</t>
    </r>
  </si>
  <si>
    <t>#PocketTrap OR "Pocket Trap"</t>
  </si>
  <si>
    <t>#PentadimensionalGames | "Pentadimensional Games"</t>
  </si>
  <si>
    <t>Developer - People Can Fly</t>
  </si>
  <si>
    <t>#PeopleCanFly OR "People Can Fly"</t>
  </si>
  <si>
    <t>Pocketwatch Games</t>
  </si>
  <si>
    <t>https://www.youtube.com/pocketwatch|</t>
  </si>
  <si>
    <t>#PocketwatchGames OR "Pocketwatch Games"</t>
  </si>
  <si>
    <t>#PeopleCanFly | "People Can Fly"</t>
  </si>
  <si>
    <t>https://www.youtube.com/channel/UCnePaU9Enysi9vnl2aNbG1Q|</t>
  </si>
  <si>
    <t>Developer - pepeizq's apps</t>
  </si>
  <si>
    <t>POLARIS-X</t>
  </si>
  <si>
    <t>https://www.youtube.com/channel/UCQcvxVIJfioPzS_fErCMhcA|</t>
  </si>
  <si>
    <t>#POLARISX OR "POLARIS-X"</t>
  </si>
  <si>
    <t>#pepeizqsapps | "pepeizq's apps"</t>
  </si>
  <si>
    <t>Developer - perfect victim entertainment</t>
  </si>
  <si>
    <t>Polarity Flow</t>
  </si>
  <si>
    <t>https://www.youtube.com/channel/UCXKtaCrVfqhuvkj9wSTFYOw|</t>
  </si>
  <si>
    <t>#PolarityFlow OR "Polarity Flow"</t>
  </si>
  <si>
    <t>#perfectvictimentertainment | "perfect victim entertainment"</t>
  </si>
  <si>
    <t>Developer - Perfectly Paranormal</t>
  </si>
  <si>
    <t>PolarityFlow</t>
  </si>
  <si>
    <t>https://www.youtube.com/user/lrjoedirt|</t>
  </si>
  <si>
    <t>#PolarityFlow OR "PolarityFlow"</t>
  </si>
  <si>
    <t>#PerfectlyParanormal | "Perfectly Paranormal"</t>
  </si>
  <si>
    <t>Developer - Performance Designed Products</t>
  </si>
  <si>
    <t>Pollyanna Co., Ltd.</t>
  </si>
  <si>
    <t>#PollyannaCoLtd OR "Pollyanna Co"</t>
  </si>
  <si>
    <t>#PerformanceDesignedProducts | "Performance Designed Products"</t>
  </si>
  <si>
    <t>Developer - Peter Cleary</t>
  </si>
  <si>
    <t>#PeterCleary OR "Peter Cleary"</t>
  </si>
  <si>
    <t>Polyarc</t>
  </si>
  <si>
    <t>https://www.youtube.com/channel/UCOxVqLNWmEGtr-Il3J47atA|</t>
  </si>
  <si>
    <t>#Polyarc OR "Polyarc"</t>
  </si>
  <si>
    <t>#PeterCleary | "Peter Cleary"</t>
  </si>
  <si>
    <t>Developer - Peter Lu &amp; Lea Schonfelder</t>
  </si>
  <si>
    <t>Polyblock Studio</t>
  </si>
  <si>
    <t>https://www.youtube.com/channel/UCDQRJrjeulH0091bInBytrg|</t>
  </si>
  <si>
    <t>#PolyblockStudio OR "Polyblock Studio"</t>
  </si>
  <si>
    <t>#PeterLuandLeaSchonfelder | "Peter Lu &amp; Lea Schonfelder"</t>
  </si>
  <si>
    <t>Developer - Petite Games</t>
  </si>
  <si>
    <t>Polygon Art Publishing</t>
  </si>
  <si>
    <t>#PolygonArtPublishing OR "Polygon Art Publishing"</t>
  </si>
  <si>
    <t>#PetiteGames | "Petite Games"</t>
  </si>
  <si>
    <t>Developer - PETOONS STUDIO SL</t>
  </si>
  <si>
    <t>Polygon Art Studios</t>
  </si>
  <si>
    <t>https://www.youtube.com/channel/UCzWAMiYQzDu1N2iFsJpe_og|</t>
  </si>
  <si>
    <t>#PolygonArtStudios OR "Polygon Art Studios"</t>
  </si>
  <si>
    <t>#PETOONSSTUDIOSL | "PETOONS STUDIO SL"</t>
  </si>
  <si>
    <t>Developer - Petroglyph</t>
  </si>
  <si>
    <t>PolyKid</t>
  </si>
  <si>
    <t>#PolyKid OR "PolyKid"</t>
  </si>
  <si>
    <t>#Petroglyph | "Petroglyph"</t>
  </si>
  <si>
    <t>Developer - Petrus-Games</t>
  </si>
  <si>
    <t>#PetrusGames OR "Petrus-Games"</t>
  </si>
  <si>
    <t>PolyKnight Games</t>
  </si>
  <si>
    <t>https://www.youtube.com/channel/UCS6UHLBLD8LLtWsaJ5brsEQ|</t>
  </si>
  <si>
    <t>#PolyKnightGames OR "PolyKnight Games"</t>
  </si>
  <si>
    <t>#PetrusGames | "Petrus-Games"</t>
  </si>
  <si>
    <t>Developer - Phantom 8</t>
  </si>
  <si>
    <t>Polytron Corp.</t>
  </si>
  <si>
    <t>#PolytronCorp OR "Polytron Corp."</t>
  </si>
  <si>
    <t>#Phantom8 | "Phantom 8"</t>
  </si>
  <si>
    <t>Developer - Phigames</t>
  </si>
  <si>
    <t>Poor Cat</t>
  </si>
  <si>
    <t>#PoorCat OR "Poor Cat"</t>
  </si>
  <si>
    <t>#Phigames | "Phigames"</t>
  </si>
  <si>
    <t>Developer - Phil Reeks</t>
  </si>
  <si>
    <t>Pop Sandbox</t>
  </si>
  <si>
    <r>
      <rPr>
        <rFont val="Calibri, sans-serif"/>
        <color rgb="FF000000"/>
        <sz val="10.0"/>
        <u/>
      </rPr>
      <t>https://www.youtube.com/channel/UCHkmdckiM4LxAtco_N5mNVQ</t>
    </r>
    <r>
      <rPr>
        <rFont val="Calibri, sans-serif"/>
        <color rgb="FF000000"/>
        <sz val="10.0"/>
      </rPr>
      <t>|</t>
    </r>
  </si>
  <si>
    <t>#PopSandbox OR "Pop Sandbox"</t>
  </si>
  <si>
    <t>#PhilReeks | "Phil Reeks"</t>
  </si>
  <si>
    <t>Developer - PHL Collective</t>
  </si>
  <si>
    <t>PopCap</t>
  </si>
  <si>
    <t>https://www.youtube.com/channel/UCZJ001jXajOh1tfc1_wAZeg|</t>
  </si>
  <si>
    <t>#PopCap OR "PopCap"</t>
  </si>
  <si>
    <t>#PHLCollective | "PHL Collective"</t>
  </si>
  <si>
    <t>Developer - Phobia Game Studio</t>
  </si>
  <si>
    <t>#PhobiaGameStudio OR "Phobia Game Studio"</t>
  </si>
  <si>
    <t>Poppermost Productions</t>
  </si>
  <si>
    <t>https://www.youtube.com/poppermostproductions|</t>
  </si>
  <si>
    <t>#PoppermostProductions OR "Poppermost Productions"</t>
  </si>
  <si>
    <t>#PhobiaGameStudio | "Phobia Game Studio"</t>
  </si>
  <si>
    <t>https://www.youtube.com/channel/UCMA8tLHv6OHQjwo-DWiDSlw|</t>
  </si>
  <si>
    <t>Developer - Phoenix Labs</t>
  </si>
  <si>
    <t>Poppy Works</t>
  </si>
  <si>
    <r>
      <rPr>
        <rFont val="Calibri, sans-serif"/>
        <color rgb="FF000000"/>
        <sz val="10.0"/>
        <u/>
      </rPr>
      <t>https://www.youtube.com/channel/UC8WPb3Xx9E5WzYn7oLU-LMw</t>
    </r>
    <r>
      <rPr>
        <rFont val="Calibri, sans-serif"/>
        <color rgb="FF000000"/>
        <sz val="10.0"/>
      </rPr>
      <t>|</t>
    </r>
  </si>
  <si>
    <t>#PoppyWorks OR "Poppy Works"</t>
  </si>
  <si>
    <t>#PhoenixLabs | "Phoenix Labs"</t>
  </si>
  <si>
    <t>Developer - Phoenix Reborn Games</t>
  </si>
  <si>
    <t>Porcelain Fortress</t>
  </si>
  <si>
    <t>https://www.youtube.com/channel/UCBTU6N-GwIQV5hj3sp5f4Dg|</t>
  </si>
  <si>
    <t>#PorcelainFortress OR "Porcelain Fortress"</t>
  </si>
  <si>
    <t>#PhoenixRebornGames | "Phoenix Reborn Games"</t>
  </si>
  <si>
    <t>Developer - Phung Games</t>
  </si>
  <si>
    <t>Postmeta Games Limited</t>
  </si>
  <si>
    <t>#PostmetaGamesLimited OR "Postmeta Games Limited"</t>
  </si>
  <si>
    <t>#PhungGames | "Phung Games"</t>
  </si>
  <si>
    <t>Developer - Piccolo</t>
  </si>
  <si>
    <t>#Piccolo OR "Piccolo"</t>
  </si>
  <si>
    <t>PouncingKitten Games</t>
  </si>
  <si>
    <r>
      <rPr>
        <rFont val="Calibri, sans-serif"/>
        <color rgb="FF000000"/>
        <sz val="10.0"/>
        <u/>
      </rPr>
      <t>https://www.youtube.com/channel/UCLztojmFff18HVspFD_L-XA</t>
    </r>
    <r>
      <rPr>
        <rFont val="Calibri, sans-serif"/>
        <color rgb="FF000000"/>
        <sz val="10.0"/>
      </rPr>
      <t>|</t>
    </r>
  </si>
  <si>
    <t>#PouncingKittenGames OR "PouncingKitten Games"</t>
  </si>
  <si>
    <t>#Piccolo | "Piccolo"</t>
  </si>
  <si>
    <t>Developer - Pico Sacro Games</t>
  </si>
  <si>
    <t>Powerhoof</t>
  </si>
  <si>
    <r>
      <rPr>
        <rFont val="Calibri, sans-serif"/>
        <color rgb="FF000000"/>
        <sz val="10.0"/>
        <u/>
      </rPr>
      <t>https://www.youtube.com/channel/UCh3Nkm9HHo-FJNgDFnrdabg</t>
    </r>
    <r>
      <rPr>
        <rFont val="Calibri, sans-serif"/>
        <color rgb="FF000000"/>
        <sz val="10.0"/>
      </rPr>
      <t>|</t>
    </r>
  </si>
  <si>
    <t>#Powerhoof OR "Powerhoof"</t>
  </si>
  <si>
    <t>#PicoSacroGames | "Pico Sacro Games"</t>
  </si>
  <si>
    <t>Developer - Pieces Interactive</t>
  </si>
  <si>
    <t>#PiecesInteractive OR "Pieces Interactive"</t>
  </si>
  <si>
    <t>PQube</t>
  </si>
  <si>
    <t>#PiecesInteractive | "Pieces Interactive"</t>
  </si>
  <si>
    <t>https://www.youtube.com/user/PiecesInteractive|</t>
  </si>
  <si>
    <t>Developer - Piko Interactive LLC</t>
  </si>
  <si>
    <t>#PikoInteractiveLLC OR "Piko Interactive LLC"</t>
  </si>
  <si>
    <t>Prerolla Ltd</t>
  </si>
  <si>
    <t>#PrerollaLtd OR "Prerolla Ltd"</t>
  </si>
  <si>
    <t>#PikoInteractiveLLC | "Piko Interactive LLC"</t>
  </si>
  <si>
    <t>https://www.youtube.com/user/PikoInteractive|</t>
  </si>
  <si>
    <t>Developer - PikPok</t>
  </si>
  <si>
    <t>Press Play</t>
  </si>
  <si>
    <t>#PressPlay OR "Press Play"</t>
  </si>
  <si>
    <t>#PikPok | "PikPok"</t>
  </si>
  <si>
    <t>Developer - Pillow Castle Games</t>
  </si>
  <si>
    <t>Pretty Fly Games</t>
  </si>
  <si>
    <t>https://www.youtube.com/channel/UC-BN2PIJpO1p3NNrJHXJPsQ|</t>
  </si>
  <si>
    <t>#PrettyFlyGames OR "Pretty Fly Games"</t>
  </si>
  <si>
    <t>#PillowCastleGames | "Pillow Castle Games"</t>
  </si>
  <si>
    <t>Developer - PillowPigGames</t>
  </si>
  <si>
    <t>Prideful Sloth</t>
  </si>
  <si>
    <r>
      <rPr>
        <rFont val="Calibri, sans-serif"/>
        <color rgb="FF000000"/>
        <sz val="10.0"/>
        <u/>
      </rPr>
      <t>https://www.youtube.com/channel/UCDS_SnCHmjp9D2kGQ6wpW7g</t>
    </r>
    <r>
      <rPr>
        <rFont val="Calibri, sans-serif"/>
        <color rgb="FF000000"/>
        <sz val="10.0"/>
      </rPr>
      <t>|</t>
    </r>
  </si>
  <si>
    <t>#PridefulSloth OR "Prideful Sloth"</t>
  </si>
  <si>
    <t>#PillowPigGames | "PillowPigGames"</t>
  </si>
  <si>
    <t>Developer - PimpGames</t>
  </si>
  <si>
    <t>Prime Bit Games SA</t>
  </si>
  <si>
    <t>https://www.youtube.com/channel/UCL8d-nnOqfjM_9ufCESAxiw|</t>
  </si>
  <si>
    <t>#PrimeBitGamesSA OR "Prime Bit Games SA"</t>
  </si>
  <si>
    <t>#PimpGames | "PimpGames"</t>
  </si>
  <si>
    <t>Developer - Pine Studio</t>
  </si>
  <si>
    <t>#PineStudio OR "Pine Studio"</t>
  </si>
  <si>
    <t>Prime Matter</t>
  </si>
  <si>
    <t>https://www.youtube.com/channel/UCVk1BIt4MLYPvZghLPiLUyw|</t>
  </si>
  <si>
    <t>#PrimeMatter OR "Prime Matter"</t>
  </si>
  <si>
    <t>#PineStudio | "Pine Studio"</t>
  </si>
  <si>
    <t>https://www.youtube.com/channel/UCWouPRymMCLA7JMrBKxVkDA|</t>
  </si>
  <si>
    <t>Developer - Pinokl Games</t>
  </si>
  <si>
    <t>#PinoklGames OR "Pinokl Games"</t>
  </si>
  <si>
    <t>Pringo Dingo Games</t>
  </si>
  <si>
    <t>https://www.youtube.com/channel/UCmG69oJnHjCUep6LPhsQjkA|</t>
  </si>
  <si>
    <t>#PringoDingoGames OR "Pringo Dingo Games"</t>
  </si>
  <si>
    <t>#PinoklGames | "Pinokl Games"</t>
  </si>
  <si>
    <t>Developer - Piotr Wolk</t>
  </si>
  <si>
    <t>#PiotrWolk OR "Piotr Wolk"</t>
  </si>
  <si>
    <t>Prison Games</t>
  </si>
  <si>
    <t>#PrisonGames OR "Prison Games"</t>
  </si>
  <si>
    <t>#PiotrWolk | "Piotr Wolk"</t>
  </si>
  <si>
    <t>https://www.youtube.com/channel/UCwBJ6z56k89Z7WqZO_3JzBA|</t>
  </si>
  <si>
    <t>Developer - PipeDream Games</t>
  </si>
  <si>
    <t>Private Division</t>
  </si>
  <si>
    <t>#PrivateDivision OR "Private Division"</t>
  </si>
  <si>
    <t>#PipeDreamGames | "PipeDream Games"</t>
  </si>
  <si>
    <t>Developer - Pippin Games</t>
  </si>
  <si>
    <t>#PippinGames OR "Pippin Games"</t>
  </si>
  <si>
    <t>Process</t>
  </si>
  <si>
    <r>
      <rPr>
        <rFont val="Calibri, sans-serif"/>
        <color rgb="FF000000"/>
        <sz val="10.0"/>
        <u/>
      </rPr>
      <t>https://www.youtube.com/channel/UCpnu_Uq7y7u2CDux-24KsQA</t>
    </r>
    <r>
      <rPr>
        <rFont val="Calibri, sans-serif"/>
        <color rgb="FF000000"/>
        <sz val="10.0"/>
      </rPr>
      <t>|</t>
    </r>
  </si>
  <si>
    <t>#Process OR "Process"</t>
  </si>
  <si>
    <t>#PippinGames | "Pippin Games"</t>
  </si>
  <si>
    <r>
      <rPr>
        <rFont val="Arial"/>
        <color rgb="FF000000"/>
      </rPr>
      <t>https://www.youtube.com/channel/UCl8AuAJTO916CfWm1LYizqw</t>
    </r>
    <r>
      <rPr>
        <rFont val="Arial"/>
        <color rgb="FF000000"/>
      </rPr>
      <t>|</t>
    </r>
  </si>
  <si>
    <t>Developer - Piranaking</t>
  </si>
  <si>
    <t>Productions Associees</t>
  </si>
  <si>
    <t>#ProductionsAssociees OR "Productions Associees"</t>
  </si>
  <si>
    <t>#Piranaking | "Piranaking"</t>
  </si>
  <si>
    <r>
      <rPr>
        <rFont val="Arial"/>
        <color rgb="FF000000"/>
      </rPr>
      <t>https://www.youtube.com/channel/UCpZDuy7yCYtP_bbaWc_XEmg</t>
    </r>
    <r>
      <rPr>
        <rFont val="Arial"/>
        <color rgb="FF000000"/>
      </rPr>
      <t>|</t>
    </r>
  </si>
  <si>
    <t>Developer - Piranha Bytes</t>
  </si>
  <si>
    <t>#PiranhaBytes OR "Piranha Bytes"</t>
  </si>
  <si>
    <t>Project Flight School Inc</t>
  </si>
  <si>
    <r>
      <rPr>
        <rFont val="Calibri, sans-serif"/>
        <color rgb="FF000000"/>
        <sz val="10.0"/>
        <u/>
      </rPr>
      <t>https://www.youtube.com/channel/UCMCErtHcQFNZ3BFm2aPhZ4Q</t>
    </r>
    <r>
      <rPr>
        <rFont val="Calibri, sans-serif"/>
        <color rgb="FF000000"/>
        <sz val="10.0"/>
      </rPr>
      <t>|</t>
    </r>
  </si>
  <si>
    <t>#ProjectFlightSchoolInc OR "Project Flight School Inc"</t>
  </si>
  <si>
    <t>#PiranhaBytes | "Piranha Bytes"</t>
  </si>
  <si>
    <t>https://www.youtube.com/channel/UCgfSPZSGlIJZcdVm8EObDZg|</t>
  </si>
  <si>
    <t>Developer - Piranha Games</t>
  </si>
  <si>
    <t>Project Lumina</t>
  </si>
  <si>
    <r>
      <rPr>
        <rFont val="Calibri, sans-serif"/>
        <color rgb="FF000000"/>
        <sz val="10.0"/>
        <u/>
      </rPr>
      <t>https://www.youtube.com/channel/UC5FKOT4QgTMt5oDpBs6xYWw</t>
    </r>
    <r>
      <rPr>
        <rFont val="Calibri, sans-serif"/>
        <color rgb="FF000000"/>
        <sz val="10.0"/>
      </rPr>
      <t>|</t>
    </r>
  </si>
  <si>
    <t>#ProjectLumina OR "Project Lumina"</t>
  </si>
  <si>
    <t>#PiranhaGames | "Piranha Games"</t>
  </si>
  <si>
    <t>Developer - Pix Arts</t>
  </si>
  <si>
    <t>Projectile Entertainment</t>
  </si>
  <si>
    <t>https://www.youtube.com/channel/UCzaCNvP4TtynsbFEjjkm1Dw|</t>
  </si>
  <si>
    <t>#ProjectileEntertainment OR "Projectile Entertainment"</t>
  </si>
  <si>
    <t>#PixArts | "Pix Arts"</t>
  </si>
  <si>
    <t>Developer - Pixadome</t>
  </si>
  <si>
    <t>#Pixadome OR "Pixadome"</t>
  </si>
  <si>
    <t>ProjectMoon</t>
  </si>
  <si>
    <t>https://www.youtube.com/channel/UCpqyr6h4RCXCEswHlkSjykA|</t>
  </si>
  <si>
    <t>#ProjectMoon OR "ProjectMoon"</t>
  </si>
  <si>
    <t>#Pixadome | "Pixadome"</t>
  </si>
  <si>
    <t>https://www.youtube.com/channel/UCu8vBU8LoveJeBFcJpthWyw|</t>
  </si>
  <si>
    <t>Developer - Pixel Envision Ltd.</t>
  </si>
  <si>
    <t>Proletariat, Inc.</t>
  </si>
  <si>
    <t>#ProletariatInc OR "Proletariat,"</t>
  </si>
  <si>
    <t>#PixelEnvisionLtd | "Pixel Envision Ltd."</t>
  </si>
  <si>
    <t>Developer - Pixel Lantern</t>
  </si>
  <si>
    <t>Prototype</t>
  </si>
  <si>
    <t>https://www.youtube.com/user/prototype|</t>
  </si>
  <si>
    <t>#Prototype OR "Prototype"</t>
  </si>
  <si>
    <t>#PixelLantern | "Pixel Lantern"</t>
  </si>
  <si>
    <t>Developer - Pixel Maniacs</t>
  </si>
  <si>
    <t>Proud Arts</t>
  </si>
  <si>
    <t>https://www.youtube.com/channel/UCDGWnvhdxO535_5ruMVyOVQ|</t>
  </si>
  <si>
    <t>#ProudArts OR "Proud Arts"</t>
  </si>
  <si>
    <t>#PixelManiacs | "Pixel Maniacs"</t>
  </si>
  <si>
    <t>Developer - Pixel Noire Games</t>
  </si>
  <si>
    <t>#PixelNoireGames OR "Pixel Noire Games"</t>
  </si>
  <si>
    <t>Psilocybe Games</t>
  </si>
  <si>
    <t>https://www.youtube.com/channel/UCsVuzlfbhWGgnx3UzdPi4uA|</t>
  </si>
  <si>
    <t>#PsilocybeGames OR "Psilocybe Games"</t>
  </si>
  <si>
    <t>#PixelNoireGames | "Pixel Noire Games"</t>
  </si>
  <si>
    <r>
      <rPr>
        <rFont val="Arial"/>
        <color rgb="FF000000"/>
      </rPr>
      <t>https://www.youtube.com/channel/UC2TP6iaaeqGkL8g3vrJjOng</t>
    </r>
    <r>
      <rPr>
        <rFont val="Arial"/>
        <color rgb="FF000000"/>
      </rPr>
      <t>|</t>
    </r>
  </si>
  <si>
    <t>Developer - Pixel Perfex</t>
  </si>
  <si>
    <t>#PixelPerfex OR "Pixel Perfex"</t>
  </si>
  <si>
    <t>PSR Outdoors</t>
  </si>
  <si>
    <t>https://www.youtube.com/channel/UCQM1SEPpey7GkDOqoytFOSQ|</t>
  </si>
  <si>
    <t>#PSROutdoors OR "PSR Outdoors"</t>
  </si>
  <si>
    <t>#PixelPerfex | "Pixel Perfex"</t>
  </si>
  <si>
    <t>https://www.youtube.com/channel/UCSxPbYsPG73XTMJpCstfBNg|</t>
  </si>
  <si>
    <t>Developer - pixel.games</t>
  </si>
  <si>
    <t>Psyonix</t>
  </si>
  <si>
    <t>https://www.youtube.com/channel/UCB9GA-c34T9nD4qRqRGOvvQ|</t>
  </si>
  <si>
    <t>#Psyonix OR "Psyonix"</t>
  </si>
  <si>
    <t>#pixelgames | "pixel.games"</t>
  </si>
  <si>
    <t>Developer - pixel.lu</t>
  </si>
  <si>
    <t>Psyop</t>
  </si>
  <si>
    <t>https://www.youtube.com/channel/UCj-lR9XFOVF98mtyNK54kPw|</t>
  </si>
  <si>
    <t>#Psyop OR "Psyop"</t>
  </si>
  <si>
    <t>#pixellu | "pixel.lu"</t>
  </si>
  <si>
    <t>Developer - PixeLakes LLC</t>
  </si>
  <si>
    <t>Psytec Games Ltd</t>
  </si>
  <si>
    <t>#PsytecGamesLtd OR "Psytec Games Ltd"</t>
  </si>
  <si>
    <t>#PixeLakesLLC | "PixeLakes LLC"</t>
  </si>
  <si>
    <t>Developer - Pixeland Games</t>
  </si>
  <si>
    <t>PUBG Corporation</t>
  </si>
  <si>
    <t>https://www.youtube.com/channel/UCnXDQbqIdp-HQuDyM4p12ng|</t>
  </si>
  <si>
    <t>#PUBGCorporation OR "PUBG Corporation"</t>
  </si>
  <si>
    <t>#PixelandGames | "Pixeland Games"</t>
  </si>
  <si>
    <t>Developer - Pixelated Milk</t>
  </si>
  <si>
    <t>#PixelatedMilk OR "Pixelated Milk"</t>
  </si>
  <si>
    <t>Pumpkin Games</t>
  </si>
  <si>
    <t>#PumpkinGames OR "Pumpkin Games"</t>
  </si>
  <si>
    <t>#PixelatedMilk | "Pixelated Milk"</t>
  </si>
  <si>
    <r>
      <rPr>
        <rFont val="Arial"/>
        <color rgb="FF000000"/>
      </rPr>
      <t>https://www.youtube.com/channel/UC_OPDKbbMkHYtSkp4kQwzqQ</t>
    </r>
    <r>
      <rPr>
        <rFont val="Arial"/>
        <color rgb="FF000000"/>
      </rPr>
      <t>|</t>
    </r>
  </si>
  <si>
    <t>Developer - PixelHive</t>
  </si>
  <si>
    <t>#PixelHive OR "PixelHive"</t>
  </si>
  <si>
    <t>Punk Notion</t>
  </si>
  <si>
    <t>https://www.youtube.com/channel/UCj7r0HU__ybk-_MVonvq8xA|</t>
  </si>
  <si>
    <t>#PunkNotion OR "Punk Notion"</t>
  </si>
  <si>
    <t>#PixelHive | "PixelHive"</t>
  </si>
  <si>
    <r>
      <rPr>
        <rFont val="Arial"/>
        <color rgb="FF000000"/>
      </rPr>
      <t>https://www.youtube.com/channel/UCGFLbIAT2TQ5dqALKqx-hgA</t>
    </r>
    <r>
      <rPr>
        <rFont val="Arial"/>
        <color rgb="FF000000"/>
      </rPr>
      <t>|</t>
    </r>
  </si>
  <si>
    <t>Developer - Pixellore</t>
  </si>
  <si>
    <t>Puny Human Games</t>
  </si>
  <si>
    <t>https://www.youtube.com/channel/UCj2oVL37xVh-wPtmA1Qzgdw|</t>
  </si>
  <si>
    <t>#PunyHumanGames OR "Puny Human Games"</t>
  </si>
  <si>
    <t>#Pixellore | "Pixellore"</t>
  </si>
  <si>
    <t>Developer - PixelNAUTS</t>
  </si>
  <si>
    <t>puppet combo</t>
  </si>
  <si>
    <t>https://www.youtube.com/channel/UCanmIWOHgbfXvOlzJmB3VLw|</t>
  </si>
  <si>
    <t>#puppetcombo OR "puppet combo"</t>
  </si>
  <si>
    <t>#PixelNAUTS | "PixelNAUTS"</t>
  </si>
  <si>
    <t>Developer - Pixelnest Studio</t>
  </si>
  <si>
    <t>#PixelnestStudio OR "Pixelnest Studio"</t>
  </si>
  <si>
    <t>Pure Wish</t>
  </si>
  <si>
    <t>#PureWish OR "Pure Wish"</t>
  </si>
  <si>
    <t>#PixelnestStudio | "Pixelnest Studio"</t>
  </si>
  <si>
    <t>https://www.youtube.com/channel/UCfe6TF6qtk-xVekuKN3OZAQ|</t>
  </si>
  <si>
    <t>Developer - PixelShard</t>
  </si>
  <si>
    <t>#PixelShard OR "PixelShard"</t>
  </si>
  <si>
    <t>Purple Tree</t>
  </si>
  <si>
    <t>#PurpleTree OR "Purple Tree"</t>
  </si>
  <si>
    <t>#PixelShard | "PixelShard"</t>
  </si>
  <si>
    <r>
      <rPr>
        <rFont val="Arial"/>
        <color rgb="FF000000"/>
      </rPr>
      <t>https://www.youtube.com/channel/UCRF1NEbP37kKToON20uO_cQ</t>
    </r>
    <r>
      <rPr>
        <rFont val="Arial"/>
        <color rgb="FF000000"/>
      </rPr>
      <t>|</t>
    </r>
  </si>
  <si>
    <t>Developer - Pixelteriyaki</t>
  </si>
  <si>
    <t>Purple Tree Studio</t>
  </si>
  <si>
    <t>https://www.youtube.com/channel/UCaMX1Ow6nvkyDoc_AJ9GpEg|</t>
  </si>
  <si>
    <t>#PurpleTreeStudio OR "Purple Tree Studio"</t>
  </si>
  <si>
    <t>#Pixelteriyaki | "Pixelteriyaki"</t>
  </si>
  <si>
    <r>
      <rPr>
        <rFont val="Arial"/>
        <color rgb="FF000000"/>
      </rPr>
      <t>https://www.youtube.com/channel/UCEKp8RrK1LurdIOU-5lx6Dg</t>
    </r>
    <r>
      <rPr>
        <rFont val="Arial"/>
        <color rgb="FF000000"/>
      </rPr>
      <t>|</t>
    </r>
  </si>
  <si>
    <t>Developer - Pixile</t>
  </si>
  <si>
    <t>#Pixile OR "Pixile"</t>
  </si>
  <si>
    <t>Puzzle On Word Games Inc.</t>
  </si>
  <si>
    <r>
      <rPr>
        <rFont val="Calibri, sans-serif"/>
        <color rgb="FF000000"/>
        <sz val="10.0"/>
        <u/>
      </rPr>
      <t>https://www.youtube.com/channel/UCqzXSxKBWeene7vjJjzxTBw</t>
    </r>
    <r>
      <rPr>
        <rFont val="Calibri, sans-serif"/>
        <color rgb="FF000000"/>
        <sz val="10.0"/>
      </rPr>
      <t>|</t>
    </r>
  </si>
  <si>
    <t>#PuzzleOnWordGamesInc OR "Puzzle On Word Games"</t>
  </si>
  <si>
    <t>#Pixile | "Pixile"</t>
  </si>
  <si>
    <t>https://www.youtube.com/channel/UCddfIEMlxDskprWNpKiywhw|</t>
  </si>
  <si>
    <t>Developer - PlatinumGames</t>
  </si>
  <si>
    <t>Pygmy Studio</t>
  </si>
  <si>
    <t>#PygmyStudio OR "Pygmy Studio"</t>
  </si>
  <si>
    <t>#PlatinumGames | "PlatinumGames"</t>
  </si>
  <si>
    <t>Developer - Play to Win Studios</t>
  </si>
  <si>
    <t>Quack Quack Games</t>
  </si>
  <si>
    <t>#QuackQuackGames OR "Quack Quack Games"</t>
  </si>
  <si>
    <t>#PlaytoWinStudios | "Play to Win Studios"</t>
  </si>
  <si>
    <t>Developer - PlayAlong TV limited</t>
  </si>
  <si>
    <t>Quad Interactive LLC</t>
  </si>
  <si>
    <t>https://www.youtube.com/user/QuadInteractive|</t>
  </si>
  <si>
    <t>#QuadInteractiveLLC OR "Quad Interactive LLC"</t>
  </si>
  <si>
    <t>#PlayAlongTVlimited | "PlayAlong TV limited"</t>
  </si>
  <si>
    <t>Developer - Playbae</t>
  </si>
  <si>
    <t>#Playbae OR "Playbae"</t>
  </si>
  <si>
    <t>Quantic Dream</t>
  </si>
  <si>
    <t>https://www.youtube.com/channel/UCf1dGULY0opzBbE3XEXWvWg|</t>
  </si>
  <si>
    <t>#QuanticDream OR "Quantic Dream"</t>
  </si>
  <si>
    <t>#Playbae | "Playbae"</t>
  </si>
  <si>
    <t>https://www.youtube.com/channel/UCLB9eEm4HoqfcLVmmfvmBZQ|</t>
  </si>
  <si>
    <t>Developer - PLAYDEAD</t>
  </si>
  <si>
    <t>QubicGames</t>
  </si>
  <si>
    <t>https://www.youtube.com/channel/UCN3vna89IcHIa7FxgtXFfrQ|</t>
  </si>
  <si>
    <t>#QubicGames OR "QubicGames"</t>
  </si>
  <si>
    <t>#PLAYDEAD | "PLAYDEAD"</t>
  </si>
  <si>
    <t>Developer - Playdius</t>
  </si>
  <si>
    <t>QUByte Interactive</t>
  </si>
  <si>
    <t>https://www.youtube.com/user/qubyteinteractive|</t>
  </si>
  <si>
    <t>#QUByteInteractive OR "QUByte Interactive"</t>
  </si>
  <si>
    <t>#Playdius | "Playdius"</t>
  </si>
  <si>
    <t>Developer - PlayEveryWare</t>
  </si>
  <si>
    <t>Question</t>
  </si>
  <si>
    <t>#Question OR "Question"</t>
  </si>
  <si>
    <t>#PlayEveryWare | "PlayEveryWare"</t>
  </si>
  <si>
    <t>Developer - Playful Corp.</t>
  </si>
  <si>
    <t>Qute</t>
  </si>
  <si>
    <t>https://www.youtube.com/channel/UCiYluFx2-1owMUKqFcgWkMw|</t>
  </si>
  <si>
    <t>#Qute OR "Qute"</t>
  </si>
  <si>
    <t>#PlayfulCorp | "Playful Corp."</t>
  </si>
  <si>
    <t>Developer - Playground Games</t>
  </si>
  <si>
    <t>#PlaygroundGames OR "Playground Games"</t>
  </si>
  <si>
    <t>R.G.B. SRL</t>
  </si>
  <si>
    <t>#RGBSRL OR "R.G.B. SRL"</t>
  </si>
  <si>
    <t>#PlaygroundGames | "Playground Games"</t>
  </si>
  <si>
    <t>Developer - PlayMagic Ltd</t>
  </si>
  <si>
    <t>#PlayMagicLtd OR "PlayMagic Ltd"</t>
  </si>
  <si>
    <t>R8 Games</t>
  </si>
  <si>
    <t>https://www.youtube.com/channel/UCQRn3Jc4VsnQCXjokI6FkOQ|</t>
  </si>
  <si>
    <t>#R8Games OR "R8 Games"</t>
  </si>
  <si>
    <t>#PlayMagicLtd | "PlayMagic Ltd"</t>
  </si>
  <si>
    <t>https://www.youtube.com/channel/UC2_VPfy5si4QEA7UUFefXPw|</t>
  </si>
  <si>
    <t>Developer - Playmind</t>
  </si>
  <si>
    <t>RABABA Games</t>
  </si>
  <si>
    <t>https://www.youtube.com/channel/UCgauTm3UI-ewSCilN3WjLsQ|</t>
  </si>
  <si>
    <t>#RABABAGames OR "RABABA Games"</t>
  </si>
  <si>
    <t>#Playmind | "Playmind"</t>
  </si>
  <si>
    <t>Developer - Playmore</t>
  </si>
  <si>
    <t>#Playmore OR "Playmore"</t>
  </si>
  <si>
    <t>Radial Games Corp.</t>
  </si>
  <si>
    <t>#RadialGamesCorp OR "Radial Games Corp."</t>
  </si>
  <si>
    <t>#Playmore | "Playmore"</t>
  </si>
  <si>
    <t>https://www.youtube.com/channel/UC6cdheExTG0aenRRhlQLNYA|</t>
  </si>
  <si>
    <t>Developer - Playmous</t>
  </si>
  <si>
    <t>RadiationBurn</t>
  </si>
  <si>
    <t>https://www.youtube.com/user/RadiationBurnGames|</t>
  </si>
  <si>
    <t>#RadiationBurn OR "RadiationBurn"</t>
  </si>
  <si>
    <t>#Playmous | "Playmous"</t>
  </si>
  <si>
    <r>
      <rPr>
        <rFont val="Arial"/>
        <color rgb="FF000000"/>
      </rPr>
      <t>https://www.youtube.com/channel/UC42E42XxLd-K2CSvha7vlQA</t>
    </r>
    <r>
      <rPr>
        <rFont val="Arial"/>
        <color rgb="FF000000"/>
      </rPr>
      <t>|</t>
    </r>
  </si>
  <si>
    <t>Developer - Playniac</t>
  </si>
  <si>
    <t>Ragequit Corporation</t>
  </si>
  <si>
    <t>#RagequitCorporation OR "Ragequit Corporation"</t>
  </si>
  <si>
    <t>#Playniac | "Playniac"</t>
  </si>
  <si>
    <t>Developer - Playrise Digital</t>
  </si>
  <si>
    <t>RageSquid</t>
  </si>
  <si>
    <t>https://www.youtube.com/channel/UCypYVrZK0D5VRATZb0ZvJeg|</t>
  </si>
  <si>
    <t>#RageSquid OR "RageSquid"</t>
  </si>
  <si>
    <t>#PlayriseDigital | "Playrise Digital"</t>
  </si>
  <si>
    <t>Developer - Playsaurus</t>
  </si>
  <si>
    <t>Ragtag Studio LLC</t>
  </si>
  <si>
    <t>https://www.youtube.com/user/RagtagStudio|</t>
  </si>
  <si>
    <t>#RagtagStudioLLC OR "Ragtag Studio LLC"</t>
  </si>
  <si>
    <t>#Playsaurus | "Playsaurus"</t>
  </si>
  <si>
    <t>Developer - Playstack</t>
  </si>
  <si>
    <t>Rain Games</t>
  </si>
  <si>
    <t>https://www.youtube.com/channel/UCnPgWGk3t8-cHIgYZcnisgg|</t>
  </si>
  <si>
    <t>#RainGames OR "Rain Games"</t>
  </si>
  <si>
    <t>#Playstack | "Playstack"</t>
  </si>
  <si>
    <t>Developer - Playstige Interactive</t>
  </si>
  <si>
    <t>Rainbite</t>
  </si>
  <si>
    <t>https://www.youtube.com/channel/UCDSutqa9d4p811sHmFbdg3w|</t>
  </si>
  <si>
    <t>#Rainbite OR "Rainbite"</t>
  </si>
  <si>
    <t>#PlaystigeInteractive | "Playstige Interactive"</t>
  </si>
  <si>
    <t>Developer - Playtonic Games</t>
  </si>
  <si>
    <t>#PlaytonicGames OR "Playtonic Games"</t>
  </si>
  <si>
    <t>Rainy Frog</t>
  </si>
  <si>
    <t>#RainyFrog OR "Rainy Frog"</t>
  </si>
  <si>
    <t>#PlaytonicGames | "Playtonic Games"</t>
  </si>
  <si>
    <t>Developer - PlayWay</t>
  </si>
  <si>
    <t>Rainy Night Creations</t>
  </si>
  <si>
    <t>https://www.youtube.com/channel/UCHs56pMIotQ-ubY6xAPuA8w|</t>
  </si>
  <si>
    <t>#RainyNightCreations OR "Rainy Night Creations"</t>
  </si>
  <si>
    <t>#PlayWay | "PlayWay"</t>
  </si>
  <si>
    <t>Developer - Playwing</t>
  </si>
  <si>
    <t>Raiser Games</t>
  </si>
  <si>
    <t>#Playwing | "Playwing"</t>
  </si>
  <si>
    <t>Developer - Plug In Digital</t>
  </si>
  <si>
    <t>Ramen VR</t>
  </si>
  <si>
    <t>https://www.youtube.com/channel/UCdN58uHaw0FyKDwoj9uP8hg|</t>
  </si>
  <si>
    <t>#RamenVR OR "Ramen VR"</t>
  </si>
  <si>
    <t>#PlugInDigital | "Plug In Digital"</t>
  </si>
  <si>
    <t>Developer - PM Studios Inc.</t>
  </si>
  <si>
    <t>Rampage Games</t>
  </si>
  <si>
    <t>#RampageGames OR "Rampage Games"</t>
  </si>
  <si>
    <t>#PMStudiosInc | "PM Studios"</t>
  </si>
  <si>
    <t>Developer - Pocket Software Games</t>
  </si>
  <si>
    <t>Ramsey Khadder</t>
  </si>
  <si>
    <t>https://www.youtube.com/user/RSKWare|</t>
  </si>
  <si>
    <t>#RamseyKhadder OR "Ramsey Khadder"</t>
  </si>
  <si>
    <t>#PocketSoftwareGames | "Pocket Software Games"</t>
  </si>
  <si>
    <t>Developer - Pocket Trap</t>
  </si>
  <si>
    <t>RandomSpin</t>
  </si>
  <si>
    <t>https://www.youtube.com/channel/UCigwn533cMTIQPDUhuoO9kA|</t>
  </si>
  <si>
    <t>#RandomSpin OR "RandomSpin"</t>
  </si>
  <si>
    <t>#PocketTrap | "Pocket Trap"</t>
  </si>
  <si>
    <t>Developer - POLARIS-X</t>
  </si>
  <si>
    <t>Raptus Games</t>
  </si>
  <si>
    <t>https://www.youtube.com/user/RaptusGames|</t>
  </si>
  <si>
    <t>#RaptusGames OR "Raptus Games"</t>
  </si>
  <si>
    <t>#POLARISX | "POLARIS-X"</t>
  </si>
  <si>
    <t>Developer - Polarity Flow</t>
  </si>
  <si>
    <t>Rare Ltd.</t>
  </si>
  <si>
    <t>https://www.youtube.com/user/RareLimited/videos|</t>
  </si>
  <si>
    <t>#RareLtd OR "Rare Ltd."</t>
  </si>
  <si>
    <t>#PolarityFlow | "Polarity Flow"</t>
  </si>
  <si>
    <t>Developer - PolarityFlow</t>
  </si>
  <si>
    <t>Raredrop Games Ltd</t>
  </si>
  <si>
    <t>https://www.youtube.com/channel/UCKLbjHyN8ogANzDaiuPxEww|</t>
  </si>
  <si>
    <t>#RaredropGamesLtd OR "Raredrop Games Ltd"</t>
  </si>
  <si>
    <t>#PolarityFlow | "PolarityFlow"</t>
  </si>
  <si>
    <t>Developer - PolyAmorous</t>
  </si>
  <si>
    <t>#PolyAmorous OR "PolyAmorous"</t>
  </si>
  <si>
    <t>Ratalaika Games</t>
  </si>
  <si>
    <t>#PolyAmorous | "PolyAmorous"</t>
  </si>
  <si>
    <t>Developer - Polyblock Studio</t>
  </si>
  <si>
    <t>Ratalaika Games S.L.</t>
  </si>
  <si>
    <t>#RatalaikaGamesSL OR "Ratalaika Games S.L."</t>
  </si>
  <si>
    <t>#PolyblockStudio | "Polyblock Studio"</t>
  </si>
  <si>
    <t>Developer - Polygon Art Studios</t>
  </si>
  <si>
    <t>Ratloop Asia Pte Ltd</t>
  </si>
  <si>
    <t>#RatloopAsiaPteLtd OR "Ratloop Asia Pte Ltd"</t>
  </si>
  <si>
    <t>#PolygonArtStudios | "Polygon Art Studios"</t>
  </si>
  <si>
    <t>Developer - Polygon Treehouse</t>
  </si>
  <si>
    <t>#PolygonTreehouse OR "Polygon Treehouse"</t>
  </si>
  <si>
    <t>Ratloop Games Canada</t>
  </si>
  <si>
    <t>https://www.youtube.com/channel/UCJpu9Szdold1uwtJlOk0wtQ|</t>
  </si>
  <si>
    <t>#RatloopGamesCanada OR "Ratloop Games Canada"</t>
  </si>
  <si>
    <t>#PolygonTreehouse | "Polygon Treehouse"</t>
  </si>
  <si>
    <t>https://www.youtube.com/channel/UCB96eibQkxGeeWFPV6lhdRQ|</t>
  </si>
  <si>
    <t>Developer - PolyKid</t>
  </si>
  <si>
    <t>Ravegan</t>
  </si>
  <si>
    <t>https://www.youtube.com/channel/UCebWT-ZzdK6lnQ53_aWo64g|</t>
  </si>
  <si>
    <t>#Ravegan OR "Ravegan"</t>
  </si>
  <si>
    <t>#PolyKid | "PolyKid"</t>
  </si>
  <si>
    <t>Developer - PolyKnight Games</t>
  </si>
  <si>
    <t>Ravenous Games</t>
  </si>
  <si>
    <t>#RavenousGames OR "Ravenous Games"</t>
  </si>
  <si>
    <t>#PolyKnightGames | "PolyKnight Games"</t>
  </si>
  <si>
    <t>Developer - Polyphony Digital</t>
  </si>
  <si>
    <t>#PolyphonyDigital OR "Polyphony Digital"</t>
  </si>
  <si>
    <t>Ravenscourt</t>
  </si>
  <si>
    <t>https://www.youtube.com/channel/UCbQ3EfxYK01YVIbTKZuptuw|</t>
  </si>
  <si>
    <t>#Ravenscourt OR "Ravenscourt"</t>
  </si>
  <si>
    <t>#PolyphonyDigital | "Polyphony Digital"</t>
  </si>
  <si>
    <t>Developer - Polyslash</t>
  </si>
  <si>
    <t>#Polyslash OR "Polyslash"</t>
  </si>
  <si>
    <t>Raw Fury</t>
  </si>
  <si>
    <t>https://www.youtube.com/channel/UCbyFV2lioP9a1YlUC4gm6xA|</t>
  </si>
  <si>
    <t>#RawFury OR "Raw Fury"</t>
  </si>
  <si>
    <t>#Polyslash | "Polyslash"</t>
  </si>
  <si>
    <t>https://www.youtube.com/channel/UCsuobUAXAbLSgcIxj2uWAJg|</t>
  </si>
  <si>
    <t>Developer - Poor Cat</t>
  </si>
  <si>
    <t>RB Games</t>
  </si>
  <si>
    <t>#RBGames OR "RB Games"</t>
  </si>
  <si>
    <t>#PoorCat | "Poor Cat"</t>
  </si>
  <si>
    <t>Developer - PopCap</t>
  </si>
  <si>
    <t>Real Game Machine</t>
  </si>
  <si>
    <t>#RealGameMachine OR "Real Game Machine"</t>
  </si>
  <si>
    <t>#PopCap | "PopCap"</t>
  </si>
  <si>
    <t>Developer - Porcelain Fortress</t>
  </si>
  <si>
    <t>Real Gamers Inc.</t>
  </si>
  <si>
    <t>#RealGamersInc OR "Real Gamers"</t>
  </si>
  <si>
    <t>#PorcelainFortress | "Porcelain Fortress"</t>
  </si>
  <si>
    <t>Developer - Powerhoof</t>
  </si>
  <si>
    <t>realities.io</t>
  </si>
  <si>
    <t>https://www.youtube.com/channel/UCg9lLj5QLM9hvGoV3BCelyA|</t>
  </si>
  <si>
    <t>#realitiesio OR "realities.io"</t>
  </si>
  <si>
    <t>#Powerhoof | "Powerhoof"</t>
  </si>
  <si>
    <r>
      <rPr>
        <rFont val="Arial"/>
        <color rgb="FF000000"/>
      </rPr>
      <t>https://www.youtube.com/channel/UCh3Nkm9HHo-FJNgDFnrdabg</t>
    </r>
    <r>
      <rPr>
        <rFont val="Arial"/>
        <color rgb="FF000000"/>
      </rPr>
      <t>|</t>
    </r>
  </si>
  <si>
    <t>Developer - PowerSlash Studios</t>
  </si>
  <si>
    <t>#PowerSlashStudios OR "PowerSlash Studios"</t>
  </si>
  <si>
    <t>Really Cool Games</t>
  </si>
  <si>
    <t>#ReallyCoolGames OR "Really Cool Games"</t>
  </si>
  <si>
    <t>#PowerSlashStudios | "PowerSlash Studios"</t>
  </si>
  <si>
    <t>https://www.youtube.com/channel/UCoOtHZU3W2h-xNJo_xmuy6A|</t>
  </si>
  <si>
    <t>Developer - Press Play</t>
  </si>
  <si>
    <t>Rebellion</t>
  </si>
  <si>
    <t>https://www.youtube.com/channel/UCM1xfX_G9oLhyb_TkTYjjaA|</t>
  </si>
  <si>
    <t>#Rebellion OR "Rebellion"</t>
  </si>
  <si>
    <t>#PressPlay | "Press Play"</t>
  </si>
  <si>
    <t>Developer - Pretty Fly Games</t>
  </si>
  <si>
    <t>Reboot Arcade</t>
  </si>
  <si>
    <t>#RebootArcade OR "Reboot Arcade"</t>
  </si>
  <si>
    <t>#PrettyFlyGames | "Pretty Fly Games"</t>
  </si>
  <si>
    <t>Developer - Prideful Sloth</t>
  </si>
  <si>
    <t>Rec Room Inc.</t>
  </si>
  <si>
    <t>https://www.youtube.com/channel/UC2uxjIodAjLGgdeZTVa5-KA|</t>
  </si>
  <si>
    <t>#RecRoomInc OR "Rec Room"</t>
  </si>
  <si>
    <t>#PridefulSloth | "Prideful Sloth"</t>
  </si>
  <si>
    <r>
      <rPr>
        <rFont val="Arial"/>
        <color rgb="FF000000"/>
      </rPr>
      <t>https://www.youtube.com/channel/UCDS_SnCHmjp9D2kGQ6wpW7g</t>
    </r>
    <r>
      <rPr>
        <rFont val="Arial"/>
        <color rgb="FF000000"/>
      </rPr>
      <t>|</t>
    </r>
  </si>
  <si>
    <t>Developer - Prime Bit Games SA</t>
  </si>
  <si>
    <t>Recluse Industries</t>
  </si>
  <si>
    <t>#RecluseIndustries OR "Recluse Industries"</t>
  </si>
  <si>
    <t>#PrimeBitGamesSA | "Prime Bit Games SA"</t>
  </si>
  <si>
    <t>Developer - Prison Games</t>
  </si>
  <si>
    <t>Reco Technology</t>
  </si>
  <si>
    <t>https://www.youtube.com/channel/UCWW0GvzZtI7ogsasheZMFVQ|</t>
  </si>
  <si>
    <t>#RecoTechnology OR "Reco Technology"</t>
  </si>
  <si>
    <t>#PrisonGames | "Prison Games"</t>
  </si>
  <si>
    <t>Developer - Process</t>
  </si>
  <si>
    <t>Recotechnology S.L.</t>
  </si>
  <si>
    <t>#RecotechnologySL OR "Recotechnology S.L."</t>
  </si>
  <si>
    <t>#Process | "Process"</t>
  </si>
  <si>
    <t>Developer - Productions Associees</t>
  </si>
  <si>
    <t>Red Art Games</t>
  </si>
  <si>
    <t>https://www.youtube.com/channel/UCrNx4skdY-xD6USjpCZm6nw|</t>
  </si>
  <si>
    <t>#RedArtGames OR "Red Art Games"</t>
  </si>
  <si>
    <t>#ProductionsAssociees | "Productions Associees"</t>
  </si>
  <si>
    <t>Developer - Project Aces</t>
  </si>
  <si>
    <t>#ProjectAces OR "Project Aces"</t>
  </si>
  <si>
    <t>Red Barrels</t>
  </si>
  <si>
    <t>https://www.youtube.com/channel/UCmiCK8aqFP3Fx4-SHWKZLsA|</t>
  </si>
  <si>
    <t>#RedBarrels OR "Red Barrels"</t>
  </si>
  <si>
    <t>#ProjectAces | "Project Aces"</t>
  </si>
  <si>
    <t>Developer - Project Soul</t>
  </si>
  <si>
    <t>#ProjectSoul OR "Project Soul"</t>
  </si>
  <si>
    <t>Red Chain Games Ltd.</t>
  </si>
  <si>
    <t>https://www.youtube.com/channel/UCEuLhIWdUzG0XAiJ_oWmaDA|</t>
  </si>
  <si>
    <t>#RedChainGamesLtd OR "Red Chain Games Ltd."</t>
  </si>
  <si>
    <t>#ProjectSoul | "Project Soul"</t>
  </si>
  <si>
    <t>Developer - Projectile Entertainment</t>
  </si>
  <si>
    <t>Red Ego Games</t>
  </si>
  <si>
    <t>https://www.youtube.com/channel/UCE9aARusY_CdNfSjOgZ6Nhg|</t>
  </si>
  <si>
    <t>#RedEgoGames OR "Red Ego Games"</t>
  </si>
  <si>
    <t>#ProjectileEntertainment | "Projectile Entertainment"</t>
  </si>
  <si>
    <t>Developer - ProjectMoon</t>
  </si>
  <si>
    <t>RED FLAG SHIP</t>
  </si>
  <si>
    <t>https://www.youtube.com/channel/UC7FSC0g8wxroxe4ILHe5C2w|</t>
  </si>
  <si>
    <t>#REDFLAGSHIP OR "RED FLAG SHIP"</t>
  </si>
  <si>
    <t>#ProjectMoon | "ProjectMoon"</t>
  </si>
  <si>
    <t>Developer - Protocol Games</t>
  </si>
  <si>
    <t>#ProtocolGames OR "Protocol Games"</t>
  </si>
  <si>
    <t>RED FLAG SHIP CO.,LTD.</t>
  </si>
  <si>
    <t>#REDFLAGSHIPCOLTD OR "RED FLAG SHIP CO.,LTD."</t>
  </si>
  <si>
    <t>#ProtocolGames | "Protocol Games"</t>
  </si>
  <si>
    <t>Developer - Proud Dinosaurs</t>
  </si>
  <si>
    <t>#ProudDinosaurs OR "Proud Dinosaurs"</t>
  </si>
  <si>
    <t>Red G Studios</t>
  </si>
  <si>
    <t>https://www.youtube.com/channel/UCq6OijzdYORoqMsi-rDkeXw|</t>
  </si>
  <si>
    <t>#RedGStudios OR "Red G Studios"</t>
  </si>
  <si>
    <t>#ProudDinosaurs | "Proud Dinosaurs"</t>
  </si>
  <si>
    <t>https://www.youtube.com/channel/UCvliH8wUeuEUcF5uDDcxhDg|</t>
  </si>
  <si>
    <t>Developer - Provodnik Games</t>
  </si>
  <si>
    <t>#ProvodnikGames OR "Provodnik Games"</t>
  </si>
  <si>
    <t>Red Hook Studios</t>
  </si>
  <si>
    <t>https://www.youtube.com/channel/UC51CmbiyiwP90ipUWBPOqhA|</t>
  </si>
  <si>
    <t>#RedHookStudios OR "Red Hook Studios"</t>
  </si>
  <si>
    <t>#ProvodnikGames | "Provodnik Games"</t>
  </si>
  <si>
    <t>https://www.youtube.com/channel/UCG64SzMjITl632oDSZ8xe5w|</t>
  </si>
  <si>
    <t>Developer - PSGames</t>
  </si>
  <si>
    <t>#PSGames OR "PSGames"</t>
  </si>
  <si>
    <t>Red Katana</t>
  </si>
  <si>
    <t>#RedKatana OR "Red Katana"</t>
  </si>
  <si>
    <t>#PSGames | "PSGames"</t>
  </si>
  <si>
    <t>Developer - Psikyo</t>
  </si>
  <si>
    <t>#Psikyo OR "Psikyo"</t>
  </si>
  <si>
    <t>Red Limb Studio</t>
  </si>
  <si>
    <t>https://www.youtube.com/channel/UCInMyyqUW1kNxMJGbEO0qKw|</t>
  </si>
  <si>
    <t>#RedLimbStudio OR "Red Limb Studio"</t>
  </si>
  <si>
    <t>#Psikyo | "Psikyo"</t>
  </si>
  <si>
    <t>Developer - PSR Outdoors</t>
  </si>
  <si>
    <t>Red Meat Games</t>
  </si>
  <si>
    <t>https://www.youtube.com/channel/UCdccdfxel7uSCiWK8OkQXiQ|</t>
  </si>
  <si>
    <t>#RedMeatGames OR "Red Meat Games"</t>
  </si>
  <si>
    <t>#PSROutdoors | "PSR Outdoors"</t>
  </si>
  <si>
    <t>Developer - Psychic Software</t>
  </si>
  <si>
    <t>#PsychicSoftware OR "Psychic Software"</t>
  </si>
  <si>
    <t>Red Nexus Games Inc.</t>
  </si>
  <si>
    <t>https://www.youtube.com/channel/UCi7kkB9bMolVMYoR4cRC7XQ|</t>
  </si>
  <si>
    <t>#RedNexusGamesInc OR "Red Nexus Games"</t>
  </si>
  <si>
    <t>#PsychicSoftware | "Psychic Software"</t>
  </si>
  <si>
    <t>https://www.youtube.com/user/samredfern|</t>
  </si>
  <si>
    <t>Developer - Psyonix</t>
  </si>
  <si>
    <t>Red Panda Interactive</t>
  </si>
  <si>
    <t>#RedPandaInteractive OR "Red Panda Interactive"</t>
  </si>
  <si>
    <t>#Psyonix | "Psyonix"</t>
  </si>
  <si>
    <t>Developer - Pugstorm</t>
  </si>
  <si>
    <t>#Pugstorm OR "Pugstorm"</t>
  </si>
  <si>
    <t>Red Panda Interactive Limited</t>
  </si>
  <si>
    <t>#RedPandaInteractiveLimited OR "Red Panda Interactive Limited"</t>
  </si>
  <si>
    <t>#Pugstorm | "Pugstorm"</t>
  </si>
  <si>
    <t>Developer - Pumpkin Games</t>
  </si>
  <si>
    <t>Red Phantom Games</t>
  </si>
  <si>
    <r>
      <rPr>
        <rFont val="Calibri, sans-serif"/>
        <color rgb="FF000000"/>
        <sz val="10.0"/>
        <u/>
      </rPr>
      <t>https://www.youtube.com/channel/UCq_iQNpOq66W6hVsC6AHsgg</t>
    </r>
    <r>
      <rPr>
        <rFont val="Calibri, sans-serif"/>
        <color rgb="FF000000"/>
        <sz val="10.0"/>
      </rPr>
      <t>|</t>
    </r>
  </si>
  <si>
    <t>#RedPhantomGames OR "Red Phantom Games"</t>
  </si>
  <si>
    <t>#PumpkinGames | "Pumpkin Games"</t>
  </si>
  <si>
    <t>Developer - Punk Punch Games</t>
  </si>
  <si>
    <t>#PunkPunchGames OR "Punk Punch Games"</t>
  </si>
  <si>
    <t>Red Thread Games</t>
  </si>
  <si>
    <t>https://www.youtube.com/channel/UCLeNhEXt9Eq119trDba78Sg|</t>
  </si>
  <si>
    <t>#RedThreadGames OR "Red Thread Games"</t>
  </si>
  <si>
    <t>#PunkPunchGames | "Punk Punch Games"</t>
  </si>
  <si>
    <r>
      <rPr>
        <rFont val="Arial"/>
        <color rgb="FF000000"/>
      </rPr>
      <t>https://www.youtube.com/channel/UCZuKejL4tS-9dkCKVUNUDEg</t>
    </r>
    <r>
      <rPr>
        <rFont val="Arial"/>
        <color rgb="FF000000"/>
      </rPr>
      <t>|</t>
    </r>
  </si>
  <si>
    <t>Developer - Puny Human Games</t>
  </si>
  <si>
    <t>Redact Games</t>
  </si>
  <si>
    <t>#RedactGames OR "Redact Games"</t>
  </si>
  <si>
    <t>#PunyHumanGames | "Puny Human Games"</t>
  </si>
  <si>
    <t>Developer - puppet combo</t>
  </si>
  <si>
    <t>RedBedlam</t>
  </si>
  <si>
    <t>#RedBedlam OR "RedBedlam"</t>
  </si>
  <si>
    <t>#puppetcombo | "puppet combo"</t>
  </si>
  <si>
    <t>Developer - Puppy Games</t>
  </si>
  <si>
    <t>#PuppyGames OR "Puppy Games"</t>
  </si>
  <si>
    <t>RedDeerGames</t>
  </si>
  <si>
    <t>https://www.youtube.com/channel/UC-PSE-abT1WUjFV5uf3kA6g|</t>
  </si>
  <si>
    <t>#RedDeerGames OR "RedDeerGames"</t>
  </si>
  <si>
    <t>#PuppyGames | "Puppy Games"</t>
  </si>
  <si>
    <t>Developer - Purple Lamp Studios</t>
  </si>
  <si>
    <t>#PurpleLampStudios OR "Purple Lamp Studios"</t>
  </si>
  <si>
    <t>Reddoll Srl</t>
  </si>
  <si>
    <t>https://www.youtube.com/channel/UCAzw3z9LCcBQYzvRuSwUpnA/featured|</t>
  </si>
  <si>
    <t>#ReddollSrl OR "Reddoll Srl"</t>
  </si>
  <si>
    <t>#PurpleLampStudios | "Purple Lamp Studios"</t>
  </si>
  <si>
    <t>Developer - Purple Tree Studio</t>
  </si>
  <si>
    <t>Reef Entertainment</t>
  </si>
  <si>
    <t>https://www.youtube.com/user/ReefEntertainmentLtd|</t>
  </si>
  <si>
    <t>#ReefEntertainment OR "Reef Entertainment"</t>
  </si>
  <si>
    <t>#PurpleTreeStudio | "Purple Tree Studio"</t>
  </si>
  <si>
    <t>Developer - Puuba</t>
  </si>
  <si>
    <t>#Puuba OR "Puuba"</t>
  </si>
  <si>
    <t>Reign Bros</t>
  </si>
  <si>
    <t>#ReignBros OR "Reign Bros"</t>
  </si>
  <si>
    <t>#Puuba | "Puuba"</t>
  </si>
  <si>
    <t>https://www.youtube.com/Puuba|</t>
  </si>
  <si>
    <t>Developer - PXLink</t>
  </si>
  <si>
    <t>#PXLink OR "PXLink"</t>
  </si>
  <si>
    <t>Relevo</t>
  </si>
  <si>
    <t>https://www.youtube.com/c/RelevoVideogames/featured|</t>
  </si>
  <si>
    <t>#Relevo OR "Relevo"</t>
  </si>
  <si>
    <t>#PXLink | "PXLink"</t>
  </si>
  <si>
    <t>Developer - Pygmy Studio</t>
  </si>
  <si>
    <t>Reload Studios</t>
  </si>
  <si>
    <t>#ReloadStudios OR "Reload Studios"</t>
  </si>
  <si>
    <t>#PygmyStudio | "Pygmy Studio"</t>
  </si>
  <si>
    <t>Developer - Pyramid Games</t>
  </si>
  <si>
    <t>#PyramidGames OR "Pyramid Games"</t>
  </si>
  <si>
    <t>REMIMORY</t>
  </si>
  <si>
    <t>https://www.youtube.com/channel/UCp3YFduCyaRqkKMAICm18MA|</t>
  </si>
  <si>
    <t>#REMIMORY OR "REMIMORY"</t>
  </si>
  <si>
    <t>#PyramidGames | "Pyramid Games"</t>
  </si>
  <si>
    <t>https://www.youtube.com/user/ThePyramidLab|</t>
  </si>
  <si>
    <t>Developer - Quack Quack Games</t>
  </si>
  <si>
    <t>Rendercode Games</t>
  </si>
  <si>
    <r>
      <rPr>
        <rFont val="Calibri, sans-serif"/>
        <color rgb="FF000000"/>
        <sz val="10.0"/>
        <u/>
      </rPr>
      <t>https://www.youtube.com/channel/UCu2KYXdDdOX-ODhWXDBy0lA</t>
    </r>
    <r>
      <rPr>
        <rFont val="Calibri, sans-serif"/>
        <color rgb="FF000000"/>
        <sz val="10.0"/>
      </rPr>
      <t>|</t>
    </r>
  </si>
  <si>
    <t>#RendercodeGames OR "Rendercode Games"</t>
  </si>
  <si>
    <t>#QuackQuackGames | "Quack Quack Games"</t>
  </si>
  <si>
    <t>Developer - Quad Interactive LLC</t>
  </si>
  <si>
    <t>Renegade Kid</t>
  </si>
  <si>
    <t>#RenegadeKid OR "Renegade Kid"</t>
  </si>
  <si>
    <t>#QuadInteractiveLLC | "Quad Interactive LLC"</t>
  </si>
  <si>
    <t>Developer - Quaternion Studio</t>
  </si>
  <si>
    <t>#QuaternionStudio OR "Quaternion Studio"</t>
  </si>
  <si>
    <t>Repixel8</t>
  </si>
  <si>
    <t>https://www.youtube.com/channel/UCKpXmQ3jlIcuLy7UPCP5T8w|</t>
  </si>
  <si>
    <t>#Repixel8 OR "Repixel8"</t>
  </si>
  <si>
    <t>#QuaternionStudio | "Quaternion Studio"</t>
  </si>
  <si>
    <t>https://www.youtube.com/channel/UCdVW3sD2wmF1dmkfMJzIb3A|</t>
  </si>
  <si>
    <t>Developer - QUByte Interactive</t>
  </si>
  <si>
    <t>Reptile</t>
  </si>
  <si>
    <t>https://www.youtube.com/channel/UCP9dvXdpH9ecdybaS_5Hl4Q|</t>
  </si>
  <si>
    <t>#Reptile OR "Reptile"</t>
  </si>
  <si>
    <t>#QUByteInteractive | "QUByte Interactive"</t>
  </si>
  <si>
    <t>Developer - Question</t>
  </si>
  <si>
    <t>Reptoid Games</t>
  </si>
  <si>
    <t>https://www.youtube.com/channel/UCsbNpYsVTIgl4PtQd3yolBA|</t>
  </si>
  <si>
    <t>#ReptoidGames OR "Reptoid Games"</t>
  </si>
  <si>
    <t>#Question | "Question"</t>
  </si>
  <si>
    <t>Developer - QUICKTEQUILA</t>
  </si>
  <si>
    <t>#QUICKTEQUILA OR "QUICKTEQUILA"</t>
  </si>
  <si>
    <t>rese</t>
  </si>
  <si>
    <t>#rese OR "rese"</t>
  </si>
  <si>
    <t>#QUICKTEQUILA | "QUICKTEQUILA"</t>
  </si>
  <si>
    <t>https://www.youtube.com/user/QUICKTEQUILA|</t>
  </si>
  <si>
    <t>Developer - Quill Game Studios</t>
  </si>
  <si>
    <t>#QuillGameStudios OR "Quill Game Studios"</t>
  </si>
  <si>
    <t>Resistance Studio</t>
  </si>
  <si>
    <t>https://www.youtube.com/channel/UCBUa2Kw0CmD1R8Uy8M9llVg|</t>
  </si>
  <si>
    <t>#ResistanceStudio OR "Resistance Studio"</t>
  </si>
  <si>
    <t>#QuillGameStudios | "Quill Game Studios"</t>
  </si>
  <si>
    <t>Developer - Qute</t>
  </si>
  <si>
    <t>Resolution Games</t>
  </si>
  <si>
    <t>https://www.youtube.com/channel/UCDKrSr1s_J4AGywSOjF2PkA|</t>
  </si>
  <si>
    <t>#ResolutionGames OR "Resolution Games"</t>
  </si>
  <si>
    <t>#Qute | "Qute"</t>
  </si>
  <si>
    <t>Developer - R.G.B. SRL</t>
  </si>
  <si>
    <t>Restless Corp</t>
  </si>
  <si>
    <t>https://www.youtube.com/channel/UC9Ezr_7LSYVwzpesu3hKJoQ|</t>
  </si>
  <si>
    <t>#RestlessCorp OR "Restless Corp"</t>
  </si>
  <si>
    <t>#RGBSRL | "R.G.B. SRL"</t>
  </si>
  <si>
    <t>Developer - R8 Games</t>
  </si>
  <si>
    <t>Retroism</t>
  </si>
  <si>
    <t>https://www.youtube.com/channel/UCsazrITtnAyv9LPgZPWCN2w|</t>
  </si>
  <si>
    <t>#Retroism OR "Retroism"</t>
  </si>
  <si>
    <t>#R8Games | "R8 Games"</t>
  </si>
  <si>
    <t>Developer - RaceWard Studio</t>
  </si>
  <si>
    <t>#RaceWardStudio OR "RaceWard Studio"</t>
  </si>
  <si>
    <t>Retromite LLC</t>
  </si>
  <si>
    <t>https://www.youtube.com/user/RetromiteGames|</t>
  </si>
  <si>
    <t>#RetromiteLLC OR "Retromite LLC"</t>
  </si>
  <si>
    <t>#RaceWardStudio | "RaceWard Studio"</t>
  </si>
  <si>
    <t>https://www.youtube.com/channel/UCsSYwT6B_S7PLgUc477tblw|</t>
  </si>
  <si>
    <t>Developer - Radi Art</t>
  </si>
  <si>
    <t>#RadiArt OR "Radi Art"</t>
  </si>
  <si>
    <t>RetroRevolution</t>
  </si>
  <si>
    <t>#RetroRevolution OR "RetroRevolution"</t>
  </si>
  <si>
    <t>#RadiArt | "Radi Art"</t>
  </si>
  <si>
    <t>Developer - Radiangames</t>
  </si>
  <si>
    <t>#Radiangames OR "Radiangames"</t>
  </si>
  <si>
    <t>Retrosoft Studios</t>
  </si>
  <si>
    <t>https://www.youtube.com/channel/UC3BJ5xyhR3_jMWLWhEyBm3w|</t>
  </si>
  <si>
    <t>#RetrosoftStudios OR "Retrosoft Studios"</t>
  </si>
  <si>
    <t>#Radiangames | "Radiangames"</t>
  </si>
  <si>
    <t>https://www.youtube.com/channel/UCS8mC9JujjVZOvoYRB-IPqA|</t>
  </si>
  <si>
    <t>Developer - Radiation Blue</t>
  </si>
  <si>
    <t>#RadiationBlue OR "Radiation Blue"</t>
  </si>
  <si>
    <t>Retrotainment Games</t>
  </si>
  <si>
    <t>https://www.youtube.com/channel/UColX6SK7RC_4gZnsnmYK3KA|</t>
  </si>
  <si>
    <t>#RetrotainmentGames OR "Retrotainment Games"</t>
  </si>
  <si>
    <t>#RadiationBlue | "Radiation Blue"</t>
  </si>
  <si>
    <t>Developer - RadiationBurn</t>
  </si>
  <si>
    <t>Retrover</t>
  </si>
  <si>
    <t>#Retrover OR "Retrover"</t>
  </si>
  <si>
    <t>#RadiationBurn | "RadiationBurn"</t>
  </si>
  <si>
    <t>Developer - Radical Entertainment</t>
  </si>
  <si>
    <t>#RadicalEntertainment OR "Radical Entertainment"</t>
  </si>
  <si>
    <t>Reverb Triple XP</t>
  </si>
  <si>
    <t>https://www.youtube.com/user/ReverbPublishing|</t>
  </si>
  <si>
    <t>#ReverbTripleXP OR "Reverb Triple XP"</t>
  </si>
  <si>
    <t>#RadicalEntertainment | "Radical Entertainment"</t>
  </si>
  <si>
    <t>Developer - Radical Fish Games</t>
  </si>
  <si>
    <t>#RadicalFishGames OR "Radical Fish Games"</t>
  </si>
  <si>
    <t>Revival Productions, LLC</t>
  </si>
  <si>
    <t>#RadicalFishGames | "Radical Fish Games"</t>
  </si>
  <si>
    <t>https://www.youtube.com/user/RadicalFishGames|</t>
  </si>
  <si>
    <t>Developer - Radical Phi</t>
  </si>
  <si>
    <t>#RadicalPhi OR "Radical Phi"</t>
  </si>
  <si>
    <t>Revolution Software</t>
  </si>
  <si>
    <t>https://www.youtube.com/channel/UCVE4lcZrfjuzvvbMgzKDH4Q|</t>
  </si>
  <si>
    <t>#RevolutionSoftware OR "Revolution Software"</t>
  </si>
  <si>
    <t>#RadicalPhi | "Radical Phi"</t>
  </si>
  <si>
    <t>Developer - Radin Games</t>
  </si>
  <si>
    <t>#RadinGames OR "Radin Games"</t>
  </si>
  <si>
    <t>Revulo Games</t>
  </si>
  <si>
    <t>https://www.youtube.com/channel/UCqP2tT-608aTIZ2eudwcINA|</t>
  </si>
  <si>
    <t>#RevuloGames OR "Revulo Games"</t>
  </si>
  <si>
    <t>#RadinGames | "Radin Games"</t>
  </si>
  <si>
    <t>https://www.youtube.com/channel/UCKdshY-Lwk7ajvqgsBCklKA|</t>
  </si>
  <si>
    <t>Developer - radio</t>
  </si>
  <si>
    <t>#radio OR "radio"</t>
  </si>
  <si>
    <t>Rhinotales</t>
  </si>
  <si>
    <t>https://www.youtube.com/channel/UCaH4W9zbwCihIlgP2tScIYA|</t>
  </si>
  <si>
    <t>#Rhinotales OR "Rhinotales"</t>
  </si>
  <si>
    <t>#radio | "radio"</t>
  </si>
  <si>
    <t>Developer - Rage Software</t>
  </si>
  <si>
    <t>#RageSoftware OR "Rage Software"</t>
  </si>
  <si>
    <t>RiceFun Games</t>
  </si>
  <si>
    <t>#RiceFunGames OR "RiceFun Games"</t>
  </si>
  <si>
    <t>#RageSoftware | "Rage Software"</t>
  </si>
  <si>
    <t>https://www.youtube.com/user/ragesw|</t>
  </si>
  <si>
    <t>Developer - RageSquid</t>
  </si>
  <si>
    <t>Rimlight Studios</t>
  </si>
  <si>
    <t>#RimlightStudios OR "Rimlight Studios"</t>
  </si>
  <si>
    <t>#RageSquid | "RageSquid"</t>
  </si>
  <si>
    <t>Developer - Rain Games</t>
  </si>
  <si>
    <t>Riot Forge</t>
  </si>
  <si>
    <t>https://www.youtube.com/channel/UCZjaLeJ_Q8aJ66D-mFVxPdw|</t>
  </si>
  <si>
    <t>#RiotForge OR "Riot Forge"</t>
  </si>
  <si>
    <t>#RainGames | "Rain Games"</t>
  </si>
  <si>
    <t>Developer - Rainbite</t>
  </si>
  <si>
    <t>Ripstone</t>
  </si>
  <si>
    <t>https://www.youtube.com/channel/UC_rsmdWnHWrgDL2Zfcq2_ew|</t>
  </si>
  <si>
    <t>#Ripstone OR "Ripstone"</t>
  </si>
  <si>
    <t>#Rainbite | "Rainbite"</t>
  </si>
  <si>
    <t>Developer - Rainbow</t>
  </si>
  <si>
    <t>#Rainbow OR "Rainbow"</t>
  </si>
  <si>
    <t>Rising Star Games</t>
  </si>
  <si>
    <t>https://www.youtube.com/RisingStarGames|</t>
  </si>
  <si>
    <t>#RisingStarGames OR "Rising Star Games"</t>
  </si>
  <si>
    <t>#Rainbow | "Rainbow"</t>
  </si>
  <si>
    <t>Developer - Rainbow Studios</t>
  </si>
  <si>
    <t>#RainbowStudios OR "Rainbow Studios"</t>
  </si>
  <si>
    <t>Ritual Games</t>
  </si>
  <si>
    <t>#RitualGames OR "Ritual Games"</t>
  </si>
  <si>
    <t>#RainbowStudios | "Rainbow Studios"</t>
  </si>
  <si>
    <t>Developer - Rainy Night Creations</t>
  </si>
  <si>
    <t>Rival Games Ltd</t>
  </si>
  <si>
    <t>https://www.youtube.com/user/RivalGamesLtd|</t>
  </si>
  <si>
    <t>#RivalGamesLtd OR "Rival Games Ltd"</t>
  </si>
  <si>
    <t>#RainyNightCreations | "Rainy Night Creations"</t>
  </si>
  <si>
    <t>Developer - Ramsey Khadder</t>
  </si>
  <si>
    <t>RoadBuddy</t>
  </si>
  <si>
    <t>#RoadBuddy OR "RoadBuddy"</t>
  </si>
  <si>
    <t>#RamseyKhadder | "Ramsey Khadder"</t>
  </si>
  <si>
    <t>Developer - Raptisoft</t>
  </si>
  <si>
    <t>#Raptisoft OR "Raptisoft"</t>
  </si>
  <si>
    <t>ROBLOX, Inc.</t>
  </si>
  <si>
    <t>#ROBLOXInc OR "ROBLOX,"</t>
  </si>
  <si>
    <t>#Raptisoft | "Raptisoft"</t>
  </si>
  <si>
    <t>https://www.youtube.com/user/Raptisoft|</t>
  </si>
  <si>
    <t>Developer - Rare Ltd.</t>
  </si>
  <si>
    <t>Robot Entertainment</t>
  </si>
  <si>
    <t>https://www.youtube.com/user/RobotEntertainment|</t>
  </si>
  <si>
    <t>#RobotEntertainment OR "Robot Entertainment"</t>
  </si>
  <si>
    <t>#RareLtd | "Rare Ltd."</t>
  </si>
  <si>
    <r>
      <rPr>
        <color rgb="FF1155CC"/>
        <u/>
      </rPr>
      <t>https://www.youtube.com/user/RareLimited</t>
    </r>
    <r>
      <rPr/>
      <t>|</t>
    </r>
  </si>
  <si>
    <t>Developer - Raredrop Games Ltd</t>
  </si>
  <si>
    <t>Robot Gentleman</t>
  </si>
  <si>
    <t>https://www.youtube.com/user/RobotGentleman|</t>
  </si>
  <si>
    <t>#RobotGentleman OR "Robot Gentleman"</t>
  </si>
  <si>
    <t>#RaredropGamesLtd | "Raredrop Games Ltd"</t>
  </si>
  <si>
    <t>Developer - Ratloop Games Canada</t>
  </si>
  <si>
    <t>Robot Invader</t>
  </si>
  <si>
    <t>#RobotInvader OR "Robot Invader"</t>
  </si>
  <si>
    <t>#RatloopGamesCanada | "Ratloop Games Canada"</t>
  </si>
  <si>
    <t>Developer - Ravegan</t>
  </si>
  <si>
    <t>Robot Riot UG</t>
  </si>
  <si>
    <t>#RobotRiotUG OR "Robot Riot UG"</t>
  </si>
  <si>
    <t>#Ravegan | "Ravegan"</t>
  </si>
  <si>
    <t>Developer - Raven Travel Studios</t>
  </si>
  <si>
    <t>#RavenTravelStudios OR "Raven Travel Studios"</t>
  </si>
  <si>
    <t>Robot Riot UG (haftungsbeschraenkt)</t>
  </si>
  <si>
    <t>#RobotRiotUGhaftungsbeschraenkt OR "Robot Riot UG (haftungsbeschraenkt)"</t>
  </si>
  <si>
    <t>#RavenTravelStudios | "Raven Travel Studios"</t>
  </si>
  <si>
    <t>Developer - Ravenous Games</t>
  </si>
  <si>
    <t>RobTodd Gaming</t>
  </si>
  <si>
    <r>
      <rPr>
        <rFont val="Calibri, sans-serif"/>
        <color rgb="FF000000"/>
        <sz val="10.0"/>
        <u/>
      </rPr>
      <t>https://www.youtube.com/channel/UCExr9JSB5j-n4vCixtNdUmw</t>
    </r>
    <r>
      <rPr>
        <rFont val="Calibri, sans-serif"/>
        <color rgb="FF000000"/>
        <sz val="10.0"/>
      </rPr>
      <t>|</t>
    </r>
  </si>
  <si>
    <t>#RobToddGaming OR "RobTodd Gaming"</t>
  </si>
  <si>
    <t>#RavenousGames | "Ravenous Games"</t>
  </si>
  <si>
    <t>Developer - Ravenscourt</t>
  </si>
  <si>
    <t>Rocket City Studios</t>
  </si>
  <si>
    <t>https://www.youtube.com/channel/UCOBNXn8GqjSW9mtDFm3psow|</t>
  </si>
  <si>
    <t>#RocketCityStudios OR "Rocket City Studios"</t>
  </si>
  <si>
    <t>#Ravenscourt | "Ravenscourt"</t>
  </si>
  <si>
    <t>Developer - Raw Fury</t>
  </si>
  <si>
    <t>Rocket Panda Games</t>
  </si>
  <si>
    <t>https://www.youtube.com/channel/UCZOQ8FB8WIUDOf8aZHkF34w|</t>
  </si>
  <si>
    <t>#RocketPandaGames OR "Rocket Panda Games"</t>
  </si>
  <si>
    <t>#RawFury | "Raw Fury"</t>
  </si>
  <si>
    <t>Developer - React Games</t>
  </si>
  <si>
    <t>#ReactGames OR "React Games"</t>
  </si>
  <si>
    <t>Rocket Vulture</t>
  </si>
  <si>
    <t>https://www.youtube.com/channel/UCLK1vzrvxBKEXnHBCH5q_nQ|</t>
  </si>
  <si>
    <t>#RocketVulture OR "Rocket Vulture"</t>
  </si>
  <si>
    <t>#ReactGames | "React Games"</t>
  </si>
  <si>
    <t>Developer - Reactor Games</t>
  </si>
  <si>
    <t>#ReactorGames OR "Reactor Games"</t>
  </si>
  <si>
    <t>ROCKFISH Games</t>
  </si>
  <si>
    <t>https://www.youtube.com/channel/UCZDHFTxx1MsrIS-ynCH5ukw|</t>
  </si>
  <si>
    <t>#ROCKFISHGames OR "ROCKFISH Games"</t>
  </si>
  <si>
    <t>#ReactorGames | "Reactor Games"</t>
  </si>
  <si>
    <t>Developer - Ready at Dawn</t>
  </si>
  <si>
    <t>#ReadyatDawn OR "Ready at Dawn"</t>
  </si>
  <si>
    <t>ROCKFISH Games GmbH</t>
  </si>
  <si>
    <t>#ROCKFISHGamesGmbH OR "ROCKFISH Games GmbH"</t>
  </si>
  <si>
    <t>#ReadyatDawn | "Ready at Dawn"</t>
  </si>
  <si>
    <t>https://www.youtube.com/user/ReadyAtDawnStudios|</t>
  </si>
  <si>
    <t>Developer - Real Gamers Inc.</t>
  </si>
  <si>
    <t>RockGame S.A.</t>
  </si>
  <si>
    <t>https://www.youtube.com/channel/UCzC9bP_b-gaHM5cqalmw2RQ|</t>
  </si>
  <si>
    <t>#RockGameSA OR "RockGame S.A."</t>
  </si>
  <si>
    <t>#RealGamersInc | "Real Gamers"</t>
  </si>
  <si>
    <t>Developer - Really Cool Games</t>
  </si>
  <si>
    <t>Rockhead Games</t>
  </si>
  <si>
    <r>
      <rPr>
        <rFont val="Calibri, sans-serif"/>
        <color rgb="FF000000"/>
        <sz val="10.0"/>
        <u/>
      </rPr>
      <t>https://www.youtube.com/channel/UCQgJu05deBHyHGoZD40nXsA</t>
    </r>
    <r>
      <rPr>
        <rFont val="Calibri, sans-serif"/>
        <color rgb="FF000000"/>
        <sz val="10.0"/>
      </rPr>
      <t>|</t>
    </r>
  </si>
  <si>
    <t>#RockheadGames OR "Rockhead Games"</t>
  </si>
  <si>
    <t>#ReallyCoolGames | "Really Cool Games"</t>
  </si>
  <si>
    <t>Developer - Realmforge Studios</t>
  </si>
  <si>
    <t>#RealmforgeStudios OR "Realmforge Studios"</t>
  </si>
  <si>
    <t>Rockstar Games</t>
  </si>
  <si>
    <t>#RealmforgeStudios | "Realmforge Studios"</t>
  </si>
  <si>
    <t>Developer - Rebellion</t>
  </si>
  <si>
    <t>Rockstar North</t>
  </si>
  <si>
    <t>https://www.youtube.com/channel/UCGgPzgaEpdlX8TRZnYJ7RPw|</t>
  </si>
  <si>
    <t>#RockstarNorth OR "Rockstar North"</t>
  </si>
  <si>
    <t>#Rebellion | "Rebellion"</t>
  </si>
  <si>
    <t>Developer - Reboot Arcade</t>
  </si>
  <si>
    <t>Rogue Games</t>
  </si>
  <si>
    <t>https://www.youtube.com/channel/UCB1RwWtFgjtQ_djjkupJ7eA|</t>
  </si>
  <si>
    <t>#RogueGames OR "Rogue Games"</t>
  </si>
  <si>
    <t>#RebootArcade | "Reboot Arcade"</t>
  </si>
  <si>
    <t>Developer - Rec Room Inc.</t>
  </si>
  <si>
    <t>RogueCode (PTY) LTD</t>
  </si>
  <si>
    <t>#RogueCodePTYLTD OR "RogueCode (PTY) LTD"</t>
  </si>
  <si>
    <t>#RecRoomInc | "Rec Room"</t>
  </si>
  <si>
    <t>Developer - Reco Technology</t>
  </si>
  <si>
    <t>Rogueside</t>
  </si>
  <si>
    <t>#Rogueside OR "Rogueside"</t>
  </si>
  <si>
    <t>#RecoTechnology | "Reco Technology"</t>
  </si>
  <si>
    <t>Developer - Recotechnology S.L.</t>
  </si>
  <si>
    <t>rokapublish</t>
  </si>
  <si>
    <t>https://www.youtube.com/channel/UCsQT4I4afKih4k0zDoHYx3w|</t>
  </si>
  <si>
    <t>#rokapublish OR "rokapublish"</t>
  </si>
  <si>
    <t>#RecotechnologySL | "Recotechnology S.L."</t>
  </si>
  <si>
    <t>Developer - Red Barrels</t>
  </si>
  <si>
    <t>roll7</t>
  </si>
  <si>
    <t>https://www.youtube.com/channel/UCVvi-1EYPurMZgVtPM3r84g|</t>
  </si>
  <si>
    <t>#roll7 OR "roll7"</t>
  </si>
  <si>
    <t>#RedBarrels | "Red Barrels"</t>
  </si>
  <si>
    <t>Developer - Red Dot Games</t>
  </si>
  <si>
    <t>#RedDotGames OR "Red Dot Games"</t>
  </si>
  <si>
    <t>rolling coders</t>
  </si>
  <si>
    <t>#rollingcoders OR "rolling coders"</t>
  </si>
  <si>
    <t>#RedDotGames | "Red Dot Games"</t>
  </si>
  <si>
    <t>https://www.youtube.com/channel/UCPE5lSeSxCjvJY7dEPNa9VA|</t>
  </si>
  <si>
    <t>Developer - Red Ego Games</t>
  </si>
  <si>
    <t>Romans I XVI Gaming</t>
  </si>
  <si>
    <t>https://www.youtube.com/channel/UCzuZ6nlo1Sr0ZotlcaRWtag|</t>
  </si>
  <si>
    <t>#RomansIXVIGaming OR "Romans I XVI Gaming"</t>
  </si>
  <si>
    <t>#RedEgoGames | "Red Ego Games"</t>
  </si>
  <si>
    <t>Developer - Red Hook Studios</t>
  </si>
  <si>
    <t>Ronimo Games</t>
  </si>
  <si>
    <t>https://www.youtube.com/user/ronimogames|</t>
  </si>
  <si>
    <t>#RonimoGames OR "Ronimo Games"</t>
  </si>
  <si>
    <t>#RedHookStudios | "Red Hook Studios"</t>
  </si>
  <si>
    <t>Developer - Red Koi Box</t>
  </si>
  <si>
    <t>#RedKoiBox OR "Red Koi Box"</t>
  </si>
  <si>
    <t>Rooftop Panda</t>
  </si>
  <si>
    <t>https://www.youtube.com/channel/UCcUHssqCxjHdGMZEtkTK9jQ|</t>
  </si>
  <si>
    <t>#RooftopPanda OR "Rooftop Panda"</t>
  </si>
  <si>
    <t>#RedKoiBox | "Red Koi Box"</t>
  </si>
  <si>
    <t>https://www.youtube.com/channel/UC8VbFym-O5XA0_hSAySzC3A|</t>
  </si>
  <si>
    <t>Developer - Red Limb Studio</t>
  </si>
  <si>
    <t>Rookie Hero Games S.L.</t>
  </si>
  <si>
    <t>#RookieHeroGamesSL OR "Rookie Hero Games S.L."</t>
  </si>
  <si>
    <t>#RedLimbStudio | "Red Limb Studio"</t>
  </si>
  <si>
    <t>Developer - Red Meat Games</t>
  </si>
  <si>
    <t>Rooster Teeth Games</t>
  </si>
  <si>
    <t>https://www.youtube.com/channel/UCzH3iADRIq1IJlIXjfNgTpA|</t>
  </si>
  <si>
    <t>#RoosterTeethGames OR "Rooster Teeth Games"</t>
  </si>
  <si>
    <t>#RedMeatGames | "Red Meat Games"</t>
  </si>
  <si>
    <t>Developer - Red Mount Media</t>
  </si>
  <si>
    <t>#RedMountMedia OR "Red Mount Media"</t>
  </si>
  <si>
    <t>ROOT 76</t>
  </si>
  <si>
    <t>#ROOT76 OR "ROOT 76"</t>
  </si>
  <si>
    <t>#RedMountMedia | "Red Mount Media"</t>
  </si>
  <si>
    <r>
      <rPr>
        <rFont val="Arial"/>
        <color rgb="FF000000"/>
      </rPr>
      <t>https://www.youtube.com/channel/UCb_411pBaySnZlN0p9i5r9g</t>
    </r>
    <r>
      <rPr>
        <rFont val="Arial"/>
        <color rgb="FF000000"/>
      </rPr>
      <t>|</t>
    </r>
  </si>
  <si>
    <t>Developer - Red Nexus Games Inc.</t>
  </si>
  <si>
    <t>Root121 Games</t>
  </si>
  <si>
    <t>https://www.youtube.com/channel/UC1IQJM0cKkcaErc9NfxYdbw|</t>
  </si>
  <si>
    <t>#Root121Games OR "Root121 Games"</t>
  </si>
  <si>
    <t>#RedNexusGamesInc | "Red Nexus Games"</t>
  </si>
  <si>
    <t>Developer - Red Panda Interactive</t>
  </si>
  <si>
    <t>RORTOS SRL</t>
  </si>
  <si>
    <t>https://www.youtube.com/channel/UCTbOhlyfmhDFquqPKjQDcJQ|</t>
  </si>
  <si>
    <t>#RORTOSSRL OR "RORTOS SRL"</t>
  </si>
  <si>
    <t>#RedPandaInteractive | "Red Panda Interactive"</t>
  </si>
  <si>
    <r>
      <rPr>
        <rFont val="Arial"/>
        <color rgb="FF000000"/>
      </rPr>
      <t>https://www.youtube.com/channel/UC2DTr_jIYmur9lucdOOAEeA</t>
    </r>
    <r>
      <rPr>
        <rFont val="Arial"/>
        <color rgb="FF000000"/>
      </rPr>
      <t>|</t>
    </r>
  </si>
  <si>
    <t>Developer - Red Thread Games</t>
  </si>
  <si>
    <t>Rotten Mage</t>
  </si>
  <si>
    <t>#RottenMage OR "Rotten Mage"</t>
  </si>
  <si>
    <t>#RedThreadGames | "Red Thread Games"</t>
  </si>
  <si>
    <t>Developer - Redact Games</t>
  </si>
  <si>
    <t>ROTU Entertainment &amp; Media, Ltd.</t>
  </si>
  <si>
    <t>https://www.youtube.com/channel/UC-5eZtqLvT9dXbuC_lqYC4Q|</t>
  </si>
  <si>
    <t>#ROTUEntertainmentandMediaLtd OR "ROTU Entertainment &amp; Media."</t>
  </si>
  <si>
    <t>#RedactGames | "Redact Games"</t>
  </si>
  <si>
    <t>Developer - RedBedlam</t>
  </si>
  <si>
    <t>RubberBandGames</t>
  </si>
  <si>
    <t>https://www.youtube.com/channel/UCm8jbhKhZPUSU1eI7QMPLWQ|</t>
  </si>
  <si>
    <t>#RubberBandGames OR "RubberBandGames"</t>
  </si>
  <si>
    <t>#RedBedlam | "RedBedlam"</t>
  </si>
  <si>
    <t>Developer - RedDeerGames</t>
  </si>
  <si>
    <t>Ruben Alcaniz</t>
  </si>
  <si>
    <t>https://www.youtube.com/channel/UCj-Vl6m_koJJToyVhILN4EA|</t>
  </si>
  <si>
    <t>#RubenAlcaniz OR "Ruben Alcaniz"</t>
  </si>
  <si>
    <t>#RedDeerGames | "RedDeerGames"</t>
  </si>
  <si>
    <t>Developer - Redlock Studio</t>
  </si>
  <si>
    <t>#RedlockStudio OR "Redlock Studio"</t>
  </si>
  <si>
    <t>Runestone Games Limited</t>
  </si>
  <si>
    <t>#RunestoneGamesLimited OR "Runestone Games Limited"</t>
  </si>
  <si>
    <t>#RedlockStudio | "Redlock Studio"</t>
  </si>
  <si>
    <t>https://www.youtube.com/channel/UCl7OZW48NBBlcVir4Yn1UJg|</t>
  </si>
  <si>
    <t>Developer - RedLynx</t>
  </si>
  <si>
    <t>#RedLynx OR "RedLynx"</t>
  </si>
  <si>
    <t>Runic Games</t>
  </si>
  <si>
    <t>https://www.youtube.com/user/runicgames|</t>
  </si>
  <si>
    <t>#RunicGames OR "Runic Games"</t>
  </si>
  <si>
    <t>#RedLynx | "RedLynx"</t>
  </si>
  <si>
    <t>Developer - Reign Bros</t>
  </si>
  <si>
    <t>RUSLAN SALIKOV</t>
  </si>
  <si>
    <t>#RUSLANSALIKOV OR "RUSLAN SALIKOV"</t>
  </si>
  <si>
    <t>#ReignBros | "Reign Bros"</t>
  </si>
  <si>
    <t>Developer - Reikon Games</t>
  </si>
  <si>
    <t>#ReikonGames OR "Reikon Games"</t>
  </si>
  <si>
    <t>Rusto</t>
  </si>
  <si>
    <t>https://www.youtube.com/channel/UC-rYwEtroxDoJ5bg7Q1yV_w|</t>
  </si>
  <si>
    <t>#Rusto OR "Rusto"</t>
  </si>
  <si>
    <t>#ReikonGames | "Reikon Games"</t>
  </si>
  <si>
    <t>https://www.youtube.com/channel/UCxCiZ6p37_0cktvye4Slt3Q|</t>
  </si>
  <si>
    <t>Developer - Reinkout Games</t>
  </si>
  <si>
    <t>#ReinkoutGames OR "Reinkout Games"</t>
  </si>
  <si>
    <t>Rusty Bolt</t>
  </si>
  <si>
    <r>
      <rPr>
        <rFont val="Calibri, sans-serif"/>
        <color rgb="FF000000"/>
        <sz val="10.0"/>
        <u/>
      </rPr>
      <t>https://www.youtube.com/channel/UC40TOoWqezFZ5BNTRcoshSg</t>
    </r>
    <r>
      <rPr>
        <rFont val="Calibri, sans-serif"/>
        <color rgb="FF000000"/>
        <sz val="10.0"/>
      </rPr>
      <t>|</t>
    </r>
  </si>
  <si>
    <t>#RustyBolt OR "Rusty Bolt"</t>
  </si>
  <si>
    <t>#ReinkoutGames | "Reinkout Games"</t>
  </si>
  <si>
    <t>Developer - Rejected Games</t>
  </si>
  <si>
    <t>#RejectedGames OR "Rejected Games"</t>
  </si>
  <si>
    <t>Sabec Limited</t>
  </si>
  <si>
    <t>https://www.youtube.com/user/sabecltd|</t>
  </si>
  <si>
    <t>#SabecLimited OR "Sabec Limited"</t>
  </si>
  <si>
    <t>#RejectedGames | "Rejected Games"</t>
  </si>
  <si>
    <t>https://www.youtube.com/channel/UC3rsruj4eA8rg6qZLCLmEaA|</t>
  </si>
  <si>
    <t>Developer - Reloaded Games Inc.</t>
  </si>
  <si>
    <t>#ReloadedGamesInc OR "Reloaded Games"</t>
  </si>
  <si>
    <t>Saber Interactive</t>
  </si>
  <si>
    <t>#SaberInteractive OR "Saber Interactive"</t>
  </si>
  <si>
    <t>#ReloadedGamesInc | "Reloaded Games"</t>
  </si>
  <si>
    <t>Developer - Remedy Entertainment</t>
  </si>
  <si>
    <t>#RemedyEntertainment OR "Remedy Entertainment"</t>
  </si>
  <si>
    <t>Sabotage Studio</t>
  </si>
  <si>
    <t>https://www.youtube.com/channel/UCFqkoH39JOvUTmQch2yRFFQ|</t>
  </si>
  <si>
    <t>#SabotageStudio OR "Sabotage Studio"</t>
  </si>
  <si>
    <t>#RemedyEntertainment | "Remedy Entertainment"</t>
  </si>
  <si>
    <t>https://www.youtube.com/channel/UCS6s3OidfTU0fMRScTGE_jg|</t>
  </si>
  <si>
    <t>Developer - REMIMORY</t>
  </si>
  <si>
    <t>SadSquare Studio</t>
  </si>
  <si>
    <t>https://www.youtube.com/channel/UCrDAlqXU7tMBTJAO6ONtYYQ|</t>
  </si>
  <si>
    <t>#SadSquareStudio OR "SadSquare Studio"</t>
  </si>
  <si>
    <t>#REMIMORY | "REMIMORY"</t>
  </si>
  <si>
    <t>Developer - Rendercode Games</t>
  </si>
  <si>
    <t>Sakari Games</t>
  </si>
  <si>
    <r>
      <rPr>
        <rFont val="Calibri, sans-serif"/>
        <color rgb="FF000000"/>
        <sz val="10.0"/>
        <u/>
      </rPr>
      <t>https://www.youtube.com/channel/UCW7dB-1F9jay6qryh9hTtaA</t>
    </r>
    <r>
      <rPr>
        <rFont val="Calibri, sans-serif"/>
        <color rgb="FF000000"/>
        <sz val="10.0"/>
      </rPr>
      <t>|</t>
    </r>
  </si>
  <si>
    <t>#SakariGames OR "Sakari Games"</t>
  </si>
  <si>
    <t>#RendercodeGames | "Rendercode Games"</t>
  </si>
  <si>
    <r>
      <rPr>
        <rFont val="Arial"/>
        <color rgb="FF000000"/>
      </rPr>
      <t>https://www.youtube.com/channel/UCu2KYXdDdOX-ODhWXDBy0lA</t>
    </r>
    <r>
      <rPr>
        <rFont val="Arial"/>
        <color rgb="FF000000"/>
      </rPr>
      <t>|</t>
    </r>
  </si>
  <si>
    <t>Developer - Renegade Sector Games</t>
  </si>
  <si>
    <t>#RenegadeSectorGames OR "Renegade Sector Games"</t>
  </si>
  <si>
    <t>Sambits</t>
  </si>
  <si>
    <t>#Sambits OR "Sambits"</t>
  </si>
  <si>
    <t>#RenegadeSectorGames | "Renegade Sector Games"</t>
  </si>
  <si>
    <t>https://www.youtube.com/channel/UCKwDYsOyitZAQFS76KBj1vQ|</t>
  </si>
  <si>
    <t>Developer - Repixel8</t>
  </si>
  <si>
    <t>Samer Khatib (Snowconesolid)</t>
  </si>
  <si>
    <t>https://www.youtube.com/user/snowconesolid|</t>
  </si>
  <si>
    <t>#SamerKhatibSnowconesolid OR "Samer Khatib (Snowconesolid)"</t>
  </si>
  <si>
    <t>#Repixel8 | "Repixel8"</t>
  </si>
  <si>
    <t>Developer - Reptile</t>
  </si>
  <si>
    <t>Samurai Punk</t>
  </si>
  <si>
    <t>https://www.youtube.com/samuraipunk|</t>
  </si>
  <si>
    <t>#SamuraiPunk OR "Samurai Punk"</t>
  </si>
  <si>
    <t>#Reptile | "Reptile"</t>
  </si>
  <si>
    <t>Developer - Reptoid Games</t>
  </si>
  <si>
    <t>Samustai</t>
  </si>
  <si>
    <t>https://www.youtube.com/channel/UClUjLr2LoH7bvdUhkpEW5MQ|</t>
  </si>
  <si>
    <t>#Samustai OR "Samustai"</t>
  </si>
  <si>
    <t>#ReptoidGames | "Reptoid Games"</t>
  </si>
  <si>
    <t>Developer - rese</t>
  </si>
  <si>
    <t>Samustai studio</t>
  </si>
  <si>
    <t>#Samustaistudio OR "Samustai studio"</t>
  </si>
  <si>
    <t>#rese | "rese"</t>
  </si>
  <si>
    <t>Developer - Resistance Studio</t>
  </si>
  <si>
    <t>Sand Sailor Studio</t>
  </si>
  <si>
    <t>https://www.youtube.com/user/BlackTheFallGame|</t>
  </si>
  <si>
    <t>#SandSailorStudio OR "Sand Sailor Studio"</t>
  </si>
  <si>
    <t>#ResistanceStudio | "Resistance Studio"</t>
  </si>
  <si>
    <t>Developer - Respawn Entertainment</t>
  </si>
  <si>
    <t>#RespawnEntertainment OR "Respawn Entertainment"</t>
  </si>
  <si>
    <t>Santa Ragione</t>
  </si>
  <si>
    <t>https://www.youtube.com/c/SantaRagione/videos|</t>
  </si>
  <si>
    <t>#SantaRagione OR "Santa Ragione"</t>
  </si>
  <si>
    <t>#RespawnEntertainment | "Respawn Entertainment"</t>
  </si>
  <si>
    <t>https://www.youtube.com/channel/UCr9Ae54znWf7ge_xLU8i8Hw|</t>
  </si>
  <si>
    <t>Developer - Restless Corp</t>
  </si>
  <si>
    <t>Sanuk Games</t>
  </si>
  <si>
    <t>https://www.youtube.com/user/SanukGames|</t>
  </si>
  <si>
    <t>#SanukGames OR "Sanuk Games"</t>
  </si>
  <si>
    <t>#RestlessCorp | "Restless Corp"</t>
  </si>
  <si>
    <t>Developer - Retrific</t>
  </si>
  <si>
    <t>#Retrific OR "Retrific"</t>
  </si>
  <si>
    <t>Sassybot</t>
  </si>
  <si>
    <t>https://www.youtube.com/user/sassybotstudio|</t>
  </si>
  <si>
    <t>#Sassybot OR "Sassybot"</t>
  </si>
  <si>
    <t>#Retrific | "Retrific"</t>
  </si>
  <si>
    <t>https://www.youtube.com/user/Retrific|</t>
  </si>
  <si>
    <t>Developer - Retroid</t>
  </si>
  <si>
    <t>#Retroid OR "Retroid"</t>
  </si>
  <si>
    <t>Sbug Games</t>
  </si>
  <si>
    <t>https://www.youtube.com/channel/UC-1z6snVtSA7PbEnCbnRT7Q|</t>
  </si>
  <si>
    <t>#SbugGames OR "Sbug Games"</t>
  </si>
  <si>
    <t>#Retroid | "Retroid"</t>
  </si>
  <si>
    <t>https://www.youtube.com/channel/UCr-nXgbXXxCr0HZ55j-r6-A|</t>
  </si>
  <si>
    <t>Developer - Retrosoft Studios</t>
  </si>
  <si>
    <t>Scavengers Studio</t>
  </si>
  <si>
    <t>https://www.youtube.com/channel/UCpOsrAr4qdc3pTEdTxc54yg|</t>
  </si>
  <si>
    <t>#ScavengersStudio OR "Scavengers Studio"</t>
  </si>
  <si>
    <t>#RetrosoftStudios | "Retrosoft Studios"</t>
  </si>
  <si>
    <t>Developer - Retrotainment Games</t>
  </si>
  <si>
    <t>SCE Santa Monica</t>
  </si>
  <si>
    <t>https://www.youtube.com/channel/UCfNRCubwLjsEAQG2TiJq4kQ|</t>
  </si>
  <si>
    <t>#SCESantaMonica OR "SCE Santa Monica"</t>
  </si>
  <si>
    <t>#RetrotainmentGames | "Retrotainment Games"</t>
  </si>
  <si>
    <t>Developer - Retrover</t>
  </si>
  <si>
    <t>SCEA</t>
  </si>
  <si>
    <t>#SCEA OR "SCEA"</t>
  </si>
  <si>
    <t>#Retrover | "Retrover"</t>
  </si>
  <si>
    <t>Developer - Reversed Interactive</t>
  </si>
  <si>
    <t>#ReversedInteractive OR "Reversed Interactive"</t>
  </si>
  <si>
    <t>SCEE</t>
  </si>
  <si>
    <t>#SCEE OR "SCEE"</t>
  </si>
  <si>
    <t>#ReversedInteractive | "Reversed Interactive"</t>
  </si>
  <si>
    <t>https://www.youtube.com/channel/UCSte7g9A1pvYQO1G6Yjjt-g|</t>
  </si>
  <si>
    <t>Developer - Revolution Software</t>
  </si>
  <si>
    <t>SCEI</t>
  </si>
  <si>
    <r>
      <rPr>
        <rFont val="Calibri, sans-serif"/>
        <color rgb="FF000000"/>
        <sz val="10.0"/>
        <u/>
      </rPr>
      <t>https://www.youtube.com/channel/UCiwZuX2dXXJm4Nm-Vb3DusQ</t>
    </r>
    <r>
      <rPr>
        <rFont val="Calibri, sans-serif"/>
        <color rgb="FF000000"/>
        <sz val="10.0"/>
      </rPr>
      <t>|</t>
    </r>
  </si>
  <si>
    <t>#SCEI OR "SCEI"</t>
  </si>
  <si>
    <t>#RevolutionSoftware | "Revolution Software"</t>
  </si>
  <si>
    <t>Developer - Rhinotales</t>
  </si>
  <si>
    <t>Schell Games</t>
  </si>
  <si>
    <t>https://www.youtube.com/channel/UCENTSIy9AKEG6soOhKVBiUA|</t>
  </si>
  <si>
    <t>#SchellGames OR "Schell Games"</t>
  </si>
  <si>
    <t>#Rhinotales | "Rhinotales"</t>
  </si>
  <si>
    <t>Developer - RiceFun Games</t>
  </si>
  <si>
    <t>Schine GmbH</t>
  </si>
  <si>
    <t>#SchineGmbH OR "Schine GmbH"</t>
  </si>
  <si>
    <t>#RiceFunGames | "RiceFun Games"</t>
  </si>
  <si>
    <t>Developer - Rickard Paulsson</t>
  </si>
  <si>
    <t>#RickardPaulsson OR "Rickard Paulsson"</t>
  </si>
  <si>
    <t>Scott Cawthon</t>
  </si>
  <si>
    <t>https://www.youtube.com/channel/UC2Xp5JeeO9sP6bhc-9yD1xA|</t>
  </si>
  <si>
    <t>#ScottCawthon OR "Scott Cawthon"</t>
  </si>
  <si>
    <t>#RickardPaulsson | "Rickard Paulsson"</t>
  </si>
  <si>
    <t>https://www.youtube.com/channel/UCS-Z1otAH1UBD6rNT4eQzCQ|</t>
  </si>
  <si>
    <t>Developer - Right Nice Games</t>
  </si>
  <si>
    <t>#RightNiceGames OR "Right Nice Games"</t>
  </si>
  <si>
    <t>Scott Games</t>
  </si>
  <si>
    <t>#RightNiceGames | "Right Nice Games"</t>
  </si>
  <si>
    <t>https://www.youtube.com/channel/UCwwRIRZnCXYIqMGCVzSGfQg|</t>
  </si>
  <si>
    <t>Developer - Rimlight Studios</t>
  </si>
  <si>
    <t>Screambox Studio</t>
  </si>
  <si>
    <t>https://www.youtube.com/channel/UC95d_yKDajpONfYHUVuAyFw|</t>
  </si>
  <si>
    <t>#ScreamboxStudio OR "Screambox Studio"</t>
  </si>
  <si>
    <t>#RimlightStudios | "Rimlight Studios"</t>
  </si>
  <si>
    <r>
      <rPr>
        <rFont val="Arial"/>
        <color rgb="FF000000"/>
      </rPr>
      <t>https://www.youtube.com/channel/UCH1rviPUZdu6C4AOm7yP1ew</t>
    </r>
    <r>
      <rPr>
        <rFont val="Arial"/>
        <color rgb="FF000000"/>
      </rPr>
      <t>|</t>
    </r>
  </si>
  <si>
    <t>Developer - Ripstone</t>
  </si>
  <si>
    <t>Screaming Villains</t>
  </si>
  <si>
    <t>https://www.youtube.com/channel/UCHxb45cz5rv_F320pV8EQ2g|</t>
  </si>
  <si>
    <t>#ScreamingVillains OR "Screaming Villains"</t>
  </si>
  <si>
    <t>#Ripstone | "Ripstone"</t>
  </si>
  <si>
    <t>Developer - Rising Star Games</t>
  </si>
  <si>
    <t>Screenwave Media</t>
  </si>
  <si>
    <t>https://www.youtube.com/user/screenwavemedia|</t>
  </si>
  <si>
    <t>#ScreenwaveMedia OR "Screenwave Media"</t>
  </si>
  <si>
    <t>#RisingStarGames | "Rising Star Games"</t>
  </si>
  <si>
    <t>Developer - Ritual Games</t>
  </si>
  <si>
    <t>Screwtape Studios</t>
  </si>
  <si>
    <t>https://www.youtube.com/channel/UCrdU50iFZvi8SpFi15m4TYA|</t>
  </si>
  <si>
    <t>#ScrewtapeStudios OR "Screwtape Studios"</t>
  </si>
  <si>
    <t>#RitualGames | "Ritual Games"</t>
  </si>
  <si>
    <t>Developer - Rival Games Ltd</t>
  </si>
  <si>
    <t>SculptrVR</t>
  </si>
  <si>
    <r>
      <rPr>
        <rFont val="Calibri, sans-serif"/>
        <color rgb="FF000000"/>
        <sz val="10.0"/>
        <u/>
      </rPr>
      <t>https://www.youtube.com/channel/UCHb47wrLSoH6TmXKyvy86cQ</t>
    </r>
    <r>
      <rPr>
        <rFont val="Calibri, sans-serif"/>
        <color rgb="FF000000"/>
        <sz val="10.0"/>
      </rPr>
      <t>|</t>
    </r>
  </si>
  <si>
    <t>#SculptrVR OR "SculptrVR"</t>
  </si>
  <si>
    <t>#RivalGamesLtd | "Rival Games Ltd"</t>
  </si>
  <si>
    <t>Developer - RoadBuddy</t>
  </si>
  <si>
    <t>SculptrVR Inc</t>
  </si>
  <si>
    <t>#SculptrVRInc OR "SculptrVR Inc"</t>
  </si>
  <si>
    <t>#RoadBuddy | "RoadBuddy"</t>
  </si>
  <si>
    <t>Developer - Robi Studios</t>
  </si>
  <si>
    <t>#RobiStudios OR "Robi Studios"</t>
  </si>
  <si>
    <t>Seashell Studio</t>
  </si>
  <si>
    <t>https://www.youtube.com/channel/UC_cwXaJqjQEaXirltMmFB4Q|</t>
  </si>
  <si>
    <t>#SeashellStudio OR "Seashell Studio"</t>
  </si>
  <si>
    <t>#RobiStudios | "Robi Studios"</t>
  </si>
  <si>
    <t>Developer - Robomodo</t>
  </si>
  <si>
    <t>#Robomodo OR "Robomodo"</t>
  </si>
  <si>
    <t>Seaven Studio</t>
  </si>
  <si>
    <t>https://www.youtube.com/channel/UCiRyNJKUiYdKsxXkt_jMZ-A|</t>
  </si>
  <si>
    <t>#SeavenStudio OR "Seaven Studio"</t>
  </si>
  <si>
    <t>#Robomodo | "Robomodo"</t>
  </si>
  <si>
    <r>
      <rPr>
        <rFont val="Arial"/>
        <color rgb="FF000000"/>
      </rPr>
      <t>https://www.youtube.com/channel/UC2jizRSLn08wTvGsIc6zWBQ</t>
    </r>
    <r>
      <rPr>
        <rFont val="Arial"/>
        <color rgb="FF000000"/>
      </rPr>
      <t>|</t>
    </r>
  </si>
  <si>
    <t>Developer - Robot Entertainment</t>
  </si>
  <si>
    <t>sebagamesdev</t>
  </si>
  <si>
    <t>https://www.youtube.com/channel/UCFSuuaCiNje-d4tWCTwSGRg|</t>
  </si>
  <si>
    <t>#sebagamesdev OR "sebagamesdev"</t>
  </si>
  <si>
    <t>#RobotEntertainment | "Robot Entertainment"</t>
  </si>
  <si>
    <t>Developer - Robot Gentleman</t>
  </si>
  <si>
    <t>Sebastian Nigro</t>
  </si>
  <si>
    <t>https://www.youtube.com/channel/UCa0mz_0ciGIGGly0tLyWfbQ|</t>
  </si>
  <si>
    <t>#SebastianNigro OR "Sebastian Nigro"</t>
  </si>
  <si>
    <t>#RobotGentleman | "Robot Gentleman"</t>
  </si>
  <si>
    <t>Developer - Robot Riot UG</t>
  </si>
  <si>
    <t>Second Order</t>
  </si>
  <si>
    <r>
      <rPr>
        <rFont val="Calibri, sans-serif"/>
        <color rgb="FF000000"/>
        <sz val="10.0"/>
        <u/>
      </rPr>
      <t>https://www.youtube.com/channel/UCF8BD3Mwi1jsBajzDWQoXOg</t>
    </r>
    <r>
      <rPr>
        <rFont val="Calibri, sans-serif"/>
        <color rgb="FF000000"/>
        <sz val="10.0"/>
      </rPr>
      <t>|</t>
    </r>
  </si>
  <si>
    <t>#SecondOrder OR "Second Order"</t>
  </si>
  <si>
    <t>#RobotRiotUG | "Robot Riot UG"</t>
  </si>
  <si>
    <t>Developer - RobTodd Gaming</t>
  </si>
  <si>
    <t>Second Wind Interactive</t>
  </si>
  <si>
    <r>
      <rPr>
        <rFont val="Calibri, sans-serif"/>
        <color rgb="FF000000"/>
        <sz val="10.0"/>
        <u/>
      </rPr>
      <t>https://www.youtube.com/channel/UC1wZGocgLvopgOqBUFCyIJA</t>
    </r>
    <r>
      <rPr>
        <rFont val="Calibri, sans-serif"/>
        <color rgb="FF000000"/>
        <sz val="10.0"/>
      </rPr>
      <t>|</t>
    </r>
  </si>
  <si>
    <t>#SecondWindInteractive OR "Second Wind Interactive"</t>
  </si>
  <si>
    <t>#RobToddGaming | "RobTodd Gaming"</t>
  </si>
  <si>
    <r>
      <rPr>
        <rFont val="Arial"/>
        <color rgb="FF000000"/>
      </rPr>
      <t>https://www.youtube.com/channel/UCExr9JSB5j-n4vCixtNdUmw</t>
    </r>
    <r>
      <rPr>
        <rFont val="Arial"/>
        <color rgb="FF000000"/>
      </rPr>
      <t>|</t>
    </r>
  </si>
  <si>
    <t>Developer - Rock Pocket Games</t>
  </si>
  <si>
    <t>#RockPocketGames OR "Rock Pocket Games"</t>
  </si>
  <si>
    <t>Secret Base</t>
  </si>
  <si>
    <t>https://www.youtube.com/user/rayteoactive|</t>
  </si>
  <si>
    <t>#SecretBase OR "Secret Base"</t>
  </si>
  <si>
    <t>#RockPocketGames | "Rock Pocket Games"</t>
  </si>
  <si>
    <r>
      <rPr>
        <rFont val="Arial"/>
        <color rgb="FF000000"/>
      </rPr>
      <t>https://www.youtube.com/channel/UC55SWpMCA3-RvPfD2CKhFwg</t>
    </r>
    <r>
      <rPr>
        <rFont val="Arial"/>
        <color rgb="FF000000"/>
      </rPr>
      <t>|</t>
    </r>
  </si>
  <si>
    <t>Developer - Rocket Panda Games</t>
  </si>
  <si>
    <t>Secret Item Games</t>
  </si>
  <si>
    <t>#SecretItemGames OR "Secret Item Games"</t>
  </si>
  <si>
    <t>#RocketPandaGames | "Rocket Panda Games"</t>
  </si>
  <si>
    <t>Developer - Rocket Vulture</t>
  </si>
  <si>
    <t>Secret Location</t>
  </si>
  <si>
    <t>#SecretLocation OR "Secret Location"</t>
  </si>
  <si>
    <t>#RocketVulture | "Rocket Vulture"</t>
  </si>
  <si>
    <t>Developer - Rocketcat Games</t>
  </si>
  <si>
    <t>#RocketcatGames OR "Rocketcat Games"</t>
  </si>
  <si>
    <t>Secret Sorcery</t>
  </si>
  <si>
    <t>#SecretSorcery OR "Secret Sorcery"</t>
  </si>
  <si>
    <t>#RocketcatGames | "Rocketcat Games"</t>
  </si>
  <si>
    <r>
      <rPr>
        <rFont val="Arial"/>
        <color rgb="FF000000"/>
      </rPr>
      <t>https://www.youtube.com/channel/UCSMp2emvAxmlnNHD7qQ3P_w</t>
    </r>
    <r>
      <rPr>
        <rFont val="Arial"/>
        <color rgb="FF000000"/>
      </rPr>
      <t>|</t>
    </r>
  </si>
  <si>
    <t>Developer - ROCKFISH Games</t>
  </si>
  <si>
    <t>Secret Sorcery Towers</t>
  </si>
  <si>
    <t>#SecretSorceryTowers OR "Secret Sorcery Towers"</t>
  </si>
  <si>
    <t>#ROCKFISHGames | "ROCKFISH Games"</t>
  </si>
  <si>
    <t>Developer - Rockhead Games</t>
  </si>
  <si>
    <t>Sega</t>
  </si>
  <si>
    <t>#RockheadGames | "Rockhead Games"</t>
  </si>
  <si>
    <r>
      <rPr>
        <rFont val="Arial"/>
        <color rgb="FF000000"/>
      </rPr>
      <t>https://www.youtube.com/channel/UCQgJu05deBHyHGoZD40nXsA</t>
    </r>
    <r>
      <rPr>
        <rFont val="Arial"/>
        <color rgb="FF000000"/>
      </rPr>
      <t>|</t>
    </r>
  </si>
  <si>
    <t>Developer - Rockstar North</t>
  </si>
  <si>
    <t>Sega Europe</t>
  </si>
  <si>
    <t>https://www.youtube.com/user/SEGAEurope|</t>
  </si>
  <si>
    <t>#SegaEurope OR "Sega Europe"</t>
  </si>
  <si>
    <t>#RockstarNorth | "Rockstar North"</t>
  </si>
  <si>
    <t>Developer - Rocksteady Studios</t>
  </si>
  <si>
    <t>#RocksteadyStudios OR "Rocksteady Studios"</t>
  </si>
  <si>
    <t>Sega Of America, Inc.</t>
  </si>
  <si>
    <t>#SegaOfAmericaInc OR "Sega Of America,"</t>
  </si>
  <si>
    <t>#RocksteadyStudios | "Rocksteady Studios"</t>
  </si>
  <si>
    <t>https://www.youtube.com/channel/UC97HkWTqpZ8IIgankkGMNaA|</t>
  </si>
  <si>
    <t>Developer - Rogue Factor</t>
  </si>
  <si>
    <t>#RogueFactor OR "Rogue Factor"</t>
  </si>
  <si>
    <t>SegaSoft</t>
  </si>
  <si>
    <t>#RogueFactor | "Rogue Factor"</t>
  </si>
  <si>
    <t>Developer - Rogue Games</t>
  </si>
  <si>
    <t>SeithCG</t>
  </si>
  <si>
    <t>https://www.youtube.com/user/seithcg|</t>
  </si>
  <si>
    <t>#SeithCG OR "SeithCG"</t>
  </si>
  <si>
    <t>#RogueGames | "Rogue Games"</t>
  </si>
  <si>
    <t>Developer - RogueCode (PTY) LTD</t>
  </si>
  <si>
    <t>Sekai Games</t>
  </si>
  <si>
    <t>https://www.youtube.com/channel/UCm-k3K1lRrS4AnlebyFG0ZQ|</t>
  </si>
  <si>
    <t>#SekaiGames OR "Sekai Games"</t>
  </si>
  <si>
    <t>#RogueCodePTYLTD | "RogueCode (PTY) LTD"</t>
  </si>
  <si>
    <t>Developer - Rogueside</t>
  </si>
  <si>
    <t>Sekai Project</t>
  </si>
  <si>
    <t>#SekaiProject OR "Sekai Project"</t>
  </si>
  <si>
    <t>#Rogueside | "Rogueside"</t>
  </si>
  <si>
    <t>Developer - roll7</t>
  </si>
  <si>
    <t>Semanoor</t>
  </si>
  <si>
    <t>https://www.youtube.com/c/semaphorelab|</t>
  </si>
  <si>
    <t>#Semanoor OR "Semanoor"</t>
  </si>
  <si>
    <t>#roll7 | "roll7"</t>
  </si>
  <si>
    <t>Developer - rolling coders</t>
  </si>
  <si>
    <t>Semaphore Est</t>
  </si>
  <si>
    <t>https://www.youtube.com/c/SemaphoreLab/videos|</t>
  </si>
  <si>
    <t>#SemaphoreEst OR "Semaphore Est"</t>
  </si>
  <si>
    <t>#rollingcoders | "rolling coders"</t>
  </si>
  <si>
    <t>Developer - Romans I XVI Gaming</t>
  </si>
  <si>
    <t>Serenity Forge</t>
  </si>
  <si>
    <t>https://www.youtube.com/channel/UCL1MxIDD3OLsD9FrssocdEg|</t>
  </si>
  <si>
    <t>#SerenityForge OR "Serenity Forge"</t>
  </si>
  <si>
    <t>#RomansIXVIGaming | "Romans I XVI Gaming"</t>
  </si>
  <si>
    <t>Developer - Romero Games Ltd.</t>
  </si>
  <si>
    <t>#RomeroGamesLtd OR "Romero Games Ltd."</t>
  </si>
  <si>
    <t>SergioPoverony</t>
  </si>
  <si>
    <t>#SergioPoverony OR "SergioPoverony"</t>
  </si>
  <si>
    <t>#RomeroGamesLtd | "Romero Games Ltd."</t>
  </si>
  <si>
    <r>
      <rPr>
        <rFont val="Arial"/>
        <color rgb="FF000000"/>
      </rPr>
      <t>https://www.youtube.com/channel/UC-3jkHU1i_cbq7AO6EX1y0w</t>
    </r>
    <r>
      <rPr>
        <rFont val="Arial"/>
        <color rgb="FF000000"/>
      </rPr>
      <t>|</t>
    </r>
  </si>
  <si>
    <t>Developer - Ron Gilbert and Gary Winnick</t>
  </si>
  <si>
    <t>#RonGilbertandGaryWinnick OR "Ron Gilbert and Gary Winnick"</t>
  </si>
  <si>
    <t>Serious Brothers</t>
  </si>
  <si>
    <t>#SeriousBrothers OR "Serious Brothers"</t>
  </si>
  <si>
    <t>#RonGilbertandGaryWinnick | "Ron Gilbert and Gary Winnick"</t>
  </si>
  <si>
    <r>
      <rPr>
        <rFont val="Arial"/>
        <color rgb="FF000000"/>
      </rPr>
      <t>https://www.youtube.com/channel/UCG4oLV8BwL48LXKO24pbM9w</t>
    </r>
    <r>
      <rPr>
        <rFont val="Arial"/>
        <color rgb="FF000000"/>
      </rPr>
      <t>|</t>
    </r>
  </si>
  <si>
    <t>Developer - Ronimo Games</t>
  </si>
  <si>
    <t>Serious Parody</t>
  </si>
  <si>
    <t>#SeriousParody OR "Serious Parody"</t>
  </si>
  <si>
    <t>#RonimoGames | "Ronimo Games"</t>
  </si>
  <si>
    <t>Developer - Rooster Teeth Games</t>
  </si>
  <si>
    <t>SEVERED PRESS PTY LTD</t>
  </si>
  <si>
    <t>#SEVEREDPRESSPTYLTD OR "SEVERED PRESS PTY LTD"</t>
  </si>
  <si>
    <t>#RoosterTeethGames | "Rooster Teeth Games"</t>
  </si>
  <si>
    <t>Developer - Root121 Games</t>
  </si>
  <si>
    <t>SFB Games</t>
  </si>
  <si>
    <t>https://www.youtube.com/user/DetectiveGrimoire|</t>
  </si>
  <si>
    <t>#SFBGames OR "SFB Games"</t>
  </si>
  <si>
    <t>#Root121Games | "Root121 Games"</t>
  </si>
  <si>
    <t>Developer - RORTOS SRL</t>
  </si>
  <si>
    <t>SFS Studios</t>
  </si>
  <si>
    <t>https://www.youtube.com/user/SFSBen|</t>
  </si>
  <si>
    <t>#SFSStudios OR "SFS Studios"</t>
  </si>
  <si>
    <t>#RORTOSSRL | "RORTOS SRL"</t>
  </si>
  <si>
    <t>Developer - Round 8 Studio of NEOWIZ</t>
  </si>
  <si>
    <t>#Round8StudioofNEOWIZ OR "Round 8 Studio of NEOWIZ"</t>
  </si>
  <si>
    <t>Shadebob Games</t>
  </si>
  <si>
    <t>https://www.youtube.com/channel/UCrQHcCcyiSaRGSSWHCYR7Og|</t>
  </si>
  <si>
    <t>#ShadebobGames OR "Shadebob Games"</t>
  </si>
  <si>
    <t>#Round8StudioofNEOWIZ | "Round 8 Studio of NEOWIZ"</t>
  </si>
  <si>
    <t>Developer - Round2Games</t>
  </si>
  <si>
    <t>#Round2Games OR "Round2Games"</t>
  </si>
  <si>
    <t>SHADOW LAIR GAMES LTD.</t>
  </si>
  <si>
    <r>
      <rPr>
        <rFont val="Calibri, sans-serif"/>
        <color rgb="FF000000"/>
        <sz val="10.0"/>
        <u/>
      </rPr>
      <t>https://www.youtube.com/channel/UCEpBwcQLnAX6Z9P5oR3wvSg</t>
    </r>
    <r>
      <rPr>
        <rFont val="Calibri, sans-serif"/>
        <color rgb="FF000000"/>
        <sz val="10.0"/>
      </rPr>
      <t>|</t>
    </r>
  </si>
  <si>
    <t>#SHADOWLAIRGAMESLTD OR "SHADOW LAIR GAMES LTD."</t>
  </si>
  <si>
    <t>#Round2Games | "Round2Games"</t>
  </si>
  <si>
    <t>https://www.youtube.com/channel/UCUOogBtLpPEc7URUM3rfUmQ|</t>
  </si>
  <si>
    <t>Developer - RubberBandGames</t>
  </si>
  <si>
    <t>Shadowplay Studios</t>
  </si>
  <si>
    <t>https://www.youtube.com/channel/UC2frjQTPMPmCWPeI7Shct9w|</t>
  </si>
  <si>
    <t>#ShadowplayStudios OR "Shadowplay Studios"</t>
  </si>
  <si>
    <t>#RubberBandGames | "RubberBandGames"</t>
  </si>
  <si>
    <t>Developer - Ruben Alcaniz</t>
  </si>
  <si>
    <t>SHAME</t>
  </si>
  <si>
    <t>#SHAME OR "SHAME"</t>
  </si>
  <si>
    <t>#RubenAlcaniz | "Ruben Alcaniz"</t>
  </si>
  <si>
    <t>Developer - Rumbora Party Games</t>
  </si>
  <si>
    <t>#RumboraPartyGames OR "Rumbora Party Games"</t>
  </si>
  <si>
    <t>Shanghai Lusion Computer Software Co. Ltd.</t>
  </si>
  <si>
    <t>#ShanghaiLusionComputerSoftwareCoLtd OR "Shanghai Lusion Computer Software Co. Ltd."</t>
  </si>
  <si>
    <t>#RumboraPartyGames | "Rumbora Party Games"</t>
  </si>
  <si>
    <t>https://www.youtube.com/channel/UCccIe8wOk3J4BlHDDk2tRuw|</t>
  </si>
  <si>
    <t>Developer - RuneHeads</t>
  </si>
  <si>
    <t>#RuneHeads OR "RuneHeads"</t>
  </si>
  <si>
    <t>Shanghai Oriental Pearl Culture Development CO., LTD.</t>
  </si>
  <si>
    <t>#ShanghaiOrientalPearlCultureDevelopmentCOLTD OR "Shanghai Oriental Pearl Culture Development CO"</t>
  </si>
  <si>
    <t>#RuneHeads | "RuneHeads"</t>
  </si>
  <si>
    <t>Developer - Runestone Games Limited</t>
  </si>
  <si>
    <t>Shenandoah Studio</t>
  </si>
  <si>
    <r>
      <rPr>
        <rFont val="Calibri, sans-serif"/>
        <color rgb="FF000000"/>
        <sz val="10.0"/>
        <u/>
      </rPr>
      <t>https://www.youtube.com/channel/UCM1dalA4_yRt5e6QSvNo3kw</t>
    </r>
    <r>
      <rPr>
        <rFont val="Calibri, sans-serif"/>
        <color rgb="FF000000"/>
        <sz val="10.0"/>
      </rPr>
      <t>|</t>
    </r>
  </si>
  <si>
    <t>#ShenandoahStudio OR "Shenandoah Studio"</t>
  </si>
  <si>
    <t>#RunestoneGamesLimited | "Runestone Games Limited"</t>
  </si>
  <si>
    <t>Developer - Runner Duck</t>
  </si>
  <si>
    <t>#RunnerDuck OR "Runner Duck"</t>
  </si>
  <si>
    <t>Shenzhen Leiting Information Technology Co.</t>
  </si>
  <si>
    <t>#ShenzhenLeitingInformationTechnologyCo OR "Shenzhen Leiting Information Technology Co."</t>
  </si>
  <si>
    <t>#RunnerDuck | "Runner Duck"</t>
  </si>
  <si>
    <t>Developer - RUSLAN SALIKOV</t>
  </si>
  <si>
    <t>Shenzhen Leiting Information Technology Co., Ltd.</t>
  </si>
  <si>
    <t>#ShenzhenLeitingInformationTechnologyCoLtd OR "Shenzhen Leiting Information Technology Co"</t>
  </si>
  <si>
    <t>#RUSLANSALIKOV | "RUSLAN SALIKOV"</t>
  </si>
  <si>
    <t>Developer - Rusto</t>
  </si>
  <si>
    <t>Shin'en</t>
  </si>
  <si>
    <t>https://www.youtube.com/user/ShinenGames|</t>
  </si>
  <si>
    <t>#Shinen OR "Shin'en"</t>
  </si>
  <si>
    <t>#Rusto | "Rusto"</t>
  </si>
  <si>
    <t>Developer - Rusty Bolt</t>
  </si>
  <si>
    <t>ShineResearch</t>
  </si>
  <si>
    <t>#ShineResearch OR "ShineResearch"</t>
  </si>
  <si>
    <t>#RustyBolt | "Rusty Bolt"</t>
  </si>
  <si>
    <t>Developer - Ryu ga Gotoku Studios</t>
  </si>
  <si>
    <t>#RyugaGotokuStudios OR "Ryu ga Gotoku Studios"</t>
  </si>
  <si>
    <t>Shining Gate Software</t>
  </si>
  <si>
    <t>https://www.youtube.com/user/ShiningGateSoftware|</t>
  </si>
  <si>
    <t>#ShiningGateSoftware OR "Shining Gate Software"</t>
  </si>
  <si>
    <t>#RyugaGotokuStudios | "Ryu ga Gotoku Studios"</t>
  </si>
  <si>
    <r>
      <rPr>
        <rFont val="Arial"/>
        <color rgb="FF000000"/>
      </rPr>
      <t>https://www.youtube.com/channel/UCsof6qICUcobSUN0tTnR-4g</t>
    </r>
    <r>
      <rPr>
        <rFont val="Arial"/>
        <color rgb="FF000000"/>
      </rPr>
      <t>|</t>
    </r>
  </si>
  <si>
    <t>Developer - Sabec Limited</t>
  </si>
  <si>
    <t>Shinyuden</t>
  </si>
  <si>
    <t>https://www.youtube.com/channel/UCdq1OlshEMHZt1siy5zX6Jw|</t>
  </si>
  <si>
    <t>#Shinyuden OR "Shinyuden"</t>
  </si>
  <si>
    <t>#SabecLimited | "Sabec Limited"</t>
  </si>
  <si>
    <t>Developer - Saber Interactive</t>
  </si>
  <si>
    <t>ship of EYLN</t>
  </si>
  <si>
    <t>https://www.youtube.com/channel/UCVKyTg2nFUq0fN36VzwJTIw|</t>
  </si>
  <si>
    <t>#shipofEYLN OR "ship of EYLN"</t>
  </si>
  <si>
    <t>#SaberInteractive | "Saber Interactive"</t>
  </si>
  <si>
    <t>Developer - Saber Minsk</t>
  </si>
  <si>
    <t>#SaberMinsk OR "Saber Minsk"</t>
  </si>
  <si>
    <t>Shiro Games</t>
  </si>
  <si>
    <t>https://www.youtube.com/user/ShiroGamesTV|</t>
  </si>
  <si>
    <t>#ShiroGames OR "Shiro Games"</t>
  </si>
  <si>
    <t>#SaberMinsk | "Saber Minsk"</t>
  </si>
  <si>
    <t>Developer - Sabotage Studio</t>
  </si>
  <si>
    <t>ShuddaHaddaLottaFun</t>
  </si>
  <si>
    <t>https://www.youtube.com/channel/UCFYGmrJKunYarC5qM9gJ1_g|</t>
  </si>
  <si>
    <t>#ShuddaHaddaLottaFun OR "ShuddaHaddaLottaFun"</t>
  </si>
  <si>
    <t>#SabotageStudio | "Sabotage Studio"</t>
  </si>
  <si>
    <t>Developer - SadSquare Studio</t>
  </si>
  <si>
    <t>Sick Chicken Studios</t>
  </si>
  <si>
    <t>#SickChickenStudios OR "Sick Chicken Studios"</t>
  </si>
  <si>
    <t>#SadSquareStudio | "SadSquare Studio"</t>
  </si>
  <si>
    <t>Developer - SaintHeiser</t>
  </si>
  <si>
    <t>#SaintHeiser OR "SaintHeiser"</t>
  </si>
  <si>
    <t>SideQuest Studios</t>
  </si>
  <si>
    <t>#SideQuestStudios OR "SideQuest Studios"</t>
  </si>
  <si>
    <t>#SaintHeiser | "SaintHeiser"</t>
  </si>
  <si>
    <t>https://www.youtube.com/user/SaintHeiser|</t>
  </si>
  <si>
    <t>Developer - Sakari Games</t>
  </si>
  <si>
    <t>Sidhe Interactive</t>
  </si>
  <si>
    <t>#SidheInteractive OR "Sidhe Interactive"</t>
  </si>
  <si>
    <t>#SakariGames | "Sakari Games"</t>
  </si>
  <si>
    <r>
      <rPr>
        <rFont val="Arial"/>
        <color rgb="FF000000"/>
      </rPr>
      <t>https://www.youtube.com/channel/UCW7dB-1F9jay6qryh9hTtaA</t>
    </r>
    <r>
      <rPr>
        <rFont val="Arial"/>
        <color rgb="FF000000"/>
      </rPr>
      <t>|</t>
    </r>
  </si>
  <si>
    <t>Developer - sakevisual</t>
  </si>
  <si>
    <t>#sakevisual OR "sakevisual"</t>
  </si>
  <si>
    <t>SIE Spain</t>
  </si>
  <si>
    <t>#SIESpain OR "SIE Spain"</t>
  </si>
  <si>
    <t>#sakevisual | "sakevisual"</t>
  </si>
  <si>
    <t>https://www.youtube.com/channel/UCduSCZygz9m49c9-6ncuNgw|</t>
  </si>
  <si>
    <t>Developer - Salmon Snake</t>
  </si>
  <si>
    <t>#SalmonSnake OR "Salmon Snake"</t>
  </si>
  <si>
    <t>Sierra Games</t>
  </si>
  <si>
    <t>https://www.youtube.com/channel/UCnZbJ3Kg1LWDJBmBmLmRC6w|</t>
  </si>
  <si>
    <t>#SierraGames OR "Sierra Games"</t>
  </si>
  <si>
    <t>#SalmonSnake | "Salmon Snake"</t>
  </si>
  <si>
    <r>
      <rPr>
        <rFont val="Arial"/>
        <color rgb="FF000000"/>
      </rPr>
      <t>https://www.youtube.com/channel/UCxr_3DCQ9nrVCroO-rDaeOw</t>
    </r>
    <r>
      <rPr>
        <rFont val="Arial"/>
        <color rgb="FF000000"/>
      </rPr>
      <t>|</t>
    </r>
  </si>
  <si>
    <t>Developer - Sam Barlow</t>
  </si>
  <si>
    <t>#SamBarlow OR "Sam Barlow"</t>
  </si>
  <si>
    <t>Signal Space Lab</t>
  </si>
  <si>
    <t>https://www.youtube.com/channel/UCgAUIL9nehvdBueA-Fdx3dg|</t>
  </si>
  <si>
    <t>#SignalSpaceLab OR "Signal Space Lab"</t>
  </si>
  <si>
    <t>#SamBarlow | "Sam Barlow"</t>
  </si>
  <si>
    <t>Developer - Sambits</t>
  </si>
  <si>
    <t>Sigtrap Games</t>
  </si>
  <si>
    <t>https://www.youtube.com/channel/UCEEbCiRIW9S1BUMAYOAKwDA|</t>
  </si>
  <si>
    <t>#SigtrapGames OR "Sigtrap Games"</t>
  </si>
  <si>
    <t>#Sambits | "Sambits"</t>
  </si>
  <si>
    <t>Developer - Samer Khatib (Snowconesolid)</t>
  </si>
  <si>
    <t>SilenGames</t>
  </si>
  <si>
    <t>https://www.youtube.com/user/SilenGames|</t>
  </si>
  <si>
    <t>#SilenGames OR "SilenGames"</t>
  </si>
  <si>
    <t>#SamerKhatibSnowconesolid | "Samer Khatib (Snowconesolid)"</t>
  </si>
  <si>
    <t>Developer - Samuel Robinson</t>
  </si>
  <si>
    <t>#SamuelRobinson OR "Samuel Robinson"</t>
  </si>
  <si>
    <t>Sileni Studios</t>
  </si>
  <si>
    <r>
      <rPr>
        <rFont val="Calibri, sans-serif"/>
        <color rgb="FF000000"/>
        <sz val="10.0"/>
        <u/>
      </rPr>
      <t>https://www.youtube.com/channel/UCZlWbMQL_cacOVLTMz-1TPw</t>
    </r>
    <r>
      <rPr>
        <rFont val="Calibri, sans-serif"/>
        <color rgb="FF000000"/>
        <sz val="10.0"/>
      </rPr>
      <t>|</t>
    </r>
  </si>
  <si>
    <t>#SileniStudios OR "Sileni Studios"</t>
  </si>
  <si>
    <t>#SamuelRobinson | "Samuel Robinson"</t>
  </si>
  <si>
    <t>Developer - Samurai Punk</t>
  </si>
  <si>
    <t>Silent Bob</t>
  </si>
  <si>
    <t>#SilentBob OR "Silent Bob"</t>
  </si>
  <si>
    <t>#SamuraiPunk | "Samurai Punk"</t>
  </si>
  <si>
    <t>Developer - Samustai</t>
  </si>
  <si>
    <t>Silesia Games Sp. z o.o.</t>
  </si>
  <si>
    <t>https://www.youtube.com/channel/UCg8B4ZQrgHJaTJF13s2D_5w|</t>
  </si>
  <si>
    <t>#SilesiaGamesSpzoo OR "Silesia Games Sp. z o.o."</t>
  </si>
  <si>
    <t>#Samustai | "Samustai"</t>
  </si>
  <si>
    <t>Developer - Sand Sailor Studio</t>
  </si>
  <si>
    <t>Silver Bullet Games</t>
  </si>
  <si>
    <t>https://www.youtube.com/channel/UCDmX8Hl2NWm76VolAesmCYg|</t>
  </si>
  <si>
    <t>#SilverBulletGames OR "Silver Bullet Games"</t>
  </si>
  <si>
    <t>#SandSailorStudio | "Sand Sailor Studio"</t>
  </si>
  <si>
    <t>Developer - SandBloom Studio</t>
  </si>
  <si>
    <t>#SandBloomStudio OR "SandBloom Studio"</t>
  </si>
  <si>
    <t>Silver Dollar Games</t>
  </si>
  <si>
    <t>#SilverDollarGames OR "Silver Dollar Games"</t>
  </si>
  <si>
    <t>#SandBloomStudio | "SandBloom Studio"</t>
  </si>
  <si>
    <t>https://www.youtube.com/channel/UCIsu_wXQ_ovfrKf8jDGhPQw|</t>
  </si>
  <si>
    <t>Developer - Santa Clara Games</t>
  </si>
  <si>
    <t>#SantaClaraGames OR "Santa Clara Games"</t>
  </si>
  <si>
    <t>SilverStar</t>
  </si>
  <si>
    <t>https://www.youtube.com/channel/UCPBqJDgaSfpNg2wI5xYbf8w|</t>
  </si>
  <si>
    <t>#SilverStar OR "SilverStar"</t>
  </si>
  <si>
    <t>#SantaClaraGames | "Santa Clara Games"</t>
  </si>
  <si>
    <t>https://www.youtube.com/user/santaclaragamestudio|</t>
  </si>
  <si>
    <t>Developer - Sanuk Games</t>
  </si>
  <si>
    <t>SilverStar Japan Co., ltd</t>
  </si>
  <si>
    <t>#SilverStarJapanColtd OR "SilverStar Japan Co."</t>
  </si>
  <si>
    <t>#SanukGames | "Sanuk Games"</t>
  </si>
  <si>
    <t>Developer - Sanzaru Games</t>
  </si>
  <si>
    <t>#SanzaruGames OR "Sanzaru Games"</t>
  </si>
  <si>
    <t>Silverware Games, Inc.</t>
  </si>
  <si>
    <r>
      <rPr>
        <rFont val="Calibri, sans-serif"/>
        <color rgb="FF000000"/>
        <sz val="10.0"/>
        <u/>
      </rPr>
      <t>https://www.youtube.com/channel/UC190A3fo6c1rIZIaVFpzjuA</t>
    </r>
    <r>
      <rPr>
        <rFont val="Calibri, sans-serif"/>
        <color rgb="FF000000"/>
        <sz val="10.0"/>
      </rPr>
      <t>|</t>
    </r>
  </si>
  <si>
    <t>#SilverwareGamesInc OR "Silverware Games,"</t>
  </si>
  <si>
    <t>#SanzaruGames | "Sanzaru Games"</t>
  </si>
  <si>
    <t>Developer - Sassybot</t>
  </si>
  <si>
    <t>SimDevs</t>
  </si>
  <si>
    <t>https://www.youtube.com/channel/UCAl5MNeIDY5jaBGHV9fSizg|</t>
  </si>
  <si>
    <t>#SimDevs OR "SimDevs"</t>
  </si>
  <si>
    <t>#Sassybot | "Sassybot"</t>
  </si>
  <si>
    <t>Developer - Saurus</t>
  </si>
  <si>
    <t>#Saurus OR "Saurus"</t>
  </si>
  <si>
    <t>SimFabric</t>
  </si>
  <si>
    <t>https://www.youtube.com/channel/UCdx37sO0_PnZC8GCr7ZkCKg|</t>
  </si>
  <si>
    <t>#SimFabric OR "SimFabric"</t>
  </si>
  <si>
    <t>#Saurus | "Saurus"</t>
  </si>
  <si>
    <t>https://www.youtube.com/channel/UCoFpaWyP1_n8enIv081g5Tw|</t>
  </si>
  <si>
    <t>Developer - Sbug Games</t>
  </si>
  <si>
    <t>Sinergia Studios</t>
  </si>
  <si>
    <t>https://www.youtube.com/channel/UC6tJ_SZ-srenIj8tafSK4WA/featured|</t>
  </si>
  <si>
    <t>#SinergiaStudios OR "Sinergia Studios"</t>
  </si>
  <si>
    <t>#SbugGames | "Sbug Games"</t>
  </si>
  <si>
    <t>Developer - Scarecrow Arts</t>
  </si>
  <si>
    <t>#ScarecrowArts OR "Scarecrow Arts"</t>
  </si>
  <si>
    <t>Singapore University of Technology and Design</t>
  </si>
  <si>
    <r>
      <rPr>
        <rFont val="Calibri, sans-serif"/>
        <color rgb="FF000000"/>
        <sz val="10.0"/>
        <u/>
      </rPr>
      <t>https://www.youtube.com/channel/UC_bXdxk4qO2t5vReWTSRk2A</t>
    </r>
    <r>
      <rPr>
        <rFont val="Calibri, sans-serif"/>
        <color rgb="FF000000"/>
        <sz val="10.0"/>
      </rPr>
      <t>|</t>
    </r>
  </si>
  <si>
    <t>#SingaporeUniversityofTechnologyandDesign OR "Singapore University of Technology and Design"</t>
  </si>
  <si>
    <t>#ScarecrowArts | "Scarecrow Arts"</t>
  </si>
  <si>
    <t>https://www.youtube.com/scarecrowarts|</t>
  </si>
  <si>
    <t>Developer - Scavengers Studio</t>
  </si>
  <si>
    <t>Singular People, S.L.</t>
  </si>
  <si>
    <t>#SingularPeopleSL OR "Singular People, S.L."</t>
  </si>
  <si>
    <t>#ScavengersStudio | "Scavengers Studio"</t>
  </si>
  <si>
    <t>Developer - Schine GmbH</t>
  </si>
  <si>
    <t>Sinister Cyclops Game Studios</t>
  </si>
  <si>
    <t>#SinisterCyclopsGameStudios OR "Sinister Cyclops Game Studios"</t>
  </si>
  <si>
    <t>#SchineGmbH | "Schine GmbH"</t>
  </si>
  <si>
    <t>Developer - Screenwave Media</t>
  </si>
  <si>
    <t>SinnStudio</t>
  </si>
  <si>
    <t>https://www.youtube.com/c/SinnStudio|</t>
  </si>
  <si>
    <t>#SinnStudio OR "SinnStudio"</t>
  </si>
  <si>
    <t>#ScreenwaveMedia | "Screenwave Media"</t>
  </si>
  <si>
    <t>Developer - Screwtape Studios</t>
  </si>
  <si>
    <t>Sirlin Games</t>
  </si>
  <si>
    <t>https://www.youtube.com/channel/UCNlRjFeJ42VdhoS2TswQ5Vg|</t>
  </si>
  <si>
    <t>#SirlinGames OR "Sirlin Games"</t>
  </si>
  <si>
    <t>#ScrewtapeStudios | "Screwtape Studios"</t>
  </si>
  <si>
    <t>Developer - Scythe Dev Team</t>
  </si>
  <si>
    <t>#ScytheDevTeam OR "Scythe Dev Team"</t>
  </si>
  <si>
    <t>Sirvo LLC</t>
  </si>
  <si>
    <t>#SirvoLLC OR "Sirvo LLC"</t>
  </si>
  <si>
    <t>#ScytheDevTeam | "Scythe Dev Team"</t>
  </si>
  <si>
    <t>https://www.youtube.com/channel/UCRCWsmp3S4RqRRLRvoS-iKQ|</t>
  </si>
  <si>
    <t>Developer - Seashell Studio</t>
  </si>
  <si>
    <t>Site Sculptors</t>
  </si>
  <si>
    <t>#SiteSculptors OR "Site Sculptors"</t>
  </si>
  <si>
    <t>#SeashellStudio | "Seashell Studio"</t>
  </si>
  <si>
    <t>Developer - Seaven Studio</t>
  </si>
  <si>
    <t>Size Five Games</t>
  </si>
  <si>
    <t>https://www.youtube.com/danthat|</t>
  </si>
  <si>
    <t>#SizeFiveGames OR "Size Five Games"</t>
  </si>
  <si>
    <t>#SeavenStudio | "Seaven Studio"</t>
  </si>
  <si>
    <t>Developer - sebagamesdev</t>
  </si>
  <si>
    <t>SK Telecom</t>
  </si>
  <si>
    <t>https://www.youtube.com/channel/UCA5vKQkvC9zlTDOSNtoMdCQ|</t>
  </si>
  <si>
    <t>#SKTelecom OR "SK Telecom"</t>
  </si>
  <si>
    <t>#sebagamesdev | "sebagamesdev"</t>
  </si>
  <si>
    <t>Developer - Sebastian Nigro</t>
  </si>
  <si>
    <t>Ska Studios</t>
  </si>
  <si>
    <t>https://www.youtube.com/channel/UCz7VIO1Jxvo9Vh0WonI__2A|</t>
  </si>
  <si>
    <t>#SkaStudios OR "Ska Studios"</t>
  </si>
  <si>
    <t>#SebastianNigro | "Sebastian Nigro"</t>
  </si>
  <si>
    <t>Developer - Second Order</t>
  </si>
  <si>
    <t>Skandivania Games</t>
  </si>
  <si>
    <t>#SkandivaniaGames OR "Skandivania Games"</t>
  </si>
  <si>
    <t>#SecondOrder | "Second Order"</t>
  </si>
  <si>
    <r>
      <rPr>
        <rFont val="Arial"/>
        <color rgb="FF000000"/>
      </rPr>
      <t>https://www.youtube.com/channel/UCF8BD3Mwi1jsBajzDWQoXOg</t>
    </r>
    <r>
      <rPr>
        <rFont val="Arial"/>
        <color rgb="FF000000"/>
      </rPr>
      <t>|</t>
    </r>
  </si>
  <si>
    <t>Developer - Secret Item Games</t>
  </si>
  <si>
    <t>Skandivania Games ANS</t>
  </si>
  <si>
    <t>#SkandivaniaGamesANS OR "Skandivania Games ANS"</t>
  </si>
  <si>
    <t>#SecretItemGames | "Secret Item Games"</t>
  </si>
  <si>
    <t>Developer - Sectordub</t>
  </si>
  <si>
    <t>#Sectordub OR "Sectordub"</t>
  </si>
  <si>
    <t>Skeleton Crew Studio</t>
  </si>
  <si>
    <t>https://www.youtube.com/channel/UCrxIH7AVBv_hxmqVcVwoGOQ|</t>
  </si>
  <si>
    <t>#SkeletonCrewStudio OR "Skeleton Crew Studio"</t>
  </si>
  <si>
    <t>#Sectordub | "Sectordub"</t>
  </si>
  <si>
    <t>Developer - Seed by Seed</t>
  </si>
  <si>
    <t>#SeedbySeed OR "Seed by Seed"</t>
  </si>
  <si>
    <t>SKH Apps</t>
  </si>
  <si>
    <t>#SKHApps OR "SKH Apps"</t>
  </si>
  <si>
    <t>#SeedbySeed | "Seed by Seed"</t>
  </si>
  <si>
    <t>https://www.youtube.com/channel/UCPs1bErnl-qlaVFerhaRUpQ|</t>
  </si>
  <si>
    <t>Developer - SEEP</t>
  </si>
  <si>
    <t>#SEEP OR "SEEP"</t>
  </si>
  <si>
    <t>Skobbejak Games</t>
  </si>
  <si>
    <t>https://www.youtube.com/user/SkobbeJakGames|</t>
  </si>
  <si>
    <t>#SkobbejakGames OR "Skobbejak Games"</t>
  </si>
  <si>
    <t>#SEEP | "SEEP"</t>
  </si>
  <si>
    <t>https://www.youtube.com/channel/UCzTVGZl5PHqQv1H5vNvw6TA|</t>
  </si>
  <si>
    <t>Developer - Sega Europe</t>
  </si>
  <si>
    <t>Skonec</t>
  </si>
  <si>
    <t>https://www.youtube.com/c/skonecvr|</t>
  </si>
  <si>
    <t>#Skonec OR "Skonec"</t>
  </si>
  <si>
    <t>#SegaEurope | "Sega Europe"</t>
  </si>
  <si>
    <t>Developer - Sekai Project</t>
  </si>
  <si>
    <t>Skookum Arts</t>
  </si>
  <si>
    <t>#SkookumArts OR "Skookum Arts"</t>
  </si>
  <si>
    <t>#SekaiProject | "Sekai Project"</t>
  </si>
  <si>
    <t>Developer - Self Made Miracle</t>
  </si>
  <si>
    <t>#SelfMadeMiracle OR "Self Made Miracle"</t>
  </si>
  <si>
    <t>Skookum Arts LLC</t>
  </si>
  <si>
    <t>#SelfMadeMiracle | "Self Made Miracle"</t>
  </si>
  <si>
    <t>https://www.youtube.com/channel/UC6s_s3Z7BWLIlm1RZpapFbA|</t>
  </si>
  <si>
    <t>Developer - SEMISOFT</t>
  </si>
  <si>
    <t>#SEMISOFT OR "SEMISOFT"</t>
  </si>
  <si>
    <t>Skunkape Games</t>
  </si>
  <si>
    <t>https://www.youtube.com/channel/UCqLHdm6I-6zzWFBezBK-1HA|</t>
  </si>
  <si>
    <t>#SkunkapeGames OR "Skunkape Games"</t>
  </si>
  <si>
    <t>#SEMISOFT | "SEMISOFT"</t>
  </si>
  <si>
    <t>https://www.youtube.com/channel/UCyx2awEfqjofEDurH-WaAxw|</t>
  </si>
  <si>
    <t>Developer - Serenity Forge</t>
  </si>
  <si>
    <t>Skybound Games</t>
  </si>
  <si>
    <t>https://www.youtube.com/channel/UC_V8ZzLtzDS4NeCaRaRj93g|</t>
  </si>
  <si>
    <t>#SkyboundGames OR "Skybound Games"</t>
  </si>
  <si>
    <t>#SerenityForge | "Serenity Forge"</t>
  </si>
  <si>
    <t>Developer - Sergey Noskov</t>
  </si>
  <si>
    <t>#SergeyNoskov OR "Sergey Noskov"</t>
  </si>
  <si>
    <t>SkyBox Labs</t>
  </si>
  <si>
    <t>https://www.youtube.com/channel/UCpKpfSCsaMrGkEyMf9IupLw|</t>
  </si>
  <si>
    <t>#SkyBoxLabs OR "SkyBox Labs"</t>
  </si>
  <si>
    <t>#SergeyNoskov | "Sergey Noskov"</t>
  </si>
  <si>
    <t>https://www.youtube.com/channel/UC8MT689c3ppAc_2_YH0LEdA|</t>
  </si>
  <si>
    <t>Developer - SergioPoverony</t>
  </si>
  <si>
    <t>Skydance Interactive</t>
  </si>
  <si>
    <t>https://www.youtube.com/c/SkydanceInteractive/featured|</t>
  </si>
  <si>
    <t>#SkydanceInteractive OR "Skydance Interactive"</t>
  </si>
  <si>
    <t>#SergioPoverony | "SergioPoverony"</t>
  </si>
  <si>
    <t>Developer - Serious Brothers</t>
  </si>
  <si>
    <t>SkyGoblin</t>
  </si>
  <si>
    <t>https://www.youtube.com/channel/UC41ULzOgKRFeuGP_CA83hBg|</t>
  </si>
  <si>
    <t>#SkyGoblin OR "SkyGoblin"</t>
  </si>
  <si>
    <t>#SeriousBrothers | "Serious Brothers"</t>
  </si>
  <si>
    <t>Developer - Sever</t>
  </si>
  <si>
    <t>#Sever OR "Sever"</t>
  </si>
  <si>
    <t>SkyPyre Studios</t>
  </si>
  <si>
    <t>https://www.youtube.com/channel/UCO1uSmq4wWFiyMb9WvAfrUw|</t>
  </si>
  <si>
    <t>#SkyPyreStudios OR "SkyPyre Studios"</t>
  </si>
  <si>
    <t>#Sever | "Sever"</t>
  </si>
  <si>
    <t>Developer - SFB Games</t>
  </si>
  <si>
    <t>Sledgehammer Games</t>
  </si>
  <si>
    <t>https://www.youtube.com/channel/UCEqtkWJ861cFpLkrQ1obTbg|</t>
  </si>
  <si>
    <t>#SledgehammerGames OR "Sledgehammer Games"</t>
  </si>
  <si>
    <t>#SFBGames | "SFB Games"</t>
  </si>
  <si>
    <t>Developer - SFL Interactive</t>
  </si>
  <si>
    <t>#SFLInteractive OR "SFL Interactive"</t>
  </si>
  <si>
    <t>Sleepless Clinic</t>
  </si>
  <si>
    <r>
      <rPr>
        <rFont val="Calibri, sans-serif"/>
        <color rgb="FF000000"/>
        <sz val="10.0"/>
        <u/>
      </rPr>
      <t>https://www.youtube.com/channel/UCJ64RvYofgm7sLcQjmvyQZQ</t>
    </r>
    <r>
      <rPr>
        <rFont val="Calibri, sans-serif"/>
        <color rgb="FF000000"/>
        <sz val="10.0"/>
      </rPr>
      <t>|</t>
    </r>
  </si>
  <si>
    <t>#SleeplessClinic OR "Sleepless Clinic"</t>
  </si>
  <si>
    <t>#SFLInteractive | "SFL Interactive"</t>
  </si>
  <si>
    <t>Developer - SFS Studios</t>
  </si>
  <si>
    <t>Slick Entertainment Inc.</t>
  </si>
  <si>
    <t>#SlickEntertainmentInc OR "Slick Entertainment"</t>
  </si>
  <si>
    <t>#SFSStudios | "SFS Studios"</t>
  </si>
  <si>
    <t>Developer - Shadebob Games</t>
  </si>
  <si>
    <t>Slitherine</t>
  </si>
  <si>
    <t>https://www.youtube.com/user/slitherinegames|</t>
  </si>
  <si>
    <t>#Slitherine OR "Slitherine"</t>
  </si>
  <si>
    <t>#ShadebobGames | "Shadebob Games"</t>
  </si>
  <si>
    <t>Developer - SHADOW LAIR GAMES LTD.</t>
  </si>
  <si>
    <t>Slitherine Software</t>
  </si>
  <si>
    <t>#SlitherineSoftware OR "Slitherine Software"</t>
  </si>
  <si>
    <t>#SHADOWLAIRGAMESLTD | "SHADOW LAIR GAMES LTD."</t>
  </si>
  <si>
    <r>
      <rPr>
        <rFont val="Arial"/>
        <color rgb="FF000000"/>
      </rPr>
      <t>https://www.youtube.com/channel/UCEpBwcQLnAX6Z9P5oR3wvSg</t>
    </r>
    <r>
      <rPr>
        <rFont val="Arial"/>
        <color rgb="FF000000"/>
      </rPr>
      <t>|</t>
    </r>
  </si>
  <si>
    <t>Developer - Shadowplay Studios</t>
  </si>
  <si>
    <t>Sloclap</t>
  </si>
  <si>
    <t>https://www.youtube.com/channel/UCAeotU4MIAgwof1pnxPIF6w|</t>
  </si>
  <si>
    <t>#Sloclap OR "Sloclap"</t>
  </si>
  <si>
    <t>#ShadowplayStudios | "Shadowplay Studios"</t>
  </si>
  <si>
    <t>Developer - Shed-Works</t>
  </si>
  <si>
    <t>#ShedWorks OR "Shed-Works"</t>
  </si>
  <si>
    <t>Smartphone Labs</t>
  </si>
  <si>
    <t>#SmartphoneLabs OR "Smartphone Labs"</t>
  </si>
  <si>
    <t>#ShedWorks | "Shed-Works"</t>
  </si>
  <si>
    <t>Developer - Shenandoah Studio</t>
  </si>
  <si>
    <t>Smartphone Labs (SPL)</t>
  </si>
  <si>
    <t>#SmartphoneLabsSPL OR "Smartphone Labs (SPL)"</t>
  </si>
  <si>
    <t>#ShenandoahStudio | "Shenandoah Studio"</t>
  </si>
  <si>
    <r>
      <rPr>
        <rFont val="Arial"/>
        <color rgb="FF000000"/>
      </rPr>
      <t>https://www.youtube.com/channel/UCM1dalA4_yRt5e6QSvNo3kw</t>
    </r>
    <r>
      <rPr>
        <rFont val="Arial"/>
        <color rgb="FF000000"/>
      </rPr>
      <t>|</t>
    </r>
  </si>
  <si>
    <t>Developer - Shenzhen Leiting Information Technology Co.</t>
  </si>
  <si>
    <t>SMG Studio</t>
  </si>
  <si>
    <t>https://www.youtube.com/user/weareSMGstudio|</t>
  </si>
  <si>
    <t>#SMGStudio OR "SMG Studio"</t>
  </si>
  <si>
    <t>#ShenzhenLeitingInformationTechnologyCo | "Shenzhen Leiting Information Technology Co."</t>
  </si>
  <si>
    <t>Developer - Shift</t>
  </si>
  <si>
    <t>#Shift OR "Shift"</t>
  </si>
  <si>
    <t>Smilegate</t>
  </si>
  <si>
    <t>https://www.youtube.com/channel/UClpRNPUKfXA3OWYDaTuy8oA|</t>
  </si>
  <si>
    <t>#Smilegate OR "Smilegate"</t>
  </si>
  <si>
    <t>#Shift | "Shift"</t>
  </si>
  <si>
    <t>Developer - Shifting Tides</t>
  </si>
  <si>
    <t>#ShiftingTides OR "Shifting Tides"</t>
  </si>
  <si>
    <t>Smiling Buddha Games</t>
  </si>
  <si>
    <t>#SmilingBuddhaGames OR "Smiling Buddha Games"</t>
  </si>
  <si>
    <t>#ShiftingTides | "Shifting Tides"</t>
  </si>
  <si>
    <r>
      <rPr>
        <rFont val="Arial"/>
        <color rgb="FF000000"/>
      </rPr>
      <t>https://www.youtube.com/channel/UCO090GJp0ibjJiTIOn5oW1Q</t>
    </r>
    <r>
      <rPr>
        <rFont val="Arial"/>
        <color rgb="FF000000"/>
      </rPr>
      <t>|</t>
    </r>
  </si>
  <si>
    <t>Developer - Shin'en</t>
  </si>
  <si>
    <t>Smiling Buddha Games, LLC</t>
  </si>
  <si>
    <t>#Shinen | "Shin'en"</t>
  </si>
  <si>
    <t>Developer - ShineResearch</t>
  </si>
  <si>
    <t>SMOBILE INC</t>
  </si>
  <si>
    <t>#SMOBILEINC OR "SMOBILE INC"</t>
  </si>
  <si>
    <t>#ShineResearch | "ShineResearch"</t>
  </si>
  <si>
    <r>
      <rPr>
        <rFont val="Arial"/>
        <color rgb="FF000000"/>
      </rPr>
      <t>https://www.youtube.com/channel/UCMPFgH64619J51vLu6Z6TEw</t>
    </r>
    <r>
      <rPr>
        <rFont val="Arial"/>
        <color rgb="FF000000"/>
      </rPr>
      <t>|</t>
    </r>
  </si>
  <si>
    <t>Developer - Shining Gate Software</t>
  </si>
  <si>
    <t>SMONCH, LLC</t>
  </si>
  <si>
    <t>#ShiningGateSoftware | "Shining Gate Software"</t>
  </si>
  <si>
    <t>Developer - Shiny Shoe</t>
  </si>
  <si>
    <t>#ShinyShoe OR "Shiny Shoe"</t>
  </si>
  <si>
    <t>Snail Games</t>
  </si>
  <si>
    <t>https://www.youtube.com/channel/UCvJt3cav_RJGK3J0Ot9tF2g|</t>
  </si>
  <si>
    <t>#SnailGames OR "Snail Games"</t>
  </si>
  <si>
    <t>#ShinyShoe | "Shiny Shoe"</t>
  </si>
  <si>
    <r>
      <rPr>
        <rFont val="Arial"/>
        <color rgb="FF000000"/>
      </rPr>
      <t>https://www.youtube.com/channel/UC_QskTyJhH6po7rS1jTuK0A</t>
    </r>
    <r>
      <rPr>
        <rFont val="Arial"/>
        <color rgb="FF000000"/>
      </rPr>
      <t>|</t>
    </r>
  </si>
  <si>
    <t>Developer - Shiro Games</t>
  </si>
  <si>
    <t>Snap Finger Click Ltd</t>
  </si>
  <si>
    <t>https://www.youtube.com/channel/UCWduju7aaZFna32pMcWxzgA|</t>
  </si>
  <si>
    <t>#SnapFingerClickLtd OR "Snap Finger Click Ltd"</t>
  </si>
  <si>
    <t>#ShiroGames | "Shiro Games"</t>
  </si>
  <si>
    <t>Developer - Shotgun with Glitters</t>
  </si>
  <si>
    <t>#ShotgunwithGlitters OR "Shotgun with Glitters"</t>
  </si>
  <si>
    <t>Snapshot Games Inc.</t>
  </si>
  <si>
    <r>
      <rPr>
        <rFont val="Calibri, sans-serif"/>
        <color rgb="FF000000"/>
        <sz val="10.0"/>
        <u/>
      </rPr>
      <t>https://www.youtube.com/channel/UCt8RgoYoZw_Xihpi2ljPELA</t>
    </r>
    <r>
      <rPr>
        <rFont val="Calibri, sans-serif"/>
        <color rgb="FF000000"/>
        <sz val="10.0"/>
      </rPr>
      <t>|</t>
    </r>
  </si>
  <si>
    <t>#SnapshotGamesInc OR "Snapshot Games"</t>
  </si>
  <si>
    <t>#ShotgunwithGlitters | "Shotgun with Glitters"</t>
  </si>
  <si>
    <t>https://www.youtube.com/channel/UCsOltQupRF2argQAyTmxZFA|</t>
  </si>
  <si>
    <t>Developer - ShuddaHaddaLottaFun</t>
  </si>
  <si>
    <t>SneakyBox</t>
  </si>
  <si>
    <t>#ShuddaHaddaLottaFun | "ShuddaHaddaLottaFun"</t>
  </si>
  <si>
    <t>Developer - Sickhead Games</t>
  </si>
  <si>
    <t>#SickheadGames OR "Sickhead Games"</t>
  </si>
  <si>
    <t>SNK</t>
  </si>
  <si>
    <t>https://www.youtube.com/channel/UCI-Q7uYhRVMxyrmcZRf0Egg|</t>
  </si>
  <si>
    <t>#SNK OR "SNK"</t>
  </si>
  <si>
    <t>#SickheadGames | "Sickhead Games"</t>
  </si>
  <si>
    <t>Developer - Sidral Games</t>
  </si>
  <si>
    <t>#SidralGames OR "Sidral Games"</t>
  </si>
  <si>
    <t>SNK Corporation</t>
  </si>
  <si>
    <t>#SNKCorporation OR "SNK Corporation"</t>
  </si>
  <si>
    <t>#SidralGames | "Sidral Games"</t>
  </si>
  <si>
    <t>Developer - Signal Studios</t>
  </si>
  <si>
    <t>#SignalStudios OR "Signal Studios"</t>
  </si>
  <si>
    <t>SNK Playmore</t>
  </si>
  <si>
    <t>#SNKPlaymore OR "SNK Playmore"</t>
  </si>
  <si>
    <t>#SignalStudios | "Signal Studios"</t>
  </si>
  <si>
    <t>https://www.youtube.com/channel/UC5Dm_RKy0C-VKkLPeyTfSVQ|</t>
  </si>
  <si>
    <t>Developer - Sigtrap Games</t>
  </si>
  <si>
    <t>Snood, LLC</t>
  </si>
  <si>
    <t>#SigtrapGames | "Sigtrap Games"</t>
  </si>
  <si>
    <t>Developer - Sileni Studios</t>
  </si>
  <si>
    <t>SnoutUp</t>
  </si>
  <si>
    <t>https://www.youtube.com/channel/UCrf9TIuJGbnRQoj7jShSQ1Q|</t>
  </si>
  <si>
    <t>#SnoutUp OR "SnoutUp"</t>
  </si>
  <si>
    <t>#SileniStudios | "Sileni Studios"</t>
  </si>
  <si>
    <r>
      <rPr>
        <rFont val="Arial"/>
        <color rgb="FF000000"/>
      </rPr>
      <t>https://www.youtube.com/channel/UCZlWbMQL_cacOVLTMz-1TPw</t>
    </r>
    <r>
      <rPr>
        <rFont val="Arial"/>
        <color rgb="FF000000"/>
      </rPr>
      <t>|</t>
    </r>
  </si>
  <si>
    <t>Developer - Silent Bob</t>
  </si>
  <si>
    <t>Snow Castle Games</t>
  </si>
  <si>
    <t>https://www.youtube.com/user/TheSnowCastleGames|</t>
  </si>
  <si>
    <t>#SnowCastleGames OR "Snow Castle Games"</t>
  </si>
  <si>
    <t>#SilentBob | "Silent Bob"</t>
  </si>
  <si>
    <t>Developer - Silesia Games Sp. z o.o.</t>
  </si>
  <si>
    <t>Snow Day Software</t>
  </si>
  <si>
    <t>https://www.youtube.com/channel/UCPk0j_BcGQkmZp_3f8Xl-Tg|</t>
  </si>
  <si>
    <t>#SnowDaySoftware OR "Snow Day Software"</t>
  </si>
  <si>
    <t>#SilesiaGamesSpzoo | "Silesia Games Sp. z o.o."</t>
  </si>
  <si>
    <t>Developer - Silver Bullet Games</t>
  </si>
  <si>
    <t>Snowball Games</t>
  </si>
  <si>
    <r>
      <rPr>
        <rFont val="Calibri, sans-serif"/>
        <color rgb="FF000000"/>
        <sz val="10.0"/>
        <u/>
      </rPr>
      <t>https://www.youtube.com/channel/UCv7Cv0Vd1PCBWN7FUXyvsmg</t>
    </r>
    <r>
      <rPr>
        <rFont val="Calibri, sans-serif"/>
        <color rgb="FF000000"/>
        <sz val="10.0"/>
      </rPr>
      <t>|</t>
    </r>
  </si>
  <si>
    <t>#SnowballGames OR "Snowball Games"</t>
  </si>
  <si>
    <t>#SilverBulletGames | "Silver Bullet Games"</t>
  </si>
  <si>
    <t>Developer - Silver Dollar Games</t>
  </si>
  <si>
    <t>Snowman</t>
  </si>
  <si>
    <t>https://www.youtube.com/user/snomangaming|</t>
  </si>
  <si>
    <t>#Snowman OR "Snowman"</t>
  </si>
  <si>
    <t>#SilverDollarGames | "Silver Dollar Games"</t>
  </si>
  <si>
    <t>Developer - SimDevs</t>
  </si>
  <si>
    <t>Snowrunner Games</t>
  </si>
  <si>
    <t>#SnowrunnerGames OR "Snowrunner Games"</t>
  </si>
  <si>
    <t>#SimDevs | "SimDevs"</t>
  </si>
  <si>
    <t>Developer - Simogo</t>
  </si>
  <si>
    <t>#Simogo OR "Simogo"</t>
  </si>
  <si>
    <t>SoDigital</t>
  </si>
  <si>
    <t>#SoDigital OR "SoDigital"</t>
  </si>
  <si>
    <t>#Simogo | "Simogo"</t>
  </si>
  <si>
    <t>https://www.youtube.com/user/simogogames|</t>
  </si>
  <si>
    <t>Developer - Sinister Cyclops Game Studios</t>
  </si>
  <si>
    <t>Soedesco</t>
  </si>
  <si>
    <t>https://www.youtube.com/channel/UCu3WaUipFxy5WtH-1csQdkA|</t>
  </si>
  <si>
    <t>#Soedesco OR "Soedesco"</t>
  </si>
  <si>
    <t>#SinisterCyclopsGameStudios | "Sinister Cyclops Game Studios"</t>
  </si>
  <si>
    <t>Developer - Site Sculptors</t>
  </si>
  <si>
    <t>SOFTSTAR Entertainment</t>
  </si>
  <si>
    <t>https://www.youtube.com/channel/UCPRG66bnHqgDSD7NlmUPuZQ|</t>
  </si>
  <si>
    <t>#SOFTSTAREntertainment OR "SOFTSTAR Entertainment"</t>
  </si>
  <si>
    <t>#SiteSculptors | "Site Sculptors"</t>
  </si>
  <si>
    <t>Developer - Sixth Vowel</t>
  </si>
  <si>
    <t>#SixthVowel OR "Sixth Vowel"</t>
  </si>
  <si>
    <t>SoftwareByEugene</t>
  </si>
  <si>
    <t>https://www.youtube.com/user/SoftwareByEugene|</t>
  </si>
  <si>
    <t>#SoftwareByEugene OR "SoftwareByEugene"</t>
  </si>
  <si>
    <t>#SixthVowel | "Sixth Vowel"</t>
  </si>
  <si>
    <t>https://www.youtube.com/sixthvowel|</t>
  </si>
  <si>
    <t>Developer - Size Five Games</t>
  </si>
  <si>
    <t>Sold Out</t>
  </si>
  <si>
    <t>#SoldOut OR "Sold Out"</t>
  </si>
  <si>
    <t>#SizeFiveGames | "Size Five Games"</t>
  </si>
  <si>
    <t>Developer - Ska Studios</t>
  </si>
  <si>
    <t>Sold Out Software</t>
  </si>
  <si>
    <t>#SoldOutSoftware OR "Sold Out Software"</t>
  </si>
  <si>
    <t>#SkaStudios | "Ska Studios"</t>
  </si>
  <si>
    <t>Developer - Skandivania Games</t>
  </si>
  <si>
    <t>Solfar Studios</t>
  </si>
  <si>
    <r>
      <rPr>
        <rFont val="Calibri, sans-serif"/>
        <color rgb="FF000000"/>
        <sz val="10.0"/>
        <u/>
      </rPr>
      <t>https://www.youtube.com/channel/UCKUtA6V9vlxQYML_qYUr0kg</t>
    </r>
    <r>
      <rPr>
        <rFont val="Calibri, sans-serif"/>
        <color rgb="FF000000"/>
        <sz val="10.0"/>
      </rPr>
      <t>|</t>
    </r>
  </si>
  <si>
    <t>#SolfarStudios OR "Solfar Studios"</t>
  </si>
  <si>
    <t>#SkandivaniaGames | "Skandivania Games"</t>
  </si>
  <si>
    <t>Developer - Skeleton Crew Studio</t>
  </si>
  <si>
    <t>Solus Games</t>
  </si>
  <si>
    <t>#SolusGames OR "Solus Games"</t>
  </si>
  <si>
    <t>#SkeletonCrewStudio | "Skeleton Crew Studio"</t>
  </si>
  <si>
    <t>Developer - Sketchbook Games</t>
  </si>
  <si>
    <t>#SketchbookGames OR "Sketchbook Games"</t>
  </si>
  <si>
    <t>Solutions 2 GO</t>
  </si>
  <si>
    <t>#Solutions2GO OR "Solutions 2 GO"</t>
  </si>
  <si>
    <t>#SketchbookGames | "Sketchbook Games"</t>
  </si>
  <si>
    <t>https://www.youtube.com/channel/UCD0EWDBiOksS1xLKGMD6zJA|</t>
  </si>
  <si>
    <t>Developer - SKH Apps</t>
  </si>
  <si>
    <t>Soma Games</t>
  </si>
  <si>
    <t>https://www.youtube.com/channel/UCexvVA2KmTLDCCP1fo4QeEA|</t>
  </si>
  <si>
    <t>#SomaGames OR "Soma Games"</t>
  </si>
  <si>
    <t>#SKHApps | "SKH Apps"</t>
  </si>
  <si>
    <t>Developer - Skipmore</t>
  </si>
  <si>
    <t>#Skipmore OR "Skipmore"</t>
  </si>
  <si>
    <t>Sombr Studio</t>
  </si>
  <si>
    <t>https://www.youtube.com/channel/UC3awNwVYVRTqvLx6peiRWcw|</t>
  </si>
  <si>
    <t>#SombrStudio OR "Sombr Studio"</t>
  </si>
  <si>
    <t>#Skipmore | "Skipmore"</t>
  </si>
  <si>
    <t>Developer - Skobbejak Games</t>
  </si>
  <si>
    <t>Somequest Sp. z o. o.</t>
  </si>
  <si>
    <t>#SomequestSpzoo OR "Somequest Sp. z o. o."</t>
  </si>
  <si>
    <t>#SkobbejakGames | "Skobbejak Games"</t>
  </si>
  <si>
    <t>Developer - Skrollcat Studios</t>
  </si>
  <si>
    <t>#SkrollcatStudios OR "Skrollcat Studios"</t>
  </si>
  <si>
    <t>Something We Made</t>
  </si>
  <si>
    <t>https://www.youtube.com/channel/UCpqWL9_kB0L0aV-UYs3Ssrw|</t>
  </si>
  <si>
    <t>#SomethingWeMade OR "Something We Made"</t>
  </si>
  <si>
    <t>#SkrollcatStudios | "Skrollcat Studios"</t>
  </si>
  <si>
    <t>Developer - Skunkape Games</t>
  </si>
  <si>
    <t>Sometimes You</t>
  </si>
  <si>
    <t>https://www.youtube.com/user/SometimesYouCom|</t>
  </si>
  <si>
    <t>#SometimesYou OR "Sometimes You"</t>
  </si>
  <si>
    <t>#SkunkapeGames | "Skunkape Games"</t>
  </si>
  <si>
    <t>Developer - Sky9</t>
  </si>
  <si>
    <t>#Sky9 OR "Sky9"</t>
  </si>
  <si>
    <t>SOMI</t>
  </si>
  <si>
    <t>https://www.youtube.com/user/wingedst|</t>
  </si>
  <si>
    <t>#SOMI OR "SOMI"</t>
  </si>
  <si>
    <t>#Sky9 | "Sky9"</t>
  </si>
  <si>
    <t>https://www.youtube.com/user/JouceTin|</t>
  </si>
  <si>
    <t>Developer - Skybound LLC</t>
  </si>
  <si>
    <t>#SkyboundLLC OR "Skybound LLC"</t>
  </si>
  <si>
    <t>Sonic Powered</t>
  </si>
  <si>
    <r>
      <rPr>
        <rFont val="Calibri, sans-serif"/>
        <color rgb="FF000000"/>
        <sz val="10.0"/>
        <u/>
      </rPr>
      <t>https://www.youtube.com/channel/UC-WimucRjz_AiVT4AZLD8pQ</t>
    </r>
    <r>
      <rPr>
        <rFont val="Calibri, sans-serif"/>
        <color rgb="FF000000"/>
        <sz val="10.0"/>
      </rPr>
      <t>|</t>
    </r>
  </si>
  <si>
    <t>#SonicPowered OR "Sonic Powered"</t>
  </si>
  <si>
    <t>#SkyboundLLC | "Skybound LLC"</t>
  </si>
  <si>
    <t>Developer - SkyBox Labs</t>
  </si>
  <si>
    <t>Sony Interactive Entertainment</t>
  </si>
  <si>
    <t>https://www.youtube.com/channel/UCz97F7dMxBNOfGYu3rx8aCw|</t>
  </si>
  <si>
    <t>#SkyBoxLabs | "SkyBox Labs"</t>
  </si>
  <si>
    <t>Developer - SkyGoblin</t>
  </si>
  <si>
    <t>Sony Interactive Entertainment LLC</t>
  </si>
  <si>
    <t>#SonyInteractiveEntertainmentLLC OR "Sony Interactive Entertainment LLC"</t>
  </si>
  <si>
    <t>#SkyGoblin | "SkyGoblin"</t>
  </si>
  <si>
    <t>Developer - Skyhook Games</t>
  </si>
  <si>
    <t>#SkyhookGames OR "Skyhook Games"</t>
  </si>
  <si>
    <t>Sony Interactive Entertainment Spain</t>
  </si>
  <si>
    <t>#SonyInteractiveEntertainmentSpain OR "Sony Interactive Entertainment Spain"</t>
  </si>
  <si>
    <t>#SkyhookGames | "Skyhook Games"</t>
  </si>
  <si>
    <r>
      <rPr>
        <rFont val="Arial"/>
        <color rgb="FF000000"/>
      </rPr>
      <t>https://www.youtube.com/channel/UC3fhiJZvgUvv5kTnqFRVoKQ</t>
    </r>
    <r>
      <rPr>
        <rFont val="Arial"/>
        <color rgb="FF000000"/>
      </rPr>
      <t>|</t>
    </r>
  </si>
  <si>
    <t>Developer - SkyPyre Studios</t>
  </si>
  <si>
    <t>Sony Interactive Studios America</t>
  </si>
  <si>
    <t>#SonyInteractiveStudiosAmerica OR "Sony Interactive Studios America"</t>
  </si>
  <si>
    <t>#SkyPyreStudios | "SkyPyre Studios"</t>
  </si>
  <si>
    <t>Developer - Slay Buherman</t>
  </si>
  <si>
    <t>#SlayBuherman OR "Slay Buherman"</t>
  </si>
  <si>
    <t>Sony Music Entertainment</t>
  </si>
  <si>
    <t>https://www.youtube.com/channel/UC56gTxNs4f9xZ7Pa2i5xNzg|</t>
  </si>
  <si>
    <t>#SonyMusicEntertainment OR "Sony Music Entertainment"</t>
  </si>
  <si>
    <t>#SlayBuherman | "Slay Buherman"</t>
  </si>
  <si>
    <r>
      <rPr>
        <rFont val="Arial"/>
        <color rgb="FF000000"/>
      </rPr>
      <t>https://www.youtube.com/channel/UCV5Svt2z4WdAnonS687y86w</t>
    </r>
    <r>
      <rPr>
        <rFont val="Arial"/>
        <color rgb="FF000000"/>
      </rPr>
      <t>|</t>
    </r>
  </si>
  <si>
    <t>Developer - Sledgehammer Games</t>
  </si>
  <si>
    <t>Sony Online Entertainment</t>
  </si>
  <si>
    <t>#SonyOnlineEntertainment OR "Sony Online Entertainment"</t>
  </si>
  <si>
    <t>#SledgehammerGames | "Sledgehammer Games"</t>
  </si>
  <si>
    <t>Developer - Sleepless Clinic</t>
  </si>
  <si>
    <t>Sony Pictures</t>
  </si>
  <si>
    <r>
      <rPr>
        <rFont val="Calibri, sans-serif"/>
        <color rgb="FF000000"/>
        <sz val="10.0"/>
        <u/>
      </rPr>
      <t>https://www.youtube.com/channel/UCz97F7dMxBNOfGYu3rx8aCw</t>
    </r>
    <r>
      <rPr>
        <rFont val="Calibri, sans-serif"/>
        <color rgb="FF000000"/>
        <sz val="10.0"/>
      </rPr>
      <t>|</t>
    </r>
  </si>
  <si>
    <t>#SonyPictures OR "Sony Pictures"</t>
  </si>
  <si>
    <t>#SleeplessClinic | "Sleepless Clinic"</t>
  </si>
  <si>
    <r>
      <rPr>
        <rFont val="Arial"/>
        <color rgb="FF000000"/>
      </rPr>
      <t>https://www.youtube.com/channel/UCJ64RvYofgm7sLcQjmvyQZQ</t>
    </r>
    <r>
      <rPr>
        <rFont val="Arial"/>
        <color rgb="FF000000"/>
      </rPr>
      <t>|</t>
    </r>
  </si>
  <si>
    <t>Developer - Slightly Mad Studios</t>
  </si>
  <si>
    <t>#SlightlyMadStudios OR "Slightly Mad Studios"</t>
  </si>
  <si>
    <t>Sony Pictures Digital Entertainment</t>
  </si>
  <si>
    <t>#SonyPicturesDigitalEntertainment OR "Sony Pictures Digital Entertainment"</t>
  </si>
  <si>
    <t>#SlightlyMadStudios | "Slightly Mad Studios"</t>
  </si>
  <si>
    <t>Developer - Slipgate Studios LLC</t>
  </si>
  <si>
    <t>#SlipgateStudiosLLC OR "Slipgate Studios LLC"</t>
  </si>
  <si>
    <t>Sony Pictures Games</t>
  </si>
  <si>
    <t>https://www.youtube.com/sptv|</t>
  </si>
  <si>
    <t>#SonyPicturesGames OR "Sony Pictures Games"</t>
  </si>
  <si>
    <t>#SlipgateStudiosLLC | "Slipgate Studios LLC"</t>
  </si>
  <si>
    <t>https://www.youtube.com/channel/UCQDQ6qxf6SMjahCTKbDIDOQ|</t>
  </si>
  <si>
    <t>Developer - Slitherine</t>
  </si>
  <si>
    <t>Sony Pictures Virtual Reality</t>
  </si>
  <si>
    <r>
      <rPr>
        <rFont val="Calibri, sans-serif"/>
        <color rgb="FF000000"/>
        <sz val="10.0"/>
        <u/>
      </rPr>
      <t>https://www.youtube.com/channel/UCeMlkvbeiyGvYl63sJl8w8A</t>
    </r>
    <r>
      <rPr>
        <rFont val="Calibri, sans-serif"/>
        <color rgb="FF000000"/>
        <sz val="10.0"/>
      </rPr>
      <t>|</t>
    </r>
  </si>
  <si>
    <t>#SonyPicturesVirtualReality OR "Sony Pictures Virtual Reality"</t>
  </si>
  <si>
    <t>#Slitherine | "Slitherine"</t>
  </si>
  <si>
    <t>Developer - Sloclap</t>
  </si>
  <si>
    <t>Sonzai Games</t>
  </si>
  <si>
    <t>https://www.youtube.com/channel/UC9JULa1D_2hMrDdSzU1Xi3Q|</t>
  </si>
  <si>
    <t>#SonzaiGames OR "Sonzai Games"</t>
  </si>
  <si>
    <t>#Sloclap | "Sloclap"</t>
  </si>
  <si>
    <t>Developer - SMAC Games</t>
  </si>
  <si>
    <t>#SMACGames OR "SMAC Games"</t>
  </si>
  <si>
    <t>SOUETTE STUDIO SPC</t>
  </si>
  <si>
    <t>#SOUETTESTUDIOSPC OR "SOUETTE STUDIO SPC"</t>
  </si>
  <si>
    <t>#SMACGames | "SMAC Games"</t>
  </si>
  <si>
    <t>https://www.youtube.com/channel/UClcxR3bzM32ucX-iTbFUN8Q|</t>
  </si>
  <si>
    <t>Developer - Smartly Dressed Games</t>
  </si>
  <si>
    <t>#SmartlyDressedGames OR "Smartly Dressed Games"</t>
  </si>
  <si>
    <t>Soul Pix</t>
  </si>
  <si>
    <t>#SoulPix OR "Soul Pix"</t>
  </si>
  <si>
    <t>#SmartlyDressedGames | "Smartly Dressed Games"</t>
  </si>
  <si>
    <t>https://www.youtube.com/smartlydressedgames|</t>
  </si>
  <si>
    <t>Developer - Smarto Club</t>
  </si>
  <si>
    <t>#SmartoClub OR "Smarto Club"</t>
  </si>
  <si>
    <t>South East Games</t>
  </si>
  <si>
    <t>https://www.youtube.com/channel/UCvNyONNQPul-D8DouvLNC8A|</t>
  </si>
  <si>
    <t>#SouthEastGames OR "South East Games"</t>
  </si>
  <si>
    <t>#SmartoClub | "Smarto Club"</t>
  </si>
  <si>
    <t>https://www.youtube.com/channel/UCZSfS6WnfF4eQsKLofBERgw|</t>
  </si>
  <si>
    <t>Developer - SMG Studio</t>
  </si>
  <si>
    <t>souvenir circ.</t>
  </si>
  <si>
    <t>#souvenircirc OR "souvenir circ."</t>
  </si>
  <si>
    <t>#SMGStudio | "SMG Studio"</t>
  </si>
  <si>
    <t>Developer - Smilegate</t>
  </si>
  <si>
    <t>Sp777</t>
  </si>
  <si>
    <r>
      <rPr>
        <rFont val="Calibri, sans-serif"/>
        <color rgb="FF000000"/>
        <sz val="10.0"/>
        <u/>
      </rPr>
      <t>https://www.youtube.com/channel/UCu-R9WgCGiAkXzDvSQpErdw</t>
    </r>
    <r>
      <rPr>
        <rFont val="Calibri, sans-serif"/>
        <color rgb="FF000000"/>
        <sz val="10.0"/>
      </rPr>
      <t>|</t>
    </r>
  </si>
  <si>
    <t>#Sp777 OR "Sp777"</t>
  </si>
  <si>
    <t>#Smilegate | "Smilegate"</t>
  </si>
  <si>
    <t>Developer - SMOBILE INC</t>
  </si>
  <si>
    <t>Space Dust Studios</t>
  </si>
  <si>
    <t>https://www.youtube.com/channel/UC_uhTr2SbMuUr_y1vBzxl_w|</t>
  </si>
  <si>
    <t>#SpaceDustStudios OR "Space Dust Studios"</t>
  </si>
  <si>
    <t>#SMOBILEINC | "SMOBILE INC"</t>
  </si>
  <si>
    <t>Developer - Snail Games</t>
  </si>
  <si>
    <t>Space Lizard Studio LTD</t>
  </si>
  <si>
    <t>https://www.youtube.com/channel/UC_gHLP6wUCx6u8IGIOX0WvQ|</t>
  </si>
  <si>
    <t>#SpaceLizardStudioLTD OR "Space Lizard Studio LTD"</t>
  </si>
  <si>
    <t>#SnailGames | "Snail Games"</t>
  </si>
  <si>
    <t>Developer - Snap Finger Click Ltd</t>
  </si>
  <si>
    <t>Spaces of Play</t>
  </si>
  <si>
    <r>
      <rPr>
        <rFont val="Calibri, sans-serif"/>
        <color rgb="FF000000"/>
        <sz val="10.0"/>
        <u/>
      </rPr>
      <t>https://www.youtube.com/channel/UCgeo7oXiowOSRtTrzo-qWxQ</t>
    </r>
    <r>
      <rPr>
        <rFont val="Calibri, sans-serif"/>
        <color rgb="FF000000"/>
        <sz val="10.0"/>
      </rPr>
      <t>|</t>
    </r>
  </si>
  <si>
    <t>#SpacesofPlay OR "Spaces of Play"</t>
  </si>
  <si>
    <t>#SnapFingerClickLtd | "Snap Finger Click Ltd"</t>
  </si>
  <si>
    <t>Developer - Snapshot Games Inc.</t>
  </si>
  <si>
    <t>Spacewave Software</t>
  </si>
  <si>
    <t>https://www.youtube.com/channel/UCuxlJ4NyrVPICf65iu4jlPg|</t>
  </si>
  <si>
    <t>#SpacewaveSoftware OR "Spacewave Software"</t>
  </si>
  <si>
    <t>#SnapshotGamesInc | "Snapshot Games"</t>
  </si>
  <si>
    <r>
      <rPr>
        <rFont val="Arial"/>
        <color rgb="FF000000"/>
      </rPr>
      <t>https://www.youtube.com/channel/UCt8RgoYoZw_Xihpi2ljPELA</t>
    </r>
    <r>
      <rPr>
        <rFont val="Arial"/>
        <color rgb="FF000000"/>
      </rPr>
      <t>|</t>
    </r>
  </si>
  <si>
    <t>Developer - Sneaky Bastards</t>
  </si>
  <si>
    <t>#SneakyBastards OR "Sneaky Bastards"</t>
  </si>
  <si>
    <t>Spark Plug Games</t>
  </si>
  <si>
    <r>
      <rPr>
        <rFont val="Calibri, sans-serif"/>
        <color rgb="FF000000"/>
        <sz val="10.0"/>
        <u/>
      </rPr>
      <t>https://www.youtube.com/channel/UCSUDSCwC7AUB0wOJXVsKRXg</t>
    </r>
    <r>
      <rPr>
        <rFont val="Calibri, sans-serif"/>
        <color rgb="FF000000"/>
        <sz val="10.0"/>
      </rPr>
      <t>|</t>
    </r>
  </si>
  <si>
    <t>#SparkPlugGames OR "Spark Plug Games"</t>
  </si>
  <si>
    <t>#SneakyBastards | "Sneaky Bastards"</t>
  </si>
  <si>
    <t>Developer - SNK</t>
  </si>
  <si>
    <t>Speak to the Geek</t>
  </si>
  <si>
    <r>
      <rPr>
        <rFont val="Calibri, sans-serif"/>
        <color rgb="FF000000"/>
        <sz val="10.0"/>
        <u/>
      </rPr>
      <t>https://www.youtube.com/channel/UC25zb7Sojh4KUv5CsFYH-6Q</t>
    </r>
    <r>
      <rPr>
        <rFont val="Calibri, sans-serif"/>
        <color rgb="FF000000"/>
        <sz val="10.0"/>
      </rPr>
      <t>|</t>
    </r>
  </si>
  <si>
    <t>#SpeaktotheGeek OR "Speak to the Geek"</t>
  </si>
  <si>
    <t>#SNK | "SNK"</t>
  </si>
  <si>
    <t>Developer - SNK Corporation</t>
  </si>
  <si>
    <t>Spearhead Games</t>
  </si>
  <si>
    <t>https://www.youtube.com/channel/UCLpfesXHnlALyLufrCSxVRQ|</t>
  </si>
  <si>
    <t>#SpearheadGames OR "Spearhead Games"</t>
  </si>
  <si>
    <t>#SNKCorporation | "SNK Corporation"</t>
  </si>
  <si>
    <t>Developer - SNK Playmore</t>
  </si>
  <si>
    <t>Special Reserve Games</t>
  </si>
  <si>
    <r>
      <rPr>
        <rFont val="Calibri, sans-serif"/>
        <color rgb="FF000000"/>
        <sz val="10.0"/>
        <u/>
      </rPr>
      <t>https://www.youtube.com/channel/UCSvWvycOmMBWuVRF2uABH5A</t>
    </r>
    <r>
      <rPr>
        <rFont val="Calibri, sans-serif"/>
        <color rgb="FF000000"/>
        <sz val="10.0"/>
      </rPr>
      <t>|</t>
    </r>
  </si>
  <si>
    <t>#SpecialReserveGames OR "Special Reserve Games"</t>
  </si>
  <si>
    <t>#SNKPlaymore | "SNK Playmore"</t>
  </si>
  <si>
    <t>Developer - SnoutUp</t>
  </si>
  <si>
    <t>Spellbind Studios</t>
  </si>
  <si>
    <t>https://www.youtube.com/channel/UCTFDHcgJibhqYElvjWaM6Gg|</t>
  </si>
  <si>
    <t>#SpellbindStudios OR "Spellbind Studios"</t>
  </si>
  <si>
    <t>#SnoutUp | "SnoutUp"</t>
  </si>
  <si>
    <t>Developer - Snow Castle Games</t>
  </si>
  <si>
    <t>Spicy Tails</t>
  </si>
  <si>
    <t>https://www.youtube.com/user/TheSpicyTails|</t>
  </si>
  <si>
    <t>#SpicyTails OR "Spicy Tails"</t>
  </si>
  <si>
    <t>#SnowCastleGames | "Snow Castle Games"</t>
  </si>
  <si>
    <t>Developer - Snow Day Software</t>
  </si>
  <si>
    <t>Spike Chunsoft</t>
  </si>
  <si>
    <t>https://www.youtube.com/channel/UCmbgEJOXvrcK_D265Vs_Ixw/videos|</t>
  </si>
  <si>
    <t>#SpikeChunsoft OR "Spike Chunsoft"</t>
  </si>
  <si>
    <t>#SnowDaySoftware | "Snow Day Software"</t>
  </si>
  <si>
    <t>Developer - Snowhound Games</t>
  </si>
  <si>
    <t>#SnowhoundGames OR "Snowhound Games"</t>
  </si>
  <si>
    <t>Spike Chunsoft Co. Ltd.</t>
  </si>
  <si>
    <t>https://www.youtube.com/channel/UCmbgEJOXvrcK_D265Vs_Ixw|</t>
  </si>
  <si>
    <t>#SpikeChunsoftCoLtd OR "Spike Chunsoft Co. Ltd."</t>
  </si>
  <si>
    <t>#SnowhoundGames | "Snowhound Games"</t>
  </si>
  <si>
    <r>
      <rPr>
        <rFont val="Arial"/>
        <color rgb="FF000000"/>
      </rPr>
      <t>https://www.youtube.com/channel/UCHB0iwfLZTTPGyXE63gduxg</t>
    </r>
    <r>
      <rPr>
        <rFont val="Arial"/>
        <color rgb="FF000000"/>
      </rPr>
      <t>|</t>
    </r>
  </si>
  <si>
    <t>Developer - Snowman</t>
  </si>
  <si>
    <t>Spin Master Entertainment</t>
  </si>
  <si>
    <t>#SpinMasterEntertainment OR "Spin Master Entertainment"</t>
  </si>
  <si>
    <t>#Snowman | "Snowman"</t>
  </si>
  <si>
    <t>Developer - Snowrunner Games</t>
  </si>
  <si>
    <t>Spiral Summit Games</t>
  </si>
  <si>
    <t>https://www.youtube.com/channel/UCQQOKyg8uyjnFC8aKBdnG-w|</t>
  </si>
  <si>
    <t>#SpiralSummitGames OR "Spiral Summit Games"</t>
  </si>
  <si>
    <t>#SnowrunnerGames | "Snowrunner Games"</t>
  </si>
  <si>
    <t>Developer - Sobaka</t>
  </si>
  <si>
    <t>#Sobaka OR "Sobaka"</t>
  </si>
  <si>
    <t>Spoony Bard Productions</t>
  </si>
  <si>
    <t>https://www.youtube.com/channel/UC1whPAyY1pTT_92H8ONb7iw|</t>
  </si>
  <si>
    <t>#SpoonyBardProductions OR "Spoony Bard Productions"</t>
  </si>
  <si>
    <t>#Sobaka | "Sobaka"</t>
  </si>
  <si>
    <t>https://www.youtube.com/channel/UC_Qef_kOMwJIEeocZgHXP2w|</t>
  </si>
  <si>
    <t>Developer - SoDigital</t>
  </si>
  <si>
    <t>Sprakelsoft</t>
  </si>
  <si>
    <r>
      <rPr>
        <rFont val="Calibri, sans-serif"/>
        <color rgb="FF000000"/>
        <sz val="10.0"/>
        <u/>
      </rPr>
      <t>https://www.youtube.com/channel/UCSlcZg7Bk-rxym5uvk7fXAA</t>
    </r>
    <r>
      <rPr>
        <rFont val="Calibri, sans-serif"/>
        <color rgb="FF000000"/>
        <sz val="10.0"/>
      </rPr>
      <t>|</t>
    </r>
  </si>
  <si>
    <t>#Sprakelsoft OR "Sprakelsoft"</t>
  </si>
  <si>
    <t>#SoDigital | "SoDigital"</t>
  </si>
  <si>
    <t>Developer - Soedesco</t>
  </si>
  <si>
    <t>Springloaded</t>
  </si>
  <si>
    <t>#Springloaded OR "Springloaded"</t>
  </si>
  <si>
    <t>#Soedesco | "Soedesco"</t>
  </si>
  <si>
    <t>Developer - SOFTSTAR Entertainment</t>
  </si>
  <si>
    <t>Spry Fox</t>
  </si>
  <si>
    <t>https://www.youtube.com/channel/UCsofGr3Xn7y3s3VgucLyL8Q|</t>
  </si>
  <si>
    <t>#SpryFox OR "Spry Fox"</t>
  </si>
  <si>
    <t>#SOFTSTAREntertainment | "SOFTSTAR Entertainment"</t>
  </si>
  <si>
    <t>Developer - Software Entwicklung GmbH</t>
  </si>
  <si>
    <t>#SoftwareEntwicklungGmbH OR "Software Entwicklung GmbH"</t>
  </si>
  <si>
    <t>Squad</t>
  </si>
  <si>
    <t>#Squad OR "Squad"</t>
  </si>
  <si>
    <t>#SoftwareEntwicklungGmbH | "Software Entwicklung GmbH"</t>
  </si>
  <si>
    <r>
      <rPr>
        <rFont val="Arial"/>
        <color rgb="FF000000"/>
      </rPr>
      <t>https://www.youtube.com/channel/UCGQfT2cqiSJ5k6s84qHVp9A</t>
    </r>
    <r>
      <rPr>
        <rFont val="Arial"/>
        <color rgb="FF000000"/>
      </rPr>
      <t>|</t>
    </r>
  </si>
  <si>
    <t>Developer - SoftwareByEugene</t>
  </si>
  <si>
    <t>SQUADTeam</t>
  </si>
  <si>
    <t>#SQUADTeam OR "SQUADTeam"</t>
  </si>
  <si>
    <t>#SoftwareByEugene | "SoftwareByEugene"</t>
  </si>
  <si>
    <t>Developer - Solar Sail Games</t>
  </si>
  <si>
    <t>#SolarSailGames OR "Solar Sail Games"</t>
  </si>
  <si>
    <t>Squanch Games</t>
  </si>
  <si>
    <t>https://www.youtube.com/channel/UC0ruWDlk7P8AOPR84CFReQA|</t>
  </si>
  <si>
    <t>#SquanchGames OR "Squanch Games"</t>
  </si>
  <si>
    <t>#SolarSailGames | "Solar Sail Games"</t>
  </si>
  <si>
    <t>https://www.youtube.com/channel/UCOjDXsmT_9GcmWklekdD2QA|</t>
  </si>
  <si>
    <t>Developer - Sold Out</t>
  </si>
  <si>
    <t>Square Enix</t>
  </si>
  <si>
    <t>#SoldOut | "Sold Out"</t>
  </si>
  <si>
    <t>Developer - Soleil</t>
  </si>
  <si>
    <t>#Soleil OR "Soleil"</t>
  </si>
  <si>
    <t>SRL, S.R.L.</t>
  </si>
  <si>
    <t>#SRLSRL OR "SRL, S.R.L."</t>
  </si>
  <si>
    <t>#Soleil | "Soleil"</t>
  </si>
  <si>
    <t>Developer - Soma Games</t>
  </si>
  <si>
    <t>Stage 2 Studios</t>
  </si>
  <si>
    <t>#Stage2Studios OR "Stage 2 Studios"</t>
  </si>
  <si>
    <t>#SomaGames | "Soma Games"</t>
  </si>
  <si>
    <t>Developer - SomaSim</t>
  </si>
  <si>
    <t>#SomaSim OR "SomaSim"</t>
  </si>
  <si>
    <t>Stainless Games</t>
  </si>
  <si>
    <t>#StainlessGames OR "Stainless Games"</t>
  </si>
  <si>
    <t>#SomaSim | "SomaSim"</t>
  </si>
  <si>
    <t>https://www.youtube.com/channel/UCiF4C5ekCTzJONEhXKsjO_g|</t>
  </si>
  <si>
    <t>Developer - Somepx</t>
  </si>
  <si>
    <t>#Somepx OR "Somepx"</t>
  </si>
  <si>
    <t>Star Consult S.r.L.</t>
  </si>
  <si>
    <t>#StarConsultSrL OR "Star Consult S.r.L."</t>
  </si>
  <si>
    <t>#Somepx | "Somepx"</t>
  </si>
  <si>
    <t>Developer - Something We Made</t>
  </si>
  <si>
    <t>Star Drifters</t>
  </si>
  <si>
    <t>https://www.youtube.com/channel/UC34bwOnEgf95y8xc6aMr75Q|</t>
  </si>
  <si>
    <t>#StarDrifters OR "Star Drifters"</t>
  </si>
  <si>
    <t>#SomethingWeMade | "Something We Made"</t>
  </si>
  <si>
    <t>Developer - Sometimes You</t>
  </si>
  <si>
    <t>Star Gaming Network</t>
  </si>
  <si>
    <t>https://www.youtube.com/channel/UCcJ3wx3KEEqCReCh9MErM7Q|</t>
  </si>
  <si>
    <t>#StarGamingNetwork OR "Star Gaming Network"</t>
  </si>
  <si>
    <t>#SometimesYou | "Sometimes You"</t>
  </si>
  <si>
    <t>Developer - Somnium Games d.o.o.</t>
  </si>
  <si>
    <t>#SomniumGamesdoo OR "Somnium Games d.o.o."</t>
  </si>
  <si>
    <t>Star Vault</t>
  </si>
  <si>
    <t>#StarVault OR "Star Vault"</t>
  </si>
  <si>
    <t>#SomniumGamesdoo | "Somnium Games d.o.o."</t>
  </si>
  <si>
    <t>https://www.youtube.com/channel/UChdl6Xl7Smr1Hh-VQyIHoaA|</t>
  </si>
  <si>
    <t>Developer - Sonic Team</t>
  </si>
  <si>
    <t>#SonicTeam OR "Sonic Team"</t>
  </si>
  <si>
    <t>Starbreeze</t>
  </si>
  <si>
    <t>https://www.youtube.com/channel/UCfxVLjub6crdD6g0bU5hQCA|</t>
  </si>
  <si>
    <t>#Starbreeze OR "Starbreeze"</t>
  </si>
  <si>
    <t>#SonicTeam | "Sonic Team"</t>
  </si>
  <si>
    <t>Developer - Sony Interactive Entertainment San Diego Studio</t>
  </si>
  <si>
    <t>#SonyInteractiveEntertainmentSanDiegoStudio OR "Sony Interactive Entertainment San Diego Studio"</t>
  </si>
  <si>
    <t>Stately Snail</t>
  </si>
  <si>
    <t>https://www.youtube.com/channel/UCjimoj5PJ1clTWruWQs3HCg|</t>
  </si>
  <si>
    <t>#StatelySnail OR "Stately Snail"</t>
  </si>
  <si>
    <t>#SonyInteractiveEntertainmentSanDiegoStudio | "Sony Interactive Entertainment San Diego Studio"</t>
  </si>
  <si>
    <t>Developer - Sony Pictures Games</t>
  </si>
  <si>
    <t>Steel Arts Software</t>
  </si>
  <si>
    <t>https://www.youtube.com/channel/UCp71fiwvget85Z6hJhoWhbA|</t>
  </si>
  <si>
    <t>#SteelArtsSoftware OR "Steel Arts Software"</t>
  </si>
  <si>
    <t>#SonyPicturesGames | "Sony Pictures Games"</t>
  </si>
  <si>
    <t>Developer - Sonzai Games</t>
  </si>
  <si>
    <t>Steel Arts Software LTD.</t>
  </si>
  <si>
    <t>#SteelArtsSoftwareLTD OR "Steel Arts Software LTD."</t>
  </si>
  <si>
    <t>#SonzaiGames | "Sonzai Games"</t>
  </si>
  <si>
    <t>Developer - Soul Ink</t>
  </si>
  <si>
    <t>#SoulInk OR "Soul Ink"</t>
  </si>
  <si>
    <t>Steel Crate Games</t>
  </si>
  <si>
    <t>#SteelCrateGames OR "Steel Crate Games"</t>
  </si>
  <si>
    <t>#SoulInk | "Soul Ink"</t>
  </si>
  <si>
    <t>Developer - South East Games</t>
  </si>
  <si>
    <t>Steel Minions</t>
  </si>
  <si>
    <t>https://www.youtube.com/user/SteelMinions|</t>
  </si>
  <si>
    <t>#SteelMinions OR "Steel Minions"</t>
  </si>
  <si>
    <t>#SouthEastGames | "South East Games"</t>
  </si>
  <si>
    <t>Developer - SouthPAW Games</t>
  </si>
  <si>
    <t>#SouthPAWGames OR "SouthPAW Games"</t>
  </si>
  <si>
    <t>Steel Wool Games</t>
  </si>
  <si>
    <t>https://www.youtube.com/channel/UCpOXWy4Erc4UNoxI9xW-CXw|</t>
  </si>
  <si>
    <t>#SteelWoolGames OR "Steel Wool Games"</t>
  </si>
  <si>
    <t>#SouthPAWGames | "SouthPAW Games"</t>
  </si>
  <si>
    <t>https://www.youtube.com/channel/UCsPivyDDAoNI5G6emxWrS5w|</t>
  </si>
  <si>
    <t>Developer - Sp777</t>
  </si>
  <si>
    <t>STELLAR ENTERTAINMENT SOFTWARE LTD</t>
  </si>
  <si>
    <t>https://www.youtube.com/channel/UCWNe1O8SukKMUYKI6qLuFHw|</t>
  </si>
  <si>
    <t>#STELLARENTERTAINMENTSOFTWARELTD OR "STELLAR ENTERTAINMENT SOFTWARE LTD"</t>
  </si>
  <si>
    <t>#Sp777 | "Sp777"</t>
  </si>
  <si>
    <t>Developer - Space Dust Studios</t>
  </si>
  <si>
    <t>Stellar Jay Studios</t>
  </si>
  <si>
    <t>https://www.youtube.com/channel/UCVwzyc7H3cXNvKxm1QDiHSg|</t>
  </si>
  <si>
    <t>#StellarJayStudios OR "Stellar Jay Studios"</t>
  </si>
  <si>
    <t>#SpaceDustStudios | "Space Dust Studios"</t>
  </si>
  <si>
    <t>Developer - Space Lizard Studio LTD</t>
  </si>
  <si>
    <t>StellarVR</t>
  </si>
  <si>
    <r>
      <rPr>
        <rFont val="Calibri, sans-serif"/>
        <color rgb="FF000000"/>
        <sz val="10.0"/>
        <u/>
      </rPr>
      <t>https://www.youtube.com/channel/UCgJ5F26yHD6PNUHLBYamfkA</t>
    </r>
    <r>
      <rPr>
        <rFont val="Calibri, sans-serif"/>
        <color rgb="FF000000"/>
        <sz val="10.0"/>
      </rPr>
      <t>|</t>
    </r>
  </si>
  <si>
    <t>#StellarVR OR "StellarVR"</t>
  </si>
  <si>
    <t>#SpaceLizardStudioLTD | "Space Lizard Studio LTD"</t>
  </si>
  <si>
    <t>Developer - Spacewave Software</t>
  </si>
  <si>
    <t>Stern</t>
  </si>
  <si>
    <t>#Stern OR "Stern"</t>
  </si>
  <si>
    <t>#SpacewaveSoftware | "Spacewave Software"</t>
  </si>
  <si>
    <t>Developer - Speak to the Geek</t>
  </si>
  <si>
    <t>StickyLock Studios</t>
  </si>
  <si>
    <t>https://www.youtube.com/channel/UC0OLlJYK60K2XKj237epMGg|</t>
  </si>
  <si>
    <t>#StickyLockStudios OR "StickyLock Studios"</t>
  </si>
  <si>
    <t>#SpeaktotheGeek | "Speak to the Geek"</t>
  </si>
  <si>
    <t>Developer - Spearhead Games</t>
  </si>
  <si>
    <t>Stingbot Games, Inc.</t>
  </si>
  <si>
    <t>#StingbotGamesInc OR "Stingbot Games,"</t>
  </si>
  <si>
    <t>#SpearheadGames | "Spearhead Games"</t>
  </si>
  <si>
    <t>Developer - SpectreVision</t>
  </si>
  <si>
    <t>#SpectreVision OR "SpectreVision"</t>
  </si>
  <si>
    <t>Stirfire Studios</t>
  </si>
  <si>
    <t>#StirfireStudios OR "Stirfire Studios"</t>
  </si>
  <si>
    <t>#SpectreVision | "SpectreVision"</t>
  </si>
  <si>
    <t>https://www.youtube.com/channel/UCBWeoAUkoc5S4SjChFNlIdw|</t>
  </si>
  <si>
    <t>Developer - Speelbaars</t>
  </si>
  <si>
    <t>#Speelbaars OR "Speelbaars"</t>
  </si>
  <si>
    <t>Stitch Heads</t>
  </si>
  <si>
    <t>#StitchHeads OR "Stitch Heads"</t>
  </si>
  <si>
    <t>#Speelbaars | "Speelbaars"</t>
  </si>
  <si>
    <t>https://www.youtube.com/channel/UCRvDCcBm-amQhWDy_BL94Bw|</t>
  </si>
  <si>
    <t>Developer - Spellbind Studios</t>
  </si>
  <si>
    <t>Stoa Games</t>
  </si>
  <si>
    <t>https://www.youtube.com/channel/UCVobHMeB7npv1ykhzduG86Q|</t>
  </si>
  <si>
    <t>#StoaGames OR "Stoa Games"</t>
  </si>
  <si>
    <t>#SpellbindStudios | "Spellbind Studios"</t>
  </si>
  <si>
    <t>Developer - Sperasoft</t>
  </si>
  <si>
    <t>#Sperasoft OR "Sperasoft"</t>
  </si>
  <si>
    <t>Stolen Couch Games</t>
  </si>
  <si>
    <t>https://www.youtube.com/user/StolenCouchGames|</t>
  </si>
  <si>
    <t>#StolenCouchGames OR "Stolen Couch Games"</t>
  </si>
  <si>
    <t>#Sperasoft | "Sperasoft"</t>
  </si>
  <si>
    <t>https://www.youtube.com/user/Sperasoft|</t>
  </si>
  <si>
    <t>Developer - Spiders</t>
  </si>
  <si>
    <t>#Spiders OR "Spiders"</t>
  </si>
  <si>
    <t>Storm in a Teacup</t>
  </si>
  <si>
    <t>https://www.youtube.com/user/stcware|</t>
  </si>
  <si>
    <t>#StorminaTeacup OR "Storm in a Teacup"</t>
  </si>
  <si>
    <t>#Spiders | "Spiders"</t>
  </si>
  <si>
    <t>Developer - Spike Chunsoft</t>
  </si>
  <si>
    <t>StormBASIC Games</t>
  </si>
  <si>
    <t>https://www.youtube.com/channel/UCYxONPWosP6eUG4t5GX5euw|</t>
  </si>
  <si>
    <t>#StormBASICGames OR "StormBASIC Games"</t>
  </si>
  <si>
    <t>#SpikeChunsoft | "Spike Chunsoft"</t>
  </si>
  <si>
    <r>
      <rPr>
        <color rgb="FF1155CC"/>
        <u/>
      </rPr>
      <t>https://www.youtube.com/channel/UCmbgEJOXvrcK_D265Vs_Ixw</t>
    </r>
    <r>
      <rPr/>
      <t>|</t>
    </r>
  </si>
  <si>
    <t>Developer - Spike Chunsoft Co. Ltd.</t>
  </si>
  <si>
    <t>Stormcloud Games Limited</t>
  </si>
  <si>
    <t>https://www.youtube.com/user/stormcloudgames|</t>
  </si>
  <si>
    <t>#StormcloudGamesLimited OR "Stormcloud Games Limited"</t>
  </si>
  <si>
    <t>#SpikeChunsoftCoLtd | "Spike Chunsoft Co. Ltd."</t>
  </si>
  <si>
    <t>Developer - Spiral Summit Games</t>
  </si>
  <si>
    <t>Stormind Games</t>
  </si>
  <si>
    <t>https://www.youtube.com/channel/UC5-0MjtEzUIk96Kh88xQ34Q|</t>
  </si>
  <si>
    <t>#StormindGames OR "Stormind Games"</t>
  </si>
  <si>
    <t>#SpiralSummitGames | "Spiral Summit Games"</t>
  </si>
  <si>
    <t>Developer - Splash Damage</t>
  </si>
  <si>
    <t>#SplashDamage OR "Splash Damage"</t>
  </si>
  <si>
    <t>Stormseeker Games</t>
  </si>
  <si>
    <t>https://www.youtube.com/channel/UCD_Ibj72Mlt_fHoXCThwi2A|</t>
  </si>
  <si>
    <t>#StormseekerGames OR "Stormseeker Games"</t>
  </si>
  <si>
    <t>#SplashDamage | "Splash Damage"</t>
  </si>
  <si>
    <t>https://www.youtube.com/channel/UCZWDpZOZHK3KsSTfyMPJOSQ|</t>
  </si>
  <si>
    <t>Developer - Splendy Games</t>
  </si>
  <si>
    <t>#SplendyGames OR "Splendy Games"</t>
  </si>
  <si>
    <t>Story Fort</t>
  </si>
  <si>
    <t>#StoryFort OR "Story Fort"</t>
  </si>
  <si>
    <t>#SplendyGames | "Splendy Games"</t>
  </si>
  <si>
    <t>https://www.youtube.com/channel/UCpXvQWqv5YhZNgnY-evfkyQ|</t>
  </si>
  <si>
    <t>Developer - Spoonbox Studio</t>
  </si>
  <si>
    <t>#SpoonboxStudio OR "Spoonbox Studio"</t>
  </si>
  <si>
    <t>Storybird</t>
  </si>
  <si>
    <t>https://www.youtube.com/channel/UC9PfH3_olZDbRF8oHEkFiVA|</t>
  </si>
  <si>
    <t>#Storybird OR "Storybird"</t>
  </si>
  <si>
    <t>#SpoonboxStudio | "Spoonbox Studio"</t>
  </si>
  <si>
    <r>
      <rPr>
        <rFont val="Arial"/>
        <color rgb="FF000000"/>
      </rPr>
      <t>https://www.youtube.com/channel/UC-5abaFNAxjzHoiOOqJilXg</t>
    </r>
    <r>
      <rPr>
        <rFont val="Arial"/>
        <color rgb="FF000000"/>
      </rPr>
      <t>|</t>
    </r>
  </si>
  <si>
    <t>Developer - Spoony Bard Productions</t>
  </si>
  <si>
    <t>Strange Games</t>
  </si>
  <si>
    <t>https://www.youtube.com/channel/UC6o5m1jFR-Ld65iJydRa3uw|</t>
  </si>
  <si>
    <t>#StrangeGames OR "Strange Games"</t>
  </si>
  <si>
    <t>#SpoonyBardProductions | "Spoony Bard Productions"</t>
  </si>
  <si>
    <t>Developer - Sports Interactive</t>
  </si>
  <si>
    <t>#SportsInteractive OR "Sports Interactive"</t>
  </si>
  <si>
    <t>Strange Games Studios</t>
  </si>
  <si>
    <t>#StrangeGamesStudios OR "Strange Games Studios"</t>
  </si>
  <si>
    <t>#SportsInteractive | "Sports Interactive"</t>
  </si>
  <si>
    <t>Developer - Spotlightor Interactive</t>
  </si>
  <si>
    <t>#SpotlightorInteractive OR "Spotlightor Interactive"</t>
  </si>
  <si>
    <t>Strange Graphs Technologies L.L.C.</t>
  </si>
  <si>
    <t>#StrangeGraphsTechnologiesLLC OR "Strange Graphs Technologies L.L.C."</t>
  </si>
  <si>
    <t>#SpotlightorInteractive | "Spotlightor Interactive"</t>
  </si>
  <si>
    <t>Developer - Sprakelsoft</t>
  </si>
  <si>
    <t>Strange Scaffold</t>
  </si>
  <si>
    <r>
      <rPr>
        <rFont val="Calibri, sans-serif"/>
        <color rgb="FF000000"/>
        <sz val="10.0"/>
        <u/>
      </rPr>
      <t>https://www.youtube.com/channel/UCBBfpkn-3L1RhBmXxffTg5w</t>
    </r>
    <r>
      <rPr>
        <rFont val="Calibri, sans-serif"/>
        <color rgb="FF000000"/>
        <sz val="10.0"/>
      </rPr>
      <t>|</t>
    </r>
  </si>
  <si>
    <t>#StrangeScaffold OR "Strange Scaffold"</t>
  </si>
  <si>
    <t>#Sprakelsoft | "Sprakelsoft"</t>
  </si>
  <si>
    <r>
      <rPr>
        <rFont val="Arial"/>
        <color rgb="FF000000"/>
      </rPr>
      <t>https://www.youtube.com/channel/UCSlcZg7Bk-rxym5uvk7fXAA</t>
    </r>
    <r>
      <rPr>
        <rFont val="Arial"/>
        <color rgb="FF000000"/>
      </rPr>
      <t>|</t>
    </r>
  </si>
  <si>
    <t>Developer - Springloaded</t>
  </si>
  <si>
    <t>StrangeGraphs</t>
  </si>
  <si>
    <t>#StrangeGraphs OR "StrangeGraphs"</t>
  </si>
  <si>
    <t>#Springloaded | "Springloaded"</t>
  </si>
  <si>
    <r>
      <rPr>
        <rFont val="Arial"/>
        <color rgb="FF000000"/>
      </rPr>
      <t>https://www.youtube.com/channel/UCRcSrA5ygx3FWvll4UQFWSg</t>
    </r>
    <r>
      <rPr>
        <rFont val="Arial"/>
        <color rgb="FF000000"/>
      </rPr>
      <t>|</t>
    </r>
  </si>
  <si>
    <t>Developer - Spry Fox</t>
  </si>
  <si>
    <t>Strangely Named Studio</t>
  </si>
  <si>
    <t>https://www.youtube.com/channel/UCNK6AUVzBe04uQPglifusYQ|</t>
  </si>
  <si>
    <t>#StrangelyNamedStudio OR "Strangely Named Studio"</t>
  </si>
  <si>
    <t>#SpryFox | "Spry Fox"</t>
  </si>
  <si>
    <t>Developer - Squad</t>
  </si>
  <si>
    <t>Strategy First</t>
  </si>
  <si>
    <t>https://www.youtube.com/channel/UCh2pH10BvRzbsJehYDBlnWA|</t>
  </si>
  <si>
    <t>#StrategyFirst OR "Strategy First"</t>
  </si>
  <si>
    <t>#Squad | "Squad"</t>
  </si>
  <si>
    <t>Developer - Squanch Games</t>
  </si>
  <si>
    <t>Stratton Studio</t>
  </si>
  <si>
    <t>https://www.youtube.com/c/StrattonStudios/featured|</t>
  </si>
  <si>
    <t>#StrattonStudio OR "Stratton Studio"</t>
  </si>
  <si>
    <t>#SquanchGames | "Squanch Games"</t>
  </si>
  <si>
    <t>Developer - SquareSoft</t>
  </si>
  <si>
    <t>#SquareSoft OR "SquareSoft"</t>
  </si>
  <si>
    <t>Stray Fawn Studio</t>
  </si>
  <si>
    <t>https://www.youtube.com/channel/UCZ4Wt7t1egezRLvwkCVnJ2Q|</t>
  </si>
  <si>
    <t>#StrayFawnStudio OR "Stray Fawn Studio"</t>
  </si>
  <si>
    <t>#SquareSoft | "SquareSoft"</t>
  </si>
  <si>
    <t>Developer - Stage 2 Studios</t>
  </si>
  <si>
    <t>Strelka Games</t>
  </si>
  <si>
    <t>https://www.youtube.com/channel/UClZoUdDaDJCGJ7ZbMH7A9Ww|</t>
  </si>
  <si>
    <t>#StrelkaGames OR "Strelka Games"</t>
  </si>
  <si>
    <t>#Stage2Studios | "Stage 2 Studios"</t>
  </si>
  <si>
    <t>Developer - Stainless Games</t>
  </si>
  <si>
    <t>Strictly Limited Games</t>
  </si>
  <si>
    <t>https://www.youtube.com/channel/UC2Pelb5SSNnqHTAFzp8Lh6g|</t>
  </si>
  <si>
    <t>#StrictlyLimitedGames OR "Strictly Limited Games"</t>
  </si>
  <si>
    <t>#StainlessGames | "Stainless Games"</t>
  </si>
  <si>
    <t>Developer - Star Consult S.r.L.</t>
  </si>
  <si>
    <t>Strike Vector Team</t>
  </si>
  <si>
    <r>
      <rPr>
        <rFont val="Calibri, sans-serif"/>
        <color rgb="FF000000"/>
        <sz val="10.0"/>
        <u/>
      </rPr>
      <t>https://www.youtube.com/channel/UCa8zYrQ_NwXzn98CqyuxnCw</t>
    </r>
    <r>
      <rPr>
        <rFont val="Calibri, sans-serif"/>
        <color rgb="FF000000"/>
        <sz val="10.0"/>
      </rPr>
      <t>|</t>
    </r>
  </si>
  <si>
    <t>#StrikeVectorTeam OR "Strike Vector Team"</t>
  </si>
  <si>
    <t>#StarConsultSrL | "Star Consult S.r.L."</t>
  </si>
  <si>
    <t>Developer - Star Gaming Network</t>
  </si>
  <si>
    <t>Stroboskop</t>
  </si>
  <si>
    <r>
      <rPr>
        <rFont val="Calibri, sans-serif"/>
        <color rgb="FF000000"/>
        <sz val="10.0"/>
        <u/>
      </rPr>
      <t>https://www.youtube.com/channel/UChcYUvaZoxl52tTDf6NTdlQ</t>
    </r>
    <r>
      <rPr>
        <rFont val="Calibri, sans-serif"/>
        <color rgb="FF000000"/>
        <sz val="10.0"/>
      </rPr>
      <t>|</t>
    </r>
  </si>
  <si>
    <t>#Stroboskop OR "Stroboskop"</t>
  </si>
  <si>
    <t>#StarGamingNetwork | "Star Gaming Network"</t>
  </si>
  <si>
    <t>Developer - StarBlade</t>
  </si>
  <si>
    <t>#StarBlade OR "StarBlade"</t>
  </si>
  <si>
    <t>Strongbox3d, LLC</t>
  </si>
  <si>
    <t>#StarBlade | "StarBlade"</t>
  </si>
  <si>
    <t>Developer - Starbreeze</t>
  </si>
  <si>
    <t>Studio Canvas</t>
  </si>
  <si>
    <t>#StudioCanvas OR "Studio Canvas"</t>
  </si>
  <si>
    <t>#Starbreeze | "Starbreeze"</t>
  </si>
  <si>
    <t>Developer - Starni Games</t>
  </si>
  <si>
    <t>#StarniGames OR "Starni Games"</t>
  </si>
  <si>
    <t>Studio Craft Development</t>
  </si>
  <si>
    <t>#StudioCraftDevelopment OR "Studio Craft Development"</t>
  </si>
  <si>
    <t>#StarniGames | "Starni Games"</t>
  </si>
  <si>
    <t>https://www.youtube.com/channel/UCuanlWlol8gved2OQ0zsZvw|</t>
  </si>
  <si>
    <t>Developer - Stas Shostak</t>
  </si>
  <si>
    <t>#StasShostak OR "Stas Shostak"</t>
  </si>
  <si>
    <t>Studio MDHR</t>
  </si>
  <si>
    <t>https://www.youtube.com/channel/UCf2PB4w6M3co9GxQKTOvQMA|</t>
  </si>
  <si>
    <t>#StudioMDHR OR "Studio MDHR"</t>
  </si>
  <si>
    <t>#StasShostak | "Stas Shostak"</t>
  </si>
  <si>
    <t>https://www.youtube.com/user/messiaStas|</t>
  </si>
  <si>
    <t>Developer - Steel Arts Software</t>
  </si>
  <si>
    <t>Studio Mercato</t>
  </si>
  <si>
    <t>https://www.youtube.com/channel/UCe420DfnQeHy0hOiWG752Ng|</t>
  </si>
  <si>
    <t>#StudioMercato OR "Studio Mercato"</t>
  </si>
  <si>
    <t>#SteelArtsSoftware | "Steel Arts Software"</t>
  </si>
  <si>
    <t>Developer - Steel Arts Software LTD.</t>
  </si>
  <si>
    <t>Studio Nisse LLC</t>
  </si>
  <si>
    <t>https://www.youtube.com/channel/UCTWQZ1p_3mMbYtLIF3gQU-Q|</t>
  </si>
  <si>
    <t>#StudioNisseLLC OR "Studio Nisse LLC"</t>
  </si>
  <si>
    <t>#SteelArtsSoftwareLTD | "Steel Arts Software LTD."</t>
  </si>
  <si>
    <t>Developer - Steel Crate Games</t>
  </si>
  <si>
    <t>Studio Wildcard</t>
  </si>
  <si>
    <t>#StudioWildcard OR "Studio Wildcard"</t>
  </si>
  <si>
    <t>#SteelCrateGames | "Steel Crate Games"</t>
  </si>
  <si>
    <t>Developer - Steel Mantis</t>
  </si>
  <si>
    <t>#SteelMantis OR "Steel Mantis"</t>
  </si>
  <si>
    <t>Studios Illogika</t>
  </si>
  <si>
    <r>
      <rPr>
        <rFont val="Calibri, sans-serif"/>
        <color rgb="FF000000"/>
        <sz val="10.0"/>
        <u/>
      </rPr>
      <t>https://www.youtube.com/channel/UCbHHUrGKGQ0gF8y4gNhiygg</t>
    </r>
    <r>
      <rPr>
        <rFont val="Calibri, sans-serif"/>
        <color rgb="FF000000"/>
        <sz val="10.0"/>
      </rPr>
      <t>|</t>
    </r>
  </si>
  <si>
    <t>#StudiosIllogika OR "Studios Illogika"</t>
  </si>
  <si>
    <t>#SteelMantis | "Steel Mantis"</t>
  </si>
  <si>
    <r>
      <rPr>
        <rFont val="Arial"/>
        <color rgb="FF000000"/>
      </rPr>
      <t>https://www.youtube.com/channel/UCIF2AxOK15LOntc95o2_Hgg</t>
    </r>
    <r>
      <rPr>
        <rFont val="Arial"/>
        <color rgb="FF000000"/>
      </rPr>
      <t>|</t>
    </r>
  </si>
  <si>
    <t>Developer - Steel Wool Games</t>
  </si>
  <si>
    <t>Subliminal</t>
  </si>
  <si>
    <t>#Subliminal OR "Subliminal"</t>
  </si>
  <si>
    <t>#SteelWoolGames | "Steel Wool Games"</t>
  </si>
  <si>
    <t>Developer - Stegosoft Games</t>
  </si>
  <si>
    <t>#StegosoftGames OR "Stegosoft Games"</t>
  </si>
  <si>
    <t>subSilico</t>
  </si>
  <si>
    <r>
      <rPr>
        <rFont val="Calibri, sans-serif"/>
        <color rgb="FF000000"/>
        <sz val="10.0"/>
        <u/>
      </rPr>
      <t>https://www.youtube.com/channel/UC8UsckhzSu9N5hwfjC09iAw</t>
    </r>
    <r>
      <rPr>
        <rFont val="Calibri, sans-serif"/>
        <color rgb="FF000000"/>
        <sz val="10.0"/>
      </rPr>
      <t>|</t>
    </r>
  </si>
  <si>
    <t>#subSilico OR "subSilico"</t>
  </si>
  <si>
    <t>#StegosoftGames | "Stegosoft Games"</t>
  </si>
  <si>
    <t>https://www.youtube.com/channel/UCuKleNxybCFJCeNOjTPpmNA|</t>
  </si>
  <si>
    <t>Developer - STELLAR ENTERTAINMENT SOFTWARE LTD</t>
  </si>
  <si>
    <t>sumalab</t>
  </si>
  <si>
    <t>https://www.youtube.com/user/Sumalab/featured|</t>
  </si>
  <si>
    <t>#sumalab OR "sumalab"</t>
  </si>
  <si>
    <t>#STELLARENTERTAINMENTSOFTWARELTD | "STELLAR ENTERTAINMENT SOFTWARE LTD"</t>
  </si>
  <si>
    <t>Developer - Stellar Jay Studios</t>
  </si>
  <si>
    <t>Summer Experiments</t>
  </si>
  <si>
    <t>#SummerExperiments OR "Summer Experiments"</t>
  </si>
  <si>
    <t>#StellarJayStudios | "Stellar Jay Studios"</t>
  </si>
  <si>
    <t>Developer - Steve Gal</t>
  </si>
  <si>
    <t>#SteveGal OR "Steve Gal"</t>
  </si>
  <si>
    <t>Sumo Digital</t>
  </si>
  <si>
    <t>https://www.youtube.com/channel/UCIw3WZee1vijpeqxbsC2E7w|</t>
  </si>
  <si>
    <t>#SumoDigital OR "Sumo Digital"</t>
  </si>
  <si>
    <t>#SteveGal | "Steve Gal"</t>
  </si>
  <si>
    <r>
      <rPr>
        <rFont val="Arial"/>
        <color rgb="FF000000"/>
      </rPr>
      <t>https://www.youtube.com/channel/UCOCwJgl7PUz_ABNFddGwSIQ</t>
    </r>
    <r>
      <rPr>
        <rFont val="Arial"/>
        <color rgb="FF000000"/>
      </rPr>
      <t>|</t>
    </r>
  </si>
  <si>
    <t>Developer - Stevemata</t>
  </si>
  <si>
    <t>#Stevemata OR "Stevemata"</t>
  </si>
  <si>
    <t>Sungazer Software</t>
  </si>
  <si>
    <t>#SungazerSoftware OR "Sungazer Software"</t>
  </si>
  <si>
    <t>#Stevemata | "Stevemata"</t>
  </si>
  <si>
    <t>Developer - Still Running</t>
  </si>
  <si>
    <t>#StillRunning OR "Still Running"</t>
  </si>
  <si>
    <t>Sunlight Games</t>
  </si>
  <si>
    <t>https://www.youtube.com/channel/UC6gU2uHwnBkU2UFbamN2HHw|</t>
  </si>
  <si>
    <t>#SunlightGames OR "Sunlight Games"</t>
  </si>
  <si>
    <t>#StillRunning | "Still Running"</t>
  </si>
  <si>
    <t>https://www.youtube.com/channel/UCCaAQoBIhMbraWR94xjL_dA|</t>
  </si>
  <si>
    <t>Developer - stillalive studios</t>
  </si>
  <si>
    <t>#stillalivestudios OR "stillalive studios"</t>
  </si>
  <si>
    <t>SunSoft</t>
  </si>
  <si>
    <t>https://www.youtube.com/user/sunsoftdemo|</t>
  </si>
  <si>
    <t>#SunSoft OR "SunSoft"</t>
  </si>
  <si>
    <t>#stillalivestudios | "stillalive studios"</t>
  </si>
  <si>
    <t>https://www.youtube.com/channel/UC7mPOIap3RCsDL1k6Hl4iHg|</t>
  </si>
  <si>
    <t>Developer - Stoa Games</t>
  </si>
  <si>
    <t>Super Icon Limited</t>
  </si>
  <si>
    <t>#SuperIconLimited OR "Super Icon Limited"</t>
  </si>
  <si>
    <t>#StoaGames | "Stoa Games"</t>
  </si>
  <si>
    <t>Developer - Stoic</t>
  </si>
  <si>
    <t>#Stoic OR "Stoic"</t>
  </si>
  <si>
    <t>Super Icon Ltd</t>
  </si>
  <si>
    <t>#SuperIconLtd OR "Super Icon Ltd"</t>
  </si>
  <si>
    <t>#Stoic | "Stoic"</t>
  </si>
  <si>
    <t>https://www.youtube.com/user/StoicStudio|</t>
  </si>
  <si>
    <t>Developer - Stoic Jester Studios</t>
  </si>
  <si>
    <t>#StoicJesterStudios OR "Stoic Jester Studios"</t>
  </si>
  <si>
    <t>Super PowerUp Games</t>
  </si>
  <si>
    <t>https://www.youtube.com/channel/UCRvlQPF2CtaHkw-paL4Y90Q|</t>
  </si>
  <si>
    <t>#SuperPowerUpGames OR "Super PowerUp Games"</t>
  </si>
  <si>
    <t>#StoicJesterStudios | "Stoic Jester Studios"</t>
  </si>
  <si>
    <t>Developer - Stolen Couch Games</t>
  </si>
  <si>
    <t>Super Villain Games</t>
  </si>
  <si>
    <t>https://www.youtube.com/channel/UChKXivvyzkh72vh8oZnnNhw|</t>
  </si>
  <si>
    <t>#SuperVillainGames OR "Super Villain Games"</t>
  </si>
  <si>
    <t>#StolenCouchGames | "Stolen Couch Games"</t>
  </si>
  <si>
    <t>Developer - Stone Lantern Games</t>
  </si>
  <si>
    <t>#StoneLanternGames OR "Stone Lantern Games"</t>
  </si>
  <si>
    <t>SUPER.COM</t>
  </si>
  <si>
    <t>https://www.youtube.com/channel/UC6UuWGRr4MXR6zH8wsxNGGQ|</t>
  </si>
  <si>
    <t>#SUPERCOM OR "SUPER.COM"</t>
  </si>
  <si>
    <t>#StoneLanternGames | "Stone Lantern Games"</t>
  </si>
  <si>
    <t>https://www.youtube.com/channel/UCyADtU4BWMBAi_bR8OyW52A|</t>
  </si>
  <si>
    <t>Developer - Stonewheat &amp; Sons</t>
  </si>
  <si>
    <t>#StonewheatandSons OR "Stonewheat &amp; Sons"</t>
  </si>
  <si>
    <t>Superbrothers</t>
  </si>
  <si>
    <r>
      <rPr>
        <rFont val="Calibri, sans-serif"/>
        <color rgb="FF000000"/>
        <sz val="10.0"/>
        <u/>
      </rPr>
      <t>https://www.youtube.com/channel/UCrkF4XuAR0-shjrn-UJGrtg</t>
    </r>
    <r>
      <rPr>
        <rFont val="Calibri, sans-serif"/>
        <color rgb="FF000000"/>
        <sz val="10.0"/>
      </rPr>
      <t>|</t>
    </r>
  </si>
  <si>
    <t>#StonewheatandSons | "Stonewheat &amp; Sons"</t>
  </si>
  <si>
    <t>https://www.youtube.com/channel/UC2jYGTunl5LE5GMPyBPycBA|</t>
  </si>
  <si>
    <t>Developer - Storm City Games</t>
  </si>
  <si>
    <t>#StormCityGames OR "Storm City Games"</t>
  </si>
  <si>
    <t>Supergiant Games</t>
  </si>
  <si>
    <t>https://www.youtube.com/user/supergiantgames|</t>
  </si>
  <si>
    <t>#SupergiantGames OR "Supergiant Games"</t>
  </si>
  <si>
    <t>#StormCityGames | "Storm City Games"</t>
  </si>
  <si>
    <t>Developer - Storm in a Teacup</t>
  </si>
  <si>
    <t>SUPERHOT</t>
  </si>
  <si>
    <t>https://www.youtube.com/channel/UCQVsWNCjy0y286e7_f-vijw|</t>
  </si>
  <si>
    <t>#SUPERHOT OR "SUPERHOT"</t>
  </si>
  <si>
    <t>#StorminaTeacup | "Storm in a Teacup"</t>
  </si>
  <si>
    <t>Developer - Stormcloud Games Limited</t>
  </si>
  <si>
    <t>Supermassive Games</t>
  </si>
  <si>
    <t>https://www.youtube.com/channel/UCFPrg1ERpYha46QVHTF75HA|</t>
  </si>
  <si>
    <t>#SupermassiveGames OR "Supermassive Games"</t>
  </si>
  <si>
    <t>#StormcloudGamesLimited | "Stormcloud Games Limited"</t>
  </si>
  <si>
    <t>Developer - Stormind Games</t>
  </si>
  <si>
    <t>Supra Games</t>
  </si>
  <si>
    <t>#SupraGames OR "Supra Games"</t>
  </si>
  <si>
    <t>#StormindGames | "Stormind Games"</t>
  </si>
  <si>
    <t>Developer - Stormling Studios</t>
  </si>
  <si>
    <t>#StormlingStudios OR "Stormling Studios"</t>
  </si>
  <si>
    <t>Surprise Attack</t>
  </si>
  <si>
    <t>https://www.youtube.com/channel/UCuROu1VM1dRtpLvlJS-hEzQ|</t>
  </si>
  <si>
    <t>#SurpriseAttack OR "Surprise Attack"</t>
  </si>
  <si>
    <t>#StormlingStudios | "Stormling Studios"</t>
  </si>
  <si>
    <t>https://www.youtube.com/channel/UCoZPp4c6OE_N3p9ywp0oTXw|</t>
  </si>
  <si>
    <t>Developer - Stormseeker Games</t>
  </si>
  <si>
    <t>Surreal Games</t>
  </si>
  <si>
    <t>https://www.youtube.com/channel/UCvJR6_sxuhOKxpdXSzcaHUw|</t>
  </si>
  <si>
    <t>#SurrealGames OR "Surreal Games"</t>
  </si>
  <si>
    <t>#StormseekerGames | "Stormseeker Games"</t>
  </si>
  <si>
    <t>Developer - Story Fort</t>
  </si>
  <si>
    <t>Survios</t>
  </si>
  <si>
    <t>https://www.youtube.com/channel/UC6GUzStzwbiCAks44f5Rr8A|</t>
  </si>
  <si>
    <t>#Survios OR "Survios"</t>
  </si>
  <si>
    <t>#StoryFort | "Story Fort"</t>
  </si>
  <si>
    <t>Developer - Storybird</t>
  </si>
  <si>
    <t>Suspension Games</t>
  </si>
  <si>
    <t>#SuspensionGames OR "Suspension Games"</t>
  </si>
  <si>
    <t>#Storybird | "Storybird"</t>
  </si>
  <si>
    <t>Developer - Stranga</t>
  </si>
  <si>
    <t>#Stranga OR "Stranga"</t>
  </si>
  <si>
    <t>SVC Games</t>
  </si>
  <si>
    <t>https://www.youtube.com/user/svcgames|</t>
  </si>
  <si>
    <t>#SVCGames OR "SVC Games"</t>
  </si>
  <si>
    <t>#Stranga | "Stranga"</t>
  </si>
  <si>
    <t>Developer - Strange Games Studios</t>
  </si>
  <si>
    <t>Swing Swing Submarine</t>
  </si>
  <si>
    <t>https://www.youtube.com/user/SwingSwingSubmarine|</t>
  </si>
  <si>
    <t>#SwingSwingSubmarine OR "Swing Swing Submarine"</t>
  </si>
  <si>
    <t>#StrangeGamesStudios | "Strange Games Studios"</t>
  </si>
  <si>
    <t>Developer - Strange Graphs Technologies L.L.C.</t>
  </si>
  <si>
    <t>Switchblade Monkeys</t>
  </si>
  <si>
    <t>#SwitchbladeMonkeys OR "Switchblade Monkeys"</t>
  </si>
  <si>
    <t>#StrangeGraphsTechnologiesLLC | "Strange Graphs Technologies L.L.C."</t>
  </si>
  <si>
    <t>Developer - Strange Scaffold</t>
  </si>
  <si>
    <t>Sword Twin Studios</t>
  </si>
  <si>
    <t>https://www.youtube.com/channel/UCIFILhdCUKxQaSaZOpCgXHw|</t>
  </si>
  <si>
    <t>#SwordTwinStudios OR "Sword Twin Studios"</t>
  </si>
  <si>
    <t>#StrangeScaffold | "Strange Scaffold"</t>
  </si>
  <si>
    <r>
      <rPr>
        <rFont val="Arial"/>
        <color rgb="FF000000"/>
      </rPr>
      <t>https://www.youtube.com/channel/UCBBfpkn-3L1RhBmXxffTg5w</t>
    </r>
    <r>
      <rPr>
        <rFont val="Arial"/>
        <color rgb="FF000000"/>
      </rPr>
      <t>|</t>
    </r>
  </si>
  <si>
    <t>Developer - StrangeGraphs</t>
  </si>
  <si>
    <t>Synodic Arc</t>
  </si>
  <si>
    <t>https://www.youtube.com/channel/UC6v0W6FYp5yAwpQ6vyfdAHA|</t>
  </si>
  <si>
    <t>#SynodicArc OR "Synodic Arc"</t>
  </si>
  <si>
    <t>#StrangeGraphs | "StrangeGraphs"</t>
  </si>
  <si>
    <t>Developer - Strangely Named Studio</t>
  </si>
  <si>
    <t>System 3</t>
  </si>
  <si>
    <t>#System3 OR "System 3"</t>
  </si>
  <si>
    <t>#StrangelyNamedStudio | "Strangely Named Studio"</t>
  </si>
  <si>
    <t>Developer - Strategy First</t>
  </si>
  <si>
    <t>System Era Softworks</t>
  </si>
  <si>
    <t>https://www.youtube.com/channel/UCkpGuffDLnLlLv8fdoBDnnw|</t>
  </si>
  <si>
    <t>#SystemEraSoftworks OR "System Era Softworks"</t>
  </si>
  <si>
    <t>#StrategyFirst | "Strategy First"</t>
  </si>
  <si>
    <t>Developer - Stray Fawn Studio</t>
  </si>
  <si>
    <t>Systemic Reaction</t>
  </si>
  <si>
    <t>https://www.youtube.com/channel/UCdsEYY0uvjhJZ8cC7TDC_fw|</t>
  </si>
  <si>
    <t>#SystemicReaction OR "Systemic Reaction"</t>
  </si>
  <si>
    <t>#StrayFawnStudio | "Stray Fawn Studio"</t>
  </si>
  <si>
    <t>Developer - Strelka Games</t>
  </si>
  <si>
    <t>Table Flip Games</t>
  </si>
  <si>
    <t>https://www.youtube.com/channel/UCjG7y5Iw4TLHcK6ckuqUj_A|</t>
  </si>
  <si>
    <t>#TableFlipGames OR "Table Flip Games"</t>
  </si>
  <si>
    <t>#StrelkaGames | "Strelka Games"</t>
  </si>
  <si>
    <t>Developer - Stroboskop</t>
  </si>
  <si>
    <t>TACS Games</t>
  </si>
  <si>
    <t>#TACSGames OR "TACS Games"</t>
  </si>
  <si>
    <t>#Stroboskop | "Stroboskop"</t>
  </si>
  <si>
    <r>
      <rPr>
        <rFont val="Arial"/>
        <color rgb="FF000000"/>
      </rPr>
      <t>https://www.youtube.com/channel/UChcYUvaZoxl52tTDf6NTdlQ</t>
    </r>
    <r>
      <rPr>
        <rFont val="Arial"/>
        <color rgb="FF000000"/>
      </rPr>
      <t>|</t>
    </r>
  </si>
  <si>
    <t>Developer - Studica Solution</t>
  </si>
  <si>
    <t>#StudicaSolution OR "Studica Solution"</t>
  </si>
  <si>
    <t>TADVGames Studio</t>
  </si>
  <si>
    <r>
      <rPr>
        <rFont val="Calibri, sans-serif"/>
        <color rgb="FF000000"/>
        <sz val="10.0"/>
        <u/>
      </rPr>
      <t>https://www.youtube.com/channel/UCKxIufxWKk3aq8hqVlXvH7g</t>
    </r>
    <r>
      <rPr>
        <rFont val="Calibri, sans-serif"/>
        <color rgb="FF000000"/>
        <sz val="10.0"/>
      </rPr>
      <t>|</t>
    </r>
  </si>
  <si>
    <t>#TADVGamesStudio OR "TADVGames Studio"</t>
  </si>
  <si>
    <t>#StudicaSolution | "Studica Solution"</t>
  </si>
  <si>
    <t>Developer - Studio Aurum</t>
  </si>
  <si>
    <t>#StudioAurum OR "Studio Aurum"</t>
  </si>
  <si>
    <t>TaGa</t>
  </si>
  <si>
    <t>#TaGa OR "TaGa"</t>
  </si>
  <si>
    <t>#StudioAurum | "Studio Aurum"</t>
  </si>
  <si>
    <t>https://www.youtube.com/channel/UCNYMCRyUCnjwkpK0PRIYjlQ|</t>
  </si>
  <si>
    <t>Developer - Studio Craft Development</t>
  </si>
  <si>
    <t>Taito Corporation</t>
  </si>
  <si>
    <t>https://www.youtube.com/user/taitochannel|</t>
  </si>
  <si>
    <t>#TaitoCorporation OR "Taito Corporation"</t>
  </si>
  <si>
    <t>#StudioCraftDevelopment | "Studio Craft Development"</t>
  </si>
  <si>
    <t>Developer - Studio Fizbin</t>
  </si>
  <si>
    <t>#StudioFizbin OR "Studio Fizbin"</t>
  </si>
  <si>
    <t>Take-Two Interactive</t>
  </si>
  <si>
    <t>#StudioFizbin | "Studio Fizbin"</t>
  </si>
  <si>
    <t>Developer - Studio Koba</t>
  </si>
  <si>
    <t>#StudioKoba OR "Studio Koba"</t>
  </si>
  <si>
    <t>Taleworlds Entertainment</t>
  </si>
  <si>
    <t>https://www.youtube.com/channel/UC26Cwg9HjAR2mGiUQAInQxg|</t>
  </si>
  <si>
    <t>#TaleworldsEntertainment OR "Taleworlds Entertainment"</t>
  </si>
  <si>
    <t>#StudioKoba | "Studio Koba"</t>
  </si>
  <si>
    <t>https://www.youtube.com/channel/UCuCFG2SQPrjBvo-ITDpnXAw|</t>
  </si>
  <si>
    <t>Developer - Studio MDHR</t>
  </si>
  <si>
    <t>Tammeka Games</t>
  </si>
  <si>
    <t>#TammekaGames OR "Tammeka Games"</t>
  </si>
  <si>
    <t>#StudioMDHR | "Studio MDHR"</t>
  </si>
  <si>
    <t>Developer - Studio Mercato</t>
  </si>
  <si>
    <t>Tantalus</t>
  </si>
  <si>
    <t>https://www.youtube.com/user/TantalusMedia|</t>
  </si>
  <si>
    <t>#Tantalus OR "Tantalus"</t>
  </si>
  <si>
    <t>#StudioMercato | "Studio Mercato"</t>
  </si>
  <si>
    <t>Developer - Studio Nisse LLC</t>
  </si>
  <si>
    <t>TAP Industries</t>
  </si>
  <si>
    <t>#TAPIndustries OR "TAP Industries"</t>
  </si>
  <si>
    <t>#StudioNisseLLC | "Studio Nisse LLC"</t>
  </si>
  <si>
    <t>Developer - Studio Pixel Punk</t>
  </si>
  <si>
    <t>#StudioPixelPunk OR "Studio Pixel Punk"</t>
  </si>
  <si>
    <t>Targem Games</t>
  </si>
  <si>
    <t>https://www.youtube.com/user/TargemGames|</t>
  </si>
  <si>
    <t>#TargemGames OR "Targem Games"</t>
  </si>
  <si>
    <t>#StudioPixelPunk | "Studio Pixel Punk"</t>
  </si>
  <si>
    <t>https://www.youtube.com/channel/UC7cJryPAFD3xUgWIloQyulg|</t>
  </si>
  <si>
    <t>Developer - Studio Thunderhorse</t>
  </si>
  <si>
    <t>#StudioThunderhorse OR "Studio Thunderhorse"</t>
  </si>
  <si>
    <t>Tarsier Studios</t>
  </si>
  <si>
    <t>#StudioThunderhorse | "Studio Thunderhorse"</t>
  </si>
  <si>
    <t>https://www.youtube.com/channel/UC-60Luu-1mWCnEsxGYUTt6Q|</t>
  </si>
  <si>
    <t>Developer - Studio Wildcard</t>
  </si>
  <si>
    <t>Tarsier Studios Publishing AB</t>
  </si>
  <si>
    <t>#TarsierStudiosPublishingAB OR "Tarsier Studios Publishing AB"</t>
  </si>
  <si>
    <t>#StudioWildcard | "Studio Wildcard"</t>
  </si>
  <si>
    <t>Developer - StudioInkyfox</t>
  </si>
  <si>
    <t>#StudioInkyfox OR "StudioInkyfox"</t>
  </si>
  <si>
    <t>Tate Multimedia</t>
  </si>
  <si>
    <t>https://www.youtube.com/channel/UCPZzXCAYz3-CfiO635GGPCQ|</t>
  </si>
  <si>
    <t>#TateMultimedia OR "Tate Multimedia"</t>
  </si>
  <si>
    <t>#StudioInkyfox | "StudioInkyfox"</t>
  </si>
  <si>
    <t>https://www.youtube.com/channel/UCDczlLf1Nhet09hSRgEirZw|</t>
  </si>
  <si>
    <t>Developer - Studios Illogika</t>
  </si>
  <si>
    <t>TDZ Games</t>
  </si>
  <si>
    <t>https://www.youtube.com/channel/UClxePgOdO0JVoBRM4Y8XMLA|</t>
  </si>
  <si>
    <t>#TDZGames OR "TDZ Games"</t>
  </si>
  <si>
    <t>#StudiosIllogika | "Studios Illogika"</t>
  </si>
  <si>
    <t>Developer - Subliminal</t>
  </si>
  <si>
    <t>Team Asobi</t>
  </si>
  <si>
    <r>
      <rPr>
        <rFont val="Calibri, sans-serif"/>
        <color rgb="FF000000"/>
        <sz val="10.0"/>
        <u/>
      </rPr>
      <t>https://www.youtube.com/channel/UCxBmB-utG097axaChCM5xkA</t>
    </r>
    <r>
      <rPr>
        <rFont val="Calibri, sans-serif"/>
        <color rgb="FF000000"/>
        <sz val="10.0"/>
      </rPr>
      <t>|</t>
    </r>
  </si>
  <si>
    <t>#TeamAsobi OR "Team Asobi"</t>
  </si>
  <si>
    <t>#Subliminal | "Subliminal"</t>
  </si>
  <si>
    <t>Developer - Sucker Punch</t>
  </si>
  <si>
    <t>#SuckerPunch OR "Sucker Punch"</t>
  </si>
  <si>
    <t>Team Cherry</t>
  </si>
  <si>
    <t>https://www.youtube.com/channel/UCZS2K8ZsUmujTuj3cNMyBSA|</t>
  </si>
  <si>
    <t>#TeamCherry OR "Team Cherry"</t>
  </si>
  <si>
    <t>#SuckerPunch | "Sucker Punch"</t>
  </si>
  <si>
    <t>Developer - Sudden Event Studios</t>
  </si>
  <si>
    <t>#SuddenEventStudios OR "Sudden Event Studios"</t>
  </si>
  <si>
    <t>Team Frizz</t>
  </si>
  <si>
    <t>https://www.youtube.com/channel/UCmGeTwzl19Sq0nUWbJnPAcw|</t>
  </si>
  <si>
    <t>#TeamFrizz OR "Team Frizz"</t>
  </si>
  <si>
    <t>#SuddenEventStudios | "Sudden Event Studios"</t>
  </si>
  <si>
    <t>Developer - Summer Experiments</t>
  </si>
  <si>
    <t>Team Future</t>
  </si>
  <si>
    <t>https://www.youtube.com/channel/UCx8xw_LtqXRMPzYFQ0nVdGA|</t>
  </si>
  <si>
    <t>#TeamFuture OR "Team Future"</t>
  </si>
  <si>
    <t>#SummerExperiments | "Summer Experiments"</t>
  </si>
  <si>
    <t>Developer - Sumo Digital</t>
  </si>
  <si>
    <t>Team Jolly Roger</t>
  </si>
  <si>
    <t>https://www.youtube.com/channel/UC4GGaLIgxc8VAInUMpUyUtA|</t>
  </si>
  <si>
    <t>#TeamJollyRoger OR "Team Jolly Roger"</t>
  </si>
  <si>
    <t>#SumoDigital | "Sumo Digital"</t>
  </si>
  <si>
    <t>Developer - Sumo Newcastle</t>
  </si>
  <si>
    <t>#SumoNewcastle OR "Sumo Newcastle"</t>
  </si>
  <si>
    <t>Team KwaKwa</t>
  </si>
  <si>
    <t>https://www.youtube.com/channel/UC26EjhaP2iP5btqhYKc0umg|</t>
  </si>
  <si>
    <t>#TeamKwaKwa OR "Team KwaKwa"</t>
  </si>
  <si>
    <t>#SumoNewcastle | "Sumo Newcastle"</t>
  </si>
  <si>
    <t>Developer - Sundae Month</t>
  </si>
  <si>
    <t>#SundaeMonth OR "Sundae Month"</t>
  </si>
  <si>
    <t>Team Meat</t>
  </si>
  <si>
    <t>https://www.youtube.com/channel/UCNkVMGSwRmEUahBjuxFOAKw|</t>
  </si>
  <si>
    <t>#TeamMeat OR "Team Meat"</t>
  </si>
  <si>
    <t>#SundaeMonth | "Sundae Month"</t>
  </si>
  <si>
    <t>https://www.youtube.com/channel/UCQLTvHztWv6ndjKFtIEvF1A|</t>
  </si>
  <si>
    <t>Developer - Sunhead Games</t>
  </si>
  <si>
    <t>#SunheadGames OR "Sunhead Games"</t>
  </si>
  <si>
    <t>Team Ninja</t>
  </si>
  <si>
    <t>https://www.youtube.com/user/NinjasHyper|</t>
  </si>
  <si>
    <t>#TeamNinja OR "Team Ninja"</t>
  </si>
  <si>
    <t>#SunheadGames | "Sunhead Games"</t>
  </si>
  <si>
    <t>https://www.youtube.com/channel/UChC5mnL6wsyqMJ27AtHP4vg|</t>
  </si>
  <si>
    <t>Developer - Sunlight Games</t>
  </si>
  <si>
    <t>Team Nugget</t>
  </si>
  <si>
    <t>#TeamNugget OR "Team Nugget"</t>
  </si>
  <si>
    <t>#SunlightGames | "Sunlight Games"</t>
  </si>
  <si>
    <t>Developer - SunSoft</t>
  </si>
  <si>
    <t>team ok</t>
  </si>
  <si>
    <t>https://www.youtube.com/channel/UC_h0Xj5jWJ9Xkr5FjEb4gDA|</t>
  </si>
  <si>
    <t>#teamok OR "team ok"</t>
  </si>
  <si>
    <t>#SunSoft | "SunSoft"</t>
  </si>
  <si>
    <t>Developer - Sunwolf Entertainment</t>
  </si>
  <si>
    <t>#SunwolfEntertainment OR "Sunwolf Entertainment"</t>
  </si>
  <si>
    <t>Team Pesky</t>
  </si>
  <si>
    <t>#TeamPesky OR "Team Pesky"</t>
  </si>
  <si>
    <t>#SunwolfEntertainment | "Sunwolf Entertainment"</t>
  </si>
  <si>
    <t>https://www.youtube.com/channel/UCZ7WJ_g4XB3YDYCGgR6HH8A|</t>
  </si>
  <si>
    <t>Developer - Super Mega Team</t>
  </si>
  <si>
    <t>#SuperMegaTeam OR "Super Mega Team"</t>
  </si>
  <si>
    <t>Team Wizardhat Games</t>
  </si>
  <si>
    <t>https://www.youtube.com/channel/UCbNiIW1Dn4QgTPGKWYGXP8Q|</t>
  </si>
  <si>
    <t>#TeamWizardhatGames OR "Team Wizardhat Games"</t>
  </si>
  <si>
    <t>#SuperMegaTeam | "Super Mega Team"</t>
  </si>
  <si>
    <r>
      <rPr>
        <rFont val="Arial"/>
        <color rgb="FF000000"/>
      </rPr>
      <t>https://www.youtube.com/channel/UCfAvLB9YWwNl7GkjTEQb3ow</t>
    </r>
    <r>
      <rPr>
        <rFont val="Arial"/>
        <color rgb="FF000000"/>
      </rPr>
      <t>|</t>
    </r>
  </si>
  <si>
    <t>Developer - Super PowerUp Games</t>
  </si>
  <si>
    <t>Team17</t>
  </si>
  <si>
    <t>https://www.youtube.com/channel/UC-pYdpQSasQvmocEDWZUotQ|</t>
  </si>
  <si>
    <t>#Team17 OR "Team17"</t>
  </si>
  <si>
    <t>#SuperPowerUpGames | "Super PowerUp Games"</t>
  </si>
  <si>
    <t>Developer - Super Villain Games</t>
  </si>
  <si>
    <t>Team2Bit</t>
  </si>
  <si>
    <t>https://www.youtube.com/user/team2bit|</t>
  </si>
  <si>
    <t>#Team2Bit OR "Team2Bit"</t>
  </si>
  <si>
    <t>#SuperVillainGames | "Super Villain Games"</t>
  </si>
  <si>
    <t>Developer - Supergiant Games</t>
  </si>
  <si>
    <t>TeamKill Media LLC</t>
  </si>
  <si>
    <t>https://www.youtube.com/channel/UCcmAc6TjaqnAy0fm0TRluDQ/featured|</t>
  </si>
  <si>
    <t>#TeamKillMediaLLC OR "TeamKill Media LLC"</t>
  </si>
  <si>
    <t>#SupergiantGames | "Supergiant Games"</t>
  </si>
  <si>
    <t>Developer - Supergonk Ltd.</t>
  </si>
  <si>
    <t>#SupergonkLtd OR "Supergonk Ltd."</t>
  </si>
  <si>
    <t>Techland</t>
  </si>
  <si>
    <t>#SupergonkLtd | "Supergonk Ltd."</t>
  </si>
  <si>
    <t>https://www.youtube.com/channel/UCHFmcnj3HnUT5g5O6Hf_LfA|</t>
  </si>
  <si>
    <t>Developer - SUPERHOT</t>
  </si>
  <si>
    <t>Tecmo Koei America Corp.</t>
  </si>
  <si>
    <t>#TecmoKoeiAmericaCorp OR "Tecmo Koei America Corp."</t>
  </si>
  <si>
    <t>#SUPERHOT | "SUPERHOT"</t>
  </si>
  <si>
    <t>Developer - Supermassive Games</t>
  </si>
  <si>
    <t>Tecmo Koei Games</t>
  </si>
  <si>
    <t>#TecmoKoeiGames OR "Tecmo Koei Games"</t>
  </si>
  <si>
    <t>#SupermassiveGames | "Supermassive Games"</t>
  </si>
  <si>
    <t>Developer - Superstring</t>
  </si>
  <si>
    <t>#Superstring OR "Superstring"</t>
  </si>
  <si>
    <t>Teflon</t>
  </si>
  <si>
    <r>
      <rPr>
        <rFont val="Calibri, sans-serif"/>
        <color rgb="FF000000"/>
        <sz val="10.0"/>
        <u/>
      </rPr>
      <t>https://www.youtube.com/channel/UCLJJYGPi-sIMg3zsyLvNKng</t>
    </r>
    <r>
      <rPr>
        <rFont val="Calibri, sans-serif"/>
        <color rgb="FF000000"/>
        <sz val="10.0"/>
      </rPr>
      <t>|</t>
    </r>
  </si>
  <si>
    <t>#Teflon OR "Teflon"</t>
  </si>
  <si>
    <t>#Superstring | "Superstring"</t>
  </si>
  <si>
    <r>
      <rPr>
        <rFont val="Arial"/>
        <color rgb="FF000000"/>
      </rPr>
      <t>https://www.youtube.com/channel/UCn222cBcIIJxP9XUIU-M3Bg</t>
    </r>
    <r>
      <rPr>
        <rFont val="Arial"/>
        <color rgb="FF000000"/>
      </rPr>
      <t>|</t>
    </r>
  </si>
  <si>
    <t>Developer - SuperVillain Studios</t>
  </si>
  <si>
    <t>#SuperVillainStudios OR "SuperVillain Studios"</t>
  </si>
  <si>
    <t>Teku Studios</t>
  </si>
  <si>
    <t>#TekuStudios OR "Teku Studios"</t>
  </si>
  <si>
    <t>#SuperVillainStudios | "SuperVillain Studios"</t>
  </si>
  <si>
    <t>https://www.youtube.com/channel/UCBz-IZ-0NDLGuHx4pJ2pm_w|</t>
  </si>
  <si>
    <t>Developer - Supra Games</t>
  </si>
  <si>
    <t>Telltale Games</t>
  </si>
  <si>
    <t>https://www.youtube.com/user/TelltaleGames|</t>
  </si>
  <si>
    <t>#TelltaleGames OR "Telltale Games"</t>
  </si>
  <si>
    <t>#SupraGames | "Supra Games"</t>
  </si>
  <si>
    <t>Developer - Surprise Attack</t>
  </si>
  <si>
    <t>Tenbirds</t>
  </si>
  <si>
    <t>https://www.youtube.com/channel/UCHv4QGQOBoq9xaEizEBMs4g|</t>
  </si>
  <si>
    <t>#Tenbirds OR "Tenbirds"</t>
  </si>
  <si>
    <t>#SurpriseAttack | "Surprise Attack"</t>
  </si>
  <si>
    <t>Developer - Survios</t>
  </si>
  <si>
    <t>Tender Claws</t>
  </si>
  <si>
    <t>https://www.youtube.com/channel/UC-fROl5tQxgo4dpjQGp9rjw|</t>
  </si>
  <si>
    <t>#TenderClaws OR "Tender Claws"</t>
  </si>
  <si>
    <t>#Survios | "Survios"</t>
  </si>
  <si>
    <t>Developer - Sushee</t>
  </si>
  <si>
    <t>#Sushee OR "Sushee"</t>
  </si>
  <si>
    <t>Teotl Studios</t>
  </si>
  <si>
    <t>#TeotlStudios OR "Teotl Studios"</t>
  </si>
  <si>
    <t>#Sushee | "Sushee"</t>
  </si>
  <si>
    <t>Developer - Suspension Games</t>
  </si>
  <si>
    <t>Tequila Works</t>
  </si>
  <si>
    <t>https://www.youtube.com/user/tequilaworks|</t>
  </si>
  <si>
    <t>#TequilaWorks OR "Tequila Works"</t>
  </si>
  <si>
    <t>#SuspensionGames | "Suspension Games"</t>
  </si>
  <si>
    <t>Developer - Suzaku</t>
  </si>
  <si>
    <t>#Suzaku OR "Suzaku"</t>
  </si>
  <si>
    <t>Terahard</t>
  </si>
  <si>
    <t>https://www.youtube.com/channel/UCAgvDMRAs9wPsJ2bepfp2Sg|</t>
  </si>
  <si>
    <t>#Terahard OR "Terahard"</t>
  </si>
  <si>
    <t>#Suzaku | "Suzaku"</t>
  </si>
  <si>
    <r>
      <rPr>
        <rFont val="Arial"/>
        <color rgb="FF000000"/>
      </rPr>
      <t>https://www.youtube.com/channel/UC7qnV14k43mtg1nqOUlRFxw</t>
    </r>
    <r>
      <rPr>
        <rFont val="Arial"/>
        <color rgb="FF000000"/>
      </rPr>
      <t>|</t>
    </r>
  </si>
  <si>
    <t>Developer - SVC Games</t>
  </si>
  <si>
    <t>Terahard Ltd</t>
  </si>
  <si>
    <t>#TerahardLtd OR "Terahard Ltd"</t>
  </si>
  <si>
    <t>#SVCGames | "SVC Games"</t>
  </si>
  <si>
    <t>Developer - Swing Swing Submarine</t>
  </si>
  <si>
    <t>Terminal Press</t>
  </si>
  <si>
    <t>#TerminalPress OR "Terminal Press"</t>
  </si>
  <si>
    <t>#SwingSwingSubmarine | "Swing Swing Submarine"</t>
  </si>
  <si>
    <t>Developer - Sword Twin Studios</t>
  </si>
  <si>
    <t>TERNOX</t>
  </si>
  <si>
    <t>https://www.youtube.com/channel/UC1rKs1kvj_f1S7lwpHGZ9TQ|</t>
  </si>
  <si>
    <t>#TERNOX OR "TERNOX"</t>
  </si>
  <si>
    <t>#SwordTwinStudios | "Sword Twin Studios"</t>
  </si>
  <si>
    <t>Developer - System 3</t>
  </si>
  <si>
    <t>Terrible Posture Games</t>
  </si>
  <si>
    <t>https://www.youtube.com/channel/UCflxX6yN2LpNitQ_qVfAVsA|</t>
  </si>
  <si>
    <t>#TerriblePostureGames OR "Terrible Posture Games"</t>
  </si>
  <si>
    <t>#System3 | "System 3"</t>
  </si>
  <si>
    <t>Developer - System Era Softworks</t>
  </si>
  <si>
    <t>Terrible Toybox</t>
  </si>
  <si>
    <t>#TerribleToybox OR "Terrible Toybox"</t>
  </si>
  <si>
    <t>#SystemEraSoftworks | "System Era Softworks"</t>
  </si>
  <si>
    <t>Developer - System Vision</t>
  </si>
  <si>
    <t>#SystemVision OR "System Vision"</t>
  </si>
  <si>
    <t>Teyon</t>
  </si>
  <si>
    <t>https://www.youtube.com/channel/UCwrSnOQVHL5YLiYScrt3DJA|</t>
  </si>
  <si>
    <t>#Teyon OR "Teyon"</t>
  </si>
  <si>
    <t>#SystemVision | "System Vision"</t>
  </si>
  <si>
    <t>Developer - T-Rex Games</t>
  </si>
  <si>
    <t>#TRexGames OR "T-Rex Games"</t>
  </si>
  <si>
    <t>TG999</t>
  </si>
  <si>
    <t>#TG999 OR "TG999"</t>
  </si>
  <si>
    <t>#TRexGames | "T-Rex Games"</t>
  </si>
  <si>
    <t>https://www.youtube.com/channel/UCmJTNPkdfvZyZWTFtE3iHfg|</t>
  </si>
  <si>
    <t>Developer - Table Flip Games</t>
  </si>
  <si>
    <t>Thar Games</t>
  </si>
  <si>
    <t>#TharGames OR "Thar Games"</t>
  </si>
  <si>
    <t>#TableFlipGames | "Table Flip Games"</t>
  </si>
  <si>
    <t>Developer - TACS Games</t>
  </si>
  <si>
    <t>The Arcade Crew</t>
  </si>
  <si>
    <t>https://www.youtube.com/channel/UCNAeeGHNItKephyVy80NpPw|</t>
  </si>
  <si>
    <t>#TheArcadeCrew OR "The Arcade Crew"</t>
  </si>
  <si>
    <t>#TACSGames | "TACS Games"</t>
  </si>
  <si>
    <t>Developer - TADVGames Studio</t>
  </si>
  <si>
    <t>The Astronauts</t>
  </si>
  <si>
    <r>
      <rPr>
        <rFont val="Calibri, sans-serif"/>
        <color rgb="FF000000"/>
        <sz val="10.0"/>
        <u/>
      </rPr>
      <t>https://www.youtube.com/channel/UCxl65kuznpzkNzUZZqitAZg</t>
    </r>
    <r>
      <rPr>
        <rFont val="Calibri, sans-serif"/>
        <color rgb="FF000000"/>
        <sz val="10.0"/>
      </rPr>
      <t>|</t>
    </r>
  </si>
  <si>
    <t>#TheAstronauts OR "The Astronauts"</t>
  </si>
  <si>
    <t>#TADVGamesStudio | "TADVGames Studio"</t>
  </si>
  <si>
    <t>Developer - TaGa</t>
  </si>
  <si>
    <t>The Behemoth</t>
  </si>
  <si>
    <t>https://www.youtube.com/channel/UC5Erigi5VK0a_UVg4bzT29A|</t>
  </si>
  <si>
    <t>#TheBehemoth OR "The Behemoth"</t>
  </si>
  <si>
    <t>#TaGa | "TaGa"</t>
  </si>
  <si>
    <t>Developer - Tahoe Games</t>
  </si>
  <si>
    <t>#TahoeGames OR "Tahoe Games"</t>
  </si>
  <si>
    <t>The Binary Mill</t>
  </si>
  <si>
    <t>https://www.youtube.com/channel/UCvMLhHtFHk-Qz57ADdMsFjg|</t>
  </si>
  <si>
    <t>#TheBinaryMill OR "The Binary Mill"</t>
  </si>
  <si>
    <t>#TahoeGames | "Tahoe Games"</t>
  </si>
  <si>
    <t>https://www.youtube.com/channel/UCdjfJR7I7JxZ-jwbCVXuDdw|</t>
  </si>
  <si>
    <t>Developer - Taito Corporation</t>
  </si>
  <si>
    <t>The Chinese Room</t>
  </si>
  <si>
    <t>https://www.youtube.com/channel/UCCCOLicvwKGiBv-MZjdbilw|</t>
  </si>
  <si>
    <t>#TheChineseRoom OR "The Chinese Room"</t>
  </si>
  <si>
    <t>#TaitoCorporation | "Taito Corporation"</t>
  </si>
  <si>
    <t>Developer - Taleworlds Entertainment</t>
  </si>
  <si>
    <t>The Deep End Games</t>
  </si>
  <si>
    <t>https://www.youtube.com/channel/UC0nt6rc6UpxiVuNEmB4suBw|</t>
  </si>
  <si>
    <t>#TheDeepEndGames OR "The Deep End Games"</t>
  </si>
  <si>
    <t>#TaleworldsEntertainment | "Taleworlds Entertainment"</t>
  </si>
  <si>
    <t>Developer - Talpa Games</t>
  </si>
  <si>
    <t>#TalpaGames OR "Talpa Games"</t>
  </si>
  <si>
    <t>The Digital Lounge</t>
  </si>
  <si>
    <t>https://www.youtube.com/user/TheDigitaLounge|</t>
  </si>
  <si>
    <t>#TheDigitalLounge OR "The Digital Lounge"</t>
  </si>
  <si>
    <t>#TalpaGames | "Talpa Games"</t>
  </si>
  <si>
    <t>https://www.youtube.com/channel/UC8jK9tVGYaiCizEK1jYcdCw|</t>
  </si>
  <si>
    <t>Developer - Tango Gameworks</t>
  </si>
  <si>
    <t>#TangoGameworks OR "Tango Gameworks"</t>
  </si>
  <si>
    <t>The Domaginarium</t>
  </si>
  <si>
    <t>https://www.youtube.com/user/TheDomaginarium|</t>
  </si>
  <si>
    <t>#TheDomaginarium OR "The Domaginarium"</t>
  </si>
  <si>
    <t>#TangoGameworks | "Tango Gameworks"</t>
  </si>
  <si>
    <t>Developer - Tantalus</t>
  </si>
  <si>
    <t>The Drone Racing League</t>
  </si>
  <si>
    <r>
      <rPr>
        <rFont val="Calibri, sans-serif"/>
        <color rgb="FF000000"/>
        <sz val="10.0"/>
        <u/>
      </rPr>
      <t>https://www.youtube.com/channel/UCiVmHW7d57ICmEf9WGIp1CA</t>
    </r>
    <r>
      <rPr>
        <rFont val="Calibri, sans-serif"/>
        <color rgb="FF000000"/>
        <sz val="10.0"/>
      </rPr>
      <t>|</t>
    </r>
  </si>
  <si>
    <t>#TheDroneRacingLeague OR "The Drone Racing League"</t>
  </si>
  <si>
    <t>#Tantalus | "Tantalus"</t>
  </si>
  <si>
    <t>Developer - TAP Industries</t>
  </si>
  <si>
    <t>The Farm 51</t>
  </si>
  <si>
    <t>https://www.youtube.com/channel/UC97OKn_s0Ed-PTTmrDqPIbg|</t>
  </si>
  <si>
    <t>#TheFarm51 OR "The Farm 51"</t>
  </si>
  <si>
    <t>#TAPIndustries | "TAP Industries"</t>
  </si>
  <si>
    <t>Developer - Targem Games</t>
  </si>
  <si>
    <t>The Fox Software</t>
  </si>
  <si>
    <t>https://www.youtube.com/channel/UCZ019YKCr1XoDiX02aJ4ZYA|</t>
  </si>
  <si>
    <t>#TheFoxSoftware OR "The Fox Software"</t>
  </si>
  <si>
    <t>#TargemGames | "Targem Games"</t>
  </si>
  <si>
    <t>Developer - Tatamibeya</t>
  </si>
  <si>
    <t>#Tatamibeya OR "Tatamibeya"</t>
  </si>
  <si>
    <t>The Fullbright Company</t>
  </si>
  <si>
    <t>https://www.youtube.com/user/TheFullbrightCompany|</t>
  </si>
  <si>
    <t>#TheFullbrightCompany OR "The Fullbright Company"</t>
  </si>
  <si>
    <t>#Tatamibeya | "Tatamibeya"</t>
  </si>
  <si>
    <t>https://www.youtube.com/channel/UCYi1pUvnVbFqSLb3wcT-wIQ|</t>
  </si>
  <si>
    <t>Developer - Tate Multimedia</t>
  </si>
  <si>
    <t>The Fyzz Facility</t>
  </si>
  <si>
    <t>#TheFyzzFacility OR "The Fyzz Facility"</t>
  </si>
  <si>
    <t>#TateMultimedia | "Tate Multimedia"</t>
  </si>
  <si>
    <t>Developer - Team Alto</t>
  </si>
  <si>
    <t>#TeamAlto OR "Team Alto"</t>
  </si>
  <si>
    <t>The Game Bakers</t>
  </si>
  <si>
    <t>https://www.youtube.com/channel/UCXfQdFCdGq5QEvwzk3vH6Xw|</t>
  </si>
  <si>
    <t>#TheGameBakers OR "The Game Bakers"</t>
  </si>
  <si>
    <t>#TeamAlto | "Team Alto"</t>
  </si>
  <si>
    <t>Developer - Team Bondi</t>
  </si>
  <si>
    <t>#TeamBondi OR "Team Bondi"</t>
  </si>
  <si>
    <t>The Game Kitchen</t>
  </si>
  <si>
    <t>https://www.youtube.com/channel/UCx1laWMckh7XdjzRo1NzKPw|</t>
  </si>
  <si>
    <t>#TheGameKitchen OR "The Game Kitchen"</t>
  </si>
  <si>
    <t>#TeamBondi | "Team Bondi"</t>
  </si>
  <si>
    <t>Developer - Team Cherry</t>
  </si>
  <si>
    <t>The Game Room</t>
  </si>
  <si>
    <t>#TheGameRoom OR "The Game Room"</t>
  </si>
  <si>
    <t>#TeamCherry | "Team Cherry"</t>
  </si>
  <si>
    <t>Developer - Team Frizz</t>
  </si>
  <si>
    <t>The Gentlebros</t>
  </si>
  <si>
    <t>https://www.youtube.com/channel/UCiaJznIDfoNiFSYNMjQUV6g|</t>
  </si>
  <si>
    <t>#TheGentlebros OR "The Gentlebros"</t>
  </si>
  <si>
    <t>#TeamFrizz | "Team Frizz"</t>
  </si>
  <si>
    <t>Developer - Team Jolly Roger</t>
  </si>
  <si>
    <t>The Good Mood Creators</t>
  </si>
  <si>
    <t>https://www.youtube.com/channel/UCz8HxGDcaqGtnphy1AzijJg|</t>
  </si>
  <si>
    <t>#TheGoodMoodCreators OR "The Good Mood Creators"</t>
  </si>
  <si>
    <t>#TeamJollyRoger | "Team Jolly Roger"</t>
  </si>
  <si>
    <t>Developer - Team Junkfish</t>
  </si>
  <si>
    <t>#TeamJunkfish OR "Team Junkfish"</t>
  </si>
  <si>
    <t>THE GREYSKULL COMPANY</t>
  </si>
  <si>
    <t>#THEGREYSKULLCOMPANY OR "THE GREYSKULL COMPANY"</t>
  </si>
  <si>
    <t>#TeamJunkfish | "Team Junkfish"</t>
  </si>
  <si>
    <t>https://www.youtube.com/channel/UCI6Q4H0T886Ac5EXIbbvPIA|</t>
  </si>
  <si>
    <t>Developer - Team KwaKwa</t>
  </si>
  <si>
    <t>The Irregular Corporation</t>
  </si>
  <si>
    <t>https://www.youtube.com/channel/UCk-cQ0qHzbnUCgjqSqe0Miw|</t>
  </si>
  <si>
    <t>#TheIrregularCorporation OR "The Irregular Corporation"</t>
  </si>
  <si>
    <t>#TeamKwaKwa | "Team KwaKwa"</t>
  </si>
  <si>
    <t>Developer - Team Meat</t>
  </si>
  <si>
    <t>The Light Sword Team</t>
  </si>
  <si>
    <t>#TheLightSwordTeam OR "The Light Sword Team"</t>
  </si>
  <si>
    <t>#TeamMeat | "Team Meat"</t>
  </si>
  <si>
    <t>Developer - Team Ninja</t>
  </si>
  <si>
    <t>The Men Who Wear Many Hats LLC</t>
  </si>
  <si>
    <t>#TheMenWhoWearManyHatsLLC OR "The Men Who Wear Many Hats LLC"</t>
  </si>
  <si>
    <t>#TeamNinja | "Team Ninja"</t>
  </si>
  <si>
    <t>Developer - Team Nugget</t>
  </si>
  <si>
    <t>The MIX Games</t>
  </si>
  <si>
    <t>#TheMIXGames OR "The MIX Games"</t>
  </si>
  <si>
    <t>#TeamNugget | "Team Nugget"</t>
  </si>
  <si>
    <t>Developer - Team Salvato</t>
  </si>
  <si>
    <t>#TeamSalvato OR "Team Salvato"</t>
  </si>
  <si>
    <t>The Molasses Flood</t>
  </si>
  <si>
    <r>
      <rPr>
        <rFont val="Calibri, sans-serif"/>
        <color rgb="FF000000"/>
        <sz val="10.0"/>
        <u/>
      </rPr>
      <t>https://www.youtube.com/channel/UCVTxypMd5Ff5JewnSfqoOiw</t>
    </r>
    <r>
      <rPr>
        <rFont val="Calibri, sans-serif"/>
        <color rgb="FF000000"/>
        <sz val="10.0"/>
      </rPr>
      <t>|</t>
    </r>
  </si>
  <si>
    <t>#TheMolassesFlood OR "The Molasses Flood"</t>
  </si>
  <si>
    <t>#TeamSalvato | "Team Salvato"</t>
  </si>
  <si>
    <t>https://www.youtube.com/channel/UC41-En1dwTQ6SRtDH0oY8bw|</t>
  </si>
  <si>
    <t>Developer - Team Wizardhat Games</t>
  </si>
  <si>
    <t>The Moonwalls</t>
  </si>
  <si>
    <t>#TheMoonwalls OR "The Moonwalls"</t>
  </si>
  <si>
    <t>#TeamWizardhatGames | "Team Wizardhat Games"</t>
  </si>
  <si>
    <t>Developer - Team17</t>
  </si>
  <si>
    <t>The Munky</t>
  </si>
  <si>
    <t>https://www.youtube.com/channel/UC--ps0kQhbRePv6iUHmmp_g|</t>
  </si>
  <si>
    <t>#TheMunky OR "The Munky"</t>
  </si>
  <si>
    <t>#Team17 | "Team17"</t>
  </si>
  <si>
    <t>Developer - Team2Bit</t>
  </si>
  <si>
    <t>The Muteki Corporation</t>
  </si>
  <si>
    <t>#TheMutekiCorporation OR "The Muteki Corporation"</t>
  </si>
  <si>
    <t>#Team2Bit | "Team2Bit"</t>
  </si>
  <si>
    <t>Developer - teamCOIL</t>
  </si>
  <si>
    <t>#teamCOIL OR "teamCOIL"</t>
  </si>
  <si>
    <t>The pocket company</t>
  </si>
  <si>
    <t>#Thepocketcompany OR "The pocket company"</t>
  </si>
  <si>
    <t>#teamCOIL | "teamCOIL"</t>
  </si>
  <si>
    <t>https://www.youtube.com/channel/UCC28LWcJDZTBCEWgEWIatNA|</t>
  </si>
  <si>
    <t>Developer - teedoubleuGAMES</t>
  </si>
  <si>
    <t>#teedoubleuGAMES OR "teedoubleuGAMES"</t>
  </si>
  <si>
    <t>The Quantum Astrophysicists Guild</t>
  </si>
  <si>
    <t>https://www.youtube.com/channel/UCQkua-szfo0IDh2aaC4-IvA|</t>
  </si>
  <si>
    <t>#TheQuantumAstrophysicistsGuild OR "The Quantum Astrophysicists Guild"</t>
  </si>
  <si>
    <t>#teedoubleuGAMES | "teedoubleuGAMES"</t>
  </si>
  <si>
    <t>Developer - Teflon</t>
  </si>
  <si>
    <t>The Station</t>
  </si>
  <si>
    <t>#TheStation OR "The Station"</t>
  </si>
  <si>
    <t>#Teflon | "Teflon"</t>
  </si>
  <si>
    <t>Developer - Telltale Games</t>
  </si>
  <si>
    <t>The Toolshed LLC</t>
  </si>
  <si>
    <t>#TheToolshedLLC OR "The Toolshed LLC"</t>
  </si>
  <si>
    <t>#TelltaleGames | "Telltale Games"</t>
  </si>
  <si>
    <t>Developer - Tenbirds</t>
  </si>
  <si>
    <t>The Voices Games</t>
  </si>
  <si>
    <t>https://www.youtube.com/channel/UC20jvGg7O40MZzIulv_z6TQ|</t>
  </si>
  <si>
    <t>#TheVoicesGames OR "The Voices Games"</t>
  </si>
  <si>
    <t>#Tenbirds | "Tenbirds"</t>
  </si>
  <si>
    <t>Developer - Tendershoot</t>
  </si>
  <si>
    <t>#Tendershoot OR "Tendershoot"</t>
  </si>
  <si>
    <t>The Voxel Agents</t>
  </si>
  <si>
    <r>
      <rPr>
        <rFont val="Calibri, sans-serif"/>
        <color rgb="FF000000"/>
        <sz val="10.0"/>
        <u/>
      </rPr>
      <t>https://www.youtube.com/channel/UCa5jvPTjjsfkUa8K5cZA6rQ</t>
    </r>
    <r>
      <rPr>
        <rFont val="Calibri, sans-serif"/>
        <color rgb="FF000000"/>
        <sz val="10.0"/>
      </rPr>
      <t>|</t>
    </r>
  </si>
  <si>
    <t>#TheVoxelAgents OR "The Voxel Agents"</t>
  </si>
  <si>
    <t>#Tendershoot | "Tendershoot"</t>
  </si>
  <si>
    <t>Developer - Tequila Works</t>
  </si>
  <si>
    <t>Thekla, Inc</t>
  </si>
  <si>
    <t>#TheklaInc OR "Thekla, Inc"</t>
  </si>
  <si>
    <t>#TequilaWorks | "Tequila Works"</t>
  </si>
  <si>
    <t>Developer - Terahard</t>
  </si>
  <si>
    <t>TheMeatly Games</t>
  </si>
  <si>
    <t>https://www.youtube.com/user/themeatly|</t>
  </si>
  <si>
    <t>#TheMeatlyGames OR "TheMeatly Games"</t>
  </si>
  <si>
    <t>#Terahard | "Terahard"</t>
  </si>
  <si>
    <t>Developer - Terminal Press</t>
  </si>
  <si>
    <t>ThiGames</t>
  </si>
  <si>
    <r>
      <rPr>
        <rFont val="Calibri, sans-serif"/>
        <color rgb="FF000000"/>
        <sz val="10.0"/>
        <u/>
      </rPr>
      <t>https://www.youtube.com/channel/UC17vesUQ9pEa1OouQnp9VXw</t>
    </r>
    <r>
      <rPr>
        <rFont val="Calibri, sans-serif"/>
        <color rgb="FF000000"/>
        <sz val="10.0"/>
      </rPr>
      <t>|</t>
    </r>
  </si>
  <si>
    <t>#ThiGames OR "ThiGames"</t>
  </si>
  <si>
    <t>#TerminalPress | "Terminal Press"</t>
  </si>
  <si>
    <t>Developer - TERNOX</t>
  </si>
  <si>
    <t>ThinkingStars</t>
  </si>
  <si>
    <r>
      <rPr>
        <rFont val="Calibri, sans-serif"/>
        <color rgb="FF000000"/>
        <sz val="10.0"/>
        <u/>
      </rPr>
      <t>https://www.youtube.com/channel/UCoYVs3KslcaFwq8y2bJiLlA</t>
    </r>
    <r>
      <rPr>
        <rFont val="Calibri, sans-serif"/>
        <color rgb="FF000000"/>
        <sz val="10.0"/>
      </rPr>
      <t>|</t>
    </r>
  </si>
  <si>
    <t>#ThinkingStars OR "ThinkingStars"</t>
  </si>
  <si>
    <t>#TERNOX | "TERNOX"</t>
  </si>
  <si>
    <t>Developer - Terrible Posture Games</t>
  </si>
  <si>
    <t>Thirdverse Inc.</t>
  </si>
  <si>
    <t>#ThirdverseInc OR "Thirdverse"</t>
  </si>
  <si>
    <t>#TerriblePostureGames | "Terrible Posture Games"</t>
  </si>
  <si>
    <t>Developer - Teyon</t>
  </si>
  <si>
    <t>THOMAS CLAUS UND FRANK MENZEL</t>
  </si>
  <si>
    <r>
      <rPr>
        <rFont val="Calibri, sans-serif"/>
        <color rgb="FF000000"/>
        <sz val="10.0"/>
        <u/>
      </rPr>
      <t>https://www.youtube.com/channel/UCK9-yypK5Yf2O0sAetWAjmw</t>
    </r>
    <r>
      <rPr>
        <rFont val="Calibri, sans-serif"/>
        <color rgb="FF000000"/>
        <sz val="10.0"/>
      </rPr>
      <t>|</t>
    </r>
  </si>
  <si>
    <t>#THOMASCLAUSUNDFRANKMENZEL OR "THOMAS CLAUS UND FRANK MENZEL"</t>
  </si>
  <si>
    <t>#Teyon | "Teyon"</t>
  </si>
  <si>
    <t>Developer - TG999</t>
  </si>
  <si>
    <t>Thomas Young</t>
  </si>
  <si>
    <t>https://www.youtube.com/channel/UC8brFFKAusbzno21vIR2nHQ|</t>
  </si>
  <si>
    <t>#ThomasYoung OR "Thomas Young"</t>
  </si>
  <si>
    <t>#TG999 | "TG999"</t>
  </si>
  <si>
    <r>
      <rPr>
        <rFont val="Arial"/>
        <color rgb="FF000000"/>
      </rPr>
      <t>https://www.youtube.com/channel/UCjSsTMuLSL2jaTl2uAMY1jg</t>
    </r>
    <r>
      <rPr>
        <rFont val="Arial"/>
        <color rgb="FF000000"/>
      </rPr>
      <t>|</t>
    </r>
  </si>
  <si>
    <t>Developer - Thar Games</t>
  </si>
  <si>
    <t>Thorium Entertainment</t>
  </si>
  <si>
    <t>https://www.youtube.com/channel/UC4e0sLx0ZVw1foZc1GH5NSA|</t>
  </si>
  <si>
    <t>#ThoriumEntertainment OR "Thorium Entertainment"</t>
  </si>
  <si>
    <t>#TharGames | "Thar Games"</t>
  </si>
  <si>
    <t>Developer - The Astronauts</t>
  </si>
  <si>
    <t>Those Awesome Guys</t>
  </si>
  <si>
    <t>https://www.youtube.com/channel/UCG58a6GgIu3z-NlTeDetXuA|</t>
  </si>
  <si>
    <t>#ThoseAwesomeGuys OR "Those Awesome Guys"</t>
  </si>
  <si>
    <t>#TheAstronauts | "The Astronauts"</t>
  </si>
  <si>
    <r>
      <rPr>
        <rFont val="Arial"/>
        <color rgb="FF000000"/>
      </rPr>
      <t>https://www.youtube.com/channel/UCxl65kuznpzkNzUZZqitAZg</t>
    </r>
    <r>
      <rPr>
        <rFont val="Arial"/>
        <color rgb="FF000000"/>
      </rPr>
      <t>|</t>
    </r>
  </si>
  <si>
    <t>Developer - The Bearded Ladies Consulting</t>
  </si>
  <si>
    <t>#TheBeardedLadiesConsulting OR "The Bearded Ladies Consulting"</t>
  </si>
  <si>
    <t>THQ</t>
  </si>
  <si>
    <t>#THQ OR "THQ"</t>
  </si>
  <si>
    <t>#TheBeardedLadiesConsulting | "The Bearded Ladies Consulting"</t>
  </si>
  <si>
    <t>Developer - The Behemoth</t>
  </si>
  <si>
    <t>THQ Nordic</t>
  </si>
  <si>
    <t>#THQNordic OR "THQ Nordic"</t>
  </si>
  <si>
    <t>#TheBehemoth | "The Behemoth"</t>
  </si>
  <si>
    <t>Developer - The Chinese Room</t>
  </si>
  <si>
    <t>Threaks</t>
  </si>
  <si>
    <t>https://www.youtube.com/user/THR3AKS|</t>
  </si>
  <si>
    <t>#Threaks OR "Threaks"</t>
  </si>
  <si>
    <t>#TheChineseRoom | "The Chinese Room"</t>
  </si>
  <si>
    <t>Developer - The Coalition</t>
  </si>
  <si>
    <t>#TheCoalition OR "The Coalition"</t>
  </si>
  <si>
    <t>Three Fields Entertainment</t>
  </si>
  <si>
    <t>#ThreeFieldsEntertainment OR "Three Fields Entertainment"</t>
  </si>
  <si>
    <t>#TheCoalition | "The Coalition"</t>
  </si>
  <si>
    <r>
      <rPr>
        <color rgb="FF1155CC"/>
        <u/>
      </rPr>
      <t>https://www.youtube.com/@LaCoalicion.</t>
    </r>
    <r>
      <rPr/>
      <t>|</t>
    </r>
  </si>
  <si>
    <t>Developer - The Deep End Games</t>
  </si>
  <si>
    <t>Three Gates</t>
  </si>
  <si>
    <t>#ThreeGates OR "Three Gates"</t>
  </si>
  <si>
    <t>#TheDeepEndGames | "The Deep End Games"</t>
  </si>
  <si>
    <t>Developer - The Digital Lounge</t>
  </si>
  <si>
    <t>Threye Interactive</t>
  </si>
  <si>
    <t>https://www.youtube.com/user/ThreyeInc|</t>
  </si>
  <si>
    <t>#ThreyeInteractive OR "Threye Interactive"</t>
  </si>
  <si>
    <t>#TheDigitalLounge | "The Digital Lounge"</t>
  </si>
  <si>
    <t>Developer - The Drone Racing League</t>
  </si>
  <si>
    <t>Through Games</t>
  </si>
  <si>
    <t>#ThroughGames OR "Through Games"</t>
  </si>
  <si>
    <t>#TheDroneRacingLeague | "The Drone Racing League"</t>
  </si>
  <si>
    <t>Developer - The Farm 51</t>
  </si>
  <si>
    <t>Throwback Entertainment</t>
  </si>
  <si>
    <t>#ThrowbackEntertainment OR "Throwback Entertainment"</t>
  </si>
  <si>
    <t>#TheFarm51 | "The Farm 51"</t>
  </si>
  <si>
    <t>Developer - The Fox Software</t>
  </si>
  <si>
    <t>thumbfood Ltd.</t>
  </si>
  <si>
    <t>#thumbfoodLtd OR "thumbfood Ltd."</t>
  </si>
  <si>
    <t>#TheFoxSoftware | "The Fox Software"</t>
  </si>
  <si>
    <t>Developer - The Fullbright Company</t>
  </si>
  <si>
    <t>Thunder Cloud Studio Ltd</t>
  </si>
  <si>
    <t>https://www.youtube.com/channel/UCpyZIcOZjMvFYeFdnJxB4SQ|</t>
  </si>
  <si>
    <t>#ThunderCloudStudioLtd OR "Thunder Cloud Studio Ltd"</t>
  </si>
  <si>
    <t>#TheFullbrightCompany | "The Fullbright Company"</t>
  </si>
  <si>
    <t>Developer - The Game Bakers</t>
  </si>
  <si>
    <t>Thunder Lotus Games</t>
  </si>
  <si>
    <t>https://www.youtube.com/channel/UClsFb-jOAgLOr6n9cSRFk9g|</t>
  </si>
  <si>
    <t>#ThunderLotusGames OR "Thunder Lotus Games"</t>
  </si>
  <si>
    <t>#TheGameBakers | "The Game Bakers"</t>
  </si>
  <si>
    <t>Developer - The Game Kitchen</t>
  </si>
  <si>
    <t>Thunderful</t>
  </si>
  <si>
    <t>#Thunderful OR "Thunderful"</t>
  </si>
  <si>
    <t>#TheGameKitchen | "The Game Kitchen"</t>
  </si>
  <si>
    <t>Developer - The Gentlebros</t>
  </si>
  <si>
    <t>Thylacine Studios</t>
  </si>
  <si>
    <t>https://www.youtube.com/channel/UC4Ubh14qOJaImDzdcwDAd3g|</t>
  </si>
  <si>
    <t>#ThylacineStudios OR "Thylacine Studios"</t>
  </si>
  <si>
    <t>#TheGentlebros | "The Gentlebros"</t>
  </si>
  <si>
    <t>Developer - The Good Mood Creators</t>
  </si>
  <si>
    <t>Tianyu Studio Software Ltd</t>
  </si>
  <si>
    <t>#TianyuStudioSoftwareLtd OR "Tianyu Studio Software Ltd"</t>
  </si>
  <si>
    <t>#TheGoodMoodCreators | "The Good Mood Creators"</t>
  </si>
  <si>
    <t>Developer - The House Of Fables</t>
  </si>
  <si>
    <t>#TheHouseOfFables OR "The House Of Fables"</t>
  </si>
  <si>
    <t>Tic Toc Games</t>
  </si>
  <si>
    <t>https://www.youtube.com/user/TicTocGames|</t>
  </si>
  <si>
    <t>#TicTocGames OR "Tic Toc Games"</t>
  </si>
  <si>
    <t>#TheHouseOfFables | "The House Of Fables"</t>
  </si>
  <si>
    <t>https://www.youtube.com/channel/UCuvYQbxWlCA65oBNyq-Lngw|</t>
  </si>
  <si>
    <t>Developer - The Irregular Corporation</t>
  </si>
  <si>
    <t>TicToc Games</t>
  </si>
  <si>
    <t>#TicTocGames OR "TicToc Games"</t>
  </si>
  <si>
    <t>#TheIrregularCorporation | "The Irregular Corporation"</t>
  </si>
  <si>
    <t>Developer - The Knights of Unity</t>
  </si>
  <si>
    <t>#TheKnightsofUnity OR "The Knights of Unity"</t>
  </si>
  <si>
    <t>TIGAMES</t>
  </si>
  <si>
    <t>https://www.youtube.com/channel/UCv5Pjxctw_XB3m_gwmveBxg|</t>
  </si>
  <si>
    <t>#TIGAMES OR "TIGAMES"</t>
  </si>
  <si>
    <t>#TheKnightsofUnity | "The Knights of Unity"</t>
  </si>
  <si>
    <t>https://www.youtube.com/channel/UCHQ2RXXPrkMmigJoeN_y2cg|</t>
  </si>
  <si>
    <t>Developer - The Light Sword Team</t>
  </si>
  <si>
    <t>Tiger Style</t>
  </si>
  <si>
    <t>#TigerStyle OR "Tiger Style"</t>
  </si>
  <si>
    <t>#TheLightSwordTeam | "The Light Sword Team"</t>
  </si>
  <si>
    <t>Developer - The MIX Games</t>
  </si>
  <si>
    <t>Tigertron</t>
  </si>
  <si>
    <t>https://www.youtube.com/channel/UC0OS5QQHibXrsrWW-8sdx7A|</t>
  </si>
  <si>
    <t>#Tigertron OR "Tigertron"</t>
  </si>
  <si>
    <t>#TheMIXGames | "The MIX Games"</t>
  </si>
  <si>
    <t>Developer - The Molasses Flood</t>
  </si>
  <si>
    <t>Tikipod Limited</t>
  </si>
  <si>
    <t>https://www.youtube.com/user/TikipodLtd|</t>
  </si>
  <si>
    <t>#TikipodLimited OR "Tikipod Limited"</t>
  </si>
  <si>
    <t>#TheMolassesFlood | "The Molasses Flood"</t>
  </si>
  <si>
    <r>
      <rPr>
        <rFont val="Arial"/>
        <color rgb="FF000000"/>
      </rPr>
      <t>https://www.youtube.com/channel/UCVTxypMd5Ff5JewnSfqoOiw</t>
    </r>
    <r>
      <rPr>
        <rFont val="Arial"/>
        <color rgb="FF000000"/>
      </rPr>
      <t>|</t>
    </r>
  </si>
  <si>
    <t>Developer - The Moonwalls</t>
  </si>
  <si>
    <t>Tilting Point</t>
  </si>
  <si>
    <t>https://www.youtube.com/channel/UCRr6MkEsdyD2D1JFBvZjmnQ|</t>
  </si>
  <si>
    <t>#TiltingPoint OR "Tilting Point"</t>
  </si>
  <si>
    <t>#TheMoonwalls | "The Moonwalls"</t>
  </si>
  <si>
    <t>Developer - The Nuttery Entertainment</t>
  </si>
  <si>
    <t>#TheNutteryEntertainment OR "The Nuttery Entertainment"</t>
  </si>
  <si>
    <t>Tim Sheehan</t>
  </si>
  <si>
    <t>#TimSheehan OR "Tim Sheehan"</t>
  </si>
  <si>
    <t>#TheNutteryEntertainment | "The Nuttery Entertainment"</t>
  </si>
  <si>
    <t>https://www.youtube.com/channel/UCmi5K7WXTULS4jKNJg4vMVQ|</t>
  </si>
  <si>
    <t>Developer - The Odd Gentlemen</t>
  </si>
  <si>
    <t>#TheOddGentlemen OR "The Odd Gentlemen"</t>
  </si>
  <si>
    <t>Time of Virtual Reality</t>
  </si>
  <si>
    <t>#TimeofVirtualReality OR "Time of Virtual Reality"</t>
  </si>
  <si>
    <t>#TheOddGentlemen | "The Odd Gentlemen"</t>
  </si>
  <si>
    <t>https://www.youtube.com/channel/UCFbx4R0_NTQIUPhW8YvnZRQ|</t>
  </si>
  <si>
    <t>Developer - The Outer Zone</t>
  </si>
  <si>
    <t>#TheOuterZone OR "The Outer Zone"</t>
  </si>
  <si>
    <t>Tin Man Games</t>
  </si>
  <si>
    <t>https://www.youtube.com/user/TinManGames|</t>
  </si>
  <si>
    <t>#TinManGames OR "Tin Man Games"</t>
  </si>
  <si>
    <t>#TheOuterZone | "The Outer Zone"</t>
  </si>
  <si>
    <t>Developer - The Polygon Loft</t>
  </si>
  <si>
    <t>#ThePolygonLoft OR "The Polygon Loft"</t>
  </si>
  <si>
    <t>Tinimations</t>
  </si>
  <si>
    <t>#Tinimations OR "Tinimations"</t>
  </si>
  <si>
    <t>#ThePolygonLoft | "The Polygon Loft"</t>
  </si>
  <si>
    <t>https://www.youtube.com/channel/UCTjRHfm6VzEdxX5wycKhKxQ|</t>
  </si>
  <si>
    <t>Developer - The Quantum Astrophysicists Guild</t>
  </si>
  <si>
    <t>tinmangames</t>
  </si>
  <si>
    <t>https://www.youtube.com/channel/UCRGETWFVdBoUbejw4wHLECg|</t>
  </si>
  <si>
    <t>#tinmangames OR "tinmangames"</t>
  </si>
  <si>
    <t>#TheQuantumAstrophysicistsGuild | "The Quantum Astrophysicists Guild"</t>
  </si>
  <si>
    <t>Developer - The Station</t>
  </si>
  <si>
    <t>TinMoon Studios</t>
  </si>
  <si>
    <t>#TinMoonStudios OR "TinMoon Studios"</t>
  </si>
  <si>
    <t>#TheStation | "The Station"</t>
  </si>
  <si>
    <t>Developer - The Stonebot Studio</t>
  </si>
  <si>
    <t>#TheStonebotStudio OR "The Stonebot Studio"</t>
  </si>
  <si>
    <t>Tino Games Inc.</t>
  </si>
  <si>
    <t>#TinoGamesInc OR "Tino Games"</t>
  </si>
  <si>
    <t>#TheStonebotStudio | "Stonebot Studio"</t>
  </si>
  <si>
    <t>https://www.youtube.com/channel/UC55rq2wTZkbhLZ4SZl7QB7A|</t>
  </si>
  <si>
    <t>Developer - The Toolshed LLC</t>
  </si>
  <si>
    <t>tiny Build GAMES</t>
  </si>
  <si>
    <t>https://www.youtube.com/channel/UCHLuN_JL66bD8fdJWmQ-gNw|</t>
  </si>
  <si>
    <t>#tinyBuildGAMES OR "tiny Build GAMES"</t>
  </si>
  <si>
    <t>#TheToolshedLLC | "The Toolshed LLC"</t>
  </si>
  <si>
    <t>Developer - The Voxel Agents</t>
  </si>
  <si>
    <t>Tiny Horse Games</t>
  </si>
  <si>
    <t>https://www.youtube.com/channel/UCp3M4yaFAv-HUxbco_t8vXw|</t>
  </si>
  <si>
    <t>#TinyHorseGames OR "Tiny Horse Games"</t>
  </si>
  <si>
    <t>#TheVoxelAgents | "The Voxel Agents"</t>
  </si>
  <si>
    <r>
      <rPr>
        <rFont val="Arial"/>
        <color rgb="FF000000"/>
      </rPr>
      <t>https://www.youtube.com/channel/UCa5jvPTjjsfkUa8K5cZA6rQ</t>
    </r>
    <r>
      <rPr>
        <rFont val="Arial"/>
        <color rgb="FF000000"/>
      </rPr>
      <t>|</t>
    </r>
  </si>
  <si>
    <t>Developer - The Wandering Band LLC</t>
  </si>
  <si>
    <t>#TheWanderingBandLLC OR "The Wandering Band LLC"</t>
  </si>
  <si>
    <t>tinyBuild</t>
  </si>
  <si>
    <t>#tinyBuild OR "tinyBuild"</t>
  </si>
  <si>
    <t>#TheWanderingBandLLC | "The Wandering Band LLC"</t>
  </si>
  <si>
    <t>https://www.youtube.com/channel/UCSRxv3u-lFXxJd4H_sMMxBA|</t>
  </si>
  <si>
    <t>Developer - The Wild Gentlemen</t>
  </si>
  <si>
    <t>#TheWildGentlemen OR "The Wild Gentlemen"</t>
  </si>
  <si>
    <t>Tipping Goat LLC</t>
  </si>
  <si>
    <t>https://www.youtube.com/channel/UC7Nj0pGwIBbYPaC0BYsc8xQ|</t>
  </si>
  <si>
    <t>#TippingGoatLLC OR "Tipping Goat LLC"</t>
  </si>
  <si>
    <t>#TheWildGentlemen | "The Wild Gentlemen"</t>
  </si>
  <si>
    <r>
      <rPr>
        <rFont val="Arial"/>
        <color rgb="FF000000"/>
      </rPr>
      <t>https://www.youtube.com/channel/UCgnOXlHHr9zB0-oVuLzfJOA</t>
    </r>
    <r>
      <rPr>
        <rFont val="Arial"/>
        <color rgb="FF000000"/>
      </rPr>
      <t>|</t>
    </r>
  </si>
  <si>
    <t>Developer - The Workshop</t>
  </si>
  <si>
    <t>#TheWorkshop OR "The Workshop"</t>
  </si>
  <si>
    <t>TNK GAMES</t>
  </si>
  <si>
    <t>#TNKGAMES OR "TNK GAMES"</t>
  </si>
  <si>
    <t>#TheWorkshop | "The Workshop"</t>
  </si>
  <si>
    <t>Developer - TheMeatly Games</t>
  </si>
  <si>
    <t>Toast</t>
  </si>
  <si>
    <t>#Toast OR "Toast"</t>
  </si>
  <si>
    <t>#TheMeatlyGames | "TheMeatly Games"</t>
  </si>
  <si>
    <t>Developer - Thiago Oliveira</t>
  </si>
  <si>
    <t>#ThiagoOliveira OR "Thiago Oliveira"</t>
  </si>
  <si>
    <t>ToasterFuel</t>
  </si>
  <si>
    <r>
      <rPr>
        <rFont val="Calibri, sans-serif"/>
        <color rgb="FF000000"/>
        <sz val="10.0"/>
        <u/>
      </rPr>
      <t>https://www.youtube.com/channel/UCHyijAPNqdjyijyyLeFQRAQ</t>
    </r>
    <r>
      <rPr>
        <rFont val="Calibri, sans-serif"/>
        <color rgb="FF000000"/>
        <sz val="10.0"/>
      </rPr>
      <t>|</t>
    </r>
  </si>
  <si>
    <t>#ToasterFuel OR "ToasterFuel"</t>
  </si>
  <si>
    <t>#ThiagoOliveira | "Thiago Oliveira"</t>
  </si>
  <si>
    <t>Developer - ThiGames</t>
  </si>
  <si>
    <t>tobyfox</t>
  </si>
  <si>
    <t>https://www.youtube.com/channel/UCCUu52ROGdMvbn-KAWikPDA|</t>
  </si>
  <si>
    <t>#tobyfox OR "tobyfox"</t>
  </si>
  <si>
    <t>#ThiGames | "ThiGames"</t>
  </si>
  <si>
    <r>
      <rPr>
        <rFont val="Arial"/>
        <color rgb="FF000000"/>
      </rPr>
      <t>https://www.youtube.com/channel/UC17vesUQ9pEa1OouQnp9VXw</t>
    </r>
    <r>
      <rPr>
        <rFont val="Arial"/>
        <color rgb="FF000000"/>
      </rPr>
      <t>|</t>
    </r>
  </si>
  <si>
    <t>Developer - Thing Trunk</t>
  </si>
  <si>
    <t>#ThingTrunk OR "Thing Trunk"</t>
  </si>
  <si>
    <t>Toge Productions</t>
  </si>
  <si>
    <t>https://www.youtube.com/user/togeproductions|</t>
  </si>
  <si>
    <t>#TogeProductions OR "Toge Productions"</t>
  </si>
  <si>
    <t>#ThingTrunk | "Thing Trunk"</t>
  </si>
  <si>
    <t>https://www.youtube.com/channel/UC0dYgISVxvNijn-73S6oziQ|</t>
  </si>
  <si>
    <t>Developer - Third Spirit</t>
  </si>
  <si>
    <t>#ThirdSpirit OR "Third Spirit"</t>
  </si>
  <si>
    <t>Tom Happ</t>
  </si>
  <si>
    <t>https://www.youtube.com/user/AxiomVerge|</t>
  </si>
  <si>
    <t>#TomHapp OR "Tom Happ"</t>
  </si>
  <si>
    <t>#ThirdSpirit | "Third Spirit"</t>
  </si>
  <si>
    <t>Developer - Thomas Moon Kang</t>
  </si>
  <si>
    <t>#ThomasMoonKang OR "Thomas Moon Kang"</t>
  </si>
  <si>
    <t>TOMAGameStudio</t>
  </si>
  <si>
    <t>#TOMAGameStudio OR "TOMAGameStudio"</t>
  </si>
  <si>
    <t>#ThomasMoonKang | "Thomas Moon Kang"</t>
  </si>
  <si>
    <r>
      <rPr>
        <rFont val="Arial"/>
        <color rgb="FF000000"/>
      </rPr>
      <t>https://www.youtube.com/channel/UCmNqEMfqplLvvenvVkzlBnA</t>
    </r>
    <r>
      <rPr>
        <rFont val="Arial"/>
        <color rgb="FF000000"/>
      </rPr>
      <t>|</t>
    </r>
  </si>
  <si>
    <t>Developer - Thomas Young</t>
  </si>
  <si>
    <t>Tony DE LUCIA</t>
  </si>
  <si>
    <t>#TonyDELUCIA OR "Tony DE LUCIA"</t>
  </si>
  <si>
    <t>#ThomasYoung | "Thomas Young"</t>
  </si>
  <si>
    <t>Developer - Thorium Entertainment</t>
  </si>
  <si>
    <t>Top Hat Interactive</t>
  </si>
  <si>
    <t>https://www.youtube.com/user/bonesyth|</t>
  </si>
  <si>
    <t>#TopHatInteractive OR "Top Hat Interactive"</t>
  </si>
  <si>
    <t>#ThoriumEntertainment | "Thorium Entertainment"</t>
  </si>
  <si>
    <t>Developer - Those Awesome Guys</t>
  </si>
  <si>
    <t>Top Hat Studios Inc</t>
  </si>
  <si>
    <t>https://www.youtube.com/channel/UCsSeP6S-_D3VlKp4zscvCRw|</t>
  </si>
  <si>
    <t>#TopHatStudiosInc OR "Top Hat Studios Inc"</t>
  </si>
  <si>
    <t>#ThoseAwesomeGuys | "Those Awesome Guys"</t>
  </si>
  <si>
    <t>Developer - THQ Nordic</t>
  </si>
  <si>
    <t>Top Rated</t>
  </si>
  <si>
    <t>#TopRated OR "Top Rated"</t>
  </si>
  <si>
    <t>#THQNordic | "THQ Nordic"</t>
  </si>
  <si>
    <t>Developer - Threaks</t>
  </si>
  <si>
    <t>Top Secret Studios</t>
  </si>
  <si>
    <t>#TopSecretStudios OR "Top Secret Studios"</t>
  </si>
  <si>
    <t>#Threaks | "Threaks"</t>
  </si>
  <si>
    <t>Developer - Three Fields Entertainment</t>
  </si>
  <si>
    <t>Toplitz Productions</t>
  </si>
  <si>
    <t>https://www.youtube.com/channel/UCyD5E2GLBzgOhNqTzZ6c2VQ|</t>
  </si>
  <si>
    <t>#ToplitzProductions OR "Toplitz Productions"</t>
  </si>
  <si>
    <t>#ThreeFieldsEntertainment | "Three Fields Entertainment"</t>
  </si>
  <si>
    <t>Developer - Three Gates</t>
  </si>
  <si>
    <t>Topstitch Games</t>
  </si>
  <si>
    <t>https://www.youtube.com/channel/UCl8VOgFLE3tex2G9hNRakag|</t>
  </si>
  <si>
    <t>#TopstitchGames OR "Topstitch Games"</t>
  </si>
  <si>
    <t>#ThreeGates | "Three Gates"</t>
  </si>
  <si>
    <t>Developer - Threye Interactive</t>
  </si>
  <si>
    <t>TopView Studio</t>
  </si>
  <si>
    <t>#TopViewStudio OR "TopView Studio"</t>
  </si>
  <si>
    <t>#ThreyeInteractive | "Threye Interactive"</t>
  </si>
  <si>
    <t>Developer - Through Games</t>
  </si>
  <si>
    <t>Total Commitment Games</t>
  </si>
  <si>
    <t>#TotalCommitmentGames OR "Total Commitment Games"</t>
  </si>
  <si>
    <t>#ThroughGames | "Through Games"</t>
  </si>
  <si>
    <t>Developer - Throughline Games</t>
  </si>
  <si>
    <t>#ThroughlineGames OR "Throughline Games"</t>
  </si>
  <si>
    <t>Total Console</t>
  </si>
  <si>
    <r>
      <rPr>
        <rFont val="Calibri, sans-serif"/>
        <color rgb="FF000000"/>
        <sz val="10.0"/>
        <u/>
      </rPr>
      <t>https://www.youtube.com/channel/UCalIl3SnpvjkumrLJVhLvZg</t>
    </r>
    <r>
      <rPr>
        <rFont val="Calibri, sans-serif"/>
        <color rgb="FF000000"/>
        <sz val="10.0"/>
      </rPr>
      <t>|</t>
    </r>
  </si>
  <si>
    <t>#TotalConsole OR "Total Console"</t>
  </si>
  <si>
    <t>#ThroughlineGames | "Throughline Games"</t>
  </si>
  <si>
    <t>https://www.youtube.com/channel/UCKo2PWDqHgSbWfM5WYnIdCQ|</t>
  </si>
  <si>
    <t>Developer - Throw the Warped Code Out</t>
  </si>
  <si>
    <t>#ThrowtheWarpedCodeOut OR "Throw the Warped Code Out"</t>
  </si>
  <si>
    <t>Total Mayhem Games</t>
  </si>
  <si>
    <t>https://www.youtube.com/channel/UCRyNyXYul21KvZ4_eJ3DbNw|</t>
  </si>
  <si>
    <t>#TotalMayhemGames OR "Total Mayhem Games"</t>
  </si>
  <si>
    <t>#ThrowtheWarpedCodeOut | "Throw the Warped Code Out"</t>
  </si>
  <si>
    <t>https://www.youtube.com/channel/UCJ19Bx56Z9OGjL34TeK5osQ|</t>
  </si>
  <si>
    <t>Developer - Thunder Cloud Studio Ltd</t>
  </si>
  <si>
    <t>Total Monkery</t>
  </si>
  <si>
    <t>https://www.youtube.com/channel/UCsvRUNxb-hnGKz7TeZoURLw|</t>
  </si>
  <si>
    <t>#TotalMonkery OR "Total Monkery"</t>
  </si>
  <si>
    <t>#ThunderCloudStudioLtd | "Thunder Cloud Studio Ltd"</t>
  </si>
  <si>
    <t>Developer - Thunder Lotus Games</t>
  </si>
  <si>
    <t>Totalconsole</t>
  </si>
  <si>
    <r>
      <rPr>
        <rFont val="Calibri, sans-serif"/>
        <color rgb="FF000000"/>
        <sz val="10.0"/>
        <u/>
      </rPr>
      <t>https://www.youtube.com/channel/UCalIl3SnpvjkumrLJVhLvZg</t>
    </r>
    <r>
      <rPr>
        <rFont val="Calibri, sans-serif"/>
        <color rgb="FF000000"/>
        <sz val="10.0"/>
      </rPr>
      <t>|</t>
    </r>
  </si>
  <si>
    <t>#Totalconsole OR "Totalconsole"</t>
  </si>
  <si>
    <t>#ThunderLotusGames | "Thunder Lotus Games"</t>
  </si>
  <si>
    <t>Developer - Thunderful</t>
  </si>
  <si>
    <t>Totema Studio</t>
  </si>
  <si>
    <t>https://www.youtube.com/channel/UCSgn181mRkt932dMpvIwhxg|</t>
  </si>
  <si>
    <t>#TotemaStudio OR "Totema Studio"</t>
  </si>
  <si>
    <t>#Thunderful | "Thunderful"</t>
  </si>
  <si>
    <t>Developer - Thylacine Studios</t>
  </si>
  <si>
    <t>Toucan Studio</t>
  </si>
  <si>
    <t>https://www.youtube.com/channel/UCan1r4D23O7SJKDoxhAfUUw|</t>
  </si>
  <si>
    <t>#ToucanStudio OR "Toucan Studio"</t>
  </si>
  <si>
    <t>#ThylacineStudios | "Thylacine Studios"</t>
  </si>
  <si>
    <t>Developer - Tianyu Studio Software Ltd</t>
  </si>
  <si>
    <t>Tower Five</t>
  </si>
  <si>
    <t>#TowerFive OR "Tower Five"</t>
  </si>
  <si>
    <t>#TianyuStudioSoftwareLtd | "Tianyu Studio Software Ltd"</t>
  </si>
  <si>
    <t>Developer - Tic Toc Games</t>
  </si>
  <si>
    <t>Tower Up Studios</t>
  </si>
  <si>
    <t>https://www.youtube.com/channel/UCMMMf0Ckyz6SfOfJm1pt1Tg|</t>
  </si>
  <si>
    <t>#TowerUpStudios OR "Tower Up Studios"</t>
  </si>
  <si>
    <t>#TicTocGames | "Tic Toc Games"</t>
  </si>
  <si>
    <t>Developer - TIGAMES</t>
  </si>
  <si>
    <t>Toxic Games</t>
  </si>
  <si>
    <t>https://www.youtube.com/channel/UCgnPomHNINaYFR4EaKRClsw|</t>
  </si>
  <si>
    <t>#ToxicGames OR "Toxic Games"</t>
  </si>
  <si>
    <t>#TIGAMES | "TIGAMES"</t>
  </si>
  <si>
    <t>Developer - tiger &amp; squid</t>
  </si>
  <si>
    <t>#tigerandsquid OR "tiger &amp; squid"</t>
  </si>
  <si>
    <t>Toydea</t>
  </si>
  <si>
    <t>#Toydea OR "Toydea"</t>
  </si>
  <si>
    <t>#tigerandsquid | "tiger &amp; squid"</t>
  </si>
  <si>
    <r>
      <rPr>
        <rFont val="Arial"/>
        <color rgb="FF000000"/>
      </rPr>
      <t>https://www.youtube.com/channel/UCW5gRs0EvjBeKhckAG1FNqw</t>
    </r>
    <r>
      <rPr>
        <rFont val="Arial"/>
        <color rgb="FF000000"/>
      </rPr>
      <t>|</t>
    </r>
  </si>
  <si>
    <t>Developer - Tikipod Limited</t>
  </si>
  <si>
    <t>Toylogic Inc.</t>
  </si>
  <si>
    <t>https://www.youtube.com/channel/UC8bSpK3mVwVXr4QgoxPI39Q|</t>
  </si>
  <si>
    <t>#ToylogicInc OR "Toylogic"</t>
  </si>
  <si>
    <t>#TikipodLimited | "Tikipod Limited"</t>
  </si>
  <si>
    <t>Developer - Tim Sheehan</t>
  </si>
  <si>
    <t>Tozai Games</t>
  </si>
  <si>
    <t>https://www.youtube.com/channel/UCKZ4z2BGQh0S_fA7IZpWQ2Q|</t>
  </si>
  <si>
    <t>#TozaiGames OR "Tozai Games"</t>
  </si>
  <si>
    <t>#TimSheehan | "Tim Sheehan"</t>
  </si>
  <si>
    <t>Developer - Tinimations</t>
  </si>
  <si>
    <t>TQC GAMES</t>
  </si>
  <si>
    <t>#TQCGAMES OR "TQC GAMES"</t>
  </si>
  <si>
    <t>#Tinimations | "Tinimations"</t>
  </si>
  <si>
    <t>Developer - tinmangames</t>
  </si>
  <si>
    <t>Traxmaster Software</t>
  </si>
  <si>
    <t>#TraxmasterSoftware OR "Traxmaster Software"</t>
  </si>
  <si>
    <t>#tinmangames | "tinmangames"</t>
  </si>
  <si>
    <t>Developer - Tinogames Inc.</t>
  </si>
  <si>
    <t>#TinogamesInc OR "Tinogames"</t>
  </si>
  <si>
    <t>Treasure</t>
  </si>
  <si>
    <t>#Treasure OR "Treasure"</t>
  </si>
  <si>
    <t>#TinogamesInc | "Tinogames"</t>
  </si>
  <si>
    <t>Developer - tiny Build GAMES</t>
  </si>
  <si>
    <t>Trebuchet</t>
  </si>
  <si>
    <t>https://www.youtube.com/channel/UCTHZAAlSs-QRYYD5qgWrcPQ|</t>
  </si>
  <si>
    <t>#Trebuchet OR "Trebuchet"</t>
  </si>
  <si>
    <t>#tinyBuildGAMES | "tiny Build GAMES"</t>
  </si>
  <si>
    <t>Developer - Tiny Horse Games</t>
  </si>
  <si>
    <t>Trebuchet Entertainment LLC</t>
  </si>
  <si>
    <t>#TrebuchetEntertainmentLLC OR "Trebuchet Entertainment LLC"</t>
  </si>
  <si>
    <t>#TinyHorseGames | "Tiny Horse Games"</t>
  </si>
  <si>
    <t>Developer - tinyBuild</t>
  </si>
  <si>
    <t>Tree Interactive</t>
  </si>
  <si>
    <t>https://www.youtube.com/channel/UC4x4s4_oe5giE-qq4D2l4SQ|</t>
  </si>
  <si>
    <t>#TreeInteractive OR "Tree Interactive"</t>
  </si>
  <si>
    <t>#tinyBuild | "tinyBuild"</t>
  </si>
  <si>
    <t>Developer - Tinymoon</t>
  </si>
  <si>
    <t>#Tinymoon OR "Tinymoon"</t>
  </si>
  <si>
    <t>TreeFall Studios</t>
  </si>
  <si>
    <t>https://www.youtube.com/channel/UC4l6kbboCBKp04ztfVHv3bw|</t>
  </si>
  <si>
    <t>#TreeFallStudios OR "TreeFall Studios"</t>
  </si>
  <si>
    <t>#Tinymoon | "Tinymoon"</t>
  </si>
  <si>
    <t>https://www.youtube.com/channel/UCo18IbzGliOSyB0GPi7BxpQ|</t>
  </si>
  <si>
    <t>Developer - Tipping Goat LLC</t>
  </si>
  <si>
    <t>TreeFall Studios L.L.C.</t>
  </si>
  <si>
    <t>#TreeFallStudiosLLC OR "TreeFall Studios L.L.C."</t>
  </si>
  <si>
    <t>#TippingGoatLLC | "Tipping Goat LLC"</t>
  </si>
  <si>
    <t>Developer - TNK GAMES</t>
  </si>
  <si>
    <t>TreeFortress Games</t>
  </si>
  <si>
    <t>https://www.youtube.com/channel/UCDAKRM71W9xJvndchwh6FqA|</t>
  </si>
  <si>
    <t>#TreeFortressGames OR "TreeFortress Games"</t>
  </si>
  <si>
    <t>#TNKGAMES | "TNK GAMES"</t>
  </si>
  <si>
    <t>Developer - Toadman Interactive</t>
  </si>
  <si>
    <t>#ToadmanInteractive OR "Toadman Interactive"</t>
  </si>
  <si>
    <t>Trendy Entertainment</t>
  </si>
  <si>
    <t>#TrendyEntertainment OR "Trendy Entertainment"</t>
  </si>
  <si>
    <t>#ToadmanInteractive | "Toadman Interactive"</t>
  </si>
  <si>
    <t>https://www.youtube.com/channel/UC1lvBY4oIzG2KSFZBE9N_pA|</t>
  </si>
  <si>
    <t>Developer - ToasterFuel</t>
  </si>
  <si>
    <t>Tresiris Games</t>
  </si>
  <si>
    <t>https://www.youtube.com/channel/UCpz1kcWuYCR9IhXmfxRv7cg|</t>
  </si>
  <si>
    <t>#TresirisGames OR "Tresiris Games"</t>
  </si>
  <si>
    <t>#ToasterFuel | "ToasterFuel"</t>
  </si>
  <si>
    <r>
      <rPr>
        <rFont val="Arial"/>
        <color rgb="FF000000"/>
      </rPr>
      <t>https://www.youtube.com/channel/UCHyijAPNqdjyijyyLeFQRAQ</t>
    </r>
    <r>
      <rPr>
        <rFont val="Arial"/>
        <color rgb="FF000000"/>
      </rPr>
      <t>|</t>
    </r>
  </si>
  <si>
    <t>Developer - tobyfox</t>
  </si>
  <si>
    <t>TREVA</t>
  </si>
  <si>
    <t>#TREVA OR "TREVA"</t>
  </si>
  <si>
    <t>#tobyfox | "tobyfox"</t>
  </si>
  <si>
    <t>Developer - Toge Productions</t>
  </si>
  <si>
    <t>TREVA Entertainment</t>
  </si>
  <si>
    <t>https://www.youtube.com/channel/UCWkjOXph368J7OcyikZ-90g|</t>
  </si>
  <si>
    <t>#TREVAEntertainment OR "TREVA Entertainment"</t>
  </si>
  <si>
    <t>#TogeProductions | "Toge Productions"</t>
  </si>
  <si>
    <t>Developer - Tom Happ</t>
  </si>
  <si>
    <t>Trevor Sorensen</t>
  </si>
  <si>
    <t>#TrevorSorensen OR "Trevor Sorensen"</t>
  </si>
  <si>
    <t>#TomHapp | "Tom Happ"</t>
  </si>
  <si>
    <t>Developer - Tom Hegarty</t>
  </si>
  <si>
    <t>#TomHegarty OR "Tom Hegarty"</t>
  </si>
  <si>
    <t>Tri-Ace</t>
  </si>
  <si>
    <t>#TriAce OR "Tri-Ace"</t>
  </si>
  <si>
    <t>#TomHegarty | "Tom Hegarty"</t>
  </si>
  <si>
    <t>Developer - TOMAGameStudio</t>
  </si>
  <si>
    <t>Tri-Heart Interactive</t>
  </si>
  <si>
    <t>https://www.youtube.com/channel/UCMrbpnB1WRNGWJ50TiJIBKA|</t>
  </si>
  <si>
    <t>#TriHeartInteractive OR "Tri-Heart Interactive"</t>
  </si>
  <si>
    <t>#TOMAGameStudio | "TOMAGameStudio"</t>
  </si>
  <si>
    <r>
      <rPr>
        <rFont val="Arial"/>
        <color rgb="FF000000"/>
      </rPr>
      <t>https://www.youtube.com/channel/UCwgUQB2x-gn_UwCs5uAMfHQ</t>
    </r>
    <r>
      <rPr>
        <rFont val="Arial"/>
        <color rgb="FF000000"/>
      </rPr>
      <t>|</t>
    </r>
  </si>
  <si>
    <t>Developer - Tomas Sala</t>
  </si>
  <si>
    <t>#TomasSala OR "Tomas Sala"</t>
  </si>
  <si>
    <t>Triangle Studios</t>
  </si>
  <si>
    <t>https://www.youtube.com/user/TriangleStudiosNL|</t>
  </si>
  <si>
    <t>#TriangleStudios OR "Triangle Studios"</t>
  </si>
  <si>
    <t>#TomasSala | "Tomas Sala"</t>
  </si>
  <si>
    <t>https://www.youtube.com/channel/UCSqvI3YQEeLRGJUqx22S3-A|</t>
  </si>
  <si>
    <t>Developer - Tomasz Dziobek (TomiGames)</t>
  </si>
  <si>
    <t>#TomaszDziobekTomiGames OR "Tomasz Dziobek (TomiGames)"</t>
  </si>
  <si>
    <t>Triangular Pixels</t>
  </si>
  <si>
    <t>https://www.youtube.com/channel/UCNGrmGJWq7-SRoz2ooUEahQ|</t>
  </si>
  <si>
    <t>#TriangularPixels OR "Triangular Pixels"</t>
  </si>
  <si>
    <t>#TomaszDziobekTomiGames | "Tomasz Dziobek (TomiGames)"</t>
  </si>
  <si>
    <t>Developer - Tonguc Bodur</t>
  </si>
  <si>
    <t>#TongucBodur OR "Tonguc Bodur"</t>
  </si>
  <si>
    <t>TribalWire Inc.</t>
  </si>
  <si>
    <t>https://www.youtube.com/user/TabletTalkApp|</t>
  </si>
  <si>
    <t>#TribalWireInc OR "TribalWire"</t>
  </si>
  <si>
    <t>#TongucBodur | "Tonguc Bodur"</t>
  </si>
  <si>
    <t>https://www.youtube.com/channel/UCneD1uEPgTUZhIgl9eNQ7lA|</t>
  </si>
  <si>
    <t>Developer - Top Hat Studios Inc</t>
  </si>
  <si>
    <t>Tribetoy</t>
  </si>
  <si>
    <t>https://www.youtube.com/channel/UChFQuelrvyo5uH0NOg95YGw|</t>
  </si>
  <si>
    <t>#Tribetoy OR "Tribetoy"</t>
  </si>
  <si>
    <t>#TopHatStudiosInc | "Top Hat Studios Inc"</t>
  </si>
  <si>
    <t>Developer - Top Rated</t>
  </si>
  <si>
    <t>Tribute Games</t>
  </si>
  <si>
    <t>https://www.youtube.com/user/TributeGames|</t>
  </si>
  <si>
    <t>#TributeGames OR "Tribute Games"</t>
  </si>
  <si>
    <t>#TopRated | "Top Rated"</t>
  </si>
  <si>
    <t>Developer - Top Secret Studios</t>
  </si>
  <si>
    <t>Tribute Games Inc.</t>
  </si>
  <si>
    <t>#TributeGamesInc OR "Tribute Games"</t>
  </si>
  <si>
    <t>#TopSecretStudios | "Top Secret Studios"</t>
  </si>
  <si>
    <t>Developer - Toplitz Productions</t>
  </si>
  <si>
    <t>Trickster Games</t>
  </si>
  <si>
    <t>#TricksterGames OR "Trickster Games"</t>
  </si>
  <si>
    <t>#ToplitzProductions | "Toplitz Productions"</t>
  </si>
  <si>
    <t>Developer - Topstitch Games</t>
  </si>
  <si>
    <t>Tricol Co., Ltd.</t>
  </si>
  <si>
    <t>https://www.youtube.com/channel/UCG5dU0KuF5_UrmXOY2oQabA|</t>
  </si>
  <si>
    <t>#TricolCoLtd OR "Tricol Co"</t>
  </si>
  <si>
    <t>#TopstitchGames | "Topstitch Games"</t>
  </si>
  <si>
    <t>Developer - TopView Studio</t>
  </si>
  <si>
    <t>Trinity Team</t>
  </si>
  <si>
    <t>https://www.youtube.com/channel/UCKr62qmnsZHbCmALLserc9Q|</t>
  </si>
  <si>
    <t>#TrinityTeam OR "Trinity Team"</t>
  </si>
  <si>
    <t>#TopViewStudio | "TopView Studio"</t>
  </si>
  <si>
    <t>Developer - Torched Hill</t>
  </si>
  <si>
    <t>#TorchedHill OR "Torched Hill"</t>
  </si>
  <si>
    <t>Trinity Team srls</t>
  </si>
  <si>
    <t>#TrinityTeamsrls OR "Trinity Team srls"</t>
  </si>
  <si>
    <t>#TorchedHill | "Torched Hill"</t>
  </si>
  <si>
    <t>https://www.youtube.com/channel/UCEPYrh2mk7AmZhy-4VREVXw|</t>
  </si>
  <si>
    <t>Developer - Torn Banner Studios</t>
  </si>
  <si>
    <t>#TornBannerStudios OR "Torn Banner Studios"</t>
  </si>
  <si>
    <t>Trion Worlds</t>
  </si>
  <si>
    <r>
      <rPr>
        <rFont val="Calibri, sans-serif"/>
        <color rgb="FF000000"/>
        <sz val="10.0"/>
        <u/>
      </rPr>
      <t>https://www.youtube.com/channel/UCaWIRAwueTBgdD5H3VW5XXw</t>
    </r>
    <r>
      <rPr>
        <rFont val="Calibri, sans-serif"/>
        <color rgb="FF000000"/>
        <sz val="10.0"/>
      </rPr>
      <t>|</t>
    </r>
  </si>
  <si>
    <t>#TrionWorlds OR "Trion Worlds"</t>
  </si>
  <si>
    <t>#TornBannerStudios | "Torn Banner Studios"</t>
  </si>
  <si>
    <t>https://www.youtube.com/user/TornBannerStudios|</t>
  </si>
  <si>
    <t>Developer - Torus Games</t>
  </si>
  <si>
    <t>#TorusGames OR "Torus Games"</t>
  </si>
  <si>
    <t>Triple Scale Games</t>
  </si>
  <si>
    <t>https://www.youtube.com/user/KaNiBaLsss|</t>
  </si>
  <si>
    <t>#TripleScaleGames OR "Triple Scale Games"</t>
  </si>
  <si>
    <t>#TorusGames | "Torus Games"</t>
  </si>
  <si>
    <t>https://www.youtube.com/channel/UCx-CvfJ38AF0JJy9EZeMJKQ|</t>
  </si>
  <si>
    <t>Developer - Total Mayhem Games</t>
  </si>
  <si>
    <t>Triple Topping Games</t>
  </si>
  <si>
    <t>https://www.youtube.com/channel/UCbt45UP7E5wapjWA0SpZHfw|</t>
  </si>
  <si>
    <t>#TripleToppingGames OR "Triple Topping Games"</t>
  </si>
  <si>
    <t>#TotalMayhemGames | "Total Mayhem Games"</t>
  </si>
  <si>
    <t>Developer - Total Monkery</t>
  </si>
  <si>
    <t>Triple-I Games</t>
  </si>
  <si>
    <t>https://www.youtube.com/channel/UCfWL1gQfE43p2itLmGErnVQ|</t>
  </si>
  <si>
    <t>#TripleIGames OR "Triple-I Games"</t>
  </si>
  <si>
    <t>#TotalMonkery | "Total Monkery"</t>
  </si>
  <si>
    <t>Developer - Totalconsole</t>
  </si>
  <si>
    <t>Triplevision Games</t>
  </si>
  <si>
    <t>#TriplevisionGames OR "Triplevision Games"</t>
  </si>
  <si>
    <t>#Totalconsole | "Totalconsole"</t>
  </si>
  <si>
    <r>
      <rPr>
        <rFont val="Arial"/>
        <color rgb="FF000000"/>
      </rPr>
      <t>https://www.youtube.com/channel/UCalIl3SnpvjkumrLJVhLvZg</t>
    </r>
    <r>
      <rPr>
        <rFont val="Arial"/>
        <color rgb="FF000000"/>
      </rPr>
      <t>|</t>
    </r>
  </si>
  <si>
    <t>Developer - Toucan Studio</t>
  </si>
  <si>
    <t>Tripp, LLC</t>
  </si>
  <si>
    <r>
      <rPr>
        <rFont val="Calibri, sans-serif"/>
        <color rgb="FF000000"/>
        <sz val="10.0"/>
        <u/>
      </rPr>
      <t>https://www.youtube.com/channel/UCbkWBPSZEkwMW3Rl-hYiZFA</t>
    </r>
    <r>
      <rPr>
        <rFont val="Calibri, sans-serif"/>
        <color rgb="FF000000"/>
        <sz val="10.0"/>
      </rPr>
      <t>|</t>
    </r>
  </si>
  <si>
    <t>#TrippLLC OR "Tripp"</t>
  </si>
  <si>
    <t>#ToucanStudio | "Toucan Studio"</t>
  </si>
  <si>
    <t>Developer - Tower Five</t>
  </si>
  <si>
    <t>Tripwire Interactive</t>
  </si>
  <si>
    <t>https://www.youtube.com/user/tripwireinteractive|</t>
  </si>
  <si>
    <t>#TripwireInteractive OR "Tripwire Interactive"</t>
  </si>
  <si>
    <t>#TowerFive | "Tower Five"</t>
  </si>
  <si>
    <t>Developer - Tower Up Studios</t>
  </si>
  <si>
    <t>Triskelia Games</t>
  </si>
  <si>
    <t>#TriskeliaGames OR "Triskelia Games"</t>
  </si>
  <si>
    <t>#TowerUpStudios | "Tower Up Studios"</t>
  </si>
  <si>
    <t>Developer - Toxic Games</t>
  </si>
  <si>
    <t>Tru Blu</t>
  </si>
  <si>
    <t>https://www.youtube.com/user/HESTRUBLU|</t>
  </si>
  <si>
    <t>#TruBlu OR "Tru Blu"</t>
  </si>
  <si>
    <t>#ToxicGames | "Toxic Games"</t>
  </si>
  <si>
    <t>Developer - Toydea</t>
  </si>
  <si>
    <t>Truant Pixel</t>
  </si>
  <si>
    <r>
      <rPr>
        <rFont val="Calibri, sans-serif"/>
        <color rgb="FF000000"/>
        <sz val="10.0"/>
        <u/>
      </rPr>
      <t>https://www.youtube.com/channel/UCuKff1wwM09ORfImTU5VbTg</t>
    </r>
    <r>
      <rPr>
        <rFont val="Calibri, sans-serif"/>
        <color rgb="FF000000"/>
        <sz val="10.0"/>
      </rPr>
      <t>|</t>
    </r>
  </si>
  <si>
    <t>#TruantPixel OR "Truant Pixel"</t>
  </si>
  <si>
    <t>#Toydea | "Toydea"</t>
  </si>
  <si>
    <t>Developer - Toylogic Inc.</t>
  </si>
  <si>
    <t>Trucker VR</t>
  </si>
  <si>
    <t>https://www.youtube.com/channel/UC766vkQw0Mz3VtXX5XvXxGQ|</t>
  </si>
  <si>
    <t>#TruckerVR OR "Trucker VR"</t>
  </si>
  <si>
    <t>#ToylogicInc | "Toylogic"</t>
  </si>
  <si>
    <t>Developer - Toyman</t>
  </si>
  <si>
    <t>#Toyman OR "Toyman"</t>
  </si>
  <si>
    <t>True Axis</t>
  </si>
  <si>
    <t>https://www.youtube.com/user/trueaxis|</t>
  </si>
  <si>
    <t>#TrueAxis OR "True Axis"</t>
  </si>
  <si>
    <t>#Toyman | "Toyman"</t>
  </si>
  <si>
    <t>Developer - Toys for Bob</t>
  </si>
  <si>
    <t>#ToysforBob OR "Toys for Bob"</t>
  </si>
  <si>
    <t>Tsumanga Studios</t>
  </si>
  <si>
    <r>
      <rPr>
        <rFont val="Calibri, sans-serif"/>
        <color rgb="FF000000"/>
        <sz val="10.0"/>
        <u/>
      </rPr>
      <t>https://www.youtube.com/channel/UCabvOOovSHRF3AMaP3-QCTQ</t>
    </r>
    <r>
      <rPr>
        <rFont val="Calibri, sans-serif"/>
        <color rgb="FF000000"/>
        <sz val="10.0"/>
      </rPr>
      <t>|</t>
    </r>
  </si>
  <si>
    <t>#TsumangaStudios OR "Tsumanga Studios"</t>
  </si>
  <si>
    <t>#ToysforBob | "Toys for Bob"</t>
  </si>
  <si>
    <t>https://www.youtube.com/channel/UCpw806rMpGT8TBQU1zXQFIw|</t>
  </si>
  <si>
    <t>Developer - TQC GAMES</t>
  </si>
  <si>
    <t>TTS Software LLC</t>
  </si>
  <si>
    <t>#TTSSoftwareLLC OR "TTS Software LLC"</t>
  </si>
  <si>
    <t>#TQCGAMES | "TQC GAMES"</t>
  </si>
  <si>
    <t>Developer - Trainwreck Studios</t>
  </si>
  <si>
    <t>#TrainwreckStudios OR "Trainwreck Studios"</t>
  </si>
  <si>
    <t>Tuatara Games</t>
  </si>
  <si>
    <t>https://www.youtube.com/channel/UCBYWsrko742LB8oTLdEHOsg|</t>
  </si>
  <si>
    <t>#TuataraGames OR "Tuatara Games"</t>
  </si>
  <si>
    <t>#TrainwreckStudios | "Trainwreck Studios"</t>
  </si>
  <si>
    <t>https://www.youtube.com/channel/UCRa7O9Bgl3syly4Ufwjc_lQ|</t>
  </si>
  <si>
    <t>Developer - Traveller's Tales</t>
  </si>
  <si>
    <t>#TravellersTales OR "Traveller's Tales"</t>
  </si>
  <si>
    <t>Turbo Button</t>
  </si>
  <si>
    <t>https://www.youtube.com/channel/UCWPTiFpzm8559H-9Err59gw|</t>
  </si>
  <si>
    <t>#TurboButton OR "Turbo Button"</t>
  </si>
  <si>
    <t>#TravellersTales | "Traveller's Tales"</t>
  </si>
  <si>
    <t>https://www.youtube.com/channel/UCFRMeBfQwbvyrh4whThbMVw|</t>
  </si>
  <si>
    <t>Developer - Traxmaster Software</t>
  </si>
  <si>
    <t>Turbo Pelvis 3000 inc.</t>
  </si>
  <si>
    <t>https://www.youtube.com/channel/UCoEhb7dbUlzim4Q40-6ZF8w|</t>
  </si>
  <si>
    <t>#TurboPelvis3000inc OR "Turbo Pelvis 3000"</t>
  </si>
  <si>
    <t>#TraxmasterSoftware | "Traxmaster Software"</t>
  </si>
  <si>
    <t>Developer - Tree Interactive</t>
  </si>
  <si>
    <t>Turtle Cream</t>
  </si>
  <si>
    <t>https://www.youtube.com/channel/UCFDMrbro-m-QukZbUypZbxQ|</t>
  </si>
  <si>
    <t>#TurtleCream OR "Turtle Cream"</t>
  </si>
  <si>
    <t>#TreeInteractive | "Tree Interactive"</t>
  </si>
  <si>
    <t>Developer - TreeFortress Games</t>
  </si>
  <si>
    <t>Twice Circled</t>
  </si>
  <si>
    <t>https://www.youtube.com/channel/UCdKUyhEC6O_06bdXMW44xrg|</t>
  </si>
  <si>
    <t>#TwiceCircled OR "Twice Circled"</t>
  </si>
  <si>
    <t>#TreeFortressGames | "TreeFortress Games"</t>
  </si>
  <si>
    <t>Developer - Trendy Entertainment</t>
  </si>
  <si>
    <t>Twin Robots</t>
  </si>
  <si>
    <t>#TwinRobots OR "Twin Robots"</t>
  </si>
  <si>
    <t>#TrendyEntertainment | "Trendy Entertainment"</t>
  </si>
  <si>
    <t>Developer - Tresiris Games</t>
  </si>
  <si>
    <t>Two Tone</t>
  </si>
  <si>
    <t>#TwoTone OR "Two Tone"</t>
  </si>
  <si>
    <t>#TresirisGames | "Tresiris Games"</t>
  </si>
  <si>
    <t>Developer - Treyarch</t>
  </si>
  <si>
    <t>#Treyarch OR "Treyarch"</t>
  </si>
  <si>
    <t>Two Tribes</t>
  </si>
  <si>
    <t>https://www.youtube.com/user/TwoTribesGames|</t>
  </si>
  <si>
    <t>#TwoTribes OR "Two Tribes"</t>
  </si>
  <si>
    <t>#Treyarch | "Treyarch"</t>
  </si>
  <si>
    <t>https://www.youtube.com/user/Treyarch|</t>
  </si>
  <si>
    <t>Developer - Tri-Heart Interactive</t>
  </si>
  <si>
    <t>Ty Taylor and Mario Castaneda</t>
  </si>
  <si>
    <t>#TyTaylorandMarioCastaneda OR "Ty Taylor and Mario Castaneda"</t>
  </si>
  <si>
    <t>#TriHeartInteractive | "Tri-Heart Interactive"</t>
  </si>
  <si>
    <t>Developer - Triangle Studios</t>
  </si>
  <si>
    <t>TYPE EH STUDIOS</t>
  </si>
  <si>
    <t>https://www.youtube.com/channel/UC96wQPu5Af8Zv97nFm0z1SA|</t>
  </si>
  <si>
    <t>#TYPEEHSTUDIOS OR "TYPE EH STUDIOS"</t>
  </si>
  <si>
    <t>#TriangleStudios | "Triangle Studios"</t>
  </si>
  <si>
    <t>Developer - TribalWire Inc.</t>
  </si>
  <si>
    <t>U.S. Army</t>
  </si>
  <si>
    <r>
      <rPr>
        <rFont val="Calibri, sans-serif"/>
        <color rgb="FF000000"/>
        <sz val="10.0"/>
        <u/>
      </rPr>
      <t>https://www.youtube.com/channel/UCs6bj7e__tT_m3s8xxhazhA</t>
    </r>
    <r>
      <rPr>
        <rFont val="Calibri, sans-serif"/>
        <color rgb="FF000000"/>
        <sz val="10.0"/>
      </rPr>
      <t>|</t>
    </r>
  </si>
  <si>
    <t>#USArmy OR "U.S. Army"</t>
  </si>
  <si>
    <t>#TribalWireInc | "TribalWire"</t>
  </si>
  <si>
    <t>Developer - Tribe Games</t>
  </si>
  <si>
    <t>#TribeGames OR "Tribe Games"</t>
  </si>
  <si>
    <t>U&amp;I Entertainment</t>
  </si>
  <si>
    <t>#UandIEntertainment OR "U&amp;I Entertainment"</t>
  </si>
  <si>
    <t>#TribeGames | "Tribe Games"</t>
  </si>
  <si>
    <t>Developer - Tribe Tea</t>
  </si>
  <si>
    <t>#TribeTea OR "Tribe Tea"</t>
  </si>
  <si>
    <t>Uber Entertainment</t>
  </si>
  <si>
    <t>https://www.youtube.com/user/uberentchannel|</t>
  </si>
  <si>
    <t>#UberEntertainment OR "Uber Entertainment"</t>
  </si>
  <si>
    <t>#TribeTea | "Tribe Tea"</t>
  </si>
  <si>
    <t>Developer - Tribetoy</t>
  </si>
  <si>
    <t>Ubisoft</t>
  </si>
  <si>
    <t>https://www.youtube.com/channel/UC0KU8F9jJqSLS11LRXvFWmg|</t>
  </si>
  <si>
    <t>#Ubisoft OR "Ubisoft"</t>
  </si>
  <si>
    <t>#Tribetoy | "Tribetoy"</t>
  </si>
  <si>
    <t>Developer - TriBit Studio</t>
  </si>
  <si>
    <t>#TriBitStudio OR "TriBit Studio"</t>
  </si>
  <si>
    <t>UFO Interactive</t>
  </si>
  <si>
    <t>https://www.youtube.com/channel/UCXGkVtbbn7wnpJrKqkFLCxg|</t>
  </si>
  <si>
    <t>#UFOInteractive OR "UFO Interactive"</t>
  </si>
  <si>
    <t>#TriBitStudio | "TriBit Studio"</t>
  </si>
  <si>
    <t>Developer - Tribute Games</t>
  </si>
  <si>
    <t>Ugly Beard Games, LLC</t>
  </si>
  <si>
    <t>#TributeGames | "Tribute Games"</t>
  </si>
  <si>
    <t>Developer - Tricore Inc.</t>
  </si>
  <si>
    <t>#TricoreInc OR "Tricore"</t>
  </si>
  <si>
    <t>UIG Entertainment</t>
  </si>
  <si>
    <t>https://www.youtube.com/channel/UCkkuP_SyDDv1-H-5neWwSSg|</t>
  </si>
  <si>
    <t>#UIGEntertainment OR "UIG Entertainment"</t>
  </si>
  <si>
    <t>#TricoreInc | "Tricore"</t>
  </si>
  <si>
    <t>Developer - Trinity Team srls</t>
  </si>
  <si>
    <t>UKIYO PUBLISHING LIMITED</t>
  </si>
  <si>
    <t>https://www.youtube.com/channel/UCFnrLKwOycc6CtHgmJRSTTQ|</t>
  </si>
  <si>
    <t>#UKIYOPUBLISHINGLIMITED OR "UKIYO PUBLISHING LIMITED"</t>
  </si>
  <si>
    <t>#TrinityTeamsrls | "Trinity Team srls"</t>
  </si>
  <si>
    <t>Developer - Trion Worlds</t>
  </si>
  <si>
    <t>Ukuza</t>
  </si>
  <si>
    <t>https://www.youtube.com/ukuza|</t>
  </si>
  <si>
    <t>#Ukuza OR "Ukuza"</t>
  </si>
  <si>
    <t>#TrionWorlds | "Trion Worlds"</t>
  </si>
  <si>
    <r>
      <rPr>
        <rFont val="Arial"/>
        <color rgb="FF000000"/>
      </rPr>
      <t>https://www.youtube.com/channel/UCaWIRAwueTBgdD5H3VW5XXw</t>
    </r>
    <r>
      <rPr>
        <rFont val="Arial"/>
        <color rgb="FF000000"/>
      </rPr>
      <t>|</t>
    </r>
  </si>
  <si>
    <t>Developer - Triple Eh? Ltd</t>
  </si>
  <si>
    <t>#TripleEh OR "Triple Eh? Ltd"</t>
  </si>
  <si>
    <t>Ultimate Games</t>
  </si>
  <si>
    <t>https://www.youtube.com/channel/UCSyt4zDh63Ipbw9EKld7aWw|</t>
  </si>
  <si>
    <t>#UltimateGames OR "Ultimate Games"</t>
  </si>
  <si>
    <t>#TripleEh | "Triple Eh? Ltd"</t>
  </si>
  <si>
    <t>https://www.youtube.com/channel/UC6H2Ql7vVE4hHc-GNkMK8bQ|</t>
  </si>
  <si>
    <t>Developer - Triple Scale Games</t>
  </si>
  <si>
    <t>Ultra Ultra</t>
  </si>
  <si>
    <t>#UltraUltra OR "Ultra Ultra"</t>
  </si>
  <si>
    <t>#TripleScaleGames | "Triple Scale Games"</t>
  </si>
  <si>
    <t>Developer - Triple Topping Games</t>
  </si>
  <si>
    <t>Unbound Creations</t>
  </si>
  <si>
    <t>https://www.youtube.com/channel/UCzWkdDH6TGz7oBrL7w5UeHw|</t>
  </si>
  <si>
    <t>#UnboundCreations OR "Unbound Creations"</t>
  </si>
  <si>
    <t>#TripleToppingGames | "Triple Topping Games"</t>
  </si>
  <si>
    <t>Developer - Triple-I Games</t>
  </si>
  <si>
    <t>Undefined</t>
  </si>
  <si>
    <t>https://www.youtube.com/channel/UCPc1ADDry5XCTFaIrjoWIVg|</t>
  </si>
  <si>
    <t>#Undefined OR "Undefined"</t>
  </si>
  <si>
    <t>#TripleIGames | "Triple-I Games"</t>
  </si>
  <si>
    <t>Developer - Triplevision Games</t>
  </si>
  <si>
    <t>Underbite Games</t>
  </si>
  <si>
    <r>
      <rPr>
        <rFont val="Calibri, sans-serif"/>
        <color rgb="FF000000"/>
        <sz val="10.0"/>
        <u/>
      </rPr>
      <t>https://www.youtube.com/channel/UC4ILqKstaWSw7NXzbBDIsmQ</t>
    </r>
    <r>
      <rPr>
        <rFont val="Calibri, sans-serif"/>
        <color rgb="FF000000"/>
        <sz val="10.0"/>
      </rPr>
      <t>|</t>
    </r>
  </si>
  <si>
    <t>#UnderbiteGames OR "Underbite Games"</t>
  </si>
  <si>
    <t>#TriplevisionGames | "Triplevision Games"</t>
  </si>
  <si>
    <t>Developer - Tripwire Interactive</t>
  </si>
  <si>
    <t>Undercoders</t>
  </si>
  <si>
    <t>https://www.youtube.com/user/undercoders|</t>
  </si>
  <si>
    <t>#Undercoders OR "Undercoders"</t>
  </si>
  <si>
    <t>#TripwireInteractive | "Tripwire Interactive"</t>
  </si>
  <si>
    <t>Developer - Triumph Studios</t>
  </si>
  <si>
    <t>#TriumphStudios OR "Triumph Studios"</t>
  </si>
  <si>
    <t>Unfinished Pixel</t>
  </si>
  <si>
    <t>https://www.youtube.com/channel/UC9dBXgEgIeZK4iWhk6k-85Q|</t>
  </si>
  <si>
    <t>#UnfinishedPixel OR "Unfinished Pixel"</t>
  </si>
  <si>
    <t>#TriumphStudios | "Triumph Studios"</t>
  </si>
  <si>
    <t>https://www.youtube.com/channel/UCzg2ZeS4K95fCs_Tql2qXLw|</t>
  </si>
  <si>
    <t>Developer - True Axis</t>
  </si>
  <si>
    <t>United Games Entertainment GmbH</t>
  </si>
  <si>
    <t>#UnitedGamesEntertainmentGmbH OR "United Games Entertainment GmbH"</t>
  </si>
  <si>
    <t>#TrueAxis | "True Axis"</t>
  </si>
  <si>
    <t>Developer - Tsumanga Studios</t>
  </si>
  <si>
    <t>United Independent Entertainment</t>
  </si>
  <si>
    <t>#UnitedIndependentEntertainment OR "United Independent Entertainment"</t>
  </si>
  <si>
    <t>#TsumangaStudios | "Tsumanga Studios"</t>
  </si>
  <si>
    <r>
      <rPr>
        <rFont val="Arial"/>
        <color rgb="FF000000"/>
      </rPr>
      <t>https://www.youtube.com/channel/UCabvOOovSHRF3AMaP3-QCTQ</t>
    </r>
    <r>
      <rPr>
        <rFont val="Arial"/>
        <color rgb="FF000000"/>
      </rPr>
      <t>|</t>
    </r>
  </si>
  <si>
    <t>Developer - TT Games</t>
  </si>
  <si>
    <t>#TTGames OR "TT Games"</t>
  </si>
  <si>
    <t>United Label</t>
  </si>
  <si>
    <t>https://www.youtube.com/channel/UCL1fc__rqP4MiVXTvKKckeA|</t>
  </si>
  <si>
    <t>#UnitedLabel OR "United Label"</t>
  </si>
  <si>
    <t>#TTGames | "TT Games"</t>
  </si>
  <si>
    <t>Developer - TTS Software LLC</t>
  </si>
  <si>
    <t>UNIVERSITY OF ABERTAY DUNDEE</t>
  </si>
  <si>
    <t>https://www.youtube.com/user/abertayTV|</t>
  </si>
  <si>
    <t>#UNIVERSITYOFABERTAYDUNDEE OR "UNIVERSITY OF ABERTAY DUNDEE"</t>
  </si>
  <si>
    <t>#TTSSoftwareLLC | "TTS Software LLC"</t>
  </si>
  <si>
    <t>Developer - Tuque Games</t>
  </si>
  <si>
    <t>#TuqueGames OR "Tuque Games"</t>
  </si>
  <si>
    <t>Univrs</t>
  </si>
  <si>
    <t>#Univrs OR "Univrs"</t>
  </si>
  <si>
    <t>#TuqueGames | "Tuque Games"</t>
  </si>
  <si>
    <t>https://www.youtube.com/channel/UC40d9YuStVwi854UD-2UVKA|</t>
  </si>
  <si>
    <t>Developer - Turbo Pelvis 3000 inc.</t>
  </si>
  <si>
    <t>UNKNOWN GAMES</t>
  </si>
  <si>
    <t>#UNKNOWNGAMES OR "UNKNOWN GAMES"</t>
  </si>
  <si>
    <t>#TurboPelvis3000inc | "Turbo Pelvis 3000"</t>
  </si>
  <si>
    <t>Developer - Turn 10</t>
  </si>
  <si>
    <t>#Turn10 OR "Turn 10"</t>
  </si>
  <si>
    <t>Unknown Worlds Entertainment</t>
  </si>
  <si>
    <t>https://www.youtube.com/user/unknownworlds|</t>
  </si>
  <si>
    <t>#UnknownWorldsEntertainment OR "Unknown Worlds Entertainment"</t>
  </si>
  <si>
    <t>#Turn10 | "Turn 10"</t>
  </si>
  <si>
    <t>Developer - Turtle Cream</t>
  </si>
  <si>
    <t>Unnamed Fiasco Team</t>
  </si>
  <si>
    <r>
      <rPr>
        <rFont val="Calibri, sans-serif"/>
        <color rgb="FF000000"/>
        <sz val="10.0"/>
        <u/>
      </rPr>
      <t>https://www.youtube.com/channel/UC4ZH32znov5PxWtwSNCphNA</t>
    </r>
    <r>
      <rPr>
        <rFont val="Calibri, sans-serif"/>
        <color rgb="FF000000"/>
        <sz val="10.0"/>
      </rPr>
      <t>|</t>
    </r>
  </si>
  <si>
    <t>#UnnamedFiascoTeam OR "Unnamed Fiasco Team"</t>
  </si>
  <si>
    <t>#TurtleCream | "Turtle Cream"</t>
  </si>
  <si>
    <t>Developer - Turtle Rock Studios</t>
  </si>
  <si>
    <t>#TurtleRockStudios OR "Turtle Rock Studios"</t>
  </si>
  <si>
    <t>Unruly Attractions</t>
  </si>
  <si>
    <t>https://www.youtube.com/user/TeamStandpoint|</t>
  </si>
  <si>
    <t>#UnrulyAttractions OR "Unruly Attractions"</t>
  </si>
  <si>
    <t>#TurtleRockStudios | "Turtle Rock Studios"</t>
  </si>
  <si>
    <t>https://www.youtube.com/channel/UCY3-z2RA8s0jKgZXb_YemyA|</t>
  </si>
  <si>
    <t>Developer - Turtle Sandbox LLC</t>
  </si>
  <si>
    <t>#TurtleSandboxLLC OR "Turtle Sandbox LLC"</t>
  </si>
  <si>
    <t>Unties</t>
  </si>
  <si>
    <t>#Unties OR "Unties"</t>
  </si>
  <si>
    <t>#TurtleSandboxLLC | "Turtle Sandbox LLC"</t>
  </si>
  <si>
    <t>https://www.youtube.com/channel/UCVfbfT6aMTcrwJDAz90TOpA|</t>
  </si>
  <si>
    <t>Developer - Twice Circled</t>
  </si>
  <si>
    <t>Untold Games</t>
  </si>
  <si>
    <t>https://www.youtube.com/channel/UCIPVPmGX3RALWEE_zck--0Q|</t>
  </si>
  <si>
    <t>#UntoldGames OR "Untold Games"</t>
  </si>
  <si>
    <t>#TwiceCircled | "Twice Circled"</t>
  </si>
  <si>
    <t>Developer - Twice Different</t>
  </si>
  <si>
    <t>#TwiceDifferent OR "Twice Different"</t>
  </si>
  <si>
    <t>Untold Tales</t>
  </si>
  <si>
    <t>https://www.youtube.com/channel/UChrqRdrw-oNv-AXVMOwa1yw|</t>
  </si>
  <si>
    <t>#UntoldTales OR "Untold Tales"</t>
  </si>
  <si>
    <t>#TwiceDifferent | "Twice Different"</t>
  </si>
  <si>
    <r>
      <rPr>
        <rFont val="Arial"/>
        <color rgb="FF000000"/>
      </rPr>
      <t>https://www.youtube.com/channel/UCtxyZm8VrLB2aG8AeJ84XWw</t>
    </r>
    <r>
      <rPr>
        <rFont val="Arial"/>
        <color rgb="FF000000"/>
      </rPr>
      <t>|</t>
    </r>
  </si>
  <si>
    <t>Developer - Twin Hearts</t>
  </si>
  <si>
    <t>#TwinHearts OR "Twin Hearts"</t>
  </si>
  <si>
    <t>Upfall Studios</t>
  </si>
  <si>
    <t>#UpfallStudios OR "Upfall Studios"</t>
  </si>
  <si>
    <t>#TwinHearts | "Twin Hearts"</t>
  </si>
  <si>
    <t>Developer - Twin Robots</t>
  </si>
  <si>
    <t>Uppercut Games</t>
  </si>
  <si>
    <r>
      <rPr>
        <rFont val="Calibri, sans-serif"/>
        <color rgb="FF000000"/>
        <sz val="10.0"/>
        <u/>
      </rPr>
      <t>https://www.youtube.com/channel/UCOCL5YnpAel4bMKYywOYZww</t>
    </r>
    <r>
      <rPr>
        <rFont val="Calibri, sans-serif"/>
        <color rgb="FF000000"/>
        <sz val="10.0"/>
      </rPr>
      <t>|</t>
    </r>
  </si>
  <si>
    <t>#UppercutGames OR "Uppercut Games"</t>
  </si>
  <si>
    <t>#TwinRobots | "Twin Robots"</t>
  </si>
  <si>
    <t>Developer - Twisted Pixel Games</t>
  </si>
  <si>
    <t>#TwistedPixelGames OR "Twisted Pixel Games"</t>
  </si>
  <si>
    <t>Uppercut Games Pty Ltd</t>
  </si>
  <si>
    <t>https://www.youtube.com/user/uppercutgames|</t>
  </si>
  <si>
    <t>#UppercutGamesPtyLtd OR "Uppercut Games Pty Ltd"</t>
  </si>
  <si>
    <t>#TwistedPixelGames | "Twisted Pixel Games"</t>
  </si>
  <si>
    <t>https://www.youtube.com/user/twistedpixelgames|</t>
  </si>
  <si>
    <t>Developer - Two Point Studios</t>
  </si>
  <si>
    <t>#TwoPointStudios OR "Two Point Studios"</t>
  </si>
  <si>
    <t>USC Game Innovation Lab</t>
  </si>
  <si>
    <t>https://www.youtube.com/channel/UCXVC2LpYnV0GKAHG8VoH8FQ|</t>
  </si>
  <si>
    <t>#USCGameInnovationLab OR "USC Game Innovation Lab"</t>
  </si>
  <si>
    <t>#TwoPointStudios | "Two Point Studios"</t>
  </si>
  <si>
    <t>https://www.youtube.com/channel/UCyM2ggE_7Ttc8h0ecy65_mw|</t>
  </si>
  <si>
    <t>Developer - Two Tone</t>
  </si>
  <si>
    <t>USC Games</t>
  </si>
  <si>
    <t>https://www.youtube.com/channel/UCDOmrzQAOxIgvGAiJF-PGpA|</t>
  </si>
  <si>
    <t>#USCGames OR "USC Games"</t>
  </si>
  <si>
    <t>#TwoTone | "Two Tone"</t>
  </si>
  <si>
    <t>Developer - Ty Taylor and Mario Castaneda</t>
  </si>
  <si>
    <t>Userjoy Technology</t>
  </si>
  <si>
    <t>#UserjoyTechnology OR "Userjoy Technology"</t>
  </si>
  <si>
    <t>#TyTaylorandMarioCastaneda | "Ty Taylor and Mario Castaneda"</t>
  </si>
  <si>
    <t>Developer - Typhoon Studios</t>
  </si>
  <si>
    <t>#TyphoonStudios OR "Typhoon Studios"</t>
  </si>
  <si>
    <t>ustwo</t>
  </si>
  <si>
    <t>https://www.youtube.com/channel/UCkZdc6Wp8zokpOg-awiATNA|</t>
  </si>
  <si>
    <t>#ustwo OR "ustwo"</t>
  </si>
  <si>
    <t>#TyphoonStudios | "Typhoon Studios"</t>
  </si>
  <si>
    <r>
      <rPr>
        <rFont val="Arial"/>
        <color rgb="FF000000"/>
      </rPr>
      <t>https://www.youtube.com/channel/UCpXgued8rzZBHKAE1P1nu6g</t>
    </r>
    <r>
      <rPr>
        <rFont val="Arial"/>
        <color rgb="FF000000"/>
      </rPr>
      <t>|</t>
    </r>
  </si>
  <si>
    <t>Developer - U-Play Online</t>
  </si>
  <si>
    <t>#UPlayOnline OR "U-Play Online"</t>
  </si>
  <si>
    <t>Utopos Games</t>
  </si>
  <si>
    <r>
      <rPr>
        <rFont val="Calibri, sans-serif"/>
        <color rgb="FF000000"/>
        <sz val="10.0"/>
        <u/>
      </rPr>
      <t>https://www.youtube.com/channel/UCdQGKVehnJf1oO436pMcnDg</t>
    </r>
    <r>
      <rPr>
        <rFont val="Calibri, sans-serif"/>
        <color rgb="FF000000"/>
        <sz val="10.0"/>
      </rPr>
      <t>|</t>
    </r>
  </si>
  <si>
    <t>#UtoposGames OR "Utopos Games"</t>
  </si>
  <si>
    <t>#UPlayOnline | "U-Play Online"</t>
  </si>
  <si>
    <t>https://www.youtube.com/channel/UCysUmM_e72FSJ_Dv4e-a_8g|</t>
  </si>
  <si>
    <t>Developer - Ubisoft</t>
  </si>
  <si>
    <t>V7 Entertainment Inc.</t>
  </si>
  <si>
    <t>https://www.youtube.com/user/v7entertainment|</t>
  </si>
  <si>
    <t>#V7EntertainmentInc OR "V7 Entertainment"</t>
  </si>
  <si>
    <t>#Ubisoft | "Ubisoft"</t>
  </si>
  <si>
    <t>Developer - Ubisoft Annecy</t>
  </si>
  <si>
    <t>#UbisoftAnnecy OR "Ubisoft Annecy"</t>
  </si>
  <si>
    <t>Vagabond Dog</t>
  </si>
  <si>
    <t>https://www.youtube.com/channel/UCMKgzspA8B4Fzm7-OUCXkOw|</t>
  </si>
  <si>
    <t>#VagabondDog OR "Vagabond Dog"</t>
  </si>
  <si>
    <t>#UbisoftAnnecy | "Ubisoft Annecy"</t>
  </si>
  <si>
    <t>https://www.youtube.com/channel/UC4bQatLSIzDpWckAvN04iRg|</t>
  </si>
  <si>
    <t>Developer - Ubisoft Bordeaux</t>
  </si>
  <si>
    <t>#UbisoftBordeaux OR "Ubisoft Bordeaux"</t>
  </si>
  <si>
    <t>Vague Scenario, LLC</t>
  </si>
  <si>
    <t>#VagueScenarioLLC OR "Vague Scenario"</t>
  </si>
  <si>
    <t>#UbisoftBordeaux | "Ubisoft Bordeaux"</t>
  </si>
  <si>
    <t>https://www.youtube.com/channel/UCmpSHSpTZThN_uAOLTyM0-g|</t>
  </si>
  <si>
    <t>Developer - Ubisoft Chengdu</t>
  </si>
  <si>
    <t>#UbisoftChengdu OR "Ubisoft Chengdu"</t>
  </si>
  <si>
    <t>Valiant Entertainment</t>
  </si>
  <si>
    <t>#ValiantEntertainment OR "Valiant Entertainment"</t>
  </si>
  <si>
    <t>#UbisoftChengdu | "Ubisoft Chengdu"</t>
  </si>
  <si>
    <t>Developer - Ubisoft Ivory Tower</t>
  </si>
  <si>
    <t>#UbisoftIvoryTower OR "Ubisoft Ivory Tower"</t>
  </si>
  <si>
    <t>Valorware</t>
  </si>
  <si>
    <t>https://www.youtube.com/channel/UChlOEWek-TitLDA-QjEL0CQ|</t>
  </si>
  <si>
    <t>#Valorware OR "Valorware"</t>
  </si>
  <si>
    <t>#UbisoftIvoryTower | "Ubisoft Ivory Tower"</t>
  </si>
  <si>
    <t>https://www.youtube.com/channel/UCLIDreKMLoyluMM5FJKJ47Q|</t>
  </si>
  <si>
    <t>Developer - Ubisoft Montpellier</t>
  </si>
  <si>
    <t>#UbisoftMontpellier OR "Ubisoft Montpellier"</t>
  </si>
  <si>
    <t>Valorware LTD</t>
  </si>
  <si>
    <t>#ValorwareLTD OR "Valorware LTD"</t>
  </si>
  <si>
    <t>#UbisoftMontpellier | "Ubisoft Montpellier"</t>
  </si>
  <si>
    <t>https://www.youtube.com/channel/UCziyJJMtm1M7P-5WQzrFFRg|</t>
  </si>
  <si>
    <t>Developer - Ubisoft Montreal</t>
  </si>
  <si>
    <t>#UbisoftMontreal OR "Ubisoft Montreal"</t>
  </si>
  <si>
    <t>VANGUARD GAMES BV</t>
  </si>
  <si>
    <t>https://www.youtube.com/channel/UCr0jsHypptVUlm7_0T9eb_Q|</t>
  </si>
  <si>
    <t>#VANGUARDGAMESBV OR "VANGUARD GAMES BV"</t>
  </si>
  <si>
    <t>#UbisoftMontreal | "Ubisoft Montreal"</t>
  </si>
  <si>
    <t>https://www.youtube.com/user/UbisoftMtl|</t>
  </si>
  <si>
    <t>Developer - Ubisoft Paris</t>
  </si>
  <si>
    <t>#UbisoftParis OR "Ubisoft Paris"</t>
  </si>
  <si>
    <t>Varkian Empire</t>
  </si>
  <si>
    <t>#VarkianEmpire OR "Varkian Empire"</t>
  </si>
  <si>
    <t>#UbisoftParis | "Ubisoft Paris"</t>
  </si>
  <si>
    <t>https://www.youtube.com/channel/UC8ApfwG-wcwdbOE5NgNlsyQ|</t>
  </si>
  <si>
    <t>Developer - Ubisoft Quebec</t>
  </si>
  <si>
    <t>#UbisoftQuebec OR "Ubisoft Quebec"</t>
  </si>
  <si>
    <t>Varsav Game Studios</t>
  </si>
  <si>
    <t>https://www.youtube.com/channel/UCGsVmWUwsboEEVM5HFJl_Lw|</t>
  </si>
  <si>
    <t>#VarsavGameStudios OR "Varsav Game Studios"</t>
  </si>
  <si>
    <t>#UbisoftQuebec | "Ubisoft Quebec"</t>
  </si>
  <si>
    <t>https://www.youtube.com/channel/UCuR_XbFng3OK0Il3g39c-7Q|</t>
  </si>
  <si>
    <t>Developer - Ubisoft Reflections</t>
  </si>
  <si>
    <t>#UbisoftReflections OR "Ubisoft Reflections"</t>
  </si>
  <si>
    <t>Vblank Entertainment Inc.</t>
  </si>
  <si>
    <t>https://www.youtube.com/channel/UCmh0lKYYSdpaDklHj1ppovQ|</t>
  </si>
  <si>
    <t>#VblankEntertainmentInc OR "Vblank Entertainment"</t>
  </si>
  <si>
    <t>#UbisoftReflections | "Ubisoft Reflections"</t>
  </si>
  <si>
    <t>https://www.youtube.com/channel/UCAAu0Nt_lM8QR_JSE-Qf7gQ|</t>
  </si>
  <si>
    <t>Developer - Ubisoft San Francisco</t>
  </si>
  <si>
    <t>#UbisoftSanFrancisco OR "Ubisoft San Francisco"</t>
  </si>
  <si>
    <t>Vector Unit</t>
  </si>
  <si>
    <t>https://www.youtube.com/channel/UCuOmpbGUZFRJlMyoyvpdpkg|</t>
  </si>
  <si>
    <t>#VectorUnit OR "Vector Unit"</t>
  </si>
  <si>
    <t>#UbisoftSanFrancisco | "Ubisoft San Francisco"</t>
  </si>
  <si>
    <t>Developer - Ubisoft Singapore</t>
  </si>
  <si>
    <t>#UbisoftSingapore OR "Ubisoft Singapore"</t>
  </si>
  <si>
    <t>Vector Unit Inc.</t>
  </si>
  <si>
    <t>#VectorUnitInc OR "Vector Unit"</t>
  </si>
  <si>
    <t>#UbisoftSingapore | "Ubisoft Singapore"</t>
  </si>
  <si>
    <t>https://www.youtube.com/channel/UCmUDW89qyTC4hsde3pEgupg|</t>
  </si>
  <si>
    <t>Developer - Ubisoft Sofia</t>
  </si>
  <si>
    <t>#UbisoftSofia OR "Ubisoft Sofia"</t>
  </si>
  <si>
    <t>Veewo Games</t>
  </si>
  <si>
    <t>https://www.youtube.com/channel/UCBZe64H336nwAmoOg6ynBLA|</t>
  </si>
  <si>
    <t>#VeewoGames OR "Veewo Games"</t>
  </si>
  <si>
    <t>#UbisoftSofia | "Ubisoft Sofia"</t>
  </si>
  <si>
    <t>Developer - Ubisoft Toronto</t>
  </si>
  <si>
    <t>#UbisoftToronto OR "Ubisoft Toronto"</t>
  </si>
  <si>
    <t>Venatio Creo</t>
  </si>
  <si>
    <t>#VenatioCreo OR "Venatio Creo"</t>
  </si>
  <si>
    <t>#UbisoftToronto | "Ubisoft Toronto"</t>
  </si>
  <si>
    <t>https://www.youtube.com/user/UbisoftToronto|</t>
  </si>
  <si>
    <t>Developer - UIG Entertainment</t>
  </si>
  <si>
    <t>Versus Evil</t>
  </si>
  <si>
    <t>https://www.youtube.com/channel/UCmxSe9FmX-8IceTqzvVJqTA|</t>
  </si>
  <si>
    <t>#VersusEvil OR "Versus Evil"</t>
  </si>
  <si>
    <t>#UIGEntertainment | "UIG Entertainment"</t>
  </si>
  <si>
    <t>Developer - Ukuza</t>
  </si>
  <si>
    <t>Vertex Pop</t>
  </si>
  <si>
    <t>https://www.youtube.com/channel/UCxCk86cjwD4hJV1Mgt3xxtA|</t>
  </si>
  <si>
    <t>#VertexPop OR "Vertex Pop"</t>
  </si>
  <si>
    <t>#Ukuza | "Ukuza"</t>
  </si>
  <si>
    <t>Developer - Ultimate Games</t>
  </si>
  <si>
    <t>Vertical Robot</t>
  </si>
  <si>
    <t>https://www.youtube.com/channel/UC8bJmqWOR-IT_2vj6bMbnHA/featured|</t>
  </si>
  <si>
    <t>#VerticalRobot OR "Vertical Robot"</t>
  </si>
  <si>
    <t>#UltimateGames | "Ultimate Games"</t>
  </si>
  <si>
    <t>Developer - UMEO Studios</t>
  </si>
  <si>
    <t>#UMEOStudios OR "UMEO Studios"</t>
  </si>
  <si>
    <t>Vertice Games</t>
  </si>
  <si>
    <r>
      <rPr>
        <rFont val="Calibri, sans-serif"/>
        <color rgb="FF000000"/>
        <sz val="10.0"/>
        <u/>
      </rPr>
      <t>https://www.youtube.com/channel/UCyEOpjU2cOk2PZNn4ifEOQg</t>
    </r>
    <r>
      <rPr>
        <rFont val="Calibri, sans-serif"/>
        <color rgb="FF000000"/>
        <sz val="10.0"/>
      </rPr>
      <t>|</t>
    </r>
  </si>
  <si>
    <t>#VerticeGames OR "Vertice Games"</t>
  </si>
  <si>
    <t>#UMEOStudios | "UMEO Studios"</t>
  </si>
  <si>
    <t>Developer - Unbound Creations</t>
  </si>
  <si>
    <t>Vertigo Games</t>
  </si>
  <si>
    <t>https://www.youtube.com/channel/UCpcTH8I59I8IPneSuvUxS4A|</t>
  </si>
  <si>
    <t>#VertigoGames OR "Vertigo Games"</t>
  </si>
  <si>
    <t>#UnboundCreations | "Unbound Creations"</t>
  </si>
  <si>
    <t>Developer - Undead Labs</t>
  </si>
  <si>
    <t>#UndeadLabs OR "Undead Labs"</t>
  </si>
  <si>
    <t>Victory Lap Games</t>
  </si>
  <si>
    <t>https://www.youtube.com/channel/UCCKQJO49You2rrvcx05-QiQ|</t>
  </si>
  <si>
    <t>#VictoryLapGames OR "Victory Lap Games"</t>
  </si>
  <si>
    <t>#UndeadLabs | "Undead Labs"</t>
  </si>
  <si>
    <t>Developer - Underbite Games</t>
  </si>
  <si>
    <t>Victory Road</t>
  </si>
  <si>
    <t>https://www.youtube.com/channel/UCecIWKt-IyfQyOznbo1gRAQ|</t>
  </si>
  <si>
    <t>#VictoryRoad OR "Victory Road"</t>
  </si>
  <si>
    <t>#UnderbiteGames | "Underbite Games"</t>
  </si>
  <si>
    <r>
      <rPr>
        <rFont val="Arial"/>
        <color rgb="FF000000"/>
      </rPr>
      <t>https://www.youtube.com/channel/UC4ILqKstaWSw7NXzbBDIsmQ</t>
    </r>
    <r>
      <rPr>
        <rFont val="Arial"/>
        <color rgb="FF000000"/>
      </rPr>
      <t>|</t>
    </r>
  </si>
  <si>
    <t>Developer - Undercoders</t>
  </si>
  <si>
    <t>Victory Road LLC.</t>
  </si>
  <si>
    <t>#VictoryRoadLLC OR "Victory Road LLC."</t>
  </si>
  <si>
    <t>#Undercoders | "Undercoders"</t>
  </si>
  <si>
    <t>Developer - Unfinished Pixel</t>
  </si>
  <si>
    <t>Vidama Software LLC</t>
  </si>
  <si>
    <t>#VidamaSoftwareLLC OR "Vidama Software LLC"</t>
  </si>
  <si>
    <t>#UnfinishedPixel | "Unfinished Pixel"</t>
  </si>
  <si>
    <t>Developer - Unfold Games</t>
  </si>
  <si>
    <t>#UnfoldGames OR "Unfold Games"</t>
  </si>
  <si>
    <t>Vidroid</t>
  </si>
  <si>
    <t>#Vidroid OR "Vidroid"</t>
  </si>
  <si>
    <t>#UnfoldGames | "Unfold Games"</t>
  </si>
  <si>
    <t>https://www.youtube.com/channel/UCe7nsFyEMclYnPCc_lIRg4g|</t>
  </si>
  <si>
    <t>Developer - UniBit</t>
  </si>
  <si>
    <t>#UniBit OR "UniBit"</t>
  </si>
  <si>
    <t>Viewpoint Games</t>
  </si>
  <si>
    <t>https://www.youtube.com/channel/UCyKN2Z8KBmD-1SOhiMdXs-g|</t>
  </si>
  <si>
    <t>#ViewpointGames OR "Viewpoint Games"</t>
  </si>
  <si>
    <t>#UniBit | "UniBit"</t>
  </si>
  <si>
    <r>
      <rPr>
        <rFont val="Arial"/>
        <color rgb="FF000000"/>
      </rPr>
      <t>https://www.youtube.com/channel/UCWT0lP-r1uu5BbqXZHXu1uw</t>
    </r>
    <r>
      <rPr>
        <rFont val="Arial"/>
        <color rgb="FF000000"/>
      </rPr>
      <t>|</t>
    </r>
  </si>
  <si>
    <t>Developer - Unicube</t>
  </si>
  <si>
    <t>#Unicube OR "Unicube"</t>
  </si>
  <si>
    <t>VikingVR Studio</t>
  </si>
  <si>
    <t>#VikingVRStudio OR "VikingVR Studio"</t>
  </si>
  <si>
    <t>#Unicube | "Unicube"</t>
  </si>
  <si>
    <t>Developer - United Front Games</t>
  </si>
  <si>
    <t>#UnitedFrontGames OR "United Front Games"</t>
  </si>
  <si>
    <t>Vikong</t>
  </si>
  <si>
    <t>https://www.youtube.com/channel/UCRpnxeuIrfyhi8xqwy3Zoxw|</t>
  </si>
  <si>
    <t>#Vikong OR "Vikong"</t>
  </si>
  <si>
    <t>#UnitedFrontGames | "United Front Games"</t>
  </si>
  <si>
    <t>https://www.youtube.com/user/unitedfrontgames|</t>
  </si>
  <si>
    <t>Developer - United Label</t>
  </si>
  <si>
    <t>vill</t>
  </si>
  <si>
    <t>#vill OR "vill"</t>
  </si>
  <si>
    <t>#UnitedLabel | "United Label"</t>
  </si>
  <si>
    <t>Developer - Unknown Worlds Entertainment</t>
  </si>
  <si>
    <t>Villa Gorilla</t>
  </si>
  <si>
    <r>
      <rPr>
        <rFont val="Calibri, sans-serif"/>
        <color rgb="FF000000"/>
        <sz val="10.0"/>
        <u/>
      </rPr>
      <t>https://www.youtube.com/channel/UCL9c9tOHJ-m4o_-4lObDYlg</t>
    </r>
    <r>
      <rPr>
        <rFont val="Calibri, sans-serif"/>
        <color rgb="FF000000"/>
        <sz val="10.0"/>
      </rPr>
      <t>|</t>
    </r>
  </si>
  <si>
    <t>#VillaGorilla OR "Villa Gorilla"</t>
  </si>
  <si>
    <t>#UnknownWorldsEntertainment | "Unknown Worlds Entertainment"</t>
  </si>
  <si>
    <t>Developer - Unnamed Fiasco Team</t>
  </si>
  <si>
    <t>Village Bench</t>
  </si>
  <si>
    <t>https://www.youtube.com/channel/UCKRoH9LvDKROd7U2yGygd9A|</t>
  </si>
  <si>
    <t>#VillageBench OR "Village Bench"</t>
  </si>
  <si>
    <t>#UnnamedFiascoTeam | "Unnamed Fiasco Team"</t>
  </si>
  <si>
    <t>Developer - Unruly Attractions</t>
  </si>
  <si>
    <t>Virtro Entertainment</t>
  </si>
  <si>
    <r>
      <rPr>
        <rFont val="Calibri, sans-serif"/>
        <color rgb="FF000000"/>
        <sz val="10.0"/>
        <u/>
      </rPr>
      <t>https://www.youtube.com/channel/UC3c3d4FL3vppS9TrJNnf1Jg</t>
    </r>
    <r>
      <rPr>
        <rFont val="Calibri, sans-serif"/>
        <color rgb="FF000000"/>
        <sz val="10.0"/>
      </rPr>
      <t>|</t>
    </r>
  </si>
  <si>
    <t>#VirtroEntertainment OR "Virtro Entertainment"</t>
  </si>
  <si>
    <t>#UnrulyAttractions | "Unruly Attractions"</t>
  </si>
  <si>
    <t>Developer - Upfall Studios</t>
  </si>
  <si>
    <t>Virtual Air Guitar Company</t>
  </si>
  <si>
    <t>https://www.youtube.com/user/VirtualAirGuitar|</t>
  </si>
  <si>
    <t>#VirtualAirGuitarCompany OR "Virtual Air Guitar Company"</t>
  </si>
  <si>
    <t>#UpfallStudios | "Upfall Studios"</t>
  </si>
  <si>
    <t>Developer - Upper Byte</t>
  </si>
  <si>
    <t>#UpperByte OR "Upper Byte"</t>
  </si>
  <si>
    <t>Virtual Basement</t>
  </si>
  <si>
    <t>https://www.youtube.com/channel/UCNvK7hDKM3Y6o4kxVPzWDGg|</t>
  </si>
  <si>
    <t>#VirtualBasement OR "Virtual Basement"</t>
  </si>
  <si>
    <t>#UpperByte | "Upper Byte"</t>
  </si>
  <si>
    <t>Developer - Upper One Games</t>
  </si>
  <si>
    <t>#UpperOneGames OR "Upper One Games"</t>
  </si>
  <si>
    <t>Virtual Driver Interactive, Inc.</t>
  </si>
  <si>
    <t>#VirtualDriverInteractiveInc OR "Virtual Driver Interactive,"</t>
  </si>
  <si>
    <t>#UpperOneGames | "Upper One Games"</t>
  </si>
  <si>
    <t>Developer - Uppercut Games Pty Ltd</t>
  </si>
  <si>
    <t>Virtual Medicine</t>
  </si>
  <si>
    <r>
      <rPr>
        <rFont val="Calibri, sans-serif"/>
        <color rgb="FF000000"/>
        <sz val="10.0"/>
        <u/>
      </rPr>
      <t>https://www.youtube.com/channel/UChvqcOhNLxxWBc0FACQeXHg</t>
    </r>
    <r>
      <rPr>
        <rFont val="Calibri, sans-serif"/>
        <color rgb="FF000000"/>
        <sz val="10.0"/>
      </rPr>
      <t>|</t>
    </r>
  </si>
  <si>
    <t>#VirtualMedicine OR "Virtual Medicine"</t>
  </si>
  <si>
    <t>#UppercutGamesPtyLtd | "Uppercut Games Pty Ltd"</t>
  </si>
  <si>
    <t>Developer - Upstream Arcade</t>
  </si>
  <si>
    <t>#UpstreamArcade OR "Upstream Arcade"</t>
  </si>
  <si>
    <t>Virtual Toys</t>
  </si>
  <si>
    <t>#VirtualToys OR "Virtual Toys"</t>
  </si>
  <si>
    <t>#UpstreamArcade | "Upstream Arcade"</t>
  </si>
  <si>
    <t>Developer - USANIK STD</t>
  </si>
  <si>
    <t>#USANIKSTD OR "USANIK STD"</t>
  </si>
  <si>
    <t>VirZOOM</t>
  </si>
  <si>
    <t>https://www.youtube.com/channel/UCQRk8WavIEpEQ4nUl4ElyZw|</t>
  </si>
  <si>
    <t>#VirZOOM OR "VirZOOM"</t>
  </si>
  <si>
    <t>#USANIKSTD | "USANIK STD"</t>
  </si>
  <si>
    <t>Developer - USC Games</t>
  </si>
  <si>
    <t>Vision Game Publishing Limited</t>
  </si>
  <si>
    <t>https://www.youtube.com/channel/UCbIcpxSuPIFmGSjkSFRQ2xg|</t>
  </si>
  <si>
    <t>#VisionGamePublishingLimited OR "Vision Game Publishing Limited"</t>
  </si>
  <si>
    <t>#USCGames | "USC Games"</t>
  </si>
  <si>
    <t>Developer - ustwo</t>
  </si>
  <si>
    <t>Vision Games Publishing LTD</t>
  </si>
  <si>
    <t>#VisionGamesPublishingLTD OR "Vision Games Publishing LTD"</t>
  </si>
  <si>
    <t>#ustwo | "ustwo"</t>
  </si>
  <si>
    <t>Developer - V1 Interactive</t>
  </si>
  <si>
    <t>#V1Interactive OR "V1 Interactive"</t>
  </si>
  <si>
    <t>Visual light</t>
  </si>
  <si>
    <t>https://www.youtube.com/channel/UCTjs6iPtU5xnXlqse599GTg/featured|</t>
  </si>
  <si>
    <t>#Visuallight OR "Visual light"</t>
  </si>
  <si>
    <t>#V1Interactive | "V1 Interactive"</t>
  </si>
  <si>
    <t>https://www.youtube.com/channel/UCL6AUK1piXrLe2tM_OA8PWQ|</t>
  </si>
  <si>
    <t>Developer - V7 Entertainment Inc.</t>
  </si>
  <si>
    <t>visuallight</t>
  </si>
  <si>
    <t>#visuallight OR "visuallight"</t>
  </si>
  <si>
    <t>#V7EntertainmentInc | "V7 Entertainment"</t>
  </si>
  <si>
    <t>Developer - Vaka Game Magazine</t>
  </si>
  <si>
    <t>#VakaGameMagazine OR "Vaka Game Magazine"</t>
  </si>
  <si>
    <t>Visualnoveler</t>
  </si>
  <si>
    <t>#Visualnoveler OR "Visualnoveler"</t>
  </si>
  <si>
    <t>#VakaGameMagazine | "Vaka Game Magazine"</t>
  </si>
  <si>
    <t>Developer - Vakman</t>
  </si>
  <si>
    <t>#Vakman OR "Vakman"</t>
  </si>
  <si>
    <t>VitruviusVR</t>
  </si>
  <si>
    <t>https://www.youtube.com/c/Vitruviusvr/featured|</t>
  </si>
  <si>
    <t>#VitruviusVR OR "VitruviusVR"</t>
  </si>
  <si>
    <t>#Vakman | "Vakman"</t>
  </si>
  <si>
    <t>Developer - Valorware</t>
  </si>
  <si>
    <t>Viva Games</t>
  </si>
  <si>
    <t>https://www.youtube.com/channel/UCJuzAw8RqbpJ5BtXEIsR-3g|</t>
  </si>
  <si>
    <t>#VivaGames OR "Viva Games"</t>
  </si>
  <si>
    <t>#Valorware | "Valorware"</t>
  </si>
  <si>
    <t>Developer - Valorware LTD</t>
  </si>
  <si>
    <t>Vive Studios</t>
  </si>
  <si>
    <r>
      <rPr>
        <rFont val="Calibri, sans-serif"/>
        <color rgb="FF000000"/>
        <sz val="10.0"/>
        <u/>
      </rPr>
      <t>https://www.youtube.com/channel/UC6IO0TgiIfPWjc8nmzm0ofA</t>
    </r>
    <r>
      <rPr>
        <rFont val="Calibri, sans-serif"/>
        <color rgb="FF000000"/>
        <sz val="10.0"/>
      </rPr>
      <t>|</t>
    </r>
  </si>
  <si>
    <t>#ViveStudios OR "Vive Studios"</t>
  </si>
  <si>
    <t>#ValorwareLTD | "Valorware LTD"</t>
  </si>
  <si>
    <t>Developer - Vanguard</t>
  </si>
  <si>
    <t>#Vanguard OR "Vanguard"</t>
  </si>
  <si>
    <t>Vivid Helix</t>
  </si>
  <si>
    <t>https://www.youtube.com/channel/UCcnGNOZmo2MVFyLj8du65fA|</t>
  </si>
  <si>
    <t>#VividHelix OR "Vivid Helix"</t>
  </si>
  <si>
    <t>#Vanguard | "Vanguard"</t>
  </si>
  <si>
    <t>Developer - Variable State</t>
  </si>
  <si>
    <t>#VariableState OR "Variable State"</t>
  </si>
  <si>
    <t>VIZIONECK LLC</t>
  </si>
  <si>
    <t>https://www.youtube.com/channel/UCcK-QdE5uFl73tS6WOI_4Jg|</t>
  </si>
  <si>
    <t>#VIZIONECKLLC OR "VIZIONECK LLC"</t>
  </si>
  <si>
    <t>#VariableState | "Variable State"</t>
  </si>
  <si>
    <t>https://www.youtube.com/channel/UCuMWetRkEcqWS0wtw6sC_DA|</t>
  </si>
  <si>
    <t>Developer - Various</t>
  </si>
  <si>
    <t>#Various OR "Various"</t>
  </si>
  <si>
    <t>Vladimir Kudelka</t>
  </si>
  <si>
    <t>#VladimirKudelka OR "Vladimir Kudelka"</t>
  </si>
  <si>
    <t>#Various | "Various"</t>
  </si>
  <si>
    <t>Developer - Varsav Game Studios</t>
  </si>
  <si>
    <t>Vlambeer</t>
  </si>
  <si>
    <t>https://www.youtube.com/user/VlambeerTube|</t>
  </si>
  <si>
    <t>#Vlambeer OR "Vlambeer"</t>
  </si>
  <si>
    <t>#VarsavGameStudios | "Varsav Game Studios"</t>
  </si>
  <si>
    <t>Developer - Vblank Entertainment Inc.</t>
  </si>
  <si>
    <t>Volkov Konstantin Sergeevich</t>
  </si>
  <si>
    <t>#VolkovKonstantinSergeevich OR "Volkov Konstantin Sergeevich"</t>
  </si>
  <si>
    <t>#VblankEntertainmentInc | "Vblank Entertainment"</t>
  </si>
  <si>
    <t>Developer - Vector Unit</t>
  </si>
  <si>
    <t>VooFoo Studios</t>
  </si>
  <si>
    <t>https://www.youtube.com/user/VooFooStudios|</t>
  </si>
  <si>
    <t>#VooFooStudios OR "VooFoo Studios"</t>
  </si>
  <si>
    <t>#VectorUnit | "Vector Unit"</t>
  </si>
  <si>
    <t>Developer - Vector Unit Inc.</t>
  </si>
  <si>
    <t>Voszcura</t>
  </si>
  <si>
    <t>#Voszcura OR "Voszcura"</t>
  </si>
  <si>
    <t>#VectorUnitInc | "Vector Unit"</t>
  </si>
  <si>
    <t>Developer - Veewo Games</t>
  </si>
  <si>
    <t>VOXEL LABS S.L.</t>
  </si>
  <si>
    <t>#VOXELLABSSL OR "VOXEL LABS S.L."</t>
  </si>
  <si>
    <t>#VeewoGames | "Veewo Games"</t>
  </si>
  <si>
    <t>Developer - Velan Studios</t>
  </si>
  <si>
    <t>#VelanStudios OR "Velan Studios"</t>
  </si>
  <si>
    <t>VR Factory</t>
  </si>
  <si>
    <t>https://www.youtube.com/channel/UCzE-IwCyv4SL7yQrWGXReyA|</t>
  </si>
  <si>
    <t>#VRFactory OR "VR Factory"</t>
  </si>
  <si>
    <t>#VelanStudios | "Velan Studios"</t>
  </si>
  <si>
    <t>https://www.youtube.com/channel/UCUDBxQo7wFn_MStI_M7Dtfg|</t>
  </si>
  <si>
    <t>Developer - Venatio Creo</t>
  </si>
  <si>
    <t>VR RPG INC.</t>
  </si>
  <si>
    <t>https://www.youtube.com/channel/UCD51W6GBrgBrz5DVoFZ_WeQ|</t>
  </si>
  <si>
    <t>#VRRPGINC OR "VR RPG"</t>
  </si>
  <si>
    <t>#VenatioCreo | "Venatio Creo"</t>
  </si>
  <si>
    <t>Developer - Versus Evil</t>
  </si>
  <si>
    <t>VRESKI</t>
  </si>
  <si>
    <t>https://www.youtube.com/channel/UCklNdcSogNC3ANPk560axpg|</t>
  </si>
  <si>
    <t>#VRESKI OR "VRESKI"</t>
  </si>
  <si>
    <t>#VersusEvil | "Versus Evil"</t>
  </si>
  <si>
    <t>Developer - Vertex Pop</t>
  </si>
  <si>
    <t>VRMonkey</t>
  </si>
  <si>
    <t>https://www.youtube.com/channel/UClA12C7wZ80a8YuH5Ba7NWQ|</t>
  </si>
  <si>
    <t>#VRMonkey OR "VRMonkey"</t>
  </si>
  <si>
    <t>#VertexPop | "Vertex Pop"</t>
  </si>
  <si>
    <t>Developer - Vertigo Games</t>
  </si>
  <si>
    <t>VRWERX</t>
  </si>
  <si>
    <t>#VRWERX OR "VRWERX"</t>
  </si>
  <si>
    <t>#VertigoGames | "Vertigo Games"</t>
  </si>
  <si>
    <t>Developer - VEWO Interactive Inc.</t>
  </si>
  <si>
    <t>#VEWOInteractiveInc OR "VEWO Interactive"</t>
  </si>
  <si>
    <t>VTree LLC</t>
  </si>
  <si>
    <t>#VTreeLLC OR "VTree LLC"</t>
  </si>
  <si>
    <t>#VEWOInteractiveInc | "VEWO Interactive"</t>
  </si>
  <si>
    <t>https://www.youtube.com/channel/UC6foMynG-APssWndD76slEQ|</t>
  </si>
  <si>
    <t>Developer - Vicarious Visions</t>
  </si>
  <si>
    <t>#VicariousVisions OR "Vicarious Visions"</t>
  </si>
  <si>
    <t>Wahler Digital</t>
  </si>
  <si>
    <t>#WahlerDigital OR "Wahler Digital"</t>
  </si>
  <si>
    <t>#VicariousVisions | "Vicarious Visions"</t>
  </si>
  <si>
    <t>https://www.youtube.com/channel/UC1B0pH4IQZxvaqm06UZ3OoQ|</t>
  </si>
  <si>
    <t>Developer - Vicious Cycle</t>
  </si>
  <si>
    <t>#ViciousCycle OR "Vicious Cycle"</t>
  </si>
  <si>
    <t>Wakefield Interactive</t>
  </si>
  <si>
    <t>#WakefieldInteractive OR "Wakefield Interactive"</t>
  </si>
  <si>
    <t>#ViciousCycle | "Vicious Cycle"</t>
  </si>
  <si>
    <t>Developer - VICO Game Studio</t>
  </si>
  <si>
    <t>#VICOGameStudio OR "VICO Game Studio"</t>
  </si>
  <si>
    <t>Wales Interactive</t>
  </si>
  <si>
    <t>https://www.youtube.com/user/WalesInteractive|</t>
  </si>
  <si>
    <t>#WalesInteractive OR "Wales Interactive"</t>
  </si>
  <si>
    <t>#VICOGameStudio | "VICO Game Studio"</t>
  </si>
  <si>
    <t>https://www.youtube.com/channel/UCgTRxLVqp1hl93SMhgxofaA|</t>
  </si>
  <si>
    <t>Developer - Victory Lap Games</t>
  </si>
  <si>
    <t>Walkabout Games</t>
  </si>
  <si>
    <t>https://www.youtube.com/channel/UCbzOCn0fyFNsj7GITi8CLkQ|</t>
  </si>
  <si>
    <t>#WalkaboutGames OR "Walkabout Games"</t>
  </si>
  <si>
    <t>#VictoryLapGames | "Victory Lap Games"</t>
  </si>
  <si>
    <t>Developer - Victory Road</t>
  </si>
  <si>
    <t>Wallnet</t>
  </si>
  <si>
    <t>#Wallnet OR "Wallnet"</t>
  </si>
  <si>
    <t>#VictoryRoad | "Victory Road"</t>
  </si>
  <si>
    <t>Developer - Victory Road LLC.</t>
  </si>
  <si>
    <t>Walnut LLC</t>
  </si>
  <si>
    <t>https://www.youtube.com/channel/UCs6td1Dr79k2QFnn1bVqo9g|</t>
  </si>
  <si>
    <t>#WalnutLLC OR "Walnut LLC"</t>
  </si>
  <si>
    <t>#VictoryRoadLLC | "Victory Road LLC."</t>
  </si>
  <si>
    <t>Developer - Vidama Software LLC</t>
  </si>
  <si>
    <t>Wander</t>
  </si>
  <si>
    <t>#Wander OR "Wander"</t>
  </si>
  <si>
    <t>#VidamaSoftwareLLC | "Vidama Software LLC"</t>
  </si>
  <si>
    <t>Developer - Video System</t>
  </si>
  <si>
    <t>#VideoSystem OR "Video System"</t>
  </si>
  <si>
    <t>War Ducks Ltd</t>
  </si>
  <si>
    <t>#WarDucksLtd OR "War Ducks Ltd"</t>
  </si>
  <si>
    <t>#VideoSystem | "Video System"</t>
  </si>
  <si>
    <t>Developer - Vidroid</t>
  </si>
  <si>
    <t>Warcave</t>
  </si>
  <si>
    <t>https://www.youtube.com/channel/UCApLsIzn6VB44yl2TAKKNAg|</t>
  </si>
  <si>
    <t>#Warcave OR "Warcave"</t>
  </si>
  <si>
    <t>#Vidroid | "Vidroid"</t>
  </si>
  <si>
    <t>Developer - Vikintor</t>
  </si>
  <si>
    <t>#Vikintor OR "Vikintor"</t>
  </si>
  <si>
    <t>WarDucks</t>
  </si>
  <si>
    <t>https://www.youtube.com/channel/UCehmQGOlOuwGYIoutZpXU9Q|</t>
  </si>
  <si>
    <t>#WarDucks OR "WarDucks"</t>
  </si>
  <si>
    <t>#Vikintor | "Vikintor"</t>
  </si>
  <si>
    <t>https://www.youtube.com/channel/UCCWv8BoWdwvNkANTcLWZ7uA|</t>
  </si>
  <si>
    <t>Developer - Vikong</t>
  </si>
  <si>
    <t>Wargaming.net</t>
  </si>
  <si>
    <t>https://www.youtube.com/channel/UCLQd4upg6HQNjiXJYUJdxFw|</t>
  </si>
  <si>
    <t>#Wargamingnet OR "Wargaming.net"</t>
  </si>
  <si>
    <t>#Vikong | "Vikong"</t>
  </si>
  <si>
    <t>Developer - Viktor Yurchuk</t>
  </si>
  <si>
    <t>#ViktorYurchuk OR "Viktor Yurchuk"</t>
  </si>
  <si>
    <t>Warhorse Studios</t>
  </si>
  <si>
    <t>https://www.youtube.com/channel/UCIqUdfkbYmCGM-YRmk28zCg|</t>
  </si>
  <si>
    <t>#WarhorseStudios OR "Warhorse Studios"</t>
  </si>
  <si>
    <t>#ViktorYurchuk | "Viktor Yurchuk"</t>
  </si>
  <si>
    <t>https://www.youtube.com/channel/UCEfHtY5QPGJGYpwfIHqaDcg|</t>
  </si>
  <si>
    <t>Developer - Vile Monarch</t>
  </si>
  <si>
    <t>#VileMonarch OR "Vile Monarch"</t>
  </si>
  <si>
    <t>Warlock Arts</t>
  </si>
  <si>
    <t>#WarlockArts OR "Warlock Arts"</t>
  </si>
  <si>
    <t>#VileMonarch | "Vile Monarch"</t>
  </si>
  <si>
    <r>
      <rPr>
        <rFont val="Arial"/>
        <color rgb="FF000000"/>
      </rPr>
      <t>https://www.youtube.com/channel/UCJ9dRF3EG35agleIvzdB0hA</t>
    </r>
    <r>
      <rPr>
        <rFont val="Arial"/>
        <color rgb="FF000000"/>
      </rPr>
      <t>|</t>
    </r>
  </si>
  <si>
    <t>Developer - vill</t>
  </si>
  <si>
    <t>Warm Lamp Games</t>
  </si>
  <si>
    <t>https://www.youtube.com/channel/UCn3JO9vHo5bL4Tk9pTsfVkA|</t>
  </si>
  <si>
    <t>#WarmLampGames OR "Warm Lamp Games"</t>
  </si>
  <si>
    <t>#vill | "vill"</t>
  </si>
  <si>
    <t>Developer - Villa Gorilla</t>
  </si>
  <si>
    <t>Warner Bros. Games</t>
  </si>
  <si>
    <t>#WarnerBrosGames OR "Warner Bros. Games"</t>
  </si>
  <si>
    <t>#VillaGorilla | "Villa Gorilla"</t>
  </si>
  <si>
    <r>
      <rPr>
        <rFont val="Arial"/>
        <color rgb="FF000000"/>
      </rPr>
      <t>https://www.youtube.com/channel/UCL9c9tOHJ-m4o_-4lObDYlg</t>
    </r>
    <r>
      <rPr>
        <rFont val="Arial"/>
        <color rgb="FF000000"/>
      </rPr>
      <t>|</t>
    </r>
  </si>
  <si>
    <t>Developer - Village Bench</t>
  </si>
  <si>
    <t>Warner Bros. Interactive Entertainment</t>
  </si>
  <si>
    <t>#VillageBench | "Village Bench"</t>
  </si>
  <si>
    <t>Developer - Vine</t>
  </si>
  <si>
    <t>#Vine OR "Vine"</t>
  </si>
  <si>
    <t>Warpfish Games</t>
  </si>
  <si>
    <t>https://www.youtube.com/user/WarpfishGames|</t>
  </si>
  <si>
    <t>#WarpfishGames OR "Warpfish Games"</t>
  </si>
  <si>
    <t>#Vine | "Vine"</t>
  </si>
  <si>
    <t>https://www.youtube.com/channel/UC597l2baSCkVBdOSaiJPEHA|</t>
  </si>
  <si>
    <t>Developer - Viridino Studios</t>
  </si>
  <si>
    <t>#ViridinoStudios OR "Viridino Studios"</t>
  </si>
  <si>
    <t>Wasatch Games</t>
  </si>
  <si>
    <t>https://www.youtube.com/channel/UCrJSSy1Scv9dltMYfGsDw9A|</t>
  </si>
  <si>
    <t>#WasatchGames OR "Wasatch Games"</t>
  </si>
  <si>
    <t>#ViridinoStudios | "Viridino Studios"</t>
  </si>
  <si>
    <r>
      <rPr>
        <rFont val="Arial"/>
        <color rgb="FF000000"/>
      </rPr>
      <t>https://www.youtube.com/channel/UC258BAD2eXmaylx0s_yplxQ</t>
    </r>
    <r>
      <rPr>
        <rFont val="Arial"/>
        <color rgb="FF000000"/>
      </rPr>
      <t>|</t>
    </r>
  </si>
  <si>
    <t>Developer - Virtual Air Guitar Company</t>
  </si>
  <si>
    <t>WasatchWare</t>
  </si>
  <si>
    <t>#WasatchWare OR "WasatchWare"</t>
  </si>
  <si>
    <t>#VirtualAirGuitarCompany | "Virtual Air Guitar Company"</t>
  </si>
  <si>
    <t>Developer - Virtuos</t>
  </si>
  <si>
    <t>#Virtuos OR "Virtuos"</t>
  </si>
  <si>
    <t>Watermelon</t>
  </si>
  <si>
    <t>https://www.youtube.com/channel/UCRi1MDm5xi_W9WKjIpjMIUw|</t>
  </si>
  <si>
    <t>#Watermelon OR "Watermelon"</t>
  </si>
  <si>
    <t>#Virtuos | "Virtuos"</t>
  </si>
  <si>
    <t>https://www.youtube.com/channel/UCcPCNNZs1sH1VG45qmsScbw|</t>
  </si>
  <si>
    <t>Developer - Visceral Games</t>
  </si>
  <si>
    <t>#VisceralGames OR "Visceral Games"</t>
  </si>
  <si>
    <t>Watermelon Development</t>
  </si>
  <si>
    <t>#WatermelonDevelopment OR "Watermelon Development"</t>
  </si>
  <si>
    <t>#VisceralGames | "Visceral Games"</t>
  </si>
  <si>
    <t>Developer - Visual Concepts</t>
  </si>
  <si>
    <t>#VisualConcepts OR "Visual Concepts"</t>
  </si>
  <si>
    <t>Waveor</t>
  </si>
  <si>
    <t>https://www.youtube.com/channel/UCvku_K5TnNMGo04Bm4Atyaw|</t>
  </si>
  <si>
    <t>#Waveor OR "Waveor"</t>
  </si>
  <si>
    <t>#VisualConcepts | "Visual Concepts"</t>
  </si>
  <si>
    <t>Developer - Visual Imagination Software</t>
  </si>
  <si>
    <t>#VisualImaginationSoftware OR "Visual Imagination Software"</t>
  </si>
  <si>
    <t>WayForward</t>
  </si>
  <si>
    <t>https://www.youtube.com/user/wayforwardtube|</t>
  </si>
  <si>
    <t>#WayForward OR "WayForward"</t>
  </si>
  <si>
    <t>#VisualImaginationSoftware | "Visual Imagination Software"</t>
  </si>
  <si>
    <t>Developer - Viva Games</t>
  </si>
  <si>
    <t>We The Force</t>
  </si>
  <si>
    <t>#WeTheForce OR "We The Force"</t>
  </si>
  <si>
    <t>#VivaGames | "Viva Games"</t>
  </si>
  <si>
    <t>Developer - Vladimir Beletsky</t>
  </si>
  <si>
    <t>#VladimirBeletsky OR "Vladimir Beletsky"</t>
  </si>
  <si>
    <t>Weappy Studio</t>
  </si>
  <si>
    <r>
      <rPr>
        <rFont val="Calibri, sans-serif"/>
        <color rgb="FF000000"/>
        <sz val="10.0"/>
        <u/>
      </rPr>
      <t>https://www.youtube.com/channel/UCbsjFZfSyRubQ_8wn_r5nXg</t>
    </r>
    <r>
      <rPr>
        <rFont val="Calibri, sans-serif"/>
        <color rgb="FF000000"/>
        <sz val="10.0"/>
      </rPr>
      <t>|</t>
    </r>
  </si>
  <si>
    <t>#WeappyStudio OR "Weappy Studio"</t>
  </si>
  <si>
    <t>#VladimirBeletsky | "Vladimir Beletsky"</t>
  </si>
  <si>
    <t>Developer - Vlambeer</t>
  </si>
  <si>
    <t>Webcore Games</t>
  </si>
  <si>
    <t>https://www.youtube.com/channel/UCZ6VFYbv77KObRCLsTfWfwQ|</t>
  </si>
  <si>
    <t>#WebcoreGames OR "Webcore Games"</t>
  </si>
  <si>
    <t>#Vlambeer | "Vlambeer"</t>
  </si>
  <si>
    <t>Developer - Void games</t>
  </si>
  <si>
    <t>#Voidgames OR "Void games"</t>
  </si>
  <si>
    <t>Webnetic s. r. o.</t>
  </si>
  <si>
    <r>
      <rPr>
        <rFont val="Calibri, sans-serif"/>
        <color rgb="FF000000"/>
        <sz val="10.0"/>
        <u/>
      </rPr>
      <t>https://www.youtube.com/channel/UCvGb-bI6Ro8cvdlGNC5hAEA</t>
    </r>
    <r>
      <rPr>
        <rFont val="Calibri, sans-serif"/>
        <color rgb="FF000000"/>
        <sz val="10.0"/>
      </rPr>
      <t>|</t>
    </r>
  </si>
  <si>
    <t>#Webneticsro OR "Webnetic s. r. o."</t>
  </si>
  <si>
    <t>#Voidgames | "Void games"</t>
  </si>
  <si>
    <t>https://www.youtube.com/channel/UCC_ISsys8f_lDumCFppj0Gg|</t>
  </si>
  <si>
    <t>Developer - Void Studios</t>
  </si>
  <si>
    <t>#VoidStudios OR "Void Studios"</t>
  </si>
  <si>
    <t>Webrox</t>
  </si>
  <si>
    <t>https://www.youtube.com/user/webroxapps|</t>
  </si>
  <si>
    <t>#Webrox OR "Webrox"</t>
  </si>
  <si>
    <t>#VoidStudios | "Void Studios"</t>
  </si>
  <si>
    <r>
      <rPr>
        <rFont val="Arial"/>
        <color rgb="FF000000"/>
      </rPr>
      <t>https://www.youtube.com/channel/UCgZ4uWuNeTpWgIBgBciLTag</t>
    </r>
    <r>
      <rPr>
        <rFont val="Arial"/>
        <color rgb="FF000000"/>
      </rPr>
      <t>|</t>
    </r>
  </si>
  <si>
    <t>Developer - Volcanicc</t>
  </si>
  <si>
    <t>#Volcanicc OR "Volcanicc"</t>
  </si>
  <si>
    <t>Weird Beluga</t>
  </si>
  <si>
    <t>https://www.youtube.com/channel/UCGO3qsWDaFEwJ_vKytbhJFA|</t>
  </si>
  <si>
    <t>#WeirdBeluga OR "Weird Beluga"</t>
  </si>
  <si>
    <t>#Volcanicc | "Volcanicc"</t>
  </si>
  <si>
    <t>Developer - Volframe</t>
  </si>
  <si>
    <t>#Volframe OR "Volframe"</t>
  </si>
  <si>
    <t>WeirdBeard</t>
  </si>
  <si>
    <t>https://www.youtube.com/channel/UCatiaETeJV7u5m-9Sa0KIXg|</t>
  </si>
  <si>
    <t>#WeirdBeard OR "WeirdBeard"</t>
  </si>
  <si>
    <t>#Volframe | "Volframe"</t>
  </si>
  <si>
    <r>
      <rPr>
        <rFont val="Arial"/>
        <color rgb="FF000000"/>
      </rPr>
      <t>https://www.youtube.com/channel/UCo-GMHDnn_2EBigBanL2Deg</t>
    </r>
    <r>
      <rPr>
        <rFont val="Arial"/>
        <color rgb="FF000000"/>
      </rPr>
      <t>|</t>
    </r>
  </si>
  <si>
    <t>Developer - Volition Inc.</t>
  </si>
  <si>
    <t>#VolitionInc OR "Volition"</t>
  </si>
  <si>
    <t>WeirdBeard B.V.</t>
  </si>
  <si>
    <t>#WeirdBeardBV OR "WeirdBeard B.V."</t>
  </si>
  <si>
    <t>#VolitionInc | "Volition"</t>
  </si>
  <si>
    <t>https://www.youtube.com/user/volitiontube|</t>
  </si>
  <si>
    <t>Developer - VooFoo Studios</t>
  </si>
  <si>
    <t>WEIWEIDINO GAMES</t>
  </si>
  <si>
    <t>#WEIWEIDINOGAMES OR "WEIWEIDINO GAMES"</t>
  </si>
  <si>
    <t>#VooFooStudios | "VooFoo Studios"</t>
  </si>
  <si>
    <t>Developer - Voszcura</t>
  </si>
  <si>
    <t>Well Bred Rhino</t>
  </si>
  <si>
    <t>#WellBredRhino OR "Well Bred Rhino"</t>
  </si>
  <si>
    <t>#Voszcura | "Voszcura"</t>
  </si>
  <si>
    <t>Developer - Vox Games</t>
  </si>
  <si>
    <t>#VoxGames OR "Vox Games"</t>
  </si>
  <si>
    <t>West Coast Games Ltd</t>
  </si>
  <si>
    <t>#WestCoastGamesLtd OR "West Coast Games Ltd"</t>
  </si>
  <si>
    <t>#VoxGames | "Vox Games"</t>
  </si>
  <si>
    <t>https://www.youtube.com/channel/UCLXo7UDZvByw2ixzpQCufnA|</t>
  </si>
  <si>
    <t>Developer - Voxler</t>
  </si>
  <si>
    <t>#Voxler OR "Voxler"</t>
  </si>
  <si>
    <t>West Coast Software</t>
  </si>
  <si>
    <r>
      <rPr>
        <rFont val="Calibri, sans-serif"/>
        <color rgb="FF000000"/>
        <sz val="10.0"/>
        <u/>
      </rPr>
      <t>https://www.youtube.com/channel/UCWibQx8ZNKhGoGzDNfkeYzg</t>
    </r>
    <r>
      <rPr>
        <rFont val="Calibri, sans-serif"/>
        <color rgb="FF000000"/>
        <sz val="10.0"/>
      </rPr>
      <t>|</t>
    </r>
  </si>
  <si>
    <t>#WestCoastSoftware OR "West Coast Software"</t>
  </si>
  <si>
    <t>#Voxler | "Voxler"</t>
  </si>
  <si>
    <t>https://www.youtube.com/channel/UClXUcgEK_YGJXEQm39yXcDQ|</t>
  </si>
  <si>
    <t>Developer - VTree LLC</t>
  </si>
  <si>
    <t>Whale Rock Games</t>
  </si>
  <si>
    <r>
      <rPr>
        <rFont val="Calibri, sans-serif"/>
        <color rgb="FF000000"/>
        <sz val="10.0"/>
        <u/>
      </rPr>
      <t>https://www.youtube.com/channel/UCsSuiy6-mRTOAufrcb91h7A</t>
    </r>
    <r>
      <rPr>
        <rFont val="Calibri, sans-serif"/>
        <color rgb="FF000000"/>
        <sz val="10.0"/>
      </rPr>
      <t>|</t>
    </r>
  </si>
  <si>
    <t>#WhaleRockGames OR "Whale Rock Games"</t>
  </si>
  <si>
    <t>#VTreeLLC | "VTree LLC"</t>
  </si>
  <si>
    <t>Developer - Wahler Digital</t>
  </si>
  <si>
    <t>What Up Games, LLC</t>
  </si>
  <si>
    <r>
      <rPr>
        <rFont val="Calibri, sans-serif"/>
        <color rgb="FF000000"/>
        <sz val="10.0"/>
        <u/>
      </rPr>
      <t>https://www.youtube.com/channel/UC4kQ2w__P06Rw1403e4Tmqw</t>
    </r>
    <r>
      <rPr>
        <rFont val="Calibri, sans-serif"/>
        <color rgb="FF000000"/>
        <sz val="10.0"/>
      </rPr>
      <t>|</t>
    </r>
  </si>
  <si>
    <t>#WahlerDigital | "Wahler Digital"</t>
  </si>
  <si>
    <t>Developer - Wahoo Studios</t>
  </si>
  <si>
    <t>#WahooStudios OR "Wahoo Studios"</t>
  </si>
  <si>
    <t>Whippoorwill Limited</t>
  </si>
  <si>
    <t>#WhippoorwillLimited OR "Whippoorwill Limited"</t>
  </si>
  <si>
    <t>#WahooStudios | "Wahoo Studios"</t>
  </si>
  <si>
    <t>Developer - Wakefield Interactive</t>
  </si>
  <si>
    <t>Whirlybird Games</t>
  </si>
  <si>
    <r>
      <rPr>
        <rFont val="Calibri, sans-serif"/>
        <color rgb="FF000000"/>
        <sz val="10.0"/>
        <u/>
      </rPr>
      <t>https://www.youtube.com/channel/UCxTUuYIAFpMjVPquZUwsEUg</t>
    </r>
    <r>
      <rPr>
        <rFont val="Calibri, sans-serif"/>
        <color rgb="FF000000"/>
        <sz val="10.0"/>
      </rPr>
      <t>|</t>
    </r>
  </si>
  <si>
    <t>#WhirlybirdGames OR "Whirlybird Games"</t>
  </si>
  <si>
    <t>#WakefieldInteractive | "Wakefield Interactive"</t>
  </si>
  <si>
    <r>
      <rPr>
        <rFont val="Arial"/>
        <color rgb="FF000000"/>
      </rPr>
      <t>https://www.youtube.com/channel/UCZUAsh71jDPV6l8Iil9R8PQ</t>
    </r>
    <r>
      <rPr>
        <rFont val="Arial"/>
        <color rgb="FF000000"/>
      </rPr>
      <t>|</t>
    </r>
  </si>
  <si>
    <t>Developer - Wales Interactive</t>
  </si>
  <si>
    <t>White Elk</t>
  </si>
  <si>
    <t>https://www.youtube.com/channel/UC_3-3bf6lrL8sqQD_m-XL8Q|</t>
  </si>
  <si>
    <t>#WhiteElk OR "White Elk"</t>
  </si>
  <si>
    <t>#WalesInteractive | "Wales Interactive"</t>
  </si>
  <si>
    <t>Developer - Wallnet</t>
  </si>
  <si>
    <t>White Lotus Interactive</t>
  </si>
  <si>
    <r>
      <rPr>
        <rFont val="Calibri, sans-serif"/>
        <color rgb="FF000000"/>
        <sz val="10.0"/>
        <u/>
      </rPr>
      <t>https://www.youtube.com/channel/UCidOrCPwQfR07NJIX5ybHCw</t>
    </r>
    <r>
      <rPr>
        <rFont val="Calibri, sans-serif"/>
        <color rgb="FF000000"/>
        <sz val="10.0"/>
      </rPr>
      <t>|</t>
    </r>
  </si>
  <si>
    <t>#WhiteLotusInteractive OR "White Lotus Interactive"</t>
  </si>
  <si>
    <t>#Wallnet | "Wallnet"</t>
  </si>
  <si>
    <t>Developer - Walnut LLC</t>
  </si>
  <si>
    <t>White Paper Games</t>
  </si>
  <si>
    <t>https://www.youtube.com/channel/UChYX4YOEhfEs4M15_OsZheA|</t>
  </si>
  <si>
    <t>#WhitePaperGames OR "White Paper Games"</t>
  </si>
  <si>
    <t>#WalnutLLC | "Walnut LLC"</t>
  </si>
  <si>
    <t>Developer - Warcave</t>
  </si>
  <si>
    <t>WhiteMoon Dreams</t>
  </si>
  <si>
    <r>
      <rPr>
        <rFont val="Calibri, sans-serif"/>
        <color rgb="FF000000"/>
        <sz val="10.0"/>
        <u/>
      </rPr>
      <t>https://www.youtube.com/channel/UCsqQPOd8pl3-eqJm1RZyZfQ</t>
    </r>
    <r>
      <rPr>
        <rFont val="Calibri, sans-serif"/>
        <color rgb="FF000000"/>
        <sz val="10.0"/>
      </rPr>
      <t>|</t>
    </r>
  </si>
  <si>
    <t>#WhiteMoonDreams OR "WhiteMoon Dreams"</t>
  </si>
  <si>
    <t>#Warcave | "Warcave"</t>
  </si>
  <si>
    <t>Developer - Wargaming.net</t>
  </si>
  <si>
    <t>Whitethorn Digital</t>
  </si>
  <si>
    <t>https://www.youtube.com/channel/UCnhwPRyPr3GHursotyeu7nw|</t>
  </si>
  <si>
    <t>#WhitethornDigital OR "Whitethorn Digital"</t>
  </si>
  <si>
    <t>#Wargamingnet | "Wargaming.net"</t>
  </si>
  <si>
    <t>Developer - Warhorse Studios</t>
  </si>
  <si>
    <t>Wide Right Interactive</t>
  </si>
  <si>
    <t>https://www.youtube.com/channel/UCnbXKk3IRPSlRnCLobikJ4g|</t>
  </si>
  <si>
    <t>#WideRightInteractive OR "Wide Right Interactive"</t>
  </si>
  <si>
    <t>#WarhorseStudios | "Warhorse Studios"</t>
  </si>
  <si>
    <t>Developer - Warm Lamp Games</t>
  </si>
  <si>
    <t>Wild River</t>
  </si>
  <si>
    <t>#WildRiver OR "Wild River"</t>
  </si>
  <si>
    <t>#WarmLampGames | "Warm Lamp Games"</t>
  </si>
  <si>
    <t>Developer - Warner Bros.</t>
  </si>
  <si>
    <t>#WarnerBros OR "Warner Bros."</t>
  </si>
  <si>
    <t>Wild River Games</t>
  </si>
  <si>
    <t>https://www.youtube.com/channel/UCvt_s_gzC_qWe6-s-ppYFjw/|</t>
  </si>
  <si>
    <t>#WildRiverGames OR "Wild River Games"</t>
  </si>
  <si>
    <t>#WarnerBros | "Warner Bros."</t>
  </si>
  <si>
    <t>https://www.youtube.com/channel/UCjmJDM5pRKbUlVIzDYYWb6g|</t>
  </si>
  <si>
    <t>Developer - Warpfish Games</t>
  </si>
  <si>
    <t>Wild Rooster</t>
  </si>
  <si>
    <t>#WildRooster OR "Wild Rooster"</t>
  </si>
  <si>
    <t>#WarpfishGames | "Warpfish Games"</t>
  </si>
  <si>
    <t>Developer - WasatchWare</t>
  </si>
  <si>
    <t>Wild Sphere</t>
  </si>
  <si>
    <t>https://www.youtube.com/channel/UC9zOoeQ3trkcQzrX258MAbA|</t>
  </si>
  <si>
    <t>#WildSphere OR "Wild Sphere"</t>
  </si>
  <si>
    <t>#WasatchWare | "WasatchWare"</t>
  </si>
  <si>
    <t>Developer - Wastelands Interactive</t>
  </si>
  <si>
    <t>#WastelandsInteractive OR "Wastelands Interactive"</t>
  </si>
  <si>
    <t>Wild Sphere S.L.</t>
  </si>
  <si>
    <t>https://www.youtube.com/channel/UCCZwI_JwWDDSbGl9pN6TTkQ|</t>
  </si>
  <si>
    <t>#WildSphereSL OR "Wild Sphere S.L."</t>
  </si>
  <si>
    <t>#WastelandsInteractive | "Wastelands Interactive"</t>
  </si>
  <si>
    <t>https://www.youtube.com/user/WastelandsDevChannel|</t>
  </si>
  <si>
    <t>Developer - Watermelon Development</t>
  </si>
  <si>
    <t>WildBit Studios</t>
  </si>
  <si>
    <t>https://www.youtube.com/user/wildbitstudios/videos|</t>
  </si>
  <si>
    <t>#WildBitStudios OR "WildBit Studios"</t>
  </si>
  <si>
    <t>#WatermelonDevelopment | "Watermelon Development"</t>
  </si>
  <si>
    <t>Developer - WayForward</t>
  </si>
  <si>
    <t>Wildsphere</t>
  </si>
  <si>
    <t>#Wildsphere OR "Wildsphere"</t>
  </si>
  <si>
    <t>#WayForward | "WayForward"</t>
  </si>
  <si>
    <t>Developer - Wayward Distractions</t>
  </si>
  <si>
    <t>#WaywardDistractions OR "Wayward Distractions"</t>
  </si>
  <si>
    <t>William Chyr Studio LLC</t>
  </si>
  <si>
    <t>https://www.youtube.com/channel/UCPNVUqNoZTB2FpLO7F0dtew|</t>
  </si>
  <si>
    <t>#WilliamChyrStudioLLC OR "William Chyr Studio LLC"</t>
  </si>
  <si>
    <t>#WaywardDistractions | "Wayward Distractions"</t>
  </si>
  <si>
    <t>Developer - WB Games Montreal</t>
  </si>
  <si>
    <t>#WBGamesMontreal OR "WB Games Montreal"</t>
  </si>
  <si>
    <t>William Fisher</t>
  </si>
  <si>
    <t>#WilliamFisher OR "William Fisher"</t>
  </si>
  <si>
    <t>#WBGamesMontreal | "WB Games Montreal"</t>
  </si>
  <si>
    <r>
      <rPr>
        <rFont val="Arial"/>
        <color rgb="FF000000"/>
      </rPr>
      <t>https://www.youtube.com/channel/UC8vLziuIdcBH8G33_FYoByg</t>
    </r>
    <r>
      <rPr>
        <rFont val="Arial"/>
        <color rgb="FF000000"/>
      </rPr>
      <t>|</t>
    </r>
  </si>
  <si>
    <t>Developer - WBIE</t>
  </si>
  <si>
    <t>#WBIE OR "WBIE"</t>
  </si>
  <si>
    <t>Windstone Games</t>
  </si>
  <si>
    <t>https://www.youtube.com/channel/UCLnL2JTWTu_0iypfvt1mXZA|</t>
  </si>
  <si>
    <t>#WindstoneGames OR "Windstone Games"</t>
  </si>
  <si>
    <t>#WBIE | "WBIE"</t>
  </si>
  <si>
    <t>https://www.youtube.com/channel/UCHqAOjD1bj-PvtPcK8qDFMQ|</t>
  </si>
  <si>
    <t>Developer - We Create Stuff</t>
  </si>
  <si>
    <t>#WeCreateStuff OR "We Create Stuff"</t>
  </si>
  <si>
    <t>WindThunder Studio</t>
  </si>
  <si>
    <t>#WindThunderStudio OR "WindThunder Studio"</t>
  </si>
  <si>
    <t>#WeCreateStuff | "We Create Stuff"</t>
  </si>
  <si>
    <t>https://www.youtube.com/channel/UC6vmj6qujq_02IJ6s-iFlTA|</t>
  </si>
  <si>
    <t>Developer - We're Five Games</t>
  </si>
  <si>
    <t>#WereFiveGames OR "We're Five Games"</t>
  </si>
  <si>
    <t>Winking Entertainment</t>
  </si>
  <si>
    <t>https://www.youtube.com/channel/UCqZmnpTja0F23VUivoHSaiA|</t>
  </si>
  <si>
    <t>#WinkingEntertainment OR "Winking Entertainment"</t>
  </si>
  <si>
    <t>#WereFiveGames | "We're Five Games"</t>
  </si>
  <si>
    <t>Developer - Weappy Studio</t>
  </si>
  <si>
    <t>Winking Entertainment Corporation</t>
  </si>
  <si>
    <t>#WinkingEntertainmentCorporation OR "Winking Entertainment Corporation"</t>
  </si>
  <si>
    <t>#WeappyStudio | "Weappy Studio"</t>
  </si>
  <si>
    <r>
      <rPr>
        <rFont val="Arial"/>
        <color rgb="FF000000"/>
      </rPr>
      <t>https://www.youtube.com/channel/UCbsjFZfSyRubQ_8wn_r5nXg</t>
    </r>
    <r>
      <rPr>
        <rFont val="Arial"/>
        <color rgb="FF000000"/>
      </rPr>
      <t>|</t>
    </r>
  </si>
  <si>
    <t>Developer - Webnetic s. r. o.</t>
  </si>
  <si>
    <t>Wired Productions</t>
  </si>
  <si>
    <t>https://www.youtube.com/channel/UC-9EJ9ddA6kC7H2czmwFvbA|</t>
  </si>
  <si>
    <t>#WiredProductions OR "Wired Productions"</t>
  </si>
  <si>
    <t>#Webneticsro | "Webnetic s. r. o."</t>
  </si>
  <si>
    <t>Developer - Webrox</t>
  </si>
  <si>
    <t>Wish Studios</t>
  </si>
  <si>
    <t>#WishStudios OR "Wish Studios"</t>
  </si>
  <si>
    <t>#Webrox | "Webrox"</t>
  </si>
  <si>
    <t>Developer - Weird Beluga</t>
  </si>
  <si>
    <t>Witch Beam</t>
  </si>
  <si>
    <t>https://www.youtube.com/channel/UCmP7hg61AUQACKzdnkJ4hSQ|</t>
  </si>
  <si>
    <t>#WitchBeam OR "Witch Beam"</t>
  </si>
  <si>
    <t>#WeirdBeluga | "Weird Beluga"</t>
  </si>
  <si>
    <t>Developer - WeirdBeard</t>
  </si>
  <si>
    <t>Wizards of the Coast</t>
  </si>
  <si>
    <t>https://www.youtube.com/channel/UC8ZGymAvfP97qJabgqUkz4A|</t>
  </si>
  <si>
    <t>#WizardsoftheCoast OR "Wizards of the Coast"</t>
  </si>
  <si>
    <t>#WeirdBeard | "WeirdBeard"</t>
  </si>
  <si>
    <t>Developer - WEIWEIDINO GAMES</t>
  </si>
  <si>
    <t>Wiznwar</t>
  </si>
  <si>
    <r>
      <rPr>
        <rFont val="Calibri, sans-serif"/>
        <color rgb="FF000000"/>
        <sz val="10.0"/>
        <u/>
      </rPr>
      <t>https://www.youtube.com/channel/UCeB_Z7mSiqvha8REldvoD8w</t>
    </r>
    <r>
      <rPr>
        <rFont val="Calibri, sans-serif"/>
        <color rgb="FF000000"/>
        <sz val="10.0"/>
      </rPr>
      <t>|</t>
    </r>
  </si>
  <si>
    <t>#Wiznwar OR "Wiznwar"</t>
  </si>
  <si>
    <t>#WEIWEIDINOGAMES | "WEIWEIDINO GAMES"</t>
  </si>
  <si>
    <t>Developer - weltenbauer.</t>
  </si>
  <si>
    <t>#weltenbauer OR "weltenbauer."</t>
  </si>
  <si>
    <t>WNIT SOFTWARE</t>
  </si>
  <si>
    <t>#WNITSOFTWARE OR "WNIT SOFTWARE"</t>
  </si>
  <si>
    <t>#weltenbauer | "weltenbauer."</t>
  </si>
  <si>
    <t>Developer - West Coast Games Ltd</t>
  </si>
  <si>
    <t>Wobbly Tooth Ltd</t>
  </si>
  <si>
    <t>https://www.youtube.com/channel/UCsv_FpVBcvMcSMQOKDQCpOA|</t>
  </si>
  <si>
    <t>#WobblyToothLtd OR "Wobbly Tooth Ltd"</t>
  </si>
  <si>
    <t>#WestCoastGamesLtd | "West Coast Games Ltd"</t>
  </si>
  <si>
    <t>Developer - West Coast Software</t>
  </si>
  <si>
    <t>Woblyware</t>
  </si>
  <si>
    <t>https://www.youtube.com/channel/UCmoX-hPgkhgTv11w4M8MDww|</t>
  </si>
  <si>
    <t>#Woblyware OR "Woblyware"</t>
  </si>
  <si>
    <t>#WestCoastSoftware | "West Coast Software"</t>
  </si>
  <si>
    <r>
      <rPr>
        <rFont val="Arial"/>
        <color rgb="FF000000"/>
      </rPr>
      <t>https://www.youtube.com/channel/UCWibQx8ZNKhGoGzDNfkeYzg</t>
    </r>
    <r>
      <rPr>
        <rFont val="Arial"/>
        <color rgb="FF000000"/>
      </rPr>
      <t>|</t>
    </r>
  </si>
  <si>
    <t>Developer - Whale Rock Games</t>
  </si>
  <si>
    <t>Wolf &amp; Wood Interactive</t>
  </si>
  <si>
    <r>
      <rPr>
        <rFont val="Calibri, sans-serif"/>
        <color rgb="FF000000"/>
        <sz val="10.0"/>
        <u/>
      </rPr>
      <t>https://www.youtube.com/channel/UCkpqsoSR49mWVeiUr4TUS9w</t>
    </r>
    <r>
      <rPr>
        <rFont val="Calibri, sans-serif"/>
        <color rgb="FF000000"/>
        <sz val="10.0"/>
      </rPr>
      <t>|</t>
    </r>
  </si>
  <si>
    <t>#WolfandWoodInteractive OR "Wolf &amp; Wood Interactive"</t>
  </si>
  <si>
    <t>#WhaleRockGames | "Whale Rock Games"</t>
  </si>
  <si>
    <r>
      <rPr>
        <rFont val="Arial"/>
        <color rgb="FF000000"/>
      </rPr>
      <t>https://www.youtube.com/channel/UCsSuiy6-mRTOAufrcb91h7A</t>
    </r>
    <r>
      <rPr>
        <rFont val="Arial"/>
        <color rgb="FF000000"/>
      </rPr>
      <t>|</t>
    </r>
  </si>
  <si>
    <t>Developer - Whalebox Studio</t>
  </si>
  <si>
    <t>#WhaleboxStudio OR "Whalebox Studio"</t>
  </si>
  <si>
    <t>Wolf Brew Games</t>
  </si>
  <si>
    <t>#WolfBrewGames OR "Wolf Brew Games"</t>
  </si>
  <si>
    <t>#WhaleboxStudio | "Whalebox Studio"</t>
  </si>
  <si>
    <t>Developer - WhaleFood Games</t>
  </si>
  <si>
    <t>#WhaleFoodGames OR "WhaleFood Games"</t>
  </si>
  <si>
    <t>Wonderland Kazakiri inc.</t>
  </si>
  <si>
    <t>https://www.youtube.com/channel/UCc3526WhqVW6QDcnqOHFndA|</t>
  </si>
  <si>
    <t>#WonderlandKazakiriinc OR "Wonderland Kazakiri"</t>
  </si>
  <si>
    <t>#WhaleFoodGames | "WhaleFood Games"</t>
  </si>
  <si>
    <t>https://www.youtube.com/channel/UCp6y8qOJDxmI8UFlIt8pqzw|</t>
  </si>
  <si>
    <t>Developer - White Owls</t>
  </si>
  <si>
    <t>#WhiteOwls OR "White Owls"</t>
  </si>
  <si>
    <t>Wonderstruck Games</t>
  </si>
  <si>
    <t>https://www.youtube.com/channel/UC4jI5n72FH0humnhmis1bSA|</t>
  </si>
  <si>
    <t>#WonderstruckGames OR "Wonderstruck Games"</t>
  </si>
  <si>
    <t>#WhiteOwls | "White Owls"</t>
  </si>
  <si>
    <t>https://www.youtube.com/channel/UCKtlVwsCajYwCoYnmO7opRQ|</t>
  </si>
  <si>
    <t>Developer - White Paper Games</t>
  </si>
  <si>
    <t>Woodsy Studio</t>
  </si>
  <si>
    <t>https://www.youtube.com/channel/UCB7W4LdFeOhDtafIY0XWV-w|</t>
  </si>
  <si>
    <t>#WoodsyStudio OR "Woodsy Studio"</t>
  </si>
  <si>
    <t>#WhitePaperGames | "White Paper Games"</t>
  </si>
  <si>
    <t>Developer - Whitethorn Digital</t>
  </si>
  <si>
    <t>Workinman Interactive, LLC.</t>
  </si>
  <si>
    <t>https://www.youtube.com/channel/UCbopBVDP4lSErFxcRNRCjkw|</t>
  </si>
  <si>
    <t>#WorkinmanInteractiveLLC OR "Workinman Interactive."</t>
  </si>
  <si>
    <t>#WhitethornDigital | "Whitethorn Digital"</t>
  </si>
  <si>
    <t>Developer - Whoop Group</t>
  </si>
  <si>
    <t>#WhoopGroup OR "Whoop Group"</t>
  </si>
  <si>
    <t>WS net</t>
  </si>
  <si>
    <t>https://www.youtube.com/channel/UC7S0yiDJVyIt7SbUY4lNt5Q|</t>
  </si>
  <si>
    <t>#WSnet OR "WS net"</t>
  </si>
  <si>
    <t>#WhoopGroup | "Whoop Group"</t>
  </si>
  <si>
    <t>Developer - Wicked Witch Software</t>
  </si>
  <si>
    <t>#WickedWitchSoftware OR "Wicked Witch Software"</t>
  </si>
  <si>
    <t>Wyvern-Entertainment</t>
  </si>
  <si>
    <t>#WyvernEntertainment OR "Wyvern-Entertainment"</t>
  </si>
  <si>
    <t>#WickedWitchSoftware | "Wicked Witch Software"</t>
  </si>
  <si>
    <t>https://www.youtube.com/channel/UCvns2G_hjZIHkUWt_dndRnA|</t>
  </si>
  <si>
    <t>Developer - Wide Right Interactive</t>
  </si>
  <si>
    <t>WZOGI</t>
  </si>
  <si>
    <t>#WZOGI OR "WZOGI"</t>
  </si>
  <si>
    <t>#WideRightInteractive | "Wide Right Interactive"</t>
  </si>
  <si>
    <t>Developer - Wideload Games Inc.</t>
  </si>
  <si>
    <t>#WideloadGamesInc OR "Wideload Games"</t>
  </si>
  <si>
    <t>X Plus</t>
  </si>
  <si>
    <t>https://www.youtube.com/channel/UCa6l1Tac9KkvrmVzePeKk7Q|</t>
  </si>
  <si>
    <t>#XPlus OR "X Plus"</t>
  </si>
  <si>
    <t>#WideloadGamesInc | "Wideload Games"</t>
  </si>
  <si>
    <t>Developer - Wild River Games</t>
  </si>
  <si>
    <t>X.D. Network Inc.</t>
  </si>
  <si>
    <t>https://www.youtube.com/channel/UCuLs4yjYpRLBeIeqgAc2dhA|</t>
  </si>
  <si>
    <t>#XDNetworkInc OR "X.D. Network"</t>
  </si>
  <si>
    <t>#WildRiverGames | "Wild River Games"</t>
  </si>
  <si>
    <t>Developer - Wild Rooster</t>
  </si>
  <si>
    <t>Xaloc Studios</t>
  </si>
  <si>
    <r>
      <rPr>
        <rFont val="Calibri, sans-serif"/>
        <color rgb="FF000000"/>
        <sz val="10.0"/>
        <u/>
      </rPr>
      <t>https://www.youtube.com/channel/UCU6mxzZRmexJCDWCiN57IXg</t>
    </r>
    <r>
      <rPr>
        <rFont val="Calibri, sans-serif"/>
        <color rgb="FF000000"/>
        <sz val="10.0"/>
      </rPr>
      <t>|</t>
    </r>
  </si>
  <si>
    <t>#XalocStudios OR "Xaloc Studios"</t>
  </si>
  <si>
    <t>#WildRooster | "Wild Rooster"</t>
  </si>
  <si>
    <t>Developer - Wild Sphere S.L.</t>
  </si>
  <si>
    <t>XALOC STUDIOS SL</t>
  </si>
  <si>
    <t>#XALOCSTUDIOSSL OR "XALOC STUDIOS SL"</t>
  </si>
  <si>
    <t>#WildSphereSL | "Wild Sphere S.L."</t>
  </si>
  <si>
    <t>Developer - Wildsphere</t>
  </si>
  <si>
    <t>Xaqqa</t>
  </si>
  <si>
    <r>
      <rPr>
        <rFont val="Calibri, sans-serif"/>
        <color rgb="FF000000"/>
        <sz val="10.0"/>
        <u/>
      </rPr>
      <t>https://www.youtube.com/channel/UCv3ezmK56wIrv7-hg1KsGOQ</t>
    </r>
    <r>
      <rPr>
        <rFont val="Calibri, sans-serif"/>
        <color rgb="FF000000"/>
        <sz val="10.0"/>
      </rPr>
      <t>|</t>
    </r>
  </si>
  <si>
    <t>#Xaqqa OR "Xaqqa"</t>
  </si>
  <si>
    <t>#Wildsphere | "Wildsphere"</t>
  </si>
  <si>
    <t>Developer - William Chyr Studio LLC</t>
  </si>
  <si>
    <t>Xaviant</t>
  </si>
  <si>
    <t>https://www.youtube.com/user/XaviantLLC|</t>
  </si>
  <si>
    <t>#Xaviant OR "Xaviant"</t>
  </si>
  <si>
    <t>#WilliamChyrStudioLLC | "William Chyr Studio LLC"</t>
  </si>
  <si>
    <t>Developer - William Fisher</t>
  </si>
  <si>
    <t>Xavier Orion Games</t>
  </si>
  <si>
    <t>https://www.youtube.com/channel/UCDJWGWsU9qBGPNuEXhECO1A|</t>
  </si>
  <si>
    <t>#XavierOrionGames OR "Xavier Orion Games"</t>
  </si>
  <si>
    <t>#WilliamFisher | "William Fisher"</t>
  </si>
  <si>
    <t>Developer - Windstone Games</t>
  </si>
  <si>
    <t>Xbox Game Studios</t>
  </si>
  <si>
    <t>https://www.youtube.com/channel/UCjBp_7RuDBUYbd1LegWEJ8g|</t>
  </si>
  <si>
    <t>#XboxGameStudios OR "Xbox Game Studios"</t>
  </si>
  <si>
    <t>#WindstoneGames | "Windstone Games"</t>
  </si>
  <si>
    <t>Developer - Winking Entertainment</t>
  </si>
  <si>
    <t>XCG STUDIO</t>
  </si>
  <si>
    <t>#XCGSTUDIO OR "XCG STUDIO"</t>
  </si>
  <si>
    <t>#WinkingEntertainment | "Winking Entertainment"</t>
  </si>
  <si>
    <t>Developer - Winter Wolves Game Studio</t>
  </si>
  <si>
    <t>#WinterWolvesGameStudio OR "Winter Wolves Game Studio"</t>
  </si>
  <si>
    <t>XCOGAMES LLC</t>
  </si>
  <si>
    <t>https://www.youtube.com/channel/UCmbYMrKFqA_XEQrklQoB42Q|</t>
  </si>
  <si>
    <t>#XCOGAMESLLC OR "XCOGAMES LLC"</t>
  </si>
  <si>
    <t>#WinterWolvesGameStudio | "Winter Wolves Game Studio"</t>
  </si>
  <si>
    <t>https://www.youtube.com/channel/UC0pDM6IPVjq5uRc_iehLcGA|</t>
  </si>
  <si>
    <t>Developer - Winterveil Studios Oy</t>
  </si>
  <si>
    <t>#WinterveilStudiosOy OR "Winterveil Studios Oy"</t>
  </si>
  <si>
    <t>XGenStudios</t>
  </si>
  <si>
    <t>https://www.youtube.com/user/XGenStudiosCom|</t>
  </si>
  <si>
    <t>#XGenStudios OR "XGenStudios"</t>
  </si>
  <si>
    <t>#WinterveilStudiosOy | "Winterveil Studios Oy"</t>
  </si>
  <si>
    <t>Developer - Wired Productions</t>
  </si>
  <si>
    <t>XGS</t>
  </si>
  <si>
    <t>#XGS OR "XGS"</t>
  </si>
  <si>
    <t>#WiredProductions | "Wired Productions"</t>
  </si>
  <si>
    <t>Developer - Witch Beam</t>
  </si>
  <si>
    <t>Xibalba Studios</t>
  </si>
  <si>
    <t>https://www.youtube.com/channel/UCz4U5UVdgJuoArFAALkoVhA|</t>
  </si>
  <si>
    <t>#XibalbaStudios OR "Xibalba Studios"</t>
  </si>
  <si>
    <t>#WitchBeam | "Witch Beam"</t>
  </si>
  <si>
    <t>Developer - Witching Hour Studios</t>
  </si>
  <si>
    <t>#WitchingHourStudios OR "Witching Hour Studios"</t>
  </si>
  <si>
    <t>Xiness</t>
  </si>
  <si>
    <t>https://www.youtube.com/channel/UCBP6m3A7tCu2nnjNdCwXt-Q|</t>
  </si>
  <si>
    <t>#Xiness OR "Xiness"</t>
  </si>
  <si>
    <t>#WitchingHourStudios | "Witching Hour Studios"</t>
  </si>
  <si>
    <t>https://www.youtube.com/channel/UCc_8QMxDFDcL3ACpufjD4Xg|</t>
  </si>
  <si>
    <t>Developer - Wizard Fu Games</t>
  </si>
  <si>
    <t>#WizardFuGames OR "Wizard Fu Games"</t>
  </si>
  <si>
    <t>xisai</t>
  </si>
  <si>
    <t>#xisai OR "xisai"</t>
  </si>
  <si>
    <t>#WizardFuGames | "Wizard Fu Games"</t>
  </si>
  <si>
    <t>https://www.youtube.com/channel/UCS8uMIIYj2vEKMia9HAPHeA|</t>
  </si>
  <si>
    <t>Developer - Wizards of the Coast</t>
  </si>
  <si>
    <t>Xitilon</t>
  </si>
  <si>
    <r>
      <rPr>
        <rFont val="Calibri, sans-serif"/>
        <color rgb="FF000000"/>
        <sz val="10.0"/>
        <u/>
      </rPr>
      <t>https://www.youtube.com/channel/UCw1p3iEr3pwKDrGvp36vX8A</t>
    </r>
    <r>
      <rPr>
        <rFont val="Calibri, sans-serif"/>
        <color rgb="FF000000"/>
        <sz val="10.0"/>
      </rPr>
      <t>|</t>
    </r>
  </si>
  <si>
    <t>#Xitilon OR "Xitilon"</t>
  </si>
  <si>
    <t>#WizardsoftheCoast | "Wizards of the Coast"</t>
  </si>
  <si>
    <t>Developer - WNIT SOFTWARE</t>
  </si>
  <si>
    <t>Xona Games</t>
  </si>
  <si>
    <t>https://www.youtube.com/XonaGames|</t>
  </si>
  <si>
    <t>#XonaGames OR "Xona Games"</t>
  </si>
  <si>
    <t>#WNITSOFTWARE | "WNIT SOFTWARE"</t>
  </si>
  <si>
    <t>Developer - Woblyware</t>
  </si>
  <si>
    <t>Xpec</t>
  </si>
  <si>
    <t>#Xpec OR "Xpec"</t>
  </si>
  <si>
    <t>#Woblyware | "Woblyware"</t>
  </si>
  <si>
    <t>Developer - Wonderbelly Games</t>
  </si>
  <si>
    <t>#WonderbellyGames OR "Wonderbelly Games"</t>
  </si>
  <si>
    <t>XPEC Entertainment Inc.</t>
  </si>
  <si>
    <t>#XPECEntertainmentInc OR "XPEC Entertainment"</t>
  </si>
  <si>
    <t>#WonderbellyGames | "Wonderbelly Games"</t>
  </si>
  <si>
    <t>https://www.youtube.com/channel/UCBk4DcNOPu2tDV10xCS3SAA|</t>
  </si>
  <si>
    <t>Developer - Wonderland Kazakiri inc.</t>
  </si>
  <si>
    <t>XREAL Games Ltd.</t>
  </si>
  <si>
    <t>https://www.youtube.com/channel/UCj9kaf9i-FT-RkUPPLTh-dg/featured|</t>
  </si>
  <si>
    <t>#XREALGamesLtd OR "XREAL Games Ltd."</t>
  </si>
  <si>
    <t>#WonderlandKazakiriinc | "Wonderland Kazakiri"</t>
  </si>
  <si>
    <t>Developer - Wondernaut Studio</t>
  </si>
  <si>
    <t>#WondernautStudio OR "Wondernaut Studio"</t>
  </si>
  <si>
    <t>XSEED Games</t>
  </si>
  <si>
    <t>https://www.youtube.com/user/xseedgames|</t>
  </si>
  <si>
    <t>#XSEEDGames OR "XSEED Games"</t>
  </si>
  <si>
    <t>#WondernautStudio | "Wondernaut Studio"</t>
  </si>
  <si>
    <t>Developer - Woodsy Studio</t>
  </si>
  <si>
    <t>Yacht Club Games</t>
  </si>
  <si>
    <t>https://www.youtube.com/channel/UCoMk2AnlOydyLijPqu9zg2Q|</t>
  </si>
  <si>
    <t>#YachtClubGames OR "Yacht Club Games"</t>
  </si>
  <si>
    <t>#WoodsyStudio | "Woodsy Studio"</t>
  </si>
  <si>
    <t>Developer - Workroom7</t>
  </si>
  <si>
    <t>#Workroom7 OR "Workroom7"</t>
  </si>
  <si>
    <t>Yahaha Games</t>
  </si>
  <si>
    <t>https://www.youtube.com/channel/UCcxps6OEHluRAs9-PntVFhg|</t>
  </si>
  <si>
    <t>#YahahaGames OR "Yahaha Games"</t>
  </si>
  <si>
    <t>#Workroom7 | "Workroom7"</t>
  </si>
  <si>
    <t>Developer - World-Loom</t>
  </si>
  <si>
    <t>#WorldLoom OR "World-Loom"</t>
  </si>
  <si>
    <t>Yak &amp; Co</t>
  </si>
  <si>
    <t>https://www.youtube.com/channel/UCOnbh0u-Kdyh0NpHNjrwkkQ|</t>
  </si>
  <si>
    <t>#YakandCo OR "Yak &amp; Co"</t>
  </si>
  <si>
    <t>#WorldLoom | "World-Loom"</t>
  </si>
  <si>
    <r>
      <rPr>
        <rFont val="Arial"/>
        <color rgb="FF000000"/>
      </rPr>
      <t>https://www.youtube.com/channel/UCCawjY-ocaTGTUZlEDMYYWA</t>
    </r>
    <r>
      <rPr>
        <rFont val="Arial"/>
        <color rgb="FF000000"/>
      </rPr>
      <t>|</t>
    </r>
  </si>
  <si>
    <t>Developer - WorldWideSoftware</t>
  </si>
  <si>
    <t>#WorldWideSoftware OR "WorldWideSoftware"</t>
  </si>
  <si>
    <t>Yanim Studio</t>
  </si>
  <si>
    <t>#YanimStudio OR "Yanim Studio"</t>
  </si>
  <si>
    <t>#WorldWideSoftware | "WorldWideSoftware"</t>
  </si>
  <si>
    <t>Developer - WS net</t>
  </si>
  <si>
    <t>Yash Future Tech Solutions Pvt Ltd</t>
  </si>
  <si>
    <t>#YashFutureTechSolutionsPvtLtd OR "Yash Future Tech Solutions Pvt Ltd"</t>
  </si>
  <si>
    <t>#WSnet | "WS net"</t>
  </si>
  <si>
    <t>Developer - Wyvern-Entertainment</t>
  </si>
  <si>
    <t>YCJY Games</t>
  </si>
  <si>
    <t>https://www.youtube.com/channel/UCT0vf9mfMRVRPr7DrNZ1Oow|</t>
  </si>
  <si>
    <t>#YCJYGames OR "YCJY Games"</t>
  </si>
  <si>
    <t>#WyvernEntertainment | "Wyvern-Entertainment"</t>
  </si>
  <si>
    <t>Developer - X Plus</t>
  </si>
  <si>
    <t>Yellow Dot</t>
  </si>
  <si>
    <r>
      <rPr>
        <rFont val="Calibri, sans-serif"/>
        <color rgb="FF000000"/>
        <sz val="10.0"/>
        <u/>
      </rPr>
      <t>https://www.youtube.com/channel/UCna9JN90X9qExdG576nj7nQ</t>
    </r>
    <r>
      <rPr>
        <rFont val="Calibri, sans-serif"/>
        <color rgb="FF000000"/>
        <sz val="10.0"/>
      </rPr>
      <t>|</t>
    </r>
  </si>
  <si>
    <t>#YellowDot OR "Yellow Dot"</t>
  </si>
  <si>
    <t>#XPlus | "X Plus"</t>
  </si>
  <si>
    <t>Developer - Xaqqa</t>
  </si>
  <si>
    <t>yeo</t>
  </si>
  <si>
    <t>#yeo OR "yeo"</t>
  </si>
  <si>
    <t>#Xaqqa | "Xaqqa"</t>
  </si>
  <si>
    <r>
      <rPr>
        <rFont val="Arial"/>
        <color rgb="FF000000"/>
      </rPr>
      <t>https://www.youtube.com/channel/UCv3ezmK56wIrv7-hg1KsGOQ</t>
    </r>
    <r>
      <rPr>
        <rFont val="Arial"/>
        <color rgb="FF000000"/>
      </rPr>
      <t>|</t>
    </r>
  </si>
  <si>
    <t>Developer - Xaviant</t>
  </si>
  <si>
    <t>YFC games</t>
  </si>
  <si>
    <t>https://www.youtube.com/channel/UCbjVTD1XNV5ZMQ3rBBoTzOQ|</t>
  </si>
  <si>
    <t>#YFCgames OR "YFC games"</t>
  </si>
  <si>
    <t>#Xaviant | "Xaviant"</t>
  </si>
  <si>
    <t>Developer - Xaviant Games</t>
  </si>
  <si>
    <t>#XaviantGames OR "Xaviant Games"</t>
  </si>
  <si>
    <t>YGGDRAZIL GROUP CO.,LTD</t>
  </si>
  <si>
    <r>
      <rPr>
        <rFont val="Calibri, sans-serif"/>
        <color rgb="FF000000"/>
        <sz val="10.0"/>
        <u/>
      </rPr>
      <t>https://www.youtube.com/channel/UCSyNO2kzRKnP5x1jg6mvmLQ</t>
    </r>
    <r>
      <rPr>
        <rFont val="Calibri, sans-serif"/>
        <color rgb="FF000000"/>
        <sz val="10.0"/>
      </rPr>
      <t>|</t>
    </r>
  </si>
  <si>
    <t>#YGGDRAZILGROUPCOLTD OR "YGGDRAZIL GROUP CO.,LTD"</t>
  </si>
  <si>
    <t>#XaviantGames | "Xaviant Games"</t>
  </si>
  <si>
    <t>Developer - Xavier Orion Games</t>
  </si>
  <si>
    <t>Yogscast</t>
  </si>
  <si>
    <t>https://www.youtube.com/channel/UCH-_hzb2ILSCo9ftVSnrCIQ|</t>
  </si>
  <si>
    <t>#Yogscast OR "Yogscast"</t>
  </si>
  <si>
    <t>#XavierOrionGames | "Xavier Orion Games"</t>
  </si>
  <si>
    <t>Developer - Xbox Game Studios</t>
  </si>
  <si>
    <t>Young Horses, Inc</t>
  </si>
  <si>
    <t>#YoungHorsesInc OR "Young Horses, Inc"</t>
  </si>
  <si>
    <t>#XboxGameStudios | "Xbox Game Studios"</t>
  </si>
  <si>
    <t>Developer - XCG STUDIO</t>
  </si>
  <si>
    <t>Ys Net</t>
  </si>
  <si>
    <r>
      <rPr>
        <rFont val="Calibri, sans-serif"/>
        <color rgb="FF000000"/>
        <sz val="10.0"/>
        <u/>
      </rPr>
      <t>https://www.youtube.com/channel/UCYBy6NO48wjuJh2vI7Lj2yg</t>
    </r>
    <r>
      <rPr>
        <rFont val="Calibri, sans-serif"/>
        <color rgb="FF000000"/>
        <sz val="10.0"/>
      </rPr>
      <t>|</t>
    </r>
  </si>
  <si>
    <t>#YsNet OR "Ys Net"</t>
  </si>
  <si>
    <t>#XCGSTUDIO | "XCG STUDIO"</t>
  </si>
  <si>
    <t>Developer - XGS</t>
  </si>
  <si>
    <t>Ysbryd Games</t>
  </si>
  <si>
    <t>https://www.youtube.com/channel/UCB7mROF_SIab3t5mEseS5cA|</t>
  </si>
  <si>
    <t>#YsbrydGames OR "Ysbryd Games"</t>
  </si>
  <si>
    <t>#XGS | "XGS"</t>
  </si>
  <si>
    <t>Developer - Xiness</t>
  </si>
  <si>
    <t>YummyYummyTummy</t>
  </si>
  <si>
    <t>#YummyYummyTummy OR "YummyYummyTummy"</t>
  </si>
  <si>
    <t>#Xiness | "Xiness"</t>
  </si>
  <si>
    <t>Developer - xisai</t>
  </si>
  <si>
    <t>Z-Software</t>
  </si>
  <si>
    <t>https://www.youtube.com/user/ZSoftwareGmbH|</t>
  </si>
  <si>
    <t>#ZSoftware OR "Z-Software"</t>
  </si>
  <si>
    <t>#xisai | "xisai"</t>
  </si>
  <si>
    <t>Developer - Xitilon</t>
  </si>
  <si>
    <t>ZA/UM</t>
  </si>
  <si>
    <t>#ZA/UM OR "ZA/UM"</t>
  </si>
  <si>
    <t>#Xitilon | "Xitilon"</t>
  </si>
  <si>
    <t>Developer - Yacht Club Games</t>
  </si>
  <si>
    <t>Zachary Bohlin</t>
  </si>
  <si>
    <t>#ZacharyBohlin OR "Zachary Bohlin"</t>
  </si>
  <si>
    <t>#YachtClubGames | "Yacht Club Games"</t>
  </si>
  <si>
    <t>Developer - Yahaha Games</t>
  </si>
  <si>
    <t>Zachtronics Industries</t>
  </si>
  <si>
    <t>https://www.youtube.com/user/zachtronics|</t>
  </si>
  <si>
    <t>#ZachtronicsIndustries OR "Zachtronics Industries"</t>
  </si>
  <si>
    <t>#YahahaGames | "Yahaha Games"</t>
  </si>
  <si>
    <t>Developer - Yak &amp; Co</t>
  </si>
  <si>
    <t>Zadbox Entertainment</t>
  </si>
  <si>
    <t>https://www.youtube.com/user/querngame|</t>
  </si>
  <si>
    <t>#ZadboxEntertainment OR "Zadbox Entertainment"</t>
  </si>
  <si>
    <t>#YakandCo | "Yak &amp; Co"</t>
  </si>
  <si>
    <t>Developer - Yangyang Mobile</t>
  </si>
  <si>
    <t>#YangyangMobile OR "Yangyang Mobile"</t>
  </si>
  <si>
    <t>Zakym s. r. o.</t>
  </si>
  <si>
    <t>#Zakymsro OR "Zakym s. r. o."</t>
  </si>
  <si>
    <t>#YangyangMobile | "Yangyang Mobile"</t>
  </si>
  <si>
    <t>youtube.com/channel/UCx7WpEutvznCnBmoqpCTESQ|</t>
  </si>
  <si>
    <t>Developer - Yash Future Tech Solutions Pvt Ltd</t>
  </si>
  <si>
    <t>Zanrai Interactive</t>
  </si>
  <si>
    <r>
      <rPr>
        <rFont val="Calibri, sans-serif"/>
        <color rgb="FF000000"/>
        <sz val="10.0"/>
        <u/>
      </rPr>
      <t>https://www.youtube.com/channel/UCb4mGI5eNih2Ezymu_jiQ4A</t>
    </r>
    <r>
      <rPr>
        <rFont val="Calibri, sans-serif"/>
        <color rgb="FF000000"/>
        <sz val="10.0"/>
      </rPr>
      <t>|</t>
    </r>
  </si>
  <si>
    <t>#ZanraiInteractive OR "Zanrai Interactive"</t>
  </si>
  <si>
    <t>#YashFutureTechSolutionsPvtLtd | "Yash Future Tech Solutions Pvt Ltd"</t>
  </si>
  <si>
    <t>Developer - YCJY Games</t>
  </si>
  <si>
    <t>Zeboyd Games</t>
  </si>
  <si>
    <t>https://www.youtube.com/channel/UCRdqdKT27ykHcQu603KdJwQ|</t>
  </si>
  <si>
    <t>#ZeboydGames OR "Zeboyd Games"</t>
  </si>
  <si>
    <t>#YCJYGames | "YCJY Games"</t>
  </si>
  <si>
    <t>Developer - Yeah Us!</t>
  </si>
  <si>
    <t>#YeahUs OR "Yeah Us!"</t>
  </si>
  <si>
    <t>Zen Studios</t>
  </si>
  <si>
    <t>https://www.youtube.com/channel/UCCyrfBv_qWWhLmthBpkIVgg|</t>
  </si>
  <si>
    <t>#ZenStudios OR "Zen Studios"</t>
  </si>
  <si>
    <t>#YeahUs | "Yeah Us!"</t>
  </si>
  <si>
    <t>Developer - Yellow Dot</t>
  </si>
  <si>
    <t>Zenith Blue</t>
  </si>
  <si>
    <t>#ZenithBlue OR "Zenith Blue"</t>
  </si>
  <si>
    <t>#YellowDot | "Yellow Dot"</t>
  </si>
  <si>
    <t>Developer - yeo</t>
  </si>
  <si>
    <t>Zenox Studio</t>
  </si>
  <si>
    <t>https://www.youtube.com/channel/UC0W1AW5yUHELybCEpyW5HDA|</t>
  </si>
  <si>
    <t>#ZenoxStudio OR "Zenox Studio"</t>
  </si>
  <si>
    <t>#yeo | "yeo"</t>
  </si>
  <si>
    <t>Developer - YFC games</t>
  </si>
  <si>
    <t>Zepetto Co.</t>
  </si>
  <si>
    <t>https://www.youtube.com/channel/UCjPMwnVejQLzuqKH8aE8C5Q|</t>
  </si>
  <si>
    <t>#ZepettoCo OR "Zepetto Co."</t>
  </si>
  <si>
    <t>#YFCgames | "YFC games"</t>
  </si>
  <si>
    <t>Developer - Yippee Entertainment LTD</t>
  </si>
  <si>
    <t>#YippeeEntertainmentLTD OR "Yippee Entertainment LTD"</t>
  </si>
  <si>
    <t>ZeroTransform</t>
  </si>
  <si>
    <t>https://www.youtube.com/channel/UCKniZ8kAoZYDuxxUzjPPDzQ|</t>
  </si>
  <si>
    <t>#ZeroTransform OR "ZeroTransform"</t>
  </si>
  <si>
    <t>#YippeeEntertainmentLTD | "Yippee Entertainment LTD"</t>
  </si>
  <si>
    <t>Developer - Yokogosystems</t>
  </si>
  <si>
    <t>#Yokogosystems OR "Yokogosystems"</t>
  </si>
  <si>
    <t>Zerouno Games</t>
  </si>
  <si>
    <t>https://www.youtube.com/channel/UCNrbXL2dyFUvZBotsAi321A|</t>
  </si>
  <si>
    <t>#ZerounoGames OR "Zerouno Games"</t>
  </si>
  <si>
    <t>#Yokogosystems | "Yokogosystems"</t>
  </si>
  <si>
    <t>https://www.youtube.com/channel/UCNfbULcrKWCqnWKtV-lEPVw|</t>
  </si>
  <si>
    <t>Developer - Yongjustyong</t>
  </si>
  <si>
    <t>#Yongjustyong OR "Yongjustyong"</t>
  </si>
  <si>
    <t>Ziggurat Interactive</t>
  </si>
  <si>
    <t>https://www.youtube.com/channel/UCKw-K6admhzQkaSuJ46VV0A|</t>
  </si>
  <si>
    <t>#ZigguratInteractive OR "Ziggurat Interactive"</t>
  </si>
  <si>
    <t>#Yongjustyong | "Yongjustyong"</t>
  </si>
  <si>
    <t>https://www.youtube.com/channel/UCZzY-6xM6uyGfYfAq_tuLug|</t>
  </si>
  <si>
    <t>Developer - Yuke's</t>
  </si>
  <si>
    <t>#Yukes OR "Yuke's"</t>
  </si>
  <si>
    <t>Zillion Whales</t>
  </si>
  <si>
    <t>https://www.youtube.com/user/UnitedAppsLtd|</t>
  </si>
  <si>
    <t>#ZillionWhales OR "Zillion Whales"</t>
  </si>
  <si>
    <t>#Yukes | "Yuke's"</t>
  </si>
  <si>
    <t>Developer - Yumekobo</t>
  </si>
  <si>
    <t>#Yumekobo OR "Yumekobo"</t>
  </si>
  <si>
    <t>Zodiac Interactive</t>
  </si>
  <si>
    <t>https://www.youtube.com/channel/UCTrA8ewQ5QqRmOELJQXEAOQ|</t>
  </si>
  <si>
    <t>#ZodiacInteractive OR "Zodiac Interactive"</t>
  </si>
  <si>
    <t>#Yumekobo | "Yumekobo"</t>
  </si>
  <si>
    <t>Developer - YummyYummyTummy</t>
  </si>
  <si>
    <t>Zoink!</t>
  </si>
  <si>
    <t>https://www.youtube.com/user/zoinkgames|</t>
  </si>
  <si>
    <t>#Zoink OR "Zoink!"</t>
  </si>
  <si>
    <t>#YummyYummyTummy | "YummyYummyTummy"</t>
  </si>
  <si>
    <t>Developer - Z-Software</t>
  </si>
  <si>
    <t>Zojoi Studios</t>
  </si>
  <si>
    <t>https://www.youtube.com/user/zojoi|</t>
  </si>
  <si>
    <t>#ZojoiStudios OR "Zojoi Studios"</t>
  </si>
  <si>
    <t>#ZSoftware | "Z-Software"</t>
  </si>
  <si>
    <t>Developer - Z4g0 and Ivan Venturi Productions</t>
  </si>
  <si>
    <t>#Z4g0andIvanVenturiProductions OR "Z4g0 and Ivan Venturi Productions"</t>
  </si>
  <si>
    <t>Zombie Studios</t>
  </si>
  <si>
    <r>
      <rPr>
        <rFont val="Calibri, sans-serif"/>
        <color rgb="FF000000"/>
        <sz val="10.0"/>
        <u/>
      </rPr>
      <t>https://www.youtube.com/channel/UCy3mvz95UoVkN8lZk46LoGw</t>
    </r>
    <r>
      <rPr>
        <rFont val="Calibri, sans-serif"/>
        <color rgb="FF000000"/>
        <sz val="10.0"/>
      </rPr>
      <t>|</t>
    </r>
  </si>
  <si>
    <t>#ZombieStudios OR "Zombie Studios"</t>
  </si>
  <si>
    <t>#Z4g0andIvanVenturiProductions | "Z4g0 and Ivan Venturi Productions"</t>
  </si>
  <si>
    <t>Developer - ZA/UM</t>
  </si>
  <si>
    <t>#ZAUM OR "ZA/UM"</t>
  </si>
  <si>
    <t>Zordix</t>
  </si>
  <si>
    <t>https://www.youtube.com/channel/UChVMdRoM6VlTpRwGyXLFIBA|</t>
  </si>
  <si>
    <t>#Zordix OR "Zordix"</t>
  </si>
  <si>
    <t>#ZAUM | "ZA/UM"</t>
  </si>
  <si>
    <t>Developer - Zachary Bohlin</t>
  </si>
  <si>
    <t>Zoxide Games</t>
  </si>
  <si>
    <t>https://www.youtube.com/user/zoxidegames|</t>
  </si>
  <si>
    <t>#ZoxideGames OR "Zoxide Games"</t>
  </si>
  <si>
    <t>#ZacharyBohlin | "Zachary Bohlin"</t>
  </si>
  <si>
    <t>Developer - Zachary Rosch</t>
  </si>
  <si>
    <t>#ZacharyRosch OR "Zachary Rosch"</t>
  </si>
  <si>
    <t>ZRZStudio</t>
  </si>
  <si>
    <r>
      <rPr>
        <rFont val="Calibri, sans-serif"/>
        <color rgb="FF000000"/>
        <sz val="10.0"/>
        <u/>
      </rPr>
      <t>https://www.youtube.com/channel/UCW5GaTKVbThvb7KIWV3N3Lw</t>
    </r>
    <r>
      <rPr>
        <rFont val="Calibri, sans-serif"/>
        <color rgb="FF000000"/>
        <sz val="10.0"/>
      </rPr>
      <t>|</t>
    </r>
  </si>
  <si>
    <t>#ZRZStudio OR "ZRZStudio"</t>
  </si>
  <si>
    <t>#ZacharyRosch | "Zachary Rosch"</t>
  </si>
  <si>
    <t>https://www.youtube.com/channel/UCyy2_ZW8uqiFh6r8-mF6o3Q|</t>
  </si>
  <si>
    <t>Developer - Zadbox Entertainment</t>
  </si>
  <si>
    <t>#ZadboxEntertainment | "Zadbox Entertainment"</t>
  </si>
  <si>
    <t>Developer - Zakym s. r. o.</t>
  </si>
  <si>
    <t>POCKET PAIR, Inc.</t>
  </si>
  <si>
    <r>
      <rPr>
        <rFont val="Arial"/>
        <color rgb="FF000000"/>
        <sz val="10.0"/>
      </rPr>
      <t>https://www.youtube.com/channel/UCz6cOlpF6os7JkAKnpMNriw</t>
    </r>
    <r>
      <rPr>
        <rFont val="Arial"/>
        <color rgb="FF000000"/>
        <sz val="10.0"/>
      </rPr>
      <t>|</t>
    </r>
  </si>
  <si>
    <t>#PocketPair OR "Pocket Pair"</t>
  </si>
  <si>
    <t>#Zakymsro | "Zakym s. r. o."</t>
  </si>
  <si>
    <t>Developer - Zaxis</t>
  </si>
  <si>
    <t>#Zaxis OR "Zaxis"</t>
  </si>
  <si>
    <t>3D Realms</t>
  </si>
  <si>
    <r>
      <rPr>
        <rFont val="Arial"/>
        <color rgb="FF000000"/>
        <sz val="10.0"/>
      </rPr>
      <t>https://www.youtube.com/channel/UCnSp56qlKGr2lrPqyxtWGhw</t>
    </r>
    <r>
      <rPr>
        <rFont val="Arial"/>
        <color theme="1"/>
        <sz val="10.0"/>
      </rPr>
      <t>|</t>
    </r>
  </si>
  <si>
    <t>#Zaxis | "Zaxis"</t>
  </si>
  <si>
    <t>Developer - Zeboyd Games</t>
  </si>
  <si>
    <t>Nintendo</t>
  </si>
  <si>
    <r>
      <rPr>
        <rFont val="Arial"/>
        <color rgb="FF000000"/>
        <sz val="10.0"/>
      </rPr>
      <t>https://www.youtube.com/channel/UCGIY_O-8vW4rfX98KlMkvRg</t>
    </r>
    <r>
      <rPr>
        <rFont val="Arial"/>
        <color theme="1"/>
        <sz val="10.0"/>
      </rPr>
      <t>|</t>
    </r>
  </si>
  <si>
    <t>#Nintendo OR "Nintendo"</t>
  </si>
  <si>
    <t>#ZeboydGames | "Zeboyd Games"</t>
  </si>
  <si>
    <t>Developer - Zen Studios</t>
  </si>
  <si>
    <t>Battlestate Games</t>
  </si>
  <si>
    <t>https://www.youtube.com/@Battlestategames|</t>
  </si>
  <si>
    <t>#BattlestateGames OR "Battlestate Games"</t>
  </si>
  <si>
    <t>#ZenStudios | "Zen Studios"</t>
  </si>
  <si>
    <t>Developer - ZeniMax Media</t>
  </si>
  <si>
    <t>#ZeniMaxMedia OR "ZeniMax Media"</t>
  </si>
  <si>
    <t>Kinetic Games</t>
  </si>
  <si>
    <t>https://www.youtube.com/@officialkineticgames|</t>
  </si>
  <si>
    <t>#KineticGames OR "Kinetic Games"</t>
  </si>
  <si>
    <t>#ZeniMaxMedia | "ZeniMax Media"</t>
  </si>
  <si>
    <t>Developer - Zenimax Online Studios</t>
  </si>
  <si>
    <t>#ZenimaxOnlineStudios OR "Zenimax Online Studios"</t>
  </si>
  <si>
    <t>ConcernedApe</t>
  </si>
  <si>
    <t>https://www.youtube.com/@ConcernedApe|</t>
  </si>
  <si>
    <t>#ConcernedApe OR "ConcernedApe"</t>
  </si>
  <si>
    <t>#ZenimaxOnlineStudios | "Zenimax Online Studios"</t>
  </si>
  <si>
    <t>https://www.youtube.com/user/ZenimaxOnlineStudios|</t>
  </si>
  <si>
    <t>Developer - Zenith Blue</t>
  </si>
  <si>
    <t>Zeekerss</t>
  </si>
  <si>
    <t>https://www.youtube.com/@ZeekerssRBLX|</t>
  </si>
  <si>
    <t>#Zeekerss OR "Zeekerss"</t>
  </si>
  <si>
    <t>#ZenithBlue | "Zenith Blue"</t>
  </si>
  <si>
    <t>Developer - Zerouno Games</t>
  </si>
  <si>
    <t>10 Chambers</t>
  </si>
  <si>
    <t>https://www.youtube.com/@10Chambers|</t>
  </si>
  <si>
    <t>#10Chambers OR "10 Chambers"</t>
  </si>
  <si>
    <t>#ZerounoGames | "Zerouno Games"</t>
  </si>
  <si>
    <t>Developer - Ziggurat Interactive</t>
  </si>
  <si>
    <t>Keen Games</t>
  </si>
  <si>
    <t>#ZigguratInteractive | "Ziggurat Interactive"</t>
  </si>
  <si>
    <t>Developer - Zillion Whales</t>
  </si>
  <si>
    <t>Endnight Games</t>
  </si>
  <si>
    <t>#EndnightGames OR "Endnight Games"</t>
  </si>
  <si>
    <t>#ZillionWhales | "Zillion Whales"</t>
  </si>
  <si>
    <t>Developer - Zoe Mode</t>
  </si>
  <si>
    <t>#ZoeMode OR "Zoe Mode"</t>
  </si>
  <si>
    <t>Newnight</t>
  </si>
  <si>
    <t>#NewNight OR "NewNight"</t>
  </si>
  <si>
    <t>#ZoeMode | "Zoe Mode"</t>
  </si>
  <si>
    <t>Developer - Zoetrope Interactive</t>
  </si>
  <si>
    <t>#ZoetropeInteractive OR "Zoetrope Interactive"</t>
  </si>
  <si>
    <t>Singularity 6</t>
  </si>
  <si>
    <t>#Singularity6 OR "Singularity 6"</t>
  </si>
  <si>
    <t>#ZoetropeInteractive | "Zoetrope Interactive"</t>
  </si>
  <si>
    <t>Developer - Zoink!</t>
  </si>
  <si>
    <t>Remedy Entertainment</t>
  </si>
  <si>
    <t>#Zoink | "Zoink!"</t>
  </si>
  <si>
    <t>Developer - Zoo Corporation</t>
  </si>
  <si>
    <t>#ZooCorporation OR "Zoo Corporation"</t>
  </si>
  <si>
    <t>MLMEDIA</t>
  </si>
  <si>
    <t>#MLMedia OR "MLMedia"</t>
  </si>
  <si>
    <t>#ZooCorporation | "Zoo Corporation"</t>
  </si>
  <si>
    <t>Developer - Zordix</t>
  </si>
  <si>
    <t>Tatsujin</t>
  </si>
  <si>
    <t>https://www.youtube.com/channel/UCZYIaj_zJi2qyu07oO4pHmw|</t>
  </si>
  <si>
    <t>#Tatsujin OR "Tatsujin" OR @TATSUJIN_Games</t>
  </si>
  <si>
    <t>#Zordix | "Zordix"</t>
  </si>
  <si>
    <t>Developer - Zordix Racing</t>
  </si>
  <si>
    <t>#ZordixRacing OR "Zordix Racing"</t>
  </si>
  <si>
    <t>Gryphline</t>
  </si>
  <si>
    <t>#Gryphline OR "Gryphline"</t>
  </si>
  <si>
    <t>#ZordixRacing | "Zordix Racing"</t>
  </si>
  <si>
    <t>Developer - ZRZStudio</t>
  </si>
  <si>
    <t>Mas</t>
  </si>
  <si>
    <t>@gentle_mas</t>
  </si>
  <si>
    <t>#ZRZStudio | "ZRZStudio"</t>
  </si>
  <si>
    <r>
      <rPr>
        <rFont val="Arial"/>
        <color rgb="FF000000"/>
      </rPr>
      <t>https://www.youtube.com/channel/UCW5GaTKVbThvb7KIWV3N3Lw</t>
    </r>
    <r>
      <rPr>
        <rFont val="Arial"/>
        <color rgb="FF000000"/>
      </rPr>
      <t>|</t>
    </r>
  </si>
  <si>
    <t>Developer - Arbitrarily Good Productions</t>
  </si>
  <si>
    <t>#ArbitrarilyGoodProductions OR "Arbitrarily Good Productions"</t>
  </si>
  <si>
    <t>Amazing Seasun Games</t>
  </si>
  <si>
    <t>#AmazingSeasunGames OR "Amazing Seasun Games"</t>
  </si>
  <si>
    <t>#ArbitrarilyGoodProductions | "Arbitrarily Good Productions"</t>
  </si>
  <si>
    <t>Developer - Arzest</t>
  </si>
  <si>
    <t>#Arzest OR "Arzest"</t>
  </si>
  <si>
    <t>The Brotherhood Games</t>
  </si>
  <si>
    <r>
      <rPr>
        <color rgb="FF1155CC"/>
        <sz val="10.0"/>
        <u/>
      </rPr>
      <t>https://www.youtube.com/user/STASISGame</t>
    </r>
    <r>
      <rPr>
        <color rgb="FF000000"/>
        <sz val="10.0"/>
      </rPr>
      <t>|</t>
    </r>
  </si>
  <si>
    <t>#TheBrotherhoodGames OR "The Brotherhood Games"</t>
  </si>
  <si>
    <t>#Arzest | "Arzest"</t>
  </si>
  <si>
    <t>Developer - Bluepoint Games</t>
  </si>
  <si>
    <t>#BluepointGames OR "Bluepoint Games"</t>
  </si>
  <si>
    <t>Dark Point Games</t>
  </si>
  <si>
    <r>
      <rPr>
        <color rgb="FF000000"/>
        <sz val="10.0"/>
      </rPr>
      <t>https://www.youtube.com/@DarkPointGames</t>
    </r>
    <r>
      <rPr>
        <sz val="10.0"/>
      </rPr>
      <t>|</t>
    </r>
  </si>
  <si>
    <t>#DarkPointGames OR "Dark Point Games"</t>
  </si>
  <si>
    <t>#BluepointGames | "Bluepoint Games"</t>
  </si>
  <si>
    <t>Developer - Check Mate Publishing</t>
  </si>
  <si>
    <t>Triple Espresso S.A.</t>
  </si>
  <si>
    <t>#TripleEspressoSA OR "Triple Espresso S.A."</t>
  </si>
  <si>
    <t>#CheckMatePublishing | "Check Mate Publishing"</t>
  </si>
  <si>
    <t>Developer - Cristina Kratky</t>
  </si>
  <si>
    <t>#CristinaKratky OR "Cristina Kratky"</t>
  </si>
  <si>
    <t>Goblinz Publishing</t>
  </si>
  <si>
    <r>
      <rPr>
        <rFont val="Arial"/>
        <color rgb="FF1155CC"/>
        <sz val="10.0"/>
        <u/>
      </rPr>
      <t>https://www.youtube.com/@goblinzpublishing</t>
    </r>
    <r>
      <rPr>
        <rFont val="Arial"/>
        <color rgb="FF000000"/>
        <sz val="10.0"/>
        <u/>
      </rPr>
      <t>|</t>
    </r>
  </si>
  <si>
    <t>#GoblinzPublishing OR "Goblinz Publishing"</t>
  </si>
  <si>
    <t>#CristinaKratky | "Cristina Kratky"</t>
  </si>
  <si>
    <t>Developer - Deep Silver Fishlabs</t>
  </si>
  <si>
    <t>#DeepSilverFishlabs OR "Deep Silver Fishlabs"</t>
  </si>
  <si>
    <t>Joey Drew Studios</t>
  </si>
  <si>
    <r>
      <rPr>
        <rFont val="Arial"/>
        <color rgb="FF1155CC"/>
        <sz val="10.0"/>
        <u/>
      </rPr>
      <t>https://www.youtube.com/@JoeyDrewStudios</t>
    </r>
    <r>
      <rPr>
        <rFont val="Arial"/>
        <color rgb="FF000000"/>
        <sz val="10.0"/>
        <u/>
      </rPr>
      <t>|</t>
    </r>
  </si>
  <si>
    <t>#JoeyDrewStudios OR "Joey Drew Studios"</t>
  </si>
  <si>
    <t>#DeepSilverFishlabs | "Deep Silver Fishlabs"</t>
  </si>
  <si>
    <r>
      <rPr>
        <rFont val="Arial"/>
        <color rgb="FF000000"/>
      </rPr>
      <t>https://www.youtube.com/channel/UCozRV-HC9fU9YLDS4nCReYA</t>
    </r>
    <r>
      <rPr>
        <rFont val="Arial"/>
        <color rgb="FF000000"/>
      </rPr>
      <t>|</t>
    </r>
  </si>
  <si>
    <t>Developer - Deskworks</t>
  </si>
  <si>
    <t>#Deskworks OR "Deskworks"</t>
  </si>
  <si>
    <t>Jetdogs Studios</t>
  </si>
  <si>
    <t>#JetdogsStudios OR "Jetdogs Studios"</t>
  </si>
  <si>
    <t>#Deskworks | "Deskworks"</t>
  </si>
  <si>
    <r>
      <rPr>
        <rFont val="Arial"/>
        <color rgb="FF000000"/>
      </rPr>
      <t>https://www.youtube.com/channel/UCVguV0naBP07NQLUOr5dX-g</t>
    </r>
    <r>
      <rPr>
        <rFont val="Arial"/>
        <color rgb="FF000000"/>
      </rPr>
      <t>|</t>
    </r>
  </si>
  <si>
    <t>Developer - Discovery</t>
  </si>
  <si>
    <t>#Discovery OR "Discovery"</t>
  </si>
  <si>
    <t>CyberFront</t>
  </si>
  <si>
    <t>#CyberFront OR "CyberFront"</t>
  </si>
  <si>
    <t>#Discovery | "Discovery"</t>
  </si>
  <si>
    <t>Developer - Endlessfluff Games</t>
  </si>
  <si>
    <t>#EndlessfluffGames OR "Endlessfluff Games"</t>
  </si>
  <si>
    <t>Hempuli Oy</t>
  </si>
  <si>
    <t>#HempuliOy OR "Hempuli Oy"</t>
  </si>
  <si>
    <t>#EndlessfluffGames | "Endlessfluff Games"</t>
  </si>
  <si>
    <t>Developer - Grove Street Games</t>
  </si>
  <si>
    <t>#GroveStreetGames OR "Grove Street Games"</t>
  </si>
  <si>
    <t>Beat Games</t>
  </si>
  <si>
    <t>#BeatGames OR "Beat Games"</t>
  </si>
  <si>
    <t>#GroveStreetGames | "Grove Street Games"</t>
  </si>
  <si>
    <t>Developer - Innovina Interactive</t>
  </si>
  <si>
    <t>#InnovinaInteractive OR "Innovina Interactive"</t>
  </si>
  <si>
    <t>Toukana Interactive</t>
  </si>
  <si>
    <r>
      <rPr>
        <color rgb="FF1155CC"/>
        <sz val="10.0"/>
        <u/>
      </rPr>
      <t>https://www.youtube.com/@toukana</t>
    </r>
    <r>
      <rPr>
        <sz val="10.0"/>
      </rPr>
      <t>|</t>
    </r>
  </si>
  <si>
    <t>#ToukanaInteractive OR "Toukana Interactive"</t>
  </si>
  <si>
    <t>#InnovinaInteractive | "Innovina Interactive"</t>
  </si>
  <si>
    <t>Developer - Nacon</t>
  </si>
  <si>
    <t>#Nacon | "Nacon"</t>
  </si>
  <si>
    <t>Developer - Palm Beach Studios</t>
  </si>
  <si>
    <t>#PalmBeachStudios OR "Palm Beach Studios"</t>
  </si>
  <si>
    <t>1C Company</t>
  </si>
  <si>
    <t>#1CCompany OR "1C Company"</t>
  </si>
  <si>
    <t>#PalmBeachStudios | "Palm Beach Studios"</t>
  </si>
  <si>
    <r>
      <rPr>
        <rFont val="Arial"/>
        <color rgb="FF000000"/>
      </rPr>
      <t>https://www.youtube.com/channel/UCtMRrWTf_fWuTmfFt8WZGEQ</t>
    </r>
    <r>
      <rPr>
        <rFont val="Arial"/>
        <color rgb="FF000000"/>
      </rPr>
      <t>|</t>
    </r>
  </si>
  <si>
    <t>Developer - Pine Scented Software</t>
  </si>
  <si>
    <t>#PineScentedSoftware OR "Pine Scented Software"</t>
  </si>
  <si>
    <t>Tri Synergy</t>
  </si>
  <si>
    <t>#TriSynergy OR "Tri Synergy"</t>
  </si>
  <si>
    <t>#PineScentedSoftware | "Pine Scented Software"</t>
  </si>
  <si>
    <t>Developer - PlayStation Studios</t>
  </si>
  <si>
    <t>eFUSION X</t>
  </si>
  <si>
    <t>#eFUSIONX OR "eFUSION X"</t>
  </si>
  <si>
    <t>#PlayStationStudios | "PlayStation Studios"</t>
  </si>
  <si>
    <t>https://www.youtube.com/user/playstation|</t>
  </si>
  <si>
    <t>Developer - pocket.watch</t>
  </si>
  <si>
    <t>#pocketwatch OR "pocket.watch"</t>
  </si>
  <si>
    <t>Feel Free Games</t>
  </si>
  <si>
    <t>#FeelFreeGames OR "Feel Free Games"</t>
  </si>
  <si>
    <t>#pocketwatch | "pocket.watch"</t>
  </si>
  <si>
    <t>Developer - Skookum Arts</t>
  </si>
  <si>
    <t>Beautiful Glitch</t>
  </si>
  <si>
    <t>#BeautifulGlitch OR "Beautiful Glitch"</t>
  </si>
  <si>
    <t>#SkookumArts | "Skookum Arts"</t>
  </si>
  <si>
    <r>
      <rPr>
        <rFont val="Arial"/>
        <color rgb="FF000000"/>
      </rPr>
      <t>https://www.youtube.com/channel/UCWJ39sGrrAzyBj-N1hKWekg</t>
    </r>
    <r>
      <rPr>
        <rFont val="Arial"/>
        <color rgb="FF000000"/>
      </rPr>
      <t>|</t>
    </r>
  </si>
  <si>
    <t>Developer - Studio Voyage</t>
  </si>
  <si>
    <t>#StudioVoyage OR "Studio Voyage"</t>
  </si>
  <si>
    <t>Qureate</t>
  </si>
  <si>
    <r>
      <rPr>
        <color rgb="FF000000"/>
        <sz val="10.0"/>
      </rPr>
      <t>https://www.youtube.com/@qureate</t>
    </r>
    <r>
      <rPr>
        <sz val="10.0"/>
      </rPr>
      <t>|</t>
    </r>
  </si>
  <si>
    <t>#Qureate OR "Qureate"</t>
  </si>
  <si>
    <t>#StudioVoyage | "Studio Voyage"</t>
  </si>
  <si>
    <t>Developer - Team Ladybug</t>
  </si>
  <si>
    <t>#TeamLadybug OR "Team Ladybug"</t>
  </si>
  <si>
    <t>Flamebait Games</t>
  </si>
  <si>
    <r>
      <rPr>
        <color rgb="FF000000"/>
        <sz val="10.0"/>
      </rPr>
      <t>https://www.youtube.com/channel/UCquCHIIf10VsVbbFre-DZDw</t>
    </r>
    <r>
      <rPr>
        <sz val="10.0"/>
      </rPr>
      <t>|</t>
    </r>
  </si>
  <si>
    <t>#TeamLadybug | "Team Ladybug"</t>
  </si>
  <si>
    <r>
      <rPr>
        <rFont val="Arial"/>
        <color rgb="FF000000"/>
      </rPr>
      <t>https://www.youtube.com/channel/UCFCXHp9XFWteDN7L5F3g7tw</t>
    </r>
    <r>
      <rPr>
        <rFont val="Arial"/>
        <color rgb="FF000000"/>
      </rPr>
      <t>|</t>
    </r>
  </si>
  <si>
    <t>Developer - Tron Galaxy</t>
  </si>
  <si>
    <t>#TronGalaxy OR "Tron Galaxy"</t>
  </si>
  <si>
    <t>Hero Game Co LLC</t>
  </si>
  <si>
    <t>#HeroGameCoLLC OR "Hero Game Co LLC"</t>
  </si>
  <si>
    <t>#TronGalaxy | "Tron Galaxy"</t>
  </si>
  <si>
    <t>Developer - 9_Degrees</t>
  </si>
  <si>
    <t>Henagames</t>
  </si>
  <si>
    <t>#Henagames OR "Henagames"</t>
  </si>
  <si>
    <t>#9Degrees | "9 Degrees"</t>
  </si>
  <si>
    <t>Developer - Balan Company</t>
  </si>
  <si>
    <t>#BalanCompany OR "Balan Company"</t>
  </si>
  <si>
    <t>ValuSoft</t>
  </si>
  <si>
    <t>#ValuSoft OR "ValuSoft"</t>
  </si>
  <si>
    <t>#BalanCompany | "Balan Company"</t>
  </si>
  <si>
    <t>Developer - GS2 Games Inc.</t>
  </si>
  <si>
    <t>Bad Vices Games</t>
  </si>
  <si>
    <t>#BadVicesGames OR "Bad Vices Games"</t>
  </si>
  <si>
    <t>#GS2GamesInc | "GS2 Games"</t>
  </si>
  <si>
    <t>Developer - Breakthrough Gaming LLC</t>
  </si>
  <si>
    <t>#BreakthroughGaming OR "Breakthrough Gaming"</t>
  </si>
  <si>
    <t>Infogrames Interactive</t>
  </si>
  <si>
    <t>#InfogramesInteractive OR "Infogrames Interactive"</t>
  </si>
  <si>
    <t>#BreakthroughGaming | "Breakthrough Gaming"</t>
  </si>
  <si>
    <t>Developer - CyberFront</t>
  </si>
  <si>
    <t>Developer - United Games Entertainment GmbH</t>
  </si>
  <si>
    <t>#UnitedGamesEntertainment OR "United Games Entertainment"</t>
  </si>
  <si>
    <t>Hammerfall Publishing</t>
  </si>
  <si>
    <t>#HammerfallPublishing OR "Hammerfall Publishing"</t>
  </si>
  <si>
    <t>#UnitedGamesEntertainment | "United Games Entertainment"</t>
  </si>
  <si>
    <t>Developer - Ensemble Studios</t>
  </si>
  <si>
    <t>Developer - Polyarc</t>
  </si>
  <si>
    <t>Winged Cloud</t>
  </si>
  <si>
    <t>#WingedCloud OR "Winged Cloud"</t>
  </si>
  <si>
    <t>#Polyarc | "Polyarc"</t>
  </si>
  <si>
    <t>Developer - MP2 Games</t>
  </si>
  <si>
    <t>Developer - Red Art Games</t>
  </si>
  <si>
    <t>Harebrained Schemes</t>
  </si>
  <si>
    <r>
      <rPr>
        <color rgb="FF000000"/>
        <sz val="10.0"/>
      </rPr>
      <t>https://www.youtube.com/@webeharebrained</t>
    </r>
    <r>
      <rPr>
        <sz val="10.0"/>
      </rPr>
      <t>|</t>
    </r>
  </si>
  <si>
    <t>#HarebrainedSchemes OR "Harebrained Schemes"</t>
  </si>
  <si>
    <t>#RedArtGames | "Red Art Games"</t>
  </si>
  <si>
    <t>Developer - Gummy Cat</t>
  </si>
  <si>
    <t>Developer - Kimulator's Films inc.</t>
  </si>
  <si>
    <t>#KimulatorsFilms OR "Kimulator's Films"</t>
  </si>
  <si>
    <t>Might and Delight</t>
  </si>
  <si>
    <r>
      <rPr>
        <color rgb="FF000000"/>
        <sz val="10.0"/>
      </rPr>
      <t>https://www.youtube.com/channel/UCrx4hbPhZjUm6rtpN4CiX7w</t>
    </r>
    <r>
      <rPr>
        <sz val="10.0"/>
      </rPr>
      <t>|</t>
    </r>
  </si>
  <si>
    <t>#MightAndDelight OR "Might and Delight"</t>
  </si>
  <si>
    <t>#KimulatorsFilms | "Kimulator's Films"</t>
  </si>
  <si>
    <t>Developer - Beat games</t>
  </si>
  <si>
    <t>Developer - OnSkull Games</t>
  </si>
  <si>
    <t>Echodog Games</t>
  </si>
  <si>
    <r>
      <rPr>
        <color rgb="FF000000"/>
        <sz val="10.0"/>
      </rPr>
      <t>https://www.youtube.com/@echodoggames4342</t>
    </r>
    <r>
      <rPr>
        <sz val="10.0"/>
      </rPr>
      <t>|</t>
    </r>
  </si>
  <si>
    <t>#OnSkullGames | "OnSkull Games"</t>
  </si>
  <si>
    <t>Developer - Now Production</t>
  </si>
  <si>
    <t>Developer - 101XP</t>
  </si>
  <si>
    <t>Sokpop Collective</t>
  </si>
  <si>
    <t>#SokpopCollective OR "Sokpop Collective"</t>
  </si>
  <si>
    <t>#101XP | "101XP"</t>
  </si>
  <si>
    <t>Developer - GoodbyeWorld Games</t>
  </si>
  <si>
    <t>Developer - A-lim</t>
  </si>
  <si>
    <t>#Alim OR "A-lim"</t>
  </si>
  <si>
    <t>Vector3 Studio</t>
  </si>
  <si>
    <t>#Vector3Studio OR "Vector3 Studio"</t>
  </si>
  <si>
    <t>#Alim | "A-lim"</t>
  </si>
  <si>
    <t>Developer - Silver Lining Studio</t>
  </si>
  <si>
    <t>Developer - Blind Squirrel</t>
  </si>
  <si>
    <t>#BlindSquirrel OR "Blind Squirrel"</t>
  </si>
  <si>
    <t>Untitled Studio</t>
  </si>
  <si>
    <t>#UntitledStudio OR "Untitled Studio"</t>
  </si>
  <si>
    <t>#BlindSquirrel | "Blind Squirrel"</t>
  </si>
  <si>
    <t>Developer - Office Create</t>
  </si>
  <si>
    <t>Developer - Buschmann Studios</t>
  </si>
  <si>
    <t>Everything Unlimited Ltd.</t>
  </si>
  <si>
    <t>#EverythingUnlimitedLtd OR "Everything Unlimited Ltd."</t>
  </si>
  <si>
    <t>#BuschmannStudios | "Buschmann Studios"</t>
  </si>
  <si>
    <t>Developer - 1st Playable Productions</t>
  </si>
  <si>
    <t>Developer - Cokem International</t>
  </si>
  <si>
    <t>Mipumi Games</t>
  </si>
  <si>
    <t>#MipumiGames OR "Mipumi Games"</t>
  </si>
  <si>
    <t>#CokemInternational | "Cokem International"</t>
  </si>
  <si>
    <t>Developer - President Studio</t>
  </si>
  <si>
    <t>Developer - Entalto Studios</t>
  </si>
  <si>
    <t>Grace Bruxner</t>
  </si>
  <si>
    <t>#GraceBruxner OR "Grace Bruxner"</t>
  </si>
  <si>
    <t>#EntaltoStudios | "Entalto Studios"</t>
  </si>
  <si>
    <t>Developer - Toukana Interactive</t>
  </si>
  <si>
    <t>Developer - Funky Punky Games</t>
  </si>
  <si>
    <t>Galactic Cafe</t>
  </si>
  <si>
    <t>#GalacticCafe OR "Galactic Cafe"</t>
  </si>
  <si>
    <t>#FunkyPunkyGames | "Funky Punky Games"</t>
  </si>
  <si>
    <t>Developer - Game Grumps</t>
  </si>
  <si>
    <r>
      <rPr>
        <rFont val="Calibri, sans-serif"/>
        <color rgb="FF000000"/>
        <sz val="12.0"/>
      </rPr>
      <t>https://www.youtube.com/user/GameGrumps</t>
    </r>
    <r>
      <rPr>
        <rFont val="Calibri, sans-serif"/>
        <color rgb="FF000000"/>
        <sz val="12.0"/>
      </rPr>
      <t>|</t>
    </r>
  </si>
  <si>
    <t>Developer - h.a.n.d. Inc.</t>
  </si>
  <si>
    <t>#hand OR "h.a.n.d."</t>
  </si>
  <si>
    <t>Freebird Games</t>
  </si>
  <si>
    <t>#FreebirdGames OR "Freebird Games"</t>
  </si>
  <si>
    <t>#hand | "h.a.n.d."</t>
  </si>
  <si>
    <t>Developer - Lionhead Studios</t>
  </si>
  <si>
    <t>Developer - ININ Games</t>
  </si>
  <si>
    <t>Asymmetric Publishers</t>
  </si>
  <si>
    <t>#AsymmetricPublishers OR "Asymmetric Publishers"</t>
  </si>
  <si>
    <t>#ININGames | "ININ Games"</t>
  </si>
  <si>
    <t>Developer - Big Blue Box</t>
  </si>
  <si>
    <t>Developer - Little Chicken Game Company</t>
  </si>
  <si>
    <t>#LittleChickenGameCompany OR "Little Chicken Game Company"</t>
  </si>
  <si>
    <t>Acke Hallgren</t>
  </si>
  <si>
    <t>#AckeHallgren OR "Acke Hallgren"</t>
  </si>
  <si>
    <t>#LittleChickenGameCompany | "Little Chicken Game Company"</t>
  </si>
  <si>
    <t>Developer - Nikita</t>
  </si>
  <si>
    <t>Developer - Next Stage</t>
  </si>
  <si>
    <t>#NextStage OR "Next Stage"</t>
  </si>
  <si>
    <t>Sundew Studios</t>
  </si>
  <si>
    <t>#SundewStudios OR "Sundew Studios"</t>
  </si>
  <si>
    <t>#NextStage | "Next Stage"</t>
  </si>
  <si>
    <t>Developer - Grace Bruxner</t>
  </si>
  <si>
    <t>Developer - Oddboy</t>
  </si>
  <si>
    <t>Studio Drydock</t>
  </si>
  <si>
    <r>
      <rPr>
        <color rgb="FF000000"/>
        <sz val="10.0"/>
      </rPr>
      <t>https://www.youtube.com/@StudioDrydock</t>
    </r>
    <r>
      <rPr>
        <sz val="10.0"/>
      </rPr>
      <t>|</t>
    </r>
  </si>
  <si>
    <t>#StudioDrydock OR "Studio Drydock"</t>
  </si>
  <si>
    <t>#Oddboy | "Oddboy"</t>
  </si>
  <si>
    <t>Developer - AuntyGames</t>
  </si>
  <si>
    <t>Developer - Sonic Powered</t>
  </si>
  <si>
    <t>Daniel Mullins Games</t>
  </si>
  <si>
    <t>https://www.youtube.com/@dmullinsgames|</t>
  </si>
  <si>
    <t>#DanielMullinsGames OR "Daniel Mullins Games"</t>
  </si>
  <si>
    <t>#SonicPowered | "Sonic Powered"</t>
  </si>
  <si>
    <t>Developer - Claw Design Software</t>
  </si>
  <si>
    <t>Developer - 17-Bit</t>
  </si>
  <si>
    <t>OMOCAT, LLC</t>
  </si>
  <si>
    <t>https://www.youtube.com/@OMOCAT143|</t>
  </si>
  <si>
    <t>#OMOCAT OR "OMOCAT"</t>
  </si>
  <si>
    <t>#17Bit | "17-Bit"</t>
  </si>
  <si>
    <t>Developer - Thatgamecompany</t>
  </si>
  <si>
    <r>
      <rPr>
        <rFont val="Calibri, sans-serif"/>
        <color rgb="FF000000"/>
        <sz val="12.0"/>
      </rPr>
      <t>https://www.youtube.com/@thatgamecompany</t>
    </r>
    <r>
      <rPr>
        <rFont val="Calibri, sans-serif"/>
        <color rgb="FF000000"/>
        <sz val="12.0"/>
      </rPr>
      <t>|</t>
    </r>
  </si>
  <si>
    <t>Developer - Absorb Reality</t>
  </si>
  <si>
    <t>Esophaguys Team</t>
  </si>
  <si>
    <t>https://www.youtube.com/@esophaguys|</t>
  </si>
  <si>
    <t>#EsophaguysTeam OR "Esophaguys Team"</t>
  </si>
  <si>
    <t>#AbsorbReality | "Absorb Reality"</t>
  </si>
  <si>
    <t>Developer - Feel Free Games</t>
  </si>
  <si>
    <t>Developer - Actoon Studio</t>
  </si>
  <si>
    <t>Myrkur Games</t>
  </si>
  <si>
    <t>https://www.youtube.com/@MyrkurGames|</t>
  </si>
  <si>
    <t>#MyrkurGames OR "Myrkur Games"</t>
  </si>
  <si>
    <t>#ActoonStudio | "Actoon Studio"</t>
  </si>
  <si>
    <t>Developer - Challenging Games</t>
  </si>
  <si>
    <t>Developer - ansdor</t>
  </si>
  <si>
    <t>#ansdor OR "ansdor"</t>
  </si>
  <si>
    <t>Q-Games</t>
  </si>
  <si>
    <t>https://www.youtube.com/@PixelJunkQ|</t>
  </si>
  <si>
    <t>#Qgames OR "Q games"</t>
  </si>
  <si>
    <t>#ansdor | "ansdor"</t>
  </si>
  <si>
    <t>Developer - Osmotic Studios</t>
  </si>
  <si>
    <t>Developer - Aqua Style</t>
  </si>
  <si>
    <t>Panic</t>
  </si>
  <si>
    <r>
      <rPr>
        <rFont val="Arial"/>
        <color rgb="FF000000"/>
        <sz val="10.0"/>
        <u/>
      </rPr>
      <t>https://www.youtube.com/@PanicVideo</t>
    </r>
    <r>
      <rPr>
        <rFont val="Arial"/>
        <sz val="10.0"/>
      </rPr>
      <t>|</t>
    </r>
  </si>
  <si>
    <t>#PanicGames OR "Panic Games"</t>
  </si>
  <si>
    <t>#AquaStyle | "Aqua Style"</t>
  </si>
  <si>
    <t>Developer - Last Day of Work</t>
  </si>
  <si>
    <t>Developer - Arrayansoft</t>
  </si>
  <si>
    <t>Nihon Falcom</t>
  </si>
  <si>
    <t>https://www.youtube.com/@NihonFalcomSince1981|</t>
  </si>
  <si>
    <t>#Arrayansoft | "Arrayansoft"</t>
  </si>
  <si>
    <t>Developer - Hero Game Co LLC</t>
  </si>
  <si>
    <t>Developer - Arturo Buschmann</t>
  </si>
  <si>
    <t>Sunny Side Up</t>
  </si>
  <si>
    <t>https://www.youtube.com/channel/UCU5_kMrlNJtPapwsogIELfA|</t>
  </si>
  <si>
    <t>#Nihonfalcom OR  #nihonfalcom OR "Nihonfalcom"</t>
  </si>
  <si>
    <t>#ArturoBuschmann | "Arturo Buschmann"</t>
  </si>
  <si>
    <t>Developer - Henagames</t>
  </si>
  <si>
    <t>Developer - Arvore Immersive Experiences, LLC</t>
  </si>
  <si>
    <t>#SunnySideUp OR "Sunny Side Up"</t>
  </si>
  <si>
    <t>#ArvoreImmersiveExperiences | "Arvore Immersive Experiences"</t>
  </si>
  <si>
    <t>Developer - Virtual Playground</t>
  </si>
  <si>
    <t>Developer - BitCake Studio</t>
  </si>
  <si>
    <t>Lululu Entertainment</t>
  </si>
  <si>
    <t>https://www.youtube.com/channel/UCpmkipE7K5OdCHCXUZDqWDw|</t>
  </si>
  <si>
    <t>#LululuEntertainment OR "Lululu Entertainment"</t>
  </si>
  <si>
    <t>#BitCakeStudio | "BitCake Studio"</t>
  </si>
  <si>
    <t>Developer - Emberstorm Entertainment</t>
  </si>
  <si>
    <t>Developer - Camouflaj, LLC</t>
  </si>
  <si>
    <t>#Camouflaj OR "Camouflaj"</t>
  </si>
  <si>
    <t>GoldFire Studios</t>
  </si>
  <si>
    <t>https://www.youtube.com/GoldFireGames|</t>
  </si>
  <si>
    <t>#GoldFireStudios OR "GoldFire Studios"</t>
  </si>
  <si>
    <t>#Camouflaj | "Camouflaj"</t>
  </si>
  <si>
    <t>Developer - Moral Anxiety Studio</t>
  </si>
  <si>
    <t>Developer - Cattle Call</t>
  </si>
  <si>
    <t>#CattleCall OR "Cattle Call"</t>
  </si>
  <si>
    <t>Claymatic Games</t>
  </si>
  <si>
    <t>https://www.youtube.com/@ClaymaticGames|</t>
  </si>
  <si>
    <t>#ClaymaticGames OR "Claymatic Games"</t>
  </si>
  <si>
    <t>#CattleCall | "Cattle Call"</t>
  </si>
  <si>
    <t>Developer - Robot House</t>
  </si>
  <si>
    <t>Developer - Chicken Waffle</t>
  </si>
  <si>
    <t>Pineapple Works</t>
  </si>
  <si>
    <t>https://www.youtube.com/@PineappleWorks|</t>
  </si>
  <si>
    <t>#PineappleWorks OR "Pineapple Works"</t>
  </si>
  <si>
    <t>#ChickenWaffle | "Chicken Waffle"</t>
  </si>
  <si>
    <t>Developer - Winged Cloud</t>
  </si>
  <si>
    <t>Developer - Chuyan Inc.</t>
  </si>
  <si>
    <t>D-CELL GAMES</t>
  </si>
  <si>
    <t>https://www.youtube.com/@DCELLSTUDIOS|</t>
  </si>
  <si>
    <t>#DCELLGAMES OR "D-CELL GAMES"</t>
  </si>
  <si>
    <t>#ChuyanInc | "Chuyan"</t>
  </si>
  <si>
    <t>Developer - Cliffhanger Productions</t>
  </si>
  <si>
    <t>Developer - Cute Cat LLC</t>
  </si>
  <si>
    <t>#CuteCat OR "Cute Cat"</t>
  </si>
  <si>
    <t>Netmarble Games</t>
  </si>
  <si>
    <t>https://www.youtube.com/c/netmarblegames|</t>
  </si>
  <si>
    <t>#NetmarbleGames OR "Netmarble Games"</t>
  </si>
  <si>
    <t>#CuteCat | "Cute Cat"</t>
  </si>
  <si>
    <t>Developer - FASA Interactive</t>
  </si>
  <si>
    <t>Developer - Daniel Wengenroth</t>
  </si>
  <si>
    <t>https://www.youtube.com/@DovetailGamesDTG|</t>
  </si>
  <si>
    <t>#DanielWengenroth | "Daniel Wengenroth"</t>
  </si>
  <si>
    <t>Developer - Might and Delight</t>
  </si>
  <si>
    <t>Developer - Diggidy.net</t>
  </si>
  <si>
    <t>Super Rare Originals</t>
  </si>
  <si>
    <t>https://www.youtube.com/@Super_Rare_Originals|</t>
  </si>
  <si>
    <t>#SuperRareOriginals OR "Super Rare Originals</t>
  </si>
  <si>
    <t>#Diggidynet | "Diggidy.net"</t>
  </si>
  <si>
    <t>Developer - Sokpop Collective</t>
  </si>
  <si>
    <r>
      <rPr>
        <rFont val="Calibri, sans-serif"/>
        <color rgb="FF000000"/>
        <sz val="12.0"/>
      </rPr>
      <t>https://www.youtube.com/@sokpopcollective</t>
    </r>
    <r>
      <rPr>
        <rFont val="Calibri, sans-serif"/>
        <color rgb="FF000000"/>
        <sz val="12.0"/>
      </rPr>
      <t>|</t>
    </r>
  </si>
  <si>
    <t>Developer - Endeavor One Inc.</t>
  </si>
  <si>
    <t>#EndeavorOne OR "Endeavor One"</t>
  </si>
  <si>
    <t>Zuuks Games</t>
  </si>
  <si>
    <r>
      <rPr>
        <rFont val="Arial"/>
        <color rgb="FF1155CC"/>
        <sz val="10.0"/>
        <u/>
      </rPr>
      <t>https://www.youtube.com/@ZuuksGames</t>
    </r>
    <r>
      <rPr>
        <rFont val="Arial"/>
        <sz val="10.0"/>
      </rPr>
      <t>|</t>
    </r>
  </si>
  <si>
    <t>#EndeavorOne | "Endeavor One"</t>
  </si>
  <si>
    <t>Developer - Friedemann</t>
  </si>
  <si>
    <t>Developer - Fast Travel Games</t>
  </si>
  <si>
    <t>Vivendi Universal Games</t>
  </si>
  <si>
    <t>#FastTravelGames | "Fast Travel Games"</t>
  </si>
  <si>
    <t>Developer - Vector3 Studio</t>
  </si>
  <si>
    <t>Developer - Felistella</t>
  </si>
  <si>
    <t>#Felistella OR "Felistella"</t>
  </si>
  <si>
    <t>https://www.youtube.com/@ustwogames|</t>
  </si>
  <si>
    <t>#Felistella | "Felistella"</t>
  </si>
  <si>
    <t>Developer - Untitled Studio</t>
  </si>
  <si>
    <t>Developer - Flaming Llama Games</t>
  </si>
  <si>
    <t>#FlamingLlamaGames OR "Flaming Llama Games"</t>
  </si>
  <si>
    <t>Universal Studios Interactive Entertainment LLC</t>
  </si>
  <si>
    <t>#FlamingLlamaGames | "Flaming Llama Games"</t>
  </si>
  <si>
    <t>Developer - Everything Unlimited Ltd.</t>
  </si>
  <si>
    <t>Developer - Freedom Games</t>
  </si>
  <si>
    <r>
      <rPr>
        <rFont val="Arial"/>
        <color rgb="FF1155CC"/>
        <sz val="10.0"/>
        <u/>
      </rPr>
      <t>https://www.youtube.com/channel/UCXGkVtbbn7wnpJrKqkFLCxg</t>
    </r>
    <r>
      <rPr>
        <rFont val="Arial"/>
        <sz val="10.0"/>
      </rPr>
      <t>|</t>
    </r>
  </si>
  <si>
    <t>#FreedomGames | "Freedom Games"</t>
  </si>
  <si>
    <t>Developer - Mipumi Games</t>
  </si>
  <si>
    <t>Developer - FuRyu</t>
  </si>
  <si>
    <r>
      <rPr>
        <rFont val="Arial"/>
        <color rgb="FF1155CC"/>
        <sz val="10.0"/>
        <u/>
      </rPr>
      <t>https://www.youtube.com/channel/UCPRG66bnHqgDSD7NlmUPuZQ</t>
    </r>
    <r>
      <rPr>
        <rFont val="Arial"/>
        <sz val="10.0"/>
      </rPr>
      <t>|</t>
    </r>
  </si>
  <si>
    <t>#FuRyu | "FuRyu"</t>
  </si>
  <si>
    <t>Developer - Galactic Cafe</t>
  </si>
  <si>
    <t>Developer - G-mode</t>
  </si>
  <si>
    <t>#Gmode | "G-mode"</t>
  </si>
  <si>
    <t>Developer - Ancient Forge</t>
  </si>
  <si>
    <t>Developer - GameParadiso</t>
  </si>
  <si>
    <r>
      <rPr>
        <rFont val="Arial"/>
        <color rgb="FF1155CC"/>
        <sz val="10.0"/>
        <u/>
      </rPr>
      <t>https://www.youtube.com/@RainGamesOfficial</t>
    </r>
    <r>
      <rPr>
        <rFont val="Arial"/>
        <sz val="10.0"/>
      </rPr>
      <t>|</t>
    </r>
  </si>
  <si>
    <t>#GameParadiso | "GameParadiso"</t>
  </si>
  <si>
    <t>Developer - Noble Muffins</t>
  </si>
  <si>
    <t>Developer - Ghislain Avrillon</t>
  </si>
  <si>
    <t>Old Skull Games</t>
  </si>
  <si>
    <r>
      <rPr>
        <rFont val="Arial"/>
        <color rgb="FF1155CC"/>
        <sz val="10.0"/>
        <u/>
      </rPr>
      <t>https://www.youtube.com/@OldSkullGames</t>
    </r>
    <r>
      <rPr>
        <rFont val="Arial"/>
        <sz val="10.0"/>
      </rPr>
      <t>|</t>
    </r>
  </si>
  <si>
    <t>#GhislainAvrillon | "Ghislain Avrillon"</t>
  </si>
  <si>
    <t>Developer - Igor Krutov</t>
  </si>
  <si>
    <t>Developer - Giga</t>
  </si>
  <si>
    <t>#Giga OR "Giga"</t>
  </si>
  <si>
    <r>
      <rPr>
        <rFont val="Arial"/>
        <color rgb="FF1155CC"/>
        <sz val="10.0"/>
        <u/>
      </rPr>
      <t>https://www.youtube.com/user/NISAmerica</t>
    </r>
    <r>
      <rPr>
        <rFont val="Arial"/>
        <sz val="10.0"/>
      </rPr>
      <t>|</t>
    </r>
  </si>
  <si>
    <t>#Giga | "Giga"</t>
  </si>
  <si>
    <t>Developer - Freebird Games</t>
  </si>
  <si>
    <t>Developer - HappyGiant</t>
  </si>
  <si>
    <t>#HappyGiant OR "HappyGiant"</t>
  </si>
  <si>
    <t>#HappyGiant | "HappyGiant"</t>
  </si>
  <si>
    <t>Developer - PopTop Software</t>
  </si>
  <si>
    <t>Developer - historia Inc</t>
  </si>
  <si>
    <t>#historia OR "historia Inc"</t>
  </si>
  <si>
    <t>Nihon Enterprise</t>
  </si>
  <si>
    <t>#historia | "historia Inc"</t>
  </si>
  <si>
    <t>Developer - Frog City Software</t>
  </si>
  <si>
    <t>Developer - IBAR EZKERRAR IKASTOLA S. COOP.</t>
  </si>
  <si>
    <r>
      <rPr>
        <rFont val="Arial"/>
        <color rgb="FF1155CC"/>
        <sz val="10.0"/>
        <u/>
      </rPr>
      <t>https://www.youtube.com/user/bakaneko42</t>
    </r>
    <r>
      <rPr>
        <rFont val="Arial"/>
        <sz val="10.0"/>
      </rPr>
      <t>|</t>
    </r>
  </si>
  <si>
    <t>#IBAREZKERRARIKASTOLASCOOP | "IBAR EZKERRAR IKASTOLA S. COOP."</t>
  </si>
  <si>
    <t>Developer - Asymmetric Publications</t>
  </si>
  <si>
    <t>Developer - imaginarylab</t>
  </si>
  <si>
    <t>#imaginarylab OR "imaginarylab"</t>
  </si>
  <si>
    <r>
      <rPr>
        <rFont val="Arial"/>
        <color rgb="FF1155CC"/>
        <sz val="10.0"/>
        <u/>
      </rPr>
      <t>https://www.youtube.com/@MYDOTGAMES</t>
    </r>
    <r>
      <rPr>
        <rFont val="Arial"/>
        <sz val="10.0"/>
      </rPr>
      <t>|</t>
    </r>
  </si>
  <si>
    <t>#imaginarylab | "imaginarylab"</t>
  </si>
  <si>
    <t>Developer - Acke Hallgren</t>
  </si>
  <si>
    <t>Developer - Joy Way</t>
  </si>
  <si>
    <r>
      <rPr>
        <rFont val="Arial"/>
        <color rgb="FF1155CC"/>
        <sz val="10.0"/>
        <u/>
      </rPr>
      <t>https://www.youtube.com/@MilestoneTeam</t>
    </r>
    <r>
      <rPr>
        <rFont val="Arial"/>
        <sz val="10.0"/>
      </rPr>
      <t>|</t>
    </r>
  </si>
  <si>
    <t>#JoyWay | "Joy Way"</t>
  </si>
  <si>
    <t>Developer - Gazelle Automations</t>
  </si>
  <si>
    <t>Developer - Just For Games</t>
  </si>
  <si>
    <t>Masaya Games</t>
  </si>
  <si>
    <t>#JustForGames | "Just For Games"</t>
  </si>
  <si>
    <t>Developer - Sundew Studios</t>
  </si>
  <si>
    <t>Developer - Kistler Benjamin</t>
  </si>
  <si>
    <r>
      <rPr>
        <rFont val="Arial"/>
        <color rgb="FF1155CC"/>
        <sz val="10.0"/>
        <u/>
      </rPr>
      <t>https://www.youtube.com/@KasedoGames</t>
    </r>
    <r>
      <rPr>
        <rFont val="Arial"/>
        <sz val="10.0"/>
      </rPr>
      <t>|</t>
    </r>
  </si>
  <si>
    <t>#KistlerBenjamin | "Kistler Benjamin"</t>
  </si>
  <si>
    <t>Developer - Studio Drydock Pty Ltd</t>
  </si>
  <si>
    <t>Developer - KLab Global Pte</t>
  </si>
  <si>
    <t>#KLabGlobalPte OR "KLab Global Pte"</t>
  </si>
  <si>
    <t>Kabam Gameloft</t>
  </si>
  <si>
    <t>#KLabGlobalPte | "KLab Global Pte"</t>
  </si>
  <si>
    <t>Developer - Blue Fang Games</t>
  </si>
  <si>
    <t>Developer - Kluge Interactive</t>
  </si>
  <si>
    <t>In-Fusio</t>
  </si>
  <si>
    <t>#KlugeInteractive | "Kluge Interactive"</t>
  </si>
  <si>
    <t>Developer - Bad Vices Games</t>
  </si>
  <si>
    <t>Developer - LearnDistrict Inc.</t>
  </si>
  <si>
    <t>Imagineer</t>
  </si>
  <si>
    <r>
      <rPr>
        <rFont val="Arial"/>
        <color rgb="FF1155CC"/>
        <sz val="10.0"/>
        <u/>
      </rPr>
      <t>https://www.youtube.com/@imagineer_global</t>
    </r>
    <r>
      <rPr>
        <rFont val="Arial"/>
        <sz val="10.0"/>
      </rPr>
      <t>|</t>
    </r>
  </si>
  <si>
    <t>#LearnDistrictInc | "LearnDistrict"</t>
  </si>
  <si>
    <t>Developer - OMOCAT</t>
  </si>
  <si>
    <t>Developer - Limestone Games</t>
  </si>
  <si>
    <t>#LimestoneGames OR "Limestone Games"</t>
  </si>
  <si>
    <t>I-play</t>
  </si>
  <si>
    <t>#LimestoneGames | "Limestone Games"</t>
  </si>
  <si>
    <t>Developer - Daniel Mullins Games</t>
  </si>
  <si>
    <t>Developer - M Theory</t>
  </si>
  <si>
    <t>#MTheory OR "M Theory"</t>
  </si>
  <si>
    <t>Hasbro Interactive</t>
  </si>
  <si>
    <t>#MTheory | "M Theory"</t>
  </si>
  <si>
    <t>Developer - Kindle Imagine Develop</t>
  </si>
  <si>
    <t>Developer - MercuryStudio</t>
  </si>
  <si>
    <t>#MercuryStudio OR "MercuryStudio"</t>
  </si>
  <si>
    <r>
      <rPr>
        <rFont val="Arial"/>
        <color rgb="FF1155CC"/>
        <sz val="10.0"/>
        <u/>
      </rPr>
      <t>https://www.youtube.com/user/H2Interactive</t>
    </r>
    <r>
      <rPr>
        <rFont val="Arial"/>
        <sz val="10.0"/>
      </rPr>
      <t>|</t>
    </r>
  </si>
  <si>
    <t>#MercuryStudio | "MercuryStudio"</t>
  </si>
  <si>
    <t>Developer-Esophaguys Team</t>
  </si>
  <si>
    <t>Developer - Micropsia Games</t>
  </si>
  <si>
    <t>#MicropsiaGames OR "Micropsia Games"</t>
  </si>
  <si>
    <t>Gust</t>
  </si>
  <si>
    <t>#MicropsiaGames | "Micropsia Games"</t>
  </si>
  <si>
    <t>Developer-Myrkur Games</t>
  </si>
  <si>
    <t>Developer - Migami Games</t>
  </si>
  <si>
    <t>#MigamiGames OR "Migami Games"</t>
  </si>
  <si>
    <r>
      <rPr>
        <rFont val="Arial"/>
        <color rgb="FF1155CC"/>
        <sz val="10.0"/>
        <u/>
      </rPr>
      <t>https://www.youtube.com/user/ExcaliburPubVideos</t>
    </r>
    <r>
      <rPr>
        <rFont val="Arial"/>
        <sz val="10.0"/>
      </rPr>
      <t>|</t>
    </r>
  </si>
  <si>
    <t>#MigamiGames | "Migami Games"</t>
  </si>
  <si>
    <t>Developer - Q-Games</t>
  </si>
  <si>
    <t>Developer - Nellyvision</t>
  </si>
  <si>
    <t>Elite Systems</t>
  </si>
  <si>
    <t>#Nellyvision | "Nellyvision"</t>
  </si>
  <si>
    <t>Developer - TeamKill Media LLC</t>
  </si>
  <si>
    <t>Developer - Niila Games</t>
  </si>
  <si>
    <t>#NiilaGames OR "Niila Games"</t>
  </si>
  <si>
    <t>Eden Games</t>
  </si>
  <si>
    <r>
      <rPr>
        <rFont val="Arial"/>
        <color rgb="FF1155CC"/>
        <sz val="10.0"/>
        <u/>
      </rPr>
      <t>https://www.youtube.com/channel/UC3x_BngoEMLa_qNKx2nVqGA</t>
    </r>
    <r>
      <rPr>
        <rFont val="Arial"/>
        <sz val="10.0"/>
      </rPr>
      <t>|</t>
    </r>
  </si>
  <si>
    <t>#NiilaGames | "Niila Games"</t>
  </si>
  <si>
    <t>Developer - Nihon Falcom</t>
  </si>
  <si>
    <t>Developer - orange inc.</t>
  </si>
  <si>
    <t>#orangeinc | "orange"</t>
  </si>
  <si>
    <t>Developer - Sunny Side Up</t>
  </si>
  <si>
    <t>Developer - OTTERIFIC GAMES, LLC</t>
  </si>
  <si>
    <t>#OTTERIFICGAMES OR "OTTERIFIC GAMES"</t>
  </si>
  <si>
    <r>
      <rPr>
        <rFont val="Arial"/>
        <color rgb="FF1155CC"/>
        <sz val="10.0"/>
        <u/>
      </rPr>
      <t>https://www.youtube.com/@TheGameKitchenES</t>
    </r>
    <r>
      <rPr>
        <rFont val="Arial"/>
        <sz val="10.0"/>
      </rPr>
      <t>|</t>
    </r>
  </si>
  <si>
    <t>#OTTERIFICGAMES | "OTTERIFIC GAMES"</t>
  </si>
  <si>
    <t>Developer - HAL Laboratory</t>
  </si>
  <si>
    <t>Developer - Paleo Games LLC</t>
  </si>
  <si>
    <t>#PaleoGames OR "Paleo Games"</t>
  </si>
  <si>
    <t>SCS Software</t>
  </si>
  <si>
    <r>
      <rPr>
        <rFont val="Arial"/>
        <color rgb="FF1155CC"/>
        <sz val="10.0"/>
        <u/>
      </rPr>
      <t>https://www.youtube.com/@SCSSoftware</t>
    </r>
    <r>
      <rPr>
        <rFont val="Arial"/>
        <sz val="10.0"/>
      </rPr>
      <t>|</t>
    </r>
  </si>
  <si>
    <t>#PaleoGames | "Paleo Games"</t>
  </si>
  <si>
    <t>Developer - D-CELL GAMES</t>
  </si>
  <si>
    <t>Developer - PARK ESM</t>
  </si>
  <si>
    <t>Crystal Dynamics</t>
  </si>
  <si>
    <r>
      <rPr>
        <rFont val="Arial"/>
        <color rgb="FF1155CC"/>
        <sz val="10.0"/>
        <u/>
      </rPr>
      <t>https://www.youtube.com/crystaldynamics</t>
    </r>
    <r>
      <rPr>
        <rFont val="Arial"/>
        <sz val="10.0"/>
      </rPr>
      <t>|</t>
    </r>
  </si>
  <si>
    <t>#PARKESM | "PARK ESM"</t>
  </si>
  <si>
    <t>Developer - Paradox Tinto</t>
  </si>
  <si>
    <t>https://www.youtube.com/@Paradox_Interactive|</t>
  </si>
  <si>
    <t>Developer - Perp Games</t>
  </si>
  <si>
    <t>Crave Entertainment</t>
  </si>
  <si>
    <t>#PerpGames | "Perp Games"</t>
  </si>
  <si>
    <t>Developer - Raw Thrills</t>
  </si>
  <si>
    <t>https://www.youtube.com/@rawthrills|</t>
  </si>
  <si>
    <t>Developer - Picorinne Soft</t>
  </si>
  <si>
    <t>#PicorinneSoft OR "Picorinne Soft"</t>
  </si>
  <si>
    <t>Black Bean Games</t>
  </si>
  <si>
    <t>#PicorinneSoft | "Picorinne Soft"</t>
  </si>
  <si>
    <t>Developer - Nicolas Petton</t>
  </si>
  <si>
    <t>Developer - Platine Dispositif</t>
  </si>
  <si>
    <t>#PlatineDispositif OR "Platine Dispositif"</t>
  </si>
  <si>
    <t>#PlatineDispositif | "Platine Dispositif"</t>
  </si>
  <si>
    <t>Developer - DINOGOD</t>
  </si>
  <si>
    <t>https://www.youtube.com/@DINOGOD|</t>
  </si>
  <si>
    <t>Developer - Postmeta Games Limited</t>
  </si>
  <si>
    <t>#PostmetaGamesLimited OR "Postmeta Games"</t>
  </si>
  <si>
    <t>BeamNG GmbH</t>
  </si>
  <si>
    <r>
      <rPr>
        <rFont val="Arial"/>
        <color rgb="FF1155CC"/>
        <sz val="10.0"/>
        <u/>
      </rPr>
      <t>https://www.youtube.com/@beamng</t>
    </r>
    <r>
      <rPr>
        <rFont val="Arial"/>
        <sz val="10.0"/>
      </rPr>
      <t>|</t>
    </r>
  </si>
  <si>
    <t>#PostmetaGamesLimited | "Postmeta Games"</t>
  </si>
  <si>
    <t>Developer - Red Games Co.</t>
  </si>
  <si>
    <t>https://www.youtube.com/@RedGamesCo|</t>
  </si>
  <si>
    <t>Developer - Psytec Games Ltd</t>
  </si>
  <si>
    <t>#PsytecGames OR "Psytec Games"</t>
  </si>
  <si>
    <t>Banpresto</t>
  </si>
  <si>
    <t>#PsytecGames | "Psytec Games"</t>
  </si>
  <si>
    <t>Developer - Little Sewing Machine</t>
  </si>
  <si>
    <t>https://www.youtube.com/@littlesewingmachine|</t>
  </si>
  <si>
    <t>Developer - Purple Tree</t>
  </si>
  <si>
    <t>Auer Media &amp; Entertainment</t>
  </si>
  <si>
    <r>
      <rPr>
        <rFont val="Arial"/>
        <color rgb="FF1155CC"/>
        <sz val="10.0"/>
        <u/>
      </rPr>
      <t>https://www.youtube.com/channel/UCAokHfC4haTyDs1S-jblvag</t>
    </r>
    <r>
      <rPr>
        <rFont val="Arial"/>
        <sz val="10.0"/>
      </rPr>
      <t>|</t>
    </r>
  </si>
  <si>
    <t>#PurpleTree | "Purple Tree"</t>
  </si>
  <si>
    <t>Developer - Glowmade</t>
  </si>
  <si>
    <t>https://www.youtube.com/@glowmadegames|</t>
  </si>
  <si>
    <t>Developer - Ramen VR</t>
  </si>
  <si>
    <t>ASCII Entertainment</t>
  </si>
  <si>
    <t>#RamenVR | "Ramen VR"</t>
  </si>
  <si>
    <t>Developer - Claymatic Games</t>
  </si>
  <si>
    <t>Developer - rBorn Games</t>
  </si>
  <si>
    <t>#rBornGames OR "rBorn Games"</t>
  </si>
  <si>
    <t>Akella</t>
  </si>
  <si>
    <t>#rBornGames | "rBorn Games"</t>
  </si>
  <si>
    <t>Developer - GoldFire Studios</t>
  </si>
  <si>
    <t>Developer - realities</t>
  </si>
  <si>
    <t>#realities OR "realities"</t>
  </si>
  <si>
    <t>agetec</t>
  </si>
  <si>
    <r>
      <rPr>
        <rFont val="Arial"/>
        <color rgb="FF1155CC"/>
        <sz val="10.0"/>
        <u/>
      </rPr>
      <t>https://www.youtube.com/@agetecplay3158</t>
    </r>
    <r>
      <rPr>
        <rFont val="Arial"/>
        <sz val="10.0"/>
      </rPr>
      <t>|</t>
    </r>
  </si>
  <si>
    <t>#realities | "realities"</t>
  </si>
  <si>
    <t>Developer - Lululu Entertainment</t>
  </si>
  <si>
    <t>https://www.youtube.com/@LululuGames|</t>
  </si>
  <si>
    <t>Developer - Revulo Games</t>
  </si>
  <si>
    <r>
      <rPr>
        <rFont val="Arial"/>
        <color rgb="FF1155CC"/>
        <sz val="10.0"/>
        <u/>
      </rPr>
      <t>https://www.youtube.com/@AccoladePlayz</t>
    </r>
    <r>
      <rPr>
        <rFont val="Arial"/>
        <sz val="10.0"/>
      </rPr>
      <t>|</t>
    </r>
  </si>
  <si>
    <t>#RevuloGames | "Revulo Games"</t>
  </si>
  <si>
    <t>Developer - Simon Lukasik</t>
  </si>
  <si>
    <t>https://www.youtube.com/@simonlukasik|</t>
  </si>
  <si>
    <t>Developer - ROTU Entertainment &amp; Media, Ltd.</t>
  </si>
  <si>
    <t>#ROTUEntertainmentandMedia OR "ROTU Entertainment &amp; Media"</t>
  </si>
  <si>
    <t>A10</t>
  </si>
  <si>
    <t>#ROTUEntertainmentandMedia | "ROTU Entertainment &amp; Media"</t>
  </si>
  <si>
    <t>Developer - Evil Empire</t>
  </si>
  <si>
    <t>https://www.youtube.com/@EvilEmpireStudio|</t>
  </si>
  <si>
    <t>Developer - Schell Games</t>
  </si>
  <si>
    <t>989 Studios</t>
  </si>
  <si>
    <t>#SchellGames | "Schell Games"</t>
  </si>
  <si>
    <t>Developer - Doonutsaur</t>
  </si>
  <si>
    <t>https://www.youtube.com/@Doonutsaur|</t>
  </si>
  <si>
    <t>Developer - Somequest Sp. z o. o.</t>
  </si>
  <si>
    <t>91Act</t>
  </si>
  <si>
    <r>
      <rPr>
        <rFont val="Arial"/>
        <color rgb="FF1155CC"/>
        <sz val="10.0"/>
        <u/>
      </rPr>
      <t>https://www.youtube.com/channel/UC4VOruzWgcoOmnGTHFgRcgg</t>
    </r>
    <r>
      <rPr>
        <rFont val="Arial"/>
        <sz val="10.0"/>
      </rPr>
      <t>|</t>
    </r>
  </si>
  <si>
    <t>#SomequestSpzoo | "Somequest Sp. z o. o."</t>
  </si>
  <si>
    <t>Developer - Netmarble Neo</t>
  </si>
  <si>
    <t>https://www.youtube.com/@netmarblegames|</t>
  </si>
  <si>
    <t>Developer - SOUETTE STUDIO SPC</t>
  </si>
  <si>
    <r>
      <rPr>
        <rFont val="Arial"/>
        <color rgb="FF1155CC"/>
        <sz val="10.0"/>
        <u/>
      </rPr>
      <t>https://www.youtube.com/@8floor207</t>
    </r>
    <r>
      <rPr>
        <rFont val="Arial"/>
        <sz val="10.0"/>
      </rPr>
      <t>|</t>
    </r>
  </si>
  <si>
    <t>#SOUETTESTUDIOSPC | "SOUETTE STUDIO SPC"</t>
  </si>
  <si>
    <t>Developer - Windwalk Games</t>
  </si>
  <si>
    <t>https://www.youtube.com/@WindwalkGames|</t>
  </si>
  <si>
    <t>Developer - Sparks Games</t>
  </si>
  <si>
    <t>#SparksGames OR "Sparks Games"</t>
  </si>
  <si>
    <t>Kakao Games</t>
  </si>
  <si>
    <t>https://www.youtube.com/@KakaoGames|</t>
  </si>
  <si>
    <t>#SparksGames | "Sparks Games"</t>
  </si>
  <si>
    <t>Developer - Pixel Reign</t>
  </si>
  <si>
    <t>https://www.youtube.com/@pixel_reign|</t>
  </si>
  <si>
    <t>Developer - Tamsoft</t>
  </si>
  <si>
    <t>#Tamsoft OR "Tamsoft"</t>
  </si>
  <si>
    <t>Retroware</t>
  </si>
  <si>
    <t>https://www.youtube.com/@retrowaretv|</t>
  </si>
  <si>
    <t>#Tamsoft | "Tamsoft"</t>
  </si>
  <si>
    <t>Developer - Ocean Drive Studio</t>
  </si>
  <si>
    <t>https://www.youtube.com/@OceanDriveStudio|</t>
  </si>
  <si>
    <t>Developer - TOYBOX</t>
  </si>
  <si>
    <t>#TOYBOX OR "TOYBOX"</t>
  </si>
  <si>
    <t>Morefun Studios</t>
  </si>
  <si>
    <t>https://www.youtube.com/@MOREFUN_STUDIOS|</t>
  </si>
  <si>
    <t>#TOYBOX | "TOYBOX"</t>
  </si>
  <si>
    <t>Developer - Morefun Studios</t>
  </si>
  <si>
    <t>Developer - Tozai Games</t>
  </si>
  <si>
    <t>Eidos Interactive</t>
  </si>
  <si>
    <t>#TozaiGames | "Tozai Games"</t>
  </si>
  <si>
    <t>Developer - Ion Storm</t>
  </si>
  <si>
    <t>Developer - Trebuchet</t>
  </si>
  <si>
    <t>StudioBand</t>
  </si>
  <si>
    <t>https://www.youtube.com/@studiobando|</t>
  </si>
  <si>
    <t>#Trebuchet | "Trebuchet"</t>
  </si>
  <si>
    <t>Developer - Studio Hybrid</t>
  </si>
  <si>
    <r>
      <rPr>
        <rFont val="Calibri, sans-serif"/>
        <color rgb="FF1155CC"/>
        <sz val="12.0"/>
        <u/>
      </rPr>
      <t>https://www.youtube.com/@hybrid360studio3</t>
    </r>
    <r>
      <rPr>
        <rFont val="Calibri, sans-serif"/>
        <color rgb="FF000000"/>
        <sz val="12.0"/>
      </rPr>
      <t>|</t>
    </r>
  </si>
  <si>
    <t>Developer - TYPE EH STUDIOS</t>
  </si>
  <si>
    <t>Shoreline Games</t>
  </si>
  <si>
    <t>https://www.youtube.com/@PlayShorelineGames|</t>
  </si>
  <si>
    <t>#ShorelineGames OR "Shoreline Games"</t>
  </si>
  <si>
    <t>#TYPEEHSTUDIOS | "TYPE EH STUDIOS"</t>
  </si>
  <si>
    <t>Developer - StudioBando</t>
  </si>
  <si>
    <t>Developer - UNIVERSITY OF ABERTAY DUNDEE</t>
  </si>
  <si>
    <t>Embark Studios</t>
  </si>
  <si>
    <t>https://www.youtube.com/@EmbarkStudiosAB|</t>
  </si>
  <si>
    <t>#EmbarkStudios OR "Embark Studios"</t>
  </si>
  <si>
    <t>#UNIVERSITYOFABERTAYDUNDEE | "UNIVERSITY OF ABERTAY DUNDEE"</t>
  </si>
  <si>
    <t>Developer - Teenage Astronauts</t>
  </si>
  <si>
    <t>Developer - Visual Dart</t>
  </si>
  <si>
    <t>#VisualDart OR "Visual Dart"</t>
  </si>
  <si>
    <t>Trinket Studios</t>
  </si>
  <si>
    <t>https://www.youtube.com/@trinketstudios|</t>
  </si>
  <si>
    <t>#TrinketStudios OR "Trinket Studios"</t>
  </si>
  <si>
    <t>#VisualDart | "Visual Dart"</t>
  </si>
  <si>
    <t>Developer - Permanent Way Entertainment Co.</t>
  </si>
  <si>
    <t>https://www.youtube.com/@Permanent_way|</t>
  </si>
  <si>
    <t>Developer - Visualnoveler</t>
  </si>
  <si>
    <t>Plaion</t>
  </si>
  <si>
    <t>https://www.youtube.com/@plaionjapan|</t>
  </si>
  <si>
    <t>#Plaion OR "Plaion"</t>
  </si>
  <si>
    <t>#Visualnoveler | "Visualnoveler"</t>
  </si>
  <si>
    <t>Developer - Balio Studio</t>
  </si>
  <si>
    <t>https://www.youtube.com/@baliostudio3207|</t>
  </si>
  <si>
    <t>Developer - VOXEL LABS S.L.</t>
  </si>
  <si>
    <t>#VOXELLABS OR "VOXEL LABS"</t>
  </si>
  <si>
    <t>Twin Sails Interactive</t>
  </si>
  <si>
    <t>https://www.youtube.com/@TwinSailsInteractive|</t>
  </si>
  <si>
    <t>#Twin Sails Interactive or "TwinSailsInteractive"</t>
  </si>
  <si>
    <t>#VOXELLABS | "VOXEL LABS"</t>
  </si>
  <si>
    <t>Developer - Embark Studios</t>
  </si>
  <si>
    <t>Developer - Warlock Arts</t>
  </si>
  <si>
    <t>Top Hat Studios</t>
  </si>
  <si>
    <t>http://www.youtube.com/@TopHatStudiosEN|</t>
  </si>
  <si>
    <t>#TopHatStudios or "Top Hat Studios"</t>
  </si>
  <si>
    <t>#WarlockArts | "Warlock Arts"</t>
  </si>
  <si>
    <t>Developer - Trinket Studios</t>
  </si>
  <si>
    <t>Developer - Waveor</t>
  </si>
  <si>
    <t>Gravity Game Arise</t>
  </si>
  <si>
    <t>https://www.youtube.com/@gravityga|</t>
  </si>
  <si>
    <t>#Gravity Game Arise or "Gravity Game Arise"</t>
  </si>
  <si>
    <t>#Waveor | "Waveor"</t>
  </si>
  <si>
    <t>Developer - Crimson Tales</t>
  </si>
  <si>
    <t>https://www.youtube.com/@crimson_tales|</t>
  </si>
  <si>
    <t>Developer - Westone Bit Entertainment</t>
  </si>
  <si>
    <t>#WestoneBitEntertainment OR "Westone Bit Entertainment"</t>
  </si>
  <si>
    <t>Selecta Play</t>
  </si>
  <si>
    <t>https://www.youtube.com/@SelectaPlay|</t>
  </si>
  <si>
    <t>#SelectaPlay OR "Selecta Play"</t>
  </si>
  <si>
    <t>#WestoneBitEntertainment | "Westone Bit Entertainment"</t>
  </si>
  <si>
    <t>Developer - sunset visitor</t>
  </si>
  <si>
    <t>https://www.youtube.com/@sunsetvisitor|</t>
  </si>
  <si>
    <t>Developer - Whippoorwill Limited</t>
  </si>
  <si>
    <t>#Whippoorwill OR "Whippoorwill"</t>
  </si>
  <si>
    <t>Blumhouse Games</t>
  </si>
  <si>
    <t>https://www.youtube.com/@Blumhouse|</t>
  </si>
  <si>
    <t>#BlumhouseGames OR "Blumhouse Games"</t>
  </si>
  <si>
    <t>#Whippoorwill | "Whippoorwill"</t>
  </si>
  <si>
    <t>Developer - Everstone Games</t>
  </si>
  <si>
    <t>Developer - White Rabbit Interactive</t>
  </si>
  <si>
    <t>#WhiteRabbitInteractive OR "White Rabbit Interactive"</t>
  </si>
  <si>
    <t>Noodle Cat Games</t>
  </si>
  <si>
    <t>https://www.youtube.com/@noodlecatgames|</t>
  </si>
  <si>
    <t>#NoodleCatGames OR "Noodle Cat Games"</t>
  </si>
  <si>
    <t>#WhiteRabbitInteractive | "White Rabbit Interactive"</t>
  </si>
  <si>
    <t>Developer - Sparrow_Night</t>
  </si>
  <si>
    <t>Developer - Wobbly Tooth Ltd</t>
  </si>
  <si>
    <t>#WobblyToothL OR "Wobbly Tooth"</t>
  </si>
  <si>
    <t>Liquid Donkey Games</t>
  </si>
  <si>
    <t>#LiquidDonkeyGames OR "Liquid Donkey Games"</t>
  </si>
  <si>
    <t>#WobblyToothL | "Wobbly Tooth"</t>
  </si>
  <si>
    <t>Developer - FromDawn</t>
  </si>
  <si>
    <t>Developer - Wolfeye Studios</t>
  </si>
  <si>
    <t>#WolfeyeStudios OR "Wolfeye Studios"</t>
  </si>
  <si>
    <t>PlaySide Studios</t>
  </si>
  <si>
    <t>https://www.youtube.com/@PlaySideStudiosOfficial|</t>
  </si>
  <si>
    <t>#PlaySideStudios OR "PlaySide Studios"</t>
  </si>
  <si>
    <t>#WolfeyeStudios | "Wolfeye Studios"</t>
  </si>
  <si>
    <t>Developer - WeatherFell</t>
  </si>
  <si>
    <t>Developer - Wonderboy Bobi</t>
  </si>
  <si>
    <t>#WonderboyBobi OR "Wonderboy Bobi"</t>
  </si>
  <si>
    <t>Serafini Productions</t>
  </si>
  <si>
    <r>
      <rPr>
        <rFont val="Arial"/>
        <color rgb="FF1155CC"/>
        <u/>
      </rPr>
      <t>https://www.youtube.com/@SerafiniProductions</t>
    </r>
    <r>
      <rPr>
        <rFont val="Arial"/>
      </rPr>
      <t>|</t>
    </r>
  </si>
  <si>
    <t>#SerafiniProductions OR "Serafini Productions"</t>
  </si>
  <si>
    <t>#WonderboyBobi | "Wonderboy Bobi"</t>
  </si>
  <si>
    <t>Developer - Throwback Entertainment</t>
  </si>
  <si>
    <t>Developer - SOMI</t>
  </si>
  <si>
    <t>Apogee Entertainment</t>
  </si>
  <si>
    <r>
      <rPr>
        <rFont val="Arial"/>
        <color rgb="FF1155CC"/>
        <u/>
      </rPr>
      <t>http://youtube.com/@apogeeentertainment</t>
    </r>
    <r>
      <rPr>
        <rFont val="Arial"/>
      </rPr>
      <t>|</t>
    </r>
  </si>
  <si>
    <t>#ApogeeEntertainment OR "Apogee Entertainment"</t>
  </si>
  <si>
    <t>#SOMI | "SOMI"</t>
  </si>
  <si>
    <t>Developer - MindFuel Games</t>
  </si>
  <si>
    <t>Developer - Volkov Konstantin Sergeevich</t>
  </si>
  <si>
    <t>ArenaNet</t>
  </si>
  <si>
    <r>
      <rPr>
        <rFont val="Arial"/>
        <color rgb="FF1155CC"/>
        <u/>
      </rPr>
      <t>https://www.youtube.com/@arenanet</t>
    </r>
    <r>
      <rPr>
        <rFont val="Arial"/>
      </rPr>
      <t>|</t>
    </r>
  </si>
  <si>
    <t>#ArenaNet OR "ArenaNet"</t>
  </si>
  <si>
    <t>#VolkovKonstantinSergeevich | "Volkov Konstantin Sergeevich"</t>
  </si>
  <si>
    <t>Developer - Iconik</t>
  </si>
  <si>
    <t>Developer - Vague Scenario, LLC</t>
  </si>
  <si>
    <t>#VagueScenario OR "Vague Scenario"</t>
  </si>
  <si>
    <t>Sleepy Castle Studio</t>
  </si>
  <si>
    <r>
      <rPr>
        <rFont val="Arial"/>
        <color rgb="FF1155CC"/>
        <u/>
      </rPr>
      <t>https://www.youtube.com/channel/UCS7K-0TzJiSPINC3Wju9eIA</t>
    </r>
    <r>
      <rPr>
        <rFont val="Arial"/>
      </rPr>
      <t>|</t>
    </r>
  </si>
  <si>
    <t>#SleepyCastleStudio OR "Sleepy Castle Studio"</t>
  </si>
  <si>
    <t>#VagueScenario | "Vague Scenario"</t>
  </si>
  <si>
    <t>Developer - TomorrowHead Studio</t>
  </si>
  <si>
    <t>https://www.youtube.com/@TomorrowHeadStudio|</t>
  </si>
  <si>
    <t>Developer - Atypical Games</t>
  </si>
  <si>
    <t>Focus Entertainment</t>
  </si>
  <si>
    <t>https://www.youtube.com/@FocusEntertainmentOfficial|</t>
  </si>
  <si>
    <t>#FocusEntertainment OR "Focus Entertainment"</t>
  </si>
  <si>
    <t>#AtypicalGames | "Atypical Games"</t>
  </si>
  <si>
    <t>Developer - Beehive Studios</t>
  </si>
  <si>
    <t>Developer - RandomSpin</t>
  </si>
  <si>
    <t>Secret Mode</t>
  </si>
  <si>
    <t>https://www.youtube.com/@SecretMode|</t>
  </si>
  <si>
    <t>#SecretMode OR "Secret Mode"</t>
  </si>
  <si>
    <t>#RandomSpin | "RandomSpin"</t>
  </si>
  <si>
    <t>Developer - True Colors</t>
  </si>
  <si>
    <t>Developer - THOMAS CLAUS UND FRANK MENZEL</t>
  </si>
  <si>
    <t>S-GAME</t>
  </si>
  <si>
    <t>https://www.youtube.com/channel/UC_5phqtWNEs0RFghclZKrRA|</t>
  </si>
  <si>
    <t>#SGame OR "S-Game"</t>
  </si>
  <si>
    <t>#THOMASCLAUSUNDFRANKMENZEL | "THOMAS CLAUS UND FRANK MENZEL"</t>
  </si>
  <si>
    <t>Developer - Lion Shield</t>
  </si>
  <si>
    <t>https://www.youtube.com/@lionshieldgames|</t>
  </si>
  <si>
    <t>Developer - Gammera Nest</t>
  </si>
  <si>
    <t>Cyber Temple Games</t>
  </si>
  <si>
    <t>#CyberTempleGames OR "Cyber Temple Games"</t>
  </si>
  <si>
    <t>#GammeraNest | "Gammera Nest"</t>
  </si>
  <si>
    <t>Developer - Poncle</t>
  </si>
  <si>
    <r>
      <rPr>
        <rFont val="Calibri, sans-serif"/>
        <color rgb="FF000000"/>
        <sz val="12.0"/>
      </rPr>
      <t>https://www.youtube.com/@poncle_Games</t>
    </r>
    <r>
      <rPr>
        <rFont val="Calibri, sans-serif"/>
        <color rgb="FF000000"/>
        <sz val="12.0"/>
      </rPr>
      <t>|</t>
    </r>
  </si>
  <si>
    <t>Developer - KLab Global Pte. Ltd.</t>
  </si>
  <si>
    <t>Wildlight Entertainment</t>
  </si>
  <si>
    <r>
      <rPr>
        <rFont val="Arial"/>
        <color rgb="FF1155CC"/>
        <u/>
      </rPr>
      <t>https://www.youtube.com/@WildlightEntertainment</t>
    </r>
    <r>
      <rPr>
        <rFont val="Arial"/>
      </rPr>
      <t>|</t>
    </r>
  </si>
  <si>
    <t>#WildlightEntertainment OR "Wildlight Entertainment"</t>
  </si>
  <si>
    <t>Developer - IKINA Games</t>
  </si>
  <si>
    <r>
      <rPr>
        <rFont val="Calibri, sans-serif"/>
        <color rgb="FF000000"/>
        <sz val="12.0"/>
      </rPr>
      <t>https://www.youtube.com/@IKINAGAMES</t>
    </r>
    <r>
      <rPr>
        <rFont val="Calibri, sans-serif"/>
        <color rgb="FF000000"/>
        <sz val="12.0"/>
      </rPr>
      <t>|</t>
    </r>
  </si>
  <si>
    <t>Developer - Success</t>
  </si>
  <si>
    <t>#Success OR "Success"</t>
  </si>
  <si>
    <t>Hypergryph</t>
  </si>
  <si>
    <t>#Hypergryph OR "Hypergryph"</t>
  </si>
  <si>
    <t>#Success | "Success"</t>
  </si>
  <si>
    <t>Developer - Sluggerfly</t>
  </si>
  <si>
    <r>
      <rPr>
        <rFont val="Calibri, sans-serif"/>
        <color rgb="FF1155CC"/>
        <sz val="12.0"/>
        <u/>
      </rPr>
      <t>https://www.youtube.com/@Sluggerfly</t>
    </r>
    <r>
      <rPr>
        <rFont val="Calibri, sans-serif"/>
        <color rgb="FF000000"/>
        <sz val="12.0"/>
      </rPr>
      <t>|</t>
    </r>
  </si>
  <si>
    <t>Developer - GameLoop</t>
  </si>
  <si>
    <t>#GameLoop OR "GameLoop"</t>
  </si>
  <si>
    <t>AdHoc Studio</t>
  </si>
  <si>
    <r>
      <rPr>
        <rFont val="Arial"/>
        <color rgb="FF1155CC"/>
        <u/>
      </rPr>
      <t>https://www.youtube.com/@AdHoc-Studio</t>
    </r>
    <r>
      <rPr>
        <rFont val="Arial"/>
      </rPr>
      <t>|</t>
    </r>
  </si>
  <si>
    <t>#AdHocStudio OR "AdHoc Studio"</t>
  </si>
  <si>
    <t>#GameLoop | "GameLoop"</t>
  </si>
  <si>
    <t>Developer - Night Street</t>
  </si>
  <si>
    <t>Developer - The Voices Games</t>
  </si>
  <si>
    <t>Hypixel Studios</t>
  </si>
  <si>
    <t>#HypixelStudios OR "Hypixel Studios"</t>
  </si>
  <si>
    <t>#TheVoicesGames | "The Voices Games"</t>
  </si>
  <si>
    <t>Developer - The Rat Project</t>
  </si>
  <si>
    <r>
      <rPr>
        <rFont val="Calibri"/>
        <color rgb="FF1155CC"/>
        <sz val="12.0"/>
        <u/>
      </rPr>
      <t>https://www.youtube.com/@MaginTRPS</t>
    </r>
    <r>
      <rPr>
        <rFont val="Calibri"/>
        <sz val="12.0"/>
      </rPr>
      <t>|</t>
    </r>
  </si>
  <si>
    <t>Developer - XCOGAMES LLC</t>
  </si>
  <si>
    <t>#XCOGAMES OR "XCOGAMES"</t>
  </si>
  <si>
    <t>22cans</t>
  </si>
  <si>
    <t>https://www.youtube.com/@22CansOfficial</t>
  </si>
  <si>
    <t>#22cans OR "22cans"</t>
  </si>
  <si>
    <t>#XCOGAMES | "XCOGAMES"</t>
  </si>
  <si>
    <t>Developer - Gameplay Group</t>
  </si>
  <si>
    <r>
      <rPr>
        <rFont val="Calibri"/>
        <color rgb="FF1155CC"/>
        <sz val="12.0"/>
        <u/>
      </rPr>
      <t>https://www.youtube.com/@GameplayGrp</t>
    </r>
    <r>
      <rPr>
        <rFont val="Calibri"/>
        <sz val="12.0"/>
      </rPr>
      <t>|</t>
    </r>
  </si>
  <si>
    <t>Developer - Tony DE LUCIA</t>
  </si>
  <si>
    <t>Nyamakop</t>
  </si>
  <si>
    <r>
      <rPr>
        <rFont val="Arial"/>
        <color rgb="FF1155CC"/>
        <u/>
      </rPr>
      <t>https://www.youtube.com/@nyamakop</t>
    </r>
    <r>
      <rPr>
        <rFont val="Arial"/>
      </rPr>
      <t>|</t>
    </r>
  </si>
  <si>
    <t>#Nyamakop OR "Nyamakop"</t>
  </si>
  <si>
    <t>#TonyDELUCIA | "Tony DE LUCIA"</t>
  </si>
  <si>
    <t>Developer - Flyway Games Inc.</t>
  </si>
  <si>
    <r>
      <rPr>
        <rFont val="Calibri"/>
        <color rgb="FF1155CC"/>
        <sz val="12.0"/>
        <u/>
      </rPr>
      <t>https://www.youtube.com/@FlywayGames</t>
    </r>
    <r>
      <rPr>
        <rFont val="Calibri"/>
        <sz val="12.0"/>
      </rPr>
      <t>|</t>
    </r>
  </si>
  <si>
    <t>Developer - TreeFall Studios L.L.C.</t>
  </si>
  <si>
    <t>Aerial_Knight</t>
  </si>
  <si>
    <r>
      <rPr>
        <rFont val="Arial"/>
        <color rgb="FF1155CC"/>
        <u/>
      </rPr>
      <t>https://www.youtube.com/@Aerial_Knight</t>
    </r>
    <r>
      <rPr>
        <rFont val="Arial"/>
      </rPr>
      <t>|</t>
    </r>
  </si>
  <si>
    <t>#AerialKnight OR "Aerial_Knight"</t>
  </si>
  <si>
    <t>#TreeFallStudios | "TreeFall Studios"</t>
  </si>
  <si>
    <t>Developer - Tatsujin</t>
  </si>
  <si>
    <r>
      <rPr>
        <rFont val="Calibri"/>
        <color rgb="FF1155CC"/>
        <sz val="12.0"/>
        <u/>
      </rPr>
      <t>https://www.youtube.com/@tatsujin301</t>
    </r>
    <r>
      <rPr>
        <rFont val="Calibri"/>
        <sz val="12.0"/>
      </rPr>
      <t>|</t>
    </r>
  </si>
  <si>
    <t>Developer - Hidden Trap</t>
  </si>
  <si>
    <t>Sobaka</t>
  </si>
  <si>
    <r>
      <rPr>
        <rFont val="Arial"/>
        <color rgb="FF1155CC"/>
        <u/>
      </rPr>
      <t>https://www.youtube.com/@SobakaStudio</t>
    </r>
    <r>
      <rPr>
        <rFont val="Arial"/>
      </rPr>
      <t>|</t>
    </r>
  </si>
  <si>
    <t>#HiddenTrap | "Hidden Trap"</t>
  </si>
  <si>
    <t>Developer - Perfect Garbage</t>
  </si>
  <si>
    <r>
      <rPr>
        <rFont val="Arial"/>
        <color rgb="FF1155CC"/>
        <u/>
      </rPr>
      <t>https://www.youtube.com/@perfectgarbagestudios</t>
    </r>
    <r>
      <rPr>
        <rFont val="Arial"/>
      </rPr>
      <t>|</t>
    </r>
  </si>
  <si>
    <t>Developer - 612 Entertainment</t>
  </si>
  <si>
    <t>Quantumfrog</t>
  </si>
  <si>
    <r>
      <rPr>
        <rFont val="Arial"/>
        <color rgb="FF1155CC"/>
        <u/>
      </rPr>
      <t>https://www.youtube.com/@quantumfrog2696</t>
    </r>
    <r>
      <rPr>
        <rFont val="Arial"/>
      </rPr>
      <t>|</t>
    </r>
  </si>
  <si>
    <t>#Quantumfrog OR "Quantumfrog"</t>
  </si>
  <si>
    <t>#612Entertainment | "612 Entertainment"</t>
  </si>
  <si>
    <t>Developer - Malformation Games</t>
  </si>
  <si>
    <r>
      <rPr>
        <rFont val="Arial"/>
        <color rgb="FF1155CC"/>
        <u/>
      </rPr>
      <t>https://www.youtube.com/@malformationgames</t>
    </r>
    <r>
      <rPr>
        <rFont val="Arial"/>
      </rPr>
      <t>|</t>
    </r>
  </si>
  <si>
    <t>Developer - Kairosoft Co. Ltd</t>
  </si>
  <si>
    <t>#Kairosoft OR "Kairosoft"</t>
  </si>
  <si>
    <t>Edmund McMillen</t>
  </si>
  <si>
    <r>
      <rPr>
        <rFont val="Arial"/>
        <color rgb="FF1155CC"/>
        <u/>
      </rPr>
      <t>https://www.youtube.com/@EdmundMcMillenGames</t>
    </r>
    <r>
      <rPr>
        <rFont val="Arial"/>
      </rPr>
      <t>|</t>
    </r>
  </si>
  <si>
    <t>#EdmundMcMillen OR "Edmund McMillen</t>
  </si>
  <si>
    <t>#Kairosoft | "Kairosoft"</t>
  </si>
  <si>
    <t>Developer - Kung Fu Factory</t>
  </si>
  <si>
    <r>
      <rPr>
        <rFont val="Arial"/>
        <color rgb="FF1155CC"/>
        <u/>
      </rPr>
      <t>https://www.youtube.com/@KungFuFactory</t>
    </r>
    <r>
      <rPr>
        <rFont val="Arial"/>
      </rPr>
      <t>|</t>
    </r>
  </si>
  <si>
    <t>Developer - SimFabric</t>
  </si>
  <si>
    <t>Mechanistry</t>
  </si>
  <si>
    <t>#Mechanistry OR "Mechanistry"</t>
  </si>
  <si>
    <t>Developer - City Connection</t>
  </si>
  <si>
    <t>#CityConnection | "City Connection"</t>
  </si>
  <si>
    <t>Developer - Kraken Express</t>
  </si>
  <si>
    <r>
      <rPr>
        <rFont val="Arial"/>
        <color rgb="FF1155CC"/>
        <u/>
      </rPr>
      <t>https://www.youtube.com/@Kraken85</t>
    </r>
    <r>
      <rPr>
        <rFont val="Arial"/>
      </rPr>
      <t>|</t>
    </r>
  </si>
  <si>
    <t>Cygames</t>
  </si>
  <si>
    <r>
      <rPr>
        <rFont val="Arial"/>
        <color rgb="FF1155CC"/>
        <u/>
      </rPr>
      <t>https://www.youtube.com/@CygamesEN</t>
    </r>
    <r>
      <rPr>
        <rFont val="Arial"/>
      </rPr>
      <t>|</t>
    </r>
  </si>
  <si>
    <t>#Cygames OR "Cygames"</t>
  </si>
  <si>
    <t>Developer - Nyx Digital Ltd</t>
  </si>
  <si>
    <t>#NyxDigital | "NyxDigital"</t>
  </si>
  <si>
    <t>Developer - Cyberwave</t>
  </si>
  <si>
    <r>
      <rPr>
        <rFont val="Arial"/>
        <color rgb="FF1155CC"/>
        <u/>
      </rPr>
      <t>https://www.youtube.com/@-cyberwave-studios</t>
    </r>
    <r>
      <rPr>
        <rFont val="Arial"/>
      </rPr>
      <t>|</t>
    </r>
  </si>
  <si>
    <t>#NyxDigital OR "NyxDigital"</t>
  </si>
  <si>
    <t>Fictions</t>
  </si>
  <si>
    <t>https://www.youtube.com/@fictionsinc|</t>
  </si>
  <si>
    <t>Developer - Bimo Entertainment</t>
  </si>
  <si>
    <t>#BimoEntertainment | "Bimo Entertainment"</t>
  </si>
  <si>
    <t>Developer - Hunter Studio</t>
  </si>
  <si>
    <r>
      <rPr>
        <rFont val="Calibri"/>
        <color rgb="FF1155CC"/>
        <sz val="12.0"/>
        <u/>
      </rPr>
      <t>https://www.youtube.com/@Hunter-Studio</t>
    </r>
    <r>
      <rPr>
        <rFont val="Calibri"/>
        <sz val="12.0"/>
      </rPr>
      <t>|</t>
    </r>
  </si>
  <si>
    <t>Clover Bite</t>
  </si>
  <si>
    <r>
      <rPr>
        <rFont val="Arial"/>
        <color rgb="FF1155CC"/>
        <u/>
      </rPr>
      <t>https://www.youtube.com/@cloverbite</t>
    </r>
    <r>
      <rPr>
        <rFont val="Arial"/>
      </rPr>
      <t>|</t>
    </r>
  </si>
  <si>
    <t>#CloverBite OR "Clover Bite"</t>
  </si>
  <si>
    <t>Developer - Wonderful Lasers</t>
  </si>
  <si>
    <t>#WonderfulLasers | "Wonderful Lasers"</t>
  </si>
  <si>
    <t>Developer - Type-Moon</t>
  </si>
  <si>
    <r>
      <rPr>
        <rFont val="Arial"/>
        <color rgb="FF1155CC"/>
        <u/>
      </rPr>
      <t>https://www.youtube.com/@TYPE-MOON_GAMES</t>
    </r>
    <r>
      <rPr>
        <rFont val="Arial"/>
      </rPr>
      <t>|</t>
    </r>
  </si>
  <si>
    <t>#WonderfulLasers OR "Wonderful Lasers"</t>
  </si>
  <si>
    <t>Hatchery Games</t>
  </si>
  <si>
    <t>https://www.youtube.com/@hatcherygames|</t>
  </si>
  <si>
    <t>#HatcheryGames OR "Hatchery Games"</t>
  </si>
  <si>
    <t>Developer - MegaPixel Studio</t>
  </si>
  <si>
    <t>#MegaPixelStudio | "MegaPixel Studio"</t>
  </si>
  <si>
    <t>Developer - Mirebound Interactive</t>
  </si>
  <si>
    <r>
      <rPr>
        <rFont val="Arial"/>
        <color rgb="FF1155CC"/>
        <u/>
      </rPr>
      <t>https://www.youtube.com/@mirebound</t>
    </r>
    <r>
      <rPr>
        <rFont val="Arial"/>
      </rPr>
      <t>|</t>
    </r>
  </si>
  <si>
    <t>#MegaPixelStudio OR "MegaPixel Studio"</t>
  </si>
  <si>
    <t>Curve Games</t>
  </si>
  <si>
    <r>
      <rPr>
        <rFont val="Arial"/>
        <color rgb="FF1155CC"/>
        <u/>
      </rPr>
      <t>https://www.youtube.com/channel/UC-Bon47XlksTjY7XrFgiajg</t>
    </r>
    <r>
      <rPr>
        <rFont val="Arial"/>
      </rPr>
      <t>|</t>
    </r>
  </si>
  <si>
    <t>#CurveGames OR "Curve Games"</t>
  </si>
  <si>
    <t>Developer - The Game Band</t>
  </si>
  <si>
    <t>#TheGameBand | "The Game Band"</t>
  </si>
  <si>
    <t>Developer - AP Thomson</t>
  </si>
  <si>
    <t>#TheGameBand OR "The Game Band"</t>
  </si>
  <si>
    <t>Astrolabe Games</t>
  </si>
  <si>
    <r>
      <rPr>
        <rFont val="Arial"/>
        <color rgb="FF1155CC"/>
        <u/>
      </rPr>
      <t>https://www.youtube.com/channel/UCsT7SP8E_UU-y3PeFVpSt5g</t>
    </r>
    <r>
      <rPr>
        <rFont val="Arial"/>
      </rPr>
      <t>|</t>
    </r>
  </si>
  <si>
    <t>#AstrolabeGames OR "Astrolabe Games"</t>
  </si>
  <si>
    <t>Developer - Firefly Games Inc.</t>
  </si>
  <si>
    <t>#FireflyGames | "Firefly Games"</t>
  </si>
  <si>
    <t>Developer - AnKae Games</t>
  </si>
  <si>
    <t>#FireflyGames OR "Firefly Games"</t>
  </si>
  <si>
    <t>Shueisha Games</t>
  </si>
  <si>
    <r>
      <rPr>
        <rFont val="Arial"/>
        <color rgb="FF1155CC"/>
        <u/>
      </rPr>
      <t>https://www.youtube.com/@shueishagames6941</t>
    </r>
    <r>
      <rPr>
        <rFont val="Arial"/>
      </rPr>
      <t>|</t>
    </r>
  </si>
  <si>
    <t>#ShueishaGames OR "Shueisha Games"</t>
  </si>
  <si>
    <t>#SimFabric | "SimFabric"</t>
  </si>
  <si>
    <t>Developer - Dvora Studio</t>
  </si>
  <si>
    <r>
      <rPr>
        <rFont val="Arial"/>
        <color rgb="FF1155CC"/>
        <u/>
      </rPr>
      <t>https://www.youtube.com/@DevespressoGames</t>
    </r>
    <r>
      <rPr>
        <rFont val="Arial"/>
      </rPr>
      <t>|</t>
    </r>
  </si>
  <si>
    <t>Developer - TALESSHOP Co., Ltd.</t>
  </si>
  <si>
    <t>#TALESSHOP OR "TALESSHOP"</t>
  </si>
  <si>
    <t>Liquid Swords</t>
  </si>
  <si>
    <t>#LiquidSwordsGames OR "Liquid Swords Games"</t>
  </si>
  <si>
    <t>#TALESSHOP | "TALESSHOP"</t>
  </si>
  <si>
    <t>Developer - Cavalier Game Studios</t>
  </si>
  <si>
    <r>
      <rPr>
        <rFont val="Arial"/>
        <color rgb="FF1155CC"/>
        <u/>
      </rPr>
      <t>https://www.youtube.com/@CavalierGameStudios</t>
    </r>
    <r>
      <rPr>
        <rFont val="Arial"/>
      </rPr>
      <t>|</t>
    </r>
  </si>
  <si>
    <t>Developer - Churapps Co.,Ltd.</t>
  </si>
  <si>
    <t>#Churapps OR "Churapps"</t>
  </si>
  <si>
    <t>4Divinity</t>
  </si>
  <si>
    <r>
      <rPr>
        <rFont val="Arial"/>
        <color rgb="FF1155CC"/>
        <u/>
      </rPr>
      <t>https://www.youtube.com/@4divinitygames</t>
    </r>
    <r>
      <rPr>
        <rFont val="Arial"/>
      </rPr>
      <t>|</t>
    </r>
  </si>
  <si>
    <t>#4Divinity OR "4Divinity"</t>
  </si>
  <si>
    <t>#Churapps | "Churapps"</t>
  </si>
  <si>
    <t>Developer - Mopeful Games</t>
  </si>
  <si>
    <t>Developer - General Interactive Co.</t>
  </si>
  <si>
    <t>#GeneralInteractive OR "General Interactive"</t>
  </si>
  <si>
    <t>Playground Productions</t>
  </si>
  <si>
    <t>#PlaygroundProductions OR "Playground Productions"</t>
  </si>
  <si>
    <t>#GeneralInteractive | "General Interactive"</t>
  </si>
  <si>
    <t>Developer - Pathos Interactive</t>
  </si>
  <si>
    <t>Developer - NAISU</t>
  </si>
  <si>
    <t>#NAISU OR "NAISU"</t>
  </si>
  <si>
    <t>Bliss Brain</t>
  </si>
  <si>
    <r>
      <rPr>
        <rFont val="Arial"/>
        <color rgb="FF1155CC"/>
        <u/>
      </rPr>
      <t>https://www.youtube.com/@blissbrain3951</t>
    </r>
    <r>
      <rPr>
        <rFont val="Arial"/>
      </rPr>
      <t>|</t>
    </r>
  </si>
  <si>
    <t>#BlissBrain OR "Bliss Brain"</t>
  </si>
  <si>
    <t>#NAISU | "NAISU"</t>
  </si>
  <si>
    <t>Developer - Exkee</t>
  </si>
  <si>
    <r>
      <rPr>
        <rFont val="Arial"/>
        <color rgb="FF1155CC"/>
        <u/>
      </rPr>
      <t>https://www.youtube.com/@ExkeeTeam</t>
    </r>
    <r>
      <rPr>
        <rFont val="Arial"/>
      </rPr>
      <t>|</t>
    </r>
  </si>
  <si>
    <t>Developer - TREVA Entertainment</t>
  </si>
  <si>
    <t>Maximum Entertainment</t>
  </si>
  <si>
    <r>
      <rPr>
        <rFont val="Arial"/>
        <color rgb="FF1155CC"/>
        <u/>
      </rPr>
      <t>https://www.youtube.com/@maximumentmt</t>
    </r>
    <r>
      <rPr>
        <rFont val="Arial"/>
      </rPr>
      <t>|</t>
    </r>
  </si>
  <si>
    <t>#MaximumEntertainment OR "Maximum Entertainment"</t>
  </si>
  <si>
    <t>#TREVAEntertainment | "TREVA Entertainment"</t>
  </si>
  <si>
    <t>Developer - Marumittu Games</t>
  </si>
  <si>
    <t>Developer - Takahiro Miyazawa</t>
  </si>
  <si>
    <t>#TakahiroMiyazawa OR "Takahiro Miyazawa"</t>
  </si>
  <si>
    <t>Silver Lining</t>
  </si>
  <si>
    <r>
      <rPr>
        <rFont val="Arial"/>
        <color rgb="FF1155CC"/>
        <u/>
      </rPr>
      <t>https://www.youtube.com/@SilverLiningInt</t>
    </r>
    <r>
      <rPr>
        <rFont val="Arial"/>
      </rPr>
      <t>|</t>
    </r>
  </si>
  <si>
    <t>#SilverLiningInteractive OR "Silver Lining Interactive"</t>
  </si>
  <si>
    <t>#TakahiroMiyazawa | "Takahiro Miyazawa"</t>
  </si>
  <si>
    <t>Developer - Alt Shift</t>
  </si>
  <si>
    <r>
      <rPr>
        <rFont val="Arial"/>
        <color rgb="FF1155CC"/>
        <u/>
      </rPr>
      <t>https://www.youtube.com/@altshift_games</t>
    </r>
    <r>
      <rPr>
        <rFont val="Arial"/>
      </rPr>
      <t>|</t>
    </r>
  </si>
  <si>
    <t>Developer - Pixehn</t>
  </si>
  <si>
    <t>#Pixehn OR "Pixehn"</t>
  </si>
  <si>
    <t>Game Source Entertainment</t>
  </si>
  <si>
    <r>
      <rPr>
        <rFont val="Arial"/>
        <color rgb="FF1155CC"/>
        <u/>
      </rPr>
      <t>https://www.youtube.com/@GAMESOURCEENTERTAINMENT</t>
    </r>
    <r>
      <rPr>
        <rFont val="Arial"/>
      </rPr>
      <t>|</t>
    </r>
  </si>
  <si>
    <t>#GameSourceEntertainment OR "Game Source Entertainment"</t>
  </si>
  <si>
    <t>#Pixehn | "Pixehn"</t>
  </si>
  <si>
    <t>Developer - Smart Raven Studio</t>
  </si>
  <si>
    <r>
      <rPr>
        <rFont val="Arial"/>
        <color rgb="FF1155CC"/>
        <u/>
      </rPr>
      <t>https://www.youtube.com/@smartravenstudio7543</t>
    </r>
    <r>
      <rPr>
        <rFont val="Arial"/>
        <color rgb="FF1F1F1F"/>
      </rPr>
      <t>|</t>
    </r>
  </si>
  <si>
    <t>Developer - Yellowcake Games</t>
  </si>
  <si>
    <t>#YellowcakeGames OR "Yellowcake Games"</t>
  </si>
  <si>
    <t>TomorrowHead Studio</t>
  </si>
  <si>
    <r>
      <rPr>
        <rFont val="Arial"/>
        <color rgb="FF1155CC"/>
        <u/>
      </rPr>
      <t>https://www.youtube.com/@TomorrowHeadStudio</t>
    </r>
    <r>
      <rPr>
        <rFont val="Arial"/>
      </rPr>
      <t>|</t>
    </r>
  </si>
  <si>
    <t>#TomorrowHeadStudio OR "TomorrowHead Studio"</t>
  </si>
  <si>
    <t>#YellowcakeGames | "Yellowcake Games"</t>
  </si>
  <si>
    <t>Developer - Timberline Studio</t>
  </si>
  <si>
    <r>
      <rPr>
        <rFont val="Arial"/>
        <color rgb="FF1155CC"/>
        <u/>
      </rPr>
      <t>https://www.youtube.com/@timberlinestudio</t>
    </r>
    <r>
      <rPr>
        <rFont val="Arial"/>
      </rPr>
      <t>|</t>
    </r>
  </si>
  <si>
    <t>Developer - BitNine Studio</t>
  </si>
  <si>
    <t>#BitNineStudio OR "BitNine Studio"</t>
  </si>
  <si>
    <t>Ghost Ship Games</t>
  </si>
  <si>
    <t>#BitNineStudio | "BitNine Studio"</t>
  </si>
  <si>
    <t>Developer - Bonsai Collective</t>
  </si>
  <si>
    <r>
      <rPr>
        <rFont val="Arial"/>
        <color rgb="FF1155CC"/>
        <u/>
      </rPr>
      <t>https://www.youtube.com/@bonsaicollective</t>
    </r>
    <r>
      <rPr>
        <rFont val="Arial"/>
      </rPr>
      <t>|</t>
    </r>
  </si>
  <si>
    <t>Developer - Inlogic</t>
  </si>
  <si>
    <t>#Inlogic OR "Inlogic"</t>
  </si>
  <si>
    <t>Poncle</t>
  </si>
  <si>
    <r>
      <rPr>
        <rFont val="Arial"/>
        <color rgb="FF1155CC"/>
        <u/>
      </rPr>
      <t>https://www.youtube.com/@poncle_Games</t>
    </r>
    <r>
      <rPr>
        <rFont val="Arial"/>
        <color rgb="FF000000"/>
      </rPr>
      <t>|</t>
    </r>
  </si>
  <si>
    <t>#Poncle OR "Poncle"</t>
  </si>
  <si>
    <t>#Inlogic | "Inlogic"</t>
  </si>
  <si>
    <t>Developer - Frozen Way</t>
  </si>
  <si>
    <r>
      <rPr>
        <rFont val="Arial"/>
        <color rgb="FF1155CC"/>
        <u/>
      </rPr>
      <t>https://www.youtube.com/@FrozenWayGames</t>
    </r>
    <r>
      <rPr>
        <rFont val="Arial"/>
      </rPr>
      <t>|</t>
    </r>
  </si>
  <si>
    <t>Developer - Silverstring Media Inc.</t>
  </si>
  <si>
    <t>#SilverstringMedia OR "Silverstring Media"</t>
  </si>
  <si>
    <t>The Pokemon Company</t>
  </si>
  <si>
    <r>
      <rPr>
        <color rgb="FF1155CC"/>
        <sz val="10.0"/>
        <u/>
      </rPr>
      <t>https://www.youtube.com/@pokemon</t>
    </r>
    <r>
      <rPr>
        <sz val="10.0"/>
      </rPr>
      <t>|</t>
    </r>
  </si>
  <si>
    <t>#ThePokemonCompany OR "The Pokemon Company"</t>
  </si>
  <si>
    <t>#SilverstringMedia | "Silverstring Media"</t>
  </si>
  <si>
    <t>Developer - Adglobe</t>
  </si>
  <si>
    <t>Developer - Iananimator</t>
  </si>
  <si>
    <t>#Iananimator OR "Iananimator"</t>
  </si>
  <si>
    <t>Flyway Games Inc.</t>
  </si>
  <si>
    <r>
      <rPr>
        <rFont val="Calibri"/>
        <color rgb="FF1155CC"/>
        <sz val="12.0"/>
        <u/>
      </rPr>
      <t>https://www.youtube.com/@FlywayGames</t>
    </r>
    <r>
      <rPr>
        <rFont val="Calibri"/>
        <sz val="12.0"/>
      </rPr>
      <t>|</t>
    </r>
  </si>
  <si>
    <t>#FlywayGamesInc OR "Flyway Games Inc"</t>
  </si>
  <si>
    <t>#Iananimator | "Iananimator"</t>
  </si>
  <si>
    <t>Developer - Rebel Wolves</t>
  </si>
  <si>
    <r>
      <rPr>
        <rFont val="Calibri"/>
        <color rgb="FF1155CC"/>
        <sz val="11.0"/>
        <u/>
      </rPr>
      <t>https://www.youtube.com/@RebelWolvesDevs</t>
    </r>
    <r>
      <rPr>
        <rFont val="Calibri"/>
        <sz val="11.0"/>
      </rPr>
      <t>|</t>
    </r>
  </si>
  <si>
    <t>Developer - Last Dimension</t>
  </si>
  <si>
    <t>Night Street</t>
  </si>
  <si>
    <t>#NightStreet OR "Night Street"</t>
  </si>
  <si>
    <t>#LastDimension | "Last Dimension"</t>
  </si>
  <si>
    <t>Developer - Fuse Games</t>
  </si>
  <si>
    <r>
      <rPr>
        <rFont val="Arial"/>
        <color rgb="FF1155CC"/>
        <u/>
      </rPr>
      <t>https://www.youtube.com/@FuseGamesUK</t>
    </r>
    <r>
      <rPr>
        <rFont val="Arial"/>
      </rPr>
      <t>|</t>
    </r>
  </si>
  <si>
    <t>Developer - astragon</t>
  </si>
  <si>
    <t>Kwalee Ltd</t>
  </si>
  <si>
    <r>
      <rPr>
        <rFont val="Arial"/>
        <color rgb="FF1155CC"/>
        <u/>
      </rPr>
      <t>https://www.youtube.com/@kwaleegaming</t>
    </r>
    <r>
      <rPr>
        <rFont val="Arial"/>
      </rPr>
      <t>|</t>
    </r>
  </si>
  <si>
    <t>#KwaleeLtd OR "Kwalee Ltd"</t>
  </si>
  <si>
    <t>#astragon | "astragon"</t>
  </si>
  <si>
    <t>Developer - Regular Studio</t>
  </si>
  <si>
    <r>
      <rPr>
        <rFont val="Arial"/>
        <color rgb="FF1155CC"/>
        <u/>
      </rPr>
      <t>https://www.youtube.com/@RegularStudio</t>
    </r>
    <r>
      <rPr>
        <rFont val="Arial"/>
      </rPr>
      <t>|</t>
    </r>
  </si>
  <si>
    <t>Developer - Twin-Stick</t>
  </si>
  <si>
    <t>#TwinStick OR "Twin-Stick"</t>
  </si>
  <si>
    <t>Windrose Crew</t>
  </si>
  <si>
    <r>
      <rPr>
        <rFont val="Arial"/>
        <color rgb="FF1155CC"/>
        <u/>
      </rPr>
      <t>https://www.youtube.com/@PlayWindrose</t>
    </r>
    <r>
      <rPr>
        <rFont val="Arial"/>
      </rPr>
      <t>|</t>
    </r>
  </si>
  <si>
    <t>#WindroseCrew OR "Windrose Crew"</t>
  </si>
  <si>
    <t>#TwinStick | "Twin-Stick"</t>
  </si>
  <si>
    <t>Developer - Galaxy Grove</t>
  </si>
  <si>
    <t>Developer - Olivier De Rop</t>
  </si>
  <si>
    <t>#OlivierDeRop OR "Olivier De Rop"</t>
  </si>
  <si>
    <t>Megabit</t>
  </si>
  <si>
    <r>
      <rPr>
        <rFont val="Arial"/>
        <color rgb="FF1155CC"/>
        <u/>
      </rPr>
      <t>https://www.youtube.com/@megabit-publishing</t>
    </r>
    <r>
      <rPr>
        <rFont val="Arial"/>
      </rPr>
      <t>|</t>
    </r>
  </si>
  <si>
    <t>#Megabit OR "Megabit"</t>
  </si>
  <si>
    <t>#OlivierDeRop | "Olivier De Rop"</t>
  </si>
  <si>
    <t>Developer - Ramage Games</t>
  </si>
  <si>
    <t>Developer - Brad Howard</t>
  </si>
  <si>
    <t>#BradHoward OR "Brad Howard"</t>
  </si>
  <si>
    <t>rokaplay</t>
  </si>
  <si>
    <r>
      <rPr>
        <rFont val="Arial"/>
        <color rgb="FF1155CC"/>
        <u/>
      </rPr>
      <t>https://www.youtube.com/@rokaplay</t>
    </r>
    <r>
      <rPr>
        <rFont val="Arial"/>
      </rPr>
      <t>|</t>
    </r>
  </si>
  <si>
    <t>#rokaplay OR "rokaplay"</t>
  </si>
  <si>
    <t>#BradHoward | "Brad Howard"</t>
  </si>
  <si>
    <t>Developer - Play by Play Studios</t>
  </si>
  <si>
    <r>
      <rPr>
        <rFont val="Calibri"/>
        <color rgb="FF1155CC"/>
        <sz val="12.0"/>
        <u/>
      </rPr>
      <t>https://www.youtube.com/@NBATHERUN</t>
    </r>
    <r>
      <rPr>
        <rFont val="Calibri"/>
        <sz val="12.0"/>
      </rPr>
      <t>|</t>
    </r>
  </si>
  <si>
    <t>Developer - 8bits fanatics</t>
  </si>
  <si>
    <t>#8bitsfanatics OR "8bits fanatics"</t>
  </si>
  <si>
    <t>Hunter Studio</t>
  </si>
  <si>
    <r>
      <rPr>
        <rFont val="Calibri"/>
        <color rgb="FF1155CC"/>
        <sz val="12.0"/>
        <u/>
      </rPr>
      <t>https://www.youtube.com/@Hunter-Studio</t>
    </r>
    <r>
      <rPr>
        <rFont val="Calibri"/>
        <sz val="12.0"/>
      </rPr>
      <t>|</t>
    </r>
  </si>
  <si>
    <t>#HunterStudio OR "Hunter Studio"</t>
  </si>
  <si>
    <t>#8bitsfanatics | "8bits fanatics"</t>
  </si>
  <si>
    <t>Developer - Expression Games</t>
  </si>
  <si>
    <t>Developer - Over Drive</t>
  </si>
  <si>
    <t>#OverDrive OR "Over Drive"</t>
  </si>
  <si>
    <t>Studio Aurum</t>
  </si>
  <si>
    <t>#OverDrive | "Over Drive"</t>
  </si>
  <si>
    <t>Developer - Paraglacial</t>
  </si>
  <si>
    <t>Developer - Tentacle Soft</t>
  </si>
  <si>
    <t>#TentacleSoft OR "Tentacle Soft"</t>
  </si>
  <si>
    <t>Mythwright</t>
  </si>
  <si>
    <r>
      <rPr>
        <color rgb="FF1155CC"/>
        <sz val="10.0"/>
        <u/>
      </rPr>
      <t>https://www.youtube.com/@mythwright</t>
    </r>
    <r>
      <rPr>
        <sz val="10.0"/>
      </rPr>
      <t>|</t>
    </r>
  </si>
  <si>
    <t>#Mythwright OR "Mythwright"</t>
  </si>
  <si>
    <t>#TentacleSoft | "Tentacle Soft"</t>
  </si>
  <si>
    <t>Developer - CIRCLEfromDOT</t>
  </si>
  <si>
    <r>
      <rPr>
        <rFont val="Calibri"/>
        <color rgb="FF1155CC"/>
        <sz val="12.0"/>
        <u/>
      </rPr>
      <t>https://www.youtube.com/@circlefromdot5300</t>
    </r>
    <r>
      <rPr>
        <rFont val="Calibri"/>
        <sz val="12.0"/>
      </rPr>
      <t>|</t>
    </r>
  </si>
  <si>
    <t>Developer - Light Ape Games</t>
  </si>
  <si>
    <t>#LightApeGames OR "Light Ape Games"</t>
  </si>
  <si>
    <t>Cavalier Game Studios</t>
  </si>
  <si>
    <t>#CavalierGameStudios OR "CavalierGameStudios"</t>
  </si>
  <si>
    <t>#LightApeGames | "Light Ape Games"</t>
  </si>
  <si>
    <t>Developer - Winning Entertainment Group</t>
  </si>
  <si>
    <t>Developer - Sword &amp; Axe LLC</t>
  </si>
  <si>
    <t>#SwordandAxe OR "Sword &amp; Axe"</t>
  </si>
  <si>
    <t>Falcom</t>
  </si>
  <si>
    <t>#SwordandAxe | "Sword &amp; Axe"</t>
  </si>
  <si>
    <t>Developer - The Swordman Studio</t>
  </si>
  <si>
    <t>Developer - Hyperparadise</t>
  </si>
  <si>
    <t>#Hyperparadise OR "Hyperparadise"</t>
  </si>
  <si>
    <t>Timberline Studio</t>
  </si>
  <si>
    <r>
      <rPr>
        <rFont val="Arial"/>
        <color rgb="FF1155CC"/>
        <u/>
      </rPr>
      <t>https://www.youtube.com/@timberlinestudio</t>
    </r>
    <r>
      <rPr>
        <rFont val="Arial"/>
        <color rgb="FF1F1F1F"/>
      </rPr>
      <t>|</t>
    </r>
  </si>
  <si>
    <t>#TimberlineStudio OR "Timberline Studio"</t>
  </si>
  <si>
    <t>#Hyperparadise | "Hyperparadise"</t>
  </si>
  <si>
    <t>Developer - Sleepwalking Potatoes</t>
  </si>
  <si>
    <r>
      <rPr>
        <rFont val="Arial"/>
        <color rgb="FF000000"/>
        <u/>
      </rPr>
      <t>https://www.youtube.com/@sleepwalkingpotatoes</t>
    </r>
    <r>
      <rPr>
        <rFont val="Arial"/>
        <color rgb="FF1F1F1F"/>
      </rPr>
      <t>|</t>
    </r>
  </si>
  <si>
    <t>Developer - KIMIDORI SOFT</t>
  </si>
  <si>
    <t>#KIMIDORISOFT OR "KIMIDORI SOFT"</t>
  </si>
  <si>
    <t>Bonsai Collective</t>
  </si>
  <si>
    <r>
      <rPr>
        <rFont val="Arial"/>
        <color rgb="FF1155CC"/>
        <u/>
      </rPr>
      <t>https://www.youtube.com/@bonsaicollective</t>
    </r>
    <r>
      <rPr>
        <rFont val="Arial"/>
        <color rgb="FF1F1F1F"/>
      </rPr>
      <t>|</t>
    </r>
  </si>
  <si>
    <t>#BonsaiCollective OR "Bonsai Collective"</t>
  </si>
  <si>
    <t>#KIMIDORISOFT | "KIMIDORI SOFT"</t>
  </si>
  <si>
    <t>Developer - Embers</t>
  </si>
  <si>
    <r>
      <rPr>
        <rFont val="Arial"/>
        <color rgb="FF000000"/>
        <u/>
      </rPr>
      <t>https://www.youtube.com/@embersgames</t>
    </r>
    <r>
      <rPr>
        <rFont val="Arial"/>
        <color rgb="FF1F1F1F"/>
      </rPr>
      <t>|</t>
    </r>
  </si>
  <si>
    <t>Developer - Girls Make Games</t>
  </si>
  <si>
    <t>Skystone Games</t>
  </si>
  <si>
    <r>
      <rPr>
        <rFont val="Arial"/>
        <color rgb="FF1155CC"/>
        <u/>
      </rPr>
      <t>https://www.youtube.com/@skystone_games</t>
    </r>
    <r>
      <rPr>
        <rFont val="Arial"/>
        <color rgb="FF1F1F1F"/>
      </rPr>
      <t>|</t>
    </r>
  </si>
  <si>
    <t>#SkystoneGames OR "Skystone Games"</t>
  </si>
  <si>
    <t>#GirlsMakeGames | "Girls Make Games"</t>
  </si>
  <si>
    <t>Developer - Casual Brothers</t>
  </si>
  <si>
    <t>https://www.youtube.com/@CasualBrothersltd</t>
  </si>
  <si>
    <t>Developer - Brawsome</t>
  </si>
  <si>
    <t>#Brawsome OR "Brawsome"</t>
  </si>
  <si>
    <t>Play by Play Studios</t>
  </si>
  <si>
    <r>
      <rPr>
        <rFont val="Arial"/>
        <color rgb="FF1155CC"/>
        <u/>
      </rPr>
      <t>https://www.youtube.com/@NBATHERUN</t>
    </r>
    <r>
      <rPr>
        <rFont val="Arial"/>
      </rPr>
      <t>|</t>
    </r>
  </si>
  <si>
    <t>#PlaybyPlayStudios OR "Play by Play Studios"</t>
  </si>
  <si>
    <t>#Brawsome | "Brawsome"</t>
  </si>
  <si>
    <t>Developer - MINT ROCKET</t>
  </si>
  <si>
    <t>https://www.youtube.com/@mintrocket_official</t>
  </si>
  <si>
    <t>Developer - Pon Pon Games</t>
  </si>
  <si>
    <t>#PonPonGames OR "Pon Pon Games"</t>
  </si>
  <si>
    <t>Indoor Astronaut</t>
  </si>
  <si>
    <r>
      <rPr>
        <rFont val="Arial"/>
        <color rgb="FF1155CC"/>
        <u/>
      </rPr>
      <t>https://www.youtube.com/@indoorastronaut</t>
    </r>
    <r>
      <rPr>
        <rFont val="Arial"/>
      </rPr>
      <t>|</t>
    </r>
  </si>
  <si>
    <t>#PonPonGames | "Pon Pon Games"</t>
  </si>
  <si>
    <t>Developer - Lifeline Games</t>
  </si>
  <si>
    <t>https://www.youtube.com/@LifelineGames.</t>
  </si>
  <si>
    <t>Developer - Nameless XIII</t>
  </si>
  <si>
    <t>#NamelessXIII OR "Nameless XIII"</t>
  </si>
  <si>
    <t>Nine Dots Studio</t>
  </si>
  <si>
    <t>#NamelessXIII | "Nameless XIII"</t>
  </si>
  <si>
    <t>Developer - Eat Pant Games</t>
  </si>
  <si>
    <t>https://www.youtube.com/@EatPantGames</t>
  </si>
  <si>
    <t>Developer - Toppluva AB</t>
  </si>
  <si>
    <t>#ToppluvaAB OR "Toppluva AB"</t>
  </si>
  <si>
    <t>Retrovibe</t>
  </si>
  <si>
    <r>
      <rPr>
        <rFont val="Arial"/>
        <color rgb="FF000000"/>
        <u/>
      </rPr>
      <t>https://www.youtube.com/@RetrovibeGames</t>
    </r>
    <r>
      <rPr>
        <rFont val="Arial"/>
        <color rgb="FF1F1F1F"/>
      </rPr>
      <t>|</t>
    </r>
  </si>
  <si>
    <t>#Retrovibe OR "Retrovibe"</t>
  </si>
  <si>
    <t>#ToppluvaAB | "Toppluva AB"</t>
  </si>
  <si>
    <t>Developer - Wisageni Studio</t>
  </si>
  <si>
    <t>https://www.youtube.com/@wisagenistudio</t>
  </si>
  <si>
    <t>Developer - Avernus Software</t>
  </si>
  <si>
    <t>#AvernusSoftware OR "Avernus Software"</t>
  </si>
  <si>
    <t>Embers</t>
  </si>
  <si>
    <r>
      <rPr>
        <rFont val="Arial"/>
        <color rgb="FF000000"/>
        <u/>
      </rPr>
      <t>https://www.youtube.com/@embersgames</t>
    </r>
    <r>
      <rPr>
        <rFont val="Arial"/>
        <color rgb="FF1F1F1F"/>
      </rPr>
      <t>|</t>
    </r>
  </si>
  <si>
    <t>#Embers OR "Embers"</t>
  </si>
  <si>
    <t>#AvernusSoftware | "Avernus Software"</t>
  </si>
  <si>
    <t>Developer - Miju Games</t>
  </si>
  <si>
    <t>https://www.youtube.com/@MijuGamesStudio</t>
  </si>
  <si>
    <t>Developer - Mordan Games</t>
  </si>
  <si>
    <t>#MordanGames OR "Mordan Games"</t>
  </si>
  <si>
    <t>Hooded Horse</t>
  </si>
  <si>
    <r>
      <rPr>
        <color rgb="FF1155CC"/>
        <u/>
      </rPr>
      <t>https://www.youtube.com/@HoodedHorse</t>
    </r>
    <r>
      <rPr>
        <color rgb="FF1F1F1F"/>
      </rPr>
      <t>|</t>
    </r>
  </si>
  <si>
    <t>#Hooded Horse OR "Hooded Horse"</t>
  </si>
  <si>
    <t>#MordanGames | "Mordan Games"</t>
  </si>
  <si>
    <t>Developer - Game Jawn</t>
  </si>
  <si>
    <t>Developer - Copperglass</t>
  </si>
  <si>
    <t>#Copperglass OR "Copperglass"</t>
  </si>
  <si>
    <t>MINT ROCKET</t>
  </si>
  <si>
    <r>
      <rPr>
        <rFont val="Arial"/>
        <color rgb="FF1155CC"/>
        <u/>
      </rPr>
      <t>https://www.youtube.com/@mintrocket_official</t>
    </r>
    <r>
      <rPr>
        <rFont val="Arial"/>
      </rPr>
      <t>|</t>
    </r>
  </si>
  <si>
    <t>#MINTROCKET OR "MINT ROCKET"</t>
  </si>
  <si>
    <t>#Copperglass | "Copperglass"</t>
  </si>
  <si>
    <t>Developer - Halo Studios</t>
  </si>
  <si>
    <t>https://www.youtube.com/Halo</t>
  </si>
  <si>
    <t>Developer - WERDERA SRL</t>
  </si>
  <si>
    <t>#WERDERASRL OR "WERDERA SRL"</t>
  </si>
  <si>
    <t>Miju Games</t>
  </si>
  <si>
    <r>
      <rPr>
        <rFont val="Arial"/>
        <color rgb="FF1155CC"/>
        <u/>
      </rPr>
      <t>https://www.youtube.com/@MijuGamesStudio</t>
    </r>
    <r>
      <rPr>
        <rFont val="Arial"/>
      </rPr>
      <t>|</t>
    </r>
  </si>
  <si>
    <t>#MijuGames OR "Miju Games"</t>
  </si>
  <si>
    <t>#WERDERASRL | "WERDERA SRL"</t>
  </si>
  <si>
    <t>Developer - BELLRING GAMES</t>
  </si>
  <si>
    <t>https://www.youtube.com/@MistfallHunter</t>
  </si>
  <si>
    <t>Developer - Sea Monster Media</t>
  </si>
  <si>
    <t>#SeaMonsterMedia OR "Sea Monster Media"</t>
  </si>
  <si>
    <t>Fireline Games</t>
  </si>
  <si>
    <r>
      <rPr>
        <rFont val="Arial"/>
        <color rgb="FF1155CC"/>
        <u/>
      </rPr>
      <t>https://www.youtube.com/user/FirelineGames</t>
    </r>
    <r>
      <rPr>
        <rFont val="Arial"/>
      </rPr>
      <t>|</t>
    </r>
  </si>
  <si>
    <t>#FirelineGames OR "Fireline Games"</t>
  </si>
  <si>
    <t>#SeaMonsterMedia | "Sea Monster Media"</t>
  </si>
  <si>
    <t>Developer - Fireline Games</t>
  </si>
  <si>
    <t>https://www.youtube.com/user/FirelineGames</t>
  </si>
  <si>
    <t>Developer - Vridge</t>
  </si>
  <si>
    <t>#Vridge OR "Vridge"</t>
  </si>
  <si>
    <t>Panic Inc.</t>
  </si>
  <si>
    <r>
      <rPr>
        <rFont val="Arial"/>
        <color rgb="FF1155CC"/>
        <u/>
      </rPr>
      <t>https://www.youtube.com/@PanicVideo</t>
    </r>
    <r>
      <rPr>
        <rFont val="Arial"/>
      </rPr>
      <t>|</t>
    </r>
  </si>
  <si>
    <t>#PanicInc. OR "Panic Inc."</t>
  </si>
  <si>
    <t>#Vridge | "Vridge"</t>
  </si>
  <si>
    <t>Developer - NPC Studio</t>
  </si>
  <si>
    <t>Developer - TROOOZE</t>
  </si>
  <si>
    <t>#TROOOZE OR "TROOOZE"</t>
  </si>
  <si>
    <t>NPC Studio</t>
  </si>
  <si>
    <t>#NPCStudio OR "NPC Studio"</t>
  </si>
  <si>
    <t>#TROOOZE | "TROOOZE"</t>
  </si>
  <si>
    <t>Developer - Mankibo</t>
  </si>
  <si>
    <t>https://www.youtube.com/@mankibogames</t>
  </si>
  <si>
    <t>Developer - Mokuzai Studio</t>
  </si>
  <si>
    <t>#MokuzaiStudio OR "Mokuzai Studio"</t>
  </si>
  <si>
    <t>Nordcurrent</t>
  </si>
  <si>
    <r>
      <rPr>
        <rFont val="Arial"/>
        <color rgb="FF1155CC"/>
        <u/>
      </rPr>
      <t>https://www.youtube.com/@Nordcurrent</t>
    </r>
    <r>
      <rPr>
        <rFont val="Arial"/>
      </rPr>
      <t>|</t>
    </r>
  </si>
  <si>
    <t>#Nordcurrent OR "Nordcurrent"</t>
  </si>
  <si>
    <t>#MokuzaiStudio | "Mokuzai Studio"</t>
  </si>
  <si>
    <t>Developer - Black Tower Basement</t>
  </si>
  <si>
    <t>Developer - Wormwood Studios</t>
  </si>
  <si>
    <t>#WormwoodStudios OR "Wormwood Studios"</t>
  </si>
  <si>
    <t>Kepler Interactive</t>
  </si>
  <si>
    <r>
      <rPr>
        <rFont val="Arial"/>
        <color rgb="FF1155CC"/>
        <u/>
      </rPr>
      <t>https://www.youtube.com/@keplerinteractive</t>
    </r>
    <r>
      <rPr>
        <rFont val="Arial"/>
      </rPr>
      <t>|</t>
    </r>
  </si>
  <si>
    <t>#KeplerInteractive OR "Kepler Interactive"</t>
  </si>
  <si>
    <t>#WormwoodStudios | "Wormwood Studios"</t>
  </si>
  <si>
    <t>Developer - Exnilo Studio</t>
  </si>
  <si>
    <t>https://www.youtube.com/@ExniloStudio</t>
  </si>
  <si>
    <t>Developer - JetDogs Studios</t>
  </si>
  <si>
    <t>#JetDogsStudios OR "JetDogs Studios"</t>
  </si>
  <si>
    <t>Digital Pajamas</t>
  </si>
  <si>
    <t>#DigitalPajamas OR "Digital Pajamas"</t>
  </si>
  <si>
    <t>#JetDogsStudios | "JetDogs Studios"</t>
  </si>
  <si>
    <t>Developer - Tiny Roar</t>
  </si>
  <si>
    <t>https://www.youtube.com/@tinyroar_Devs</t>
  </si>
  <si>
    <t>Developer - Wathitdew Record</t>
  </si>
  <si>
    <t>#WathitdewRecord OR "Wathitdew Record"</t>
  </si>
  <si>
    <t>Alliance Arts</t>
  </si>
  <si>
    <r>
      <rPr>
        <rFont val="Arial"/>
        <color rgb="FF1155CC"/>
        <u/>
      </rPr>
      <t>https://www.youtube.com/@allianceartsofficial</t>
    </r>
    <r>
      <rPr>
        <rFont val="Arial"/>
      </rPr>
      <t>|</t>
    </r>
  </si>
  <si>
    <t>#AllianceArts OR "Alliance Arts"</t>
  </si>
  <si>
    <t>#WathitdewRecord | "Wathitdew Record"</t>
  </si>
  <si>
    <t>Developer - Bit Reactor</t>
  </si>
  <si>
    <t>Developer - CINDYZ STUDIO</t>
  </si>
  <si>
    <t>#CINDYZSTUDIO OR "CINDYZ STUDIO"</t>
  </si>
  <si>
    <t>Jagex</t>
  </si>
  <si>
    <r>
      <rPr>
        <rFont val="Arial"/>
        <color rgb="FF1155CC"/>
        <u/>
      </rPr>
      <t>https://www.youtube.com/@thejagexchannel</t>
    </r>
    <r>
      <rPr>
        <rFont val="Arial"/>
      </rPr>
      <t>|</t>
    </r>
  </si>
  <si>
    <t>#Jagex OR "Jagex"</t>
  </si>
  <si>
    <t>#CINDYZSTUDIO | "CINDYZ STUDIO"</t>
  </si>
  <si>
    <t>Developer - Shapefarm</t>
  </si>
  <si>
    <t>https://www.youtube.com/@Shapefarm</t>
  </si>
  <si>
    <t>Developer - Moragami</t>
  </si>
  <si>
    <t>#Moragami OR "Moragami"</t>
  </si>
  <si>
    <t>Cooldown Games</t>
  </si>
  <si>
    <t>#CooldownGames OR "Cooldown Games"</t>
  </si>
  <si>
    <t>#Moragami | "Moragami"</t>
  </si>
  <si>
    <t>Developer - Shanghai Alice Reprise</t>
  </si>
  <si>
    <t>Developer - isTom Games</t>
  </si>
  <si>
    <t>#isTomGames OR "isTom Games"</t>
  </si>
  <si>
    <t>Lyrical Games</t>
  </si>
  <si>
    <r>
      <rPr>
        <rFont val="Arial"/>
        <color rgb="FF1155CC"/>
        <u/>
      </rPr>
      <t>https://www.youtube.com/@LyricalGamesCo</t>
    </r>
    <r>
      <rPr>
        <rFont val="Arial"/>
      </rPr>
      <t>|</t>
    </r>
  </si>
  <si>
    <t>#LyricalGames OR "Lyrical Games"</t>
  </si>
  <si>
    <t>#isTomGames | "isTom Games"</t>
  </si>
  <si>
    <t>Developer - Jagex</t>
  </si>
  <si>
    <t>https://www.youtube.com/@thejagexchannel</t>
  </si>
  <si>
    <t>Developer - Aurita Games</t>
  </si>
  <si>
    <t>#AuritaGames OR "Aurita Games"</t>
  </si>
  <si>
    <t>Atari</t>
  </si>
  <si>
    <r>
      <rPr>
        <rFont val="Arial"/>
        <color rgb="FF1155CC"/>
        <u/>
      </rPr>
      <t>https://www.youtube.com/@atari</t>
    </r>
    <r>
      <rPr>
        <rFont val="Arial"/>
      </rPr>
      <t>|</t>
    </r>
  </si>
  <si>
    <t>#AuritaGames | "Aurita Games"</t>
  </si>
  <si>
    <t>Developer - Paperhead te4m</t>
  </si>
  <si>
    <t>https://www.youtube.com/@paperhead_the_game</t>
  </si>
  <si>
    <t>Developer - Massive Galaxy Studios</t>
  </si>
  <si>
    <t>#MassiveGalaxyStudios OR "Massive Galaxy Studios"</t>
  </si>
  <si>
    <t>New Blood Interactive</t>
  </si>
  <si>
    <r>
      <rPr>
        <color rgb="FF1155CC"/>
        <u/>
      </rPr>
      <t>https://www.youtube.com/@newbloodinteractive</t>
    </r>
    <r>
      <rPr>
        <color rgb="FF1F1F1F"/>
      </rPr>
      <t>|</t>
    </r>
  </si>
  <si>
    <t>#NewBloodInteractive OR "New Blood Interactive"</t>
  </si>
  <si>
    <t>#MassiveGalaxyStudios | "Massive Galaxy Studios"</t>
  </si>
  <si>
    <t>Developer - Screen Burn</t>
  </si>
  <si>
    <t>Developer - Kuato Studios</t>
  </si>
  <si>
    <t>#KuatoStudios OR "Kuato Studios"</t>
  </si>
  <si>
    <t>Neos</t>
  </si>
  <si>
    <r>
      <rPr>
        <rFont val="Arial"/>
        <color rgb="FF1155CC"/>
        <u/>
      </rPr>
      <t>https://www.youtube.com/@neos_games</t>
    </r>
    <r>
      <rPr>
        <rFont val="Arial"/>
        <color rgb="FF1F1F1F"/>
        <u/>
      </rPr>
      <t>|</t>
    </r>
  </si>
  <si>
    <t>#Neos OR "Neos"</t>
  </si>
  <si>
    <t>#KuatoStudios | "Kuato Studios"</t>
  </si>
  <si>
    <t>Developer - Scary Kid Studios</t>
  </si>
  <si>
    <t>https://www.youtube.com/@SCARYKIDSTUDIOS</t>
  </si>
  <si>
    <t>Developer - GungHo</t>
  </si>
  <si>
    <t>Silver Lining Interactive</t>
  </si>
  <si>
    <r>
      <rPr>
        <rFont val="Arial"/>
        <color rgb="FF1155CC"/>
        <u/>
      </rPr>
      <t>https://www.youtube.com/@SilverLiningInteractive</t>
    </r>
    <r>
      <rPr>
        <rFont val="Arial"/>
      </rPr>
      <t>|</t>
    </r>
  </si>
  <si>
    <t>#GungHo | "GungHo"</t>
  </si>
  <si>
    <t>Developer - Bandai Namco Aces Inc.</t>
  </si>
  <si>
    <t>Developer - Two Dog Games</t>
  </si>
  <si>
    <t>#TwoDogGames OR "Two Dog Games"</t>
  </si>
  <si>
    <t>Relic Entertainment</t>
  </si>
  <si>
    <r>
      <rPr>
        <rFont val="Arial"/>
        <color rgb="FF1155CC"/>
        <u/>
      </rPr>
      <t>https://www.youtube.com/@ThisIsRelic</t>
    </r>
    <r>
      <rPr>
        <rFont val="Arial"/>
      </rPr>
      <t>|</t>
    </r>
  </si>
  <si>
    <t>#RelicEntertainment OR "Relic Entertainment"</t>
  </si>
  <si>
    <t>#TwoDogGames | "Two Dog Games"</t>
  </si>
  <si>
    <t>Developer - Third Shift</t>
  </si>
  <si>
    <t>https://www.youtube.com/@ThirdShiftStudio</t>
  </si>
  <si>
    <t>Developer - Wired Dreams Studio</t>
  </si>
  <si>
    <t>#WiredDreamsStudio OR "Wired Dreams Studio"</t>
  </si>
  <si>
    <t>Logoi Games</t>
  </si>
  <si>
    <t>#LogoiGames OR "Logoi Games"</t>
  </si>
  <si>
    <t>#WiredDreamsStudio | "Wired Dreams Studio"</t>
  </si>
  <si>
    <t>Developer - Saibot Studios</t>
  </si>
  <si>
    <t>https://www.youtube.com/c/SaibotstudiosOfficial</t>
  </si>
  <si>
    <t>Developer - Nerdvision Games</t>
  </si>
  <si>
    <t>#NerdvisionGames OR "Nerdvision Games"</t>
  </si>
  <si>
    <t>HAKURO</t>
  </si>
  <si>
    <t>#HAKURO OR "HAKURO"</t>
  </si>
  <si>
    <t>#NerdvisionGames | "Nerdvision Games"</t>
  </si>
  <si>
    <t>Developer - Rocket-Engine Co.,Ltd.</t>
  </si>
  <si>
    <t>Developer - Raccoons Studio</t>
  </si>
  <si>
    <t>#RaccoonsStudio OR "Raccoons Studio"</t>
  </si>
  <si>
    <t>Black Lantern Collective</t>
  </si>
  <si>
    <r>
      <rPr>
        <rFont val="Arial"/>
        <color rgb="FF1155CC"/>
        <u/>
      </rPr>
      <t>https://www.youtube.com/@TheBlackLanternCollective</t>
    </r>
    <r>
      <rPr>
        <rFont val="Arial"/>
      </rPr>
      <t>|</t>
    </r>
  </si>
  <si>
    <t>#BlackLanternCollective OR "Black Lantern Collective"</t>
  </si>
  <si>
    <t>#RaccoonsStudio | "Raccoons Studio"</t>
  </si>
  <si>
    <t>Developer - P-Studio</t>
  </si>
  <si>
    <t>Developer - Morning Shift Studios</t>
  </si>
  <si>
    <t>#MorningShiftStudios OR "Morning Shift Studios"</t>
  </si>
  <si>
    <t>#MorningShiftStudios | "Morning Shift Studios"</t>
  </si>
  <si>
    <t>Developer - Omiya Soft</t>
  </si>
  <si>
    <r>
      <rPr>
        <rFont val="Arial"/>
        <color rgb="FF1155CC"/>
        <u/>
      </rPr>
      <t>https://www.youtube.com/omiyagames</t>
    </r>
    <r>
      <rPr>
        <rFont val="Arial"/>
      </rPr>
      <t>|</t>
    </r>
  </si>
  <si>
    <t>Developer - Beautiful Glitch</t>
  </si>
  <si>
    <t>#BeautifulGlitch | "Beautiful Glitch"</t>
  </si>
  <si>
    <t>Developer - Sunny Lab</t>
  </si>
  <si>
    <r>
      <rPr>
        <rFont val="Calibri"/>
        <color rgb="FF1155CC"/>
        <sz val="12.0"/>
        <u/>
      </rPr>
      <t>https://www.youtube.com/@SunnyLabGames</t>
    </r>
    <r>
      <rPr>
        <rFont val="Calibri"/>
        <sz val="12.0"/>
      </rPr>
      <t>|</t>
    </r>
  </si>
  <si>
    <t>Developer - Valiant Game Studio AB</t>
  </si>
  <si>
    <t>#ValiantGameStudioAB OR "Valiant Game Studio AB"</t>
  </si>
  <si>
    <t>#ValiantGameStudioAB | "Valiant Game Studio AB"</t>
  </si>
  <si>
    <t>Developer - Relic Entertainment</t>
  </si>
  <si>
    <t>https://www.youtube.com/@ThisIsRelic|</t>
  </si>
  <si>
    <t>Developer - Giant Door</t>
  </si>
  <si>
    <t>#GiantDoor OR "Giant Door"</t>
  </si>
  <si>
    <t>#GiantDoor | "Giant Door"</t>
  </si>
  <si>
    <t>Developer - RedSaw Game Studio</t>
  </si>
  <si>
    <t>Developer - Smokingbear Studio</t>
  </si>
  <si>
    <t>#SmokingbearStudio OR "Smokingbear Studio"</t>
  </si>
  <si>
    <t>#SmokingbearStudio | "Smokingbear Studio"</t>
  </si>
  <si>
    <t>Developer - Kalinarm</t>
  </si>
  <si>
    <r>
      <rPr>
        <rFont val="Arial"/>
        <color rgb="FF1155CC"/>
        <u/>
      </rPr>
      <t>https://www.youtube.com/@KalinarmDev</t>
    </r>
    <r>
      <rPr>
        <rFont val="Arial"/>
      </rPr>
      <t>|</t>
    </r>
  </si>
  <si>
    <t>Developer - Nordcurrent</t>
  </si>
  <si>
    <t>#Nordcurrent | "Nordcurrent"</t>
  </si>
  <si>
    <t>Developer - Hypnohead</t>
  </si>
  <si>
    <r>
      <rPr>
        <rFont val="Arial"/>
        <color rgb="FF1155CC"/>
        <u/>
      </rPr>
      <t>https://www.youtube.com/@hypnohead449</t>
    </r>
    <r>
      <rPr>
        <rFont val="Arial"/>
      </rPr>
      <t>|</t>
    </r>
  </si>
  <si>
    <t>Developer - Arte Experience</t>
  </si>
  <si>
    <t>#ArteExperience OR "Arte Experience"</t>
  </si>
  <si>
    <t>#ArteExperience | "Arte Experience"</t>
  </si>
  <si>
    <t>Developer - WildArts Games</t>
  </si>
  <si>
    <r>
      <rPr>
        <rFont val="Arial"/>
        <color rgb="FF1155CC"/>
        <u/>
      </rPr>
      <t>https://www.youtube.com/@wildartsgames</t>
    </r>
    <r>
      <rPr>
        <rFont val="Arial"/>
      </rPr>
      <t>|</t>
    </r>
  </si>
  <si>
    <t>Developer - Brownies</t>
  </si>
  <si>
    <t>#Brownies OR "Brownies"</t>
  </si>
  <si>
    <t>#Brownies | "Brownies"</t>
  </si>
  <si>
    <t>Developer - Arbitrary Metric</t>
  </si>
  <si>
    <r>
      <rPr>
        <rFont val="Arial"/>
        <color rgb="FF1155CC"/>
        <u/>
      </rPr>
      <t>https://www.youtube.com/@ArbitraryMetric</t>
    </r>
    <r>
      <rPr>
        <rFont val="Arial"/>
      </rPr>
      <t>|</t>
    </r>
  </si>
  <si>
    <t>Developer - Meringue Interactive</t>
  </si>
  <si>
    <t>#MeringueInteractive OR "Meringue Interactive"</t>
  </si>
  <si>
    <t>#MeringueInteractive | "Meringue Interactive"</t>
  </si>
  <si>
    <t>Developer - Joseph Gribbin</t>
  </si>
  <si>
    <t>#JosephGribbin OR "Joseph Gribbin"</t>
  </si>
  <si>
    <t>#JosephGribbin | "Joseph Gribbin"</t>
  </si>
  <si>
    <t>Developer - KANAWO</t>
  </si>
  <si>
    <t>#KANAWO OR "KANAWO"</t>
  </si>
  <si>
    <t>#KANAWO | "KANAWO"</t>
  </si>
  <si>
    <t>Developer - VerenigdeProducties</t>
  </si>
  <si>
    <t>#VerenigdeProducties OR "VerenigdeProducties"</t>
  </si>
  <si>
    <t>#VerenigdeProducties | "VerenigdeProducties"</t>
  </si>
  <si>
    <t>Developer - aPriori Digital</t>
  </si>
  <si>
    <t>#aPrioriDigital | "aPriori Digital"</t>
  </si>
  <si>
    <t>Developer - TheDollarGameStore</t>
  </si>
  <si>
    <t>#TheDollarGameStore OR "TheDollarGameStore"</t>
  </si>
  <si>
    <t>#TheDollarGameStore | "TheDollarGameStore"</t>
  </si>
  <si>
    <t>Developer - Five Aces Publishing Ltd.</t>
  </si>
  <si>
    <t>#FiveAcesPublishing OR "Five Aces Publishing"</t>
  </si>
  <si>
    <t>#FiveAcesPublishing | "Five Aces Publishing"</t>
  </si>
  <si>
    <t>Developer - GuruGuru</t>
  </si>
  <si>
    <t>#GuruGuru OR "GuruGuru"</t>
  </si>
  <si>
    <t>#GuruGuru | "GuruGuru"</t>
  </si>
  <si>
    <t>Developer - 5am Games GmbH</t>
  </si>
  <si>
    <t>#5amGamesGmbH OR "5am Games GmbH"</t>
  </si>
  <si>
    <t>#5amGamesGmbH | "5am Games GmbH"</t>
  </si>
  <si>
    <t>Developer - Madlife Divertissement</t>
  </si>
  <si>
    <t>#MadlifeDivertissement OR "Madlife Divertissement"</t>
  </si>
  <si>
    <t>#MadlifeDivertissement | "Madlife Divertissement"</t>
  </si>
  <si>
    <t>Developer - OrangePixel</t>
  </si>
  <si>
    <t>#OrangePixel OR "OrangePixel"</t>
  </si>
  <si>
    <t>#OrangePixel | "OrangePixel"</t>
  </si>
  <si>
    <t>Developer - Derin</t>
  </si>
  <si>
    <t>#Derin OR "Derin"</t>
  </si>
  <si>
    <t>#Derin | "Derin"</t>
  </si>
  <si>
    <t>Developer - kaeru-san games</t>
  </si>
  <si>
    <t>#kaerusangames OR "kaeru-san games"</t>
  </si>
  <si>
    <t>#kaerusangames | "kaeru-san games"</t>
  </si>
  <si>
    <t>Developer - Spiky Zone</t>
  </si>
  <si>
    <t>#SpikyZone OR "Spiky Zone"</t>
  </si>
  <si>
    <t>#SpikyZone | "Spiky Zone"</t>
  </si>
  <si>
    <t>Developer - GAMEDIA</t>
  </si>
  <si>
    <t>#GAMEDIA OR "GAMEDIA"</t>
  </si>
  <si>
    <t>#GAMEDIA | "GAMEDIA"</t>
  </si>
  <si>
    <t>Developer - GGTECH Entertainment</t>
  </si>
  <si>
    <t>#GGTECHEntertainment OR "GGTECH Entertainment"</t>
  </si>
  <si>
    <t>#GGTECHEntertainment | "GGTECH Entertainment"</t>
  </si>
  <si>
    <t>Developer - Team ParaLily</t>
  </si>
  <si>
    <t>#TeamParaLily OR "Team ParaLily"</t>
  </si>
  <si>
    <t>#TeamParaLily | "Team ParaLily"</t>
  </si>
  <si>
    <t>Developer - Hebi Lee</t>
  </si>
  <si>
    <t>#HebiLee OR "Hebi Lee"</t>
  </si>
  <si>
    <t>#HebiLee | "Hebi Lee"</t>
  </si>
  <si>
    <t>Developer - AZAMATIKA</t>
  </si>
  <si>
    <t>#AZAMATIKA OR "AZAMATIKA"</t>
  </si>
  <si>
    <t>#AZAMATIKA | "AZAMATIKA"</t>
  </si>
  <si>
    <t>Developer - Vethergen</t>
  </si>
  <si>
    <t>#Vethergen OR "Vethergen"</t>
  </si>
  <si>
    <t>#Vethergen | "Vethergen"</t>
  </si>
  <si>
    <t>Developer - ASHGAMES</t>
  </si>
  <si>
    <t>#ASHGAMES OR "ASHGAMES"</t>
  </si>
  <si>
    <t>#ASHGAMES | "ASHGAMES"</t>
  </si>
  <si>
    <t>Developer - Manic Hyena</t>
  </si>
  <si>
    <t>#ManicHyena OR "Manic Hyena"</t>
  </si>
  <si>
    <t>#ManicHyena | "Manic Hyena"</t>
  </si>
  <si>
    <t>Developer - Cave Games</t>
  </si>
  <si>
    <t>#CaveGames OR "Cave Games"</t>
  </si>
  <si>
    <t>#CaveGames | "Cave Games"</t>
  </si>
  <si>
    <t>Developer - Pancake Games</t>
  </si>
  <si>
    <t>#PancakeGames OR "Pancake Games"</t>
  </si>
  <si>
    <t>#PancakeGames | "Pancake Games"</t>
  </si>
  <si>
    <t>Developer - Funky Can Creative</t>
  </si>
  <si>
    <t>#FunkyCanCreative OR "Funky Can Creative"</t>
  </si>
  <si>
    <t>#FunkyCanCreative | "Funky Can Creative"</t>
  </si>
  <si>
    <t>Developer - LLC KURENTER</t>
  </si>
  <si>
    <t>#LLCKURENTER OR "LLC KURENTER"</t>
  </si>
  <si>
    <t>#LLCKURENTER | "LLC KURENTER"</t>
  </si>
  <si>
    <t>Developer - Baby Corp</t>
  </si>
  <si>
    <t>#Babyrp OR "Babyrp"</t>
  </si>
  <si>
    <t>#Babyrp | "Babyrp"</t>
  </si>
  <si>
    <t>Developer - Forust</t>
  </si>
  <si>
    <t>#Forust OR "Forust"</t>
  </si>
  <si>
    <t>#Forust | "Forust"</t>
  </si>
  <si>
    <t>Developer - P2 Entertainment</t>
  </si>
  <si>
    <t>#P2Entertainment OR "P2 Entertainment"</t>
  </si>
  <si>
    <t>#P2Entertainment | "P2 Entertainment"</t>
  </si>
  <si>
    <t>Developer - WOWWOW Technology</t>
  </si>
  <si>
    <t>#WOWWOWTechnology OR "WOWWOW Technology"</t>
  </si>
  <si>
    <t>#WOWWOWTechnology | "WOWWOW Technology"</t>
  </si>
  <si>
    <t>Developer - Heavy Sheep</t>
  </si>
  <si>
    <t>#HeavySheep OR "Heavy Sheep"</t>
  </si>
  <si>
    <t>#HeavySheep | "Heavy Sheep"</t>
  </si>
  <si>
    <t>Developer - Creative Hand</t>
  </si>
  <si>
    <t>#CreativeHand OR "Creative Hand"</t>
  </si>
  <si>
    <t>#CreativeHand | "Creative Hand"</t>
  </si>
  <si>
    <t>Developer - Game Museum</t>
  </si>
  <si>
    <t>#GameMuseum OR "Game Museum"</t>
  </si>
  <si>
    <t>#GameMuseum | "Game Museum"</t>
  </si>
  <si>
    <t>Developer - VDimension</t>
  </si>
  <si>
    <t>#VDimension OR "VDimension"</t>
  </si>
  <si>
    <t>#VDimension | "VDimension"</t>
  </si>
  <si>
    <t>Developer - RockGame</t>
  </si>
  <si>
    <t>#RockGame OR "RockGame"</t>
  </si>
  <si>
    <t>#RockGame | "RockGame"</t>
  </si>
  <si>
    <t>Developer - TapNice</t>
  </si>
  <si>
    <t>#TapNice OR "TapNice"</t>
  </si>
  <si>
    <t>#TapNice | "TapNice"</t>
  </si>
  <si>
    <t>Developer - Fellhuhn</t>
  </si>
  <si>
    <t>#Fellhuhn OR "Fellhuhn"</t>
  </si>
  <si>
    <t>#Fellhuhn | "Fellhuhn"</t>
  </si>
  <si>
    <t>Developer - Polygon Dust Entertainment</t>
  </si>
  <si>
    <t>#PolygonDustEntertainment OR "Polygon Dust Entertainment"</t>
  </si>
  <si>
    <t>#PolygonDustEntertainment | "Polygon Dust Entertainment"</t>
  </si>
  <si>
    <t>Developer - Asobism</t>
  </si>
  <si>
    <t>#Asobism OR "Asobism"</t>
  </si>
  <si>
    <t>#Asobism | "Asobism"</t>
  </si>
  <si>
    <t>Developer - WhileOne Productions</t>
  </si>
  <si>
    <t>#WhileOneProductions OR "WhileOne Productions"</t>
  </si>
  <si>
    <t>#WhileOneProductions | "WhileOne Productions"</t>
  </si>
  <si>
    <t>Developer - Sasuke Shimoyama</t>
  </si>
  <si>
    <t>#SasukeShimoyama OR "Sasuke Shimoyama"</t>
  </si>
  <si>
    <t>#SasukeShimoyama | "Sasuke Shimoyama"</t>
  </si>
  <si>
    <t>Developer - Colossus Game Studio</t>
  </si>
  <si>
    <t>#ColossusGameStudio OR "Colossus Game Studio"</t>
  </si>
  <si>
    <t>#ColossusGameStudio | "Colossus Game Studio"</t>
  </si>
  <si>
    <t>Developer - Frany Games</t>
  </si>
  <si>
    <t>#FranyGames OR "Frany Games"</t>
  </si>
  <si>
    <t>#FranyGames | "Frany Games"</t>
  </si>
  <si>
    <t>Developer - MEGAXUS</t>
  </si>
  <si>
    <t>#MEGAXUS OR "MEGAXUS"</t>
  </si>
  <si>
    <t>#MEGAXUS | "MEGAXUS"</t>
  </si>
  <si>
    <t>Developer - Run-Down Games</t>
  </si>
  <si>
    <t>#RunDownGames OR "Run-Down Games"</t>
  </si>
  <si>
    <t>#RunDownGames | "Run-Down Games"</t>
  </si>
  <si>
    <t>Developer - Andreev</t>
  </si>
  <si>
    <t>#Andreev OR "Andreev"</t>
  </si>
  <si>
    <t>#Andreev | "Andreev"</t>
  </si>
  <si>
    <t>Developer - IndieRevo</t>
  </si>
  <si>
    <t>#IndieRevo OR "IndieRevo"</t>
  </si>
  <si>
    <t>#IndieRevo | "IndieRevo"</t>
  </si>
  <si>
    <t>Developer - Northplay ApS</t>
  </si>
  <si>
    <t>#NorthplayApS OR "Northplay ApS"</t>
  </si>
  <si>
    <t>#NorthplayApS | "Northplay ApS"</t>
  </si>
  <si>
    <t>Developer - Pipetka Games</t>
  </si>
  <si>
    <t>#PipetkaGames OR "Pipetka Games"</t>
  </si>
  <si>
    <t>#PipetkaGames | "Pipetka Games"</t>
  </si>
  <si>
    <t>Developer - gamebra.in</t>
  </si>
  <si>
    <t>#gamebrain OR "gamebrain"</t>
  </si>
  <si>
    <t>#gamebrain | "gamebrain"</t>
  </si>
  <si>
    <t>Developer - Wizard Games</t>
  </si>
  <si>
    <t>#WizardGames OR "Wizard Games"</t>
  </si>
  <si>
    <t>#WizardGames | "Wizard Games"</t>
  </si>
  <si>
    <t>Developer - WhisperGames</t>
  </si>
  <si>
    <t>#WhisperGames OR "WhisperGames"</t>
  </si>
  <si>
    <t>#WhisperGames | "WhisperGames"</t>
  </si>
  <si>
    <t>Developer - StudioGIW</t>
  </si>
  <si>
    <t>#StudioGIW OR "StudioGIW"</t>
  </si>
  <si>
    <t>#StudioGIW | "StudioGIW"</t>
  </si>
  <si>
    <t>Developer - Tin Man Games</t>
  </si>
  <si>
    <t>#TinManGames | "Tin Man Games"</t>
  </si>
  <si>
    <t>Developer - magicdweedoo</t>
  </si>
  <si>
    <t>#magicdweedoo OR "magicdweedoo"</t>
  </si>
  <si>
    <t>#magicdweedoo | "magicdweedoo"</t>
  </si>
  <si>
    <t>Developer - RS34</t>
  </si>
  <si>
    <t>#RS34 OR "RS34"</t>
  </si>
  <si>
    <t>#RS34 | "RS34"</t>
  </si>
  <si>
    <t>Developer - Jupiter Corporation</t>
  </si>
  <si>
    <t>#Jupiterrporation OR "Jupiterrporation"</t>
  </si>
  <si>
    <t>#Jupiterrporation | "Jupiterrporation"</t>
  </si>
  <si>
    <t>Developer - You Run Ltd</t>
  </si>
  <si>
    <t>#YouRun OR "You Run"</t>
  </si>
  <si>
    <t>#YouRun | "You Run"</t>
  </si>
  <si>
    <t>Developer - One Gruel Studio</t>
  </si>
  <si>
    <t>#OneGruelStudio OR "One Gruel Studio"</t>
  </si>
  <si>
    <t>#OneGruelStudio | "One Gruel Studio"</t>
  </si>
  <si>
    <t>Developer - Team Samoyed</t>
  </si>
  <si>
    <t>#TeamSamoyed OR "Team Samoyed"</t>
  </si>
  <si>
    <t>#TeamSamoyed | "Team Samoyed"</t>
  </si>
  <si>
    <t>Developer - Cat-astrophe Games</t>
  </si>
  <si>
    <t>#CatastropheGames OR "Cat-astrophe Games"</t>
  </si>
  <si>
    <t>#CatastropheGames | "Cat-astrophe Games"</t>
  </si>
  <si>
    <t>Developer - Galip Kartoglu</t>
  </si>
  <si>
    <t>#GalipKartoglu OR "Galip Kartoglu"</t>
  </si>
  <si>
    <t>#GalipKartoglu | "Galip Kartoglu"</t>
  </si>
  <si>
    <t>Developer - BottleCube Inc.</t>
  </si>
  <si>
    <t>#BottleCubeInc OR "BottleCube Inc"</t>
  </si>
  <si>
    <t>#BottleCubeInc | "BottleCube Inc"</t>
  </si>
  <si>
    <t>Developer - Galdra Studios</t>
  </si>
  <si>
    <t>#GaldraStudios OR "Galdra Studios"</t>
  </si>
  <si>
    <t>#GaldraStudios | "Galdra Studios"</t>
  </si>
  <si>
    <t>Developer - Bearded Brothers Games</t>
  </si>
  <si>
    <t>#BeardedBrothersGames OR "Bearded Brothers Games"</t>
  </si>
  <si>
    <t>#BeardedBrothersGames | "Bearded Brothers Games"</t>
  </si>
  <si>
    <t>Developer - BRUTE FORCE</t>
  </si>
  <si>
    <t>#BRUTEFORCE OR "BRUTE FORCE"</t>
  </si>
  <si>
    <t>#BRUTEFORCE | "BRUTE FORCE"</t>
  </si>
  <si>
    <t>Developer - CC Games</t>
  </si>
  <si>
    <t>#CCGames OR "CC Games"</t>
  </si>
  <si>
    <t>#CCGames | "CC Games"</t>
  </si>
  <si>
    <t>Developer - 4WayStudio</t>
  </si>
  <si>
    <t>#4WayStudio OR "4WayStudio"</t>
  </si>
  <si>
    <t>#4WayStudio | "4WayStudio"</t>
  </si>
  <si>
    <t>Developer - Omni Systems</t>
  </si>
  <si>
    <t>#OmniSystems OR "Omni Systems"</t>
  </si>
  <si>
    <t>#OmniSystems | "Omni Systems"</t>
  </si>
  <si>
    <t>Developer - Retro Team</t>
  </si>
  <si>
    <t>#RetroTeam OR "Retro Team"</t>
  </si>
  <si>
    <t>#RetroTeam | "Retro Team"</t>
  </si>
  <si>
    <t>Developer - Onteca</t>
  </si>
  <si>
    <t>#Onteca | "Onteca"</t>
  </si>
  <si>
    <t>Developer - Starsign</t>
  </si>
  <si>
    <t>#Starsign OR "Starsign"</t>
  </si>
  <si>
    <t>#Starsign | "Starsign"</t>
  </si>
  <si>
    <t>Developer - DoToRis</t>
  </si>
  <si>
    <t>#DoToRis OR "DoToRis"</t>
  </si>
  <si>
    <t>#DoToRis | "DoToRis"</t>
  </si>
  <si>
    <t>Developer - Aesir Interactive</t>
  </si>
  <si>
    <t>#AesirInteractive OR "Aesir Interactive"</t>
  </si>
  <si>
    <t>#AesirInteractive | "Aesir Interactive"</t>
  </si>
  <si>
    <t>Developer - SmileBoom</t>
  </si>
  <si>
    <t>#SmileBoom OR "SmileBoom"</t>
  </si>
  <si>
    <t>#SmileBoom | "SmileBoom"</t>
  </si>
  <si>
    <t>Developer - Glasscannon Studio</t>
  </si>
  <si>
    <t>#GlasscannonStudio OR "Glasscannon Studio"</t>
  </si>
  <si>
    <t>#GlasscannonStudio | "Glasscannon Studio"</t>
  </si>
  <si>
    <t>Developer - Denda Games</t>
  </si>
  <si>
    <t>#DendaGames OR "Denda Games"</t>
  </si>
  <si>
    <t>#DendaGames | "Denda Games"</t>
  </si>
  <si>
    <t>Developer - D-Lo Games</t>
  </si>
  <si>
    <t>#DLoGames OR "D-Lo Games"</t>
  </si>
  <si>
    <t>#DLoGames | "D-Lo Games"</t>
  </si>
  <si>
    <t>Developer - Willams</t>
  </si>
  <si>
    <t>#Willams OR "Willams"</t>
  </si>
  <si>
    <t>#Willams | "Willams"</t>
  </si>
  <si>
    <t>Developer - dramatic create</t>
  </si>
  <si>
    <t>#dramaticcreate OR "dramatic create"</t>
  </si>
  <si>
    <t>#dramaticcreate | "dramatic create"</t>
  </si>
  <si>
    <t>Developer - Neon2</t>
  </si>
  <si>
    <t>#Neon2 OR "Neon2"</t>
  </si>
  <si>
    <t>#Neon2 | "Neon2"</t>
  </si>
  <si>
    <t>Developer - Chemical Pudding</t>
  </si>
  <si>
    <t>#ChemicalPudding OR "Chemical Pudding"</t>
  </si>
  <si>
    <t>#ChemicalPudding | "Chemical Pudding"</t>
  </si>
  <si>
    <t>Developer - maJAJa</t>
  </si>
  <si>
    <t>#maJAJa OR "maJAJa"</t>
  </si>
  <si>
    <t>#maJAJa | "maJAJa"</t>
  </si>
  <si>
    <t>Developer - Oink Games Inc.</t>
  </si>
  <si>
    <t>#OinkGamesInc OR "Oink Games Inc"</t>
  </si>
  <si>
    <t>#OinkGamesInc | "Oink Games Inc"</t>
  </si>
  <si>
    <t>Developer - Urnique Studio</t>
  </si>
  <si>
    <t>#UrniqueStudio OR "Urnique Studio"</t>
  </si>
  <si>
    <t>#UrniqueStudio | "Urnique Studio"</t>
  </si>
  <si>
    <t>Developer - Four Quarters</t>
  </si>
  <si>
    <t>#FourQuarters OR "Four Quarters"</t>
  </si>
  <si>
    <t>#FourQuarters | "Four Quarters"</t>
  </si>
  <si>
    <t>Developer - Kyuushoku Touban</t>
  </si>
  <si>
    <t>#KyuushokuTouban OR "Kyuushoku Touban"</t>
  </si>
  <si>
    <t>#KyuushokuTouban | "Kyuushoku Touban"</t>
  </si>
  <si>
    <t>Developer - Indie Team</t>
  </si>
  <si>
    <t>#IndieTeam OR "Indie Team"</t>
  </si>
  <si>
    <t>#IndieTeam | "Indie Team"</t>
  </si>
  <si>
    <t>Developer - Aksys Games</t>
  </si>
  <si>
    <t>#AksysGames | "Aksys Games"</t>
  </si>
  <si>
    <t>Developer - AOE Plus</t>
  </si>
  <si>
    <t>#AOEPlus OR "AOE Plus"</t>
  </si>
  <si>
    <t>#AOEPlus | "AOE Plus"</t>
  </si>
  <si>
    <t>Developer - NunoVicenteBarreto</t>
  </si>
  <si>
    <t>#NunoVicenteBarreto OR "NunoVicenteBarreto"</t>
  </si>
  <si>
    <t>#NunoVicenteBarreto | "NunoVicenteBarreto"</t>
  </si>
  <si>
    <t>Developer - AUSCODERS</t>
  </si>
  <si>
    <t>#AUSCODERS OR "AUSCODERS"</t>
  </si>
  <si>
    <t>#AUSCODERS | "AUSCODERS"</t>
  </si>
  <si>
    <t>Developer - Vivid Games</t>
  </si>
  <si>
    <t>#VividGames OR "Vivid Games"</t>
  </si>
  <si>
    <t>#VividGames | "Vivid Games"</t>
  </si>
  <si>
    <t>Developer - Deonn Software ltd.</t>
  </si>
  <si>
    <t>#DeonnSoftware OR "Deonn Software"</t>
  </si>
  <si>
    <t>#DeonnSoftware | "Deonn Software"</t>
  </si>
  <si>
    <t>Developer - Voltage</t>
  </si>
  <si>
    <t>#Voltage OR "Voltage"</t>
  </si>
  <si>
    <t>#Voltage | "Voltage"</t>
  </si>
  <si>
    <t>Developer - Cool Small Games</t>
  </si>
  <si>
    <t>#CoolSmallGames OR "Cool Small Games"</t>
  </si>
  <si>
    <t>#CoolSmallGames | "Cool Small Games"</t>
  </si>
  <si>
    <t>Developer - Limkernel</t>
  </si>
  <si>
    <t>#Limkernel OR "Limkernel"</t>
  </si>
  <si>
    <t>#Limkernel | "Limkernel"</t>
  </si>
  <si>
    <t>Developer - Crisp App Studio</t>
  </si>
  <si>
    <t>#CrispAppStudio OR "Crisp App Studio"</t>
  </si>
  <si>
    <t>#CrispAppStudio | "Crisp App Studio"</t>
  </si>
  <si>
    <t>Developer - BatFields</t>
  </si>
  <si>
    <t>#BatFields OR "BatFields"</t>
  </si>
  <si>
    <t>#BatFields | "BatFields"</t>
  </si>
  <si>
    <t>Developer - Tavrox Games</t>
  </si>
  <si>
    <t>#TavroxGames OR "Tavrox Games"</t>
  </si>
  <si>
    <t>#TavroxGames | "Tavrox Games"</t>
  </si>
  <si>
    <t>Developer - Atlus</t>
  </si>
  <si>
    <t>#Atlus | "Atlus"</t>
  </si>
  <si>
    <t>Developer - Limit Break</t>
  </si>
  <si>
    <t>#LimitBreak OR "Limit Break"</t>
  </si>
  <si>
    <t>#LimitBreak | "Limit Break"</t>
  </si>
  <si>
    <t>Developer - Cube Games</t>
  </si>
  <si>
    <t>#CubeGames OR "Cube Games"</t>
  </si>
  <si>
    <t>#CubeGames | "Cube Games"</t>
  </si>
  <si>
    <t>Developer - Nippon Columbia</t>
  </si>
  <si>
    <t>#Nipponlumbia OR "Nipponlumbia"</t>
  </si>
  <si>
    <t>#Nipponlumbia | "Nipponlumbia"</t>
  </si>
  <si>
    <t>Developer - Quantum Peaks</t>
  </si>
  <si>
    <t>#QuantumPeaks OR "Quantum Peaks"</t>
  </si>
  <si>
    <t>#QuantumPeaks | "Quantum Peaks"</t>
  </si>
  <si>
    <t>Developer - Gift Ten</t>
  </si>
  <si>
    <t>#GiftTen OR "Gift Ten"</t>
  </si>
  <si>
    <t>#GiftTen | "Gift Ten"</t>
  </si>
  <si>
    <t>Developer - Mediascape</t>
  </si>
  <si>
    <t>#Mediascape | "Mediascape"</t>
  </si>
  <si>
    <t>Developer - Tero Lunkka</t>
  </si>
  <si>
    <t>#TeroLunkka OR "Tero Lunkka"</t>
  </si>
  <si>
    <t>#TeroLunkka | "Tero Lunkka"</t>
  </si>
  <si>
    <t>Developer - BERGAMES</t>
  </si>
  <si>
    <t>#BERGAMES OR "BERGAMES"</t>
  </si>
  <si>
    <t>#BERGAMES | "BERGAMES"</t>
  </si>
  <si>
    <t>Developer - ZeptoLab UK</t>
  </si>
  <si>
    <t>#ZeptoLabUK OR "ZeptoLab UK"</t>
  </si>
  <si>
    <t>#ZeptoLabUK | "ZeptoLab UK"</t>
  </si>
  <si>
    <t>Developer - The Bitfather</t>
  </si>
  <si>
    <t>#TheBitfather OR "The Bitfather"</t>
  </si>
  <si>
    <t>#TheBitfather | "The Bitfather"</t>
  </si>
  <si>
    <t>Developer - Flynn's Arcade</t>
  </si>
  <si>
    <t>#FlynnsArcade OR "Flynn's Arcade"</t>
  </si>
  <si>
    <t>#FlynnsArcade | "Flynn's Arcade"</t>
  </si>
  <si>
    <t>Developer - ARTIFACTS</t>
  </si>
  <si>
    <t>#ARTIFACTS OR "ARTIFACTS"</t>
  </si>
  <si>
    <t>#ARTIFACTS | "ARTIFACTS"</t>
  </si>
  <si>
    <t>Developer - OPTILLUSION</t>
  </si>
  <si>
    <t>#OPTILLUSION OR "OPTILLUSION"</t>
  </si>
  <si>
    <t>#OPTILLUSION | "OPTILLUSION"</t>
  </si>
  <si>
    <t>Developer - Neon Doctrine</t>
  </si>
  <si>
    <t>#NeonDoctrine | "Neon Doctrine"</t>
  </si>
  <si>
    <t>Developer - Raskal Games</t>
  </si>
  <si>
    <t>#RaskalGames OR "Raskal Games"</t>
  </si>
  <si>
    <t>#RaskalGames | "Raskal Games"</t>
  </si>
  <si>
    <t>Developer - Creazn</t>
  </si>
  <si>
    <t>#Creazn OR "Creazn"</t>
  </si>
  <si>
    <t>#Creazn | "Creazn"</t>
  </si>
  <si>
    <t>Developer - Clifftop Games</t>
  </si>
  <si>
    <t>#ClifftopGames OR "Clifftop Games"</t>
  </si>
  <si>
    <t>#ClifftopGames | "Clifftop Games"</t>
  </si>
  <si>
    <t>Developer - Rough Cyber Humans</t>
  </si>
  <si>
    <t>#RoughCyberHumans OR "Rough Cyber Humans"</t>
  </si>
  <si>
    <t>#RoughCyberHumans | "Rough Cyber Humans"</t>
  </si>
  <si>
    <t>Developer - New Blood Interactive</t>
  </si>
  <si>
    <t>#NewBloodInteractive | "New Blood Interactive"</t>
  </si>
  <si>
    <t>Developer - ToastieLabs</t>
  </si>
  <si>
    <t>#ToastieLabs OR "ToastieLabs"</t>
  </si>
  <si>
    <t>#ToastieLabs | "ToastieLabs"</t>
  </si>
  <si>
    <t>Developer - OnFire Games</t>
  </si>
  <si>
    <t>#OnFireGames OR "OnFire Games"</t>
  </si>
  <si>
    <t>#OnFireGames | "OnFire Games"</t>
  </si>
  <si>
    <t>Developer - Unbalance</t>
  </si>
  <si>
    <t>#Unbalance OR "Unbalance"</t>
  </si>
  <si>
    <t>#Unbalance | "Unbalance"</t>
  </si>
  <si>
    <t>Developer - Masatoko Games</t>
  </si>
  <si>
    <t>#MasatokoGames OR "Masatoko Games"</t>
  </si>
  <si>
    <t>#MasatokoGames | "Masatoko Games"</t>
  </si>
  <si>
    <t>Developer - Happymagenta</t>
  </si>
  <si>
    <t>#Happymagenta OR "Happymagenta"</t>
  </si>
  <si>
    <t>#Happymagenta | "Happymagenta"</t>
  </si>
  <si>
    <t>Developer - KazukiShiroma</t>
  </si>
  <si>
    <t>#KazukiShiroma OR "KazukiShiroma"</t>
  </si>
  <si>
    <t>#KazukiShiroma | "KazukiShiroma"</t>
  </si>
  <si>
    <t>Developer - Plitka Games</t>
  </si>
  <si>
    <t>#PlitkaGames OR "Plitka Games"</t>
  </si>
  <si>
    <t>#PlitkaGames | "Plitka Games"</t>
  </si>
  <si>
    <t>Developer - FEED</t>
  </si>
  <si>
    <t>#FEED OR "FEED"</t>
  </si>
  <si>
    <t>#FEED | "FEED"</t>
  </si>
  <si>
    <t>Developer - Affility</t>
  </si>
  <si>
    <t>#Affility OR "Affility"</t>
  </si>
  <si>
    <t>#Affility | "Affility"</t>
  </si>
  <si>
    <t>Developer - PERZIUR</t>
  </si>
  <si>
    <t>#PERZIUR OR "PERZIUR"</t>
  </si>
  <si>
    <t>#PERZIUR | "PERZIUR"</t>
  </si>
  <si>
    <t>Developer - WISTONE ENTERTAINMENT</t>
  </si>
  <si>
    <t>#WISTONEENTERTAINMENT OR "WISTONE ENTERTAINMENT"</t>
  </si>
  <si>
    <t>#WISTONEENTERTAINMENT | "WISTONE ENTERTAINMENT"</t>
  </si>
  <si>
    <t>Developer - FreakZone</t>
  </si>
  <si>
    <t>#FreakZone OR "FreakZone"</t>
  </si>
  <si>
    <t>#FreakZone | "FreakZone"</t>
  </si>
  <si>
    <t>Developer - Mousetrap Games</t>
  </si>
  <si>
    <t>#MousetrapGames OR "Mousetrap Games"</t>
  </si>
  <si>
    <t>#MousetrapGames | "Mousetrap Games"</t>
  </si>
  <si>
    <t>Developer - Grey Alien Games</t>
  </si>
  <si>
    <t>#GreyAlienGames OR "Grey Alien Games"</t>
  </si>
  <si>
    <t>#GreyAlienGames | "Grey Alien Games"</t>
  </si>
  <si>
    <t>Developer - Vidas Games</t>
  </si>
  <si>
    <t>#VidasGames OR "Vidas Games"</t>
  </si>
  <si>
    <t>#VidasGames | "Vidas Games"</t>
  </si>
  <si>
    <t>Developer - Tayanna Studios</t>
  </si>
  <si>
    <t>#TayannaStudios OR "Tayanna Studios"</t>
  </si>
  <si>
    <t>#TayannaStudios | "Tayanna Studios"</t>
  </si>
  <si>
    <t>Developer - BeMenGo</t>
  </si>
  <si>
    <t>#BeMenGo OR "BeMenGo"</t>
  </si>
  <si>
    <t>#BeMenGo | "BeMenGo"</t>
  </si>
  <si>
    <t>Developer - ButtonX</t>
  </si>
  <si>
    <t>#ButtonX OR "ButtonX"</t>
  </si>
  <si>
    <t>#ButtonX | "ButtonX"</t>
  </si>
  <si>
    <t>Developer - 2054 Games</t>
  </si>
  <si>
    <t>#2054Games OR "2054 Games"</t>
  </si>
  <si>
    <t>#2054Games | "2054 Games"</t>
  </si>
  <si>
    <t>Developer - Baseline Games</t>
  </si>
  <si>
    <t>#BaselineGames OR "Baseline Games"</t>
  </si>
  <si>
    <t>#BaselineGames | "Baseline Games"</t>
  </si>
  <si>
    <t>Developer - Okidokico</t>
  </si>
  <si>
    <t>#Okidokico OR "Okidokico"</t>
  </si>
  <si>
    <t>#Okidokico | "Okidokico"</t>
  </si>
  <si>
    <t>Developer - Digital Crafter</t>
  </si>
  <si>
    <t>#DigitalCrafter | "Digital Crafter"</t>
  </si>
  <si>
    <t>Developer - One Hand Free Studios</t>
  </si>
  <si>
    <t>#OneHandFreeStudios OR "One Hand Free Studios"</t>
  </si>
  <si>
    <t>#OneHandFreeStudios | "One Hand Free Studios"</t>
  </si>
  <si>
    <t>Developer - DYA Games</t>
  </si>
  <si>
    <t>#DYAGames OR "DYA Games"</t>
  </si>
  <si>
    <t>#DYAGames | "DYA Games"</t>
  </si>
  <si>
    <t>Developer - Studio Somewhere</t>
  </si>
  <si>
    <t>#StudioSomewhere OR "Studio Somewhere"</t>
  </si>
  <si>
    <t>#StudioSomewhere | "Studio Somewhere"</t>
  </si>
  <si>
    <t>Developer - HitGames Studio</t>
  </si>
  <si>
    <t>#HitGamesStudio OR "HitGames Studio"</t>
  </si>
  <si>
    <t>#HitGamesStudio | "HitGames Studio"</t>
  </si>
  <si>
    <t>Developer - Bloom Mushroom</t>
  </si>
  <si>
    <t>#BloomMushroom OR "Bloom Mushroom"</t>
  </si>
  <si>
    <t>#BloomMushroom | "Bloom Mushroom"</t>
  </si>
  <si>
    <t>Developer - Glimmer Studio</t>
  </si>
  <si>
    <t>#GlimmerStudio OR "Glimmer Studio"</t>
  </si>
  <si>
    <t>#GlimmerStudio | "Glimmer Studio"</t>
  </si>
  <si>
    <t>Developer - Pixelian Studio</t>
  </si>
  <si>
    <t>#PixelianStudio OR "Pixelian Studio"</t>
  </si>
  <si>
    <t>#PixelianStudio | "Pixelian Studio"</t>
  </si>
  <si>
    <t>Developer - White Smoke Games</t>
  </si>
  <si>
    <t>#WhiteSmokeGames OR "White Smoke Games"</t>
  </si>
  <si>
    <t>#WhiteSmokeGames | "White Smoke Games"</t>
  </si>
  <si>
    <t>Developer - Smallrave Entertainment</t>
  </si>
  <si>
    <t>#SmallraveEntertainment OR "Smallrave Entertainment"</t>
  </si>
  <si>
    <t>#SmallraveEntertainment | "Smallrave Entertainment"</t>
  </si>
  <si>
    <t>Developer - dev4play</t>
  </si>
  <si>
    <t>#dev4play OR "dev4play"</t>
  </si>
  <si>
    <t>#dev4play | "dev4play"</t>
  </si>
  <si>
    <t>Developer - Rock Square Thunder</t>
  </si>
  <si>
    <t>#RockSquareThunder OR "Rock Square Thunder"</t>
  </si>
  <si>
    <t>#RockSquareThunder | "Rock Square Thunder"</t>
  </si>
  <si>
    <t>Developer - GetAGame</t>
  </si>
  <si>
    <t>#GetAGame OR "GetAGame"</t>
  </si>
  <si>
    <t>#GetAGame | "GetAGame"</t>
  </si>
  <si>
    <t>Developer - Softstar Technology (Beijing) Co.,Ltd</t>
  </si>
  <si>
    <t>#SoftstarTechnologyBeijing OR "Softstar Technology Beijing"</t>
  </si>
  <si>
    <t>#SoftstarTechnologyBeijing | "Softstar Technology Beijing"</t>
  </si>
  <si>
    <t>Developer - GAGEX Co.,Ltd.</t>
  </si>
  <si>
    <t>#GAGEX OR "GAGEX"</t>
  </si>
  <si>
    <t>#GAGEX | "GAGEX"</t>
  </si>
  <si>
    <t>Developer - Silesia Games</t>
  </si>
  <si>
    <t>#SilesiaGames OR "Silesia Games"</t>
  </si>
  <si>
    <t>#SilesiaGames | "Silesia Games"</t>
  </si>
  <si>
    <t>Developer - Asylum Square Interactive</t>
  </si>
  <si>
    <t>#AsylumSquareInteractive OR "Asylum Square Interactive"</t>
  </si>
  <si>
    <t>#AsylumSquareInteractive | "Asylum Square Interactive"</t>
  </si>
  <si>
    <t>Developer - iMel</t>
  </si>
  <si>
    <t>#iMel OR "iMel"</t>
  </si>
  <si>
    <t>#iMel | "iMel"</t>
  </si>
  <si>
    <t>Developer - D3Publisher</t>
  </si>
  <si>
    <t>#D3Publisher | "D3Publisher"</t>
  </si>
  <si>
    <t>Developer - Megame</t>
  </si>
  <si>
    <t>#Megame OR "Megame"</t>
  </si>
  <si>
    <t>#Megame | "Megame"</t>
  </si>
  <si>
    <t>Developer - HAL Labs</t>
  </si>
  <si>
    <t>#HALLabs OR "HAL Labs"</t>
  </si>
  <si>
    <t>#HALLabs | "HAL Labs"</t>
  </si>
  <si>
    <t>Developer - Edia Co.</t>
  </si>
  <si>
    <t>#Edia OR "Edia"</t>
  </si>
  <si>
    <t>#Edia | "Edia"</t>
  </si>
  <si>
    <t>Developer - Mens Sana Interactive</t>
  </si>
  <si>
    <t>#MensSanaInteractive OR "Mens Sana Interactive"</t>
  </si>
  <si>
    <t>#MensSanaInteractive | "Mens Sana Interactive"</t>
  </si>
  <si>
    <t>Developer - FIVE-BN STUDIO</t>
  </si>
  <si>
    <t>#FIVEBNSTUDIO OR "FIVE-BN STUDIO"</t>
  </si>
  <si>
    <t>#FIVEBNSTUDIO | "FIVE-BN STUDIO"</t>
  </si>
  <si>
    <t>Developer - TeamSuneat</t>
  </si>
  <si>
    <t>#TeamSuneat OR TeamSuneat</t>
  </si>
  <si>
    <t>#TeamSuneat | TeamSuneat</t>
  </si>
  <si>
    <t>Developer - Ycjy Games</t>
  </si>
  <si>
    <t>#YcjyGames OR "Ycjy Games"</t>
  </si>
  <si>
    <t>#YcjyGames | "Ycjy Games"</t>
  </si>
  <si>
    <t>Developer - Acme Gamestudio</t>
  </si>
  <si>
    <t>#AcmeGamestudio OR "Acme Gamestudio"</t>
  </si>
  <si>
    <t>#AcmeGamestudio | "Acme Gamestudio"</t>
  </si>
  <si>
    <t>Developer - Polycrunch Games</t>
  </si>
  <si>
    <t>#PolycrunchGames OR "Polycrunch Games"</t>
  </si>
  <si>
    <t>#PolycrunchGames | "Polycrunch Games"</t>
  </si>
  <si>
    <t>Developer - T Ngineers</t>
  </si>
  <si>
    <t>#TNgineers OR "T Ngineers"</t>
  </si>
  <si>
    <t>#TNgineers | "T Ngineers"</t>
  </si>
  <si>
    <t>Developer - Klovako S.R.O</t>
  </si>
  <si>
    <t>#KlovakoSRO OR "Klovako S.R.O"</t>
  </si>
  <si>
    <t>#KlovakoSRO | "Klovako S.R.O"</t>
  </si>
  <si>
    <t>Developer - Masshive Media</t>
  </si>
  <si>
    <t>#MasshiveMedia OR "Masshive Media"</t>
  </si>
  <si>
    <t>#MasshiveMedia | "Masshive Media"</t>
  </si>
  <si>
    <t>Developer - Thirdsphere Game</t>
  </si>
  <si>
    <t>#ThirdsphereGame OR "Thirdsphere Game"</t>
  </si>
  <si>
    <t>#ThirdsphereGame | "Thirdsphere Game"</t>
  </si>
  <si>
    <t>Developer - Abylight</t>
  </si>
  <si>
    <t>#Abylight | "Abylight"</t>
  </si>
  <si>
    <t>Developer - Simteract</t>
  </si>
  <si>
    <t>#Simteract OR "Simteract"</t>
  </si>
  <si>
    <t>#Simteract | "Simteract"</t>
  </si>
  <si>
    <t>Developer - Black Mermaid</t>
  </si>
  <si>
    <t>#BlackMermaid OR "Black Mermaid"</t>
  </si>
  <si>
    <t>#BlackMermaid | "Black Mermaid"</t>
  </si>
  <si>
    <t>Developer - Cozy Bee Games</t>
  </si>
  <si>
    <t>#CozyBeeGames OR "Cozy Bee Games"</t>
  </si>
  <si>
    <t>Developer - Badri Bebua</t>
  </si>
  <si>
    <t>#CozyBeeGames | "Cozy Bee Games"</t>
  </si>
  <si>
    <t>Developer - fsix games</t>
  </si>
  <si>
    <t>#fsixgames OR "fsix games"</t>
  </si>
  <si>
    <t>#BadriBebua | "Badri Bebua"</t>
  </si>
  <si>
    <t>Developer - Game Achievements Ltd</t>
  </si>
  <si>
    <t>#GameAchievements OR "Game Achievements"</t>
  </si>
  <si>
    <t>#fsixgames | "fsix games"</t>
  </si>
  <si>
    <t>Developer - Xaloc studios</t>
  </si>
  <si>
    <t>#Xalocstudios OR "Xaloc studios"</t>
  </si>
  <si>
    <t>#GameAchievements | "Game Achievements"</t>
  </si>
  <si>
    <t>Developer - Male Doll</t>
  </si>
  <si>
    <t>#MaleDoll OR "Male Doll"</t>
  </si>
  <si>
    <t>#Xalocstudios | "Xaloc studios"</t>
  </si>
  <si>
    <t>Developer - Pixel Heart Studios</t>
  </si>
  <si>
    <t>#PixelHeartStudios OR "Pixel Heart Studios"</t>
  </si>
  <si>
    <t>#MaleDoll | "Male Doll"</t>
  </si>
  <si>
    <t>Developer - Gusarapo Games</t>
  </si>
  <si>
    <t>#GusarapoGames OR "Gusarapo Games"</t>
  </si>
  <si>
    <t>#PixelHeartStudios | "Pixel Heart Studios"</t>
  </si>
  <si>
    <t>Developer - Morningstar Game Studios</t>
  </si>
  <si>
    <t>#MorningstarGame OR "Morningstar Game Studios"</t>
  </si>
  <si>
    <t>#GusarapoGames | "Gusarapo Games"</t>
  </si>
  <si>
    <t>Developer - Hup Games</t>
  </si>
  <si>
    <t>#HupGames OR "Hup Games"</t>
  </si>
  <si>
    <t>#MorningstarGame | "Morningstar Game Studios"</t>
  </si>
  <si>
    <t>Developer - Wonder scope</t>
  </si>
  <si>
    <t>#Wonderscope OR "Wonder scope"</t>
  </si>
  <si>
    <t>#HupGames | "Hup Games"</t>
  </si>
  <si>
    <t>Developer - NeverJam</t>
  </si>
  <si>
    <t>#NeverJam OR "NeverJam"</t>
  </si>
  <si>
    <t>#Wonderscope | "Wonder scope"</t>
  </si>
  <si>
    <t>Developer - Team One Shot</t>
  </si>
  <si>
    <t>#TeamOneShot OR "Team One Shot"</t>
  </si>
  <si>
    <t>#NeverJam | "NeverJam"</t>
  </si>
  <si>
    <t>Developer - Eidetic</t>
  </si>
  <si>
    <t>#Eidetic OR "Eidetic"</t>
  </si>
  <si>
    <t>#TeamOneShot | "Team One Shot"</t>
  </si>
  <si>
    <t>Developer - Will Winn Games</t>
  </si>
  <si>
    <t>#WillWinnGames OR "Will Winn Games"</t>
  </si>
  <si>
    <t>#Eidetic | "Eidetic"</t>
  </si>
  <si>
    <t>Developer - Flucky Machines</t>
  </si>
  <si>
    <t>#FluckyMachines OR "Flucky Machines"</t>
  </si>
  <si>
    <t>#WillWinnGames | "Will Winn Games"</t>
  </si>
  <si>
    <t>Developer - Ludic studios</t>
  </si>
  <si>
    <t>#Ludicstudios OR "Ludic studios"</t>
  </si>
  <si>
    <t>#FluckyMachines | "Flucky Machines"</t>
  </si>
  <si>
    <t>Developer - aAcyntha</t>
  </si>
  <si>
    <t>#aAcyntha OR "aAcyntha"</t>
  </si>
  <si>
    <t>#Ludicstudios | "Ludic studios"</t>
  </si>
  <si>
    <t>Developer - Sonotrigger</t>
  </si>
  <si>
    <t>#Sonotrigger OR "Sonotrigger"</t>
  </si>
  <si>
    <t>#aAcyntha | "aAcyntha"</t>
  </si>
  <si>
    <t>Developer - Redblack Spade</t>
  </si>
  <si>
    <t>#RedblackSpade OR "Redblack Spade"</t>
  </si>
  <si>
    <t>#Sonotrigger | "Sonotrigger"</t>
  </si>
  <si>
    <t>Developer - AweKteam</t>
  </si>
  <si>
    <t>#AweKteam OR "AweKteam"</t>
  </si>
  <si>
    <t>Developer - Team WIBY</t>
  </si>
  <si>
    <t>#TeamWiby | "Team WIBY"</t>
  </si>
  <si>
    <t>Developer - Aviary Studios</t>
  </si>
  <si>
    <t>#AviaryStudios OR "Aviary Studios"</t>
  </si>
  <si>
    <t>Developer - Snoozy Kazoo</t>
  </si>
  <si>
    <t>#SnoozyKazoo | "Snoozy Kazoo"</t>
  </si>
  <si>
    <t>Developer - Squiddershins</t>
  </si>
  <si>
    <t>#Squiddershins OR "Squiddershins"</t>
  </si>
  <si>
    <t>Developer - Nerial</t>
  </si>
  <si>
    <t>#Nerial | "Nerial"</t>
  </si>
  <si>
    <t>#TeamWiby OR "Team WIBY"</t>
  </si>
  <si>
    <t>Developer - Brave Lamb Studio</t>
  </si>
  <si>
    <t>#BraveLambStudio | "Brave Lamb Studio"</t>
  </si>
  <si>
    <t>#SnoozyKazoo OR "Snoozy Kazoo"</t>
  </si>
  <si>
    <t>Developer - Battlestate Games</t>
  </si>
  <si>
    <t>#BattlestateGames | "Battlestate Games"</t>
  </si>
  <si>
    <t>#Nerial OR "Nerial"</t>
  </si>
  <si>
    <t>Developer - Iron Gate Studio</t>
  </si>
  <si>
    <t>#IronGateStudio | "Iron Gate Studio"</t>
  </si>
  <si>
    <t>#BraveLambStudio OR "Brave Lamb Studio"</t>
  </si>
  <si>
    <t>Developer - Kinetic Games</t>
  </si>
  <si>
    <t>#KineticGames | "Kinetic Games"</t>
  </si>
  <si>
    <t>Developer - ConcernedApe</t>
  </si>
  <si>
    <t>#ConcernedApe | "ConcernedApe"</t>
  </si>
  <si>
    <t>#IronGateStudio OR "Iron Gate Studio"</t>
  </si>
  <si>
    <t>Developer - Zeekerss</t>
  </si>
  <si>
    <t>#Zeekerss | "Zeekerss"</t>
  </si>
  <si>
    <t>Developer - 10 Chambers</t>
  </si>
  <si>
    <t>#10Chambers | "10 Chambers"</t>
  </si>
  <si>
    <t>Developer - Systemic Reaction</t>
  </si>
  <si>
    <t>#SystemicReaction | "Systemic Reaction"</t>
  </si>
  <si>
    <t>Developer - Endnight Games</t>
  </si>
  <si>
    <t>#EndnightGames | "Endnight Games"</t>
  </si>
  <si>
    <t>#CyberFront | "CyberFront"</t>
  </si>
  <si>
    <t>#EnsembleStudios | "Ensemble Studios"</t>
  </si>
  <si>
    <t>#MP2Games | "MP2 Games"</t>
  </si>
  <si>
    <t>Developer - Arrowhead Game Studios</t>
  </si>
  <si>
    <t>#ArrowheadGameStudios OR "Arrowhead Game Studios"</t>
  </si>
  <si>
    <t>#GummyCat | "Gummy Cat"</t>
  </si>
  <si>
    <t>Developer - Nintendo</t>
  </si>
  <si>
    <t>#BeatGames | "Beat games"</t>
  </si>
  <si>
    <t>Developer - Mantis Games</t>
  </si>
  <si>
    <t>#MantisGames OR "Mantis Games"</t>
  </si>
  <si>
    <t>#NowProduction | "Now Production"</t>
  </si>
  <si>
    <t>Developer - Singularity 6</t>
  </si>
  <si>
    <t>#GoodbyeWorldGames | "GoodbyeWorld Games"</t>
  </si>
  <si>
    <t>Developer - Isoca Games</t>
  </si>
  <si>
    <t>#IsocaGames OR "Isoca Games"</t>
  </si>
  <si>
    <t>#SilverLiningStudio | "Silver Lining Studio"</t>
  </si>
  <si>
    <t>Developer - Unity 3D</t>
  </si>
  <si>
    <t>#Unity3D OR "Unity 3D"</t>
  </si>
  <si>
    <t>#OfficeCreate | "Office Create"</t>
  </si>
  <si>
    <t>Developer - Primal Game Studio</t>
  </si>
  <si>
    <t>#PrimalGameStudio OR "Primal Game Studio"</t>
  </si>
  <si>
    <t>#1stPlayableProductions | "1st Playable Productions"</t>
  </si>
  <si>
    <t>Developer - MLMEDIA</t>
  </si>
  <si>
    <t>#PresidentStudio | "President Studio"</t>
  </si>
  <si>
    <t>Developer - Toaplan</t>
  </si>
  <si>
    <t>#Toaplan OR "Toaplan"</t>
  </si>
  <si>
    <t>#ToukanaInteractive | "Toukana Interactive"</t>
  </si>
  <si>
    <t>Developer - Hypergryph</t>
  </si>
  <si>
    <t>#GameGrumps | "Game Grumps"</t>
  </si>
  <si>
    <t>Developer - Mas</t>
  </si>
  <si>
    <t>#LionheadStudios | "Lionhead Studios"</t>
  </si>
  <si>
    <t>#SpikeChunsoft OR "Spike Chunsoft" OR @spikechunsoft</t>
  </si>
  <si>
    <t>#BigBlueBox | "Big Blue Box"</t>
  </si>
  <si>
    <t>Developer - Hungry Couch Games</t>
  </si>
  <si>
    <t xml:space="preserve">#HungryCouchGames OR "Hungry Couch Games" OR @Hungrycouchgames </t>
  </si>
  <si>
    <t>#Nikita | "Nikita"</t>
  </si>
  <si>
    <t>Developer - Tinyware Games</t>
  </si>
  <si>
    <t xml:space="preserve">#TinywareGames OR "Tinyware Games" OR @TinywareGames </t>
  </si>
  <si>
    <t>#GraceBruxner | "Grace Bruxner"</t>
  </si>
  <si>
    <t>Developer - Spellgarden Games</t>
  </si>
  <si>
    <t xml:space="preserve">#SpellgardenGames OR "Spellgarden Games" OR @SpellgardenGames </t>
  </si>
  <si>
    <t>#AuntyGames | "AuntyGames"</t>
  </si>
  <si>
    <t>Developer - Hyde</t>
  </si>
  <si>
    <t>#Hyde OR "Hyde"</t>
  </si>
  <si>
    <t>#ClawDesignSoftware | "Claw Design Software"</t>
  </si>
  <si>
    <t>Developer - Media Vision</t>
  </si>
  <si>
    <t xml:space="preserve">#MediaVision OR "Media Vision" </t>
  </si>
  <si>
    <t>#Thatgamecompany | "Thatgamecompany"</t>
  </si>
  <si>
    <t>Developer - Redemption Road Games</t>
  </si>
  <si>
    <t xml:space="preserve">#RedemptionRoadGames OR "Redemption Road Games" </t>
  </si>
  <si>
    <t>#FeelFreeGames | "Feel Free Games"</t>
  </si>
  <si>
    <t>Developer - Amazing Seasun Games</t>
  </si>
  <si>
    <t>#ChallengingGames | "Challenging Games"</t>
  </si>
  <si>
    <t>Developer - Anshar Studios</t>
  </si>
  <si>
    <t>#OsmoticStudios | "Osmotic Studios"</t>
  </si>
  <si>
    <t>Developre - Leonardo Interactive</t>
  </si>
  <si>
    <t>#LastDayOfWork | "Last Day of Work"</t>
  </si>
  <si>
    <t>Developer - Straight4 Studios</t>
  </si>
  <si>
    <t>#Straight4Studios OR "Straight4 Studios"</t>
  </si>
  <si>
    <t>#HeroGameCoLLC | "Hero Game Co LLC"</t>
  </si>
  <si>
    <t>Developer - The Brotherhood Games</t>
  </si>
  <si>
    <t>#Henagames | "Henagames"</t>
  </si>
  <si>
    <t>Developer - Deep Field Games</t>
  </si>
  <si>
    <t>#DeepFieldGames OR "Deep Field Games"</t>
  </si>
  <si>
    <t>#VirtualPlayground | "Virtual Playground"</t>
  </si>
  <si>
    <t>Developer - Triple Espresso S.A.</t>
  </si>
  <si>
    <t>#EmberstormEntertainment | "Emberstorm Entertainment"</t>
  </si>
  <si>
    <t>Developer - NetEase Games</t>
  </si>
  <si>
    <t>#NetEaseGames OR "NetEase Games"</t>
  </si>
  <si>
    <t>#MoralAnxietyStudio | "Moral Anxiety Studio"</t>
  </si>
  <si>
    <t>Developer - Ryo Kobuchi</t>
  </si>
  <si>
    <t>#RyoKobuchi OR "Ryo Kobuchi"</t>
  </si>
  <si>
    <t>#RobotHouse | "Robot House"</t>
  </si>
  <si>
    <t>Developer - Dark Point Games</t>
  </si>
  <si>
    <t>#WingedCloud | "Winged Cloud"</t>
  </si>
  <si>
    <t>Developer - Duper Games</t>
  </si>
  <si>
    <t>#DuperGames OR "Duper Games"</t>
  </si>
  <si>
    <t>#CliffhangerProductions | "Cliffhanger Productions"</t>
  </si>
  <si>
    <t>Developer - Joey Drew Studios</t>
  </si>
  <si>
    <t>#FASAInteractive | "FASA Interactive"</t>
  </si>
  <si>
    <t>#MightAndDelight | "Might and Delight"</t>
  </si>
  <si>
    <t>#EnsembleStudios OR "Ensemble Studios"</t>
  </si>
  <si>
    <t>#SokpopCollective | "Sokpop Collective"</t>
  </si>
  <si>
    <t>#MP2Games OR "MP2 Games"</t>
  </si>
  <si>
    <t>#Friedemann | "Friedemann"</t>
  </si>
  <si>
    <t>#GummyCat OR "Gummy Cat"</t>
  </si>
  <si>
    <t>#Vector3Studio | "Vector3 Studio"</t>
  </si>
  <si>
    <t>#BeatGames OR "Beat games"</t>
  </si>
  <si>
    <t>#UntitledStudio | "Untitled Studio"</t>
  </si>
  <si>
    <t>#NowProduction OR "Now Production"</t>
  </si>
  <si>
    <t>#EverythingUnlimitedLtd | "Everything Unlimited Ltd."</t>
  </si>
  <si>
    <t>#GoodbyeWorldGames OR "GoodbyeWorld Games"</t>
  </si>
  <si>
    <t>#MipumiGames | "Mipumi Games"</t>
  </si>
  <si>
    <t>#SilverLiningStudio OR "Silver Lining Studio"</t>
  </si>
  <si>
    <t>#GalacticCafe | "Galactic Cafe"</t>
  </si>
  <si>
    <t>#OfficeCreate OR "Office Create"</t>
  </si>
  <si>
    <t>#AncientForge | "Ancient Forge"</t>
  </si>
  <si>
    <t>#1stPlayableProductions OR "1st Playable Productions"</t>
  </si>
  <si>
    <t>#NobleMuffins | "Noble Muffins"</t>
  </si>
  <si>
    <t>#PresidentStudio OR "President Studio"</t>
  </si>
  <si>
    <t>#IgorKrutov | "Igor Krutov"</t>
  </si>
  <si>
    <t>#FreebirdGames | "Freebird Games"</t>
  </si>
  <si>
    <t>#PopTopSoftware | "PopTop Software"</t>
  </si>
  <si>
    <t>#LionheadStudios OR "Lionhead Studios"</t>
  </si>
  <si>
    <t>#FrogCitySoftware | "Frog City Software"</t>
  </si>
  <si>
    <t>#BigBlueBox OR "Big Blue Box"</t>
  </si>
  <si>
    <t>#AsymmetricPublications | "Asymmetric Publications"</t>
  </si>
  <si>
    <t>#Nikita OR "Nikita"</t>
  </si>
  <si>
    <t>#AckeHallgren | "Acke Hallgren"</t>
  </si>
  <si>
    <t>#GazelleAutomations | "Gazelle Automations"</t>
  </si>
  <si>
    <t>#AuntyGames OR "AuntyGames"</t>
  </si>
  <si>
    <t>#SundewStudios | "Sundew Studios"</t>
  </si>
  <si>
    <t>#ClawDesignSoftware OR "Claw Design Software"</t>
  </si>
  <si>
    <t>#StudioDrydock | "Studio Drydock Pty Ltd"</t>
  </si>
  <si>
    <t>#Thatgamecompany OR "Thatgamecompany"</t>
  </si>
  <si>
    <t>#BlueFangGames | "Blue Fang Games"</t>
  </si>
  <si>
    <t>#BadVicesGames | "Bad Vices Games"</t>
  </si>
  <si>
    <t>#ChallengingGames OR "Challenging Games"</t>
  </si>
  <si>
    <t>#OMOCAT | "OMOCAT"</t>
  </si>
  <si>
    <t>#OsmoticStudios OR "Osmotic Studios"</t>
  </si>
  <si>
    <t>#DanielMullinsGames | "Daniel Mullins Games"</t>
  </si>
  <si>
    <t>#LastDayOfWork OR "Last Day of Work"</t>
  </si>
  <si>
    <t>#KindleImagineDevelop | "Kindle Imagine Develop"</t>
  </si>
  <si>
    <t>#EsophaguysTeam | "Esophaguys Team"</t>
  </si>
  <si>
    <t>#MyrkurGames | "Myrkur Games"</t>
  </si>
  <si>
    <t>#VirtualPlayground OR "Virtual Playground"</t>
  </si>
  <si>
    <t>#Qgames | "Q games"</t>
  </si>
  <si>
    <t>#EmberstormEntertainment OR "Emberstorm Entertainment"</t>
  </si>
  <si>
    <t>Developer-TeamKill Media LLC</t>
  </si>
  <si>
    <t>#MoralAnxietyStudio OR "Moral Anxiety Studio"</t>
  </si>
  <si>
    <t>#RobotHouse OR "Robot House"</t>
  </si>
  <si>
    <t>Developer-Sunny Side Up</t>
  </si>
  <si>
    <t>Developer - Playables</t>
  </si>
  <si>
    <t>#PlayablesGames OR "Playables Games"</t>
  </si>
  <si>
    <t>#CliffhangerProductions OR "Cliffhanger Productions"</t>
  </si>
  <si>
    <t>#HALLaboratory | "HAL Laboratory"</t>
  </si>
  <si>
    <t>#FASAInteractive OR "FASA Interactive"</t>
  </si>
  <si>
    <t>#DCELLGAMES | "D-CELL GAMES"</t>
  </si>
  <si>
    <t>#ParadoxTinto | "Paradox Tinto"</t>
  </si>
  <si>
    <t>#RawThrills | "Raw Thrills"</t>
  </si>
  <si>
    <t>#Friedemann OR "Friedemann"</t>
  </si>
  <si>
    <t>#NicolasPetton | "Nicolas Petton"</t>
  </si>
  <si>
    <t>#DINOGOD | "DINOGOD"</t>
  </si>
  <si>
    <t>#RedGamesCo | "Red Games Co."</t>
  </si>
  <si>
    <t>#LittleSewingMachine | "Little Sewing Machine"</t>
  </si>
  <si>
    <t>#Glowmade | "Glowmade"</t>
  </si>
  <si>
    <t>#ClaymaticGames | "Claymatic Games"</t>
  </si>
  <si>
    <t>#AncientForge OR "Ancient Forge"</t>
  </si>
  <si>
    <t>#GoldFireStudios | "GoldFire Studios"</t>
  </si>
  <si>
    <t>#NobleMuffins OR "Noble Muffins"</t>
  </si>
  <si>
    <t>#LululuEntertainment | "Lululu Entertainment"</t>
  </si>
  <si>
    <t>#IgorKrutov OR "Igor Krutov"</t>
  </si>
  <si>
    <t>#SimonLukasik | "Simon Lukasik"</t>
  </si>
  <si>
    <t>#EvilEmpire | "Evil Empire"</t>
  </si>
  <si>
    <t>#PopTopSoftware OR "PopTop Software"</t>
  </si>
  <si>
    <t>#Doonutsaur | "Doonutsaur"</t>
  </si>
  <si>
    <t>#FrogCitySoftware OR "Frog City Software"</t>
  </si>
  <si>
    <t>#NetmarbleNeo |"Netmarble Neo"</t>
  </si>
  <si>
    <t>#AsymmetricPublications OR "Asymmetric Publications"</t>
  </si>
  <si>
    <t>#WindwalkGames |"Windwalk Games"</t>
  </si>
  <si>
    <t>#PixelReign |"Pixel Reign"</t>
  </si>
  <si>
    <t>#GazelleAutomations OR "Gazelle Automations"</t>
  </si>
  <si>
    <t>Developer - Artdink</t>
  </si>
  <si>
    <t>#Artdink | "Artdink"</t>
  </si>
  <si>
    <t>Developer - bilibili</t>
  </si>
  <si>
    <t>#bilibili | "bilibili"</t>
  </si>
  <si>
    <t>#StudioDrydock OR "Studio Drydock Pty Ltd"</t>
  </si>
  <si>
    <t>Developer - Xantera</t>
  </si>
  <si>
    <t>#Xantera |"Xantera"</t>
  </si>
  <si>
    <t>#BlueFangGames OR "Blue Fang Games"</t>
  </si>
  <si>
    <t>#UnitedFrontGames |"United Front Games"</t>
  </si>
  <si>
    <t>#UbisoftIv|yTower |"Ubisoft Iv|y Tower"</t>
  </si>
  <si>
    <t>#Turn10 |"Turn 10"</t>
  </si>
  <si>
    <t>Developer - tri-Ace, Inc.</t>
  </si>
  <si>
    <t>#triAceInc |"tri-Ace, Inc."</t>
  </si>
  <si>
    <t>#KindleImagineDevelop OR "Kindle Imagine Develop"</t>
  </si>
  <si>
    <t>Developer - tose</t>
  </si>
  <si>
    <t>#tose |"tose"</t>
  </si>
  <si>
    <t>Developer - Esophaguys Team</t>
  </si>
  <si>
    <t>#TheGameKitchen |"The Game Kitchen"</t>
  </si>
  <si>
    <t>Developer - Myrkur Games</t>
  </si>
  <si>
    <t>#SumoDigital |"Sumo Digital"</t>
  </si>
  <si>
    <t>#SomaSim |"SomaSim"</t>
  </si>
  <si>
    <t>#SlightlyMadStudios |"Slightly Mad Studios"</t>
  </si>
  <si>
    <t>#Shift |"Shift"</t>
  </si>
  <si>
    <t>Developer - SCS Software</t>
  </si>
  <si>
    <t>#SCSSoftware |"SCS Software"</t>
  </si>
  <si>
    <t>#SanzaruGames |"Sanzaru Games"</t>
  </si>
  <si>
    <t>#HALLaboratory OR "HAL Laboratory"</t>
  </si>
  <si>
    <t>#ReadyAtDawn |"Ready at Dawn"</t>
  </si>
  <si>
    <t>#RareLtd |"Rare Ltd."</t>
  </si>
  <si>
    <t>#ParadoxTinto OR "Paradox Tinto"</t>
  </si>
  <si>
    <t>#RainGames |"Rain Games"</t>
  </si>
  <si>
    <t>#RawThrills OR "Raw Thrills"</t>
  </si>
  <si>
    <t>#Psyonix |"Psyonix"</t>
  </si>
  <si>
    <t>#NicolasPetton OR "Nicolas Petton"</t>
  </si>
  <si>
    <t>Developer - Pixonic</t>
  </si>
  <si>
    <t>#Pixonic |"Pixonic"</t>
  </si>
  <si>
    <t>#DINOGOD OR "DINOGOD"</t>
  </si>
  <si>
    <t>Developer - Pitbull Syndicate</t>
  </si>
  <si>
    <t>#PitbullSyndicate |"Pitbull Syndicate"</t>
  </si>
  <si>
    <t>#RedGamesCo OR "Red Games Co."</t>
  </si>
  <si>
    <t>Developer - Origin8 Technologies</t>
  </si>
  <si>
    <t>#|igin8Technologies |"|igin8 Technologies"</t>
  </si>
  <si>
    <t>#LittleSewingMachine OR "Little Sewing Machine"</t>
  </si>
  <si>
    <t>Developer - Old Skull Games</t>
  </si>
  <si>
    <t>#OldSkullGames |"Old Skull Games"</t>
  </si>
  <si>
    <t>#Glowmade OR "Glowmade"</t>
  </si>
  <si>
    <t>Developer - Ndcube</t>
  </si>
  <si>
    <t>#Ndcube |"Ndcube"</t>
  </si>
  <si>
    <t>Developer - NCS</t>
  </si>
  <si>
    <t>#NCS |"NCS"</t>
  </si>
  <si>
    <t>#NanoGames |"Nano Games"</t>
  </si>
  <si>
    <t>#MYGAMES |"MY.GAMES"</t>
  </si>
  <si>
    <t>#SimonLukasik OR "Simon Lukasik"</t>
  </si>
  <si>
    <t>#MonolithProductions |"Monolith Productions"</t>
  </si>
  <si>
    <t>Developer - Metaversal Studios</t>
  </si>
  <si>
    <t>#MetaversalStudios |"Metaversal Studios"</t>
  </si>
  <si>
    <t>#Doonutsaur OR "Doonutsaur"</t>
  </si>
  <si>
    <t>Developer - Media.Vision</t>
  </si>
  <si>
    <t>#MediaVision |"Media.Vision"</t>
  </si>
  <si>
    <t>Developer - Panik Arcade</t>
  </si>
  <si>
    <t>#PanikArcade OR "Panik Arcade"</t>
  </si>
  <si>
    <t>Developer - Media Molecule</t>
  </si>
  <si>
    <t>#MediaMolecule |"Media Molecule"</t>
  </si>
  <si>
    <t>#NetmarbleNeo OR "Netmarble Neo"</t>
  </si>
  <si>
    <t>#MassMedia |"Mass Media"</t>
  </si>
  <si>
    <t>#WindwalkGames OR "Windwalk Games"</t>
  </si>
  <si>
    <t>Developer - Masaya Games</t>
  </si>
  <si>
    <t>#MasayaGames |"Masaya Games"</t>
  </si>
  <si>
    <t>Developer - Kabam Gameloft</t>
  </si>
  <si>
    <t>#KabamGameloft |"Kabam Gameloft"</t>
  </si>
  <si>
    <t>#Artdink OR "Artdink"</t>
  </si>
  <si>
    <t>Developer - Intelligent Systems</t>
  </si>
  <si>
    <t>#IntelligentSystems |"Intelligent Systems"</t>
  </si>
  <si>
    <t>Developer - Infogrames</t>
  </si>
  <si>
    <t>#Infogrames |"Infogrames"</t>
  </si>
  <si>
    <t>#Xantera OR "Xantera"</t>
  </si>
  <si>
    <t>Developer - Incognito Entertainment</t>
  </si>
  <si>
    <t>#IncognitoEntertainment |"Incognito Entertainment"</t>
  </si>
  <si>
    <t>Developer - Imagitec Design</t>
  </si>
  <si>
    <t>#ImagitecDesign |"Imagitec Design"</t>
  </si>
  <si>
    <t>Developer - I-play</t>
  </si>
  <si>
    <t>#Iplay |"I-play"</t>
  </si>
  <si>
    <t>Developer - Hutch Games</t>
  </si>
  <si>
    <t>#HutchGames |"Hutch Games"</t>
  </si>
  <si>
    <t>#triAceInc OR "tri-Ace, Inc."</t>
  </si>
  <si>
    <t>Developer - Hudson Soft</t>
  </si>
  <si>
    <t>#HudsonSoft |"Hudson Soft"</t>
  </si>
  <si>
    <t>#tose OR "tose"</t>
  </si>
  <si>
    <t>#HopooGames |"Hopoo Games"</t>
  </si>
  <si>
    <t>Developer - High Impact Games</t>
  </si>
  <si>
    <t>#HighImpactGames |"High Impact Games"</t>
  </si>
  <si>
    <t>Developer - Handheld Games</t>
  </si>
  <si>
    <t>#HandheldGames |"Handheld Games"</t>
  </si>
  <si>
    <t>Developer - Firebrand Games</t>
  </si>
  <si>
    <t>#FirebrandGames |"Firebrand Games"</t>
  </si>
  <si>
    <t>Developer - Eurocom</t>
  </si>
  <si>
    <t>#Eurocom |"Eurocom"</t>
  </si>
  <si>
    <t>#EtrangesLibellules |"Etranges Libellules"</t>
  </si>
  <si>
    <t>#SCSSoftware OR "SCS Software"</t>
  </si>
  <si>
    <t>Developer - Elite Systems</t>
  </si>
  <si>
    <t>#EliteSystems |"Elite Systems"</t>
  </si>
  <si>
    <t>Developer - Electric Square</t>
  </si>
  <si>
    <t>#ElectricSquare |"Electric Square"</t>
  </si>
  <si>
    <t>#ReadyAtDawn OR "Ready at Dawn"</t>
  </si>
  <si>
    <t>Developer - Eat Sleep Play</t>
  </si>
  <si>
    <t>#EatSleepPlay |"Eat Sleep Play"</t>
  </si>
  <si>
    <t>Developer - Distinctive Software</t>
  </si>
  <si>
    <t>#DistinctiveSoftware |"Distinctive Software"</t>
  </si>
  <si>
    <t>#DimpsC|p|ation |"Dimps C|p|ation"</t>
  </si>
  <si>
    <t>#DigixartEntertainment |"Digixart Entertainment"</t>
  </si>
  <si>
    <t>#Pixonic OR "Pixonic"</t>
  </si>
  <si>
    <t>Developer - Cryo Interactive</t>
  </si>
  <si>
    <t>#CryoInteractive |"Cryo Interactive"</t>
  </si>
  <si>
    <t>#PitbullSyndicate OR "Pitbull Syndicate"</t>
  </si>
  <si>
    <t>#ColdwoodInteractive |"Coldwood Interactive"</t>
  </si>
  <si>
    <t>#Origin8Technologies OR "Origin8 Technologies"</t>
  </si>
  <si>
    <t>Developer - Chris Sawyer</t>
  </si>
  <si>
    <t>#ChrisSawyer |"Chris Sawyer"</t>
  </si>
  <si>
    <t>#OldSkullGames OR "Old Skull Games"</t>
  </si>
  <si>
    <t>Developer - Check Six Studios</t>
  </si>
  <si>
    <t>#CheckSixStudios |"Check Six Studios"</t>
  </si>
  <si>
    <t>#Ndcube OR "Ndcube"</t>
  </si>
  <si>
    <t>Developer - Cellius</t>
  </si>
  <si>
    <t>#Cellius |"Cellius"</t>
  </si>
  <si>
    <t>#NCS OR "NCS"</t>
  </si>
  <si>
    <t>#BlackF|estGames |"Black F|est Games"</t>
  </si>
  <si>
    <t>Developer - BidOn Games Studio</t>
  </si>
  <si>
    <t>#BidOnGamesStudio |"BidOn Games Studio"</t>
  </si>
  <si>
    <t>Developer - BeamNG GmbH</t>
  </si>
  <si>
    <t>#BeamNG |"BeamNG GmbH"</t>
  </si>
  <si>
    <t>Developer - Auer Media &amp; Entertainment</t>
  </si>
  <si>
    <t>#AuerMedia |"Auer Media &amp; Entertainment"</t>
  </si>
  <si>
    <t>#MetaversalStudios OR "Metaversal Studios"</t>
  </si>
  <si>
    <t>Developer - aquria</t>
  </si>
  <si>
    <t>#aquria |"aquria"</t>
  </si>
  <si>
    <t>#MediaVision OR "Media.Vision"</t>
  </si>
  <si>
    <t>Developer - Angel Studios</t>
  </si>
  <si>
    <t>#AngelStudios |"Angel Studios"</t>
  </si>
  <si>
    <t>#MediaMolecule OR "Media Molecule"</t>
  </si>
  <si>
    <t>Developer - Accolade</t>
  </si>
  <si>
    <t>#Accolade |"Accolade"</t>
  </si>
  <si>
    <t>Developer - 989 Studios</t>
  </si>
  <si>
    <t>#989Studios |"989 Studios"</t>
  </si>
  <si>
    <t>#MasayaGames OR "Masaya Games"</t>
  </si>
  <si>
    <t>Developer - 91Act</t>
  </si>
  <si>
    <t>#91Act |"91Act"</t>
  </si>
  <si>
    <t>#KabamGameloft OR "Kabam Gameloft"</t>
  </si>
  <si>
    <t>#SonyInteractiveEntertainment |"Sony Interactive Entertainment"</t>
  </si>
  <si>
    <t>#IntelligentSystems OR "Intelligent Systems"</t>
  </si>
  <si>
    <t>#Infogrames OR "Infogrames"</t>
  </si>
  <si>
    <t>Developer - Otomate</t>
  </si>
  <si>
    <t>#Otomate |"Otomate"</t>
  </si>
  <si>
    <t>#IncognitoEntertainment OR "Incognito Entertainment"</t>
  </si>
  <si>
    <t>Developer - Gametry</t>
  </si>
  <si>
    <t>#Gametry |"Gametry"</t>
  </si>
  <si>
    <t>#ImagitecDesign OR "Imagitec Design"</t>
  </si>
  <si>
    <t>#OceanDriveStudio |"Ocean Drive Studio"</t>
  </si>
  <si>
    <t>#Iplay OR "I-play"</t>
  </si>
  <si>
    <t>#M|efunStudios |"M|efun Studios"</t>
  </si>
  <si>
    <t>#HutchGames OR "Hutch Games"</t>
  </si>
  <si>
    <t>Ion Storm| #IonStorm</t>
  </si>
  <si>
    <t>#HudsonSoft OR "Hudson Soft"</t>
  </si>
  <si>
    <t>Studio Hybrid| #StudioHybrid</t>
  </si>
  <si>
    <t>Studio Bando| #StudioBando</t>
  </si>
  <si>
    <t>#HighImpactGames OR "High Impact Games"</t>
  </si>
  <si>
    <t>Teenage Astronauts| #TeenageAstronauts</t>
  </si>
  <si>
    <t>#HandheldGames OR "Handheld Games"</t>
  </si>
  <si>
    <t>Permanent Way Entertainment Co.| #PermanentWayEntertainmentCo</t>
  </si>
  <si>
    <t>#FirebrandGames OR "Firebrand Games"</t>
  </si>
  <si>
    <t>#BalioStudio | "Balio Studio"</t>
  </si>
  <si>
    <t>#Eurocom OR "Eurocom"</t>
  </si>
  <si>
    <t>#EmbarkStudios | "Embark Studios"</t>
  </si>
  <si>
    <t>#Trinket Studios | "Trinket Studios"</t>
  </si>
  <si>
    <t>#EliteSystems OR "Elite Systems"</t>
  </si>
  <si>
    <t>#Crimson Tales | "Crimson Tales"</t>
  </si>
  <si>
    <t>#ElectricSquare OR "Electric Square"</t>
  </si>
  <si>
    <t xml:space="preserve">#sunsetvisitor|"sunset visitor" </t>
  </si>
  <si>
    <t>#EatSleepPlay OR "Eat Sleep Play"</t>
  </si>
  <si>
    <t xml:space="preserve">#EverstoneGames|"Everstone Games" </t>
  </si>
  <si>
    <t>#DistinctiveSoftware OR "Distinctive Software"</t>
  </si>
  <si>
    <t xml:space="preserve">#SparrowNight |"Sparrow Night" </t>
  </si>
  <si>
    <t>#FromDawn | "FromDawn"</t>
  </si>
  <si>
    <t>#WeatherFell | "WeatherFell"</t>
  </si>
  <si>
    <t>#CryoInteractive OR "Cryo Interactive"</t>
  </si>
  <si>
    <t>Developer - Fumi Games</t>
  </si>
  <si>
    <t>#FumiGames| "Fumi Games"</t>
  </si>
  <si>
    <t>Developer - Liquid Donkey Games</t>
  </si>
  <si>
    <t>#LiquidDonkeyGames| "Liquid Donkey Games"</t>
  </si>
  <si>
    <t>#ChrisSawyer OR "Chris Sawyer"</t>
  </si>
  <si>
    <t>Developer - Lunar Software</t>
  </si>
  <si>
    <t>#LunarSoftware| "Lunar Software"</t>
  </si>
  <si>
    <t>#CheckSixStudios OR "Check Six Studios"</t>
  </si>
  <si>
    <t>Developer - Noodle Cat Games</t>
  </si>
  <si>
    <t>#NoodleCatGames| "Noodle Cat Games"</t>
  </si>
  <si>
    <t>#Cellius OR "Cellius"</t>
  </si>
  <si>
    <t>Developer - Eyes Out</t>
  </si>
  <si>
    <t>#EyesOut| "Eyes Out"</t>
  </si>
  <si>
    <t>Developer - Friends_of_Safety</t>
  </si>
  <si>
    <t>#FriendsofSafety| "Friends of Safety"</t>
  </si>
  <si>
    <t>#BidOnGamesStudio OR "BidOn Games Studio"</t>
  </si>
  <si>
    <t>Developer - Pulsatrix Studios</t>
  </si>
  <si>
    <t>#PulsatrixStudios| "Pulsatrix Studios"</t>
  </si>
  <si>
    <t>#BeamNG OR "BeamNG GmbH"</t>
  </si>
  <si>
    <t>Developer - Tako Boy Studios LLC</t>
  </si>
  <si>
    <t>#TakoBoyStudiosLLC| "Tako Boy Studios LLC"</t>
  </si>
  <si>
    <t>#AuerMedia OR "Auer Media &amp; Entertainment"</t>
  </si>
  <si>
    <t>Developer - Relevo</t>
  </si>
  <si>
    <t>#Relevo| "Relevo"</t>
  </si>
  <si>
    <t>#aquria OR "aquria"</t>
  </si>
  <si>
    <t>Developer - Tactic Studios</t>
  </si>
  <si>
    <t>#TacticStudios |  "Tactic Studios"</t>
  </si>
  <si>
    <t>#AngelStudios OR "Angel Studios"</t>
  </si>
  <si>
    <t>#ThrowbackEntertainment | "Throwback Entertainment"</t>
  </si>
  <si>
    <t>#MindFuelGames | "MindFuel Games"</t>
  </si>
  <si>
    <t>#989Studios OR "989 Studios"</t>
  </si>
  <si>
    <t>#Iconik | "Iconik"</t>
  </si>
  <si>
    <t>#91Act OR "91Act"</t>
  </si>
  <si>
    <t>#TomorrowHeadStudio | "TomorrowHead Studio"</t>
  </si>
  <si>
    <t>#BeehiveStudios | "Beehive Studios"</t>
  </si>
  <si>
    <t>#TrueColors | "True Colors"</t>
  </si>
  <si>
    <t>#Otomate OR "Otomate"</t>
  </si>
  <si>
    <t>#LionShield | "Lion Shield"</t>
  </si>
  <si>
    <t>#Gametry OR "Gametry"</t>
  </si>
  <si>
    <t>#Poncle | "Poncle"</t>
  </si>
  <si>
    <t>#OceanDriveStudio OR "Ocean Drive Studio"</t>
  </si>
  <si>
    <t>#IKINAGames | "IKINA Games"</t>
  </si>
  <si>
    <t>#MorefunStudios OR "Morefun Studios"</t>
  </si>
  <si>
    <t>#Sluggerfly | "Sluggerfly"</t>
  </si>
  <si>
    <t>Ion Storm OR #IonStorm</t>
  </si>
  <si>
    <t>#NightStreet | "Night Street"</t>
  </si>
  <si>
    <t>Studio Hybrid OR #StudioHybrid</t>
  </si>
  <si>
    <t>#TheRatProject | "The Rat Project"</t>
  </si>
  <si>
    <t>Studio Bando OR #StudioBando</t>
  </si>
  <si>
    <t>#GameplayGroup | "Gameplay Group"</t>
  </si>
  <si>
    <t>Teenage Astronauts OR #TeenageAstronauts</t>
  </si>
  <si>
    <t>#FlywayGamesInc | "Flyway Games Inc"</t>
  </si>
  <si>
    <t>Permanent Way Entertainment Co. OR #PermanentWayEntertainmentCo</t>
  </si>
  <si>
    <t>#Tatsujin | "Tatsujin"</t>
  </si>
  <si>
    <t>#BalioStudio OR "Balio Studio"</t>
  </si>
  <si>
    <t>#PerfectGarbage | "Perfect Garbage"</t>
  </si>
  <si>
    <t>#MalformationGames | "Malformation Games"</t>
  </si>
  <si>
    <t>#Trinket Studios OR "Trinket Studios"</t>
  </si>
  <si>
    <t>#KungFuFactory | "Kung Fu Factory"</t>
  </si>
  <si>
    <t>#Crimson Tales OR "Crimson Tales"</t>
  </si>
  <si>
    <t>#KrakenExpress | "Kraken Express"</t>
  </si>
  <si>
    <t>sunset visitor OR #sunsetvisitor</t>
  </si>
  <si>
    <t>#Cyberwave | "Cyberwave"</t>
  </si>
  <si>
    <t>Everstone Games OR #EverstoneGames</t>
  </si>
  <si>
    <t>#HunterStudio | "Hunter Studio"</t>
  </si>
  <si>
    <t>Sparrow Night OR #SparrowNight</t>
  </si>
  <si>
    <t>#TypeMoon | "Type-Moon"</t>
  </si>
  <si>
    <t>#FromDawn OR "FromDawn"</t>
  </si>
  <si>
    <t>#MireboundInteractive | "Mirebound Interactive"</t>
  </si>
  <si>
    <t>#WeatherFell OR "WeatherFell"</t>
  </si>
  <si>
    <t>#APThomson | "AP Thomson"</t>
  </si>
  <si>
    <t>#FumiGames OR "Fumi Games"</t>
  </si>
  <si>
    <t>#AnKaeGames | "AnKae Games"</t>
  </si>
  <si>
    <t>#DvoraStudio | "Dvora Studio"</t>
  </si>
  <si>
    <t>#LunarSoftware OR "Lunar Software"</t>
  </si>
  <si>
    <t>#CavalierGameStudios | "Cavalier Game Studios"</t>
  </si>
  <si>
    <t>#MopefulGames | "Mopeful Games"</t>
  </si>
  <si>
    <t>#EyesOut OR "Eyes Out"</t>
  </si>
  <si>
    <t>#PathosInteractive | "Pathos Interactive"</t>
  </si>
  <si>
    <t>Developer - Friends of Safety</t>
  </si>
  <si>
    <t>#FriendsofSafety OR "Friends of Safety"</t>
  </si>
  <si>
    <t>#Exkee | "Exkee"</t>
  </si>
  <si>
    <t>#PulsatrixStudios OR "Pulsatrix Studios"</t>
  </si>
  <si>
    <t>#MarumittuGames | "Marumittu Games"</t>
  </si>
  <si>
    <t>#TakoBoyStudiosLLC OR "Tako Boy Studios LLC"</t>
  </si>
  <si>
    <t>#AltShift  | "Alt Shift"</t>
  </si>
  <si>
    <t>#SmartRavenStudio | "Smart Raven Studio"</t>
  </si>
  <si>
    <t>Developer - Serafini Productions</t>
  </si>
  <si>
    <t>#TimberlineStudio | "Timberline Studio"</t>
  </si>
  <si>
    <t>Developer - Trigger Happy Interactive</t>
  </si>
  <si>
    <t>#TriggerHappyInteractive OR "Trigger Happy Interactive"</t>
  </si>
  <si>
    <t>#BonsaiCollective | "Bonsai Collective"</t>
  </si>
  <si>
    <t>Developer - ArenaNet</t>
  </si>
  <si>
    <t>#FrozenWay | "Frozen Way"</t>
  </si>
  <si>
    <t>Developer - Virtuallyz Gaming</t>
  </si>
  <si>
    <t>#VirtuallyzGaming OR "Virtuallyz Gaming"</t>
  </si>
  <si>
    <t>#Adglobe | "Adglobe"</t>
  </si>
  <si>
    <t>Developer - Pajama Llama Games</t>
  </si>
  <si>
    <t>#PajamaLlamaGames OR "Pajama Llama Games"</t>
  </si>
  <si>
    <t>#RebelWolves | "Rebel Wolves"</t>
  </si>
  <si>
    <t>Developer - OMYOG</t>
  </si>
  <si>
    <t>#OMYOG OR "OMYOG"</t>
  </si>
  <si>
    <t>#FuseGames | "Fuse Games"</t>
  </si>
  <si>
    <t>Developer - Sleepy Castle Studio</t>
  </si>
  <si>
    <t>#RegularStudio | "Regular Studio"</t>
  </si>
  <si>
    <t>Developer - Saikat Deb</t>
  </si>
  <si>
    <t>#SaikatDeb OR "Saikat Deb"</t>
  </si>
  <si>
    <t>#GalaxyGrove | "Galaxy Grove"</t>
  </si>
  <si>
    <t>Developer - Grasshopper Manufacture</t>
  </si>
  <si>
    <t>#GrasshopperManufacture OR "Grasshopper Manufacture"</t>
  </si>
  <si>
    <t>#RamageGames | "Ramage Games"</t>
  </si>
  <si>
    <t>Developer - Wildlight Entertainment</t>
  </si>
  <si>
    <t>#PlaybyPlayStudios | "Play by Play Studios"</t>
  </si>
  <si>
    <t>Developer - Cyber Temple Games</t>
  </si>
  <si>
    <t>#ExpressionGames | "Expression Games"</t>
  </si>
  <si>
    <t>Developer - Sad Cat Studios</t>
  </si>
  <si>
    <t>#SadCatStudios OR "Sad Cat Studios"</t>
  </si>
  <si>
    <t>#Paraglacial | "Paraglacial"</t>
  </si>
  <si>
    <t>Developer - Rastrolabs Game Studio</t>
  </si>
  <si>
    <t>#RastrolabsGameStudio OR "Rastrolabs Game Studio"</t>
  </si>
  <si>
    <t>#CIRCLEfromDOT | "CIRCLEfromDOT"</t>
  </si>
  <si>
    <t>Developer - Quarter Up</t>
  </si>
  <si>
    <t>#QuarterUp OR "Quarter Up"</t>
  </si>
  <si>
    <t>#WinningEntertainmentGroup | "Winning Entertainment Group"</t>
  </si>
  <si>
    <t>Developer - S-GAME</t>
  </si>
  <si>
    <t>#TheSwordmanStudio | "The Swordman Studio"</t>
  </si>
  <si>
    <t>Developer - AdHoc Studio</t>
  </si>
  <si>
    <t>#SleepwalkingPotatoes | "Sleepwalking Potatoes"</t>
  </si>
  <si>
    <t>Developer - Quite OK Games</t>
  </si>
  <si>
    <t>#QuiteOKGames OR "Quite OK Games"</t>
  </si>
  <si>
    <t>#Embers | "Embers"</t>
  </si>
  <si>
    <t>Developer - Project Cloud Games</t>
  </si>
  <si>
    <t>#ProjectCloudGames OR "Project Cloud Games"</t>
  </si>
  <si>
    <t>#Casual Brothers | "Casual Brothers"</t>
  </si>
  <si>
    <t>Developer - Hypixel Studios</t>
  </si>
  <si>
    <t>#MINTROCKET | "MINT ROCKET"</t>
  </si>
  <si>
    <t>Developer - 22cans</t>
  </si>
  <si>
    <t>#LifelineGames | "Lifeline Games"</t>
  </si>
  <si>
    <t>Developer - Vermila Studios</t>
  </si>
  <si>
    <t>#VermilaStudios OR "Vermila Studios"</t>
  </si>
  <si>
    <t>#EatPantGames | "Eat Pant Games"</t>
  </si>
  <si>
    <t>Developer - Nyamakop</t>
  </si>
  <si>
    <t>#WisageniStudio | "Wisageni Studio"</t>
  </si>
  <si>
    <t>Developer - Gamexcite</t>
  </si>
  <si>
    <t>#Gamexcite OR "Gamexcite"</t>
  </si>
  <si>
    <t>#MijuGames | "Miju Games"</t>
  </si>
  <si>
    <t>Developer - Callback</t>
  </si>
  <si>
    <t>#Callback OR "Callback"</t>
  </si>
  <si>
    <t>#GameJawn | "Game Jawn"</t>
  </si>
  <si>
    <t>Developer - Quantumfrog</t>
  </si>
  <si>
    <t>#HaloStudios | "Halo Studios"</t>
  </si>
  <si>
    <t>Developer - Sedleo</t>
  </si>
  <si>
    <t>#Sedleo OR "Sedleo"</t>
  </si>
  <si>
    <t>#BELLRINGGAMES | "BELLRING GAMES"</t>
  </si>
  <si>
    <t>Developer - Tindalos Interactive</t>
  </si>
  <si>
    <t>#TindalosInteractive OR "Tindalos Interactive"</t>
  </si>
  <si>
    <t>#FirelineGames | "Fireline Games"</t>
  </si>
  <si>
    <t>Developer - Idea Factory</t>
  </si>
  <si>
    <t>#NPCStudio | "NPC Studio"</t>
  </si>
  <si>
    <t>#TacticStudios OR  "Tactic Studios"</t>
  </si>
  <si>
    <t>#Mankibo | "Mankibo"</t>
  </si>
  <si>
    <t>#BlackTowerBasement | "Black Tower Basement"</t>
  </si>
  <si>
    <t>Developer - Come On Studio</t>
  </si>
  <si>
    <t>#ComeOnStudio OR "Come On Studio"</t>
  </si>
  <si>
    <t>#ExniloStudio | "Exnilo Studio"</t>
  </si>
  <si>
    <t>Developer - Edmund McMillen</t>
  </si>
  <si>
    <t>#TinyRoar | "Tiny Roar"</t>
  </si>
  <si>
    <t>Developer - Xeen</t>
  </si>
  <si>
    <t>#Xeen Or "Xeen"</t>
  </si>
  <si>
    <t>#BitReact| | "Bit React|"</t>
  </si>
  <si>
    <t>Developer - Wishfully</t>
  </si>
  <si>
    <t>#Wishfully OR "Wishfully"</t>
  </si>
  <si>
    <t>#Shapefarm | "Shapefarm"</t>
  </si>
  <si>
    <t>Developer - Mechanistry</t>
  </si>
  <si>
    <t>#ShanghaiAliceReprise | "Shanghai Alice Reprise"</t>
  </si>
  <si>
    <t>Developer - Team Asano</t>
  </si>
  <si>
    <t>#TeamAsano OR "Team Asano"</t>
  </si>
  <si>
    <t>#Jagex | "Jagex"</t>
  </si>
  <si>
    <t>Developer - Cygames</t>
  </si>
  <si>
    <t>#Paperheadte4m | "Paperhead te4m"</t>
  </si>
  <si>
    <t>Developer - Limited Run Games</t>
  </si>
  <si>
    <t>#ScreenBurn | "Screen Burn"</t>
  </si>
  <si>
    <t>Developer - Moonlight Games</t>
  </si>
  <si>
    <t>#MoonlightGames OR "Moonlight Games"</t>
  </si>
  <si>
    <t>#ScaryKidStudios | "Scary Kid Studios"</t>
  </si>
  <si>
    <t>Developer - Gamkat</t>
  </si>
  <si>
    <t>#Gamkat OR "Gamkat"</t>
  </si>
  <si>
    <t>#BandaiNamcoAcesInc. | "Bandai Namco Aces Inc."</t>
  </si>
  <si>
    <t>Developer - ZDT Studio</t>
  </si>
  <si>
    <t>#ZDTStudio OR "ZDT Studio"</t>
  </si>
  <si>
    <t>#ThirdShift | "Third Shift"</t>
  </si>
  <si>
    <t>Developer - Iron Frog</t>
  </si>
  <si>
    <t>#IronFrog OR "Iron Frog"</t>
  </si>
  <si>
    <t>#SaibotStudios | "Saibot Studios"</t>
  </si>
  <si>
    <t>Developer - Alkimia Interactive</t>
  </si>
  <si>
    <t>#AlkimiaInteractive OR "Alkimia Interactive"</t>
  </si>
  <si>
    <t>#RocketEngineCoLtd. | "Rocket-Engine Co.,Ltd."</t>
  </si>
  <si>
    <t>Developer - Inresin</t>
  </si>
  <si>
    <t>#Inresin OR "Inresin"</t>
  </si>
  <si>
    <t>#PStudio | "P-Studio"</t>
  </si>
  <si>
    <t>Developer - Clover Bite</t>
  </si>
  <si>
    <t>Developer - Le Cartel Studio</t>
  </si>
  <si>
    <t>#LeCartelStudio | "Le Cartel Studio"</t>
  </si>
  <si>
    <t>Developer - Iridium Studios</t>
  </si>
  <si>
    <t>#OmiyaSoft | "Omiya Soft"</t>
  </si>
  <si>
    <t>Developer - Hatchery Games</t>
  </si>
  <si>
    <t>#SunnyLab | "Sunny Lab"</t>
  </si>
  <si>
    <t>Developer - Patattie Games</t>
  </si>
  <si>
    <t>#PatattieGames OR "Patattie Games"</t>
  </si>
  <si>
    <t>#RelicEntertainment | "Relic Entertainment"</t>
  </si>
  <si>
    <t>Developer - Monolith Soft</t>
  </si>
  <si>
    <t>#MonolithSoft OR "Monolith Soft"</t>
  </si>
  <si>
    <t>#RedSawGameStudio | "RedSaw Game Studio"</t>
  </si>
  <si>
    <t>Developer - Christoffer Bodegard</t>
  </si>
  <si>
    <t>#ChristofferBodegard OR "Christoffer Bodegard"</t>
  </si>
  <si>
    <t>#Kalinarm | "Kalinarm"</t>
  </si>
  <si>
    <t>Developer - SIGONO INC.</t>
  </si>
  <si>
    <t>#SIGONOINC OR "Sigono Inc."</t>
  </si>
  <si>
    <t>#Hypnohead | "Hypnohead"</t>
  </si>
  <si>
    <t>Developer - Liquid Swords</t>
  </si>
  <si>
    <t>#WildArtsGames | "WildArts Games"</t>
  </si>
  <si>
    <t>Developer - Leap Studio</t>
  </si>
  <si>
    <t>#LeapStudio OR "Leap Studio"</t>
  </si>
  <si>
    <t>#ArbitraryMetric | "Arbitrary Metric"</t>
  </si>
  <si>
    <t>Developer - Implicit Conversions</t>
  </si>
  <si>
    <t>#ImplicitConversions OR "Implicit Conversions"</t>
  </si>
  <si>
    <t>Developer - Brimstone Games</t>
  </si>
  <si>
    <t>#BrimstoneGames OR "Brimstone Games"</t>
  </si>
  <si>
    <t>Developer - DALOAR</t>
  </si>
  <si>
    <t>#DALOAR OR "DALOAR"</t>
  </si>
  <si>
    <t>Developer - Square Glade Games</t>
  </si>
  <si>
    <t>#SquareGladeGames OR "Square Glade Games"</t>
  </si>
  <si>
    <t>Developer - Game Studio Inc.</t>
  </si>
  <si>
    <t>#GameStudioInc OR "Game Studio Inc"</t>
  </si>
  <si>
    <t>Developer - TVT Co. Ltd.</t>
  </si>
  <si>
    <t>#TVTCo OR "TVT Co"</t>
  </si>
  <si>
    <t>#MindFuelGames OR "MindFuel Games"</t>
  </si>
  <si>
    <t>#Iconik OR "Iconik"</t>
  </si>
  <si>
    <t>#BeehiveStudios OR "Beehive Studios"</t>
  </si>
  <si>
    <t>#TrueColors OR "True Colors"</t>
  </si>
  <si>
    <t>#LionShield OR "Lion Shield"</t>
  </si>
  <si>
    <t>#IKINAGames OR "IKINA Games"</t>
  </si>
  <si>
    <t>#Sluggerfly OR "Sluggerfly"</t>
  </si>
  <si>
    <t>#TheRatProject OR "The Rat Project"</t>
  </si>
  <si>
    <t>#GameplayGroup OR "Gameplay Group"</t>
  </si>
  <si>
    <t>#Tatsujin OR "Tatsujin"</t>
  </si>
  <si>
    <t>#PerfectGarbage OR "Perfect Garbage"</t>
  </si>
  <si>
    <t>#MalformationGames OR "Malformation Games"</t>
  </si>
  <si>
    <t>#KungFuFactory OR "Kung Fu Factory"</t>
  </si>
  <si>
    <t>#KrakenExpress OR "Kraken Express"</t>
  </si>
  <si>
    <t>#Cyberwave OR "Cyberwave"</t>
  </si>
  <si>
    <t>#TypeMoon OR "Type-Moon"</t>
  </si>
  <si>
    <t>#MireboundInteractive OR "Mirebound Interactive"</t>
  </si>
  <si>
    <t>#APThomson OR "AP Thomson"</t>
  </si>
  <si>
    <t>#AnKaeGames OR "AnKae Games"</t>
  </si>
  <si>
    <t>#DvoraStudio OR "Dvora Studio"</t>
  </si>
  <si>
    <t>#CavalierGameStudios OR "Cavalier Game Studios"</t>
  </si>
  <si>
    <t>#MopefulGames OR "Mopeful Games"</t>
  </si>
  <si>
    <t>#PathosInteractive OR "Pathos Interactive"</t>
  </si>
  <si>
    <t>#Exkee OR "Exkee"</t>
  </si>
  <si>
    <t>#MarumittuGames OR "Marumittu Games"</t>
  </si>
  <si>
    <t>#AltShift OR "Alt Shift"</t>
  </si>
  <si>
    <t>#SmartRavenStudio OR "Smart Raven Studio"</t>
  </si>
  <si>
    <t>#FrozenWay OR "Frozen Way"</t>
  </si>
  <si>
    <t>#Adglobe OR "Adglobe"</t>
  </si>
  <si>
    <t>#RebelWolves OR "Rebel Wolves"</t>
  </si>
  <si>
    <t>#FuseGames OR "Fuse Games"</t>
  </si>
  <si>
    <t>#RegularStudio OR "Regular Studio"</t>
  </si>
  <si>
    <t>#GalaxyGrove OR "Galaxy Grove"</t>
  </si>
  <si>
    <t>#RamageGames OR "Ramage Games"</t>
  </si>
  <si>
    <t>#ExpressionGames OR "Expression Games"</t>
  </si>
  <si>
    <t>#Paraglacial OR "Paraglacial"</t>
  </si>
  <si>
    <t>#CIRCLEfromDOT OR "CIRCLEfromDOT"</t>
  </si>
  <si>
    <t>#WinningEntertainmentGroup OR "Winning Entertainment Group"</t>
  </si>
  <si>
    <t>#TheSwordmanStudio OR "The Swordman Studio"</t>
  </si>
  <si>
    <t>#SleepwalkingPotatoes OR "Sleepwalking Potatoes"</t>
  </si>
  <si>
    <t>#Casual Brothers OR "Casual Brothers"</t>
  </si>
  <si>
    <t>#LifelineGames OR "Lifeline Games"</t>
  </si>
  <si>
    <t>#EatPantGames OR "Eat Pant Games"</t>
  </si>
  <si>
    <t>#WisageniStudio OR "Wisageni Studio"</t>
  </si>
  <si>
    <t>#GameJawn OR "Game Jawn"</t>
  </si>
  <si>
    <t>#HaloStudios OR "Halo Studios"</t>
  </si>
  <si>
    <t>#BELLRINGGAMES OR "BELLRING GAMES"</t>
  </si>
  <si>
    <t>#Mankibo OR "Mankibo"</t>
  </si>
  <si>
    <t>#BlackTowerBasement OR "Black Tower Basement"</t>
  </si>
  <si>
    <t>#ExniloStudio OR "Exnilo Studio"</t>
  </si>
  <si>
    <t>#TinyRoar OR "Tiny Roar"</t>
  </si>
  <si>
    <t>#BitReactor OR "Bit Reactor"</t>
  </si>
  <si>
    <t>#Shapefarm OR "Shapefarm"</t>
  </si>
  <si>
    <t>#ShanghaiAliceReprise OR "Shanghai Alice Reprise"</t>
  </si>
  <si>
    <t>#Paperheadte4m OR "Paperhead te4m"</t>
  </si>
  <si>
    <t>#ScreenBurn OR "Screen Burn"</t>
  </si>
  <si>
    <t>#ScaryKidStudios OR "Scary Kid Studios"</t>
  </si>
  <si>
    <t>#BandaiNamcoAcesInc. OR "Bandai Namco Aces Inc."</t>
  </si>
  <si>
    <t>#ThirdShift OR "Third Shift"</t>
  </si>
  <si>
    <t>#SaibotStudios OR "Saibot Studios"</t>
  </si>
  <si>
    <t>#RocketEngineCoLtd. OR "Rocket-Engine Co.,Ltd."</t>
  </si>
  <si>
    <t>#PStudio OR "P-Studio"</t>
  </si>
  <si>
    <t>#LeCartelStudio OR "Le Cartel Studio"</t>
  </si>
  <si>
    <t>#OmiyaSoft OR "Omiya Soft"</t>
  </si>
  <si>
    <t>#SunnyLab OR "Sunny Lab"</t>
  </si>
  <si>
    <t>#RedSawGameStudio OR "RedSaw Game Studio"</t>
  </si>
  <si>
    <t>#Kalinarm OR "Kalinarm"</t>
  </si>
  <si>
    <t>#Hypnohead OR "Hypnohead"</t>
  </si>
  <si>
    <t>#WildArtsGames OR "WildArts Games"</t>
  </si>
  <si>
    <t>#ArbitraryMetric OR "Arbitrary Metric"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</si>
</sst>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m-d"/>
  </numFmts>
  <fonts count="48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b/>
      <sz val="12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353744"/>
      <name val="&quot;Proxima Nova&quot;"/>
    </font>
    <font>
      <sz val="10.0"/>
      <color theme="1"/>
      <name val="Arial"/>
      <scheme val="minor"/>
    </font>
    <font>
      <sz val="10.0"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rgb="FF000000"/>
      <name val="Calibri"/>
    </font>
    <font>
      <color rgb="FF323537"/>
      <name val="Arial"/>
    </font>
    <font>
      <sz val="12.0"/>
      <color rgb="FF000000"/>
      <name val="Calibri"/>
    </font>
    <font>
      <sz val="11.0"/>
      <color theme="1"/>
      <name val="Arial"/>
    </font>
    <font>
      <color rgb="FF000000"/>
      <name val="Arial"/>
      <scheme val="minor"/>
    </font>
    <font>
      <sz val="9.0"/>
      <color rgb="FF323537"/>
      <name val="&quot;Helvetica Neue&quot;"/>
    </font>
    <font>
      <u/>
      <sz val="10.0"/>
      <color rgb="FF000000"/>
      <name val="Calibri"/>
    </font>
    <font>
      <u/>
      <sz val="10.0"/>
      <color rgb="FF000000"/>
      <name val="Calibri"/>
    </font>
    <font>
      <u/>
      <color rgb="FF0000FF"/>
    </font>
    <font>
      <sz val="10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1E1F21"/>
      <name val="Arial"/>
    </font>
    <font>
      <u/>
      <sz val="10.0"/>
      <color rgb="FF0000FF"/>
    </font>
    <font>
      <sz val="10.0"/>
      <color rgb="FF0000FF"/>
    </font>
    <font>
      <u/>
      <sz val="10.0"/>
      <color rgb="FF1155CC"/>
      <name val="Arial"/>
    </font>
    <font>
      <u/>
      <sz val="10.0"/>
      <color rgb="FF000000"/>
      <name val="Calibri"/>
    </font>
    <font>
      <sz val="10.0"/>
      <color rgb="FF323537"/>
      <name val="Helvetica Neue"/>
    </font>
    <font>
      <u/>
      <sz val="10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2.0"/>
      <color theme="1"/>
      <name val="Calibri"/>
    </font>
    <font>
      <u/>
      <color rgb="FF1155CC"/>
      <name val="Arial"/>
    </font>
    <font>
      <u/>
      <sz val="12.0"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2.0"/>
      <color rgb="FF0000FF"/>
      <name val="Calibri"/>
    </font>
    <font>
      <u/>
      <color rgb="FF000000"/>
      <name val="Arial"/>
    </font>
    <font>
      <u/>
      <sz val="12.0"/>
      <color rgb="FF1155CC"/>
      <name val="Calibri"/>
    </font>
    <font>
      <u/>
      <color rgb="FF0000FF"/>
    </font>
    <font>
      <u/>
      <color rgb="FF1155CC"/>
      <name val="Arial"/>
    </font>
    <font>
      <u/>
      <sz val="12.0"/>
      <color rgb="FF0000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3" fontId="7" numFmtId="0" xfId="0" applyAlignment="1" applyFill="1" applyFont="1">
      <alignment shrinkToFit="0" wrapText="0"/>
    </xf>
    <xf borderId="0" fillId="3" fontId="8" numFmtId="0" xfId="0" applyAlignment="1" applyFont="1">
      <alignment horizontal="left" readingOrder="0" shrinkToFit="0" vertical="bottom" wrapText="0"/>
    </xf>
    <xf borderId="0" fillId="4" fontId="7" numFmtId="0" xfId="0" applyAlignment="1" applyFill="1" applyFont="1">
      <alignment shrinkToFit="0" wrapText="0"/>
    </xf>
    <xf borderId="0" fillId="0" fontId="9" numFmtId="0" xfId="0" applyAlignment="1" applyFont="1">
      <alignment readingOrder="0"/>
    </xf>
    <xf borderId="0" fillId="4" fontId="8" numFmtId="0" xfId="0" applyAlignment="1" applyFont="1">
      <alignment horizontal="left" readingOrder="0" shrinkToFit="0" vertical="bottom" wrapText="0"/>
    </xf>
    <xf borderId="0" fillId="4" fontId="8" numFmtId="0" xfId="0" applyAlignment="1" applyFont="1">
      <alignment horizontal="left" readingOrder="0" shrinkToFit="0" vertical="bottom" wrapText="0"/>
    </xf>
    <xf borderId="0" fillId="0" fontId="4" numFmtId="0" xfId="0" applyFont="1"/>
    <xf borderId="0" fillId="0" fontId="1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5" fontId="1" numFmtId="0" xfId="0" applyAlignment="1" applyFill="1" applyFont="1">
      <alignment readingOrder="0" shrinkToFit="0" vertical="bottom" wrapText="0"/>
    </xf>
    <xf borderId="0" fillId="3" fontId="4" numFmtId="0" xfId="0" applyAlignment="1" applyFont="1">
      <alignment shrinkToFit="0" wrapText="0"/>
    </xf>
    <xf borderId="0" fillId="2" fontId="1" numFmtId="0" xfId="0" applyAlignment="1" applyFont="1">
      <alignment horizontal="left" readingOrder="0" shrinkToFit="0" vertical="bottom" wrapText="0"/>
    </xf>
    <xf borderId="0" fillId="3" fontId="11" numFmtId="0" xfId="0" applyAlignment="1" applyFont="1">
      <alignment horizontal="left" readingOrder="0" shrinkToFit="0" vertical="bottom" wrapText="0"/>
    </xf>
    <xf borderId="0" fillId="6" fontId="1" numFmtId="0" xfId="0" applyAlignment="1" applyFill="1" applyFont="1">
      <alignment horizontal="left"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2" fontId="4" numFmtId="0" xfId="0" applyFont="1"/>
    <xf borderId="0" fillId="3" fontId="4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5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readingOrder="0"/>
    </xf>
    <xf borderId="0" fillId="0" fontId="4" numFmtId="0" xfId="0" applyFont="1"/>
    <xf borderId="0" fillId="0" fontId="16" numFmtId="164" xfId="0" applyAlignment="1" applyFont="1" applyNumberFormat="1">
      <alignment horizontal="left" readingOrder="0"/>
    </xf>
    <xf borderId="0" fillId="0" fontId="11" numFmtId="0" xfId="0" applyAlignment="1" applyFont="1">
      <alignment readingOrder="0" shrinkToFit="0" vertical="bottom" wrapText="0"/>
    </xf>
    <xf borderId="0" fillId="0" fontId="7" numFmtId="0" xfId="0" applyFont="1"/>
    <xf borderId="0" fillId="0" fontId="2" numFmtId="0" xfId="0" applyAlignment="1" applyFont="1">
      <alignment readingOrder="0" vertical="bottom"/>
    </xf>
    <xf borderId="0" fillId="7" fontId="17" numFmtId="0" xfId="0" applyAlignment="1" applyFill="1" applyFont="1">
      <alignment shrinkToFit="0" wrapText="0"/>
    </xf>
    <xf borderId="0" fillId="7" fontId="17" numFmtId="0" xfId="0" applyAlignment="1" applyFont="1">
      <alignment readingOrder="0" shrinkToFit="0" wrapText="0"/>
    </xf>
    <xf borderId="0" fillId="2" fontId="4" numFmtId="164" xfId="0" applyFont="1" applyNumberFormat="1"/>
    <xf borderId="0" fillId="7" fontId="11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11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2" fontId="4" numFmtId="0" xfId="0" applyAlignment="1" applyFont="1">
      <alignment shrinkToFit="0" wrapText="0"/>
    </xf>
    <xf borderId="0" fillId="0" fontId="4" numFmtId="164" xfId="0" applyAlignment="1" applyFont="1" applyNumberFormat="1">
      <alignment horizontal="left" readingOrder="0"/>
    </xf>
    <xf borderId="0" fillId="8" fontId="18" numFmtId="0" xfId="0" applyAlignment="1" applyFill="1" applyFont="1">
      <alignment readingOrder="0"/>
    </xf>
    <xf borderId="0" fillId="0" fontId="16" numFmtId="0" xfId="0" applyAlignment="1" applyFont="1">
      <alignment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readingOrder="0" vertical="bottom"/>
    </xf>
    <xf borderId="0" fillId="2" fontId="4" numFmtId="165" xfId="0" applyFont="1" applyNumberFormat="1"/>
    <xf borderId="0" fillId="0" fontId="16" numFmtId="0" xfId="0" applyAlignment="1" applyFont="1">
      <alignment readingOrder="0" shrinkToFit="0" vertical="bottom" wrapText="0"/>
    </xf>
    <xf borderId="0" fillId="0" fontId="7" numFmtId="0" xfId="0" applyFont="1"/>
    <xf borderId="0" fillId="0" fontId="13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readingOrder="0"/>
    </xf>
    <xf borderId="0" fillId="0" fontId="13" numFmtId="166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2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23" numFmtId="0" xfId="0" applyAlignment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7" numFmtId="0" xfId="0" applyAlignment="1" applyFont="1">
      <alignment shrinkToFit="0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3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41" numFmtId="0" xfId="0" applyFont="1"/>
    <xf borderId="0" fillId="0" fontId="42" numFmtId="0" xfId="0" applyAlignment="1" applyFont="1">
      <alignment vertical="bottom"/>
    </xf>
    <xf borderId="0" fillId="0" fontId="43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vertical="bottom"/>
    </xf>
    <xf borderId="0" fillId="0" fontId="45" numFmtId="0" xfId="0" applyAlignment="1" applyFont="1">
      <alignment horizontal="left" readingOrder="0" vertical="center"/>
    </xf>
    <xf borderId="0" fillId="0" fontId="46" numFmtId="0" xfId="0" applyAlignment="1" applyFont="1">
      <alignment readingOrder="0" shrinkToFit="0" vertical="bottom" wrapText="0"/>
    </xf>
    <xf borderId="0" fillId="0" fontId="47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vertical="bottom"/>
    </xf>
    <xf borderId="0" fillId="0" fontId="35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8" fontId="30" numFmtId="0" xfId="0" applyAlignment="1" applyFont="1">
      <alignment readingOrder="0" vertical="bottom"/>
    </xf>
    <xf borderId="0" fillId="0" fontId="4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PixelJunkQ" TargetMode="External"/><Relationship Id="rId42" Type="http://schemas.openxmlformats.org/officeDocument/2006/relationships/hyperlink" Target="https://www.youtube.com/@sokpopcollective" TargetMode="External"/><Relationship Id="rId41" Type="http://schemas.openxmlformats.org/officeDocument/2006/relationships/hyperlink" Target="https://www.youtube.com/@PanicVideo" TargetMode="External"/><Relationship Id="rId44" Type="http://schemas.openxmlformats.org/officeDocument/2006/relationships/hyperlink" Target="https://www.youtube.com/channel/UCXGkVtbbn7wnpJrKqkFLCxg" TargetMode="External"/><Relationship Id="rId43" Type="http://schemas.openxmlformats.org/officeDocument/2006/relationships/hyperlink" Target="https://www.youtube.com/@ZuuksGames" TargetMode="External"/><Relationship Id="rId46" Type="http://schemas.openxmlformats.org/officeDocument/2006/relationships/hyperlink" Target="https://www.youtube.com/@RainGamesOfficial" TargetMode="External"/><Relationship Id="rId45" Type="http://schemas.openxmlformats.org/officeDocument/2006/relationships/hyperlink" Target="https://www.youtube.com/channel/UCPRG66bnHqgDSD7NlmUPuZQ" TargetMode="External"/><Relationship Id="rId107" Type="http://schemas.openxmlformats.org/officeDocument/2006/relationships/hyperlink" Target="https://www.youtube.com/@mirebound" TargetMode="External"/><Relationship Id="rId106" Type="http://schemas.openxmlformats.org/officeDocument/2006/relationships/hyperlink" Target="https://www.youtube.com/@TYPE-MOON_GAMES" TargetMode="External"/><Relationship Id="rId105" Type="http://schemas.openxmlformats.org/officeDocument/2006/relationships/hyperlink" Target="https://www.youtube.com/@cloverbite" TargetMode="External"/><Relationship Id="rId104" Type="http://schemas.openxmlformats.org/officeDocument/2006/relationships/hyperlink" Target="https://www.youtube.com/@Hunter-Studio" TargetMode="External"/><Relationship Id="rId109" Type="http://schemas.openxmlformats.org/officeDocument/2006/relationships/hyperlink" Target="https://www.youtube.com/channel/UCsT7SP8E_UU-y3PeFVpSt5g" TargetMode="External"/><Relationship Id="rId108" Type="http://schemas.openxmlformats.org/officeDocument/2006/relationships/hyperlink" Target="https://www.youtube.com/channel/UC-Bon47XlksTjY7XrFgiajg" TargetMode="External"/><Relationship Id="rId48" Type="http://schemas.openxmlformats.org/officeDocument/2006/relationships/hyperlink" Target="https://www.youtube.com/user/NISAmerica" TargetMode="External"/><Relationship Id="rId187" Type="http://schemas.openxmlformats.org/officeDocument/2006/relationships/hyperlink" Target="https://www.youtube.com/@ArbitraryMetric" TargetMode="External"/><Relationship Id="rId47" Type="http://schemas.openxmlformats.org/officeDocument/2006/relationships/hyperlink" Target="https://www.youtube.com/@OldSkullGames" TargetMode="External"/><Relationship Id="rId186" Type="http://schemas.openxmlformats.org/officeDocument/2006/relationships/hyperlink" Target="https://www.youtube.com/@wildartsgames" TargetMode="External"/><Relationship Id="rId185" Type="http://schemas.openxmlformats.org/officeDocument/2006/relationships/hyperlink" Target="https://www.youtube.com/@hypnohead449" TargetMode="External"/><Relationship Id="rId49" Type="http://schemas.openxmlformats.org/officeDocument/2006/relationships/hyperlink" Target="https://www.youtube.com/user/bakaneko42" TargetMode="External"/><Relationship Id="rId184" Type="http://schemas.openxmlformats.org/officeDocument/2006/relationships/hyperlink" Target="https://www.youtube.com/@KalinarmDev" TargetMode="External"/><Relationship Id="rId103" Type="http://schemas.openxmlformats.org/officeDocument/2006/relationships/hyperlink" Target="https://www.youtube.com/@-cyberwave-studios" TargetMode="External"/><Relationship Id="rId102" Type="http://schemas.openxmlformats.org/officeDocument/2006/relationships/hyperlink" Target="https://www.youtube.com/@CygamesEN" TargetMode="External"/><Relationship Id="rId101" Type="http://schemas.openxmlformats.org/officeDocument/2006/relationships/hyperlink" Target="https://www.youtube.com/@Kraken85" TargetMode="External"/><Relationship Id="rId100" Type="http://schemas.openxmlformats.org/officeDocument/2006/relationships/hyperlink" Target="https://www.youtube.com/@KungFuFactory" TargetMode="External"/><Relationship Id="rId188" Type="http://schemas.openxmlformats.org/officeDocument/2006/relationships/drawing" Target="../drawings/drawing4.xml"/><Relationship Id="rId31" Type="http://schemas.openxmlformats.org/officeDocument/2006/relationships/hyperlink" Target="https://www.youtube.com/channel/UCquCHIIf10VsVbbFre-DZDw" TargetMode="External"/><Relationship Id="rId30" Type="http://schemas.openxmlformats.org/officeDocument/2006/relationships/hyperlink" Target="https://www.youtube.com/@qureate" TargetMode="External"/><Relationship Id="rId33" Type="http://schemas.openxmlformats.org/officeDocument/2006/relationships/hyperlink" Target="https://www.youtube.com/channel/UCrx4hbPhZjUm6rtpN4CiX7w" TargetMode="External"/><Relationship Id="rId183" Type="http://schemas.openxmlformats.org/officeDocument/2006/relationships/hyperlink" Target="https://www.youtube.com/@SunnyLabGames" TargetMode="External"/><Relationship Id="rId32" Type="http://schemas.openxmlformats.org/officeDocument/2006/relationships/hyperlink" Target="https://www.youtube.com/@webeharebrained" TargetMode="External"/><Relationship Id="rId182" Type="http://schemas.openxmlformats.org/officeDocument/2006/relationships/hyperlink" Target="https://www.youtube.com/omiyagames" TargetMode="External"/><Relationship Id="rId35" Type="http://schemas.openxmlformats.org/officeDocument/2006/relationships/hyperlink" Target="https://www.youtube.com/user/GameGrumps" TargetMode="External"/><Relationship Id="rId181" Type="http://schemas.openxmlformats.org/officeDocument/2006/relationships/hyperlink" Target="https://www.youtube.com/@TheBlackLanternCollective" TargetMode="External"/><Relationship Id="rId34" Type="http://schemas.openxmlformats.org/officeDocument/2006/relationships/hyperlink" Target="https://www.youtube.com/@echodoggames4342" TargetMode="External"/><Relationship Id="rId180" Type="http://schemas.openxmlformats.org/officeDocument/2006/relationships/hyperlink" Target="https://www.youtube.com/c/SaibotstudiosOfficial" TargetMode="External"/><Relationship Id="rId37" Type="http://schemas.openxmlformats.org/officeDocument/2006/relationships/hyperlink" Target="https://www.youtube.com/@thatgamecompany" TargetMode="External"/><Relationship Id="rId176" Type="http://schemas.openxmlformats.org/officeDocument/2006/relationships/hyperlink" Target="https://www.youtube.com/@SCARYKIDSTUDIOS" TargetMode="External"/><Relationship Id="rId36" Type="http://schemas.openxmlformats.org/officeDocument/2006/relationships/hyperlink" Target="https://www.youtube.com/@StudioDrydock" TargetMode="External"/><Relationship Id="rId175" Type="http://schemas.openxmlformats.org/officeDocument/2006/relationships/hyperlink" Target="https://www.youtube.com/@neos_games" TargetMode="External"/><Relationship Id="rId39" Type="http://schemas.openxmlformats.org/officeDocument/2006/relationships/hyperlink" Target="https://www.youtube.com/@MyrkurGames" TargetMode="External"/><Relationship Id="rId174" Type="http://schemas.openxmlformats.org/officeDocument/2006/relationships/hyperlink" Target="https://www.youtube.com/@newbloodinteractive" TargetMode="External"/><Relationship Id="rId38" Type="http://schemas.openxmlformats.org/officeDocument/2006/relationships/hyperlink" Target="https://www.youtube.com/@esophaguys" TargetMode="External"/><Relationship Id="rId173" Type="http://schemas.openxmlformats.org/officeDocument/2006/relationships/hyperlink" Target="https://www.youtube.com/@paperhead_the_game" TargetMode="External"/><Relationship Id="rId179" Type="http://schemas.openxmlformats.org/officeDocument/2006/relationships/hyperlink" Target="https://www.youtube.com/@ThirdShiftStudio" TargetMode="External"/><Relationship Id="rId178" Type="http://schemas.openxmlformats.org/officeDocument/2006/relationships/hyperlink" Target="https://www.youtube.com/@ThisIsRelic" TargetMode="External"/><Relationship Id="rId177" Type="http://schemas.openxmlformats.org/officeDocument/2006/relationships/hyperlink" Target="https://www.youtube.com/@SilverLiningInteractive" TargetMode="External"/><Relationship Id="rId20" Type="http://schemas.openxmlformats.org/officeDocument/2006/relationships/hyperlink" Target="https://www.youtube.com/@ConcernedApe" TargetMode="External"/><Relationship Id="rId22" Type="http://schemas.openxmlformats.org/officeDocument/2006/relationships/hyperlink" Target="https://www.youtube.com/@10Chambers" TargetMode="External"/><Relationship Id="rId21" Type="http://schemas.openxmlformats.org/officeDocument/2006/relationships/hyperlink" Target="https://www.youtube.com/@ZeekerssRBLX" TargetMode="External"/><Relationship Id="rId24" Type="http://schemas.openxmlformats.org/officeDocument/2006/relationships/hyperlink" Target="https://www.youtube.com/channel/UCZYIaj_zJi2qyu07oO4pHmw" TargetMode="External"/><Relationship Id="rId23" Type="http://schemas.openxmlformats.org/officeDocument/2006/relationships/hyperlink" Target="https://www.youtube.com/channel/UCS6s3OidfTU0fMRScTGE_jg" TargetMode="External"/><Relationship Id="rId129" Type="http://schemas.openxmlformats.org/officeDocument/2006/relationships/hyperlink" Target="https://www.youtube.com/@FuseGamesUK" TargetMode="External"/><Relationship Id="rId128" Type="http://schemas.openxmlformats.org/officeDocument/2006/relationships/hyperlink" Target="https://www.youtube.com/@RebelWolvesDevs" TargetMode="External"/><Relationship Id="rId127" Type="http://schemas.openxmlformats.org/officeDocument/2006/relationships/hyperlink" Target="https://www.youtube.com/@FlywayGames" TargetMode="External"/><Relationship Id="rId126" Type="http://schemas.openxmlformats.org/officeDocument/2006/relationships/hyperlink" Target="https://www.youtube.com/@pokemon" TargetMode="External"/><Relationship Id="rId26" Type="http://schemas.openxmlformats.org/officeDocument/2006/relationships/hyperlink" Target="https://www.youtube.com/@DarkPointGames" TargetMode="External"/><Relationship Id="rId121" Type="http://schemas.openxmlformats.org/officeDocument/2006/relationships/hyperlink" Target="https://www.youtube.com/@TomorrowHeadStudio" TargetMode="External"/><Relationship Id="rId25" Type="http://schemas.openxmlformats.org/officeDocument/2006/relationships/hyperlink" Target="https://www.youtube.com/user/STASISGame" TargetMode="External"/><Relationship Id="rId120" Type="http://schemas.openxmlformats.org/officeDocument/2006/relationships/hyperlink" Target="https://www.youtube.com/@smartravenstudio7543" TargetMode="External"/><Relationship Id="rId28" Type="http://schemas.openxmlformats.org/officeDocument/2006/relationships/hyperlink" Target="https://www.youtube.com/@JoeyDrewStudios" TargetMode="External"/><Relationship Id="rId27" Type="http://schemas.openxmlformats.org/officeDocument/2006/relationships/hyperlink" Target="https://www.youtube.com/@goblinzpublishing" TargetMode="External"/><Relationship Id="rId125" Type="http://schemas.openxmlformats.org/officeDocument/2006/relationships/hyperlink" Target="https://www.youtube.com/@FrozenWayGames" TargetMode="External"/><Relationship Id="rId29" Type="http://schemas.openxmlformats.org/officeDocument/2006/relationships/hyperlink" Target="https://www.youtube.com/@toukana" TargetMode="External"/><Relationship Id="rId124" Type="http://schemas.openxmlformats.org/officeDocument/2006/relationships/hyperlink" Target="https://www.youtube.com/@poncle_Games" TargetMode="External"/><Relationship Id="rId123" Type="http://schemas.openxmlformats.org/officeDocument/2006/relationships/hyperlink" Target="https://www.youtube.com/@bonsaicollective" TargetMode="External"/><Relationship Id="rId122" Type="http://schemas.openxmlformats.org/officeDocument/2006/relationships/hyperlink" Target="https://www.youtube.com/@timberlinestudio" TargetMode="External"/><Relationship Id="rId95" Type="http://schemas.openxmlformats.org/officeDocument/2006/relationships/hyperlink" Target="https://www.youtube.com/@SobakaStudio" TargetMode="External"/><Relationship Id="rId94" Type="http://schemas.openxmlformats.org/officeDocument/2006/relationships/hyperlink" Target="https://www.youtube.com/@tatsujin301" TargetMode="External"/><Relationship Id="rId97" Type="http://schemas.openxmlformats.org/officeDocument/2006/relationships/hyperlink" Target="https://www.youtube.com/@quantumfrog2696" TargetMode="External"/><Relationship Id="rId96" Type="http://schemas.openxmlformats.org/officeDocument/2006/relationships/hyperlink" Target="https://www.youtube.com/@perfectgarbagestudios" TargetMode="External"/><Relationship Id="rId11" Type="http://schemas.openxmlformats.org/officeDocument/2006/relationships/hyperlink" Target="http://pixel.lu" TargetMode="External"/><Relationship Id="rId99" Type="http://schemas.openxmlformats.org/officeDocument/2006/relationships/hyperlink" Target="https://www.youtube.com/@EdmundMcMillenGames" TargetMode="External"/><Relationship Id="rId10" Type="http://schemas.openxmlformats.org/officeDocument/2006/relationships/hyperlink" Target="http://nakana.io" TargetMode="External"/><Relationship Id="rId98" Type="http://schemas.openxmlformats.org/officeDocument/2006/relationships/hyperlink" Target="https://www.youtube.com/@malformationgames" TargetMode="External"/><Relationship Id="rId13" Type="http://schemas.openxmlformats.org/officeDocument/2006/relationships/hyperlink" Target="https://www.youtube.com/user/RareLimited" TargetMode="External"/><Relationship Id="rId12" Type="http://schemas.openxmlformats.org/officeDocument/2006/relationships/hyperlink" Target="http://realities.io" TargetMode="External"/><Relationship Id="rId91" Type="http://schemas.openxmlformats.org/officeDocument/2006/relationships/hyperlink" Target="https://www.youtube.com/@nyamakop" TargetMode="External"/><Relationship Id="rId90" Type="http://schemas.openxmlformats.org/officeDocument/2006/relationships/hyperlink" Target="https://www.youtube.com/@GameplayGrp" TargetMode="External"/><Relationship Id="rId93" Type="http://schemas.openxmlformats.org/officeDocument/2006/relationships/hyperlink" Target="https://www.youtube.com/@Aerial_Knight" TargetMode="External"/><Relationship Id="rId92" Type="http://schemas.openxmlformats.org/officeDocument/2006/relationships/hyperlink" Target="https://www.youtube.com/@FlywayGames" TargetMode="External"/><Relationship Id="rId118" Type="http://schemas.openxmlformats.org/officeDocument/2006/relationships/hyperlink" Target="https://www.youtube.com/@altshift_games" TargetMode="External"/><Relationship Id="rId117" Type="http://schemas.openxmlformats.org/officeDocument/2006/relationships/hyperlink" Target="https://www.youtube.com/@SilverLiningInt" TargetMode="External"/><Relationship Id="rId116" Type="http://schemas.openxmlformats.org/officeDocument/2006/relationships/hyperlink" Target="https://www.youtube.com/@maximumentmt" TargetMode="External"/><Relationship Id="rId115" Type="http://schemas.openxmlformats.org/officeDocument/2006/relationships/hyperlink" Target="https://www.youtube.com/@ExkeeTeam" TargetMode="External"/><Relationship Id="rId119" Type="http://schemas.openxmlformats.org/officeDocument/2006/relationships/hyperlink" Target="https://www.youtube.com/@GAMESOURCEENTERTAINMENT" TargetMode="External"/><Relationship Id="rId15" Type="http://schemas.openxmlformats.org/officeDocument/2006/relationships/hyperlink" Target="http://super.com" TargetMode="External"/><Relationship Id="rId110" Type="http://schemas.openxmlformats.org/officeDocument/2006/relationships/hyperlink" Target="https://www.youtube.com/@shueishagames6941" TargetMode="External"/><Relationship Id="rId14" Type="http://schemas.openxmlformats.org/officeDocument/2006/relationships/hyperlink" Target="https://www.youtube.com/channel/UCmbgEJOXvrcK_D265Vs_Ixw" TargetMode="External"/><Relationship Id="rId17" Type="http://schemas.openxmlformats.org/officeDocument/2006/relationships/hyperlink" Target="http://wargaming.net" TargetMode="External"/><Relationship Id="rId16" Type="http://schemas.openxmlformats.org/officeDocument/2006/relationships/hyperlink" Target="https://www.youtube.com/@LaCoalicion." TargetMode="External"/><Relationship Id="rId19" Type="http://schemas.openxmlformats.org/officeDocument/2006/relationships/hyperlink" Target="https://www.youtube.com/@officialkineticgames" TargetMode="External"/><Relationship Id="rId114" Type="http://schemas.openxmlformats.org/officeDocument/2006/relationships/hyperlink" Target="https://www.youtube.com/@blissbrain3951" TargetMode="External"/><Relationship Id="rId18" Type="http://schemas.openxmlformats.org/officeDocument/2006/relationships/hyperlink" Target="https://www.youtube.com/@Battlestategames" TargetMode="External"/><Relationship Id="rId113" Type="http://schemas.openxmlformats.org/officeDocument/2006/relationships/hyperlink" Target="https://www.youtube.com/@4divinitygames" TargetMode="External"/><Relationship Id="rId112" Type="http://schemas.openxmlformats.org/officeDocument/2006/relationships/hyperlink" Target="https://www.youtube.com/@CavalierGameStudios" TargetMode="External"/><Relationship Id="rId111" Type="http://schemas.openxmlformats.org/officeDocument/2006/relationships/hyperlink" Target="https://www.youtube.com/@DevespressoGames" TargetMode="External"/><Relationship Id="rId84" Type="http://schemas.openxmlformats.org/officeDocument/2006/relationships/hyperlink" Target="https://www.youtube.com/@WildlightEntertainment" TargetMode="External"/><Relationship Id="rId83" Type="http://schemas.openxmlformats.org/officeDocument/2006/relationships/hyperlink" Target="https://www.youtube.com/@poncle_Games" TargetMode="External"/><Relationship Id="rId86" Type="http://schemas.openxmlformats.org/officeDocument/2006/relationships/hyperlink" Target="https://www.youtube.com/@Sluggerfly" TargetMode="External"/><Relationship Id="rId85" Type="http://schemas.openxmlformats.org/officeDocument/2006/relationships/hyperlink" Target="https://www.youtube.com/@IKINAGAMES" TargetMode="External"/><Relationship Id="rId88" Type="http://schemas.openxmlformats.org/officeDocument/2006/relationships/hyperlink" Target="https://www.youtube.com/@MaginTRPS" TargetMode="External"/><Relationship Id="rId150" Type="http://schemas.openxmlformats.org/officeDocument/2006/relationships/hyperlink" Target="https://www.youtube.com/@RetrovibeGames" TargetMode="External"/><Relationship Id="rId87" Type="http://schemas.openxmlformats.org/officeDocument/2006/relationships/hyperlink" Target="https://www.youtube.com/@AdHoc-Studio" TargetMode="External"/><Relationship Id="rId89" Type="http://schemas.openxmlformats.org/officeDocument/2006/relationships/hyperlink" Target="https://www.youtube.com/@22CansOfficial" TargetMode="External"/><Relationship Id="rId80" Type="http://schemas.openxmlformats.org/officeDocument/2006/relationships/hyperlink" Target="https://www.youtube.com/@FocusEntertainmentOfficial%7C" TargetMode="External"/><Relationship Id="rId82" Type="http://schemas.openxmlformats.org/officeDocument/2006/relationships/hyperlink" Target="https://www.youtube.com/channel/UC_5phqtWNEs0RFghclZKrRA" TargetMode="External"/><Relationship Id="rId81" Type="http://schemas.openxmlformats.org/officeDocument/2006/relationships/hyperlink" Target="https://www.youtube.com/@SecretMode%7C" TargetMode="External"/><Relationship Id="rId1" Type="http://schemas.openxmlformats.org/officeDocument/2006/relationships/hyperlink" Target="http://david-lewis.com" TargetMode="External"/><Relationship Id="rId2" Type="http://schemas.openxmlformats.org/officeDocument/2006/relationships/hyperlink" Target="http://diggidy.net" TargetMode="External"/><Relationship Id="rId3" Type="http://schemas.openxmlformats.org/officeDocument/2006/relationships/hyperlink" Target="http://fullpowersideattack.com" TargetMode="External"/><Relationship Id="rId149" Type="http://schemas.openxmlformats.org/officeDocument/2006/relationships/hyperlink" Target="https://www.youtube.com/@EatPantGames" TargetMode="External"/><Relationship Id="rId4" Type="http://schemas.openxmlformats.org/officeDocument/2006/relationships/hyperlink" Target="http://loadupgames.com" TargetMode="External"/><Relationship Id="rId148" Type="http://schemas.openxmlformats.org/officeDocument/2006/relationships/hyperlink" Target="https://www.youtube.com/@LifelineGames." TargetMode="External"/><Relationship Id="rId9" Type="http://schemas.openxmlformats.org/officeDocument/2006/relationships/hyperlink" Target="http://mynika.de" TargetMode="External"/><Relationship Id="rId143" Type="http://schemas.openxmlformats.org/officeDocument/2006/relationships/hyperlink" Target="https://www.youtube.com/@skystone_games" TargetMode="External"/><Relationship Id="rId142" Type="http://schemas.openxmlformats.org/officeDocument/2006/relationships/hyperlink" Target="https://www.youtube.com/@embersgames" TargetMode="External"/><Relationship Id="rId141" Type="http://schemas.openxmlformats.org/officeDocument/2006/relationships/hyperlink" Target="https://www.youtube.com/@bonsaicollective" TargetMode="External"/><Relationship Id="rId140" Type="http://schemas.openxmlformats.org/officeDocument/2006/relationships/hyperlink" Target="https://www.youtube.com/@sleepwalkingpotatoes" TargetMode="External"/><Relationship Id="rId5" Type="http://schemas.openxmlformats.org/officeDocument/2006/relationships/hyperlink" Target="http://mad.com" TargetMode="External"/><Relationship Id="rId147" Type="http://schemas.openxmlformats.org/officeDocument/2006/relationships/hyperlink" Target="https://www.youtube.com/@indoorastronaut" TargetMode="External"/><Relationship Id="rId6" Type="http://schemas.openxmlformats.org/officeDocument/2006/relationships/hyperlink" Target="http://miniclip.com" TargetMode="External"/><Relationship Id="rId146" Type="http://schemas.openxmlformats.org/officeDocument/2006/relationships/hyperlink" Target="https://www.youtube.com/@mintrocket_official" TargetMode="External"/><Relationship Id="rId7" Type="http://schemas.openxmlformats.org/officeDocument/2006/relationships/hyperlink" Target="http://mlb.com" TargetMode="External"/><Relationship Id="rId145" Type="http://schemas.openxmlformats.org/officeDocument/2006/relationships/hyperlink" Target="https://www.youtube.com/@NBATHERUN" TargetMode="External"/><Relationship Id="rId8" Type="http://schemas.openxmlformats.org/officeDocument/2006/relationships/hyperlink" Target="http://my.com/" TargetMode="External"/><Relationship Id="rId144" Type="http://schemas.openxmlformats.org/officeDocument/2006/relationships/hyperlink" Target="https://www.youtube.com/@CasualBrothersltd" TargetMode="External"/><Relationship Id="rId73" Type="http://schemas.openxmlformats.org/officeDocument/2006/relationships/hyperlink" Target="https://www.youtube.com/@Blumhouse" TargetMode="External"/><Relationship Id="rId72" Type="http://schemas.openxmlformats.org/officeDocument/2006/relationships/hyperlink" Target="https://www.youtube.com/@SelectaPlay" TargetMode="External"/><Relationship Id="rId75" Type="http://schemas.openxmlformats.org/officeDocument/2006/relationships/hyperlink" Target="https://www.youtube.com/@PlaySideStudiosOfficial" TargetMode="External"/><Relationship Id="rId74" Type="http://schemas.openxmlformats.org/officeDocument/2006/relationships/hyperlink" Target="https://www.youtube.com/@noodlecatgames" TargetMode="External"/><Relationship Id="rId77" Type="http://schemas.openxmlformats.org/officeDocument/2006/relationships/hyperlink" Target="http://youtube.com/@apogeeentertainment" TargetMode="External"/><Relationship Id="rId76" Type="http://schemas.openxmlformats.org/officeDocument/2006/relationships/hyperlink" Target="https://www.youtube.com/@SerafiniProductions" TargetMode="External"/><Relationship Id="rId79" Type="http://schemas.openxmlformats.org/officeDocument/2006/relationships/hyperlink" Target="https://www.youtube.com/channel/UCS7K-0TzJiSPINC3Wju9eIA" TargetMode="External"/><Relationship Id="rId78" Type="http://schemas.openxmlformats.org/officeDocument/2006/relationships/hyperlink" Target="https://www.youtube.com/@arenanet" TargetMode="External"/><Relationship Id="rId71" Type="http://schemas.openxmlformats.org/officeDocument/2006/relationships/hyperlink" Target="https://www.youtube.com/@gravityga" TargetMode="External"/><Relationship Id="rId70" Type="http://schemas.openxmlformats.org/officeDocument/2006/relationships/hyperlink" Target="http://www.youtube.com/@TopHatStudiosEN" TargetMode="External"/><Relationship Id="rId139" Type="http://schemas.openxmlformats.org/officeDocument/2006/relationships/hyperlink" Target="https://www.youtube.com/@timberlinestudio" TargetMode="External"/><Relationship Id="rId138" Type="http://schemas.openxmlformats.org/officeDocument/2006/relationships/hyperlink" Target="https://www.youtube.com/@circlefromdot5300" TargetMode="External"/><Relationship Id="rId137" Type="http://schemas.openxmlformats.org/officeDocument/2006/relationships/hyperlink" Target="https://www.youtube.com/@mythwright" TargetMode="External"/><Relationship Id="rId132" Type="http://schemas.openxmlformats.org/officeDocument/2006/relationships/hyperlink" Target="https://www.youtube.com/@PlayWindrose" TargetMode="External"/><Relationship Id="rId131" Type="http://schemas.openxmlformats.org/officeDocument/2006/relationships/hyperlink" Target="https://www.youtube.com/@RegularStudio" TargetMode="External"/><Relationship Id="rId130" Type="http://schemas.openxmlformats.org/officeDocument/2006/relationships/hyperlink" Target="https://www.youtube.com/@kwaleegaming" TargetMode="External"/><Relationship Id="rId136" Type="http://schemas.openxmlformats.org/officeDocument/2006/relationships/hyperlink" Target="https://www.youtube.com/@Hunter-Studio" TargetMode="External"/><Relationship Id="rId135" Type="http://schemas.openxmlformats.org/officeDocument/2006/relationships/hyperlink" Target="https://www.youtube.com/@NBATHERUN" TargetMode="External"/><Relationship Id="rId134" Type="http://schemas.openxmlformats.org/officeDocument/2006/relationships/hyperlink" Target="https://www.youtube.com/@rokaplay" TargetMode="External"/><Relationship Id="rId133" Type="http://schemas.openxmlformats.org/officeDocument/2006/relationships/hyperlink" Target="https://www.youtube.com/@megabit-publishing" TargetMode="External"/><Relationship Id="rId62" Type="http://schemas.openxmlformats.org/officeDocument/2006/relationships/hyperlink" Target="https://www.youtube.com/@agetecplay3158" TargetMode="External"/><Relationship Id="rId61" Type="http://schemas.openxmlformats.org/officeDocument/2006/relationships/hyperlink" Target="https://www.youtube.com/channel/UCAokHfC4haTyDs1S-jblvag" TargetMode="External"/><Relationship Id="rId64" Type="http://schemas.openxmlformats.org/officeDocument/2006/relationships/hyperlink" Target="https://www.youtube.com/channel/UC4VOruzWgcoOmnGTHFgRcgg" TargetMode="External"/><Relationship Id="rId63" Type="http://schemas.openxmlformats.org/officeDocument/2006/relationships/hyperlink" Target="https://www.youtube.com/@AccoladePlayz" TargetMode="External"/><Relationship Id="rId66" Type="http://schemas.openxmlformats.org/officeDocument/2006/relationships/hyperlink" Target="https://www.youtube.com/@hybrid360studio3" TargetMode="External"/><Relationship Id="rId172" Type="http://schemas.openxmlformats.org/officeDocument/2006/relationships/hyperlink" Target="https://www.youtube.com/@atari" TargetMode="External"/><Relationship Id="rId65" Type="http://schemas.openxmlformats.org/officeDocument/2006/relationships/hyperlink" Target="https://www.youtube.com/@8floor207" TargetMode="External"/><Relationship Id="rId171" Type="http://schemas.openxmlformats.org/officeDocument/2006/relationships/hyperlink" Target="https://www.youtube.com/@thejagexchannel" TargetMode="External"/><Relationship Id="rId68" Type="http://schemas.openxmlformats.org/officeDocument/2006/relationships/hyperlink" Target="https://www.youtube.com/@plaionjapan" TargetMode="External"/><Relationship Id="rId170" Type="http://schemas.openxmlformats.org/officeDocument/2006/relationships/hyperlink" Target="https://www.youtube.com/@LyricalGamesCo" TargetMode="External"/><Relationship Id="rId67" Type="http://schemas.openxmlformats.org/officeDocument/2006/relationships/hyperlink" Target="https://www.youtube.com/@PlayShorelineGames" TargetMode="External"/><Relationship Id="rId60" Type="http://schemas.openxmlformats.org/officeDocument/2006/relationships/hyperlink" Target="https://www.youtube.com/@beamng" TargetMode="External"/><Relationship Id="rId165" Type="http://schemas.openxmlformats.org/officeDocument/2006/relationships/hyperlink" Target="https://www.youtube.com/@ExniloStudio" TargetMode="External"/><Relationship Id="rId69" Type="http://schemas.openxmlformats.org/officeDocument/2006/relationships/hyperlink" Target="https://www.youtube.com/@TwinSailsInteractive" TargetMode="External"/><Relationship Id="rId164" Type="http://schemas.openxmlformats.org/officeDocument/2006/relationships/hyperlink" Target="https://www.youtube.com/@keplerinteractive" TargetMode="External"/><Relationship Id="rId163" Type="http://schemas.openxmlformats.org/officeDocument/2006/relationships/hyperlink" Target="https://www.youtube.com/@Nordcurrent" TargetMode="External"/><Relationship Id="rId162" Type="http://schemas.openxmlformats.org/officeDocument/2006/relationships/hyperlink" Target="https://www.youtube.com/@mankibogames" TargetMode="External"/><Relationship Id="rId169" Type="http://schemas.openxmlformats.org/officeDocument/2006/relationships/hyperlink" Target="https://www.youtube.com/@Shapefarm" TargetMode="External"/><Relationship Id="rId168" Type="http://schemas.openxmlformats.org/officeDocument/2006/relationships/hyperlink" Target="https://www.youtube.com/@thejagexchannel" TargetMode="External"/><Relationship Id="rId167" Type="http://schemas.openxmlformats.org/officeDocument/2006/relationships/hyperlink" Target="https://www.youtube.com/@allianceartsofficial" TargetMode="External"/><Relationship Id="rId166" Type="http://schemas.openxmlformats.org/officeDocument/2006/relationships/hyperlink" Target="https://www.youtube.com/@tinyroar_Devs" TargetMode="External"/><Relationship Id="rId51" Type="http://schemas.openxmlformats.org/officeDocument/2006/relationships/hyperlink" Target="https://www.youtube.com/@MilestoneTeam" TargetMode="External"/><Relationship Id="rId50" Type="http://schemas.openxmlformats.org/officeDocument/2006/relationships/hyperlink" Target="https://www.youtube.com/@MYDOTGAMES" TargetMode="External"/><Relationship Id="rId53" Type="http://schemas.openxmlformats.org/officeDocument/2006/relationships/hyperlink" Target="https://www.youtube.com/@imagineer_global" TargetMode="External"/><Relationship Id="rId52" Type="http://schemas.openxmlformats.org/officeDocument/2006/relationships/hyperlink" Target="https://www.youtube.com/@KasedoGames" TargetMode="External"/><Relationship Id="rId55" Type="http://schemas.openxmlformats.org/officeDocument/2006/relationships/hyperlink" Target="https://www.youtube.com/user/ExcaliburPubVideos" TargetMode="External"/><Relationship Id="rId161" Type="http://schemas.openxmlformats.org/officeDocument/2006/relationships/hyperlink" Target="https://www.youtube.com/@PanicVideo" TargetMode="External"/><Relationship Id="rId54" Type="http://schemas.openxmlformats.org/officeDocument/2006/relationships/hyperlink" Target="https://www.youtube.com/user/H2Interactive" TargetMode="External"/><Relationship Id="rId160" Type="http://schemas.openxmlformats.org/officeDocument/2006/relationships/hyperlink" Target="https://www.youtube.com/user/FirelineGames" TargetMode="External"/><Relationship Id="rId57" Type="http://schemas.openxmlformats.org/officeDocument/2006/relationships/hyperlink" Target="https://www.youtube.com/@TheGameKitchenES" TargetMode="External"/><Relationship Id="rId56" Type="http://schemas.openxmlformats.org/officeDocument/2006/relationships/hyperlink" Target="https://www.youtube.com/channel/UC3x_BngoEMLa_qNKx2nVqGA" TargetMode="External"/><Relationship Id="rId159" Type="http://schemas.openxmlformats.org/officeDocument/2006/relationships/hyperlink" Target="https://www.youtube.com/user/FirelineGames" TargetMode="External"/><Relationship Id="rId59" Type="http://schemas.openxmlformats.org/officeDocument/2006/relationships/hyperlink" Target="https://www.youtube.com/crystaldynamics" TargetMode="External"/><Relationship Id="rId154" Type="http://schemas.openxmlformats.org/officeDocument/2006/relationships/hyperlink" Target="https://www.youtube.com/@HoodedHorse" TargetMode="External"/><Relationship Id="rId58" Type="http://schemas.openxmlformats.org/officeDocument/2006/relationships/hyperlink" Target="https://www.youtube.com/@SCSSoftware" TargetMode="External"/><Relationship Id="rId153" Type="http://schemas.openxmlformats.org/officeDocument/2006/relationships/hyperlink" Target="https://www.youtube.com/@MijuGamesStudio" TargetMode="External"/><Relationship Id="rId152" Type="http://schemas.openxmlformats.org/officeDocument/2006/relationships/hyperlink" Target="https://www.youtube.com/@embersgames" TargetMode="External"/><Relationship Id="rId151" Type="http://schemas.openxmlformats.org/officeDocument/2006/relationships/hyperlink" Target="https://www.youtube.com/@wisagenistudio" TargetMode="External"/><Relationship Id="rId158" Type="http://schemas.openxmlformats.org/officeDocument/2006/relationships/hyperlink" Target="https://www.youtube.com/@MistfallHunter" TargetMode="External"/><Relationship Id="rId157" Type="http://schemas.openxmlformats.org/officeDocument/2006/relationships/hyperlink" Target="https://www.youtube.com/@MijuGamesStudio" TargetMode="External"/><Relationship Id="rId156" Type="http://schemas.openxmlformats.org/officeDocument/2006/relationships/hyperlink" Target="https://www.youtube.com/Halo" TargetMode="External"/><Relationship Id="rId155" Type="http://schemas.openxmlformats.org/officeDocument/2006/relationships/hyperlink" Target="https://www.youtube.com/@mintrocket_of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4" max="4" width="22.38"/>
    <col hidden="1" min="7" max="9" width="12.63"/>
    <col hidden="1" min="14" max="17" width="12.63"/>
    <col customWidth="1" min="23" max="23" width="74.88"/>
    <col hidden="1" min="25" max="27" width="12.63"/>
    <col hidden="1" min="29" max="29" width="12.63"/>
    <col hidden="1" min="32" max="32" width="12.63"/>
    <col customWidth="1" min="33" max="33" width="33.13"/>
    <col customWidth="1" hidden="1" min="34" max="34" width="13.63"/>
    <col hidden="1" min="35" max="35" width="12.63"/>
    <col customWidth="1" min="36" max="36" width="37.0"/>
    <col customWidth="1" min="37" max="37" width="19.25"/>
    <col customWidth="1" min="38" max="38" width="39.63"/>
  </cols>
  <sheetData>
    <row r="1">
      <c r="A1" s="1" t="s">
        <v>1</v>
      </c>
      <c r="B1" s="1" t="s">
        <v>3</v>
      </c>
      <c r="C1" s="1" t="s">
        <v>4</v>
      </c>
      <c r="D1" s="4" t="s">
        <v>7</v>
      </c>
      <c r="E1" s="1" t="s">
        <v>11</v>
      </c>
      <c r="F1" s="1" t="s">
        <v>13</v>
      </c>
      <c r="G1" s="1" t="s">
        <v>14</v>
      </c>
      <c r="H1" s="1" t="s">
        <v>17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27</v>
      </c>
      <c r="N1" s="1" t="s">
        <v>28</v>
      </c>
      <c r="O1" s="1" t="s">
        <v>30</v>
      </c>
      <c r="P1" s="1" t="s">
        <v>31</v>
      </c>
      <c r="Q1" s="1" t="s">
        <v>34</v>
      </c>
      <c r="R1" s="1" t="s">
        <v>36</v>
      </c>
      <c r="S1" s="1" t="s">
        <v>38</v>
      </c>
      <c r="T1" s="1" t="s">
        <v>39</v>
      </c>
      <c r="U1" s="1" t="s">
        <v>41</v>
      </c>
      <c r="V1" s="1" t="s">
        <v>43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52</v>
      </c>
      <c r="AB1" s="1" t="s">
        <v>54</v>
      </c>
      <c r="AC1" s="1" t="s">
        <v>57</v>
      </c>
      <c r="AD1" s="1" t="s">
        <v>59</v>
      </c>
      <c r="AE1" s="1" t="s">
        <v>61</v>
      </c>
      <c r="AF1" s="1" t="s">
        <v>62</v>
      </c>
      <c r="AG1" s="1" t="s">
        <v>64</v>
      </c>
      <c r="AH1" s="1" t="s">
        <v>66</v>
      </c>
      <c r="AI1" s="1" t="s">
        <v>67</v>
      </c>
      <c r="AJ1" s="21" t="s">
        <v>69</v>
      </c>
      <c r="AK1" s="1" t="s">
        <v>72</v>
      </c>
      <c r="AL1" s="23" t="s">
        <v>75</v>
      </c>
      <c r="AM1" s="1" t="s">
        <v>78</v>
      </c>
    </row>
    <row r="2">
      <c r="A2" s="25"/>
      <c r="B2" s="25" t="str">
        <f>'Ingest Template'!C2&amp;IF('Ingest Template'!A2 = "Standard", " - DAR","")</f>
        <v/>
      </c>
      <c r="C2" s="34" t="s">
        <v>92</v>
      </c>
      <c r="D2" s="34" t="str">
        <f>CONCATENATE('Ingest Template'!E2&amp;Char(10)&amp;'Ingest Template'!G2&amp;Char(10)&amp;'Ingest Template'!H2&amp;Char(10)&amp;'Ingest Template'!I2&amp;Char(10)&amp;'Ingest Template'!J2&amp;Char(10)&amp;'Ingest Template'!K2&amp;Char(10)&amp;'Ingest Template'!L2)</f>
        <v>
</v>
      </c>
      <c r="E2" s="25" t="str">
        <f>('Ingest Template'!M2)</f>
        <v/>
      </c>
      <c r="F2" s="40" t="str">
        <f t="array" ref="F2">INDEX(DropDown!$J$2:$J$63,MATCH(1,COUNTIF(E2,DropDown!$I$2:$I$63),0))</f>
        <v>#N/A</v>
      </c>
      <c r="G2" s="25"/>
      <c r="H2" s="25"/>
      <c r="I2" s="25"/>
      <c r="J2" s="25" t="str">
        <f>'Ingest Template'!B2</f>
        <v/>
      </c>
      <c r="K2" s="25" t="str">
        <f>IF('Ingest Template'!A2="Standard",'Ingest Template'!N2,"Competitive View")</f>
        <v>Competitive View</v>
      </c>
      <c r="L2" s="41" t="s">
        <v>145</v>
      </c>
      <c r="M2" s="42" t="str">
        <f>'Ingest Template'!D2</f>
        <v/>
      </c>
      <c r="N2" s="25"/>
      <c r="O2" s="25"/>
      <c r="P2" s="25"/>
      <c r="Q2" s="25"/>
      <c r="R2" s="25" t="str">
        <f>CONCATENATE('Ingest Template'!F2)</f>
        <v/>
      </c>
      <c r="S2" s="43" t="s">
        <v>160</v>
      </c>
      <c r="T2" s="25" t="str">
        <f>'Ingest Template'!W2</f>
        <v/>
      </c>
      <c r="U2" s="25" t="str">
        <f>'Ingest Template'!X2</f>
        <v/>
      </c>
      <c r="V2" s="25" t="str">
        <f>LOWER(SUBSTITUTE(SUBSTITUTE(SUBSTITUTE(SUBSTITUTE(SUBSTITUTE('Ingest Template'!Y2,"https:",""),"www.",""),"/",""),"?hl=en",""),"instagram.com",""))</f>
        <v/>
      </c>
      <c r="W2" s="34" t="str">
        <f>(IFERROR(vlookup('Ingest Template'!F2,DropDown!D:E,2,false)&amp;'Ingest Template'!C2,""))</f>
        <v/>
      </c>
      <c r="X2" s="25" t="str">
        <f>'Ingest Template'!AA2</f>
        <v/>
      </c>
      <c r="Y2" s="25"/>
      <c r="Z2" s="25"/>
      <c r="AA2" s="25"/>
      <c r="AB2" s="25" t="str">
        <f>'Ingest Template'!T2</f>
        <v/>
      </c>
      <c r="AC2" s="25"/>
      <c r="AD2" s="25" t="str">
        <f>'Ingest Template'!U2</f>
        <v/>
      </c>
      <c r="AE2" s="25" t="str">
        <f>'Ingest Template'!V2</f>
        <v/>
      </c>
      <c r="AF2" s="25"/>
      <c r="AG2" s="25" t="str">
        <f t="array" ref="AG2">IF('Ingest Template'!A2="Standard",(CONCATENATE(IF(ISBLANK('Ingest Template'!O2),"", 'Ingest Template'!O2&amp;"|DAR"),CHAR(10), IF(ISBLANK('Ingest Template'!P2),"", 'Ingest Template'!P2&amp;"|DAR"),CHAR(10), IF(ISBLANK('Ingest Template'!Q2),"", 'Ingest Template'!Q2&amp;"|DAR"))),(CONCATENATE(IF(ISBLANK('Ingest Template'!O2),"", 'Ingest Template'!O2&amp;"|Operations - Core Title"),CHAR(10), IF(ISBLANK('Ingest Template'!P2),"", 'Ingest Template'!P2&amp;"|Operations - Core Title"),CHAR(10), IF(ISBLANK('Ingest Template'!Q2),"", 'Ingest Template'!Q2&amp;"|Operations - Core Title"))))</f>
        <v>#|Operations - Core Title
#videoGame|Operations - Core Title
</v>
      </c>
      <c r="AH2" s="25"/>
      <c r="AI2" s="25"/>
      <c r="AJ2" s="50" t="str">
        <f>if('Ingest Template'!A2="Standard",'Ingest Template'!R2&amp; "|DAR|DAR|2021-01-01",'Ingest Template'!R2&amp; "|Operations - Core Title|Operations - Core Title")</f>
        <v>#N/A</v>
      </c>
      <c r="AK2" s="25"/>
      <c r="AL2" s="25" t="str">
        <f>if('Ingest Template'!A2="Standard",'Ingest Template'!S2&amp; "|2021-01-01",'Ingest Template'!S2)</f>
        <v>#N/A</v>
      </c>
      <c r="AM2" s="25"/>
    </row>
    <row r="3">
      <c r="A3" s="25"/>
      <c r="B3" s="25" t="str">
        <f>'Ingest Template'!C3&amp;IF('Ingest Template'!A3 = "Standard", " - DAR","")</f>
        <v/>
      </c>
      <c r="C3" s="34" t="s">
        <v>92</v>
      </c>
      <c r="D3" s="34" t="str">
        <f>CONCATENATE('Ingest Template'!E3&amp;Char(10)&amp;'Ingest Template'!G3&amp;Char(10)&amp;'Ingest Template'!H3&amp;Char(10)&amp;'Ingest Template'!I3&amp;Char(10)&amp;'Ingest Template'!J3&amp;Char(10)&amp;'Ingest Template'!K3&amp;Char(10)&amp;'Ingest Template'!L3)</f>
        <v>
</v>
      </c>
      <c r="E3" s="25" t="str">
        <f>('Ingest Template'!M3)</f>
        <v/>
      </c>
      <c r="F3" s="40" t="str">
        <f t="array" ref="F3">INDEX(DropDown!$J$2:$J$63,MATCH(1,COUNTIF(E3,DropDown!$I$2:$I$63),0))</f>
        <v>#N/A</v>
      </c>
      <c r="G3" s="25"/>
      <c r="H3" s="25"/>
      <c r="I3" s="25"/>
      <c r="J3" s="25" t="str">
        <f>'Ingest Template'!B3</f>
        <v/>
      </c>
      <c r="K3" s="25" t="str">
        <f>IF('Ingest Template'!A3="Standard",'Ingest Template'!N3,"Competitive View")</f>
        <v>Competitive View</v>
      </c>
      <c r="L3" s="41" t="s">
        <v>145</v>
      </c>
      <c r="M3" s="42" t="str">
        <f>'Ingest Template'!D3</f>
        <v/>
      </c>
      <c r="N3" s="25"/>
      <c r="O3" s="25"/>
      <c r="P3" s="25"/>
      <c r="Q3" s="25"/>
      <c r="R3" s="25" t="str">
        <f>CONCATENATE('Ingest Template'!F3)</f>
        <v/>
      </c>
      <c r="S3" s="43" t="s">
        <v>160</v>
      </c>
      <c r="T3" s="25" t="str">
        <f>'Ingest Template'!W3</f>
        <v/>
      </c>
      <c r="U3" s="25" t="str">
        <f>'Ingest Template'!X3</f>
        <v/>
      </c>
      <c r="V3" s="25" t="str">
        <f>LOWER(SUBSTITUTE(SUBSTITUTE(SUBSTITUTE(SUBSTITUTE(SUBSTITUTE('Ingest Template'!Y3,"https:",""),"www.",""),"/",""),"?hl=en",""),"instagram.com",""))</f>
        <v/>
      </c>
      <c r="W3" s="34" t="str">
        <f>(IFERROR(vlookup('Ingest Template'!F3,DropDown!D:E,2,false)&amp;'Ingest Template'!C3,""))</f>
        <v/>
      </c>
      <c r="X3" s="25" t="str">
        <f>'Ingest Template'!AA3</f>
        <v/>
      </c>
      <c r="Y3" s="25"/>
      <c r="Z3" s="25"/>
      <c r="AA3" s="25"/>
      <c r="AB3" s="25" t="str">
        <f>'Ingest Template'!T3</f>
        <v/>
      </c>
      <c r="AC3" s="25"/>
      <c r="AD3" s="25" t="str">
        <f>'Ingest Template'!U3</f>
        <v/>
      </c>
      <c r="AE3" s="25" t="str">
        <f>'Ingest Template'!V3</f>
        <v/>
      </c>
      <c r="AF3" s="25"/>
      <c r="AG3" s="25" t="str">
        <f t="array" ref="AG3">IF('Ingest Template'!A3="Standard",(CONCATENATE(IF(ISBLANK('Ingest Template'!O3),"", 'Ingest Template'!O3&amp;"|DAR"),CHAR(10), IF(ISBLANK('Ingest Template'!P3),"", 'Ingest Template'!P3&amp;"|DAR"),CHAR(10), IF(ISBLANK('Ingest Template'!Q3),"", 'Ingest Template'!Q3&amp;"|DAR"))),(CONCATENATE(IF(ISBLANK('Ingest Template'!O3),"", 'Ingest Template'!O3&amp;"|Operations - Core Title"),CHAR(10), IF(ISBLANK('Ingest Template'!P3),"", 'Ingest Template'!P3&amp;"|Operations - Core Title"),CHAR(10), IF(ISBLANK('Ingest Template'!Q3),"", 'Ingest Template'!Q3&amp;"|Operations - Core Title"))))</f>
        <v>#|Operations - Core Title
#videoGame|Operations - Core Title
</v>
      </c>
      <c r="AH3" s="25"/>
      <c r="AI3" s="25"/>
      <c r="AJ3" s="50" t="str">
        <f>if('Ingest Template'!A3="Standard",'Ingest Template'!R3&amp; "|DAR|DAR|2021-01-01",'Ingest Template'!R3&amp; "|Operations - Core Title|Operations - Core Title")</f>
        <v>#N/A</v>
      </c>
      <c r="AK3" s="25"/>
      <c r="AL3" s="25" t="str">
        <f>if('Ingest Template'!A3="Standard",'Ingest Template'!S3&amp; "|2021-01-01",'Ingest Template'!S3)</f>
        <v>#N/A</v>
      </c>
      <c r="AM3" s="25"/>
    </row>
    <row r="4">
      <c r="A4" s="25"/>
      <c r="B4" s="25" t="str">
        <f>'Ingest Template'!C4&amp;IF('Ingest Template'!A4 = "Standard", " - DAR","")</f>
        <v/>
      </c>
      <c r="C4" s="34" t="s">
        <v>92</v>
      </c>
      <c r="D4" s="34" t="str">
        <f>CONCATENATE('Ingest Template'!E4&amp;Char(10)&amp;'Ingest Template'!G4&amp;Char(10)&amp;'Ingest Template'!H4&amp;Char(10)&amp;'Ingest Template'!I4&amp;Char(10)&amp;'Ingest Template'!J4&amp;Char(10)&amp;'Ingest Template'!K4&amp;Char(10)&amp;'Ingest Template'!L4)</f>
        <v>
</v>
      </c>
      <c r="E4" s="25" t="str">
        <f>('Ingest Template'!M4)</f>
        <v/>
      </c>
      <c r="F4" s="40" t="str">
        <f t="array" ref="F4">INDEX(DropDown!$J$2:$J$63,MATCH(1,COUNTIF(E4,DropDown!$I$2:$I$63),0))</f>
        <v>#N/A</v>
      </c>
      <c r="G4" s="25"/>
      <c r="H4" s="25"/>
      <c r="I4" s="25"/>
      <c r="J4" s="25" t="str">
        <f>'Ingest Template'!B4</f>
        <v/>
      </c>
      <c r="K4" s="25" t="str">
        <f>IF('Ingest Template'!A4="Standard",'Ingest Template'!N4,"Competitive View")</f>
        <v>Competitive View</v>
      </c>
      <c r="L4" s="41" t="s">
        <v>145</v>
      </c>
      <c r="M4" s="56" t="str">
        <f>'Ingest Template'!D4</f>
        <v/>
      </c>
      <c r="N4" s="25"/>
      <c r="O4" s="25"/>
      <c r="P4" s="25"/>
      <c r="Q4" s="25"/>
      <c r="R4" s="25" t="str">
        <f>CONCATENATE('Ingest Template'!F4)</f>
        <v/>
      </c>
      <c r="S4" s="43" t="s">
        <v>160</v>
      </c>
      <c r="T4" s="25" t="str">
        <f>'Ingest Template'!W4</f>
        <v/>
      </c>
      <c r="U4" s="25" t="str">
        <f>'Ingest Template'!X4</f>
        <v/>
      </c>
      <c r="V4" s="25" t="str">
        <f>LOWER(SUBSTITUTE(SUBSTITUTE(SUBSTITUTE(SUBSTITUTE(SUBSTITUTE('Ingest Template'!Y4,"https:",""),"www.",""),"/",""),"?hl=en",""),"instagram.com",""))</f>
        <v/>
      </c>
      <c r="W4" s="34" t="str">
        <f>(IFERROR(vlookup('Ingest Template'!F4,DropDown!D:E,2,false)&amp;'Ingest Template'!C4,""))</f>
        <v/>
      </c>
      <c r="X4" s="25" t="str">
        <f>'Ingest Template'!AA4</f>
        <v/>
      </c>
      <c r="Y4" s="25"/>
      <c r="Z4" s="25"/>
      <c r="AA4" s="25"/>
      <c r="AB4" s="25" t="str">
        <f>'Ingest Template'!T4</f>
        <v/>
      </c>
      <c r="AC4" s="25"/>
      <c r="AD4" s="25" t="str">
        <f>'Ingest Template'!U4</f>
        <v/>
      </c>
      <c r="AE4" s="25" t="str">
        <f>'Ingest Template'!V4</f>
        <v/>
      </c>
      <c r="AF4" s="25"/>
      <c r="AG4" s="25" t="str">
        <f t="array" ref="AG4">IF('Ingest Template'!A4="Standard",(CONCATENATE(IF(ISBLANK('Ingest Template'!O4),"", 'Ingest Template'!O4&amp;"|DAR"),CHAR(10), IF(ISBLANK('Ingest Template'!P4),"", 'Ingest Template'!P4&amp;"|DAR"),CHAR(10), IF(ISBLANK('Ingest Template'!Q4),"", 'Ingest Template'!Q4&amp;"|DAR"))),(CONCATENATE(IF(ISBLANK('Ingest Template'!O4),"", 'Ingest Template'!O4&amp;"|Operations - Core Title"),CHAR(10), IF(ISBLANK('Ingest Template'!P4),"", 'Ingest Template'!P4&amp;"|Operations - Core Title"),CHAR(10), IF(ISBLANK('Ingest Template'!Q4),"", 'Ingest Template'!Q4&amp;"|Operations - Core Title"))))</f>
        <v>#|Operations - Core Title
#videoGame|Operations - Core Title
</v>
      </c>
      <c r="AH4" s="25"/>
      <c r="AI4" s="25"/>
      <c r="AJ4" s="50" t="str">
        <f>if('Ingest Template'!A4="Standard",'Ingest Template'!R4&amp; "|DAR|DAR|2021-01-01",'Ingest Template'!R4&amp; "|Operations - Core Title|Operations - Core Title")</f>
        <v>#N/A</v>
      </c>
      <c r="AK4" s="25"/>
      <c r="AL4" s="25" t="str">
        <f>if('Ingest Template'!A4="Standard",'Ingest Template'!S4&amp; "|2021-01-01",'Ingest Template'!S4)</f>
        <v>#N/A</v>
      </c>
      <c r="AM4" s="25"/>
    </row>
    <row r="5">
      <c r="A5" s="25"/>
      <c r="B5" s="25" t="str">
        <f>'Ingest Template'!C5&amp;IF('Ingest Template'!A5 = "Standard", " - DAR","")</f>
        <v/>
      </c>
      <c r="C5" s="34" t="s">
        <v>92</v>
      </c>
      <c r="D5" s="34" t="str">
        <f>CONCATENATE('Ingest Template'!E5&amp;Char(10)&amp;'Ingest Template'!G5&amp;Char(10)&amp;'Ingest Template'!H5&amp;Char(10)&amp;'Ingest Template'!I5&amp;Char(10)&amp;'Ingest Template'!J5&amp;Char(10)&amp;'Ingest Template'!K5&amp;Char(10)&amp;'Ingest Template'!L5)</f>
        <v>
</v>
      </c>
      <c r="E5" s="25" t="str">
        <f>('Ingest Template'!M5)</f>
        <v/>
      </c>
      <c r="F5" s="40" t="str">
        <f t="array" ref="F5">INDEX(DropDown!$J$2:$J$63,MATCH(1,COUNTIF(E5,DropDown!$I$2:$I$63),0))</f>
        <v>#N/A</v>
      </c>
      <c r="G5" s="25"/>
      <c r="H5" s="25"/>
      <c r="I5" s="25"/>
      <c r="J5" s="25" t="str">
        <f>'Ingest Template'!B5</f>
        <v/>
      </c>
      <c r="K5" s="25" t="str">
        <f>IF('Ingest Template'!A5="Standard",'Ingest Template'!N5,"Competitive View")</f>
        <v>Competitive View</v>
      </c>
      <c r="L5" s="41" t="s">
        <v>145</v>
      </c>
      <c r="M5" s="42" t="str">
        <f>'Ingest Template'!D5</f>
        <v/>
      </c>
      <c r="N5" s="25"/>
      <c r="O5" s="25"/>
      <c r="P5" s="25"/>
      <c r="Q5" s="25"/>
      <c r="R5" s="25" t="str">
        <f>CONCATENATE('Ingest Template'!F5)</f>
        <v/>
      </c>
      <c r="S5" s="43" t="s">
        <v>160</v>
      </c>
      <c r="T5" s="25" t="str">
        <f>'Ingest Template'!W5</f>
        <v/>
      </c>
      <c r="U5" s="25" t="str">
        <f>'Ingest Template'!X5</f>
        <v/>
      </c>
      <c r="V5" s="25" t="str">
        <f>LOWER(SUBSTITUTE(SUBSTITUTE(SUBSTITUTE(SUBSTITUTE(SUBSTITUTE('Ingest Template'!Y5,"https:",""),"www.",""),"/",""),"?hl=en",""),"instagram.com",""))</f>
        <v/>
      </c>
      <c r="W5" s="34" t="str">
        <f>(IFERROR(vlookup('Ingest Template'!F5,DropDown!D:E,2,false)&amp;'Ingest Template'!C5,""))</f>
        <v/>
      </c>
      <c r="X5" s="25" t="str">
        <f>'Ingest Template'!AA5</f>
        <v/>
      </c>
      <c r="Y5" s="25"/>
      <c r="Z5" s="25"/>
      <c r="AA5" s="25"/>
      <c r="AB5" s="25" t="str">
        <f>'Ingest Template'!T5</f>
        <v/>
      </c>
      <c r="AC5" s="25"/>
      <c r="AD5" s="25" t="str">
        <f>'Ingest Template'!U5</f>
        <v/>
      </c>
      <c r="AE5" s="25" t="str">
        <f>'Ingest Template'!V5</f>
        <v/>
      </c>
      <c r="AF5" s="25"/>
      <c r="AG5" s="25" t="str">
        <f t="array" ref="AG5">IF('Ingest Template'!A5="Standard",(CONCATENATE(IF(ISBLANK('Ingest Template'!O5),"", 'Ingest Template'!O5&amp;"|DAR"),CHAR(10), IF(ISBLANK('Ingest Template'!P5),"", 'Ingest Template'!P5&amp;"|DAR"),CHAR(10), IF(ISBLANK('Ingest Template'!Q5),"", 'Ingest Template'!Q5&amp;"|DAR"))),(CONCATENATE(IF(ISBLANK('Ingest Template'!O5),"", 'Ingest Template'!O5&amp;"|Operations - Core Title"),CHAR(10), IF(ISBLANK('Ingest Template'!P5),"", 'Ingest Template'!P5&amp;"|Operations - Core Title"),CHAR(10), IF(ISBLANK('Ingest Template'!Q5),"", 'Ingest Template'!Q5&amp;"|Operations - Core Title"))))</f>
        <v>#|Operations - Core Title
#videoGame|Operations - Core Title
</v>
      </c>
      <c r="AH5" s="25"/>
      <c r="AI5" s="25"/>
      <c r="AJ5" s="50" t="str">
        <f>if('Ingest Template'!A5="Standard",'Ingest Template'!R5&amp; "|DAR|DAR|2021-01-01",'Ingest Template'!R5&amp; "|Operations - Core Title|Operations - Core Title")</f>
        <v>#N/A</v>
      </c>
      <c r="AK5" s="25"/>
      <c r="AL5" s="25" t="str">
        <f>if('Ingest Template'!A5="Standard",'Ingest Template'!S5&amp; "|2021-01-01",'Ingest Template'!S5)</f>
        <v>#N/A</v>
      </c>
      <c r="AM5" s="25"/>
    </row>
    <row r="6">
      <c r="A6" s="25"/>
      <c r="B6" s="25" t="str">
        <f>'Ingest Template'!C6&amp;IF('Ingest Template'!A6 = "Standard", " - DAR","")</f>
        <v/>
      </c>
      <c r="C6" s="34" t="s">
        <v>92</v>
      </c>
      <c r="D6" s="34" t="str">
        <f>CONCATENATE('Ingest Template'!E6&amp;Char(10)&amp;'Ingest Template'!G6&amp;Char(10)&amp;'Ingest Template'!H6&amp;Char(10)&amp;'Ingest Template'!I6&amp;Char(10)&amp;'Ingest Template'!J6&amp;Char(10)&amp;'Ingest Template'!K6&amp;Char(10)&amp;'Ingest Template'!L6)</f>
        <v>
</v>
      </c>
      <c r="E6" s="25" t="str">
        <f>('Ingest Template'!M6)</f>
        <v/>
      </c>
      <c r="F6" s="40" t="str">
        <f t="array" ref="F6">INDEX(DropDown!$J$2:$J$63,MATCH(1,COUNTIF(E6,DropDown!$I$2:$I$63),0))</f>
        <v>#N/A</v>
      </c>
      <c r="G6" s="25"/>
      <c r="H6" s="25"/>
      <c r="I6" s="25"/>
      <c r="J6" s="25" t="str">
        <f>'Ingest Template'!B6</f>
        <v/>
      </c>
      <c r="K6" s="25" t="str">
        <f>IF('Ingest Template'!A6="Standard",'Ingest Template'!N6,"Competitive View")</f>
        <v>Competitive View</v>
      </c>
      <c r="L6" s="41" t="s">
        <v>145</v>
      </c>
      <c r="M6" s="42" t="str">
        <f>'Ingest Template'!D6</f>
        <v/>
      </c>
      <c r="N6" s="25"/>
      <c r="O6" s="25"/>
      <c r="P6" s="25"/>
      <c r="Q6" s="25"/>
      <c r="R6" s="25" t="str">
        <f>CONCATENATE('Ingest Template'!F6)</f>
        <v/>
      </c>
      <c r="S6" s="43" t="s">
        <v>160</v>
      </c>
      <c r="T6" s="25" t="str">
        <f>'Ingest Template'!W6</f>
        <v/>
      </c>
      <c r="U6" s="25" t="str">
        <f>'Ingest Template'!X6</f>
        <v/>
      </c>
      <c r="V6" s="25" t="str">
        <f>LOWER(SUBSTITUTE(SUBSTITUTE(SUBSTITUTE(SUBSTITUTE(SUBSTITUTE('Ingest Template'!Y6,"https:",""),"www.",""),"/",""),"?hl=en",""),"instagram.com",""))</f>
        <v/>
      </c>
      <c r="W6" s="34" t="str">
        <f>(IFERROR(vlookup('Ingest Template'!F6,DropDown!D:E,2,false)&amp;'Ingest Template'!C6,""))</f>
        <v/>
      </c>
      <c r="X6" s="25" t="str">
        <f>'Ingest Template'!AA6</f>
        <v/>
      </c>
      <c r="Y6" s="25"/>
      <c r="Z6" s="25"/>
      <c r="AA6" s="25"/>
      <c r="AB6" s="25" t="str">
        <f>'Ingest Template'!T6</f>
        <v/>
      </c>
      <c r="AC6" s="25"/>
      <c r="AD6" s="25" t="str">
        <f>'Ingest Template'!U6</f>
        <v/>
      </c>
      <c r="AE6" s="25" t="str">
        <f>'Ingest Template'!V6</f>
        <v/>
      </c>
      <c r="AF6" s="25"/>
      <c r="AG6" s="25" t="str">
        <f t="array" ref="AG6">IF('Ingest Template'!A6="Standard",(CONCATENATE(IF(ISBLANK('Ingest Template'!O6),"", 'Ingest Template'!O6&amp;"|DAR"),CHAR(10), IF(ISBLANK('Ingest Template'!P6),"", 'Ingest Template'!P6&amp;"|DAR"),CHAR(10), IF(ISBLANK('Ingest Template'!Q6),"", 'Ingest Template'!Q6&amp;"|DAR"))),(CONCATENATE(IF(ISBLANK('Ingest Template'!O6),"", 'Ingest Template'!O6&amp;"|Operations - Core Title"),CHAR(10), IF(ISBLANK('Ingest Template'!P6),"", 'Ingest Template'!P6&amp;"|Operations - Core Title"),CHAR(10), IF(ISBLANK('Ingest Template'!Q6),"", 'Ingest Template'!Q6&amp;"|Operations - Core Title"))))</f>
        <v>#|Operations - Core Title
#videoGame|Operations - Core Title
</v>
      </c>
      <c r="AH6" s="25"/>
      <c r="AI6" s="25"/>
      <c r="AJ6" s="50" t="str">
        <f>if('Ingest Template'!A6="Standard",'Ingest Template'!R6&amp; "|DAR|DAR|2021-01-01",'Ingest Template'!R6&amp; "|Operations - Core Title|Operations - Core Title")</f>
        <v>#N/A</v>
      </c>
      <c r="AK6" s="25"/>
      <c r="AL6" s="25" t="str">
        <f>if('Ingest Template'!A6="Standard",'Ingest Template'!S6&amp; "|2021-01-01",'Ingest Template'!S6)</f>
        <v>#N/A</v>
      </c>
      <c r="AM6" s="25"/>
    </row>
    <row r="7">
      <c r="A7" s="25"/>
      <c r="B7" s="25" t="str">
        <f>'Ingest Template'!C7&amp;IF('Ingest Template'!A7 = "Standard", " - DAR","")</f>
        <v/>
      </c>
      <c r="C7" s="34" t="s">
        <v>92</v>
      </c>
      <c r="D7" s="34" t="str">
        <f>CONCATENATE('Ingest Template'!E7&amp;Char(10)&amp;'Ingest Template'!G7&amp;Char(10)&amp;'Ingest Template'!H7&amp;Char(10)&amp;'Ingest Template'!I7&amp;Char(10)&amp;'Ingest Template'!J7&amp;Char(10)&amp;'Ingest Template'!K7&amp;Char(10)&amp;'Ingest Template'!L7)</f>
        <v>
</v>
      </c>
      <c r="E7" s="25" t="str">
        <f>('Ingest Template'!M7)</f>
        <v/>
      </c>
      <c r="F7" s="40" t="str">
        <f t="array" ref="F7">INDEX(DropDown!$J$2:$J$63,MATCH(1,COUNTIF(E7,DropDown!$I$2:$I$63),0))</f>
        <v>#N/A</v>
      </c>
      <c r="G7" s="25"/>
      <c r="H7" s="25"/>
      <c r="I7" s="25"/>
      <c r="J7" s="25" t="str">
        <f>'Ingest Template'!B7</f>
        <v/>
      </c>
      <c r="K7" s="25" t="str">
        <f>IF('Ingest Template'!A7="Standard",'Ingest Template'!N7,"Competitive View")</f>
        <v>Competitive View</v>
      </c>
      <c r="L7" s="41" t="s">
        <v>145</v>
      </c>
      <c r="M7" s="42" t="str">
        <f>'Ingest Template'!D7</f>
        <v/>
      </c>
      <c r="N7" s="25"/>
      <c r="O7" s="25"/>
      <c r="P7" s="25"/>
      <c r="Q7" s="25"/>
      <c r="R7" s="25" t="str">
        <f>CONCATENATE('Ingest Template'!F7)</f>
        <v/>
      </c>
      <c r="S7" s="43" t="s">
        <v>160</v>
      </c>
      <c r="T7" s="25" t="str">
        <f>'Ingest Template'!W7</f>
        <v/>
      </c>
      <c r="U7" s="25" t="str">
        <f>'Ingest Template'!X7</f>
        <v/>
      </c>
      <c r="V7" s="25" t="str">
        <f>LOWER(SUBSTITUTE(SUBSTITUTE(SUBSTITUTE(SUBSTITUTE(SUBSTITUTE('Ingest Template'!Y7,"https:",""),"www.",""),"/",""),"?hl=en",""),"instagram.com",""))</f>
        <v/>
      </c>
      <c r="W7" s="34" t="str">
        <f>(IFERROR(vlookup('Ingest Template'!F7,DropDown!D:E,2,false)&amp;'Ingest Template'!C7,""))</f>
        <v/>
      </c>
      <c r="X7" s="25" t="str">
        <f>'Ingest Template'!AA7</f>
        <v/>
      </c>
      <c r="Y7" s="25"/>
      <c r="Z7" s="25"/>
      <c r="AA7" s="25"/>
      <c r="AB7" s="25" t="str">
        <f>'Ingest Template'!T7</f>
        <v/>
      </c>
      <c r="AC7" s="25"/>
      <c r="AD7" s="25" t="str">
        <f>'Ingest Template'!U7</f>
        <v/>
      </c>
      <c r="AE7" s="25" t="str">
        <f>'Ingest Template'!V7</f>
        <v/>
      </c>
      <c r="AF7" s="25"/>
      <c r="AG7" s="25" t="str">
        <f t="array" ref="AG7">IF('Ingest Template'!A7="Standard",(CONCATENATE(IF(ISBLANK('Ingest Template'!O7),"", 'Ingest Template'!O7&amp;"|DAR"),CHAR(10), IF(ISBLANK('Ingest Template'!P7),"", 'Ingest Template'!P7&amp;"|DAR"),CHAR(10), IF(ISBLANK('Ingest Template'!Q7),"", 'Ingest Template'!Q7&amp;"|DAR"))),(CONCATENATE(IF(ISBLANK('Ingest Template'!O7),"", 'Ingest Template'!O7&amp;"|Operations - Core Title"),CHAR(10), IF(ISBLANK('Ingest Template'!P7),"", 'Ingest Template'!P7&amp;"|Operations - Core Title"),CHAR(10), IF(ISBLANK('Ingest Template'!Q7),"", 'Ingest Template'!Q7&amp;"|Operations - Core Title"))))</f>
        <v>#|Operations - Core Title
#videoGame|Operations - Core Title
</v>
      </c>
      <c r="AH7" s="25"/>
      <c r="AI7" s="25"/>
      <c r="AJ7" s="50" t="str">
        <f>if('Ingest Template'!A7="Standard",'Ingest Template'!R7&amp; "|DAR|DAR|2021-01-01",'Ingest Template'!R7&amp; "|Operations - Core Title|Operations - Core Title")</f>
        <v>#N/A</v>
      </c>
      <c r="AK7" s="25"/>
      <c r="AL7" s="25" t="str">
        <f>if('Ingest Template'!A7="Standard",'Ingest Template'!S7&amp; "|2021-01-01",'Ingest Template'!S7)</f>
        <v>#N/A</v>
      </c>
      <c r="AM7" s="25"/>
    </row>
    <row r="8">
      <c r="A8" s="25"/>
      <c r="B8" s="25" t="str">
        <f>'Ingest Template'!C8&amp;IF('Ingest Template'!A8 = "Standard", " - DAR","")</f>
        <v/>
      </c>
      <c r="C8" s="34" t="s">
        <v>92</v>
      </c>
      <c r="D8" s="34" t="str">
        <f>CONCATENATE('Ingest Template'!E8&amp;Char(10)&amp;'Ingest Template'!G8&amp;Char(10)&amp;'Ingest Template'!H8&amp;Char(10)&amp;'Ingest Template'!I8&amp;Char(10)&amp;'Ingest Template'!J8&amp;Char(10)&amp;'Ingest Template'!K8&amp;Char(10)&amp;'Ingest Template'!L8)</f>
        <v>
</v>
      </c>
      <c r="E8" s="25" t="str">
        <f>('Ingest Template'!M8)</f>
        <v/>
      </c>
      <c r="F8" s="40" t="str">
        <f t="array" ref="F8">INDEX(DropDown!$J$2:$J$63,MATCH(1,COUNTIF(E8,DropDown!$I$2:$I$63),0))</f>
        <v>#N/A</v>
      </c>
      <c r="G8" s="25"/>
      <c r="H8" s="25"/>
      <c r="I8" s="25"/>
      <c r="J8" s="25" t="str">
        <f>'Ingest Template'!B8</f>
        <v/>
      </c>
      <c r="K8" s="25" t="str">
        <f>IF('Ingest Template'!A8="Standard",'Ingest Template'!N8,"Competitive View")</f>
        <v>Competitive View</v>
      </c>
      <c r="L8" s="41" t="s">
        <v>145</v>
      </c>
      <c r="M8" s="42" t="str">
        <f>'Ingest Template'!D8</f>
        <v/>
      </c>
      <c r="N8" s="25"/>
      <c r="O8" s="25"/>
      <c r="P8" s="25"/>
      <c r="Q8" s="25"/>
      <c r="R8" s="25" t="str">
        <f>CONCATENATE('Ingest Template'!F8)</f>
        <v/>
      </c>
      <c r="S8" s="43" t="s">
        <v>160</v>
      </c>
      <c r="T8" s="25" t="str">
        <f>'Ingest Template'!W8</f>
        <v/>
      </c>
      <c r="U8" s="25" t="str">
        <f>'Ingest Template'!X8</f>
        <v/>
      </c>
      <c r="V8" s="25" t="str">
        <f>LOWER(SUBSTITUTE(SUBSTITUTE(SUBSTITUTE(SUBSTITUTE(SUBSTITUTE('Ingest Template'!Y8,"https:",""),"www.",""),"/",""),"?hl=en",""),"instagram.com",""))</f>
        <v/>
      </c>
      <c r="W8" s="34" t="str">
        <f>(IFERROR(vlookup('Ingest Template'!F8,DropDown!D:E,2,false)&amp;'Ingest Template'!C8,""))</f>
        <v/>
      </c>
      <c r="X8" s="25" t="str">
        <f>'Ingest Template'!AA8</f>
        <v/>
      </c>
      <c r="Y8" s="25"/>
      <c r="Z8" s="25"/>
      <c r="AA8" s="25"/>
      <c r="AB8" s="25" t="str">
        <f>'Ingest Template'!T8</f>
        <v/>
      </c>
      <c r="AC8" s="25"/>
      <c r="AD8" s="25" t="str">
        <f>'Ingest Template'!U8</f>
        <v/>
      </c>
      <c r="AE8" s="25" t="str">
        <f>'Ingest Template'!V8</f>
        <v/>
      </c>
      <c r="AF8" s="25"/>
      <c r="AG8" s="25" t="str">
        <f t="array" ref="AG8">IF('Ingest Template'!A8="Standard",(CONCATENATE(IF(ISBLANK('Ingest Template'!O8),"", 'Ingest Template'!O8&amp;"|DAR"),CHAR(10), IF(ISBLANK('Ingest Template'!P8),"", 'Ingest Template'!P8&amp;"|DAR"),CHAR(10), IF(ISBLANK('Ingest Template'!Q8),"", 'Ingest Template'!Q8&amp;"|DAR"))),(CONCATENATE(IF(ISBLANK('Ingest Template'!O8),"", 'Ingest Template'!O8&amp;"|Operations - Core Title"),CHAR(10), IF(ISBLANK('Ingest Template'!P8),"", 'Ingest Template'!P8&amp;"|Operations - Core Title"),CHAR(10), IF(ISBLANK('Ingest Template'!Q8),"", 'Ingest Template'!Q8&amp;"|Operations - Core Title"))))</f>
        <v>#|Operations - Core Title
#videoGame|Operations - Core Title
</v>
      </c>
      <c r="AH8" s="25"/>
      <c r="AI8" s="25"/>
      <c r="AJ8" s="50" t="str">
        <f>if('Ingest Template'!A8="Standard",'Ingest Template'!R8&amp; "|DAR|DAR|2021-01-01",'Ingest Template'!R8&amp; "|Operations - Core Title|Operations - Core Title")</f>
        <v>#N/A</v>
      </c>
      <c r="AK8" s="25"/>
      <c r="AL8" s="25" t="str">
        <f>if('Ingest Template'!A8="Standard",'Ingest Template'!S8&amp; "|2021-01-01",'Ingest Template'!S8)</f>
        <v>#N/A</v>
      </c>
      <c r="AM8" s="25"/>
    </row>
    <row r="9">
      <c r="A9" s="25"/>
      <c r="B9" s="25" t="str">
        <f>'Ingest Template'!C9&amp;IF('Ingest Template'!A9 = "Standard", " - DAR","")</f>
        <v/>
      </c>
      <c r="C9" s="34" t="s">
        <v>92</v>
      </c>
      <c r="D9" s="34" t="str">
        <f>CONCATENATE('Ingest Template'!E9&amp;Char(10)&amp;'Ingest Template'!G9&amp;Char(10)&amp;'Ingest Template'!H9&amp;Char(10)&amp;'Ingest Template'!I9&amp;Char(10)&amp;'Ingest Template'!J9&amp;Char(10)&amp;'Ingest Template'!K9&amp;Char(10)&amp;'Ingest Template'!L9)</f>
        <v>
</v>
      </c>
      <c r="E9" s="25" t="str">
        <f>('Ingest Template'!M9)</f>
        <v/>
      </c>
      <c r="F9" s="40" t="str">
        <f t="array" ref="F9">INDEX(DropDown!$J$2:$J$63,MATCH(1,COUNTIF(E9,DropDown!$I$2:$I$63),0))</f>
        <v>#N/A</v>
      </c>
      <c r="G9" s="25"/>
      <c r="H9" s="25"/>
      <c r="I9" s="25"/>
      <c r="J9" s="25" t="str">
        <f>'Ingest Template'!B9</f>
        <v/>
      </c>
      <c r="K9" s="25" t="str">
        <f>IF('Ingest Template'!A9="Standard",'Ingest Template'!N9,"Competitive View")</f>
        <v>Competitive View</v>
      </c>
      <c r="L9" s="41" t="s">
        <v>145</v>
      </c>
      <c r="M9" s="42" t="str">
        <f>'Ingest Template'!D9</f>
        <v/>
      </c>
      <c r="N9" s="25"/>
      <c r="O9" s="25"/>
      <c r="P9" s="25"/>
      <c r="Q9" s="25"/>
      <c r="R9" s="25" t="str">
        <f>CONCATENATE('Ingest Template'!F9)</f>
        <v/>
      </c>
      <c r="S9" s="43" t="s">
        <v>160</v>
      </c>
      <c r="T9" s="25" t="str">
        <f>'Ingest Template'!W9</f>
        <v/>
      </c>
      <c r="U9" s="25" t="str">
        <f>'Ingest Template'!X9</f>
        <v/>
      </c>
      <c r="V9" s="25" t="str">
        <f>LOWER(SUBSTITUTE(SUBSTITUTE(SUBSTITUTE(SUBSTITUTE(SUBSTITUTE('Ingest Template'!Y9,"https:",""),"www.",""),"/",""),"?hl=en",""),"instagram.com",""))</f>
        <v/>
      </c>
      <c r="W9" s="34" t="str">
        <f>(IFERROR(vlookup('Ingest Template'!F9,DropDown!D:E,2,false)&amp;'Ingest Template'!C9,""))</f>
        <v/>
      </c>
      <c r="X9" s="25" t="str">
        <f>'Ingest Template'!AA9</f>
        <v/>
      </c>
      <c r="Y9" s="25"/>
      <c r="Z9" s="25"/>
      <c r="AA9" s="25"/>
      <c r="AB9" s="25" t="str">
        <f>'Ingest Template'!T9</f>
        <v/>
      </c>
      <c r="AC9" s="25"/>
      <c r="AD9" s="25" t="str">
        <f>'Ingest Template'!U9</f>
        <v/>
      </c>
      <c r="AE9" s="25" t="str">
        <f>'Ingest Template'!V9</f>
        <v/>
      </c>
      <c r="AF9" s="25"/>
      <c r="AG9" s="25" t="str">
        <f t="array" ref="AG9">IF('Ingest Template'!A9="Standard",(CONCATENATE(IF(ISBLANK('Ingest Template'!O9),"", 'Ingest Template'!O9&amp;"|DAR"),CHAR(10), IF(ISBLANK('Ingest Template'!P9),"", 'Ingest Template'!P9&amp;"|DAR"),CHAR(10), IF(ISBLANK('Ingest Template'!Q9),"", 'Ingest Template'!Q9&amp;"|DAR"))),(CONCATENATE(IF(ISBLANK('Ingest Template'!O9),"", 'Ingest Template'!O9&amp;"|Operations - Core Title"),CHAR(10), IF(ISBLANK('Ingest Template'!P9),"", 'Ingest Template'!P9&amp;"|Operations - Core Title"),CHAR(10), IF(ISBLANK('Ingest Template'!Q9),"", 'Ingest Template'!Q9&amp;"|Operations - Core Title"))))</f>
        <v>#|Operations - Core Title
#videoGame|Operations - Core Title
</v>
      </c>
      <c r="AH9" s="25"/>
      <c r="AI9" s="25"/>
      <c r="AJ9" s="50" t="str">
        <f>if('Ingest Template'!A9="Standard",'Ingest Template'!R9&amp; "|DAR|DAR|2021-01-01",'Ingest Template'!R9&amp; "|Operations - Core Title|Operations - Core Title")</f>
        <v>#N/A</v>
      </c>
      <c r="AK9" s="25"/>
      <c r="AL9" s="25" t="str">
        <f>if('Ingest Template'!A9="Standard",'Ingest Template'!S9&amp; "|2021-01-01",'Ingest Template'!S9)</f>
        <v>#N/A</v>
      </c>
      <c r="AM9" s="25"/>
    </row>
    <row r="10">
      <c r="A10" s="25"/>
      <c r="B10" s="25" t="str">
        <f>'Ingest Template'!C10&amp;IF('Ingest Template'!A10 = "Standard", " - DAR","")</f>
        <v/>
      </c>
      <c r="C10" s="34" t="s">
        <v>92</v>
      </c>
      <c r="D10" s="34" t="str">
        <f>CONCATENATE('Ingest Template'!E10&amp;Char(10)&amp;'Ingest Template'!G10&amp;Char(10)&amp;'Ingest Template'!H10&amp;Char(10)&amp;'Ingest Template'!I10&amp;Char(10)&amp;'Ingest Template'!J10&amp;Char(10)&amp;'Ingest Template'!K10&amp;Char(10)&amp;'Ingest Template'!L10)</f>
        <v>
</v>
      </c>
      <c r="E10" s="25" t="str">
        <f>('Ingest Template'!M10)</f>
        <v/>
      </c>
      <c r="F10" s="40" t="str">
        <f t="array" ref="F10">INDEX(DropDown!$J$2:$J$63,MATCH(1,COUNTIF(E10,DropDown!$I$2:$I$63),0))</f>
        <v>#N/A</v>
      </c>
      <c r="G10" s="25"/>
      <c r="H10" s="25"/>
      <c r="I10" s="25"/>
      <c r="J10" s="25" t="str">
        <f>'Ingest Template'!B10</f>
        <v/>
      </c>
      <c r="K10" s="25" t="str">
        <f>IF('Ingest Template'!A10="Standard",'Ingest Template'!N10,"Competitive View")</f>
        <v>Competitive View</v>
      </c>
      <c r="L10" s="41" t="s">
        <v>145</v>
      </c>
      <c r="M10" s="42" t="str">
        <f>'Ingest Template'!D10</f>
        <v/>
      </c>
      <c r="N10" s="25"/>
      <c r="O10" s="25"/>
      <c r="P10" s="25"/>
      <c r="Q10" s="25"/>
      <c r="R10" s="25" t="str">
        <f>CONCATENATE('Ingest Template'!F10)</f>
        <v/>
      </c>
      <c r="S10" s="43" t="s">
        <v>160</v>
      </c>
      <c r="T10" s="25" t="str">
        <f>'Ingest Template'!W10</f>
        <v/>
      </c>
      <c r="U10" s="25" t="str">
        <f>'Ingest Template'!X10</f>
        <v/>
      </c>
      <c r="V10" s="25" t="str">
        <f>LOWER(SUBSTITUTE(SUBSTITUTE(SUBSTITUTE(SUBSTITUTE(SUBSTITUTE('Ingest Template'!Y10,"https:",""),"www.",""),"/",""),"?hl=en",""),"instagram.com",""))</f>
        <v/>
      </c>
      <c r="W10" s="34" t="str">
        <f>(IFERROR(vlookup('Ingest Template'!F10,DropDown!D:E,2,false)&amp;'Ingest Template'!C10,""))</f>
        <v/>
      </c>
      <c r="X10" s="25" t="str">
        <f>'Ingest Template'!AA10</f>
        <v/>
      </c>
      <c r="Y10" s="25"/>
      <c r="Z10" s="25"/>
      <c r="AA10" s="25"/>
      <c r="AB10" s="25" t="str">
        <f>'Ingest Template'!T10</f>
        <v/>
      </c>
      <c r="AC10" s="25"/>
      <c r="AD10" s="25" t="str">
        <f>'Ingest Template'!U10</f>
        <v/>
      </c>
      <c r="AE10" s="25" t="str">
        <f>'Ingest Template'!V10</f>
        <v/>
      </c>
      <c r="AF10" s="25"/>
      <c r="AG10" s="25" t="str">
        <f t="array" ref="AG10">IF('Ingest Template'!A10="Standard",(CONCATENATE(IF(ISBLANK('Ingest Template'!O10),"", 'Ingest Template'!O10&amp;"|DAR"),CHAR(10), IF(ISBLANK('Ingest Template'!P10),"", 'Ingest Template'!P10&amp;"|DAR"),CHAR(10), IF(ISBLANK('Ingest Template'!Q10),"", 'Ingest Template'!Q10&amp;"|DAR"))),(CONCATENATE(IF(ISBLANK('Ingest Template'!O10),"", 'Ingest Template'!O10&amp;"|Operations - Core Title"),CHAR(10), IF(ISBLANK('Ingest Template'!P10),"", 'Ingest Template'!P10&amp;"|Operations - Core Title"),CHAR(10), IF(ISBLANK('Ingest Template'!Q10),"", 'Ingest Template'!Q10&amp;"|Operations - Core Title"))))</f>
        <v>#|Operations - Core Title
#videoGame|Operations - Core Title
</v>
      </c>
      <c r="AH10" s="25"/>
      <c r="AI10" s="25"/>
      <c r="AJ10" s="50" t="str">
        <f>if('Ingest Template'!A10="Standard",'Ingest Template'!R10&amp; "|DAR|DAR|2021-01-01",'Ingest Template'!R10&amp; "|Operations - Core Title|Operations - Core Title")</f>
        <v>#N/A</v>
      </c>
      <c r="AK10" s="25"/>
      <c r="AL10" s="25" t="str">
        <f>if('Ingest Template'!A10="Standard",'Ingest Template'!S10&amp; "|2021-01-01",'Ingest Template'!S10)</f>
        <v>#N/A</v>
      </c>
      <c r="AM10" s="25"/>
    </row>
    <row r="11">
      <c r="A11" s="25"/>
      <c r="B11" s="25" t="str">
        <f>'Ingest Template'!C11&amp;IF('Ingest Template'!A11 = "Standard", " - DAR","")</f>
        <v/>
      </c>
      <c r="C11" s="34" t="s">
        <v>92</v>
      </c>
      <c r="D11" s="34" t="str">
        <f>CONCATENATE('Ingest Template'!E11&amp;Char(10)&amp;'Ingest Template'!G11&amp;Char(10)&amp;'Ingest Template'!H11&amp;Char(10)&amp;'Ingest Template'!I11&amp;Char(10)&amp;'Ingest Template'!J11&amp;Char(10)&amp;'Ingest Template'!K11&amp;Char(10)&amp;'Ingest Template'!L11)</f>
        <v>
</v>
      </c>
      <c r="E11" s="25" t="str">
        <f>('Ingest Template'!M11)</f>
        <v/>
      </c>
      <c r="F11" s="40" t="str">
        <f t="array" ref="F11">INDEX(DropDown!$J$2:$J$63,MATCH(1,COUNTIF(E11,DropDown!$I$2:$I$63),0))</f>
        <v>#N/A</v>
      </c>
      <c r="G11" s="25"/>
      <c r="H11" s="25"/>
      <c r="I11" s="25"/>
      <c r="J11" s="25" t="str">
        <f>'Ingest Template'!B11</f>
        <v/>
      </c>
      <c r="K11" s="25" t="str">
        <f>IF('Ingest Template'!A11="Standard",'Ingest Template'!N11,"Competitive View")</f>
        <v>Competitive View</v>
      </c>
      <c r="L11" s="41" t="s">
        <v>145</v>
      </c>
      <c r="M11" s="42" t="str">
        <f>'Ingest Template'!D11</f>
        <v/>
      </c>
      <c r="N11" s="25"/>
      <c r="O11" s="25"/>
      <c r="P11" s="25"/>
      <c r="Q11" s="25"/>
      <c r="R11" s="25" t="str">
        <f>CONCATENATE('Ingest Template'!F11)</f>
        <v/>
      </c>
      <c r="S11" s="43" t="s">
        <v>160</v>
      </c>
      <c r="T11" s="25" t="str">
        <f>'Ingest Template'!W11</f>
        <v/>
      </c>
      <c r="U11" s="25" t="str">
        <f>'Ingest Template'!X11</f>
        <v/>
      </c>
      <c r="V11" s="25" t="str">
        <f>LOWER(SUBSTITUTE(SUBSTITUTE(SUBSTITUTE(SUBSTITUTE(SUBSTITUTE('Ingest Template'!Y11,"https:",""),"www.",""),"/",""),"?hl=en",""),"instagram.com",""))</f>
        <v/>
      </c>
      <c r="W11" s="34" t="str">
        <f>(IFERROR(vlookup('Ingest Template'!F11,DropDown!D:E,2,false)&amp;'Ingest Template'!C11,""))</f>
        <v/>
      </c>
      <c r="X11" s="25" t="str">
        <f>'Ingest Template'!AA11</f>
        <v/>
      </c>
      <c r="Y11" s="25"/>
      <c r="Z11" s="25"/>
      <c r="AA11" s="25"/>
      <c r="AB11" s="25" t="str">
        <f>'Ingest Template'!T11</f>
        <v/>
      </c>
      <c r="AC11" s="25"/>
      <c r="AD11" s="25" t="str">
        <f>'Ingest Template'!U11</f>
        <v/>
      </c>
      <c r="AE11" s="25" t="str">
        <f>'Ingest Template'!V11</f>
        <v/>
      </c>
      <c r="AF11" s="25"/>
      <c r="AG11" s="25" t="str">
        <f t="array" ref="AG11">IF('Ingest Template'!A11="Standard",(CONCATENATE(IF(ISBLANK('Ingest Template'!O11),"", 'Ingest Template'!O11&amp;"|DAR"),CHAR(10), IF(ISBLANK('Ingest Template'!P11),"", 'Ingest Template'!P11&amp;"|DAR"),CHAR(10), IF(ISBLANK('Ingest Template'!Q11),"", 'Ingest Template'!Q11&amp;"|DAR"))),(CONCATENATE(IF(ISBLANK('Ingest Template'!O11),"", 'Ingest Template'!O11&amp;"|Operations - Core Title"),CHAR(10), IF(ISBLANK('Ingest Template'!P11),"", 'Ingest Template'!P11&amp;"|Operations - Core Title"),CHAR(10), IF(ISBLANK('Ingest Template'!Q11),"", 'Ingest Template'!Q11&amp;"|Operations - Core Title"))))</f>
        <v>#|Operations - Core Title
#videoGame|Operations - Core Title
</v>
      </c>
      <c r="AH11" s="25"/>
      <c r="AI11" s="25"/>
      <c r="AJ11" s="50" t="str">
        <f>if('Ingest Template'!A11="Standard",'Ingest Template'!R11&amp; "|DAR|DAR|2021-01-01",'Ingest Template'!R11&amp; "|Operations - Core Title|Operations - Core Title")</f>
        <v>#N/A</v>
      </c>
      <c r="AK11" s="25"/>
      <c r="AL11" s="25" t="str">
        <f>if('Ingest Template'!A11="Standard",'Ingest Template'!S11&amp; "|2021-01-01",'Ingest Template'!S11)</f>
        <v>#N/A</v>
      </c>
      <c r="AM11" s="25"/>
    </row>
    <row r="12">
      <c r="A12" s="25"/>
      <c r="B12" s="25" t="str">
        <f>'Ingest Template'!C11&amp;IF('Ingest Template'!A11 = "Standard", " - DAR","")</f>
        <v/>
      </c>
      <c r="C12" s="34" t="s">
        <v>92</v>
      </c>
      <c r="D12" s="34" t="str">
        <f>CONCATENATE('Ingest Template'!E11&amp;Char(10)&amp;'Ingest Template'!G11&amp;Char(10)&amp;'Ingest Template'!H11&amp;Char(10)&amp;'Ingest Template'!I11&amp;Char(10)&amp;'Ingest Template'!J11&amp;Char(10)&amp;'Ingest Template'!K11&amp;Char(10)&amp;'Ingest Template'!L11)</f>
        <v>
</v>
      </c>
      <c r="E12" s="25" t="str">
        <f>('Ingest Template'!M11)</f>
        <v/>
      </c>
      <c r="F12" s="40" t="str">
        <f t="array" ref="F12">INDEX(DropDown!$J$2:$J$63,MATCH(1,COUNTIF(E12,DropDown!$I$2:$I$63),0))</f>
        <v>#N/A</v>
      </c>
      <c r="G12" s="25"/>
      <c r="H12" s="25"/>
      <c r="I12" s="25"/>
      <c r="J12" s="25" t="str">
        <f>'Ingest Template'!B12</f>
        <v/>
      </c>
      <c r="K12" s="25" t="str">
        <f>IF('Ingest Template'!A11="Standard",'Ingest Template'!N11,"Competitive View")</f>
        <v>Competitive View</v>
      </c>
      <c r="L12" s="41" t="s">
        <v>145</v>
      </c>
      <c r="M12" s="42" t="str">
        <f>'Ingest Template'!D11</f>
        <v/>
      </c>
      <c r="N12" s="25"/>
      <c r="O12" s="25"/>
      <c r="P12" s="25"/>
      <c r="Q12" s="25"/>
      <c r="R12" s="25" t="str">
        <f>CONCATENATE('Ingest Template'!F11)</f>
        <v/>
      </c>
      <c r="S12" s="43" t="s">
        <v>160</v>
      </c>
      <c r="T12" s="25" t="str">
        <f>'Ingest Template'!W11</f>
        <v/>
      </c>
      <c r="U12" s="25"/>
      <c r="V12" s="25" t="str">
        <f>LOWER(SUBSTITUTE(SUBSTITUTE(SUBSTITUTE(SUBSTITUTE(SUBSTITUTE('Ingest Template'!Y11,"https:",""),"www.",""),"/",""),"?hl=en",""),"instagram.com",""))</f>
        <v/>
      </c>
      <c r="W12" s="34" t="str">
        <f>(IFERROR(vlookup('Ingest Template'!F11,DropDown!D:E,2,false)&amp;'Ingest Template'!C11,""))</f>
        <v/>
      </c>
      <c r="X12" s="25" t="str">
        <f>'Ingest Template'!AA11</f>
        <v/>
      </c>
      <c r="Y12" s="25"/>
      <c r="Z12" s="25"/>
      <c r="AA12" s="25"/>
      <c r="AB12" s="25" t="str">
        <f>'Ingest Template'!T11</f>
        <v/>
      </c>
      <c r="AC12" s="25"/>
      <c r="AD12" s="25" t="str">
        <f>'Ingest Template'!U11</f>
        <v/>
      </c>
      <c r="AE12" s="25" t="str">
        <f>'Ingest Template'!V11</f>
        <v/>
      </c>
      <c r="AF12" s="25"/>
      <c r="AG12" s="25" t="str">
        <f t="array" ref="AG12">IF('Ingest Template'!A11="Standard",(CONCATENATE(IF(ISBLANK('Ingest Template'!O11),"", 'Ingest Template'!O11&amp;"|DAR"),CHAR(10), IF(ISBLANK('Ingest Template'!P11),"", 'Ingest Template'!P11&amp;"|DAR"),CHAR(10), IF(ISBLANK('Ingest Template'!Q11),"", 'Ingest Template'!Q11&amp;"|DAR"))),(CONCATENATE(IF(ISBLANK('Ingest Template'!O11),"", 'Ingest Template'!O11&amp;"|Operations - Core Title"),CHAR(10), IF(ISBLANK('Ingest Template'!P11),"", 'Ingest Template'!P11&amp;"|Operations - Core Title"),CHAR(10), IF(ISBLANK('Ingest Template'!Q11),"", 'Ingest Template'!Q11&amp;"|Operations - Core Title"))))</f>
        <v>#|Operations - Core Title
#videoGame|Operations - Core Title
</v>
      </c>
      <c r="AH12" s="25"/>
      <c r="AI12" s="25"/>
      <c r="AJ12" s="50" t="str">
        <f>if('Ingest Template'!A11="Standard",'Ingest Template'!R11&amp; "|DAR|DAR|2021-01-01",'Ingest Template'!R11&amp; "|Operations - Core Title|Operations - Core Title")</f>
        <v>#N/A</v>
      </c>
      <c r="AK12" s="25"/>
      <c r="AL12" s="25" t="str">
        <f>if('Ingest Template'!A11="Standard",'Ingest Template'!S11&amp; "|2021-01-01",'Ingest Template'!S11)</f>
        <v>#N/A</v>
      </c>
      <c r="AM12" s="25"/>
    </row>
    <row r="13">
      <c r="A13" s="25"/>
      <c r="B13" s="25" t="str">
        <f>'Ingest Template'!C12&amp;IF('Ingest Template'!A12 = "Standard", " - DAR","")</f>
        <v/>
      </c>
      <c r="C13" s="34" t="s">
        <v>92</v>
      </c>
      <c r="D13" s="34" t="str">
        <f>CONCATENATE('Ingest Template'!E12&amp;Char(10)&amp;'Ingest Template'!G12&amp;Char(10)&amp;'Ingest Template'!H12&amp;Char(10)&amp;'Ingest Template'!I12&amp;Char(10)&amp;'Ingest Template'!J12&amp;Char(10)&amp;'Ingest Template'!K12&amp;Char(10)&amp;'Ingest Template'!L12)</f>
        <v>
</v>
      </c>
      <c r="E13" s="25" t="str">
        <f>('Ingest Template'!M12)</f>
        <v/>
      </c>
      <c r="F13" s="40" t="str">
        <f t="array" ref="F13">INDEX(DropDown!$J$2:$J$63,MATCH(1,COUNTIF(E13,DropDown!$I$2:$I$63),0))</f>
        <v>#N/A</v>
      </c>
      <c r="G13" s="25"/>
      <c r="H13" s="25"/>
      <c r="I13" s="25"/>
      <c r="J13" s="25" t="str">
        <f>'Ingest Template'!B13</f>
        <v/>
      </c>
      <c r="K13" s="25" t="str">
        <f>IF('Ingest Template'!A12="Standard",'Ingest Template'!N12,"Competitive View")</f>
        <v>Competitive View</v>
      </c>
      <c r="L13" s="41" t="s">
        <v>145</v>
      </c>
      <c r="M13" s="42" t="str">
        <f>'Ingest Template'!D12</f>
        <v/>
      </c>
      <c r="N13" s="25"/>
      <c r="O13" s="25"/>
      <c r="P13" s="25"/>
      <c r="Q13" s="25"/>
      <c r="R13" s="25" t="str">
        <f>CONCATENATE('Ingest Template'!F12)</f>
        <v/>
      </c>
      <c r="S13" s="43" t="s">
        <v>160</v>
      </c>
      <c r="T13" s="25" t="str">
        <f>'Ingest Template'!W12</f>
        <v/>
      </c>
      <c r="U13" s="25"/>
      <c r="V13" s="25" t="str">
        <f>LOWER(SUBSTITUTE(SUBSTITUTE(SUBSTITUTE(SUBSTITUTE(SUBSTITUTE('Ingest Template'!Y12,"https:",""),"www.",""),"/",""),"?hl=en",""),"instagram.com",""))</f>
        <v/>
      </c>
      <c r="W13" s="34" t="str">
        <f>(IFERROR(vlookup('Ingest Template'!F12,DropDown!D:E,2,false)&amp;'Ingest Template'!C12,""))</f>
        <v/>
      </c>
      <c r="X13" s="25" t="str">
        <f>'Ingest Template'!AA12</f>
        <v/>
      </c>
      <c r="Y13" s="25"/>
      <c r="Z13" s="25"/>
      <c r="AA13" s="25"/>
      <c r="AB13" s="25" t="str">
        <f>'Ingest Template'!T12</f>
        <v/>
      </c>
      <c r="AC13" s="25"/>
      <c r="AD13" s="25" t="str">
        <f>'Ingest Template'!U12</f>
        <v/>
      </c>
      <c r="AE13" s="25" t="str">
        <f>'Ingest Template'!V12</f>
        <v/>
      </c>
      <c r="AF13" s="25"/>
      <c r="AG13" s="25" t="str">
        <f t="array" ref="AG13">IF('Ingest Template'!A12="Standard",(CONCATENATE(IF(ISBLANK('Ingest Template'!O12),"", 'Ingest Template'!O12&amp;"|DAR"),CHAR(10), IF(ISBLANK('Ingest Template'!P12),"", 'Ingest Template'!P12&amp;"|DAR"),CHAR(10), IF(ISBLANK('Ingest Template'!Q12),"", 'Ingest Template'!Q12&amp;"|DAR"))),(CONCATENATE(IF(ISBLANK('Ingest Template'!O12),"", 'Ingest Template'!O12&amp;"|Operations - Core Title"),CHAR(10), IF(ISBLANK('Ingest Template'!P12),"", 'Ingest Template'!P12&amp;"|Operations - Core Title"),CHAR(10), IF(ISBLANK('Ingest Template'!Q12),"", 'Ingest Template'!Q12&amp;"|Operations - Core Title"))))</f>
        <v>#|Operations - Core Title
#videoGame|Operations - Core Title
</v>
      </c>
      <c r="AH13" s="25"/>
      <c r="AI13" s="25"/>
      <c r="AJ13" s="50" t="str">
        <f>if('Ingest Template'!A12="Standard",'Ingest Template'!R12&amp; "|DAR|DAR|2021-01-01",'Ingest Template'!R12&amp; "|Operations - Core Title|Operations - Core Title")</f>
        <v>#N/A</v>
      </c>
      <c r="AK13" s="25"/>
      <c r="AL13" s="25" t="str">
        <f>if('Ingest Template'!A12="Standard",'Ingest Template'!S12&amp; "|2021-01-01",'Ingest Template'!S12)</f>
        <v>#N/A</v>
      </c>
      <c r="AM13" s="25"/>
    </row>
    <row r="14">
      <c r="A14" s="25"/>
      <c r="B14" s="25" t="str">
        <f>'Ingest Template'!C13&amp;IF('Ingest Template'!A13 = "Standard", " - DAR","")</f>
        <v/>
      </c>
      <c r="C14" s="34" t="s">
        <v>92</v>
      </c>
      <c r="D14" s="34" t="str">
        <f>CONCATENATE('Ingest Template'!E13&amp;Char(10)&amp;'Ingest Template'!G13&amp;Char(10)&amp;'Ingest Template'!H13&amp;Char(10)&amp;'Ingest Template'!I13&amp;Char(10)&amp;'Ingest Template'!J13&amp;Char(10)&amp;'Ingest Template'!K13&amp;Char(10)&amp;'Ingest Template'!L13)</f>
        <v>
</v>
      </c>
      <c r="E14" s="25" t="str">
        <f>('Ingest Template'!M13)</f>
        <v/>
      </c>
      <c r="F14" s="40" t="str">
        <f t="array" ref="F14">INDEX(DropDown!$J$2:$J$63,MATCH(1,COUNTIF(E14,DropDown!$I$2:$I$63),0))</f>
        <v>#N/A</v>
      </c>
      <c r="G14" s="25"/>
      <c r="H14" s="25"/>
      <c r="I14" s="25"/>
      <c r="J14" s="25" t="str">
        <f>'Ingest Template'!B14</f>
        <v/>
      </c>
      <c r="K14" s="25" t="str">
        <f>IF('Ingest Template'!A13="Standard",'Ingest Template'!N13,"Competitive View")</f>
        <v>Competitive View</v>
      </c>
      <c r="L14" s="41" t="s">
        <v>145</v>
      </c>
      <c r="M14" s="42" t="str">
        <f>'Ingest Template'!D13</f>
        <v/>
      </c>
      <c r="N14" s="25"/>
      <c r="O14" s="25"/>
      <c r="P14" s="25"/>
      <c r="Q14" s="25"/>
      <c r="R14" s="25" t="str">
        <f>CONCATENATE('Ingest Template'!F13)</f>
        <v/>
      </c>
      <c r="S14" s="43" t="s">
        <v>160</v>
      </c>
      <c r="T14" s="25" t="str">
        <f>'Ingest Template'!W13</f>
        <v/>
      </c>
      <c r="U14" s="25"/>
      <c r="V14" s="25" t="str">
        <f>LOWER(SUBSTITUTE(SUBSTITUTE(SUBSTITUTE(SUBSTITUTE(SUBSTITUTE('Ingest Template'!Y13,"https:",""),"www.",""),"/",""),"?hl=en",""),"instagram.com",""))</f>
        <v/>
      </c>
      <c r="W14" s="34" t="str">
        <f>(IFERROR(vlookup('Ingest Template'!F13,DropDown!D:E,2,false)&amp;'Ingest Template'!C13,""))</f>
        <v/>
      </c>
      <c r="X14" s="25" t="str">
        <f>'Ingest Template'!AA13</f>
        <v/>
      </c>
      <c r="Y14" s="25"/>
      <c r="Z14" s="25"/>
      <c r="AA14" s="25"/>
      <c r="AB14" s="25" t="str">
        <f>'Ingest Template'!T13</f>
        <v/>
      </c>
      <c r="AC14" s="25"/>
      <c r="AD14" s="25" t="str">
        <f>'Ingest Template'!U13</f>
        <v/>
      </c>
      <c r="AE14" s="25" t="str">
        <f>'Ingest Template'!V13</f>
        <v/>
      </c>
      <c r="AF14" s="25"/>
      <c r="AG14" s="25" t="str">
        <f t="array" ref="AG14">IF('Ingest Template'!A13="Standard",(CONCATENATE(IF(ISBLANK('Ingest Template'!O13),"", 'Ingest Template'!O13&amp;"|DAR"),CHAR(10), IF(ISBLANK('Ingest Template'!P13),"", 'Ingest Template'!P13&amp;"|DAR"),CHAR(10), IF(ISBLANK('Ingest Template'!Q13),"", 'Ingest Template'!Q13&amp;"|DAR"))),(CONCATENATE(IF(ISBLANK('Ingest Template'!O13),"", 'Ingest Template'!O13&amp;"|Operations - Core Title"),CHAR(10), IF(ISBLANK('Ingest Template'!P13),"", 'Ingest Template'!P13&amp;"|Operations - Core Title"),CHAR(10), IF(ISBLANK('Ingest Template'!Q13),"", 'Ingest Template'!Q13&amp;"|Operations - Core Title"))))</f>
        <v>#|Operations - Core Title
#videoGame|Operations - Core Title
</v>
      </c>
      <c r="AH14" s="25"/>
      <c r="AI14" s="25"/>
      <c r="AJ14" s="50" t="str">
        <f>if('Ingest Template'!A13="Standard",'Ingest Template'!R13&amp; "|DAR|DAR|2021-01-01",'Ingest Template'!R13&amp; "|Operations - Core Title|Operations - Core Title")</f>
        <v>#N/A</v>
      </c>
      <c r="AK14" s="25"/>
      <c r="AL14" s="25" t="str">
        <f>if('Ingest Template'!A13="Standard",'Ingest Template'!S13&amp; "|2021-01-01",'Ingest Template'!S13)</f>
        <v>#N/A</v>
      </c>
      <c r="AM14" s="25"/>
    </row>
    <row r="15">
      <c r="A15" s="25"/>
      <c r="B15" s="25" t="str">
        <f>'Ingest Template'!C14&amp;IF('Ingest Template'!A14 = "Standard", " - DAR","")</f>
        <v/>
      </c>
      <c r="C15" s="34" t="s">
        <v>92</v>
      </c>
      <c r="D15" s="34" t="str">
        <f>CONCATENATE('Ingest Template'!E14&amp;Char(10)&amp;'Ingest Template'!G14&amp;Char(10)&amp;'Ingest Template'!H14&amp;Char(10)&amp;'Ingest Template'!I14&amp;Char(10)&amp;'Ingest Template'!J14&amp;Char(10)&amp;'Ingest Template'!K14&amp;Char(10)&amp;'Ingest Template'!L14)</f>
        <v>
</v>
      </c>
      <c r="E15" s="25" t="str">
        <f>('Ingest Template'!M14)</f>
        <v/>
      </c>
      <c r="F15" s="40" t="str">
        <f t="array" ref="F15">INDEX(DropDown!$J$2:$J$63,MATCH(1,COUNTIF(E15,DropDown!$I$2:$I$63),0))</f>
        <v>#N/A</v>
      </c>
      <c r="G15" s="25"/>
      <c r="H15" s="25"/>
      <c r="I15" s="25"/>
      <c r="J15" s="25" t="str">
        <f>'Ingest Template'!B15</f>
        <v/>
      </c>
      <c r="K15" s="25" t="str">
        <f>IF('Ingest Template'!A14="Standard",'Ingest Template'!N14,"Competitive View")</f>
        <v>Competitive View</v>
      </c>
      <c r="L15" s="41" t="s">
        <v>145</v>
      </c>
      <c r="M15" s="42" t="str">
        <f>'Ingest Template'!D14</f>
        <v/>
      </c>
      <c r="N15" s="25"/>
      <c r="O15" s="25"/>
      <c r="P15" s="25"/>
      <c r="Q15" s="25"/>
      <c r="R15" s="25" t="str">
        <f>CONCATENATE('Ingest Template'!F14)</f>
        <v/>
      </c>
      <c r="S15" s="43" t="s">
        <v>160</v>
      </c>
      <c r="T15" s="25" t="str">
        <f>'Ingest Template'!W14</f>
        <v/>
      </c>
      <c r="U15" s="25"/>
      <c r="V15" s="25" t="str">
        <f>LOWER(SUBSTITUTE(SUBSTITUTE(SUBSTITUTE(SUBSTITUTE(SUBSTITUTE('Ingest Template'!Y14,"https:",""),"www.",""),"/",""),"?hl=en",""),"instagram.com",""))</f>
        <v/>
      </c>
      <c r="W15" s="34" t="str">
        <f>(IFERROR(vlookup('Ingest Template'!F14,DropDown!D:E,2,false)&amp;'Ingest Template'!C14,""))</f>
        <v/>
      </c>
      <c r="X15" s="25" t="str">
        <f>'Ingest Template'!AA14</f>
        <v/>
      </c>
      <c r="Y15" s="25"/>
      <c r="Z15" s="25"/>
      <c r="AA15" s="25"/>
      <c r="AB15" s="25" t="str">
        <f>'Ingest Template'!T14</f>
        <v/>
      </c>
      <c r="AC15" s="25"/>
      <c r="AD15" s="25" t="str">
        <f>'Ingest Template'!U14</f>
        <v/>
      </c>
      <c r="AE15" s="25" t="str">
        <f>'Ingest Template'!V14</f>
        <v/>
      </c>
      <c r="AF15" s="25"/>
      <c r="AG15" s="25" t="str">
        <f t="array" ref="AG15">IF('Ingest Template'!A14="Standard",(CONCATENATE(IF(ISBLANK('Ingest Template'!O14),"", 'Ingest Template'!O14&amp;"|DAR"),CHAR(10), IF(ISBLANK('Ingest Template'!P14),"", 'Ingest Template'!P14&amp;"|DAR"),CHAR(10), IF(ISBLANK('Ingest Template'!Q14),"", 'Ingest Template'!Q14&amp;"|DAR"))),(CONCATENATE(IF(ISBLANK('Ingest Template'!O14),"", 'Ingest Template'!O14&amp;"|Operations - Core Title"),CHAR(10), IF(ISBLANK('Ingest Template'!P14),"", 'Ingest Template'!P14&amp;"|Operations - Core Title"),CHAR(10), IF(ISBLANK('Ingest Template'!Q14),"", 'Ingest Template'!Q14&amp;"|Operations - Core Title"))))</f>
        <v>#|Operations - Core Title
#videoGame|Operations - Core Title
</v>
      </c>
      <c r="AH15" s="25"/>
      <c r="AI15" s="25"/>
      <c r="AJ15" s="50" t="str">
        <f>if('Ingest Template'!A14="Standard",'Ingest Template'!R14&amp; "|DAR|DAR|2021-01-01",'Ingest Template'!R14&amp; "|Operations - Core Title|Operations - Core Title")</f>
        <v>#N/A</v>
      </c>
      <c r="AK15" s="25"/>
      <c r="AL15" s="25" t="str">
        <f>if('Ingest Template'!A14="Standard",'Ingest Template'!S14&amp; "|2021-01-01",'Ingest Template'!S14)</f>
        <v>#N/A</v>
      </c>
      <c r="AM15" s="25"/>
    </row>
    <row r="16">
      <c r="A16" s="25"/>
      <c r="B16" s="25" t="str">
        <f>'Ingest Template'!C16&amp;IF('Ingest Template'!A16 = "Standard", " - DAR","")</f>
        <v/>
      </c>
      <c r="C16" s="34" t="s">
        <v>92</v>
      </c>
      <c r="D16" s="34" t="str">
        <f>CONCATENATE('Ingest Template'!E16&amp;Char(10)&amp;'Ingest Template'!G16&amp;Char(10)&amp;'Ingest Template'!H16&amp;Char(10)&amp;'Ingest Template'!I16&amp;Char(10)&amp;'Ingest Template'!J16&amp;Char(10)&amp;'Ingest Template'!K16&amp;Char(10)&amp;'Ingest Template'!L16)</f>
        <v>
</v>
      </c>
      <c r="E16" s="25" t="str">
        <f>('Ingest Template'!M16)</f>
        <v/>
      </c>
      <c r="F16" s="40" t="str">
        <f t="array" ref="F16">INDEX(DropDown!$J$2:$J$63,MATCH(1,COUNTIF(E16,DropDown!$I$2:$I$63),0))</f>
        <v>#N/A</v>
      </c>
      <c r="G16" s="25"/>
      <c r="H16" s="25"/>
      <c r="I16" s="25"/>
      <c r="J16" s="25" t="str">
        <f>'Ingest Template'!B16</f>
        <v/>
      </c>
      <c r="K16" s="25" t="str">
        <f>IF('Ingest Template'!A16="Standard",'Ingest Template'!N16,"Competitive View")</f>
        <v>Competitive View</v>
      </c>
      <c r="L16" s="41" t="s">
        <v>145</v>
      </c>
      <c r="M16" s="25" t="str">
        <f>'Ingest Template'!D16</f>
        <v/>
      </c>
      <c r="N16" s="25"/>
      <c r="O16" s="25"/>
      <c r="P16" s="25"/>
      <c r="Q16" s="25"/>
      <c r="R16" s="25" t="str">
        <f>CONCATENATE('Ingest Template'!F16)</f>
        <v/>
      </c>
      <c r="S16" s="43" t="s">
        <v>160</v>
      </c>
      <c r="T16" s="25" t="str">
        <f>'Ingest Template'!W16</f>
        <v/>
      </c>
      <c r="U16" s="25"/>
      <c r="V16" s="25" t="str">
        <f>LOWER(SUBSTITUTE(SUBSTITUTE(SUBSTITUTE(SUBSTITUTE(SUBSTITUTE('Ingest Template'!Y16,"https:",""),"www.",""),"/",""),"?hl=en",""),"instagram.com",""))</f>
        <v/>
      </c>
      <c r="W16" s="34" t="str">
        <f>(IFERROR(vlookup('Ingest Template'!F16,DropDown!D:E,2,false)&amp;'Ingest Template'!C16,""))</f>
        <v/>
      </c>
      <c r="X16" s="25" t="str">
        <f>'Ingest Template'!AA16</f>
        <v/>
      </c>
      <c r="Y16" s="25"/>
      <c r="Z16" s="25"/>
      <c r="AA16" s="25"/>
      <c r="AB16" s="25" t="str">
        <f>'Ingest Template'!T16</f>
        <v/>
      </c>
      <c r="AC16" s="25"/>
      <c r="AD16" s="25" t="str">
        <f>'Ingest Template'!U16</f>
        <v/>
      </c>
      <c r="AE16" s="25" t="str">
        <f>'Ingest Template'!V16</f>
        <v/>
      </c>
      <c r="AF16" s="25"/>
      <c r="AG16" s="25" t="str">
        <f t="array" ref="AG16">IF('Ingest Template'!A16="Standard",(CONCATENATE(IF(ISBLANK('Ingest Template'!O16),"", 'Ingest Template'!O16&amp;"|DAR"),CHAR(10), IF(ISBLANK('Ingest Template'!P16),"", 'Ingest Template'!P16&amp;"|DAR"),CHAR(10), IF(ISBLANK('Ingest Template'!Q16),"", 'Ingest Template'!Q16&amp;"|DAR"))),(CONCATENATE(IF(ISBLANK('Ingest Template'!O16),"", 'Ingest Template'!O16&amp;"|Operations - Core Title"),CHAR(10), IF(ISBLANK('Ingest Template'!P16),"", 'Ingest Template'!P16&amp;"|Operations - Core Title"),CHAR(10), IF(ISBLANK('Ingest Template'!Q16),"", 'Ingest Template'!Q16&amp;"|Operations - Core Title"))))</f>
        <v>#|Operations - Core Title
#videoGame|Operations - Core Title
</v>
      </c>
      <c r="AH16" s="25"/>
      <c r="AI16" s="25"/>
      <c r="AJ16" s="50" t="str">
        <f>if('Ingest Template'!A16="Standard",'Ingest Template'!R16&amp; "|DAR|DAR|2021-01-01",'Ingest Template'!R16&amp; "|Operations - Core Title|Operations - Core Title")</f>
        <v>#N/A</v>
      </c>
      <c r="AK16" s="25"/>
      <c r="AL16" s="25" t="str">
        <f>if('Ingest Template'!A16="Standard",'Ingest Template'!S16&amp; "|2021-01-01",'Ingest Template'!S16)</f>
        <v>#N/A</v>
      </c>
      <c r="AM16" s="25"/>
    </row>
    <row r="17">
      <c r="A17" s="25"/>
      <c r="B17" s="25" t="str">
        <f>'Ingest Template'!C17&amp;IF('Ingest Template'!A17 = "Standard", " - DAR","")</f>
        <v/>
      </c>
      <c r="C17" s="34" t="s">
        <v>92</v>
      </c>
      <c r="D17" s="34" t="str">
        <f>CONCATENATE('Ingest Template'!E17&amp;Char(10)&amp;'Ingest Template'!G17&amp;Char(10)&amp;'Ingest Template'!H17&amp;Char(10)&amp;'Ingest Template'!I17&amp;Char(10)&amp;'Ingest Template'!J17&amp;Char(10)&amp;'Ingest Template'!K17&amp;Char(10)&amp;'Ingest Template'!L17)</f>
        <v>
</v>
      </c>
      <c r="E17" s="25" t="str">
        <f>('Ingest Template'!M17)</f>
        <v/>
      </c>
      <c r="F17" s="40" t="str">
        <f t="array" ref="F17">INDEX(DropDown!$J$2:$J$63,MATCH(1,COUNTIF(E17,DropDown!$I$2:$I$63),0))</f>
        <v>#N/A</v>
      </c>
      <c r="G17" s="25"/>
      <c r="H17" s="25"/>
      <c r="I17" s="25"/>
      <c r="J17" s="25" t="str">
        <f>'Ingest Template'!B17</f>
        <v/>
      </c>
      <c r="K17" s="25" t="str">
        <f>IF('Ingest Template'!A17="Standard",'Ingest Template'!N17,"Competitive View")</f>
        <v>Competitive View</v>
      </c>
      <c r="L17" s="41" t="s">
        <v>145</v>
      </c>
      <c r="M17" s="25" t="str">
        <f>'Ingest Template'!D17</f>
        <v/>
      </c>
      <c r="N17" s="25"/>
      <c r="O17" s="25"/>
      <c r="P17" s="25"/>
      <c r="Q17" s="25"/>
      <c r="R17" s="25" t="str">
        <f>CONCATENATE('Ingest Template'!F17)</f>
        <v/>
      </c>
      <c r="S17" s="43" t="s">
        <v>160</v>
      </c>
      <c r="T17" s="25" t="str">
        <f>'Ingest Template'!W17</f>
        <v/>
      </c>
      <c r="U17" s="25"/>
      <c r="V17" s="25" t="str">
        <f>LOWER(SUBSTITUTE(SUBSTITUTE(SUBSTITUTE(SUBSTITUTE(SUBSTITUTE('Ingest Template'!Y17,"https:",""),"www.",""),"/",""),"?hl=en",""),"instagram.com",""))</f>
        <v/>
      </c>
      <c r="W17" s="34" t="str">
        <f>(IFERROR(vlookup('Ingest Template'!F17,DropDown!D:E,2,false)&amp;'Ingest Template'!C17,""))</f>
        <v/>
      </c>
      <c r="X17" s="25" t="str">
        <f>'Ingest Template'!AA17</f>
        <v/>
      </c>
      <c r="Y17" s="25"/>
      <c r="Z17" s="25"/>
      <c r="AA17" s="25"/>
      <c r="AB17" s="25" t="str">
        <f>'Ingest Template'!T17</f>
        <v/>
      </c>
      <c r="AC17" s="25"/>
      <c r="AD17" s="25" t="str">
        <f>'Ingest Template'!U17</f>
        <v/>
      </c>
      <c r="AE17" s="25" t="str">
        <f>'Ingest Template'!V17</f>
        <v/>
      </c>
      <c r="AF17" s="25"/>
      <c r="AG17" s="25" t="str">
        <f t="array" ref="AG17">IF('Ingest Template'!A17="Standard",(CONCATENATE(IF(ISBLANK('Ingest Template'!O17),"", 'Ingest Template'!O17&amp;"|DAR"),CHAR(10), IF(ISBLANK('Ingest Template'!P17),"", 'Ingest Template'!P17&amp;"|DAR"),CHAR(10), IF(ISBLANK('Ingest Template'!Q17),"", 'Ingest Template'!Q17&amp;"|DAR"))),(CONCATENATE(IF(ISBLANK('Ingest Template'!O17),"", 'Ingest Template'!O17&amp;"|Operations - Core Title"),CHAR(10), IF(ISBLANK('Ingest Template'!P17),"", 'Ingest Template'!P17&amp;"|Operations - Core Title"),CHAR(10), IF(ISBLANK('Ingest Template'!Q17),"", 'Ingest Template'!Q17&amp;"|Operations - Core Title"))))</f>
        <v>#|Operations - Core Title
#videoGame|Operations - Core Title
</v>
      </c>
      <c r="AH17" s="25"/>
      <c r="AI17" s="25"/>
      <c r="AJ17" s="50" t="str">
        <f>if('Ingest Template'!A17="Standard",'Ingest Template'!R17&amp; "|DAR|DAR|2021-01-01",'Ingest Template'!R17&amp; "|Operations - Core Title|Operations - Core Title")</f>
        <v>#N/A</v>
      </c>
      <c r="AK17" s="25"/>
      <c r="AL17" s="25" t="str">
        <f>if('Ingest Template'!A17="Standard",'Ingest Template'!S17&amp; "|2021-01-01",'Ingest Template'!S17)</f>
        <v>#N/A</v>
      </c>
      <c r="AM17" s="25"/>
    </row>
    <row r="18">
      <c r="A18" s="25"/>
      <c r="B18" s="25" t="str">
        <f>'Ingest Template'!C18&amp;IF('Ingest Template'!A18 = "Standard", " - DAR","")</f>
        <v/>
      </c>
      <c r="C18" s="34" t="s">
        <v>92</v>
      </c>
      <c r="D18" s="34" t="str">
        <f>CONCATENATE('Ingest Template'!E18&amp;Char(10)&amp;'Ingest Template'!G18&amp;Char(10)&amp;'Ingest Template'!H18&amp;Char(10)&amp;'Ingest Template'!I18&amp;Char(10)&amp;'Ingest Template'!J18&amp;Char(10)&amp;'Ingest Template'!K18&amp;Char(10)&amp;'Ingest Template'!L18)</f>
        <v>
</v>
      </c>
      <c r="E18" s="25" t="str">
        <f>('Ingest Template'!M18)</f>
        <v/>
      </c>
      <c r="F18" s="40" t="str">
        <f t="array" ref="F18">INDEX(DropDown!$J$2:$J$63,MATCH(1,COUNTIF(E18,DropDown!$I$2:$I$63),0))</f>
        <v>#N/A</v>
      </c>
      <c r="G18" s="25"/>
      <c r="H18" s="25"/>
      <c r="I18" s="25"/>
      <c r="J18" s="25" t="str">
        <f>'Ingest Template'!B18</f>
        <v/>
      </c>
      <c r="K18" s="25" t="str">
        <f>IF('Ingest Template'!A18="Standard",'Ingest Template'!N18,"Competitive View")</f>
        <v>Competitive View</v>
      </c>
      <c r="L18" s="41" t="s">
        <v>145</v>
      </c>
      <c r="M18" s="25" t="str">
        <f>'Ingest Template'!D18</f>
        <v/>
      </c>
      <c r="N18" s="25"/>
      <c r="O18" s="25"/>
      <c r="P18" s="25"/>
      <c r="Q18" s="25"/>
      <c r="R18" s="25" t="str">
        <f>CONCATENATE('Ingest Template'!F18)</f>
        <v/>
      </c>
      <c r="S18" s="43" t="s">
        <v>160</v>
      </c>
      <c r="T18" s="25" t="str">
        <f>'Ingest Template'!W18</f>
        <v/>
      </c>
      <c r="U18" s="25"/>
      <c r="V18" s="25" t="str">
        <f>LOWER(SUBSTITUTE(SUBSTITUTE(SUBSTITUTE(SUBSTITUTE(SUBSTITUTE('Ingest Template'!Y18,"https:",""),"www.",""),"/",""),"?hl=en",""),"instagram.com",""))</f>
        <v/>
      </c>
      <c r="W18" s="34" t="str">
        <f>(IFERROR(vlookup('Ingest Template'!F18,DropDown!D:E,2,false)&amp;'Ingest Template'!C18,""))</f>
        <v/>
      </c>
      <c r="X18" s="25" t="str">
        <f>'Ingest Template'!AA18</f>
        <v/>
      </c>
      <c r="Y18" s="25"/>
      <c r="Z18" s="25"/>
      <c r="AA18" s="25"/>
      <c r="AB18" s="25" t="str">
        <f>'Ingest Template'!T18</f>
        <v/>
      </c>
      <c r="AC18" s="25"/>
      <c r="AD18" s="25" t="str">
        <f>'Ingest Template'!U18</f>
        <v/>
      </c>
      <c r="AE18" s="25" t="str">
        <f>'Ingest Template'!V18</f>
        <v/>
      </c>
      <c r="AF18" s="25"/>
      <c r="AG18" s="25" t="str">
        <f t="array" ref="AG18">IF('Ingest Template'!A18="Standard",(CONCATENATE(IF(ISBLANK('Ingest Template'!O18),"", 'Ingest Template'!O18&amp;"|DAR"),CHAR(10), IF(ISBLANK('Ingest Template'!P18),"", 'Ingest Template'!P18&amp;"|DAR"),CHAR(10), IF(ISBLANK('Ingest Template'!Q18),"", 'Ingest Template'!Q18&amp;"|DAR"))),(CONCATENATE(IF(ISBLANK('Ingest Template'!O18),"", 'Ingest Template'!O18&amp;"|Operations - Core Title"),CHAR(10), IF(ISBLANK('Ingest Template'!P18),"", 'Ingest Template'!P18&amp;"|Operations - Core Title"),CHAR(10), IF(ISBLANK('Ingest Template'!Q18),"", 'Ingest Template'!Q18&amp;"|Operations - Core Title"))))</f>
        <v>#|Operations - Core Title
#videoGame|Operations - Core Title
</v>
      </c>
      <c r="AH18" s="25"/>
      <c r="AI18" s="25"/>
      <c r="AJ18" s="50" t="str">
        <f>if('Ingest Template'!A18="Standard",'Ingest Template'!R18&amp; "|DAR|DAR|2021-01-01",'Ingest Template'!R18&amp; "|Operations - Core Title|Operations - Core Title")</f>
        <v>#N/A</v>
      </c>
      <c r="AK18" s="25"/>
      <c r="AL18" s="25" t="str">
        <f>if('Ingest Template'!A18="Standard",'Ingest Template'!S18&amp; "|2021-01-01",'Ingest Template'!S18)</f>
        <v>#N/A</v>
      </c>
      <c r="AM18" s="25"/>
    </row>
    <row r="19">
      <c r="A19" s="25"/>
      <c r="B19" s="25" t="str">
        <f>'Ingest Template'!C19&amp;IF('Ingest Template'!A19 = "Standard", " - DAR","")</f>
        <v/>
      </c>
      <c r="C19" s="34" t="s">
        <v>92</v>
      </c>
      <c r="D19" s="34" t="str">
        <f>CONCATENATE('Ingest Template'!E19&amp;Char(10)&amp;'Ingest Template'!G19&amp;Char(10)&amp;'Ingest Template'!H19&amp;Char(10)&amp;'Ingest Template'!I19&amp;Char(10)&amp;'Ingest Template'!J19&amp;Char(10)&amp;'Ingest Template'!K19&amp;Char(10)&amp;'Ingest Template'!L19)</f>
        <v>
</v>
      </c>
      <c r="E19" s="25" t="str">
        <f>('Ingest Template'!M19)</f>
        <v/>
      </c>
      <c r="F19" s="40" t="str">
        <f t="array" ref="F19">INDEX(DropDown!$J$2:$J$63,MATCH(1,COUNTIF(E19,DropDown!$I$2:$I$63),0))</f>
        <v>#N/A</v>
      </c>
      <c r="G19" s="25"/>
      <c r="H19" s="25"/>
      <c r="I19" s="25"/>
      <c r="J19" s="25" t="str">
        <f>'Ingest Template'!B19</f>
        <v/>
      </c>
      <c r="K19" s="25" t="str">
        <f>IF('Ingest Template'!A19="Standard",'Ingest Template'!N19,"Competitive View")</f>
        <v>Competitive View</v>
      </c>
      <c r="L19" s="41" t="s">
        <v>145</v>
      </c>
      <c r="M19" s="25" t="str">
        <f>'Ingest Template'!D19</f>
        <v/>
      </c>
      <c r="N19" s="25"/>
      <c r="O19" s="25"/>
      <c r="P19" s="25"/>
      <c r="Q19" s="25"/>
      <c r="R19" s="25" t="str">
        <f>CONCATENATE('Ingest Template'!F19)</f>
        <v/>
      </c>
      <c r="S19" s="43" t="s">
        <v>160</v>
      </c>
      <c r="T19" s="25" t="str">
        <f>'Ingest Template'!W19</f>
        <v/>
      </c>
      <c r="U19" s="25"/>
      <c r="V19" s="25" t="str">
        <f>LOWER(SUBSTITUTE(SUBSTITUTE(SUBSTITUTE(SUBSTITUTE(SUBSTITUTE('Ingest Template'!Y19,"https:",""),"www.",""),"/",""),"?hl=en",""),"instagram.com",""))</f>
        <v/>
      </c>
      <c r="W19" s="34" t="str">
        <f>(IFERROR(vlookup('Ingest Template'!F19,DropDown!D:E,2,false)&amp;'Ingest Template'!C19,""))</f>
        <v/>
      </c>
      <c r="X19" s="25" t="str">
        <f>'Ingest Template'!AA19</f>
        <v/>
      </c>
      <c r="Y19" s="25"/>
      <c r="Z19" s="25"/>
      <c r="AA19" s="25"/>
      <c r="AB19" s="25" t="str">
        <f>'Ingest Template'!T19</f>
        <v/>
      </c>
      <c r="AC19" s="25"/>
      <c r="AD19" s="25" t="str">
        <f>'Ingest Template'!U19</f>
        <v/>
      </c>
      <c r="AE19" s="25" t="str">
        <f>'Ingest Template'!V19</f>
        <v/>
      </c>
      <c r="AF19" s="25"/>
      <c r="AG19" s="25" t="str">
        <f t="array" ref="AG19">IF('Ingest Template'!A19="Standard",(CONCATENATE(IF(ISBLANK('Ingest Template'!O19),"", 'Ingest Template'!O19&amp;"|DAR"),CHAR(10), IF(ISBLANK('Ingest Template'!P19),"", 'Ingest Template'!P19&amp;"|DAR"),CHAR(10), IF(ISBLANK('Ingest Template'!Q19),"", 'Ingest Template'!Q19&amp;"|DAR"))),(CONCATENATE(IF(ISBLANK('Ingest Template'!O19),"", 'Ingest Template'!O19&amp;"|Operations - Core Title"),CHAR(10), IF(ISBLANK('Ingest Template'!P19),"", 'Ingest Template'!P19&amp;"|Operations - Core Title"),CHAR(10), IF(ISBLANK('Ingest Template'!Q19),"", 'Ingest Template'!Q19&amp;"|Operations - Core Title"))))</f>
        <v>#|Operations - Core Title
#videoGame|Operations - Core Title
</v>
      </c>
      <c r="AH19" s="25"/>
      <c r="AI19" s="25"/>
      <c r="AJ19" s="50" t="str">
        <f>if('Ingest Template'!A19="Standard",'Ingest Template'!R19&amp; "|DAR|DAR|2021-01-01",'Ingest Template'!R19&amp; "|Operations - Core Title|Operations - Core Title")</f>
        <v>#N/A</v>
      </c>
      <c r="AK19" s="25"/>
      <c r="AL19" s="25" t="str">
        <f>if('Ingest Template'!A19="Standard",'Ingest Template'!S19&amp; "|2021-01-01",'Ingest Template'!S19)</f>
        <v>#N/A</v>
      </c>
      <c r="AM19" s="25"/>
    </row>
    <row r="20">
      <c r="A20" s="25"/>
      <c r="B20" s="25" t="str">
        <f>'Ingest Template'!C20&amp;IF('Ingest Template'!A20 = "Standard", " - DAR","")</f>
        <v/>
      </c>
      <c r="C20" s="34" t="s">
        <v>92</v>
      </c>
      <c r="D20" s="34" t="str">
        <f>CONCATENATE('Ingest Template'!E20&amp;Char(10)&amp;'Ingest Template'!G20&amp;Char(10)&amp;'Ingest Template'!H20&amp;Char(10)&amp;'Ingest Template'!I20&amp;Char(10)&amp;'Ingest Template'!J20&amp;Char(10)&amp;'Ingest Template'!K20&amp;Char(10)&amp;'Ingest Template'!L20)</f>
        <v>
</v>
      </c>
      <c r="E20" s="25" t="str">
        <f>('Ingest Template'!M20)</f>
        <v/>
      </c>
      <c r="F20" s="40" t="str">
        <f t="array" ref="F20">INDEX(DropDown!$J$2:$J$63,MATCH(1,COUNTIF(E20,DropDown!$I$2:$I$63),0))</f>
        <v>#N/A</v>
      </c>
      <c r="G20" s="25"/>
      <c r="H20" s="25"/>
      <c r="I20" s="25"/>
      <c r="J20" s="25" t="str">
        <f>'Ingest Template'!B20</f>
        <v/>
      </c>
      <c r="K20" s="25" t="str">
        <f>IF('Ingest Template'!A20="Standard",'Ingest Template'!N20,"Competitive View")</f>
        <v>Competitive View</v>
      </c>
      <c r="L20" s="41" t="s">
        <v>145</v>
      </c>
      <c r="M20" s="25" t="str">
        <f>'Ingest Template'!D20</f>
        <v/>
      </c>
      <c r="N20" s="25"/>
      <c r="O20" s="25"/>
      <c r="P20" s="25"/>
      <c r="Q20" s="25"/>
      <c r="R20" s="25" t="str">
        <f>CONCATENATE('Ingest Template'!F20)</f>
        <v/>
      </c>
      <c r="S20" s="43" t="s">
        <v>160</v>
      </c>
      <c r="T20" s="25" t="str">
        <f>'Ingest Template'!W20</f>
        <v/>
      </c>
      <c r="U20" s="25"/>
      <c r="V20" s="25" t="str">
        <f>LOWER(SUBSTITUTE(SUBSTITUTE(SUBSTITUTE(SUBSTITUTE(SUBSTITUTE('Ingest Template'!Y20,"https:",""),"www.",""),"/",""),"?hl=en",""),"instagram.com",""))</f>
        <v/>
      </c>
      <c r="W20" s="34" t="str">
        <f>(IFERROR(vlookup('Ingest Template'!F20,DropDown!D:E,2,false)&amp;'Ingest Template'!C20,""))</f>
        <v/>
      </c>
      <c r="X20" s="25" t="str">
        <f>'Ingest Template'!AA20</f>
        <v/>
      </c>
      <c r="Y20" s="25"/>
      <c r="Z20" s="25"/>
      <c r="AA20" s="25"/>
      <c r="AB20" s="25" t="str">
        <f>'Ingest Template'!T20</f>
        <v/>
      </c>
      <c r="AC20" s="25"/>
      <c r="AD20" s="25" t="str">
        <f>'Ingest Template'!U20</f>
        <v/>
      </c>
      <c r="AE20" s="25" t="str">
        <f>'Ingest Template'!V20</f>
        <v/>
      </c>
      <c r="AF20" s="25"/>
      <c r="AG20" s="25" t="str">
        <f t="array" ref="AG20">IF('Ingest Template'!A20="Standard",(CONCATENATE(IF(ISBLANK('Ingest Template'!O20),"", 'Ingest Template'!O20&amp;"|DAR"),CHAR(10), IF(ISBLANK('Ingest Template'!P20),"", 'Ingest Template'!P20&amp;"|DAR"),CHAR(10), IF(ISBLANK('Ingest Template'!Q20),"", 'Ingest Template'!Q20&amp;"|DAR"))),(CONCATENATE(IF(ISBLANK('Ingest Template'!O20),"", 'Ingest Template'!O20&amp;"|Operations - Core Title"),CHAR(10), IF(ISBLANK('Ingest Template'!P20),"", 'Ingest Template'!P20&amp;"|Operations - Core Title"),CHAR(10), IF(ISBLANK('Ingest Template'!Q20),"", 'Ingest Template'!Q20&amp;"|Operations - Core Title"))))</f>
        <v>#|Operations - Core Title
#videoGame|Operations - Core Title
</v>
      </c>
      <c r="AH20" s="25"/>
      <c r="AI20" s="25"/>
      <c r="AJ20" s="50" t="str">
        <f>if('Ingest Template'!A20="Standard",'Ingest Template'!R20&amp; "|DAR|DAR|2021-01-01",'Ingest Template'!R20&amp; "|Operations - Core Title|Operations - Core Title")</f>
        <v>#N/A</v>
      </c>
      <c r="AK20" s="25"/>
      <c r="AL20" s="25" t="str">
        <f>if('Ingest Template'!A20="Standard",'Ingest Template'!S20&amp; "|2021-01-01",'Ingest Template'!S20)</f>
        <v>#N/A</v>
      </c>
      <c r="AM20" s="25"/>
    </row>
    <row r="21">
      <c r="A21" s="25"/>
      <c r="B21" s="25" t="str">
        <f>'Ingest Template'!C21&amp;IF('Ingest Template'!A21 = "Standard", " - DAR","")</f>
        <v/>
      </c>
      <c r="C21" s="34" t="s">
        <v>92</v>
      </c>
      <c r="D21" s="34" t="str">
        <f>CONCATENATE('Ingest Template'!E21&amp;Char(10)&amp;'Ingest Template'!G21&amp;Char(10)&amp;'Ingest Template'!H21&amp;Char(10)&amp;'Ingest Template'!I21&amp;Char(10)&amp;'Ingest Template'!J21&amp;Char(10)&amp;'Ingest Template'!K21&amp;Char(10)&amp;'Ingest Template'!L21)</f>
        <v>
</v>
      </c>
      <c r="E21" s="25" t="str">
        <f>('Ingest Template'!M21)</f>
        <v/>
      </c>
      <c r="F21" s="40" t="str">
        <f t="array" ref="F21">INDEX(DropDown!$J$2:$J$63,MATCH(1,COUNTIF(E21,DropDown!$I$2:$I$63),0))</f>
        <v>#N/A</v>
      </c>
      <c r="G21" s="25"/>
      <c r="H21" s="25"/>
      <c r="I21" s="25"/>
      <c r="J21" s="25" t="str">
        <f>'Ingest Template'!B21</f>
        <v/>
      </c>
      <c r="K21" s="25" t="str">
        <f>IF('Ingest Template'!A21="Standard",'Ingest Template'!N21,"Competitive View")</f>
        <v>Competitive View</v>
      </c>
      <c r="L21" s="41" t="s">
        <v>145</v>
      </c>
      <c r="M21" s="25" t="str">
        <f>'Ingest Template'!D21</f>
        <v/>
      </c>
      <c r="N21" s="25"/>
      <c r="O21" s="25"/>
      <c r="P21" s="25"/>
      <c r="Q21" s="25"/>
      <c r="R21" s="25" t="str">
        <f>CONCATENATE('Ingest Template'!F21)</f>
        <v/>
      </c>
      <c r="S21" s="43" t="s">
        <v>160</v>
      </c>
      <c r="T21" s="25" t="str">
        <f>'Ingest Template'!W21</f>
        <v/>
      </c>
      <c r="U21" s="25"/>
      <c r="V21" s="25" t="str">
        <f>LOWER(SUBSTITUTE(SUBSTITUTE(SUBSTITUTE(SUBSTITUTE(SUBSTITUTE('Ingest Template'!Y21,"https:",""),"www.",""),"/",""),"?hl=en",""),"instagram.com",""))</f>
        <v/>
      </c>
      <c r="W21" s="34" t="str">
        <f>(IFERROR(vlookup('Ingest Template'!F21,DropDown!D:E,2,false)&amp;'Ingest Template'!C21,""))</f>
        <v/>
      </c>
      <c r="X21" s="25" t="str">
        <f>'Ingest Template'!AA21</f>
        <v/>
      </c>
      <c r="Y21" s="25"/>
      <c r="Z21" s="25"/>
      <c r="AA21" s="25"/>
      <c r="AB21" s="25" t="str">
        <f>'Ingest Template'!T21</f>
        <v/>
      </c>
      <c r="AC21" s="25"/>
      <c r="AD21" s="25" t="str">
        <f>'Ingest Template'!U21</f>
        <v/>
      </c>
      <c r="AE21" s="25" t="str">
        <f>'Ingest Template'!V21</f>
        <v/>
      </c>
      <c r="AF21" s="25"/>
      <c r="AG21" s="25" t="str">
        <f t="array" ref="AG21">IF('Ingest Template'!A21="Standard",(CONCATENATE(IF(ISBLANK('Ingest Template'!O21),"", 'Ingest Template'!O21&amp;"|DAR"),CHAR(10), IF(ISBLANK('Ingest Template'!P21),"", 'Ingest Template'!P21&amp;"|DAR"),CHAR(10), IF(ISBLANK('Ingest Template'!Q21),"", 'Ingest Template'!Q21&amp;"|DAR"))),(CONCATENATE(IF(ISBLANK('Ingest Template'!O21),"", 'Ingest Template'!O21&amp;"|Operations - Core Title"),CHAR(10), IF(ISBLANK('Ingest Template'!P21),"", 'Ingest Template'!P21&amp;"|Operations - Core Title"),CHAR(10), IF(ISBLANK('Ingest Template'!Q21),"", 'Ingest Template'!Q21&amp;"|Operations - Core Title"))))</f>
        <v>#|Operations - Core Title
#videoGame|Operations - Core Title
</v>
      </c>
      <c r="AH21" s="25"/>
      <c r="AI21" s="25"/>
      <c r="AJ21" s="50" t="str">
        <f>if('Ingest Template'!A21="Standard",'Ingest Template'!R21&amp; "|DAR|DAR|2021-01-01",'Ingest Template'!R21&amp; "|Operations - Core Title|Operations - Core Title")</f>
        <v>#N/A</v>
      </c>
      <c r="AK21" s="25"/>
      <c r="AL21" s="25" t="str">
        <f>if('Ingest Template'!A21="Standard",'Ingest Template'!S21&amp; "|2021-01-01",'Ingest Template'!S21)</f>
        <v>#N/A</v>
      </c>
      <c r="AM21" s="25"/>
    </row>
    <row r="22">
      <c r="A22" s="25"/>
      <c r="B22" s="25" t="str">
        <f>'Ingest Template'!C22&amp;IF('Ingest Template'!A22 = "Standard", " - DAR","")</f>
        <v/>
      </c>
      <c r="C22" s="34" t="s">
        <v>92</v>
      </c>
      <c r="D22" s="34" t="str">
        <f>CONCATENATE('Ingest Template'!E22&amp;Char(10)&amp;'Ingest Template'!G22&amp;Char(10)&amp;'Ingest Template'!H22&amp;Char(10)&amp;'Ingest Template'!I22&amp;Char(10)&amp;'Ingest Template'!J22&amp;Char(10)&amp;'Ingest Template'!K22&amp;Char(10)&amp;'Ingest Template'!L22)</f>
        <v>
</v>
      </c>
      <c r="E22" s="25" t="str">
        <f>('Ingest Template'!M22)</f>
        <v/>
      </c>
      <c r="F22" s="40" t="str">
        <f t="array" ref="F22">INDEX(DropDown!$J$2:$J$63,MATCH(1,COUNTIF(E22,DropDown!$I$2:$I$63),0))</f>
        <v>#N/A</v>
      </c>
      <c r="G22" s="25"/>
      <c r="H22" s="25"/>
      <c r="I22" s="25"/>
      <c r="J22" s="25" t="str">
        <f>'Ingest Template'!B22</f>
        <v/>
      </c>
      <c r="K22" s="25" t="str">
        <f>IF('Ingest Template'!A22="Standard",'Ingest Template'!N22,"Competitive View")</f>
        <v>Competitive View</v>
      </c>
      <c r="L22" s="41" t="s">
        <v>145</v>
      </c>
      <c r="M22" s="25" t="str">
        <f>'Ingest Template'!D22</f>
        <v/>
      </c>
      <c r="N22" s="25"/>
      <c r="O22" s="25"/>
      <c r="P22" s="25"/>
      <c r="Q22" s="25"/>
      <c r="R22" s="25" t="str">
        <f>CONCATENATE('Ingest Template'!F22)</f>
        <v/>
      </c>
      <c r="S22" s="43" t="s">
        <v>160</v>
      </c>
      <c r="T22" s="25" t="str">
        <f>'Ingest Template'!W22</f>
        <v/>
      </c>
      <c r="U22" s="25"/>
      <c r="V22" s="25" t="str">
        <f>LOWER(SUBSTITUTE(SUBSTITUTE(SUBSTITUTE(SUBSTITUTE(SUBSTITUTE('Ingest Template'!Y22,"https:",""),"www.",""),"/",""),"?hl=en",""),"instagram.com",""))</f>
        <v/>
      </c>
      <c r="W22" s="34" t="str">
        <f>(IFERROR(vlookup('Ingest Template'!F22,DropDown!D:E,2,false)&amp;'Ingest Template'!C22,""))</f>
        <v/>
      </c>
      <c r="X22" s="25" t="str">
        <f>'Ingest Template'!AA22</f>
        <v/>
      </c>
      <c r="Y22" s="25"/>
      <c r="Z22" s="25"/>
      <c r="AA22" s="25"/>
      <c r="AB22" s="25" t="str">
        <f>'Ingest Template'!T22</f>
        <v/>
      </c>
      <c r="AC22" s="25"/>
      <c r="AD22" s="25" t="str">
        <f>'Ingest Template'!U22</f>
        <v/>
      </c>
      <c r="AE22" s="25" t="str">
        <f>'Ingest Template'!V22</f>
        <v/>
      </c>
      <c r="AF22" s="25"/>
      <c r="AG22" s="25" t="str">
        <f t="array" ref="AG22">IF('Ingest Template'!A22="Standard",(CONCATENATE(IF(ISBLANK('Ingest Template'!O22),"", 'Ingest Template'!O22&amp;"|DAR"),CHAR(10), IF(ISBLANK('Ingest Template'!P22),"", 'Ingest Template'!P22&amp;"|DAR"),CHAR(10), IF(ISBLANK('Ingest Template'!Q22),"", 'Ingest Template'!Q22&amp;"|DAR"))),(CONCATENATE(IF(ISBLANK('Ingest Template'!O22),"", 'Ingest Template'!O22&amp;"|Operations - Core Title"),CHAR(10), IF(ISBLANK('Ingest Template'!P22),"", 'Ingest Template'!P22&amp;"|Operations - Core Title"),CHAR(10), IF(ISBLANK('Ingest Template'!Q22),"", 'Ingest Template'!Q22&amp;"|Operations - Core Title"))))</f>
        <v>#|Operations - Core Title
#videoGame|Operations - Core Title
</v>
      </c>
      <c r="AH22" s="25"/>
      <c r="AI22" s="25"/>
      <c r="AJ22" s="50" t="str">
        <f>if('Ingest Template'!A22="Standard",'Ingest Template'!R22&amp; "|DAR|DAR|2021-01-01",'Ingest Template'!R22&amp; "|Operations - Core Title|Operations - Core Title")</f>
        <v>#N/A</v>
      </c>
      <c r="AK22" s="25"/>
      <c r="AL22" s="25" t="str">
        <f>if('Ingest Template'!A22="Standard",'Ingest Template'!S22&amp; "|2021-01-01",'Ingest Template'!S22)</f>
        <v>#N/A</v>
      </c>
      <c r="AM22" s="25"/>
    </row>
    <row r="23">
      <c r="A23" s="25"/>
      <c r="B23" s="25" t="str">
        <f>'Ingest Template'!C23&amp;IF('Ingest Template'!A23 = "Standard", " - DAR","")</f>
        <v/>
      </c>
      <c r="C23" s="34" t="s">
        <v>92</v>
      </c>
      <c r="D23" s="34" t="str">
        <f>CONCATENATE('Ingest Template'!E23&amp;Char(10)&amp;'Ingest Template'!G23&amp;Char(10)&amp;'Ingest Template'!H23&amp;Char(10)&amp;'Ingest Template'!I23&amp;Char(10)&amp;'Ingest Template'!J23&amp;Char(10)&amp;'Ingest Template'!K23&amp;Char(10)&amp;'Ingest Template'!L23)</f>
        <v>
</v>
      </c>
      <c r="E23" s="25" t="str">
        <f>('Ingest Template'!M23)</f>
        <v/>
      </c>
      <c r="F23" s="40" t="str">
        <f t="array" ref="F23">INDEX(DropDown!$J$2:$J$63,MATCH(1,COUNTIF(E23,DropDown!$I$2:$I$63),0))</f>
        <v>#N/A</v>
      </c>
      <c r="G23" s="25"/>
      <c r="H23" s="25"/>
      <c r="I23" s="25"/>
      <c r="J23" s="25" t="str">
        <f>'Ingest Template'!B23</f>
        <v/>
      </c>
      <c r="K23" s="25" t="str">
        <f>IF('Ingest Template'!A23="Standard",'Ingest Template'!N23,"Competitive View")</f>
        <v>Competitive View</v>
      </c>
      <c r="L23" s="41" t="s">
        <v>145</v>
      </c>
      <c r="M23" s="25" t="str">
        <f>'Ingest Template'!D23</f>
        <v/>
      </c>
      <c r="N23" s="25"/>
      <c r="O23" s="25"/>
      <c r="P23" s="25"/>
      <c r="Q23" s="25"/>
      <c r="R23" s="25" t="str">
        <f>CONCATENATE('Ingest Template'!F23)</f>
        <v/>
      </c>
      <c r="S23" s="43" t="s">
        <v>160</v>
      </c>
      <c r="T23" s="25" t="str">
        <f>'Ingest Template'!W23</f>
        <v/>
      </c>
      <c r="U23" s="25"/>
      <c r="V23" s="25" t="str">
        <f>LOWER(SUBSTITUTE(SUBSTITUTE(SUBSTITUTE(SUBSTITUTE(SUBSTITUTE('Ingest Template'!Y23,"https:",""),"www.",""),"/",""),"?hl=en",""),"instagram.com",""))</f>
        <v/>
      </c>
      <c r="W23" s="34" t="str">
        <f>(IFERROR(vlookup('Ingest Template'!F23,DropDown!D:E,2,false)&amp;'Ingest Template'!C23,""))</f>
        <v/>
      </c>
      <c r="X23" s="25" t="str">
        <f>'Ingest Template'!AA23</f>
        <v/>
      </c>
      <c r="Y23" s="25"/>
      <c r="Z23" s="25"/>
      <c r="AA23" s="25"/>
      <c r="AB23" s="25" t="str">
        <f>'Ingest Template'!T23</f>
        <v/>
      </c>
      <c r="AC23" s="25"/>
      <c r="AD23" s="25" t="str">
        <f>'Ingest Template'!U23</f>
        <v/>
      </c>
      <c r="AE23" s="25" t="str">
        <f>'Ingest Template'!V23</f>
        <v/>
      </c>
      <c r="AF23" s="25"/>
      <c r="AG23" s="25" t="str">
        <f t="array" ref="AG23">IF('Ingest Template'!A23="Standard",(CONCATENATE(IF(ISBLANK('Ingest Template'!O23),"", 'Ingest Template'!O23&amp;"|DAR"),CHAR(10), IF(ISBLANK('Ingest Template'!P23),"", 'Ingest Template'!P23&amp;"|DAR"),CHAR(10), IF(ISBLANK('Ingest Template'!Q23),"", 'Ingest Template'!Q23&amp;"|DAR"))),(CONCATENATE(IF(ISBLANK('Ingest Template'!O23),"", 'Ingest Template'!O23&amp;"|Operations - Core Title"),CHAR(10), IF(ISBLANK('Ingest Template'!P23),"", 'Ingest Template'!P23&amp;"|Operations - Core Title"),CHAR(10), IF(ISBLANK('Ingest Template'!Q23),"", 'Ingest Template'!Q23&amp;"|Operations - Core Title"))))</f>
        <v>#|Operations - Core Title
#videoGame|Operations - Core Title
</v>
      </c>
      <c r="AH23" s="25"/>
      <c r="AI23" s="25"/>
      <c r="AJ23" s="50" t="str">
        <f>if('Ingest Template'!A23="Standard",'Ingest Template'!R23&amp; "|DAR|DAR|2021-01-01",'Ingest Template'!R23&amp; "|Operations - Core Title|Operations - Core Title")</f>
        <v>#N/A</v>
      </c>
      <c r="AK23" s="25"/>
      <c r="AL23" s="25" t="str">
        <f>if('Ingest Template'!A23="Standard",'Ingest Template'!S23&amp; "|2021-01-01",'Ingest Template'!S23)</f>
        <v>#N/A</v>
      </c>
      <c r="AM23" s="25"/>
    </row>
    <row r="24">
      <c r="A24" s="25"/>
      <c r="B24" s="25" t="str">
        <f>'Ingest Template'!C24&amp;IF('Ingest Template'!A24 = "Standard", " - DAR","")</f>
        <v/>
      </c>
      <c r="C24" s="34" t="s">
        <v>92</v>
      </c>
      <c r="D24" s="34" t="str">
        <f>CONCATENATE('Ingest Template'!E24&amp;Char(10)&amp;'Ingest Template'!G24&amp;Char(10)&amp;'Ingest Template'!H24&amp;Char(10)&amp;'Ingest Template'!I24&amp;Char(10)&amp;'Ingest Template'!J24&amp;Char(10)&amp;'Ingest Template'!K24&amp;Char(10)&amp;'Ingest Template'!L24)</f>
        <v>
</v>
      </c>
      <c r="E24" s="25" t="str">
        <f>('Ingest Template'!M24)</f>
        <v/>
      </c>
      <c r="F24" s="40" t="str">
        <f t="array" ref="F24">INDEX(DropDown!$J$2:$J$63,MATCH(1,COUNTIF(E24,DropDown!$I$2:$I$63),0))</f>
        <v>#N/A</v>
      </c>
      <c r="G24" s="25"/>
      <c r="H24" s="25"/>
      <c r="I24" s="25"/>
      <c r="J24" s="25" t="str">
        <f>'Ingest Template'!B24</f>
        <v/>
      </c>
      <c r="K24" s="25" t="str">
        <f>IF('Ingest Template'!A24="Standard",'Ingest Template'!N24,"Competitive View")</f>
        <v>Competitive View</v>
      </c>
      <c r="L24" s="41" t="s">
        <v>145</v>
      </c>
      <c r="M24" s="25" t="str">
        <f>'Ingest Template'!D24</f>
        <v/>
      </c>
      <c r="N24" s="25"/>
      <c r="O24" s="25"/>
      <c r="P24" s="25"/>
      <c r="Q24" s="25"/>
      <c r="R24" s="25" t="str">
        <f>CONCATENATE('Ingest Template'!F24)</f>
        <v/>
      </c>
      <c r="S24" s="43" t="s">
        <v>160</v>
      </c>
      <c r="T24" s="25" t="str">
        <f>'Ingest Template'!W24</f>
        <v/>
      </c>
      <c r="U24" s="25"/>
      <c r="V24" s="25" t="str">
        <f>LOWER(SUBSTITUTE(SUBSTITUTE(SUBSTITUTE(SUBSTITUTE(SUBSTITUTE('Ingest Template'!Y24,"https:",""),"www.",""),"/",""),"?hl=en",""),"instagram.com",""))</f>
        <v/>
      </c>
      <c r="W24" s="34" t="str">
        <f>(IFERROR(vlookup('Ingest Template'!F24,DropDown!D:E,2,false)&amp;'Ingest Template'!C24,""))</f>
        <v/>
      </c>
      <c r="X24" s="25" t="str">
        <f>'Ingest Template'!AA24</f>
        <v/>
      </c>
      <c r="Y24" s="25"/>
      <c r="Z24" s="25"/>
      <c r="AA24" s="25"/>
      <c r="AB24" s="25" t="str">
        <f>'Ingest Template'!T24</f>
        <v/>
      </c>
      <c r="AC24" s="25"/>
      <c r="AD24" s="25" t="str">
        <f>'Ingest Template'!U24</f>
        <v/>
      </c>
      <c r="AE24" s="25" t="str">
        <f>'Ingest Template'!V24</f>
        <v/>
      </c>
      <c r="AF24" s="25"/>
      <c r="AG24" s="25" t="str">
        <f t="array" ref="AG24">IF('Ingest Template'!A24="Standard",(CONCATENATE(IF(ISBLANK('Ingest Template'!O24),"", 'Ingest Template'!O24&amp;"|DAR"),CHAR(10), IF(ISBLANK('Ingest Template'!P24),"", 'Ingest Template'!P24&amp;"|DAR"),CHAR(10), IF(ISBLANK('Ingest Template'!Q24),"", 'Ingest Template'!Q24&amp;"|DAR"))),(CONCATENATE(IF(ISBLANK('Ingest Template'!O24),"", 'Ingest Template'!O24&amp;"|Operations - Core Title"),CHAR(10), IF(ISBLANK('Ingest Template'!P24),"", 'Ingest Template'!P24&amp;"|Operations - Core Title"),CHAR(10), IF(ISBLANK('Ingest Template'!Q24),"", 'Ingest Template'!Q24&amp;"|Operations - Core Title"))))</f>
        <v>#|Operations - Core Title
#videoGame|Operations - Core Title
</v>
      </c>
      <c r="AH24" s="25"/>
      <c r="AI24" s="25"/>
      <c r="AJ24" s="50" t="str">
        <f>if('Ingest Template'!A24="Standard",'Ingest Template'!R24&amp; "|DAR|DAR|2021-01-01",'Ingest Template'!R24&amp; "|Operations - Core Title|Operations - Core Title")</f>
        <v>#N/A</v>
      </c>
      <c r="AK24" s="25"/>
      <c r="AL24" s="25" t="str">
        <f>if('Ingest Template'!A24="Standard",'Ingest Template'!S24&amp; "|2021-01-01",'Ingest Template'!S24)</f>
        <v>#N/A</v>
      </c>
      <c r="AM24" s="25"/>
    </row>
    <row r="25">
      <c r="A25" s="25"/>
      <c r="B25" s="25" t="str">
        <f>'Ingest Template'!C25&amp;IF('Ingest Template'!A25 = "Standard", " - DAR","")</f>
        <v/>
      </c>
      <c r="C25" s="34" t="s">
        <v>92</v>
      </c>
      <c r="D25" s="34" t="str">
        <f>CONCATENATE('Ingest Template'!E25&amp;Char(10)&amp;'Ingest Template'!G25&amp;Char(10)&amp;'Ingest Template'!H25&amp;Char(10)&amp;'Ingest Template'!I25&amp;Char(10)&amp;'Ingest Template'!J25&amp;Char(10)&amp;'Ingest Template'!K25&amp;Char(10)&amp;'Ingest Template'!L25)</f>
        <v>
</v>
      </c>
      <c r="E25" s="25" t="str">
        <f>('Ingest Template'!M25)</f>
        <v/>
      </c>
      <c r="F25" s="40" t="str">
        <f t="array" ref="F25">INDEX(DropDown!$J$2:$J$63,MATCH(1,COUNTIF(E25,DropDown!$I$2:$I$63),0))</f>
        <v>#N/A</v>
      </c>
      <c r="G25" s="25"/>
      <c r="H25" s="25"/>
      <c r="I25" s="25"/>
      <c r="J25" s="25" t="str">
        <f>'Ingest Template'!B25</f>
        <v/>
      </c>
      <c r="K25" s="25" t="str">
        <f>IF('Ingest Template'!A25="Standard",'Ingest Template'!N25,"Competitive View")</f>
        <v>Competitive View</v>
      </c>
      <c r="L25" s="41" t="s">
        <v>145</v>
      </c>
      <c r="M25" s="25" t="str">
        <f>'Ingest Template'!D25</f>
        <v/>
      </c>
      <c r="N25" s="25"/>
      <c r="O25" s="25"/>
      <c r="P25" s="25"/>
      <c r="Q25" s="25"/>
      <c r="R25" s="25" t="str">
        <f>CONCATENATE('Ingest Template'!F25)</f>
        <v/>
      </c>
      <c r="S25" s="43" t="s">
        <v>160</v>
      </c>
      <c r="T25" s="25" t="str">
        <f>'Ingest Template'!W25</f>
        <v/>
      </c>
      <c r="U25" s="25"/>
      <c r="V25" s="25" t="str">
        <f>LOWER(SUBSTITUTE(SUBSTITUTE(SUBSTITUTE(SUBSTITUTE(SUBSTITUTE('Ingest Template'!Y25,"https:",""),"www.",""),"/",""),"?hl=en",""),"instagram.com",""))</f>
        <v/>
      </c>
      <c r="W25" s="34" t="str">
        <f>(IFERROR(vlookup('Ingest Template'!F25,DropDown!D:E,2,false)&amp;'Ingest Template'!C25,""))</f>
        <v/>
      </c>
      <c r="X25" s="25" t="str">
        <f>'Ingest Template'!AA25</f>
        <v/>
      </c>
      <c r="Y25" s="25"/>
      <c r="Z25" s="25"/>
      <c r="AA25" s="25"/>
      <c r="AB25" s="25" t="str">
        <f>'Ingest Template'!T25</f>
        <v/>
      </c>
      <c r="AC25" s="25"/>
      <c r="AD25" s="25" t="str">
        <f>'Ingest Template'!U25</f>
        <v/>
      </c>
      <c r="AE25" s="25" t="str">
        <f>'Ingest Template'!V25</f>
        <v/>
      </c>
      <c r="AF25" s="25"/>
      <c r="AG25" s="25" t="str">
        <f t="array" ref="AG25">IF('Ingest Template'!A25="Standard",(CONCATENATE(IF(ISBLANK('Ingest Template'!O25),"", 'Ingest Template'!O25&amp;"|DAR"),CHAR(10), IF(ISBLANK('Ingest Template'!P25),"", 'Ingest Template'!P25&amp;"|DAR"),CHAR(10), IF(ISBLANK('Ingest Template'!Q25),"", 'Ingest Template'!Q25&amp;"|DAR"))),(CONCATENATE(IF(ISBLANK('Ingest Template'!O25),"", 'Ingest Template'!O25&amp;"|Operations - Core Title"),CHAR(10), IF(ISBLANK('Ingest Template'!P25),"", 'Ingest Template'!P25&amp;"|Operations - Core Title"),CHAR(10), IF(ISBLANK('Ingest Template'!Q25),"", 'Ingest Template'!Q25&amp;"|Operations - Core Title"))))</f>
        <v>#|Operations - Core Title
#videoGame|Operations - Core Title
</v>
      </c>
      <c r="AH25" s="25"/>
      <c r="AI25" s="25"/>
      <c r="AJ25" s="50" t="str">
        <f>if('Ingest Template'!A25="Standard",'Ingest Template'!R25&amp; "|DAR|DAR|2021-01-01",'Ingest Template'!R25&amp; "|Operations - Core Title|Operations - Core Title")</f>
        <v>#N/A</v>
      </c>
      <c r="AK25" s="25"/>
      <c r="AL25" s="25" t="str">
        <f>if('Ingest Template'!A25="Standard",'Ingest Template'!S25&amp; "|2021-01-01",'Ingest Template'!S25)</f>
        <v>#N/A</v>
      </c>
      <c r="AM25" s="25"/>
    </row>
    <row r="26">
      <c r="A26" s="25"/>
      <c r="B26" s="25" t="str">
        <f>'Ingest Template'!C26&amp;IF('Ingest Template'!A26 = "Standard", " - DAR","")</f>
        <v/>
      </c>
      <c r="C26" s="34" t="s">
        <v>92</v>
      </c>
      <c r="D26" s="34" t="str">
        <f>CONCATENATE('Ingest Template'!E26&amp;Char(10)&amp;'Ingest Template'!G26&amp;Char(10)&amp;'Ingest Template'!H26&amp;Char(10)&amp;'Ingest Template'!I26&amp;Char(10)&amp;'Ingest Template'!J26&amp;Char(10)&amp;'Ingest Template'!K26&amp;Char(10)&amp;'Ingest Template'!L26)</f>
        <v>
</v>
      </c>
      <c r="E26" s="25" t="str">
        <f>('Ingest Template'!M26)</f>
        <v/>
      </c>
      <c r="F26" s="40" t="str">
        <f t="array" ref="F26">INDEX(DropDown!$J$2:$J$63,MATCH(1,COUNTIF(E26,DropDown!$I$2:$I$63),0))</f>
        <v>#N/A</v>
      </c>
      <c r="G26" s="25"/>
      <c r="H26" s="25"/>
      <c r="I26" s="25"/>
      <c r="J26" s="25" t="str">
        <f>'Ingest Template'!B26</f>
        <v/>
      </c>
      <c r="K26" s="25" t="str">
        <f>IF('Ingest Template'!A26="Standard",'Ingest Template'!N26,"Competitive View")</f>
        <v>Competitive View</v>
      </c>
      <c r="L26" s="41" t="s">
        <v>145</v>
      </c>
      <c r="M26" s="25" t="str">
        <f>'Ingest Template'!D26</f>
        <v/>
      </c>
      <c r="N26" s="25"/>
      <c r="O26" s="25"/>
      <c r="P26" s="25"/>
      <c r="Q26" s="25"/>
      <c r="R26" s="25" t="str">
        <f>CONCATENATE('Ingest Template'!F26)</f>
        <v/>
      </c>
      <c r="S26" s="43" t="s">
        <v>160</v>
      </c>
      <c r="T26" s="25" t="str">
        <f>'Ingest Template'!W26</f>
        <v/>
      </c>
      <c r="U26" s="25"/>
      <c r="V26" s="25" t="str">
        <f>LOWER(SUBSTITUTE(SUBSTITUTE(SUBSTITUTE(SUBSTITUTE(SUBSTITUTE('Ingest Template'!Y26,"https:",""),"www.",""),"/",""),"?hl=en",""),"instagram.com",""))</f>
        <v/>
      </c>
      <c r="W26" s="34" t="str">
        <f>(IFERROR(vlookup('Ingest Template'!F26,DropDown!D:E,2,false)&amp;'Ingest Template'!C26,""))</f>
        <v/>
      </c>
      <c r="X26" s="25" t="str">
        <f>'Ingest Template'!AA26</f>
        <v/>
      </c>
      <c r="Y26" s="25"/>
      <c r="Z26" s="25"/>
      <c r="AA26" s="25"/>
      <c r="AB26" s="25" t="str">
        <f>'Ingest Template'!T26</f>
        <v/>
      </c>
      <c r="AC26" s="25"/>
      <c r="AD26" s="25" t="str">
        <f>'Ingest Template'!U26</f>
        <v/>
      </c>
      <c r="AE26" s="25" t="str">
        <f>'Ingest Template'!V26</f>
        <v/>
      </c>
      <c r="AF26" s="25"/>
      <c r="AG26" s="25" t="str">
        <f t="array" ref="AG26">IF('Ingest Template'!A26="Standard",(CONCATENATE(IF(ISBLANK('Ingest Template'!O26),"", 'Ingest Template'!O26&amp;"|DAR"),CHAR(10), IF(ISBLANK('Ingest Template'!P26),"", 'Ingest Template'!P26&amp;"|DAR"),CHAR(10), IF(ISBLANK('Ingest Template'!Q26),"", 'Ingest Template'!Q26&amp;"|DAR"))),(CONCATENATE(IF(ISBLANK('Ingest Template'!O26),"", 'Ingest Template'!O26&amp;"|Operations - Core Title"),CHAR(10), IF(ISBLANK('Ingest Template'!P26),"", 'Ingest Template'!P26&amp;"|Operations - Core Title"),CHAR(10), IF(ISBLANK('Ingest Template'!Q26),"", 'Ingest Template'!Q26&amp;"|Operations - Core Title"))))</f>
        <v>#|Operations - Core Title
#videoGame|Operations - Core Title
</v>
      </c>
      <c r="AH26" s="25"/>
      <c r="AI26" s="25"/>
      <c r="AJ26" s="50" t="str">
        <f>if('Ingest Template'!A26="Standard",'Ingest Template'!R26&amp; "|DAR|DAR|2021-01-01",'Ingest Template'!R26&amp; "|Operations - Core Title|Operations - Core Title")</f>
        <v>#N/A</v>
      </c>
      <c r="AK26" s="25"/>
      <c r="AL26" s="25" t="str">
        <f>if('Ingest Template'!A26="Standard",'Ingest Template'!S26&amp; "|2021-01-01",'Ingest Template'!S26)</f>
        <v>#N/A</v>
      </c>
      <c r="AM26" s="25"/>
    </row>
    <row r="27">
      <c r="A27" s="25"/>
      <c r="B27" s="25" t="str">
        <f>'Ingest Template'!C27&amp;IF('Ingest Template'!A27 = "Standard", " - DAR","")</f>
        <v/>
      </c>
      <c r="C27" s="34" t="s">
        <v>92</v>
      </c>
      <c r="D27" s="34" t="str">
        <f>CONCATENATE('Ingest Template'!E27&amp;Char(10)&amp;'Ingest Template'!G27&amp;Char(10)&amp;'Ingest Template'!H27&amp;Char(10)&amp;'Ingest Template'!I27&amp;Char(10)&amp;'Ingest Template'!J27&amp;Char(10)&amp;'Ingest Template'!K27&amp;Char(10)&amp;'Ingest Template'!L27)</f>
        <v>
</v>
      </c>
      <c r="E27" s="25" t="str">
        <f>('Ingest Template'!M27)</f>
        <v/>
      </c>
      <c r="F27" s="40" t="str">
        <f t="array" ref="F27">INDEX(DropDown!$J$2:$J$63,MATCH(1,COUNTIF(E27,DropDown!$I$2:$I$63),0))</f>
        <v>#N/A</v>
      </c>
      <c r="G27" s="25"/>
      <c r="H27" s="25"/>
      <c r="I27" s="25"/>
      <c r="J27" s="25" t="str">
        <f>'Ingest Template'!B27</f>
        <v/>
      </c>
      <c r="K27" s="25" t="str">
        <f>IF('Ingest Template'!A27="Standard",'Ingest Template'!N27,"Competitive View")</f>
        <v>Competitive View</v>
      </c>
      <c r="L27" s="41" t="s">
        <v>145</v>
      </c>
      <c r="M27" s="25" t="str">
        <f>'Ingest Template'!D27</f>
        <v/>
      </c>
      <c r="N27" s="25"/>
      <c r="O27" s="25"/>
      <c r="P27" s="25"/>
      <c r="Q27" s="25"/>
      <c r="R27" s="25" t="str">
        <f>CONCATENATE('Ingest Template'!F27)</f>
        <v/>
      </c>
      <c r="S27" s="43" t="s">
        <v>160</v>
      </c>
      <c r="T27" s="25" t="str">
        <f>'Ingest Template'!W27</f>
        <v/>
      </c>
      <c r="U27" s="25"/>
      <c r="V27" s="25" t="str">
        <f>LOWER(SUBSTITUTE(SUBSTITUTE(SUBSTITUTE(SUBSTITUTE(SUBSTITUTE('Ingest Template'!Y27,"https:",""),"www.",""),"/",""),"?hl=en",""),"instagram.com",""))</f>
        <v/>
      </c>
      <c r="W27" s="34" t="str">
        <f>(IFERROR(vlookup('Ingest Template'!F27,DropDown!D:E,2,false)&amp;'Ingest Template'!C27,""))</f>
        <v/>
      </c>
      <c r="X27" s="25" t="str">
        <f>'Ingest Template'!AA27</f>
        <v/>
      </c>
      <c r="Y27" s="25"/>
      <c r="Z27" s="25"/>
      <c r="AA27" s="25"/>
      <c r="AB27" s="25" t="str">
        <f>'Ingest Template'!T27</f>
        <v/>
      </c>
      <c r="AC27" s="25"/>
      <c r="AD27" s="25" t="str">
        <f>'Ingest Template'!U27</f>
        <v/>
      </c>
      <c r="AE27" s="25" t="str">
        <f>'Ingest Template'!V27</f>
        <v/>
      </c>
      <c r="AF27" s="25"/>
      <c r="AG27" s="25" t="str">
        <f t="array" ref="AG27">IF('Ingest Template'!A27="Standard",(CONCATENATE(IF(ISBLANK('Ingest Template'!O27),"", 'Ingest Template'!O27&amp;"|DAR"),CHAR(10), IF(ISBLANK('Ingest Template'!P27),"", 'Ingest Template'!P27&amp;"|DAR"),CHAR(10), IF(ISBLANK('Ingest Template'!Q27),"", 'Ingest Template'!Q27&amp;"|DAR"))),(CONCATENATE(IF(ISBLANK('Ingest Template'!O27),"", 'Ingest Template'!O27&amp;"|Operations - Core Title"),CHAR(10), IF(ISBLANK('Ingest Template'!P27),"", 'Ingest Template'!P27&amp;"|Operations - Core Title"),CHAR(10), IF(ISBLANK('Ingest Template'!Q27),"", 'Ingest Template'!Q27&amp;"|Operations - Core Title"))))</f>
        <v>#|Operations - Core Title
#videoGame|Operations - Core Title
</v>
      </c>
      <c r="AH27" s="25"/>
      <c r="AI27" s="25"/>
      <c r="AJ27" s="50" t="str">
        <f>if('Ingest Template'!A27="Standard",'Ingest Template'!R27&amp; "|DAR|DAR|2021-01-01",'Ingest Template'!R27&amp; "|Operations - Core Title|Operations - Core Title")</f>
        <v>#N/A</v>
      </c>
      <c r="AK27" s="25"/>
      <c r="AL27" s="25" t="str">
        <f>if('Ingest Template'!A27="Standard",'Ingest Template'!S27&amp; "|2021-01-01",'Ingest Template'!S27)</f>
        <v>#N/A</v>
      </c>
      <c r="AM27" s="25"/>
    </row>
    <row r="28">
      <c r="A28" s="25"/>
      <c r="B28" s="25" t="str">
        <f>'Ingest Template'!C28&amp;IF('Ingest Template'!A28 = "Standard", " - DAR","")</f>
        <v/>
      </c>
      <c r="C28" s="34" t="s">
        <v>92</v>
      </c>
      <c r="D28" s="34" t="str">
        <f>CONCATENATE('Ingest Template'!E28&amp;Char(10)&amp;'Ingest Template'!G28&amp;Char(10)&amp;'Ingest Template'!H28&amp;Char(10)&amp;'Ingest Template'!I28&amp;Char(10)&amp;'Ingest Template'!J28&amp;Char(10)&amp;'Ingest Template'!K28&amp;Char(10)&amp;'Ingest Template'!L28)</f>
        <v>
</v>
      </c>
      <c r="E28" s="25" t="str">
        <f>('Ingest Template'!M28)</f>
        <v/>
      </c>
      <c r="F28" s="40" t="str">
        <f t="array" ref="F28">INDEX(DropDown!$J$2:$J$63,MATCH(1,COUNTIF(E28,DropDown!$I$2:$I$63),0))</f>
        <v>#N/A</v>
      </c>
      <c r="G28" s="25"/>
      <c r="H28" s="25"/>
      <c r="I28" s="25"/>
      <c r="J28" s="25" t="str">
        <f>'Ingest Template'!B28</f>
        <v/>
      </c>
      <c r="K28" s="25" t="str">
        <f>IF('Ingest Template'!A28="Standard",'Ingest Template'!N28,"Competitive View")</f>
        <v>Competitive View</v>
      </c>
      <c r="L28" s="41" t="s">
        <v>145</v>
      </c>
      <c r="M28" s="25" t="str">
        <f>'Ingest Template'!D28</f>
        <v/>
      </c>
      <c r="N28" s="25"/>
      <c r="O28" s="25"/>
      <c r="P28" s="25"/>
      <c r="Q28" s="25"/>
      <c r="R28" s="25" t="str">
        <f>CONCATENATE('Ingest Template'!F28)</f>
        <v/>
      </c>
      <c r="S28" s="43" t="s">
        <v>160</v>
      </c>
      <c r="T28" s="25" t="str">
        <f>'Ingest Template'!W28</f>
        <v/>
      </c>
      <c r="U28" s="25"/>
      <c r="V28" s="25" t="str">
        <f>LOWER(SUBSTITUTE(SUBSTITUTE(SUBSTITUTE(SUBSTITUTE(SUBSTITUTE('Ingest Template'!Y28,"https:",""),"www.",""),"/",""),"?hl=en",""),"instagram.com",""))</f>
        <v/>
      </c>
      <c r="W28" s="34" t="str">
        <f>(IFERROR(vlookup('Ingest Template'!F28,DropDown!D:E,2,false)&amp;'Ingest Template'!C28,""))</f>
        <v/>
      </c>
      <c r="X28" s="25" t="str">
        <f>'Ingest Template'!AA28</f>
        <v/>
      </c>
      <c r="Y28" s="25"/>
      <c r="Z28" s="25"/>
      <c r="AA28" s="25"/>
      <c r="AB28" s="25" t="str">
        <f>'Ingest Template'!T28</f>
        <v/>
      </c>
      <c r="AC28" s="25"/>
      <c r="AD28" s="25" t="str">
        <f>'Ingest Template'!U28</f>
        <v/>
      </c>
      <c r="AE28" s="25" t="str">
        <f>'Ingest Template'!V28</f>
        <v/>
      </c>
      <c r="AF28" s="25"/>
      <c r="AG28" s="25" t="str">
        <f t="array" ref="AG28">IF('Ingest Template'!A28="Standard",(CONCATENATE(IF(ISBLANK('Ingest Template'!O28),"", 'Ingest Template'!O28&amp;"|DAR"),CHAR(10), IF(ISBLANK('Ingest Template'!P28),"", 'Ingest Template'!P28&amp;"|DAR"),CHAR(10), IF(ISBLANK('Ingest Template'!Q28),"", 'Ingest Template'!Q28&amp;"|DAR"))),(CONCATENATE(IF(ISBLANK('Ingest Template'!O28),"", 'Ingest Template'!O28&amp;"|Operations - Core Title"),CHAR(10), IF(ISBLANK('Ingest Template'!P28),"", 'Ingest Template'!P28&amp;"|Operations - Core Title"),CHAR(10), IF(ISBLANK('Ingest Template'!Q28),"", 'Ingest Template'!Q28&amp;"|Operations - Core Title"))))</f>
        <v>#|Operations - Core Title
#videoGame|Operations - Core Title
</v>
      </c>
      <c r="AH28" s="25"/>
      <c r="AI28" s="25"/>
      <c r="AJ28" s="50" t="str">
        <f>if('Ingest Template'!A28="Standard",'Ingest Template'!R28&amp; "|DAR|DAR|2021-01-01",'Ingest Template'!R28&amp; "|Operations - Core Title|Operations - Core Title")</f>
        <v>#N/A</v>
      </c>
      <c r="AK28" s="25"/>
      <c r="AL28" s="25" t="str">
        <f>if('Ingest Template'!A28="Standard",'Ingest Template'!S28&amp; "|2021-01-01",'Ingest Template'!S28)</f>
        <v>#N/A</v>
      </c>
      <c r="AM28" s="25"/>
    </row>
    <row r="29">
      <c r="A29" s="25"/>
      <c r="B29" s="25" t="str">
        <f>'Ingest Template'!C29&amp;IF('Ingest Template'!A29 = "Standard", " - DAR","")</f>
        <v/>
      </c>
      <c r="C29" s="34" t="s">
        <v>92</v>
      </c>
      <c r="D29" s="34" t="str">
        <f>CONCATENATE('Ingest Template'!E29&amp;Char(10)&amp;'Ingest Template'!G29&amp;Char(10)&amp;'Ingest Template'!H29&amp;Char(10)&amp;'Ingest Template'!I29&amp;Char(10)&amp;'Ingest Template'!J29&amp;Char(10)&amp;'Ingest Template'!K29&amp;Char(10)&amp;'Ingest Template'!L29)</f>
        <v>
</v>
      </c>
      <c r="E29" s="25" t="str">
        <f>('Ingest Template'!M29)</f>
        <v/>
      </c>
      <c r="F29" s="40" t="str">
        <f t="array" ref="F29">INDEX(DropDown!$J$2:$J$63,MATCH(1,COUNTIF(E29,DropDown!$I$2:$I$63),0))</f>
        <v>#N/A</v>
      </c>
      <c r="G29" s="25"/>
      <c r="H29" s="25"/>
      <c r="I29" s="25"/>
      <c r="J29" s="25" t="str">
        <f>'Ingest Template'!B29</f>
        <v/>
      </c>
      <c r="K29" s="25" t="str">
        <f>IF('Ingest Template'!A29="Standard",'Ingest Template'!N29,"Competitive View")</f>
        <v>Competitive View</v>
      </c>
      <c r="L29" s="41" t="s">
        <v>145</v>
      </c>
      <c r="M29" s="25" t="str">
        <f>'Ingest Template'!D29</f>
        <v/>
      </c>
      <c r="N29" s="25"/>
      <c r="O29" s="25"/>
      <c r="P29" s="25"/>
      <c r="Q29" s="25"/>
      <c r="R29" s="25" t="str">
        <f>CONCATENATE('Ingest Template'!F29)</f>
        <v/>
      </c>
      <c r="S29" s="43" t="s">
        <v>160</v>
      </c>
      <c r="T29" s="25" t="str">
        <f>'Ingest Template'!W29</f>
        <v/>
      </c>
      <c r="U29" s="25"/>
      <c r="V29" s="25" t="str">
        <f>LOWER(SUBSTITUTE(SUBSTITUTE(SUBSTITUTE(SUBSTITUTE(SUBSTITUTE('Ingest Template'!Y29,"https:",""),"www.",""),"/",""),"?hl=en",""),"instagram.com",""))</f>
        <v/>
      </c>
      <c r="W29" s="34" t="str">
        <f>(IFERROR(vlookup('Ingest Template'!F29,DropDown!D:E,2,false)&amp;'Ingest Template'!C29,""))</f>
        <v/>
      </c>
      <c r="X29" s="25" t="str">
        <f>'Ingest Template'!AA29</f>
        <v/>
      </c>
      <c r="Y29" s="25"/>
      <c r="Z29" s="25"/>
      <c r="AA29" s="25"/>
      <c r="AB29" s="25" t="str">
        <f>'Ingest Template'!T29</f>
        <v/>
      </c>
      <c r="AC29" s="25"/>
      <c r="AD29" s="25" t="str">
        <f>'Ingest Template'!U29</f>
        <v/>
      </c>
      <c r="AE29" s="25" t="str">
        <f>'Ingest Template'!V29</f>
        <v/>
      </c>
      <c r="AF29" s="25"/>
      <c r="AG29" s="25" t="str">
        <f t="array" ref="AG29">IF('Ingest Template'!A29="Standard",(CONCATENATE(IF(ISBLANK('Ingest Template'!O29),"", 'Ingest Template'!O29&amp;"|DAR"),CHAR(10), IF(ISBLANK('Ingest Template'!P29),"", 'Ingest Template'!P29&amp;"|DAR"),CHAR(10), IF(ISBLANK('Ingest Template'!Q29),"", 'Ingest Template'!Q29&amp;"|DAR"))),(CONCATENATE(IF(ISBLANK('Ingest Template'!O29),"", 'Ingest Template'!O29&amp;"|Operations - Core Title"),CHAR(10), IF(ISBLANK('Ingest Template'!P29),"", 'Ingest Template'!P29&amp;"|Operations - Core Title"),CHAR(10), IF(ISBLANK('Ingest Template'!Q29),"", 'Ingest Template'!Q29&amp;"|Operations - Core Title"))))</f>
        <v>#|Operations - Core Title
#videoGame|Operations - Core Title
</v>
      </c>
      <c r="AH29" s="25"/>
      <c r="AI29" s="25"/>
      <c r="AJ29" s="50" t="str">
        <f>if('Ingest Template'!A29="Standard",'Ingest Template'!R29&amp; "|DAR|DAR|2021-01-01",'Ingest Template'!R29&amp; "|Operations - Core Title|Operations - Core Title")</f>
        <v>#N/A</v>
      </c>
      <c r="AK29" s="25"/>
      <c r="AL29" s="25" t="str">
        <f>if('Ingest Template'!A29="Standard",'Ingest Template'!S29&amp; "|2021-01-01",'Ingest Template'!S29)</f>
        <v>#N/A</v>
      </c>
      <c r="AM29" s="25"/>
    </row>
    <row r="30">
      <c r="A30" s="25"/>
      <c r="B30" s="25" t="str">
        <f>'Ingest Template'!C30&amp;IF('Ingest Template'!A30 = "Standard", " - DAR","")</f>
        <v/>
      </c>
      <c r="C30" s="34" t="s">
        <v>92</v>
      </c>
      <c r="D30" s="34" t="str">
        <f>CONCATENATE('Ingest Template'!E30&amp;Char(10)&amp;'Ingest Template'!G30&amp;Char(10)&amp;'Ingest Template'!H30&amp;Char(10)&amp;'Ingest Template'!I30&amp;Char(10)&amp;'Ingest Template'!J30&amp;Char(10)&amp;'Ingest Template'!K30&amp;Char(10)&amp;'Ingest Template'!L30)</f>
        <v>
</v>
      </c>
      <c r="E30" s="25" t="str">
        <f>('Ingest Template'!M30)</f>
        <v/>
      </c>
      <c r="F30" s="40" t="str">
        <f t="array" ref="F30">INDEX(DropDown!$J$2:$J$63,MATCH(1,COUNTIF(E30,DropDown!$I$2:$I$63),0))</f>
        <v>#N/A</v>
      </c>
      <c r="G30" s="25"/>
      <c r="H30" s="25"/>
      <c r="I30" s="25"/>
      <c r="J30" s="25" t="str">
        <f>'Ingest Template'!B30</f>
        <v/>
      </c>
      <c r="K30" s="25" t="str">
        <f>IF('Ingest Template'!A30="Standard",'Ingest Template'!N30,"Competitive View")</f>
        <v>Competitive View</v>
      </c>
      <c r="L30" s="41" t="s">
        <v>145</v>
      </c>
      <c r="M30" s="25" t="str">
        <f>'Ingest Template'!D30</f>
        <v/>
      </c>
      <c r="N30" s="25"/>
      <c r="O30" s="25"/>
      <c r="P30" s="25"/>
      <c r="Q30" s="25"/>
      <c r="R30" s="25" t="str">
        <f>CONCATENATE('Ingest Template'!F30)</f>
        <v/>
      </c>
      <c r="S30" s="43" t="s">
        <v>160</v>
      </c>
      <c r="T30" s="25" t="str">
        <f>'Ingest Template'!W30</f>
        <v/>
      </c>
      <c r="U30" s="25"/>
      <c r="V30" s="25" t="str">
        <f>LOWER(SUBSTITUTE(SUBSTITUTE(SUBSTITUTE(SUBSTITUTE(SUBSTITUTE('Ingest Template'!Y30,"https:",""),"www.",""),"/",""),"?hl=en",""),"instagram.com",""))</f>
        <v/>
      </c>
      <c r="W30" s="34" t="str">
        <f>(IFERROR(vlookup('Ingest Template'!F30,DropDown!D:E,2,false)&amp;'Ingest Template'!C30,""))</f>
        <v/>
      </c>
      <c r="X30" s="25" t="str">
        <f>'Ingest Template'!AA30</f>
        <v/>
      </c>
      <c r="Y30" s="25"/>
      <c r="Z30" s="25"/>
      <c r="AA30" s="25"/>
      <c r="AB30" s="25" t="str">
        <f>'Ingest Template'!T30</f>
        <v/>
      </c>
      <c r="AC30" s="25"/>
      <c r="AD30" s="25" t="str">
        <f>'Ingest Template'!U30</f>
        <v/>
      </c>
      <c r="AE30" s="25" t="str">
        <f>'Ingest Template'!V30</f>
        <v/>
      </c>
      <c r="AF30" s="25"/>
      <c r="AG30" s="25" t="str">
        <f t="array" ref="AG30">IF('Ingest Template'!A30="Standard",(CONCATENATE(IF(ISBLANK('Ingest Template'!O30),"", 'Ingest Template'!O30&amp;"|DAR"),CHAR(10), IF(ISBLANK('Ingest Template'!P30),"", 'Ingest Template'!P30&amp;"|DAR"),CHAR(10), IF(ISBLANK('Ingest Template'!Q30),"", 'Ingest Template'!Q30&amp;"|DAR"))),(CONCATENATE(IF(ISBLANK('Ingest Template'!O30),"", 'Ingest Template'!O30&amp;"|Operations - Core Title"),CHAR(10), IF(ISBLANK('Ingest Template'!P30),"", 'Ingest Template'!P30&amp;"|Operations - Core Title"),CHAR(10), IF(ISBLANK('Ingest Template'!Q30),"", 'Ingest Template'!Q30&amp;"|Operations - Core Title"))))</f>
        <v>#|Operations - Core Title
#videoGame|Operations - Core Title
</v>
      </c>
      <c r="AH30" s="25"/>
      <c r="AI30" s="25"/>
      <c r="AJ30" s="50" t="str">
        <f>if('Ingest Template'!A30="Standard",'Ingest Template'!R30&amp; "|DAR|DAR|2021-01-01",'Ingest Template'!R30&amp; "|Operations - Core Title|Operations - Core Title")</f>
        <v>#N/A</v>
      </c>
      <c r="AK30" s="25"/>
      <c r="AL30" s="25" t="str">
        <f>if('Ingest Template'!A30="Standard",'Ingest Template'!S30&amp; "|2021-01-01",'Ingest Template'!S30)</f>
        <v>#N/A</v>
      </c>
      <c r="AM30" s="25"/>
    </row>
    <row r="31">
      <c r="A31" s="25"/>
      <c r="B31" s="25" t="str">
        <f>'Ingest Template'!C31&amp;IF('Ingest Template'!A31 = "Standard", " - DAR","")</f>
        <v/>
      </c>
      <c r="C31" s="34" t="s">
        <v>92</v>
      </c>
      <c r="D31" s="34" t="str">
        <f>CONCATENATE('Ingest Template'!E31&amp;Char(10)&amp;'Ingest Template'!G31&amp;Char(10)&amp;'Ingest Template'!H31&amp;Char(10)&amp;'Ingest Template'!I31&amp;Char(10)&amp;'Ingest Template'!J31&amp;Char(10)&amp;'Ingest Template'!K31&amp;Char(10)&amp;'Ingest Template'!L31)</f>
        <v>
</v>
      </c>
      <c r="E31" s="25" t="str">
        <f>('Ingest Template'!M31)</f>
        <v/>
      </c>
      <c r="F31" s="40" t="str">
        <f t="array" ref="F31">INDEX(DropDown!$J$2:$J$63,MATCH(1,COUNTIF(E31,DropDown!$I$2:$I$63),0))</f>
        <v>#N/A</v>
      </c>
      <c r="G31" s="25"/>
      <c r="H31" s="25"/>
      <c r="I31" s="25"/>
      <c r="J31" s="25" t="str">
        <f>'Ingest Template'!B31</f>
        <v/>
      </c>
      <c r="K31" s="25" t="str">
        <f>IF('Ingest Template'!A31="Standard",'Ingest Template'!N31,"Competitive View")</f>
        <v>Competitive View</v>
      </c>
      <c r="L31" s="41" t="s">
        <v>145</v>
      </c>
      <c r="M31" s="25" t="str">
        <f>'Ingest Template'!D31</f>
        <v/>
      </c>
      <c r="N31" s="25"/>
      <c r="O31" s="25"/>
      <c r="P31" s="25"/>
      <c r="Q31" s="25"/>
      <c r="R31" s="25" t="str">
        <f>CONCATENATE('Ingest Template'!F31)</f>
        <v/>
      </c>
      <c r="S31" s="43" t="s">
        <v>160</v>
      </c>
      <c r="T31" s="25" t="str">
        <f>'Ingest Template'!W31</f>
        <v/>
      </c>
      <c r="U31" s="25"/>
      <c r="V31" s="25" t="str">
        <f>LOWER(SUBSTITUTE(SUBSTITUTE(SUBSTITUTE(SUBSTITUTE(SUBSTITUTE('Ingest Template'!Y31,"https:",""),"www.",""),"/",""),"?hl=en",""),"instagram.com",""))</f>
        <v/>
      </c>
      <c r="W31" s="34" t="str">
        <f>(IFERROR(vlookup('Ingest Template'!F31,DropDown!D:E,2,false)&amp;'Ingest Template'!C31,""))</f>
        <v/>
      </c>
      <c r="X31" s="25" t="str">
        <f>'Ingest Template'!AA31</f>
        <v/>
      </c>
      <c r="Y31" s="25"/>
      <c r="Z31" s="25"/>
      <c r="AA31" s="25"/>
      <c r="AB31" s="25" t="str">
        <f>'Ingest Template'!T31</f>
        <v/>
      </c>
      <c r="AC31" s="25"/>
      <c r="AD31" s="25" t="str">
        <f>'Ingest Template'!U31</f>
        <v/>
      </c>
      <c r="AE31" s="25" t="str">
        <f>'Ingest Template'!V31</f>
        <v/>
      </c>
      <c r="AF31" s="25"/>
      <c r="AG31" s="25" t="str">
        <f t="array" ref="AG31">IF('Ingest Template'!A31="Standard",(CONCATENATE(IF(ISBLANK('Ingest Template'!O31),"", 'Ingest Template'!O31&amp;"|DAR"),CHAR(10), IF(ISBLANK('Ingest Template'!P31),"", 'Ingest Template'!P31&amp;"|DAR"),CHAR(10), IF(ISBLANK('Ingest Template'!Q31),"", 'Ingest Template'!Q31&amp;"|DAR"))),(CONCATENATE(IF(ISBLANK('Ingest Template'!O31),"", 'Ingest Template'!O31&amp;"|Operations - Core Title"),CHAR(10), IF(ISBLANK('Ingest Template'!P31),"", 'Ingest Template'!P31&amp;"|Operations - Core Title"),CHAR(10), IF(ISBLANK('Ingest Template'!Q31),"", 'Ingest Template'!Q31&amp;"|Operations - Core Title"))))</f>
        <v>#|Operations - Core Title
#videoGame|Operations - Core Title
</v>
      </c>
      <c r="AH31" s="25"/>
      <c r="AI31" s="25"/>
      <c r="AJ31" s="50" t="str">
        <f>if('Ingest Template'!A31="Standard",'Ingest Template'!R31&amp; "|DAR|DAR|2021-01-01",'Ingest Template'!R31&amp; "|Operations - Core Title|Operations - Core Title")</f>
        <v>#N/A</v>
      </c>
      <c r="AK31" s="25"/>
      <c r="AL31" s="25" t="str">
        <f>if('Ingest Template'!A31="Standard",'Ingest Template'!S31&amp; "|2021-01-01",'Ingest Template'!S31)</f>
        <v>#N/A</v>
      </c>
      <c r="AM31" s="25"/>
    </row>
    <row r="32">
      <c r="A32" s="25"/>
      <c r="B32" s="25" t="str">
        <f>'Ingest Template'!C32&amp;IF('Ingest Template'!A32 = "Standard", " - DAR","")</f>
        <v/>
      </c>
      <c r="C32" s="34" t="s">
        <v>92</v>
      </c>
      <c r="D32" s="34" t="str">
        <f>CONCATENATE('Ingest Template'!E32&amp;Char(10)&amp;'Ingest Template'!G32&amp;Char(10)&amp;'Ingest Template'!H32&amp;Char(10)&amp;'Ingest Template'!I32&amp;Char(10)&amp;'Ingest Template'!J32&amp;Char(10)&amp;'Ingest Template'!K32&amp;Char(10)&amp;'Ingest Template'!L32)</f>
        <v>
</v>
      </c>
      <c r="E32" s="25" t="str">
        <f>('Ingest Template'!M32)</f>
        <v/>
      </c>
      <c r="F32" s="40" t="str">
        <f t="array" ref="F32">INDEX(DropDown!$J$2:$J$63,MATCH(1,COUNTIF(E32,DropDown!$I$2:$I$63),0))</f>
        <v>#N/A</v>
      </c>
      <c r="G32" s="25"/>
      <c r="H32" s="25"/>
      <c r="I32" s="25"/>
      <c r="J32" s="25" t="str">
        <f>'Ingest Template'!B32</f>
        <v/>
      </c>
      <c r="K32" s="25" t="str">
        <f>IF('Ingest Template'!A32="Standard",'Ingest Template'!N32,"Competitive View")</f>
        <v>Competitive View</v>
      </c>
      <c r="L32" s="41" t="s">
        <v>145</v>
      </c>
      <c r="M32" s="25" t="str">
        <f>'Ingest Template'!D32</f>
        <v/>
      </c>
      <c r="N32" s="25"/>
      <c r="O32" s="25"/>
      <c r="P32" s="25"/>
      <c r="Q32" s="25"/>
      <c r="R32" s="25" t="str">
        <f>CONCATENATE('Ingest Template'!F32)</f>
        <v/>
      </c>
      <c r="S32" s="43" t="s">
        <v>160</v>
      </c>
      <c r="T32" s="25" t="str">
        <f>'Ingest Template'!W32</f>
        <v/>
      </c>
      <c r="U32" s="25"/>
      <c r="V32" s="25" t="str">
        <f>LOWER(SUBSTITUTE(SUBSTITUTE(SUBSTITUTE(SUBSTITUTE(SUBSTITUTE('Ingest Template'!Y32,"https:",""),"www.",""),"/",""),"?hl=en",""),"instagram.com",""))</f>
        <v/>
      </c>
      <c r="W32" s="34" t="str">
        <f>(IFERROR(vlookup('Ingest Template'!F32,DropDown!D:E,2,false)&amp;'Ingest Template'!C32,""))</f>
        <v/>
      </c>
      <c r="X32" s="25" t="str">
        <f>'Ingest Template'!AA32</f>
        <v/>
      </c>
      <c r="Y32" s="25"/>
      <c r="Z32" s="25"/>
      <c r="AA32" s="25"/>
      <c r="AB32" s="25" t="str">
        <f>'Ingest Template'!T32</f>
        <v/>
      </c>
      <c r="AC32" s="25"/>
      <c r="AD32" s="25" t="str">
        <f>'Ingest Template'!U32</f>
        <v/>
      </c>
      <c r="AE32" s="25" t="str">
        <f>'Ingest Template'!V32</f>
        <v/>
      </c>
      <c r="AF32" s="25"/>
      <c r="AG32" s="25" t="str">
        <f t="array" ref="AG32">IF('Ingest Template'!A32="Standard",(CONCATENATE(IF(ISBLANK('Ingest Template'!O32),"", 'Ingest Template'!O32&amp;"|DAR"),CHAR(10), IF(ISBLANK('Ingest Template'!P32),"", 'Ingest Template'!P32&amp;"|DAR"),CHAR(10), IF(ISBLANK('Ingest Template'!Q32),"", 'Ingest Template'!Q32&amp;"|DAR"))),(CONCATENATE(IF(ISBLANK('Ingest Template'!O32),"", 'Ingest Template'!O32&amp;"|Operations - Core Title"),CHAR(10), IF(ISBLANK('Ingest Template'!P32),"", 'Ingest Template'!P32&amp;"|Operations - Core Title"),CHAR(10), IF(ISBLANK('Ingest Template'!Q32),"", 'Ingest Template'!Q32&amp;"|Operations - Core Title"))))</f>
        <v>#|Operations - Core Title
#videoGame|Operations - Core Title
</v>
      </c>
      <c r="AH32" s="25"/>
      <c r="AI32" s="25"/>
      <c r="AJ32" s="50" t="str">
        <f>if('Ingest Template'!A32="Standard",'Ingest Template'!R32&amp; "|DAR|DAR|2021-01-01",'Ingest Template'!R32&amp; "|Operations - Core Title|Operations - Core Title")</f>
        <v>#N/A</v>
      </c>
      <c r="AK32" s="25"/>
      <c r="AL32" s="25" t="str">
        <f>if('Ingest Template'!A32="Standard",'Ingest Template'!S32&amp; "|2021-01-01",'Ingest Template'!S32)</f>
        <v>#N/A</v>
      </c>
      <c r="AM32" s="25"/>
    </row>
    <row r="33">
      <c r="A33" s="25"/>
      <c r="B33" s="25" t="str">
        <f>'Ingest Template'!C33&amp;IF('Ingest Template'!A33 = "Standard", " - DAR","")</f>
        <v/>
      </c>
      <c r="C33" s="34" t="s">
        <v>92</v>
      </c>
      <c r="D33" s="34" t="str">
        <f>CONCATENATE('Ingest Template'!E33&amp;Char(10)&amp;'Ingest Template'!G33&amp;Char(10)&amp;'Ingest Template'!H33&amp;Char(10)&amp;'Ingest Template'!I33&amp;Char(10)&amp;'Ingest Template'!J33&amp;Char(10)&amp;'Ingest Template'!K33&amp;Char(10)&amp;'Ingest Template'!L33)</f>
        <v>
</v>
      </c>
      <c r="E33" s="25" t="str">
        <f>('Ingest Template'!M33)</f>
        <v/>
      </c>
      <c r="F33" s="40" t="str">
        <f t="array" ref="F33">INDEX(DropDown!$J$2:$J$63,MATCH(1,COUNTIF(E33,DropDown!$I$2:$I$63),0))</f>
        <v>#N/A</v>
      </c>
      <c r="G33" s="25"/>
      <c r="H33" s="25"/>
      <c r="I33" s="25"/>
      <c r="J33" s="25" t="str">
        <f>'Ingest Template'!B33</f>
        <v/>
      </c>
      <c r="K33" s="25" t="str">
        <f>IF('Ingest Template'!A33="Standard",'Ingest Template'!N33,"Competitive View")</f>
        <v>Competitive View</v>
      </c>
      <c r="L33" s="41" t="s">
        <v>145</v>
      </c>
      <c r="M33" s="25" t="str">
        <f>'Ingest Template'!D33</f>
        <v/>
      </c>
      <c r="N33" s="25"/>
      <c r="O33" s="25"/>
      <c r="P33" s="25"/>
      <c r="Q33" s="25"/>
      <c r="R33" s="25" t="str">
        <f>CONCATENATE('Ingest Template'!F33)</f>
        <v/>
      </c>
      <c r="S33" s="43" t="s">
        <v>160</v>
      </c>
      <c r="T33" s="25" t="str">
        <f>'Ingest Template'!W33</f>
        <v/>
      </c>
      <c r="U33" s="25"/>
      <c r="V33" s="25" t="str">
        <f>LOWER(SUBSTITUTE(SUBSTITUTE(SUBSTITUTE(SUBSTITUTE(SUBSTITUTE('Ingest Template'!Y33,"https:",""),"www.",""),"/",""),"?hl=en",""),"instagram.com",""))</f>
        <v/>
      </c>
      <c r="W33" s="34" t="str">
        <f>(IFERROR(vlookup('Ingest Template'!F33,DropDown!D:E,2,false)&amp;'Ingest Template'!C33,""))</f>
        <v/>
      </c>
      <c r="X33" s="25" t="str">
        <f>'Ingest Template'!AA33</f>
        <v/>
      </c>
      <c r="Y33" s="25"/>
      <c r="Z33" s="25"/>
      <c r="AA33" s="25"/>
      <c r="AB33" s="25" t="str">
        <f>'Ingest Template'!T33</f>
        <v/>
      </c>
      <c r="AC33" s="25"/>
      <c r="AD33" s="25" t="str">
        <f>'Ingest Template'!U33</f>
        <v/>
      </c>
      <c r="AE33" s="25" t="str">
        <f>'Ingest Template'!V33</f>
        <v/>
      </c>
      <c r="AF33" s="25"/>
      <c r="AG33" s="25" t="str">
        <f t="array" ref="AG33">IF('Ingest Template'!A33="Standard",(CONCATENATE(IF(ISBLANK('Ingest Template'!O33),"", 'Ingest Template'!O33&amp;"|DAR"),CHAR(10), IF(ISBLANK('Ingest Template'!P33),"", 'Ingest Template'!P33&amp;"|DAR"),CHAR(10), IF(ISBLANK('Ingest Template'!Q33),"", 'Ingest Template'!Q33&amp;"|DAR"))),(CONCATENATE(IF(ISBLANK('Ingest Template'!O33),"", 'Ingest Template'!O33&amp;"|Operations - Core Title"),CHAR(10), IF(ISBLANK('Ingest Template'!P33),"", 'Ingest Template'!P33&amp;"|Operations - Core Title"),CHAR(10), IF(ISBLANK('Ingest Template'!Q33),"", 'Ingest Template'!Q33&amp;"|Operations - Core Title"))))</f>
        <v>#|Operations - Core Title
#videoGame|Operations - Core Title
</v>
      </c>
      <c r="AH33" s="25"/>
      <c r="AI33" s="25"/>
      <c r="AJ33" s="50" t="str">
        <f>if('Ingest Template'!A33="Standard",'Ingest Template'!R33&amp; "|DAR|DAR|2021-01-01",'Ingest Template'!R33&amp; "|Operations - Core Title|Operations - Core Title")</f>
        <v>#N/A</v>
      </c>
      <c r="AK33" s="25"/>
      <c r="AL33" s="25" t="str">
        <f>if('Ingest Template'!A33="Standard",'Ingest Template'!S33&amp; "|2021-01-01",'Ingest Template'!S33)</f>
        <v>#N/A</v>
      </c>
      <c r="AM33" s="25"/>
    </row>
    <row r="34">
      <c r="A34" s="25"/>
      <c r="B34" s="25" t="str">
        <f>'Ingest Template'!C34&amp;IF('Ingest Template'!A34 = "Standard", " - DAR","")</f>
        <v/>
      </c>
      <c r="C34" s="34" t="s">
        <v>92</v>
      </c>
      <c r="D34" s="34" t="str">
        <f>CONCATENATE('Ingest Template'!E34&amp;Char(10)&amp;'Ingest Template'!G34&amp;Char(10)&amp;'Ingest Template'!H34&amp;Char(10)&amp;'Ingest Template'!I34&amp;Char(10)&amp;'Ingest Template'!J34&amp;Char(10)&amp;'Ingest Template'!K34&amp;Char(10)&amp;'Ingest Template'!L34)</f>
        <v>
</v>
      </c>
      <c r="E34" s="25" t="str">
        <f>('Ingest Template'!M34)</f>
        <v/>
      </c>
      <c r="F34" s="40" t="str">
        <f t="array" ref="F34">INDEX(DropDown!$J$2:$J$63,MATCH(1,COUNTIF(E34,DropDown!$I$2:$I$63),0))</f>
        <v>#N/A</v>
      </c>
      <c r="G34" s="25"/>
      <c r="H34" s="25"/>
      <c r="I34" s="25"/>
      <c r="J34" s="25" t="str">
        <f>'Ingest Template'!B34</f>
        <v/>
      </c>
      <c r="K34" s="25" t="str">
        <f>IF('Ingest Template'!A34="Standard",'Ingest Template'!N34,"Competitive View")</f>
        <v>Competitive View</v>
      </c>
      <c r="L34" s="41" t="s">
        <v>145</v>
      </c>
      <c r="M34" s="25" t="str">
        <f>'Ingest Template'!D34</f>
        <v/>
      </c>
      <c r="N34" s="25"/>
      <c r="O34" s="25"/>
      <c r="P34" s="25"/>
      <c r="Q34" s="25"/>
      <c r="R34" s="25" t="str">
        <f>CONCATENATE('Ingest Template'!F34)</f>
        <v/>
      </c>
      <c r="S34" s="43" t="s">
        <v>160</v>
      </c>
      <c r="T34" s="25" t="str">
        <f>'Ingest Template'!W34</f>
        <v/>
      </c>
      <c r="U34" s="25"/>
      <c r="V34" s="25" t="str">
        <f>LOWER(SUBSTITUTE(SUBSTITUTE(SUBSTITUTE(SUBSTITUTE(SUBSTITUTE('Ingest Template'!Y34,"https:",""),"www.",""),"/",""),"?hl=en",""),"instagram.com",""))</f>
        <v/>
      </c>
      <c r="W34" s="34" t="str">
        <f>(IFERROR(vlookup('Ingest Template'!F34,DropDown!D:E,2,false)&amp;'Ingest Template'!C34,""))</f>
        <v/>
      </c>
      <c r="X34" s="25" t="str">
        <f>'Ingest Template'!AA34</f>
        <v/>
      </c>
      <c r="Y34" s="25"/>
      <c r="Z34" s="25"/>
      <c r="AA34" s="25"/>
      <c r="AB34" s="25" t="str">
        <f>'Ingest Template'!T34</f>
        <v/>
      </c>
      <c r="AC34" s="25"/>
      <c r="AD34" s="25" t="str">
        <f>'Ingest Template'!U34</f>
        <v/>
      </c>
      <c r="AE34" s="25" t="str">
        <f>'Ingest Template'!V34</f>
        <v/>
      </c>
      <c r="AF34" s="25"/>
      <c r="AG34" s="25" t="str">
        <f t="array" ref="AG34">IF('Ingest Template'!A34="Standard",(CONCATENATE(IF(ISBLANK('Ingest Template'!O34),"", 'Ingest Template'!O34&amp;"|DAR"),CHAR(10), IF(ISBLANK('Ingest Template'!P34),"", 'Ingest Template'!P34&amp;"|DAR"),CHAR(10), IF(ISBLANK('Ingest Template'!Q34),"", 'Ingest Template'!Q34&amp;"|DAR"))),(CONCATENATE(IF(ISBLANK('Ingest Template'!O34),"", 'Ingest Template'!O34&amp;"|Operations - Core Title"),CHAR(10), IF(ISBLANK('Ingest Template'!P34),"", 'Ingest Template'!P34&amp;"|Operations - Core Title"),CHAR(10), IF(ISBLANK('Ingest Template'!Q34),"", 'Ingest Template'!Q34&amp;"|Operations - Core Title"))))</f>
        <v>#|Operations - Core Title
#videoGame|Operations - Core Title
</v>
      </c>
      <c r="AH34" s="25"/>
      <c r="AI34" s="25"/>
      <c r="AJ34" s="50" t="str">
        <f>if('Ingest Template'!A34="Standard",'Ingest Template'!R34&amp; "|DAR|DAR|2021-01-01",'Ingest Template'!R34&amp; "|Operations - Core Title|Operations - Core Title")</f>
        <v>#N/A</v>
      </c>
      <c r="AK34" s="25"/>
      <c r="AL34" s="25" t="str">
        <f>if('Ingest Template'!A34="Standard",'Ingest Template'!S34&amp; "|2021-01-01",'Ingest Template'!S34)</f>
        <v>#N/A</v>
      </c>
      <c r="AM34" s="25"/>
    </row>
    <row r="35">
      <c r="A35" s="25"/>
      <c r="B35" s="25" t="str">
        <f>'Ingest Template'!C35&amp;IF('Ingest Template'!A35 = "Standard", " - DAR","")</f>
        <v/>
      </c>
      <c r="C35" s="34" t="s">
        <v>92</v>
      </c>
      <c r="D35" s="34" t="str">
        <f>CONCATENATE('Ingest Template'!E35&amp;Char(10)&amp;'Ingest Template'!G35&amp;Char(10)&amp;'Ingest Template'!H35&amp;Char(10)&amp;'Ingest Template'!I35&amp;Char(10)&amp;'Ingest Template'!J35&amp;Char(10)&amp;'Ingest Template'!K35&amp;Char(10)&amp;'Ingest Template'!L35)</f>
        <v>
</v>
      </c>
      <c r="E35" s="25" t="str">
        <f>('Ingest Template'!M35)</f>
        <v/>
      </c>
      <c r="F35" s="40" t="str">
        <f t="array" ref="F35">INDEX(DropDown!$J$2:$J$63,MATCH(1,COUNTIF(E35,DropDown!$I$2:$I$63),0))</f>
        <v>#N/A</v>
      </c>
      <c r="G35" s="25"/>
      <c r="H35" s="25"/>
      <c r="I35" s="25"/>
      <c r="J35" s="25" t="str">
        <f>'Ingest Template'!B35</f>
        <v/>
      </c>
      <c r="K35" s="25" t="str">
        <f>IF('Ingest Template'!A35="Standard",'Ingest Template'!N35,"Competitive View")</f>
        <v>Competitive View</v>
      </c>
      <c r="L35" s="41" t="s">
        <v>145</v>
      </c>
      <c r="M35" s="25" t="str">
        <f>'Ingest Template'!D35</f>
        <v/>
      </c>
      <c r="N35" s="25"/>
      <c r="O35" s="25"/>
      <c r="P35" s="25"/>
      <c r="Q35" s="25"/>
      <c r="R35" s="25" t="str">
        <f>CONCATENATE('Ingest Template'!F35)</f>
        <v/>
      </c>
      <c r="S35" s="43" t="s">
        <v>160</v>
      </c>
      <c r="T35" s="25" t="str">
        <f>'Ingest Template'!W35</f>
        <v/>
      </c>
      <c r="U35" s="25"/>
      <c r="V35" s="25" t="str">
        <f>LOWER(SUBSTITUTE(SUBSTITUTE(SUBSTITUTE(SUBSTITUTE(SUBSTITUTE('Ingest Template'!Y35,"https:",""),"www.",""),"/",""),"?hl=en",""),"instagram.com",""))</f>
        <v/>
      </c>
      <c r="W35" s="34" t="str">
        <f>(IFERROR(vlookup('Ingest Template'!F35,DropDown!D:E,2,false)&amp;'Ingest Template'!C35,""))</f>
        <v/>
      </c>
      <c r="X35" s="25" t="str">
        <f>'Ingest Template'!AA35</f>
        <v/>
      </c>
      <c r="Y35" s="25"/>
      <c r="Z35" s="25"/>
      <c r="AA35" s="25"/>
      <c r="AB35" s="25" t="str">
        <f>'Ingest Template'!T35</f>
        <v/>
      </c>
      <c r="AC35" s="25"/>
      <c r="AD35" s="25" t="str">
        <f>'Ingest Template'!U35</f>
        <v/>
      </c>
      <c r="AE35" s="25" t="str">
        <f>'Ingest Template'!V35</f>
        <v/>
      </c>
      <c r="AF35" s="25"/>
      <c r="AG35" s="25" t="str">
        <f t="array" ref="AG35">IF('Ingest Template'!A35="Standard",(CONCATENATE(IF(ISBLANK('Ingest Template'!O35),"", 'Ingest Template'!O35&amp;"|DAR"),CHAR(10), IF(ISBLANK('Ingest Template'!P35),"", 'Ingest Template'!P35&amp;"|DAR"),CHAR(10), IF(ISBLANK('Ingest Template'!Q35),"", 'Ingest Template'!Q35&amp;"|DAR"))),(CONCATENATE(IF(ISBLANK('Ingest Template'!O35),"", 'Ingest Template'!O35&amp;"|Operations - Core Title"),CHAR(10), IF(ISBLANK('Ingest Template'!P35),"", 'Ingest Template'!P35&amp;"|Operations - Core Title"),CHAR(10), IF(ISBLANK('Ingest Template'!Q35),"", 'Ingest Template'!Q35&amp;"|Operations - Core Title"))))</f>
        <v>#|Operations - Core Title
#videoGame|Operations - Core Title
</v>
      </c>
      <c r="AH35" s="25"/>
      <c r="AI35" s="25"/>
      <c r="AJ35" s="50" t="str">
        <f>if('Ingest Template'!A35="Standard",'Ingest Template'!R35&amp; "|DAR|DAR|2021-01-01",'Ingest Template'!R35&amp; "|Operations - Core Title|Operations - Core Title")</f>
        <v>#N/A</v>
      </c>
      <c r="AK35" s="25"/>
      <c r="AL35" s="25" t="str">
        <f>if('Ingest Template'!A35="Standard",'Ingest Template'!S35&amp; "|2021-01-01",'Ingest Template'!S35)</f>
        <v>#N/A</v>
      </c>
      <c r="AM35" s="25"/>
    </row>
    <row r="36">
      <c r="A36" s="25"/>
      <c r="B36" s="25" t="str">
        <f>'Ingest Template'!C36&amp;IF('Ingest Template'!A36 = "Standard", " - DAR","")</f>
        <v/>
      </c>
      <c r="C36" s="34" t="s">
        <v>92</v>
      </c>
      <c r="D36" s="34" t="str">
        <f>CONCATENATE('Ingest Template'!E36&amp;Char(10)&amp;'Ingest Template'!G36&amp;Char(10)&amp;'Ingest Template'!H36&amp;Char(10)&amp;'Ingest Template'!I36&amp;Char(10)&amp;'Ingest Template'!J36&amp;Char(10)&amp;'Ingest Template'!K36&amp;Char(10)&amp;'Ingest Template'!L36)</f>
        <v>
</v>
      </c>
      <c r="E36" s="25" t="str">
        <f>('Ingest Template'!M36)</f>
        <v/>
      </c>
      <c r="F36" s="40" t="str">
        <f t="array" ref="F36">INDEX(DropDown!$J$2:$J$63,MATCH(1,COUNTIF(E36,DropDown!$I$2:$I$63),0))</f>
        <v>#N/A</v>
      </c>
      <c r="G36" s="25"/>
      <c r="H36" s="25"/>
      <c r="I36" s="25"/>
      <c r="J36" s="25" t="str">
        <f>'Ingest Template'!B36</f>
        <v/>
      </c>
      <c r="K36" s="25" t="str">
        <f>IF('Ingest Template'!A36="Standard",'Ingest Template'!N36,"Competitive View")</f>
        <v>Competitive View</v>
      </c>
      <c r="L36" s="41" t="s">
        <v>145</v>
      </c>
      <c r="M36" s="25" t="str">
        <f>'Ingest Template'!D36</f>
        <v/>
      </c>
      <c r="N36" s="25"/>
      <c r="O36" s="25"/>
      <c r="P36" s="25"/>
      <c r="Q36" s="25"/>
      <c r="R36" s="25" t="str">
        <f>CONCATENATE('Ingest Template'!F36)</f>
        <v/>
      </c>
      <c r="S36" s="43" t="s">
        <v>160</v>
      </c>
      <c r="T36" s="25" t="str">
        <f>'Ingest Template'!W36</f>
        <v/>
      </c>
      <c r="U36" s="25"/>
      <c r="V36" s="25" t="str">
        <f>LOWER(SUBSTITUTE(SUBSTITUTE(SUBSTITUTE(SUBSTITUTE(SUBSTITUTE('Ingest Template'!Y36,"https:",""),"www.",""),"/",""),"?hl=en",""),"instagram.com",""))</f>
        <v/>
      </c>
      <c r="W36" s="34" t="str">
        <f>(IFERROR(vlookup('Ingest Template'!F36,DropDown!D:E,2,false)&amp;'Ingest Template'!C36,""))</f>
        <v/>
      </c>
      <c r="X36" s="25" t="str">
        <f>'Ingest Template'!AA36</f>
        <v/>
      </c>
      <c r="Y36" s="25"/>
      <c r="Z36" s="25"/>
      <c r="AA36" s="25"/>
      <c r="AB36" s="25" t="str">
        <f>'Ingest Template'!T36</f>
        <v/>
      </c>
      <c r="AC36" s="25"/>
      <c r="AD36" s="25" t="str">
        <f>'Ingest Template'!U36</f>
        <v/>
      </c>
      <c r="AE36" s="25" t="str">
        <f>'Ingest Template'!V36</f>
        <v/>
      </c>
      <c r="AF36" s="25"/>
      <c r="AG36" s="25" t="str">
        <f t="array" ref="AG36">IF('Ingest Template'!A36="Standard",(CONCATENATE(IF(ISBLANK('Ingest Template'!O36),"", 'Ingest Template'!O36&amp;"|DAR"),CHAR(10), IF(ISBLANK('Ingest Template'!P36),"", 'Ingest Template'!P36&amp;"|DAR"),CHAR(10), IF(ISBLANK('Ingest Template'!Q36),"", 'Ingest Template'!Q36&amp;"|DAR"))),(CONCATENATE(IF(ISBLANK('Ingest Template'!O36),"", 'Ingest Template'!O36&amp;"|Operations - Core Title"),CHAR(10), IF(ISBLANK('Ingest Template'!P36),"", 'Ingest Template'!P36&amp;"|Operations - Core Title"),CHAR(10), IF(ISBLANK('Ingest Template'!Q36),"", 'Ingest Template'!Q36&amp;"|Operations - Core Title"))))</f>
        <v>#|Operations - Core Title
#videoGame|Operations - Core Title
</v>
      </c>
      <c r="AH36" s="25"/>
      <c r="AI36" s="25"/>
      <c r="AJ36" s="50" t="str">
        <f>if('Ingest Template'!A36="Standard",'Ingest Template'!R36&amp; "|DAR|DAR|2021-01-01",'Ingest Template'!R36&amp; "|Operations - Core Title|Operations - Core Title")</f>
        <v>#N/A</v>
      </c>
      <c r="AK36" s="25"/>
      <c r="AL36" s="25" t="str">
        <f>if('Ingest Template'!A36="Standard",'Ingest Template'!S36&amp; "|2021-01-01",'Ingest Template'!S36)</f>
        <v>#N/A</v>
      </c>
      <c r="AM36" s="25"/>
    </row>
    <row r="37">
      <c r="A37" s="25"/>
      <c r="B37" s="25" t="str">
        <f>'Ingest Template'!C37&amp;IF('Ingest Template'!A37 = "Standard", " - DAR","")</f>
        <v/>
      </c>
      <c r="C37" s="34" t="s">
        <v>92</v>
      </c>
      <c r="D37" s="34" t="str">
        <f>CONCATENATE('Ingest Template'!E37&amp;Char(10)&amp;'Ingest Template'!G37&amp;Char(10)&amp;'Ingest Template'!H37&amp;Char(10)&amp;'Ingest Template'!I37&amp;Char(10)&amp;'Ingest Template'!J37&amp;Char(10)&amp;'Ingest Template'!K37&amp;Char(10)&amp;'Ingest Template'!L37)</f>
        <v>
</v>
      </c>
      <c r="E37" s="25" t="str">
        <f>('Ingest Template'!M37)</f>
        <v/>
      </c>
      <c r="F37" s="40" t="str">
        <f t="array" ref="F37">INDEX(DropDown!$J$2:$J$63,MATCH(1,COUNTIF(E37,DropDown!$I$2:$I$63),0))</f>
        <v>#N/A</v>
      </c>
      <c r="G37" s="25"/>
      <c r="H37" s="25"/>
      <c r="I37" s="25"/>
      <c r="J37" s="25" t="str">
        <f>'Ingest Template'!B37</f>
        <v/>
      </c>
      <c r="K37" s="25" t="str">
        <f>IF('Ingest Template'!A37="Standard",'Ingest Template'!N37,"Competitive View")</f>
        <v>Competitive View</v>
      </c>
      <c r="L37" s="41" t="s">
        <v>145</v>
      </c>
      <c r="M37" s="25" t="str">
        <f>'Ingest Template'!D37</f>
        <v/>
      </c>
      <c r="N37" s="25"/>
      <c r="O37" s="25"/>
      <c r="P37" s="25"/>
      <c r="Q37" s="25"/>
      <c r="R37" s="25" t="str">
        <f>CONCATENATE('Ingest Template'!F37)</f>
        <v/>
      </c>
      <c r="S37" s="43" t="s">
        <v>160</v>
      </c>
      <c r="T37" s="25" t="str">
        <f>'Ingest Template'!W37</f>
        <v/>
      </c>
      <c r="U37" s="25"/>
      <c r="V37" s="25" t="str">
        <f>LOWER(SUBSTITUTE(SUBSTITUTE(SUBSTITUTE(SUBSTITUTE(SUBSTITUTE('Ingest Template'!Y37,"https:",""),"www.",""),"/",""),"?hl=en",""),"instagram.com",""))</f>
        <v/>
      </c>
      <c r="W37" s="34" t="str">
        <f>(IFERROR(vlookup('Ingest Template'!F37,DropDown!D:E,2,false)&amp;'Ingest Template'!C37,""))</f>
        <v/>
      </c>
      <c r="X37" s="25" t="str">
        <f>'Ingest Template'!AA37</f>
        <v/>
      </c>
      <c r="Y37" s="25"/>
      <c r="Z37" s="25"/>
      <c r="AA37" s="25"/>
      <c r="AB37" s="25" t="str">
        <f>'Ingest Template'!T37</f>
        <v/>
      </c>
      <c r="AC37" s="25"/>
      <c r="AD37" s="25" t="str">
        <f>'Ingest Template'!U37</f>
        <v/>
      </c>
      <c r="AE37" s="25" t="str">
        <f>'Ingest Template'!V37</f>
        <v/>
      </c>
      <c r="AF37" s="25"/>
      <c r="AG37" s="25" t="str">
        <f t="array" ref="AG37">IF('Ingest Template'!A37="Standard",(CONCATENATE(IF(ISBLANK('Ingest Template'!O37),"", 'Ingest Template'!O37&amp;"|DAR"),CHAR(10), IF(ISBLANK('Ingest Template'!P37),"", 'Ingest Template'!P37&amp;"|DAR"),CHAR(10), IF(ISBLANK('Ingest Template'!Q37),"", 'Ingest Template'!Q37&amp;"|DAR"))),(CONCATENATE(IF(ISBLANK('Ingest Template'!O37),"", 'Ingest Template'!O37&amp;"|Operations - Core Title"),CHAR(10), IF(ISBLANK('Ingest Template'!P37),"", 'Ingest Template'!P37&amp;"|Operations - Core Title"),CHAR(10), IF(ISBLANK('Ingest Template'!Q37),"", 'Ingest Template'!Q37&amp;"|Operations - Core Title"))))</f>
        <v>#|Operations - Core Title
#videoGame|Operations - Core Title
</v>
      </c>
      <c r="AH37" s="25"/>
      <c r="AI37" s="25"/>
      <c r="AJ37" s="50" t="str">
        <f>if('Ingest Template'!A37="Standard",'Ingest Template'!R37&amp; "|DAR|DAR|2021-01-01",'Ingest Template'!R37&amp; "|Operations - Core Title|Operations - Core Title")</f>
        <v>#N/A</v>
      </c>
      <c r="AK37" s="25"/>
      <c r="AL37" s="25" t="str">
        <f>if('Ingest Template'!A37="Standard",'Ingest Template'!S37&amp; "|2021-01-01",'Ingest Template'!S37)</f>
        <v>#N/A</v>
      </c>
      <c r="AM37" s="25"/>
    </row>
    <row r="38">
      <c r="A38" s="25"/>
      <c r="B38" s="25" t="str">
        <f>'Ingest Template'!C38&amp;IF('Ingest Template'!A38 = "Standard", " - DAR","")</f>
        <v/>
      </c>
      <c r="C38" s="34" t="s">
        <v>92</v>
      </c>
      <c r="D38" s="34" t="str">
        <f>CONCATENATE('Ingest Template'!E38&amp;Char(10)&amp;'Ingest Template'!G38&amp;Char(10)&amp;'Ingest Template'!H38&amp;Char(10)&amp;'Ingest Template'!I38&amp;Char(10)&amp;'Ingest Template'!J38&amp;Char(10)&amp;'Ingest Template'!K38&amp;Char(10)&amp;'Ingest Template'!L38)</f>
        <v>
</v>
      </c>
      <c r="E38" s="25" t="str">
        <f>('Ingest Template'!M38)</f>
        <v/>
      </c>
      <c r="F38" s="40" t="str">
        <f t="array" ref="F38">INDEX(DropDown!$J$2:$J$63,MATCH(1,COUNTIF(E38,DropDown!$I$2:$I$63),0))</f>
        <v>#N/A</v>
      </c>
      <c r="G38" s="25"/>
      <c r="H38" s="25"/>
      <c r="I38" s="25"/>
      <c r="J38" s="25" t="str">
        <f>'Ingest Template'!B38</f>
        <v/>
      </c>
      <c r="K38" s="25" t="str">
        <f>IF('Ingest Template'!A38="Standard",'Ingest Template'!N38,"Competitive View")</f>
        <v>Competitive View</v>
      </c>
      <c r="L38" s="41" t="s">
        <v>145</v>
      </c>
      <c r="M38" s="25" t="str">
        <f>'Ingest Template'!D38</f>
        <v/>
      </c>
      <c r="N38" s="25"/>
      <c r="O38" s="25"/>
      <c r="P38" s="25"/>
      <c r="Q38" s="25"/>
      <c r="R38" s="25" t="str">
        <f>CONCATENATE('Ingest Template'!F38)</f>
        <v/>
      </c>
      <c r="S38" s="43" t="s">
        <v>160</v>
      </c>
      <c r="T38" s="25" t="str">
        <f>'Ingest Template'!W38</f>
        <v/>
      </c>
      <c r="U38" s="25"/>
      <c r="V38" s="25" t="str">
        <f>LOWER(SUBSTITUTE(SUBSTITUTE(SUBSTITUTE(SUBSTITUTE(SUBSTITUTE('Ingest Template'!Y38,"https:",""),"www.",""),"/",""),"?hl=en",""),"instagram.com",""))</f>
        <v/>
      </c>
      <c r="W38" s="34" t="str">
        <f>(IFERROR(vlookup('Ingest Template'!F38,DropDown!D:E,2,false)&amp;'Ingest Template'!C38,""))</f>
        <v/>
      </c>
      <c r="X38" s="25" t="str">
        <f>'Ingest Template'!AA38</f>
        <v/>
      </c>
      <c r="Y38" s="25"/>
      <c r="Z38" s="25"/>
      <c r="AA38" s="25"/>
      <c r="AB38" s="25" t="str">
        <f>'Ingest Template'!T38</f>
        <v/>
      </c>
      <c r="AC38" s="25"/>
      <c r="AD38" s="25" t="str">
        <f>'Ingest Template'!U38</f>
        <v/>
      </c>
      <c r="AE38" s="25" t="str">
        <f>'Ingest Template'!V38</f>
        <v/>
      </c>
      <c r="AF38" s="25"/>
      <c r="AG38" s="25" t="str">
        <f t="array" ref="AG38">IF('Ingest Template'!A38="Standard",(CONCATENATE(IF(ISBLANK('Ingest Template'!O38),"", 'Ingest Template'!O38&amp;"|DAR"),CHAR(10), IF(ISBLANK('Ingest Template'!P38),"", 'Ingest Template'!P38&amp;"|DAR"),CHAR(10), IF(ISBLANK('Ingest Template'!Q38),"", 'Ingest Template'!Q38&amp;"|DAR"))),(CONCATENATE(IF(ISBLANK('Ingest Template'!O38),"", 'Ingest Template'!O38&amp;"|Operations - Core Title"),CHAR(10), IF(ISBLANK('Ingest Template'!P38),"", 'Ingest Template'!P38&amp;"|Operations - Core Title"),CHAR(10), IF(ISBLANK('Ingest Template'!Q38),"", 'Ingest Template'!Q38&amp;"|Operations - Core Title"))))</f>
        <v>#|Operations - Core Title
#videoGame|Operations - Core Title
</v>
      </c>
      <c r="AH38" s="25"/>
      <c r="AI38" s="25"/>
      <c r="AJ38" s="50" t="str">
        <f>if('Ingest Template'!A38="Standard",'Ingest Template'!R38&amp; "|DAR|DAR|2021-01-01",'Ingest Template'!R38&amp; "|Operations - Core Title|Operations - Core Title")</f>
        <v>#N/A</v>
      </c>
      <c r="AK38" s="25"/>
      <c r="AL38" s="25" t="str">
        <f>if('Ingest Template'!A38="Standard",'Ingest Template'!S38&amp; "|2021-01-01",'Ingest Template'!S38)</f>
        <v>#N/A</v>
      </c>
      <c r="AM38" s="25"/>
    </row>
    <row r="39">
      <c r="A39" s="25"/>
      <c r="B39" s="25" t="str">
        <f>'Ingest Template'!C39&amp;IF('Ingest Template'!A39 = "Standard", " - DAR","")</f>
        <v/>
      </c>
      <c r="C39" s="34" t="s">
        <v>92</v>
      </c>
      <c r="D39" s="34" t="str">
        <f>CONCATENATE('Ingest Template'!E39&amp;Char(10)&amp;'Ingest Template'!G39&amp;Char(10)&amp;'Ingest Template'!H39&amp;Char(10)&amp;'Ingest Template'!I39&amp;Char(10)&amp;'Ingest Template'!J39&amp;Char(10)&amp;'Ingest Template'!K39&amp;Char(10)&amp;'Ingest Template'!L39)</f>
        <v>
</v>
      </c>
      <c r="E39" s="25" t="str">
        <f>('Ingest Template'!M39)</f>
        <v/>
      </c>
      <c r="F39" s="40" t="str">
        <f t="array" ref="F39">INDEX(DropDown!$J$2:$J$63,MATCH(1,COUNTIF(E39,DropDown!$I$2:$I$63),0))</f>
        <v>#N/A</v>
      </c>
      <c r="G39" s="25"/>
      <c r="H39" s="25"/>
      <c r="I39" s="25"/>
      <c r="J39" s="25" t="str">
        <f>'Ingest Template'!B39</f>
        <v/>
      </c>
      <c r="K39" s="25" t="str">
        <f>IF('Ingest Template'!A39="Standard",'Ingest Template'!N39,"Competitive View")</f>
        <v>Competitive View</v>
      </c>
      <c r="L39" s="41" t="s">
        <v>145</v>
      </c>
      <c r="M39" s="25" t="str">
        <f>'Ingest Template'!D39</f>
        <v/>
      </c>
      <c r="N39" s="25"/>
      <c r="O39" s="25"/>
      <c r="P39" s="25"/>
      <c r="Q39" s="25"/>
      <c r="R39" s="25" t="str">
        <f>CONCATENATE('Ingest Template'!F39)</f>
        <v/>
      </c>
      <c r="S39" s="43" t="s">
        <v>160</v>
      </c>
      <c r="T39" s="25" t="str">
        <f>'Ingest Template'!W39</f>
        <v/>
      </c>
      <c r="U39" s="25"/>
      <c r="V39" s="25" t="str">
        <f>LOWER(SUBSTITUTE(SUBSTITUTE(SUBSTITUTE(SUBSTITUTE(SUBSTITUTE('Ingest Template'!Y39,"https:",""),"www.",""),"/",""),"?hl=en",""),"instagram.com",""))</f>
        <v/>
      </c>
      <c r="W39" s="34" t="str">
        <f>(IFERROR(vlookup('Ingest Template'!F39,DropDown!D:E,2,false)&amp;'Ingest Template'!C39,""))</f>
        <v/>
      </c>
      <c r="X39" s="25" t="str">
        <f>'Ingest Template'!AA39</f>
        <v/>
      </c>
      <c r="Y39" s="25"/>
      <c r="Z39" s="25"/>
      <c r="AA39" s="25"/>
      <c r="AB39" s="25" t="str">
        <f>'Ingest Template'!T39</f>
        <v/>
      </c>
      <c r="AC39" s="25"/>
      <c r="AD39" s="25" t="str">
        <f>'Ingest Template'!U39</f>
        <v/>
      </c>
      <c r="AE39" s="25" t="str">
        <f>'Ingest Template'!V39</f>
        <v/>
      </c>
      <c r="AF39" s="25"/>
      <c r="AG39" s="25" t="str">
        <f t="array" ref="AG39">IF('Ingest Template'!A39="Standard",(CONCATENATE(IF(ISBLANK('Ingest Template'!O39),"", 'Ingest Template'!O39&amp;"|DAR"),CHAR(10), IF(ISBLANK('Ingest Template'!P39),"", 'Ingest Template'!P39&amp;"|DAR"),CHAR(10), IF(ISBLANK('Ingest Template'!Q39),"", 'Ingest Template'!Q39&amp;"|DAR"))),(CONCATENATE(IF(ISBLANK('Ingest Template'!O39),"", 'Ingest Template'!O39&amp;"|Operations - Core Title"),CHAR(10), IF(ISBLANK('Ingest Template'!P39),"", 'Ingest Template'!P39&amp;"|Operations - Core Title"),CHAR(10), IF(ISBLANK('Ingest Template'!Q39),"", 'Ingest Template'!Q39&amp;"|Operations - Core Title"))))</f>
        <v>#|Operations - Core Title
#videoGame|Operations - Core Title
</v>
      </c>
      <c r="AH39" s="25"/>
      <c r="AI39" s="25"/>
      <c r="AJ39" s="50" t="str">
        <f>if('Ingest Template'!A39="Standard",'Ingest Template'!R39&amp; "|DAR|DAR|2021-01-01",'Ingest Template'!R39&amp; "|Operations - Core Title|Operations - Core Title")</f>
        <v>#N/A</v>
      </c>
      <c r="AK39" s="25"/>
      <c r="AL39" s="25" t="str">
        <f>if('Ingest Template'!A39="Standard",'Ingest Template'!S39&amp; "|2021-01-01",'Ingest Template'!S39)</f>
        <v>#N/A</v>
      </c>
      <c r="AM39" s="25"/>
    </row>
    <row r="40">
      <c r="A40" s="25"/>
      <c r="B40" s="25" t="str">
        <f>'Ingest Template'!C40&amp;IF('Ingest Template'!A40 = "Standard", " - DAR","")</f>
        <v/>
      </c>
      <c r="C40" s="34" t="s">
        <v>92</v>
      </c>
      <c r="D40" s="34" t="str">
        <f>CONCATENATE('Ingest Template'!E40&amp;Char(10)&amp;'Ingest Template'!G40&amp;Char(10)&amp;'Ingest Template'!H40&amp;Char(10)&amp;'Ingest Template'!I40&amp;Char(10)&amp;'Ingest Template'!J40&amp;Char(10)&amp;'Ingest Template'!K40&amp;Char(10)&amp;'Ingest Template'!L40)</f>
        <v>
</v>
      </c>
      <c r="E40" s="25" t="str">
        <f>('Ingest Template'!M40)</f>
        <v/>
      </c>
      <c r="F40" s="40" t="str">
        <f t="array" ref="F40">INDEX(DropDown!$J$2:$J$63,MATCH(1,COUNTIF(E40,DropDown!$I$2:$I$63),0))</f>
        <v>#N/A</v>
      </c>
      <c r="G40" s="25"/>
      <c r="H40" s="25"/>
      <c r="I40" s="25"/>
      <c r="J40" s="25" t="str">
        <f>'Ingest Template'!B40</f>
        <v/>
      </c>
      <c r="K40" s="25" t="str">
        <f>IF('Ingest Template'!A40="Standard",'Ingest Template'!N40,"Competitive View")</f>
        <v>Competitive View</v>
      </c>
      <c r="L40" s="41" t="s">
        <v>145</v>
      </c>
      <c r="M40" s="25" t="str">
        <f>'Ingest Template'!D40</f>
        <v/>
      </c>
      <c r="N40" s="25"/>
      <c r="O40" s="25"/>
      <c r="P40" s="25"/>
      <c r="Q40" s="25"/>
      <c r="R40" s="25" t="str">
        <f>CONCATENATE('Ingest Template'!F40)</f>
        <v/>
      </c>
      <c r="S40" s="43" t="s">
        <v>160</v>
      </c>
      <c r="T40" s="25" t="str">
        <f>'Ingest Template'!W40</f>
        <v/>
      </c>
      <c r="U40" s="25"/>
      <c r="V40" s="25" t="str">
        <f>LOWER(SUBSTITUTE(SUBSTITUTE(SUBSTITUTE(SUBSTITUTE(SUBSTITUTE('Ingest Template'!Y40,"https:",""),"www.",""),"/",""),"?hl=en",""),"instagram.com",""))</f>
        <v/>
      </c>
      <c r="W40" s="34" t="str">
        <f>(IFERROR(vlookup('Ingest Template'!F40,DropDown!D:E,2,false)&amp;'Ingest Template'!C40,""))</f>
        <v/>
      </c>
      <c r="X40" s="25" t="str">
        <f>'Ingest Template'!AA40</f>
        <v/>
      </c>
      <c r="Y40" s="25"/>
      <c r="Z40" s="25"/>
      <c r="AA40" s="25"/>
      <c r="AB40" s="25" t="str">
        <f>'Ingest Template'!T40</f>
        <v/>
      </c>
      <c r="AC40" s="25"/>
      <c r="AD40" s="25" t="str">
        <f>'Ingest Template'!U40</f>
        <v/>
      </c>
      <c r="AE40" s="25" t="str">
        <f>'Ingest Template'!V40</f>
        <v/>
      </c>
      <c r="AF40" s="25"/>
      <c r="AG40" s="25" t="str">
        <f t="array" ref="AG40">IF('Ingest Template'!A40="Standard",(CONCATENATE(IF(ISBLANK('Ingest Template'!O40),"", 'Ingest Template'!O40&amp;"|DAR"),CHAR(10), IF(ISBLANK('Ingest Template'!P40),"", 'Ingest Template'!P40&amp;"|DAR"),CHAR(10), IF(ISBLANK('Ingest Template'!Q40),"", 'Ingest Template'!Q40&amp;"|DAR"))),(CONCATENATE(IF(ISBLANK('Ingest Template'!O40),"", 'Ingest Template'!O40&amp;"|Operations - Core Title"),CHAR(10), IF(ISBLANK('Ingest Template'!P40),"", 'Ingest Template'!P40&amp;"|Operations - Core Title"),CHAR(10), IF(ISBLANK('Ingest Template'!Q40),"", 'Ingest Template'!Q40&amp;"|Operations - Core Title"))))</f>
        <v>#|Operations - Core Title
#videoGame|Operations - Core Title
</v>
      </c>
      <c r="AH40" s="25"/>
      <c r="AI40" s="25"/>
      <c r="AJ40" s="50" t="str">
        <f>if('Ingest Template'!A40="Standard",'Ingest Template'!R40&amp; "|DAR|DAR|2021-01-01",'Ingest Template'!R40&amp; "|Operations - Core Title|Operations - Core Title")</f>
        <v>#N/A</v>
      </c>
      <c r="AK40" s="25"/>
      <c r="AL40" s="25" t="str">
        <f>if('Ingest Template'!A40="Standard",'Ingest Template'!S40&amp; "|2021-01-01",'Ingest Template'!S40)</f>
        <v>#N/A</v>
      </c>
      <c r="AM40" s="25"/>
    </row>
    <row r="41">
      <c r="A41" s="25"/>
      <c r="B41" s="25" t="str">
        <f>'Ingest Template'!C41&amp;IF('Ingest Template'!A41 = "Standard", " - DAR","")</f>
        <v/>
      </c>
      <c r="C41" s="34" t="s">
        <v>92</v>
      </c>
      <c r="D41" s="34" t="str">
        <f>CONCATENATE('Ingest Template'!E41&amp;Char(10)&amp;'Ingest Template'!G41&amp;Char(10)&amp;'Ingest Template'!H41&amp;Char(10)&amp;'Ingest Template'!I41&amp;Char(10)&amp;'Ingest Template'!J41&amp;Char(10)&amp;'Ingest Template'!K41&amp;Char(10)&amp;'Ingest Template'!L41)</f>
        <v>
</v>
      </c>
      <c r="E41" s="25" t="str">
        <f>('Ingest Template'!M41)</f>
        <v/>
      </c>
      <c r="F41" s="40" t="str">
        <f t="array" ref="F41">INDEX(DropDown!$J$2:$J$63,MATCH(1,COUNTIF(E41,DropDown!$I$2:$I$63),0))</f>
        <v>#N/A</v>
      </c>
      <c r="G41" s="25"/>
      <c r="H41" s="25"/>
      <c r="I41" s="25"/>
      <c r="J41" s="25" t="str">
        <f>'Ingest Template'!B41</f>
        <v/>
      </c>
      <c r="K41" s="25" t="str">
        <f>IF('Ingest Template'!A41="Standard",'Ingest Template'!N41,"Competitive View")</f>
        <v>Competitive View</v>
      </c>
      <c r="L41" s="41" t="s">
        <v>145</v>
      </c>
      <c r="M41" s="25" t="str">
        <f>'Ingest Template'!D41</f>
        <v/>
      </c>
      <c r="N41" s="25"/>
      <c r="O41" s="25"/>
      <c r="P41" s="25"/>
      <c r="Q41" s="25"/>
      <c r="R41" s="25" t="str">
        <f>CONCATENATE('Ingest Template'!F41)</f>
        <v/>
      </c>
      <c r="S41" s="43" t="s">
        <v>160</v>
      </c>
      <c r="T41" s="25" t="str">
        <f>'Ingest Template'!W41</f>
        <v/>
      </c>
      <c r="U41" s="25"/>
      <c r="V41" s="25" t="str">
        <f>LOWER(SUBSTITUTE(SUBSTITUTE(SUBSTITUTE(SUBSTITUTE(SUBSTITUTE('Ingest Template'!Y41,"https:",""),"www.",""),"/",""),"?hl=en",""),"instagram.com",""))</f>
        <v/>
      </c>
      <c r="W41" s="34" t="str">
        <f>(IFERROR(vlookup('Ingest Template'!F41,DropDown!D:E,2,false)&amp;'Ingest Template'!C41,""))</f>
        <v/>
      </c>
      <c r="X41" s="25" t="str">
        <f>'Ingest Template'!AA41</f>
        <v/>
      </c>
      <c r="Y41" s="25"/>
      <c r="Z41" s="25"/>
      <c r="AA41" s="25"/>
      <c r="AB41" s="25" t="str">
        <f>'Ingest Template'!T41</f>
        <v/>
      </c>
      <c r="AC41" s="25"/>
      <c r="AD41" s="25" t="str">
        <f>'Ingest Template'!U41</f>
        <v/>
      </c>
      <c r="AE41" s="25" t="str">
        <f>'Ingest Template'!V41</f>
        <v/>
      </c>
      <c r="AF41" s="25"/>
      <c r="AG41" s="25" t="str">
        <f t="array" ref="AG41">IF('Ingest Template'!A41="Standard",(CONCATENATE(IF(ISBLANK('Ingest Template'!O41),"", 'Ingest Template'!O41&amp;"|DAR"),CHAR(10), IF(ISBLANK('Ingest Template'!P41),"", 'Ingest Template'!P41&amp;"|DAR"),CHAR(10), IF(ISBLANK('Ingest Template'!Q41),"", 'Ingest Template'!Q41&amp;"|DAR"))),(CONCATENATE(IF(ISBLANK('Ingest Template'!O41),"", 'Ingest Template'!O41&amp;"|Operations - Core Title"),CHAR(10), IF(ISBLANK('Ingest Template'!P41),"", 'Ingest Template'!P41&amp;"|Operations - Core Title"),CHAR(10), IF(ISBLANK('Ingest Template'!Q41),"", 'Ingest Template'!Q41&amp;"|Operations - Core Title"))))</f>
        <v>#|Operations - Core Title
#videoGame|Operations - Core Title
</v>
      </c>
      <c r="AH41" s="25"/>
      <c r="AI41" s="25"/>
      <c r="AJ41" s="50" t="str">
        <f>if('Ingest Template'!A41="Standard",'Ingest Template'!R41&amp; "|DAR|DAR|2021-01-01",'Ingest Template'!R41&amp; "|Operations - Core Title|Operations - Core Title")</f>
        <v>#N/A</v>
      </c>
      <c r="AK41" s="25"/>
      <c r="AL41" s="25" t="str">
        <f>if('Ingest Template'!A41="Standard",'Ingest Template'!S41&amp; "|2021-01-01",'Ingest Template'!S41)</f>
        <v>#N/A</v>
      </c>
      <c r="AM41" s="25"/>
    </row>
    <row r="42">
      <c r="A42" s="25"/>
      <c r="B42" s="25" t="str">
        <f>'Ingest Template'!C42&amp;IF('Ingest Template'!A42 = "Standard", " - DAR","")</f>
        <v/>
      </c>
      <c r="C42" s="34" t="s">
        <v>92</v>
      </c>
      <c r="D42" s="34" t="str">
        <f>CONCATENATE('Ingest Template'!E42&amp;Char(10)&amp;'Ingest Template'!G42&amp;Char(10)&amp;'Ingest Template'!H42&amp;Char(10)&amp;'Ingest Template'!I42&amp;Char(10)&amp;'Ingest Template'!J42&amp;Char(10)&amp;'Ingest Template'!K42&amp;Char(10)&amp;'Ingest Template'!L42)</f>
        <v>
</v>
      </c>
      <c r="E42" s="25" t="str">
        <f>('Ingest Template'!M42)</f>
        <v/>
      </c>
      <c r="F42" s="40" t="str">
        <f t="array" ref="F42">INDEX(DropDown!$J$2:$J$63,MATCH(1,COUNTIF(E42,DropDown!$I$2:$I$63),0))</f>
        <v>#N/A</v>
      </c>
      <c r="G42" s="25"/>
      <c r="H42" s="25"/>
      <c r="I42" s="25"/>
      <c r="J42" s="25" t="str">
        <f>'Ingest Template'!B42</f>
        <v/>
      </c>
      <c r="K42" s="25" t="str">
        <f>IF('Ingest Template'!A42="Standard",'Ingest Template'!N42,"Competitive View")</f>
        <v>Competitive View</v>
      </c>
      <c r="L42" s="41" t="s">
        <v>145</v>
      </c>
      <c r="M42" s="25" t="str">
        <f>'Ingest Template'!D42</f>
        <v/>
      </c>
      <c r="N42" s="25"/>
      <c r="O42" s="25"/>
      <c r="P42" s="25"/>
      <c r="Q42" s="25"/>
      <c r="R42" s="25" t="str">
        <f>CONCATENATE('Ingest Template'!F42)</f>
        <v/>
      </c>
      <c r="S42" s="43" t="s">
        <v>160</v>
      </c>
      <c r="T42" s="25" t="str">
        <f>'Ingest Template'!W42</f>
        <v/>
      </c>
      <c r="U42" s="25"/>
      <c r="V42" s="25" t="str">
        <f>LOWER(SUBSTITUTE(SUBSTITUTE(SUBSTITUTE(SUBSTITUTE(SUBSTITUTE('Ingest Template'!Y42,"https:",""),"www.",""),"/",""),"?hl=en",""),"instagram.com",""))</f>
        <v/>
      </c>
      <c r="W42" s="34" t="str">
        <f>(IFERROR(vlookup('Ingest Template'!F42,DropDown!D:E,2,false)&amp;'Ingest Template'!C42,""))</f>
        <v/>
      </c>
      <c r="X42" s="25" t="str">
        <f>'Ingest Template'!AA42</f>
        <v/>
      </c>
      <c r="Y42" s="25"/>
      <c r="Z42" s="25"/>
      <c r="AA42" s="25"/>
      <c r="AB42" s="25" t="str">
        <f>'Ingest Template'!T42</f>
        <v/>
      </c>
      <c r="AC42" s="25"/>
      <c r="AD42" s="25" t="str">
        <f>'Ingest Template'!U42</f>
        <v/>
      </c>
      <c r="AE42" s="25" t="str">
        <f>'Ingest Template'!V42</f>
        <v/>
      </c>
      <c r="AF42" s="25"/>
      <c r="AG42" s="25" t="str">
        <f t="array" ref="AG42">IF('Ingest Template'!A42="Standard",(CONCATENATE(IF(ISBLANK('Ingest Template'!O42),"", 'Ingest Template'!O42&amp;"|DAR"),CHAR(10), IF(ISBLANK('Ingest Template'!P42),"", 'Ingest Template'!P42&amp;"|DAR"),CHAR(10), IF(ISBLANK('Ingest Template'!Q42),"", 'Ingest Template'!Q42&amp;"|DAR"))),(CONCATENATE(IF(ISBLANK('Ingest Template'!O42),"", 'Ingest Template'!O42&amp;"|Operations - Core Title"),CHAR(10), IF(ISBLANK('Ingest Template'!P42),"", 'Ingest Template'!P42&amp;"|Operations - Core Title"),CHAR(10), IF(ISBLANK('Ingest Template'!Q42),"", 'Ingest Template'!Q42&amp;"|Operations - Core Title"))))</f>
        <v>#|Operations - Core Title
#videoGame|Operations - Core Title
</v>
      </c>
      <c r="AH42" s="25"/>
      <c r="AI42" s="25"/>
      <c r="AJ42" s="50" t="str">
        <f>if('Ingest Template'!A42="Standard",'Ingest Template'!R42&amp; "|DAR|DAR|2021-01-01",'Ingest Template'!R42&amp; "|Operations - Core Title|Operations - Core Title")</f>
        <v>#N/A</v>
      </c>
      <c r="AK42" s="25"/>
      <c r="AL42" s="25" t="str">
        <f>if('Ingest Template'!A42="Standard",'Ingest Template'!S42&amp; "|2021-01-01",'Ingest Template'!S42)</f>
        <v>#N/A</v>
      </c>
      <c r="AM42" s="25"/>
    </row>
    <row r="43">
      <c r="A43" s="25"/>
      <c r="B43" s="25" t="str">
        <f>'Ingest Template'!C43&amp;IF('Ingest Template'!A43 = "Standard", " - DAR","")</f>
        <v/>
      </c>
      <c r="C43" s="34" t="s">
        <v>92</v>
      </c>
      <c r="D43" s="34" t="str">
        <f>CONCATENATE('Ingest Template'!E43&amp;Char(10)&amp;'Ingest Template'!G43&amp;Char(10)&amp;'Ingest Template'!H43&amp;Char(10)&amp;'Ingest Template'!I43&amp;Char(10)&amp;'Ingest Template'!J43&amp;Char(10)&amp;'Ingest Template'!K43&amp;Char(10)&amp;'Ingest Template'!L43)</f>
        <v>
</v>
      </c>
      <c r="E43" s="25" t="str">
        <f>('Ingest Template'!M43)</f>
        <v/>
      </c>
      <c r="F43" s="40" t="str">
        <f t="array" ref="F43">INDEX(DropDown!$J$2:$J$63,MATCH(1,COUNTIF(E43,DropDown!$I$2:$I$63),0))</f>
        <v>#N/A</v>
      </c>
      <c r="G43" s="25"/>
      <c r="H43" s="25"/>
      <c r="I43" s="25"/>
      <c r="J43" s="25" t="str">
        <f>'Ingest Template'!B43</f>
        <v/>
      </c>
      <c r="K43" s="25" t="str">
        <f>IF('Ingest Template'!A43="Standard",'Ingest Template'!N43,"Competitive View")</f>
        <v>Competitive View</v>
      </c>
      <c r="L43" s="41" t="s">
        <v>145</v>
      </c>
      <c r="M43" s="25" t="str">
        <f>'Ingest Template'!D43</f>
        <v/>
      </c>
      <c r="N43" s="25"/>
      <c r="O43" s="25"/>
      <c r="P43" s="25"/>
      <c r="Q43" s="25"/>
      <c r="R43" s="25" t="str">
        <f>CONCATENATE('Ingest Template'!F43)</f>
        <v/>
      </c>
      <c r="S43" s="43" t="s">
        <v>160</v>
      </c>
      <c r="T43" s="25" t="str">
        <f>'Ingest Template'!W43</f>
        <v/>
      </c>
      <c r="U43" s="25"/>
      <c r="V43" s="25" t="str">
        <f>LOWER(SUBSTITUTE(SUBSTITUTE(SUBSTITUTE(SUBSTITUTE(SUBSTITUTE('Ingest Template'!Y43,"https:",""),"www.",""),"/",""),"?hl=en",""),"instagram.com",""))</f>
        <v/>
      </c>
      <c r="W43" s="34" t="str">
        <f>(IFERROR(vlookup('Ingest Template'!F43,DropDown!D:E,2,false)&amp;'Ingest Template'!C43,""))</f>
        <v/>
      </c>
      <c r="X43" s="25" t="str">
        <f>'Ingest Template'!AA43</f>
        <v/>
      </c>
      <c r="Y43" s="25"/>
      <c r="Z43" s="25"/>
      <c r="AA43" s="25"/>
      <c r="AB43" s="25" t="str">
        <f>'Ingest Template'!T43</f>
        <v/>
      </c>
      <c r="AC43" s="25"/>
      <c r="AD43" s="25" t="str">
        <f>'Ingest Template'!U43</f>
        <v/>
      </c>
      <c r="AE43" s="25" t="str">
        <f>'Ingest Template'!V43</f>
        <v/>
      </c>
      <c r="AF43" s="25"/>
      <c r="AG43" s="25" t="str">
        <f t="array" ref="AG43">IF('Ingest Template'!A43="Standard",(CONCATENATE(IF(ISBLANK('Ingest Template'!O43),"", 'Ingest Template'!O43&amp;"|DAR"),CHAR(10), IF(ISBLANK('Ingest Template'!P43),"", 'Ingest Template'!P43&amp;"|DAR"),CHAR(10), IF(ISBLANK('Ingest Template'!Q43),"", 'Ingest Template'!Q43&amp;"|DAR"))),(CONCATENATE(IF(ISBLANK('Ingest Template'!O43),"", 'Ingest Template'!O43&amp;"|Operations - Core Title"),CHAR(10), IF(ISBLANK('Ingest Template'!P43),"", 'Ingest Template'!P43&amp;"|Operations - Core Title"),CHAR(10), IF(ISBLANK('Ingest Template'!Q43),"", 'Ingest Template'!Q43&amp;"|Operations - Core Title"))))</f>
        <v>#|Operations - Core Title
#videoGame|Operations - Core Title
</v>
      </c>
      <c r="AH43" s="25"/>
      <c r="AI43" s="25"/>
      <c r="AJ43" s="50" t="str">
        <f>if('Ingest Template'!A43="Standard",'Ingest Template'!R43&amp; "|DAR|DAR|2021-01-01",'Ingest Template'!R43&amp; "|Operations - Core Title|Operations - Core Title")</f>
        <v>#N/A</v>
      </c>
      <c r="AK43" s="25"/>
      <c r="AL43" s="25" t="str">
        <f>if('Ingest Template'!A43="Standard",'Ingest Template'!S43&amp; "|2021-01-01",'Ingest Template'!S43)</f>
        <v>#N/A</v>
      </c>
      <c r="AM43" s="25"/>
    </row>
    <row r="44">
      <c r="A44" s="25"/>
      <c r="B44" s="25" t="str">
        <f>'Ingest Template'!C44&amp;IF('Ingest Template'!A44 = "Standard", " - DAR","")</f>
        <v/>
      </c>
      <c r="C44" s="34" t="s">
        <v>92</v>
      </c>
      <c r="D44" s="34" t="str">
        <f>CONCATENATE('Ingest Template'!E44&amp;Char(10)&amp;'Ingest Template'!G44&amp;Char(10)&amp;'Ingest Template'!H44&amp;Char(10)&amp;'Ingest Template'!I44&amp;Char(10)&amp;'Ingest Template'!J44&amp;Char(10)&amp;'Ingest Template'!K44&amp;Char(10)&amp;'Ingest Template'!L44)</f>
        <v>
</v>
      </c>
      <c r="E44" s="25" t="str">
        <f>('Ingest Template'!M44)</f>
        <v/>
      </c>
      <c r="F44" s="40" t="str">
        <f t="array" ref="F44">INDEX(DropDown!$J$2:$J$63,MATCH(1,COUNTIF(E44,DropDown!$I$2:$I$63),0))</f>
        <v>#N/A</v>
      </c>
      <c r="G44" s="25"/>
      <c r="H44" s="25"/>
      <c r="I44" s="25"/>
      <c r="J44" s="25" t="str">
        <f>'Ingest Template'!B44</f>
        <v/>
      </c>
      <c r="K44" s="25" t="str">
        <f>IF('Ingest Template'!A44="Standard",'Ingest Template'!N44,"Competitive View")</f>
        <v>Competitive View</v>
      </c>
      <c r="L44" s="41" t="s">
        <v>145</v>
      </c>
      <c r="M44" s="25" t="str">
        <f>'Ingest Template'!D44</f>
        <v/>
      </c>
      <c r="N44" s="25"/>
      <c r="O44" s="25"/>
      <c r="P44" s="25"/>
      <c r="Q44" s="25"/>
      <c r="R44" s="25" t="str">
        <f>CONCATENATE('Ingest Template'!F44)</f>
        <v/>
      </c>
      <c r="S44" s="43" t="s">
        <v>160</v>
      </c>
      <c r="T44" s="25" t="str">
        <f>'Ingest Template'!W44</f>
        <v/>
      </c>
      <c r="U44" s="25"/>
      <c r="V44" s="25" t="str">
        <f>LOWER(SUBSTITUTE(SUBSTITUTE(SUBSTITUTE(SUBSTITUTE(SUBSTITUTE('Ingest Template'!Y44,"https:",""),"www.",""),"/",""),"?hl=en",""),"instagram.com",""))</f>
        <v/>
      </c>
      <c r="W44" s="34" t="str">
        <f>(IFERROR(vlookup('Ingest Template'!F44,DropDown!D:E,2,false)&amp;'Ingest Template'!C44,""))</f>
        <v/>
      </c>
      <c r="X44" s="25" t="str">
        <f>'Ingest Template'!AA44</f>
        <v/>
      </c>
      <c r="Y44" s="25"/>
      <c r="Z44" s="25"/>
      <c r="AA44" s="25"/>
      <c r="AB44" s="25" t="str">
        <f>'Ingest Template'!T44</f>
        <v/>
      </c>
      <c r="AC44" s="25"/>
      <c r="AD44" s="25" t="str">
        <f>'Ingest Template'!U44</f>
        <v/>
      </c>
      <c r="AE44" s="25" t="str">
        <f>'Ingest Template'!V44</f>
        <v/>
      </c>
      <c r="AF44" s="25"/>
      <c r="AG44" s="25" t="str">
        <f t="array" ref="AG44">IF('Ingest Template'!A44="Standard",(CONCATENATE(IF(ISBLANK('Ingest Template'!O44),"", 'Ingest Template'!O44&amp;"|DAR"),CHAR(10), IF(ISBLANK('Ingest Template'!P44),"", 'Ingest Template'!P44&amp;"|DAR"),CHAR(10), IF(ISBLANK('Ingest Template'!Q44),"", 'Ingest Template'!Q44&amp;"|DAR"))),(CONCATENATE(IF(ISBLANK('Ingest Template'!O44),"", 'Ingest Template'!O44&amp;"|Operations - Core Title"),CHAR(10), IF(ISBLANK('Ingest Template'!P44),"", 'Ingest Template'!P44&amp;"|Operations - Core Title"),CHAR(10), IF(ISBLANK('Ingest Template'!Q44),"", 'Ingest Template'!Q44&amp;"|Operations - Core Title"))))</f>
        <v>#|Operations - Core Title
#videoGame|Operations - Core Title
</v>
      </c>
      <c r="AH44" s="25"/>
      <c r="AI44" s="25"/>
      <c r="AJ44" s="50" t="str">
        <f>if('Ingest Template'!A44="Standard",'Ingest Template'!R44&amp; "|DAR|DAR|2021-01-01",'Ingest Template'!R44&amp; "|Operations - Core Title|Operations - Core Title")</f>
        <v>#N/A</v>
      </c>
      <c r="AK44" s="25"/>
      <c r="AL44" s="25" t="str">
        <f>if('Ingest Template'!A44="Standard",'Ingest Template'!S44&amp; "|2021-01-01",'Ingest Template'!S44)</f>
        <v>#N/A</v>
      </c>
      <c r="AM44" s="25"/>
    </row>
    <row r="45">
      <c r="A45" s="25"/>
      <c r="B45" s="25" t="str">
        <f>'Ingest Template'!C45&amp;IF('Ingest Template'!A45 = "Standard", " - DAR","")</f>
        <v/>
      </c>
      <c r="C45" s="34" t="s">
        <v>92</v>
      </c>
      <c r="D45" s="34" t="str">
        <f>CONCATENATE('Ingest Template'!E45&amp;Char(10)&amp;'Ingest Template'!G45&amp;Char(10)&amp;'Ingest Template'!H45&amp;Char(10)&amp;'Ingest Template'!I45&amp;Char(10)&amp;'Ingest Template'!J45&amp;Char(10)&amp;'Ingest Template'!K45&amp;Char(10)&amp;'Ingest Template'!L45)</f>
        <v>
</v>
      </c>
      <c r="E45" s="25" t="str">
        <f>('Ingest Template'!M45)</f>
        <v/>
      </c>
      <c r="F45" s="40" t="str">
        <f t="array" ref="F45">INDEX(DropDown!$J$2:$J$63,MATCH(1,COUNTIF(E45,DropDown!$I$2:$I$63),0))</f>
        <v>#N/A</v>
      </c>
      <c r="G45" s="25"/>
      <c r="H45" s="25"/>
      <c r="I45" s="25"/>
      <c r="J45" s="25" t="str">
        <f>'Ingest Template'!B45</f>
        <v/>
      </c>
      <c r="K45" s="25" t="str">
        <f>IF('Ingest Template'!A45="Standard",'Ingest Template'!N45,"Competitive View")</f>
        <v>Competitive View</v>
      </c>
      <c r="L45" s="41" t="s">
        <v>145</v>
      </c>
      <c r="M45" s="25" t="str">
        <f>'Ingest Template'!D45</f>
        <v/>
      </c>
      <c r="N45" s="25"/>
      <c r="O45" s="25"/>
      <c r="P45" s="25"/>
      <c r="Q45" s="25"/>
      <c r="R45" s="25" t="str">
        <f>CONCATENATE('Ingest Template'!F45)</f>
        <v/>
      </c>
      <c r="S45" s="43" t="s">
        <v>160</v>
      </c>
      <c r="T45" s="25" t="str">
        <f>'Ingest Template'!W45</f>
        <v/>
      </c>
      <c r="U45" s="25"/>
      <c r="V45" s="25" t="str">
        <f>LOWER(SUBSTITUTE(SUBSTITUTE(SUBSTITUTE(SUBSTITUTE(SUBSTITUTE('Ingest Template'!Y45,"https:",""),"www.",""),"/",""),"?hl=en",""),"instagram.com",""))</f>
        <v/>
      </c>
      <c r="W45" s="34" t="str">
        <f>(IFERROR(vlookup('Ingest Template'!F45,DropDown!D:E,2,false)&amp;'Ingest Template'!C45,""))</f>
        <v/>
      </c>
      <c r="X45" s="25" t="str">
        <f>'Ingest Template'!AA45</f>
        <v/>
      </c>
      <c r="Y45" s="25"/>
      <c r="Z45" s="25"/>
      <c r="AA45" s="25"/>
      <c r="AB45" s="25" t="str">
        <f>'Ingest Template'!T45</f>
        <v/>
      </c>
      <c r="AC45" s="25"/>
      <c r="AD45" s="25" t="str">
        <f>'Ingest Template'!U45</f>
        <v/>
      </c>
      <c r="AE45" s="25" t="str">
        <f>'Ingest Template'!V45</f>
        <v/>
      </c>
      <c r="AF45" s="25"/>
      <c r="AG45" s="25" t="str">
        <f t="array" ref="AG45">IF('Ingest Template'!A45="Standard",(CONCATENATE(IF(ISBLANK('Ingest Template'!O45),"", 'Ingest Template'!O45&amp;"|DAR"),CHAR(10), IF(ISBLANK('Ingest Template'!P45),"", 'Ingest Template'!P45&amp;"|DAR"),CHAR(10), IF(ISBLANK('Ingest Template'!Q45),"", 'Ingest Template'!Q45&amp;"|DAR"))),(CONCATENATE(IF(ISBLANK('Ingest Template'!O45),"", 'Ingest Template'!O45&amp;"|Operations - Core Title"),CHAR(10), IF(ISBLANK('Ingest Template'!P45),"", 'Ingest Template'!P45&amp;"|Operations - Core Title"),CHAR(10), IF(ISBLANK('Ingest Template'!Q45),"", 'Ingest Template'!Q45&amp;"|Operations - Core Title"))))</f>
        <v>#|Operations - Core Title
#videoGame|Operations - Core Title
</v>
      </c>
      <c r="AH45" s="25"/>
      <c r="AI45" s="25"/>
      <c r="AJ45" s="50" t="str">
        <f>if('Ingest Template'!A45="Standard",'Ingest Template'!R45&amp; "|DAR|DAR|2021-01-01",'Ingest Template'!R45&amp; "|Operations - Core Title|Operations - Core Title")</f>
        <v>#N/A</v>
      </c>
      <c r="AK45" s="25"/>
      <c r="AL45" s="25" t="str">
        <f>if('Ingest Template'!A45="Standard",'Ingest Template'!S45&amp; "|2021-01-01",'Ingest Template'!S45)</f>
        <v>#N/A</v>
      </c>
      <c r="AM45" s="25"/>
    </row>
    <row r="46">
      <c r="A46" s="25"/>
      <c r="B46" s="25" t="str">
        <f>'Ingest Template'!C46&amp;IF('Ingest Template'!A46 = "Standard", " - DAR","")</f>
        <v/>
      </c>
      <c r="C46" s="34" t="s">
        <v>92</v>
      </c>
      <c r="D46" s="34" t="str">
        <f>CONCATENATE('Ingest Template'!E46&amp;Char(10)&amp;'Ingest Template'!G46&amp;Char(10)&amp;'Ingest Template'!H46&amp;Char(10)&amp;'Ingest Template'!I46&amp;Char(10)&amp;'Ingest Template'!J46&amp;Char(10)&amp;'Ingest Template'!K46&amp;Char(10)&amp;'Ingest Template'!L46)</f>
        <v>
</v>
      </c>
      <c r="E46" s="25" t="str">
        <f>('Ingest Template'!M46)</f>
        <v/>
      </c>
      <c r="F46" s="40" t="str">
        <f t="array" ref="F46">INDEX(DropDown!$J$2:$J$63,MATCH(1,COUNTIF(E46,DropDown!$I$2:$I$63),0))</f>
        <v>#N/A</v>
      </c>
      <c r="G46" s="25"/>
      <c r="H46" s="25"/>
      <c r="I46" s="25"/>
      <c r="J46" s="25" t="str">
        <f>'Ingest Template'!B46</f>
        <v/>
      </c>
      <c r="K46" s="25" t="str">
        <f>IF('Ingest Template'!A46="Standard",'Ingest Template'!N46,"Competitive View")</f>
        <v>Competitive View</v>
      </c>
      <c r="L46" s="41" t="s">
        <v>145</v>
      </c>
      <c r="M46" s="25" t="str">
        <f>'Ingest Template'!D46</f>
        <v/>
      </c>
      <c r="N46" s="25"/>
      <c r="O46" s="25"/>
      <c r="P46" s="25"/>
      <c r="Q46" s="25"/>
      <c r="R46" s="25" t="str">
        <f>CONCATENATE('Ingest Template'!F46)</f>
        <v/>
      </c>
      <c r="S46" s="43" t="s">
        <v>160</v>
      </c>
      <c r="T46" s="25" t="str">
        <f>'Ingest Template'!W46</f>
        <v/>
      </c>
      <c r="U46" s="25"/>
      <c r="V46" s="25" t="str">
        <f>LOWER(SUBSTITUTE(SUBSTITUTE(SUBSTITUTE(SUBSTITUTE(SUBSTITUTE('Ingest Template'!Y46,"https:",""),"www.",""),"/",""),"?hl=en",""),"instagram.com",""))</f>
        <v/>
      </c>
      <c r="W46" s="34" t="str">
        <f>(IFERROR(vlookup('Ingest Template'!F46,DropDown!D:E,2,false)&amp;'Ingest Template'!C46,""))</f>
        <v/>
      </c>
      <c r="X46" s="25" t="str">
        <f>'Ingest Template'!AA46</f>
        <v/>
      </c>
      <c r="Y46" s="25"/>
      <c r="Z46" s="25"/>
      <c r="AA46" s="25"/>
      <c r="AB46" s="25" t="str">
        <f>'Ingest Template'!T46</f>
        <v/>
      </c>
      <c r="AC46" s="25"/>
      <c r="AD46" s="25" t="str">
        <f>'Ingest Template'!U46</f>
        <v/>
      </c>
      <c r="AE46" s="25" t="str">
        <f>'Ingest Template'!V46</f>
        <v/>
      </c>
      <c r="AF46" s="25"/>
      <c r="AG46" s="25" t="str">
        <f t="array" ref="AG46">IF('Ingest Template'!A46="Standard",(CONCATENATE(IF(ISBLANK('Ingest Template'!O46),"", 'Ingest Template'!O46&amp;"|DAR"),CHAR(10), IF(ISBLANK('Ingest Template'!P46),"", 'Ingest Template'!P46&amp;"|DAR"),CHAR(10), IF(ISBLANK('Ingest Template'!Q46),"", 'Ingest Template'!Q46&amp;"|DAR"))),(CONCATENATE(IF(ISBLANK('Ingest Template'!O46),"", 'Ingest Template'!O46&amp;"|Operations - Core Title"),CHAR(10), IF(ISBLANK('Ingest Template'!P46),"", 'Ingest Template'!P46&amp;"|Operations - Core Title"),CHAR(10), IF(ISBLANK('Ingest Template'!Q46),"", 'Ingest Template'!Q46&amp;"|Operations - Core Title"))))</f>
        <v>#|Operations - Core Title
#videoGame|Operations - Core Title
</v>
      </c>
      <c r="AH46" s="25"/>
      <c r="AI46" s="25"/>
      <c r="AJ46" s="50" t="str">
        <f>if('Ingest Template'!A46="Standard",'Ingest Template'!R46&amp; "|DAR|DAR|2021-01-01",'Ingest Template'!R46&amp; "|Operations - Core Title|Operations - Core Title")</f>
        <v>#N/A</v>
      </c>
      <c r="AK46" s="25"/>
      <c r="AL46" s="25" t="str">
        <f>if('Ingest Template'!A46="Standard",'Ingest Template'!S46&amp; "|2021-01-01",'Ingest Template'!S46)</f>
        <v>#N/A</v>
      </c>
      <c r="AM46" s="25"/>
    </row>
    <row r="47">
      <c r="A47" s="25"/>
      <c r="B47" s="25" t="str">
        <f>'Ingest Template'!C47&amp;IF('Ingest Template'!A47 = "Standard", " - DAR","")</f>
        <v/>
      </c>
      <c r="C47" s="34" t="s">
        <v>92</v>
      </c>
      <c r="D47" s="34" t="str">
        <f>CONCATENATE('Ingest Template'!E47&amp;Char(10)&amp;'Ingest Template'!G47&amp;Char(10)&amp;'Ingest Template'!H47&amp;Char(10)&amp;'Ingest Template'!I47&amp;Char(10)&amp;'Ingest Template'!J47&amp;Char(10)&amp;'Ingest Template'!K47&amp;Char(10)&amp;'Ingest Template'!L47)</f>
        <v>
</v>
      </c>
      <c r="E47" s="25" t="str">
        <f>('Ingest Template'!M47)</f>
        <v/>
      </c>
      <c r="F47" s="40" t="str">
        <f t="array" ref="F47">INDEX(DropDown!$J$2:$J$63,MATCH(1,COUNTIF(E47,DropDown!$I$2:$I$63),0))</f>
        <v>#N/A</v>
      </c>
      <c r="G47" s="25"/>
      <c r="H47" s="25"/>
      <c r="I47" s="25"/>
      <c r="J47" s="25" t="str">
        <f>'Ingest Template'!B47</f>
        <v/>
      </c>
      <c r="K47" s="25" t="str">
        <f>IF('Ingest Template'!A47="Standard",'Ingest Template'!N47,"Competitive View")</f>
        <v>Competitive View</v>
      </c>
      <c r="L47" s="41" t="s">
        <v>145</v>
      </c>
      <c r="M47" s="25" t="str">
        <f>'Ingest Template'!D47</f>
        <v/>
      </c>
      <c r="N47" s="25"/>
      <c r="O47" s="25"/>
      <c r="P47" s="25"/>
      <c r="Q47" s="25"/>
      <c r="R47" s="25" t="str">
        <f>CONCATENATE('Ingest Template'!F47)</f>
        <v/>
      </c>
      <c r="S47" s="43" t="s">
        <v>160</v>
      </c>
      <c r="T47" s="25" t="str">
        <f>'Ingest Template'!W47</f>
        <v/>
      </c>
      <c r="U47" s="25"/>
      <c r="V47" s="25" t="str">
        <f>LOWER(SUBSTITUTE(SUBSTITUTE(SUBSTITUTE(SUBSTITUTE(SUBSTITUTE('Ingest Template'!Y47,"https:",""),"www.",""),"/",""),"?hl=en",""),"instagram.com",""))</f>
        <v/>
      </c>
      <c r="W47" s="34" t="str">
        <f>(IFERROR(vlookup('Ingest Template'!F47,DropDown!D:E,2,false)&amp;'Ingest Template'!C47,""))</f>
        <v/>
      </c>
      <c r="X47" s="25" t="str">
        <f>'Ingest Template'!AA47</f>
        <v/>
      </c>
      <c r="Y47" s="25"/>
      <c r="Z47" s="25"/>
      <c r="AA47" s="25"/>
      <c r="AB47" s="25" t="str">
        <f>'Ingest Template'!T47</f>
        <v/>
      </c>
      <c r="AC47" s="25"/>
      <c r="AD47" s="25" t="str">
        <f>'Ingest Template'!U47</f>
        <v/>
      </c>
      <c r="AE47" s="25" t="str">
        <f>'Ingest Template'!V47</f>
        <v/>
      </c>
      <c r="AF47" s="25"/>
      <c r="AG47" s="25" t="str">
        <f t="array" ref="AG47">IF('Ingest Template'!A47="Standard",(CONCATENATE(IF(ISBLANK('Ingest Template'!O47),"", 'Ingest Template'!O47&amp;"|DAR"),CHAR(10), IF(ISBLANK('Ingest Template'!P47),"", 'Ingest Template'!P47&amp;"|DAR"),CHAR(10), IF(ISBLANK('Ingest Template'!Q47),"", 'Ingest Template'!Q47&amp;"|DAR"))),(CONCATENATE(IF(ISBLANK('Ingest Template'!O47),"", 'Ingest Template'!O47&amp;"|Operations - Core Title"),CHAR(10), IF(ISBLANK('Ingest Template'!P47),"", 'Ingest Template'!P47&amp;"|Operations - Core Title"),CHAR(10), IF(ISBLANK('Ingest Template'!Q47),"", 'Ingest Template'!Q47&amp;"|Operations - Core Title"))))</f>
        <v>#|Operations - Core Title
#videoGame|Operations - Core Title
</v>
      </c>
      <c r="AH47" s="25"/>
      <c r="AI47" s="25"/>
      <c r="AJ47" s="50" t="str">
        <f>if('Ingest Template'!A47="Standard",'Ingest Template'!R47&amp; "|DAR|DAR|2021-01-01",'Ingest Template'!R47&amp; "|Operations - Core Title|Operations - Core Title")</f>
        <v>#N/A</v>
      </c>
      <c r="AK47" s="25"/>
      <c r="AL47" s="25" t="str">
        <f>if('Ingest Template'!A47="Standard",'Ingest Template'!S47&amp; "|2021-01-01",'Ingest Template'!S47)</f>
        <v>#N/A</v>
      </c>
      <c r="AM47" s="25"/>
    </row>
    <row r="48">
      <c r="A48" s="25"/>
      <c r="B48" s="25" t="str">
        <f>'Ingest Template'!C48&amp;IF('Ingest Template'!A48 = "Standard", " - DAR","")</f>
        <v/>
      </c>
      <c r="C48" s="34" t="s">
        <v>92</v>
      </c>
      <c r="D48" s="34" t="str">
        <f>CONCATENATE('Ingest Template'!E48&amp;Char(10)&amp;'Ingest Template'!G48&amp;Char(10)&amp;'Ingest Template'!H48&amp;Char(10)&amp;'Ingest Template'!I48&amp;Char(10)&amp;'Ingest Template'!J48&amp;Char(10)&amp;'Ingest Template'!K48&amp;Char(10)&amp;'Ingest Template'!L48)</f>
        <v>
</v>
      </c>
      <c r="E48" s="25" t="str">
        <f>('Ingest Template'!M48)</f>
        <v/>
      </c>
      <c r="F48" s="40" t="str">
        <f t="array" ref="F48">INDEX(DropDown!$J$2:$J$63,MATCH(1,COUNTIF(E48,DropDown!$I$2:$I$63),0))</f>
        <v>#N/A</v>
      </c>
      <c r="G48" s="25"/>
      <c r="H48" s="25"/>
      <c r="I48" s="25"/>
      <c r="J48" s="25" t="str">
        <f>'Ingest Template'!B48</f>
        <v/>
      </c>
      <c r="K48" s="25" t="str">
        <f>IF('Ingest Template'!A48="Standard",'Ingest Template'!N48,"Competitive View")</f>
        <v>Competitive View</v>
      </c>
      <c r="L48" s="41" t="s">
        <v>145</v>
      </c>
      <c r="M48" s="25" t="str">
        <f>'Ingest Template'!D48</f>
        <v/>
      </c>
      <c r="N48" s="25"/>
      <c r="O48" s="25"/>
      <c r="P48" s="25"/>
      <c r="Q48" s="25"/>
      <c r="R48" s="25" t="str">
        <f>CONCATENATE('Ingest Template'!F48)</f>
        <v/>
      </c>
      <c r="S48" s="43" t="s">
        <v>160</v>
      </c>
      <c r="T48" s="25" t="str">
        <f>'Ingest Template'!W48</f>
        <v/>
      </c>
      <c r="U48" s="25"/>
      <c r="V48" s="25" t="str">
        <f>LOWER(SUBSTITUTE(SUBSTITUTE(SUBSTITUTE(SUBSTITUTE(SUBSTITUTE('Ingest Template'!Y48,"https:",""),"www.",""),"/",""),"?hl=en",""),"instagram.com",""))</f>
        <v/>
      </c>
      <c r="W48" s="34" t="str">
        <f>(IFERROR(vlookup('Ingest Template'!F48,DropDown!D:E,2,false)&amp;'Ingest Template'!C48,""))</f>
        <v/>
      </c>
      <c r="X48" s="25" t="str">
        <f>'Ingest Template'!AA48</f>
        <v/>
      </c>
      <c r="Y48" s="25"/>
      <c r="Z48" s="25"/>
      <c r="AA48" s="25"/>
      <c r="AB48" s="25" t="str">
        <f>'Ingest Template'!T48</f>
        <v/>
      </c>
      <c r="AC48" s="25"/>
      <c r="AD48" s="25" t="str">
        <f>'Ingest Template'!U48</f>
        <v/>
      </c>
      <c r="AE48" s="25" t="str">
        <f>'Ingest Template'!V48</f>
        <v/>
      </c>
      <c r="AF48" s="25"/>
      <c r="AG48" s="25" t="str">
        <f t="array" ref="AG48">IF('Ingest Template'!A48="Standard",(CONCATENATE(IF(ISBLANK('Ingest Template'!O48),"", 'Ingest Template'!O48&amp;"|DAR"),CHAR(10), IF(ISBLANK('Ingest Template'!P48),"", 'Ingest Template'!P48&amp;"|DAR"),CHAR(10), IF(ISBLANK('Ingest Template'!Q48),"", 'Ingest Template'!Q48&amp;"|DAR"))),(CONCATENATE(IF(ISBLANK('Ingest Template'!O48),"", 'Ingest Template'!O48&amp;"|Operations - Core Title"),CHAR(10), IF(ISBLANK('Ingest Template'!P48),"", 'Ingest Template'!P48&amp;"|Operations - Core Title"),CHAR(10), IF(ISBLANK('Ingest Template'!Q48),"", 'Ingest Template'!Q48&amp;"|Operations - Core Title"))))</f>
        <v>#|Operations - Core Title
#videoGame|Operations - Core Title
</v>
      </c>
      <c r="AH48" s="25"/>
      <c r="AI48" s="25"/>
      <c r="AJ48" s="50" t="str">
        <f>if('Ingest Template'!A48="Standard",'Ingest Template'!R48&amp; "|DAR|DAR|2021-01-01",'Ingest Template'!R48&amp; "|Operations - Core Title|Operations - Core Title")</f>
        <v>#N/A</v>
      </c>
      <c r="AK48" s="25"/>
      <c r="AL48" s="25" t="str">
        <f>if('Ingest Template'!A48="Standard",'Ingest Template'!S48&amp; "|2021-01-01",'Ingest Template'!S48)</f>
        <v>#N/A</v>
      </c>
      <c r="AM48" s="25"/>
    </row>
    <row r="49">
      <c r="A49" s="25"/>
      <c r="B49" s="25" t="str">
        <f>'Ingest Template'!C49&amp;IF('Ingest Template'!A49 = "Standard", " - DAR","")</f>
        <v/>
      </c>
      <c r="C49" s="34" t="s">
        <v>92</v>
      </c>
      <c r="D49" s="34" t="str">
        <f>CONCATENATE('Ingest Template'!E49&amp;Char(10)&amp;'Ingest Template'!G49&amp;Char(10)&amp;'Ingest Template'!H49&amp;Char(10)&amp;'Ingest Template'!I49&amp;Char(10)&amp;'Ingest Template'!J49&amp;Char(10)&amp;'Ingest Template'!K49&amp;Char(10)&amp;'Ingest Template'!L49)</f>
        <v>
</v>
      </c>
      <c r="E49" s="25" t="str">
        <f>('Ingest Template'!M49)</f>
        <v/>
      </c>
      <c r="F49" s="40" t="str">
        <f t="array" ref="F49">INDEX(DropDown!$J$2:$J$63,MATCH(1,COUNTIF(E49,DropDown!$I$2:$I$63),0))</f>
        <v>#N/A</v>
      </c>
      <c r="G49" s="25"/>
      <c r="H49" s="25"/>
      <c r="I49" s="25"/>
      <c r="J49" s="25" t="str">
        <f>'Ingest Template'!B49</f>
        <v/>
      </c>
      <c r="K49" s="25" t="str">
        <f>IF('Ingest Template'!A49="Standard",'Ingest Template'!N49,"Competitive View")</f>
        <v>Competitive View</v>
      </c>
      <c r="L49" s="41" t="s">
        <v>145</v>
      </c>
      <c r="M49" s="25" t="str">
        <f>'Ingest Template'!D49</f>
        <v/>
      </c>
      <c r="N49" s="25"/>
      <c r="O49" s="25"/>
      <c r="P49" s="25"/>
      <c r="Q49" s="25"/>
      <c r="R49" s="25" t="str">
        <f>CONCATENATE('Ingest Template'!F49)</f>
        <v/>
      </c>
      <c r="S49" s="43" t="s">
        <v>160</v>
      </c>
      <c r="T49" s="25" t="str">
        <f>'Ingest Template'!W49</f>
        <v/>
      </c>
      <c r="U49" s="25"/>
      <c r="V49" s="25" t="str">
        <f>LOWER(SUBSTITUTE(SUBSTITUTE(SUBSTITUTE(SUBSTITUTE(SUBSTITUTE('Ingest Template'!Y49,"https:",""),"www.",""),"/",""),"?hl=en",""),"instagram.com",""))</f>
        <v/>
      </c>
      <c r="W49" s="34" t="str">
        <f>(IFERROR(vlookup('Ingest Template'!F49,DropDown!D:E,2,false)&amp;'Ingest Template'!C49,""))</f>
        <v/>
      </c>
      <c r="X49" s="25" t="str">
        <f>'Ingest Template'!AA49</f>
        <v/>
      </c>
      <c r="Y49" s="25"/>
      <c r="Z49" s="25"/>
      <c r="AA49" s="25"/>
      <c r="AB49" s="25" t="str">
        <f>'Ingest Template'!T49</f>
        <v/>
      </c>
      <c r="AC49" s="25"/>
      <c r="AD49" s="25" t="str">
        <f>'Ingest Template'!U49</f>
        <v/>
      </c>
      <c r="AE49" s="25" t="str">
        <f>'Ingest Template'!V49</f>
        <v/>
      </c>
      <c r="AF49" s="25"/>
      <c r="AG49" s="25" t="str">
        <f t="array" ref="AG49">IF('Ingest Template'!A49="Standard",(CONCATENATE(IF(ISBLANK('Ingest Template'!O49),"", 'Ingest Template'!O49&amp;"|DAR"),CHAR(10), IF(ISBLANK('Ingest Template'!P49),"", 'Ingest Template'!P49&amp;"|DAR"),CHAR(10), IF(ISBLANK('Ingest Template'!Q49),"", 'Ingest Template'!Q49&amp;"|DAR"))),(CONCATENATE(IF(ISBLANK('Ingest Template'!O49),"", 'Ingest Template'!O49&amp;"|Operations - Core Title"),CHAR(10), IF(ISBLANK('Ingest Template'!P49),"", 'Ingest Template'!P49&amp;"|Operations - Core Title"),CHAR(10), IF(ISBLANK('Ingest Template'!Q49),"", 'Ingest Template'!Q49&amp;"|Operations - Core Title"))))</f>
        <v>#|Operations - Core Title
#videoGame|Operations - Core Title
</v>
      </c>
      <c r="AH49" s="25"/>
      <c r="AI49" s="25"/>
      <c r="AJ49" s="50" t="str">
        <f>if('Ingest Template'!A49="Standard",'Ingest Template'!R49&amp; "|DAR|DAR|2021-01-01",'Ingest Template'!R49&amp; "|Operations - Core Title|Operations - Core Title")</f>
        <v>#N/A</v>
      </c>
      <c r="AK49" s="25"/>
      <c r="AL49" s="25" t="str">
        <f>if('Ingest Template'!A49="Standard",'Ingest Template'!S49&amp; "|2021-01-01",'Ingest Template'!S49)</f>
        <v>#N/A</v>
      </c>
      <c r="AM49" s="25"/>
    </row>
    <row r="50">
      <c r="A50" s="25"/>
      <c r="B50" s="25" t="str">
        <f>'Ingest Template'!C50&amp;IF('Ingest Template'!A50 = "Standard", " - DAR","")</f>
        <v/>
      </c>
      <c r="C50" s="34" t="s">
        <v>92</v>
      </c>
      <c r="D50" s="34" t="str">
        <f>CONCATENATE('Ingest Template'!E50&amp;Char(10)&amp;'Ingest Template'!G50&amp;Char(10)&amp;'Ingest Template'!H50&amp;Char(10)&amp;'Ingest Template'!I50&amp;Char(10)&amp;'Ingest Template'!J50&amp;Char(10)&amp;'Ingest Template'!K50&amp;Char(10)&amp;'Ingest Template'!L50)</f>
        <v>
</v>
      </c>
      <c r="E50" s="25" t="str">
        <f>('Ingest Template'!M50)</f>
        <v/>
      </c>
      <c r="F50" s="40" t="str">
        <f t="array" ref="F50">INDEX(DropDown!$J$2:$J$63,MATCH(1,COUNTIF(E50,DropDown!$I$2:$I$63),0))</f>
        <v>#N/A</v>
      </c>
      <c r="G50" s="25"/>
      <c r="H50" s="25"/>
      <c r="I50" s="25"/>
      <c r="J50" s="25" t="str">
        <f>'Ingest Template'!B50</f>
        <v/>
      </c>
      <c r="K50" s="25" t="str">
        <f>IF('Ingest Template'!A50="Standard",'Ingest Template'!N50,"Competitive View")</f>
        <v>Competitive View</v>
      </c>
      <c r="L50" s="41" t="s">
        <v>145</v>
      </c>
      <c r="M50" s="25" t="str">
        <f>'Ingest Template'!D50</f>
        <v/>
      </c>
      <c r="N50" s="25"/>
      <c r="O50" s="25"/>
      <c r="P50" s="25"/>
      <c r="Q50" s="25"/>
      <c r="R50" s="25" t="str">
        <f>CONCATENATE('Ingest Template'!F50)</f>
        <v/>
      </c>
      <c r="S50" s="43" t="s">
        <v>160</v>
      </c>
      <c r="T50" s="25" t="str">
        <f>'Ingest Template'!W50</f>
        <v/>
      </c>
      <c r="U50" s="25"/>
      <c r="V50" s="25" t="str">
        <f>LOWER(SUBSTITUTE(SUBSTITUTE(SUBSTITUTE(SUBSTITUTE(SUBSTITUTE('Ingest Template'!Y50,"https:",""),"www.",""),"/",""),"?hl=en",""),"instagram.com",""))</f>
        <v/>
      </c>
      <c r="W50" s="34" t="str">
        <f>(IFERROR(vlookup('Ingest Template'!F50,DropDown!D:E,2,false)&amp;'Ingest Template'!C50,""))</f>
        <v/>
      </c>
      <c r="X50" s="25" t="str">
        <f>'Ingest Template'!AA50</f>
        <v/>
      </c>
      <c r="Y50" s="25"/>
      <c r="Z50" s="25"/>
      <c r="AA50" s="25"/>
      <c r="AB50" s="25" t="str">
        <f>'Ingest Template'!T50</f>
        <v/>
      </c>
      <c r="AC50" s="25"/>
      <c r="AD50" s="25" t="str">
        <f>'Ingest Template'!U50</f>
        <v/>
      </c>
      <c r="AE50" s="25" t="str">
        <f>'Ingest Template'!V50</f>
        <v/>
      </c>
      <c r="AF50" s="25"/>
      <c r="AG50" s="25" t="str">
        <f t="array" ref="AG50">IF('Ingest Template'!A50="Standard",(CONCATENATE(IF(ISBLANK('Ingest Template'!O50),"", 'Ingest Template'!O50&amp;"|DAR"),CHAR(10), IF(ISBLANK('Ingest Template'!P50),"", 'Ingest Template'!P50&amp;"|DAR"),CHAR(10), IF(ISBLANK('Ingest Template'!Q50),"", 'Ingest Template'!Q50&amp;"|DAR"))),(CONCATENATE(IF(ISBLANK('Ingest Template'!O50),"", 'Ingest Template'!O50&amp;"|Operations - Core Title"),CHAR(10), IF(ISBLANK('Ingest Template'!P50),"", 'Ingest Template'!P50&amp;"|Operations - Core Title"),CHAR(10), IF(ISBLANK('Ingest Template'!Q50),"", 'Ingest Template'!Q50&amp;"|Operations - Core Title"))))</f>
        <v>#|Operations - Core Title
#videoGame|Operations - Core Title
</v>
      </c>
      <c r="AH50" s="25"/>
      <c r="AI50" s="25"/>
      <c r="AJ50" s="50" t="str">
        <f>if('Ingest Template'!A50="Standard",'Ingest Template'!R50&amp; "|DAR|DAR|2021-01-01",'Ingest Template'!R50&amp; "|Operations - Core Title|Operations - Core Title")</f>
        <v>#N/A</v>
      </c>
      <c r="AK50" s="25"/>
      <c r="AL50" s="25" t="str">
        <f>if('Ingest Template'!A50="Standard",'Ingest Template'!S50&amp; "|2021-01-01",'Ingest Template'!S50)</f>
        <v>#N/A</v>
      </c>
      <c r="AM50" s="25"/>
    </row>
    <row r="51">
      <c r="A51" s="25"/>
      <c r="B51" s="25" t="str">
        <f>'Ingest Template'!C51&amp;IF('Ingest Template'!A51 = "Standard", " - DAR","")</f>
        <v/>
      </c>
      <c r="C51" s="34" t="s">
        <v>92</v>
      </c>
      <c r="D51" s="34" t="str">
        <f>CONCATENATE('Ingest Template'!E51&amp;Char(10)&amp;'Ingest Template'!G51&amp;Char(10)&amp;'Ingest Template'!H51&amp;Char(10)&amp;'Ingest Template'!I51&amp;Char(10)&amp;'Ingest Template'!J51&amp;Char(10)&amp;'Ingest Template'!K51&amp;Char(10)&amp;'Ingest Template'!L51)</f>
        <v>
</v>
      </c>
      <c r="E51" s="25" t="str">
        <f>('Ingest Template'!M51)</f>
        <v/>
      </c>
      <c r="F51" s="40" t="str">
        <f t="array" ref="F51">INDEX(DropDown!$J$2:$J$63,MATCH(1,COUNTIF(E51,DropDown!$I$2:$I$63),0))</f>
        <v>#N/A</v>
      </c>
      <c r="G51" s="25"/>
      <c r="H51" s="25"/>
      <c r="I51" s="25"/>
      <c r="J51" s="25" t="str">
        <f>'Ingest Template'!B51</f>
        <v/>
      </c>
      <c r="K51" s="25" t="str">
        <f>IF('Ingest Template'!A51="Standard",'Ingest Template'!N51,"Competitive View")</f>
        <v>Competitive View</v>
      </c>
      <c r="L51" s="41" t="s">
        <v>145</v>
      </c>
      <c r="M51" s="25" t="str">
        <f>'Ingest Template'!D51</f>
        <v/>
      </c>
      <c r="N51" s="25"/>
      <c r="O51" s="25"/>
      <c r="P51" s="25"/>
      <c r="Q51" s="25"/>
      <c r="R51" s="25" t="str">
        <f>CONCATENATE('Ingest Template'!F51)</f>
        <v/>
      </c>
      <c r="S51" s="43" t="s">
        <v>160</v>
      </c>
      <c r="T51" s="25" t="str">
        <f>'Ingest Template'!W51</f>
        <v/>
      </c>
      <c r="U51" s="25"/>
      <c r="V51" s="25" t="str">
        <f>LOWER(SUBSTITUTE(SUBSTITUTE(SUBSTITUTE(SUBSTITUTE(SUBSTITUTE('Ingest Template'!Y51,"https:",""),"www.",""),"/",""),"?hl=en",""),"instagram.com",""))</f>
        <v/>
      </c>
      <c r="W51" s="34" t="str">
        <f>(IFERROR(vlookup('Ingest Template'!F51,DropDown!D:E,2,false)&amp;'Ingest Template'!C51,""))</f>
        <v/>
      </c>
      <c r="X51" s="25" t="str">
        <f>'Ingest Template'!AA51</f>
        <v/>
      </c>
      <c r="Y51" s="25"/>
      <c r="Z51" s="25"/>
      <c r="AA51" s="25"/>
      <c r="AB51" s="25" t="str">
        <f>'Ingest Template'!T51</f>
        <v/>
      </c>
      <c r="AC51" s="25"/>
      <c r="AD51" s="25" t="str">
        <f>'Ingest Template'!U51</f>
        <v/>
      </c>
      <c r="AE51" s="25" t="str">
        <f>'Ingest Template'!V51</f>
        <v/>
      </c>
      <c r="AF51" s="25"/>
      <c r="AG51" s="25" t="str">
        <f t="array" ref="AG51">IF('Ingest Template'!A51="Standard",(CONCATENATE(IF(ISBLANK('Ingest Template'!O51),"", 'Ingest Template'!O51&amp;"|DAR"),CHAR(10), IF(ISBLANK('Ingest Template'!P51),"", 'Ingest Template'!P51&amp;"|DAR"),CHAR(10), IF(ISBLANK('Ingest Template'!Q51),"", 'Ingest Template'!Q51&amp;"|DAR"))),(CONCATENATE(IF(ISBLANK('Ingest Template'!O51),"", 'Ingest Template'!O51&amp;"|Operations - Core Title"),CHAR(10), IF(ISBLANK('Ingest Template'!P51),"", 'Ingest Template'!P51&amp;"|Operations - Core Title"),CHAR(10), IF(ISBLANK('Ingest Template'!Q51),"", 'Ingest Template'!Q51&amp;"|Operations - Core Title"))))</f>
        <v>#|Operations - Core Title
#videoGame|Operations - Core Title
</v>
      </c>
      <c r="AH51" s="25"/>
      <c r="AI51" s="25"/>
      <c r="AJ51" s="50" t="str">
        <f>if('Ingest Template'!A51="Standard",'Ingest Template'!R51&amp; "|DAR|DAR|2021-01-01",'Ingest Template'!R51&amp; "|Operations - Core Title|Operations - Core Title")</f>
        <v>#N/A</v>
      </c>
      <c r="AK51" s="25"/>
      <c r="AL51" s="25" t="str">
        <f>if('Ingest Template'!A51="Standard",'Ingest Template'!S51&amp; "|2021-01-01",'Ingest Template'!S51)</f>
        <v>#N/A</v>
      </c>
      <c r="AM51" s="25"/>
    </row>
    <row r="52">
      <c r="A52" s="25"/>
      <c r="B52" s="25" t="str">
        <f>'Ingest Template'!C52&amp;IF('Ingest Template'!A52 = "Standard", " - DAR","")</f>
        <v/>
      </c>
      <c r="C52" s="34" t="s">
        <v>92</v>
      </c>
      <c r="D52" s="34" t="str">
        <f>CONCATENATE('Ingest Template'!E52&amp;Char(10)&amp;'Ingest Template'!G52&amp;Char(10)&amp;'Ingest Template'!H52&amp;Char(10)&amp;'Ingest Template'!I52&amp;Char(10)&amp;'Ingest Template'!J52&amp;Char(10)&amp;'Ingest Template'!K52&amp;Char(10)&amp;'Ingest Template'!L52)</f>
        <v>
</v>
      </c>
      <c r="E52" s="25" t="str">
        <f>('Ingest Template'!M52)</f>
        <v/>
      </c>
      <c r="F52" s="40" t="str">
        <f t="array" ref="F52">INDEX(DropDown!$J$2:$J$63,MATCH(1,COUNTIF(E52,DropDown!$I$2:$I$63),0))</f>
        <v>#N/A</v>
      </c>
      <c r="G52" s="25"/>
      <c r="H52" s="25"/>
      <c r="I52" s="25"/>
      <c r="J52" s="25" t="str">
        <f>'Ingest Template'!B52</f>
        <v/>
      </c>
      <c r="K52" s="25" t="str">
        <f>IF('Ingest Template'!A52="Standard",'Ingest Template'!N52,"Competitive View")</f>
        <v>Competitive View</v>
      </c>
      <c r="L52" s="41" t="s">
        <v>145</v>
      </c>
      <c r="M52" s="25" t="str">
        <f>'Ingest Template'!D52</f>
        <v/>
      </c>
      <c r="N52" s="25"/>
      <c r="O52" s="25"/>
      <c r="P52" s="25"/>
      <c r="Q52" s="25"/>
      <c r="R52" s="25" t="str">
        <f>CONCATENATE('Ingest Template'!F52)</f>
        <v/>
      </c>
      <c r="S52" s="43" t="s">
        <v>160</v>
      </c>
      <c r="T52" s="25" t="str">
        <f>'Ingest Template'!W52</f>
        <v/>
      </c>
      <c r="U52" s="25"/>
      <c r="V52" s="25" t="str">
        <f>LOWER(SUBSTITUTE(SUBSTITUTE(SUBSTITUTE(SUBSTITUTE(SUBSTITUTE('Ingest Template'!Y52,"https:",""),"www.",""),"/",""),"?hl=en",""),"instagram.com",""))</f>
        <v/>
      </c>
      <c r="W52" s="34" t="str">
        <f>(IFERROR(vlookup('Ingest Template'!F52,DropDown!D:E,2,false)&amp;'Ingest Template'!C52,""))</f>
        <v/>
      </c>
      <c r="X52" s="25" t="str">
        <f>'Ingest Template'!AA52</f>
        <v/>
      </c>
      <c r="Y52" s="25"/>
      <c r="Z52" s="25"/>
      <c r="AA52" s="25"/>
      <c r="AB52" s="25" t="str">
        <f>'Ingest Template'!T52</f>
        <v/>
      </c>
      <c r="AC52" s="25"/>
      <c r="AD52" s="25" t="str">
        <f>'Ingest Template'!U52</f>
        <v/>
      </c>
      <c r="AE52" s="25" t="str">
        <f>'Ingest Template'!V52</f>
        <v/>
      </c>
      <c r="AF52" s="25"/>
      <c r="AG52" s="25" t="str">
        <f t="array" ref="AG52">IF('Ingest Template'!A52="Standard",(CONCATENATE(IF(ISBLANK('Ingest Template'!O52),"", 'Ingest Template'!O52&amp;"|DAR"),CHAR(10), IF(ISBLANK('Ingest Template'!P52),"", 'Ingest Template'!P52&amp;"|DAR"),CHAR(10), IF(ISBLANK('Ingest Template'!Q52),"", 'Ingest Template'!Q52&amp;"|DAR"))),(CONCATENATE(IF(ISBLANK('Ingest Template'!O52),"", 'Ingest Template'!O52&amp;"|Operations - Core Title"),CHAR(10), IF(ISBLANK('Ingest Template'!P52),"", 'Ingest Template'!P52&amp;"|Operations - Core Title"),CHAR(10), IF(ISBLANK('Ingest Template'!Q52),"", 'Ingest Template'!Q52&amp;"|Operations - Core Title"))))</f>
        <v>#|Operations - Core Title
#videoGame|Operations - Core Title
</v>
      </c>
      <c r="AH52" s="25"/>
      <c r="AI52" s="25"/>
      <c r="AJ52" s="50" t="str">
        <f>if('Ingest Template'!A52="Standard",'Ingest Template'!R52&amp; "|DAR|DAR|2021-01-01",'Ingest Template'!R52&amp; "|Operations - Core Title|Operations - Core Title")</f>
        <v>#N/A</v>
      </c>
      <c r="AK52" s="25"/>
      <c r="AL52" s="25" t="str">
        <f>if('Ingest Template'!A52="Standard",'Ingest Template'!S52&amp; "|2021-01-01",'Ingest Template'!S52)</f>
        <v>#N/A</v>
      </c>
      <c r="AM52" s="25"/>
    </row>
    <row r="53">
      <c r="A53" s="25"/>
      <c r="B53" s="25" t="str">
        <f>'Ingest Template'!C53&amp;IF('Ingest Template'!A53 = "Standard", " - DAR","")</f>
        <v/>
      </c>
      <c r="C53" s="34" t="s">
        <v>92</v>
      </c>
      <c r="D53" s="34" t="str">
        <f>CONCATENATE('Ingest Template'!E53&amp;Char(10)&amp;'Ingest Template'!G53&amp;Char(10)&amp;'Ingest Template'!H53&amp;Char(10)&amp;'Ingest Template'!I53&amp;Char(10)&amp;'Ingest Template'!J53&amp;Char(10)&amp;'Ingest Template'!K53&amp;Char(10)&amp;'Ingest Template'!L53)</f>
        <v>
</v>
      </c>
      <c r="E53" s="25" t="str">
        <f>('Ingest Template'!M53)</f>
        <v/>
      </c>
      <c r="F53" s="40" t="str">
        <f t="array" ref="F53">INDEX(DropDown!$J$2:$J$63,MATCH(1,COUNTIF(E53,DropDown!$I$2:$I$63),0))</f>
        <v>#N/A</v>
      </c>
      <c r="G53" s="25"/>
      <c r="H53" s="25"/>
      <c r="I53" s="25"/>
      <c r="J53" s="25" t="str">
        <f>'Ingest Template'!B53</f>
        <v/>
      </c>
      <c r="K53" s="25" t="str">
        <f>IF('Ingest Template'!A53="Standard",'Ingest Template'!N53,"Competitive View")</f>
        <v>Competitive View</v>
      </c>
      <c r="L53" s="41" t="s">
        <v>145</v>
      </c>
      <c r="M53" s="25" t="str">
        <f>'Ingest Template'!D53</f>
        <v/>
      </c>
      <c r="N53" s="25"/>
      <c r="O53" s="25"/>
      <c r="P53" s="25"/>
      <c r="Q53" s="25"/>
      <c r="R53" s="25" t="str">
        <f>CONCATENATE('Ingest Template'!F53)</f>
        <v/>
      </c>
      <c r="S53" s="43" t="s">
        <v>160</v>
      </c>
      <c r="T53" s="25" t="str">
        <f>'Ingest Template'!W53</f>
        <v/>
      </c>
      <c r="U53" s="25"/>
      <c r="V53" s="25" t="str">
        <f>LOWER(SUBSTITUTE(SUBSTITUTE(SUBSTITUTE(SUBSTITUTE(SUBSTITUTE('Ingest Template'!Y53,"https:",""),"www.",""),"/",""),"?hl=en",""),"instagram.com",""))</f>
        <v/>
      </c>
      <c r="W53" s="34" t="str">
        <f>(IFERROR(vlookup('Ingest Template'!F53,DropDown!D:E,2,false)&amp;'Ingest Template'!C53,""))</f>
        <v/>
      </c>
      <c r="X53" s="25" t="str">
        <f>'Ingest Template'!AA53</f>
        <v/>
      </c>
      <c r="Y53" s="25"/>
      <c r="Z53" s="25"/>
      <c r="AA53" s="25"/>
      <c r="AB53" s="25" t="str">
        <f>'Ingest Template'!T53</f>
        <v/>
      </c>
      <c r="AC53" s="25"/>
      <c r="AD53" s="25" t="str">
        <f>'Ingest Template'!U53</f>
        <v/>
      </c>
      <c r="AE53" s="25" t="str">
        <f>'Ingest Template'!V53</f>
        <v/>
      </c>
      <c r="AF53" s="25"/>
      <c r="AG53" s="25" t="str">
        <f t="array" ref="AG53">IF('Ingest Template'!A53="Standard",(CONCATENATE(IF(ISBLANK('Ingest Template'!O53),"", 'Ingest Template'!O53&amp;"|DAR"),CHAR(10), IF(ISBLANK('Ingest Template'!P53),"", 'Ingest Template'!P53&amp;"|DAR"),CHAR(10), IF(ISBLANK('Ingest Template'!Q53),"", 'Ingest Template'!Q53&amp;"|DAR"))),(CONCATENATE(IF(ISBLANK('Ingest Template'!O53),"", 'Ingest Template'!O53&amp;"|Operations - Core Title"),CHAR(10), IF(ISBLANK('Ingest Template'!P53),"", 'Ingest Template'!P53&amp;"|Operations - Core Title"),CHAR(10), IF(ISBLANK('Ingest Template'!Q53),"", 'Ingest Template'!Q53&amp;"|Operations - Core Title"))))</f>
        <v>#|Operations - Core Title
#videoGame|Operations - Core Title
</v>
      </c>
      <c r="AH53" s="25"/>
      <c r="AI53" s="25"/>
      <c r="AJ53" s="50" t="str">
        <f>if('Ingest Template'!A53="Standard",'Ingest Template'!R53&amp; "|DAR|DAR|2021-01-01",'Ingest Template'!R53&amp; "|Operations - Core Title|Operations - Core Title")</f>
        <v>#N/A</v>
      </c>
      <c r="AK53" s="25"/>
      <c r="AL53" s="25" t="str">
        <f>if('Ingest Template'!A53="Standard",'Ingest Template'!S53&amp; "|2021-01-01",'Ingest Template'!S53)</f>
        <v>#N/A</v>
      </c>
      <c r="AM53" s="25"/>
    </row>
    <row r="54">
      <c r="A54" s="25"/>
      <c r="B54" s="25" t="str">
        <f>'Ingest Template'!C54&amp;IF('Ingest Template'!A54 = "Standard", " - DAR","")</f>
        <v/>
      </c>
      <c r="C54" s="34" t="s">
        <v>92</v>
      </c>
      <c r="D54" s="34" t="str">
        <f>CONCATENATE('Ingest Template'!E54&amp;Char(10)&amp;'Ingest Template'!G54&amp;Char(10)&amp;'Ingest Template'!H54&amp;Char(10)&amp;'Ingest Template'!I54&amp;Char(10)&amp;'Ingest Template'!J54&amp;Char(10)&amp;'Ingest Template'!K54&amp;Char(10)&amp;'Ingest Template'!L54)</f>
        <v>
</v>
      </c>
      <c r="E54" s="25" t="str">
        <f>('Ingest Template'!M54)</f>
        <v/>
      </c>
      <c r="F54" s="40" t="str">
        <f t="array" ref="F54">INDEX(DropDown!$J$2:$J$63,MATCH(1,COUNTIF(E54,DropDown!$I$2:$I$63),0))</f>
        <v>#N/A</v>
      </c>
      <c r="G54" s="25"/>
      <c r="H54" s="25"/>
      <c r="I54" s="25"/>
      <c r="J54" s="25" t="str">
        <f>'Ingest Template'!B54</f>
        <v/>
      </c>
      <c r="K54" s="25" t="str">
        <f>IF('Ingest Template'!A54="Standard",'Ingest Template'!N54,"Competitive View")</f>
        <v>Competitive View</v>
      </c>
      <c r="L54" s="41" t="s">
        <v>145</v>
      </c>
      <c r="M54" s="25" t="str">
        <f>'Ingest Template'!D54</f>
        <v/>
      </c>
      <c r="N54" s="25"/>
      <c r="O54" s="25"/>
      <c r="P54" s="25"/>
      <c r="Q54" s="25"/>
      <c r="R54" s="25" t="str">
        <f>CONCATENATE('Ingest Template'!F54)</f>
        <v/>
      </c>
      <c r="S54" s="43" t="s">
        <v>160</v>
      </c>
      <c r="T54" s="25" t="str">
        <f>'Ingest Template'!W54</f>
        <v/>
      </c>
      <c r="U54" s="25"/>
      <c r="V54" s="25" t="str">
        <f>LOWER(SUBSTITUTE(SUBSTITUTE(SUBSTITUTE(SUBSTITUTE(SUBSTITUTE('Ingest Template'!Y54,"https:",""),"www.",""),"/",""),"?hl=en",""),"instagram.com",""))</f>
        <v/>
      </c>
      <c r="W54" s="34" t="str">
        <f>(IFERROR(vlookup('Ingest Template'!F54,DropDown!D:E,2,false)&amp;'Ingest Template'!C54,""))</f>
        <v/>
      </c>
      <c r="X54" s="25" t="str">
        <f>'Ingest Template'!AA54</f>
        <v/>
      </c>
      <c r="Y54" s="25"/>
      <c r="Z54" s="25"/>
      <c r="AA54" s="25"/>
      <c r="AB54" s="25" t="str">
        <f>'Ingest Template'!T54</f>
        <v/>
      </c>
      <c r="AC54" s="25"/>
      <c r="AD54" s="25" t="str">
        <f>'Ingest Template'!U54</f>
        <v/>
      </c>
      <c r="AE54" s="25" t="str">
        <f>'Ingest Template'!V54</f>
        <v/>
      </c>
      <c r="AF54" s="25"/>
      <c r="AG54" s="25" t="str">
        <f t="array" ref="AG54">IF('Ingest Template'!A54="Standard",(CONCATENATE(IF(ISBLANK('Ingest Template'!O54),"", 'Ingest Template'!O54&amp;"|DAR"),CHAR(10), IF(ISBLANK('Ingest Template'!P54),"", 'Ingest Template'!P54&amp;"|DAR"),CHAR(10), IF(ISBLANK('Ingest Template'!Q54),"", 'Ingest Template'!Q54&amp;"|DAR"))),(CONCATENATE(IF(ISBLANK('Ingest Template'!O54),"", 'Ingest Template'!O54&amp;"|Operations - Core Title"),CHAR(10), IF(ISBLANK('Ingest Template'!P54),"", 'Ingest Template'!P54&amp;"|Operations - Core Title"),CHAR(10), IF(ISBLANK('Ingest Template'!Q54),"", 'Ingest Template'!Q54&amp;"|Operations - Core Title"))))</f>
        <v>#|Operations - Core Title
#videoGame|Operations - Core Title
</v>
      </c>
      <c r="AH54" s="25"/>
      <c r="AI54" s="25"/>
      <c r="AJ54" s="50" t="str">
        <f>if('Ingest Template'!A54="Standard",'Ingest Template'!R54&amp; "|DAR|DAR|2021-01-01",'Ingest Template'!R54&amp; "|Operations - Core Title|Operations - Core Title")</f>
        <v>#N/A</v>
      </c>
      <c r="AK54" s="25"/>
      <c r="AL54" s="25" t="str">
        <f>if('Ingest Template'!A54="Standard",'Ingest Template'!S54&amp; "|2021-01-01",'Ingest Template'!S54)</f>
        <v>#N/A</v>
      </c>
      <c r="AM54" s="25"/>
    </row>
    <row r="55">
      <c r="A55" s="25"/>
      <c r="B55" s="25" t="str">
        <f>'Ingest Template'!C55&amp;IF('Ingest Template'!A55 = "Standard", " - DAR","")</f>
        <v/>
      </c>
      <c r="C55" s="34" t="s">
        <v>92</v>
      </c>
      <c r="D55" s="34" t="str">
        <f>CONCATENATE('Ingest Template'!E55&amp;Char(10)&amp;'Ingest Template'!G55&amp;Char(10)&amp;'Ingest Template'!H55&amp;Char(10)&amp;'Ingest Template'!I55&amp;Char(10)&amp;'Ingest Template'!J55&amp;Char(10)&amp;'Ingest Template'!K55&amp;Char(10)&amp;'Ingest Template'!L55)</f>
        <v>
</v>
      </c>
      <c r="E55" s="25" t="str">
        <f>('Ingest Template'!M55)</f>
        <v/>
      </c>
      <c r="F55" s="40" t="str">
        <f t="array" ref="F55">INDEX(DropDown!$J$2:$J$63,MATCH(1,COUNTIF(E55,DropDown!$I$2:$I$63),0))</f>
        <v>#N/A</v>
      </c>
      <c r="G55" s="25"/>
      <c r="H55" s="25"/>
      <c r="I55" s="25"/>
      <c r="J55" s="25" t="str">
        <f>'Ingest Template'!B55</f>
        <v/>
      </c>
      <c r="K55" s="25" t="str">
        <f>IF('Ingest Template'!A55="Standard",'Ingest Template'!N55,"Competitive View")</f>
        <v>Competitive View</v>
      </c>
      <c r="L55" s="41" t="s">
        <v>145</v>
      </c>
      <c r="M55" s="25" t="str">
        <f>'Ingest Template'!D55</f>
        <v/>
      </c>
      <c r="N55" s="25"/>
      <c r="O55" s="25"/>
      <c r="P55" s="25"/>
      <c r="Q55" s="25"/>
      <c r="R55" s="25" t="str">
        <f>CONCATENATE('Ingest Template'!F55)</f>
        <v/>
      </c>
      <c r="S55" s="43" t="s">
        <v>160</v>
      </c>
      <c r="T55" s="25" t="str">
        <f>'Ingest Template'!W55</f>
        <v/>
      </c>
      <c r="U55" s="25"/>
      <c r="V55" s="25" t="str">
        <f>LOWER(SUBSTITUTE(SUBSTITUTE(SUBSTITUTE(SUBSTITUTE(SUBSTITUTE('Ingest Template'!Y55,"https:",""),"www.",""),"/",""),"?hl=en",""),"instagram.com",""))</f>
        <v/>
      </c>
      <c r="W55" s="34" t="str">
        <f>(IFERROR(vlookup('Ingest Template'!F55,DropDown!D:E,2,false)&amp;'Ingest Template'!C55,""))</f>
        <v/>
      </c>
      <c r="X55" s="25" t="str">
        <f>'Ingest Template'!AA55</f>
        <v/>
      </c>
      <c r="Y55" s="25"/>
      <c r="Z55" s="25"/>
      <c r="AA55" s="25"/>
      <c r="AB55" s="25" t="str">
        <f>'Ingest Template'!T55</f>
        <v/>
      </c>
      <c r="AC55" s="25"/>
      <c r="AD55" s="25" t="str">
        <f>'Ingest Template'!U55</f>
        <v/>
      </c>
      <c r="AE55" s="25" t="str">
        <f>'Ingest Template'!V55</f>
        <v/>
      </c>
      <c r="AF55" s="25"/>
      <c r="AG55" s="25" t="str">
        <f t="array" ref="AG55">IF('Ingest Template'!A55="Standard",(CONCATENATE(IF(ISBLANK('Ingest Template'!O55),"", 'Ingest Template'!O55&amp;"|DAR"),CHAR(10), IF(ISBLANK('Ingest Template'!P55),"", 'Ingest Template'!P55&amp;"|DAR"),CHAR(10), IF(ISBLANK('Ingest Template'!Q55),"", 'Ingest Template'!Q55&amp;"|DAR"))),(CONCATENATE(IF(ISBLANK('Ingest Template'!O55),"", 'Ingest Template'!O55&amp;"|Operations - Core Title"),CHAR(10), IF(ISBLANK('Ingest Template'!P55),"", 'Ingest Template'!P55&amp;"|Operations - Core Title"),CHAR(10), IF(ISBLANK('Ingest Template'!Q55),"", 'Ingest Template'!Q55&amp;"|Operations - Core Title"))))</f>
        <v>#|Operations - Core Title
#videoGame|Operations - Core Title
</v>
      </c>
      <c r="AH55" s="25"/>
      <c r="AI55" s="25"/>
      <c r="AJ55" s="50" t="str">
        <f>if('Ingest Template'!A55="Standard",'Ingest Template'!R55&amp; "|DAR|DAR|2021-01-01",'Ingest Template'!R55&amp; "|Operations - Core Title|Operations - Core Title")</f>
        <v>#N/A</v>
      </c>
      <c r="AK55" s="25"/>
      <c r="AL55" s="25" t="str">
        <f>if('Ingest Template'!A55="Standard",'Ingest Template'!S55&amp; "|2021-01-01",'Ingest Template'!S55)</f>
        <v>#N/A</v>
      </c>
      <c r="AM55" s="25"/>
    </row>
    <row r="56">
      <c r="A56" s="25"/>
      <c r="B56" s="25" t="str">
        <f>'Ingest Template'!C56&amp;IF('Ingest Template'!A56 = "Standard", " - DAR","")</f>
        <v/>
      </c>
      <c r="C56" s="34" t="s">
        <v>92</v>
      </c>
      <c r="D56" s="34" t="str">
        <f>CONCATENATE('Ingest Template'!E56&amp;Char(10)&amp;'Ingest Template'!G56&amp;Char(10)&amp;'Ingest Template'!H56&amp;Char(10)&amp;'Ingest Template'!I56&amp;Char(10)&amp;'Ingest Template'!J56&amp;Char(10)&amp;'Ingest Template'!K56&amp;Char(10)&amp;'Ingest Template'!L56)</f>
        <v>
</v>
      </c>
      <c r="E56" s="25" t="str">
        <f>('Ingest Template'!M56)</f>
        <v/>
      </c>
      <c r="F56" s="40" t="str">
        <f t="array" ref="F56">INDEX(DropDown!$J$2:$J$63,MATCH(1,COUNTIF(E56,DropDown!$I$2:$I$63),0))</f>
        <v>#N/A</v>
      </c>
      <c r="G56" s="25"/>
      <c r="H56" s="25"/>
      <c r="I56" s="25"/>
      <c r="J56" s="25" t="str">
        <f>'Ingest Template'!B56</f>
        <v/>
      </c>
      <c r="K56" s="25" t="str">
        <f>IF('Ingest Template'!A56="Standard",'Ingest Template'!N56,"Competitive View")</f>
        <v>Competitive View</v>
      </c>
      <c r="L56" s="41" t="s">
        <v>145</v>
      </c>
      <c r="M56" s="25" t="str">
        <f>'Ingest Template'!D56</f>
        <v/>
      </c>
      <c r="N56" s="25"/>
      <c r="O56" s="25"/>
      <c r="P56" s="25"/>
      <c r="Q56" s="25"/>
      <c r="R56" s="25" t="str">
        <f>CONCATENATE('Ingest Template'!F56)</f>
        <v/>
      </c>
      <c r="S56" s="43" t="s">
        <v>160</v>
      </c>
      <c r="T56" s="25" t="str">
        <f>'Ingest Template'!W56</f>
        <v/>
      </c>
      <c r="U56" s="25"/>
      <c r="V56" s="25" t="str">
        <f>LOWER(SUBSTITUTE(SUBSTITUTE(SUBSTITUTE(SUBSTITUTE(SUBSTITUTE('Ingest Template'!Y56,"https:",""),"www.",""),"/",""),"?hl=en",""),"instagram.com",""))</f>
        <v/>
      </c>
      <c r="W56" s="34" t="str">
        <f>(IFERROR(vlookup('Ingest Template'!F56,DropDown!D:E,2,false)&amp;'Ingest Template'!C56,""))</f>
        <v/>
      </c>
      <c r="X56" s="25" t="str">
        <f>'Ingest Template'!AA56</f>
        <v/>
      </c>
      <c r="Y56" s="25"/>
      <c r="Z56" s="25"/>
      <c r="AA56" s="25"/>
      <c r="AB56" s="25" t="str">
        <f>'Ingest Template'!T56</f>
        <v/>
      </c>
      <c r="AC56" s="25"/>
      <c r="AD56" s="25" t="str">
        <f>'Ingest Template'!U56</f>
        <v/>
      </c>
      <c r="AE56" s="25" t="str">
        <f>'Ingest Template'!V56</f>
        <v/>
      </c>
      <c r="AF56" s="25"/>
      <c r="AG56" s="25" t="str">
        <f t="array" ref="AG56">IF('Ingest Template'!A56="Standard",(CONCATENATE(IF(ISBLANK('Ingest Template'!O56),"", 'Ingest Template'!O56&amp;"|DAR"),CHAR(10), IF(ISBLANK('Ingest Template'!P56),"", 'Ingest Template'!P56&amp;"|DAR"),CHAR(10), IF(ISBLANK('Ingest Template'!Q56),"", 'Ingest Template'!Q56&amp;"|DAR"))),(CONCATENATE(IF(ISBLANK('Ingest Template'!O56),"", 'Ingest Template'!O56&amp;"|Operations - Core Title"),CHAR(10), IF(ISBLANK('Ingest Template'!P56),"", 'Ingest Template'!P56&amp;"|Operations - Core Title"),CHAR(10), IF(ISBLANK('Ingest Template'!Q56),"", 'Ingest Template'!Q56&amp;"|Operations - Core Title"))))</f>
        <v>#|Operations - Core Title
#videoGame|Operations - Core Title
</v>
      </c>
      <c r="AH56" s="25"/>
      <c r="AI56" s="25"/>
      <c r="AJ56" s="50" t="str">
        <f>if('Ingest Template'!A56="Standard",'Ingest Template'!R56&amp; "|DAR|DAR|2021-01-01",'Ingest Template'!R56&amp; "|Operations - Core Title|Operations - Core Title")</f>
        <v>#N/A</v>
      </c>
      <c r="AK56" s="25"/>
      <c r="AL56" s="25" t="str">
        <f>if('Ingest Template'!A56="Standard",'Ingest Template'!S56&amp; "|2021-01-01",'Ingest Template'!S56)</f>
        <v>#N/A</v>
      </c>
      <c r="AM56" s="25"/>
    </row>
    <row r="57">
      <c r="A57" s="25"/>
      <c r="B57" s="25" t="str">
        <f>'Ingest Template'!C57&amp;IF('Ingest Template'!A57 = "Standard", " - DAR","")</f>
        <v/>
      </c>
      <c r="C57" s="34" t="s">
        <v>92</v>
      </c>
      <c r="D57" s="34" t="str">
        <f>CONCATENATE('Ingest Template'!E57&amp;Char(10)&amp;'Ingest Template'!G57&amp;Char(10)&amp;'Ingest Template'!H57&amp;Char(10)&amp;'Ingest Template'!I57&amp;Char(10)&amp;'Ingest Template'!J57&amp;Char(10)&amp;'Ingest Template'!K57&amp;Char(10)&amp;'Ingest Template'!L57)</f>
        <v>
</v>
      </c>
      <c r="E57" s="25" t="str">
        <f>('Ingest Template'!M57)</f>
        <v/>
      </c>
      <c r="F57" s="40" t="str">
        <f t="array" ref="F57">INDEX(DropDown!$J$2:$J$63,MATCH(1,COUNTIF(E57,DropDown!$I$2:$I$63),0))</f>
        <v>#N/A</v>
      </c>
      <c r="G57" s="25"/>
      <c r="H57" s="25"/>
      <c r="I57" s="25"/>
      <c r="J57" s="25" t="str">
        <f>'Ingest Template'!B57</f>
        <v/>
      </c>
      <c r="K57" s="25" t="str">
        <f>IF('Ingest Template'!A57="Standard",'Ingest Template'!N57,"Competitive View")</f>
        <v>Competitive View</v>
      </c>
      <c r="L57" s="41" t="s">
        <v>145</v>
      </c>
      <c r="M57" s="25" t="str">
        <f>'Ingest Template'!D57</f>
        <v/>
      </c>
      <c r="N57" s="25"/>
      <c r="O57" s="25"/>
      <c r="P57" s="25"/>
      <c r="Q57" s="25"/>
      <c r="R57" s="25" t="str">
        <f>CONCATENATE('Ingest Template'!F57)</f>
        <v/>
      </c>
      <c r="S57" s="43" t="s">
        <v>160</v>
      </c>
      <c r="T57" s="25" t="str">
        <f>'Ingest Template'!W57</f>
        <v/>
      </c>
      <c r="U57" s="25"/>
      <c r="V57" s="25" t="str">
        <f>LOWER(SUBSTITUTE(SUBSTITUTE(SUBSTITUTE(SUBSTITUTE(SUBSTITUTE('Ingest Template'!Y57,"https:",""),"www.",""),"/",""),"?hl=en",""),"instagram.com",""))</f>
        <v/>
      </c>
      <c r="W57" s="34" t="str">
        <f>(IFERROR(vlookup('Ingest Template'!F57,DropDown!D:E,2,false)&amp;'Ingest Template'!C57,""))</f>
        <v/>
      </c>
      <c r="X57" s="25" t="str">
        <f>'Ingest Template'!AA57</f>
        <v/>
      </c>
      <c r="Y57" s="25"/>
      <c r="Z57" s="25"/>
      <c r="AA57" s="25"/>
      <c r="AB57" s="25" t="str">
        <f>'Ingest Template'!T57</f>
        <v/>
      </c>
      <c r="AC57" s="25"/>
      <c r="AD57" s="25" t="str">
        <f>'Ingest Template'!U57</f>
        <v/>
      </c>
      <c r="AE57" s="25" t="str">
        <f>'Ingest Template'!V57</f>
        <v/>
      </c>
      <c r="AF57" s="25"/>
      <c r="AG57" s="25" t="str">
        <f t="array" ref="AG57">IF('Ingest Template'!A57="Standard",(CONCATENATE(IF(ISBLANK('Ingest Template'!O57),"", 'Ingest Template'!O57&amp;"|DAR"),CHAR(10), IF(ISBLANK('Ingest Template'!P57),"", 'Ingest Template'!P57&amp;"|DAR"),CHAR(10), IF(ISBLANK('Ingest Template'!Q57),"", 'Ingest Template'!Q57&amp;"|DAR"))),(CONCATENATE(IF(ISBLANK('Ingest Template'!O57),"", 'Ingest Template'!O57&amp;"|Operations - Core Title"),CHAR(10), IF(ISBLANK('Ingest Template'!P57),"", 'Ingest Template'!P57&amp;"|Operations - Core Title"),CHAR(10), IF(ISBLANK('Ingest Template'!Q57),"", 'Ingest Template'!Q57&amp;"|Operations - Core Title"))))</f>
        <v>#|Operations - Core Title
#videoGame|Operations - Core Title
</v>
      </c>
      <c r="AH57" s="25"/>
      <c r="AI57" s="25"/>
      <c r="AJ57" s="50" t="str">
        <f>if('Ingest Template'!A57="Standard",'Ingest Template'!R57&amp; "|DAR|DAR|2021-01-01",'Ingest Template'!R57&amp; "|Operations - Core Title|Operations - Core Title")</f>
        <v>#N/A</v>
      </c>
      <c r="AK57" s="25"/>
      <c r="AL57" s="25" t="str">
        <f>if('Ingest Template'!A57="Standard",'Ingest Template'!S57&amp; "|2021-01-01",'Ingest Template'!S57)</f>
        <v>#N/A</v>
      </c>
      <c r="AM57" s="25"/>
    </row>
    <row r="58">
      <c r="A58" s="25"/>
      <c r="B58" s="25" t="str">
        <f>'Ingest Template'!C58&amp;IF('Ingest Template'!A58 = "Standard", " - DAR","")</f>
        <v/>
      </c>
      <c r="C58" s="34" t="s">
        <v>92</v>
      </c>
      <c r="D58" s="34" t="str">
        <f>CONCATENATE('Ingest Template'!E58&amp;Char(10)&amp;'Ingest Template'!G58&amp;Char(10)&amp;'Ingest Template'!H58&amp;Char(10)&amp;'Ingest Template'!I58&amp;Char(10)&amp;'Ingest Template'!J58&amp;Char(10)&amp;'Ingest Template'!K58&amp;Char(10)&amp;'Ingest Template'!L58)</f>
        <v>
</v>
      </c>
      <c r="E58" s="25" t="str">
        <f>('Ingest Template'!M58)</f>
        <v/>
      </c>
      <c r="F58" s="40" t="str">
        <f t="array" ref="F58">INDEX(DropDown!$J$2:$J$63,MATCH(1,COUNTIF(E58,DropDown!$I$2:$I$63),0))</f>
        <v>#N/A</v>
      </c>
      <c r="G58" s="25"/>
      <c r="H58" s="25"/>
      <c r="I58" s="25"/>
      <c r="J58" s="25" t="str">
        <f>'Ingest Template'!B58</f>
        <v/>
      </c>
      <c r="K58" s="25" t="str">
        <f>IF('Ingest Template'!A58="Standard",'Ingest Template'!N58,"Competitive View")</f>
        <v>Competitive View</v>
      </c>
      <c r="L58" s="41" t="s">
        <v>145</v>
      </c>
      <c r="M58" s="25" t="str">
        <f>'Ingest Template'!D58</f>
        <v/>
      </c>
      <c r="N58" s="25"/>
      <c r="O58" s="25"/>
      <c r="P58" s="25"/>
      <c r="Q58" s="25"/>
      <c r="R58" s="25" t="str">
        <f>CONCATENATE('Ingest Template'!F58)</f>
        <v/>
      </c>
      <c r="S58" s="43" t="s">
        <v>160</v>
      </c>
      <c r="T58" s="25" t="str">
        <f>'Ingest Template'!W58</f>
        <v/>
      </c>
      <c r="U58" s="25"/>
      <c r="V58" s="25" t="str">
        <f>LOWER(SUBSTITUTE(SUBSTITUTE(SUBSTITUTE(SUBSTITUTE(SUBSTITUTE('Ingest Template'!Y58,"https:",""),"www.",""),"/",""),"?hl=en",""),"instagram.com",""))</f>
        <v/>
      </c>
      <c r="W58" s="34" t="str">
        <f>(IFERROR(vlookup('Ingest Template'!F58,DropDown!D:E,2,false)&amp;'Ingest Template'!C58,""))</f>
        <v/>
      </c>
      <c r="X58" s="25" t="str">
        <f>'Ingest Template'!AA58</f>
        <v/>
      </c>
      <c r="Y58" s="25"/>
      <c r="Z58" s="25"/>
      <c r="AA58" s="25"/>
      <c r="AB58" s="25" t="str">
        <f>'Ingest Template'!T58</f>
        <v/>
      </c>
      <c r="AC58" s="25"/>
      <c r="AD58" s="25" t="str">
        <f>'Ingest Template'!U58</f>
        <v/>
      </c>
      <c r="AE58" s="25" t="str">
        <f>'Ingest Template'!V58</f>
        <v/>
      </c>
      <c r="AF58" s="25"/>
      <c r="AG58" s="25" t="str">
        <f t="array" ref="AG58">IF('Ingest Template'!A58="Standard",(CONCATENATE(IF(ISBLANK('Ingest Template'!O58),"", 'Ingest Template'!O58&amp;"|DAR"),CHAR(10), IF(ISBLANK('Ingest Template'!P58),"", 'Ingest Template'!P58&amp;"|DAR"),CHAR(10), IF(ISBLANK('Ingest Template'!Q58),"", 'Ingest Template'!Q58&amp;"|DAR"))),(CONCATENATE(IF(ISBLANK('Ingest Template'!O58),"", 'Ingest Template'!O58&amp;"|Operations - Core Title"),CHAR(10), IF(ISBLANK('Ingest Template'!P58),"", 'Ingest Template'!P58&amp;"|Operations - Core Title"),CHAR(10), IF(ISBLANK('Ingest Template'!Q58),"", 'Ingest Template'!Q58&amp;"|Operations - Core Title"))))</f>
        <v>#|Operations - Core Title
#videoGame|Operations - Core Title
</v>
      </c>
      <c r="AH58" s="25"/>
      <c r="AI58" s="25"/>
      <c r="AJ58" s="50" t="str">
        <f>if('Ingest Template'!A58="Standard",'Ingest Template'!R58&amp; "|DAR|DAR|2021-01-01",'Ingest Template'!R58&amp; "|Operations - Core Title|Operations - Core Title")</f>
        <v>#N/A</v>
      </c>
      <c r="AK58" s="25"/>
      <c r="AL58" s="25" t="str">
        <f>if('Ingest Template'!A58="Standard",'Ingest Template'!S58&amp; "|2021-01-01",'Ingest Template'!S58)</f>
        <v>#N/A</v>
      </c>
      <c r="AM58" s="25"/>
    </row>
    <row r="59">
      <c r="A59" s="25"/>
      <c r="B59" s="25" t="str">
        <f>'Ingest Template'!C59&amp;IF('Ingest Template'!A59 = "Standard", " - DAR","")</f>
        <v/>
      </c>
      <c r="C59" s="34" t="s">
        <v>92</v>
      </c>
      <c r="D59" s="34" t="str">
        <f>CONCATENATE('Ingest Template'!E59&amp;Char(10)&amp;'Ingest Template'!G59&amp;Char(10)&amp;'Ingest Template'!H59&amp;Char(10)&amp;'Ingest Template'!I59&amp;Char(10)&amp;'Ingest Template'!J59&amp;Char(10)&amp;'Ingest Template'!K59&amp;Char(10)&amp;'Ingest Template'!L59)</f>
        <v>
</v>
      </c>
      <c r="E59" s="25" t="str">
        <f>('Ingest Template'!M59)</f>
        <v/>
      </c>
      <c r="F59" s="40" t="str">
        <f t="array" ref="F59">INDEX(DropDown!$J$2:$J$63,MATCH(1,COUNTIF(E59,DropDown!$I$2:$I$63),0))</f>
        <v>#N/A</v>
      </c>
      <c r="G59" s="25"/>
      <c r="H59" s="25"/>
      <c r="I59" s="25"/>
      <c r="J59" s="25" t="str">
        <f>'Ingest Template'!B59</f>
        <v/>
      </c>
      <c r="K59" s="25" t="str">
        <f>IF('Ingest Template'!A59="Standard",'Ingest Template'!N59,"Competitive View")</f>
        <v>Competitive View</v>
      </c>
      <c r="L59" s="41" t="s">
        <v>145</v>
      </c>
      <c r="M59" s="25" t="str">
        <f>'Ingest Template'!D59</f>
        <v/>
      </c>
      <c r="N59" s="25"/>
      <c r="O59" s="25"/>
      <c r="P59" s="25"/>
      <c r="Q59" s="25"/>
      <c r="R59" s="25" t="str">
        <f>CONCATENATE('Ingest Template'!F59)</f>
        <v/>
      </c>
      <c r="S59" s="43" t="s">
        <v>160</v>
      </c>
      <c r="T59" s="25" t="str">
        <f>'Ingest Template'!W59</f>
        <v/>
      </c>
      <c r="U59" s="25"/>
      <c r="V59" s="25" t="str">
        <f>LOWER(SUBSTITUTE(SUBSTITUTE(SUBSTITUTE(SUBSTITUTE(SUBSTITUTE('Ingest Template'!Y59,"https:",""),"www.",""),"/",""),"?hl=en",""),"instagram.com",""))</f>
        <v/>
      </c>
      <c r="W59" s="34" t="str">
        <f>(IFERROR(vlookup('Ingest Template'!F59,DropDown!D:E,2,false)&amp;'Ingest Template'!C59,""))</f>
        <v/>
      </c>
      <c r="X59" s="25" t="str">
        <f>'Ingest Template'!AA59</f>
        <v/>
      </c>
      <c r="Y59" s="25"/>
      <c r="Z59" s="25"/>
      <c r="AA59" s="25"/>
      <c r="AB59" s="25" t="str">
        <f>'Ingest Template'!T59</f>
        <v/>
      </c>
      <c r="AC59" s="25"/>
      <c r="AD59" s="25" t="str">
        <f>'Ingest Template'!U59</f>
        <v/>
      </c>
      <c r="AE59" s="25" t="str">
        <f>'Ingest Template'!V59</f>
        <v/>
      </c>
      <c r="AF59" s="25"/>
      <c r="AG59" s="25" t="str">
        <f t="array" ref="AG59">IF('Ingest Template'!A59="Standard",(CONCATENATE(IF(ISBLANK('Ingest Template'!O59),"", 'Ingest Template'!O59&amp;"|DAR"),CHAR(10), IF(ISBLANK('Ingest Template'!P59),"", 'Ingest Template'!P59&amp;"|DAR"),CHAR(10), IF(ISBLANK('Ingest Template'!Q59),"", 'Ingest Template'!Q59&amp;"|DAR"))),(CONCATENATE(IF(ISBLANK('Ingest Template'!O59),"", 'Ingest Template'!O59&amp;"|Operations - Core Title"),CHAR(10), IF(ISBLANK('Ingest Template'!P59),"", 'Ingest Template'!P59&amp;"|Operations - Core Title"),CHAR(10), IF(ISBLANK('Ingest Template'!Q59),"", 'Ingest Template'!Q59&amp;"|Operations - Core Title"))))</f>
        <v>#|Operations - Core Title
#videoGame|Operations - Core Title
</v>
      </c>
      <c r="AH59" s="25"/>
      <c r="AI59" s="25"/>
      <c r="AJ59" s="50" t="str">
        <f>if('Ingest Template'!A59="Standard",'Ingest Template'!R59&amp; "|DAR|DAR|2021-01-01",'Ingest Template'!R59&amp; "|Operations - Core Title|Operations - Core Title")</f>
        <v>#N/A</v>
      </c>
      <c r="AK59" s="25"/>
      <c r="AL59" s="25" t="str">
        <f>if('Ingest Template'!A59="Standard",'Ingest Template'!S59&amp; "|2021-01-01",'Ingest Template'!S59)</f>
        <v>#N/A</v>
      </c>
      <c r="AM59" s="25"/>
    </row>
    <row r="60">
      <c r="A60" s="25"/>
      <c r="B60" s="25" t="str">
        <f>'Ingest Template'!C60&amp;IF('Ingest Template'!A60 = "Standard", " - DAR","")</f>
        <v/>
      </c>
      <c r="C60" s="34" t="s">
        <v>92</v>
      </c>
      <c r="D60" s="34" t="str">
        <f>CONCATENATE('Ingest Template'!E60&amp;Char(10)&amp;'Ingest Template'!G60&amp;Char(10)&amp;'Ingest Template'!H60&amp;Char(10)&amp;'Ingest Template'!I60&amp;Char(10)&amp;'Ingest Template'!J60&amp;Char(10)&amp;'Ingest Template'!K60&amp;Char(10)&amp;'Ingest Template'!L60)</f>
        <v>
</v>
      </c>
      <c r="E60" s="25" t="str">
        <f>('Ingest Template'!M60)</f>
        <v/>
      </c>
      <c r="F60" s="40" t="str">
        <f t="array" ref="F60">INDEX(DropDown!$J$2:$J$63,MATCH(1,COUNTIF(E60,DropDown!$I$2:$I$63),0))</f>
        <v>#N/A</v>
      </c>
      <c r="G60" s="25"/>
      <c r="H60" s="25"/>
      <c r="I60" s="25"/>
      <c r="J60" s="25" t="str">
        <f>'Ingest Template'!B60</f>
        <v/>
      </c>
      <c r="K60" s="25" t="str">
        <f>IF('Ingest Template'!A60="Standard",'Ingest Template'!N60,"Competitive View")</f>
        <v>Competitive View</v>
      </c>
      <c r="L60" s="41" t="s">
        <v>145</v>
      </c>
      <c r="M60" s="25" t="str">
        <f>'Ingest Template'!D60</f>
        <v/>
      </c>
      <c r="N60" s="25"/>
      <c r="O60" s="25"/>
      <c r="P60" s="25"/>
      <c r="Q60" s="25"/>
      <c r="R60" s="25" t="str">
        <f>CONCATENATE('Ingest Template'!F60)</f>
        <v/>
      </c>
      <c r="S60" s="43" t="s">
        <v>160</v>
      </c>
      <c r="T60" s="25" t="str">
        <f>'Ingest Template'!W60</f>
        <v/>
      </c>
      <c r="U60" s="25"/>
      <c r="V60" s="25" t="str">
        <f>LOWER(SUBSTITUTE(SUBSTITUTE(SUBSTITUTE(SUBSTITUTE(SUBSTITUTE('Ingest Template'!Y60,"https:",""),"www.",""),"/",""),"?hl=en",""),"instagram.com",""))</f>
        <v/>
      </c>
      <c r="W60" s="34" t="str">
        <f>(IFERROR(vlookup('Ingest Template'!F60,DropDown!D:E,2,false)&amp;'Ingest Template'!C60,""))</f>
        <v/>
      </c>
      <c r="X60" s="25" t="str">
        <f>'Ingest Template'!AA60</f>
        <v/>
      </c>
      <c r="Y60" s="25"/>
      <c r="Z60" s="25"/>
      <c r="AA60" s="25"/>
      <c r="AB60" s="25" t="str">
        <f>'Ingest Template'!T60</f>
        <v/>
      </c>
      <c r="AC60" s="25"/>
      <c r="AD60" s="25" t="str">
        <f>'Ingest Template'!U60</f>
        <v/>
      </c>
      <c r="AE60" s="25" t="str">
        <f>'Ingest Template'!V60</f>
        <v/>
      </c>
      <c r="AF60" s="25"/>
      <c r="AG60" s="25" t="str">
        <f t="array" ref="AG60">IF('Ingest Template'!A60="Standard",(CONCATENATE(IF(ISBLANK('Ingest Template'!O60),"", 'Ingest Template'!O60&amp;"|DAR"),CHAR(10), IF(ISBLANK('Ingest Template'!P60),"", 'Ingest Template'!P60&amp;"|DAR"),CHAR(10), IF(ISBLANK('Ingest Template'!Q60),"", 'Ingest Template'!Q60&amp;"|DAR"))),(CONCATENATE(IF(ISBLANK('Ingest Template'!O60),"", 'Ingest Template'!O60&amp;"|Operations - Core Title"),CHAR(10), IF(ISBLANK('Ingest Template'!P60),"", 'Ingest Template'!P60&amp;"|Operations - Core Title"),CHAR(10), IF(ISBLANK('Ingest Template'!Q60),"", 'Ingest Template'!Q60&amp;"|Operations - Core Title"))))</f>
        <v>#|Operations - Core Title
#videoGame|Operations - Core Title
</v>
      </c>
      <c r="AH60" s="25"/>
      <c r="AI60" s="25"/>
      <c r="AJ60" s="50" t="str">
        <f>if('Ingest Template'!A60="Standard",'Ingest Template'!R60&amp; "|DAR|DAR|2021-01-01",'Ingest Template'!R60&amp; "|Operations - Core Title|Operations - Core Title")</f>
        <v>#N/A</v>
      </c>
      <c r="AK60" s="25"/>
      <c r="AL60" s="25" t="str">
        <f>if('Ingest Template'!A60="Standard",'Ingest Template'!S60&amp; "|2021-01-01",'Ingest Template'!S60)</f>
        <v>#N/A</v>
      </c>
      <c r="AM60" s="25"/>
    </row>
    <row r="61">
      <c r="A61" s="25"/>
      <c r="B61" s="25" t="str">
        <f>'Ingest Template'!C61&amp;IF('Ingest Template'!A61 = "Standard", " - DAR","")</f>
        <v/>
      </c>
      <c r="C61" s="34" t="s">
        <v>92</v>
      </c>
      <c r="D61" s="34" t="str">
        <f>CONCATENATE('Ingest Template'!E61&amp;Char(10)&amp;'Ingest Template'!G61&amp;Char(10)&amp;'Ingest Template'!H61&amp;Char(10)&amp;'Ingest Template'!I61&amp;Char(10)&amp;'Ingest Template'!J61&amp;Char(10)&amp;'Ingest Template'!K61&amp;Char(10)&amp;'Ingest Template'!L61)</f>
        <v>
</v>
      </c>
      <c r="E61" s="25" t="str">
        <f>('Ingest Template'!M61)</f>
        <v/>
      </c>
      <c r="F61" s="40" t="str">
        <f t="array" ref="F61">INDEX(DropDown!$J$2:$J$63,MATCH(1,COUNTIF(E61,DropDown!$I$2:$I$63),0))</f>
        <v>#N/A</v>
      </c>
      <c r="G61" s="25"/>
      <c r="H61" s="25"/>
      <c r="I61" s="25"/>
      <c r="J61" s="25" t="str">
        <f>'Ingest Template'!B61</f>
        <v/>
      </c>
      <c r="K61" s="25" t="str">
        <f>IF('Ingest Template'!A61="Standard",'Ingest Template'!N61,"Competitive View")</f>
        <v>Competitive View</v>
      </c>
      <c r="L61" s="41" t="s">
        <v>145</v>
      </c>
      <c r="M61" s="25" t="str">
        <f>'Ingest Template'!D61</f>
        <v/>
      </c>
      <c r="N61" s="25"/>
      <c r="O61" s="25"/>
      <c r="P61" s="25"/>
      <c r="Q61" s="25"/>
      <c r="R61" s="25" t="str">
        <f>CONCATENATE('Ingest Template'!F61)</f>
        <v/>
      </c>
      <c r="S61" s="43" t="s">
        <v>160</v>
      </c>
      <c r="T61" s="25" t="str">
        <f>'Ingest Template'!W61</f>
        <v/>
      </c>
      <c r="U61" s="25"/>
      <c r="V61" s="25" t="str">
        <f>LOWER(SUBSTITUTE(SUBSTITUTE(SUBSTITUTE(SUBSTITUTE(SUBSTITUTE('Ingest Template'!Y61,"https:",""),"www.",""),"/",""),"?hl=en",""),"instagram.com",""))</f>
        <v/>
      </c>
      <c r="W61" s="34" t="str">
        <f>(IFERROR(vlookup('Ingest Template'!F61,DropDown!D:E,2,false)&amp;'Ingest Template'!C61,""))</f>
        <v/>
      </c>
      <c r="X61" s="25" t="str">
        <f>'Ingest Template'!AA61</f>
        <v/>
      </c>
      <c r="Y61" s="25"/>
      <c r="Z61" s="25"/>
      <c r="AA61" s="25"/>
      <c r="AB61" s="25" t="str">
        <f>'Ingest Template'!T61</f>
        <v/>
      </c>
      <c r="AC61" s="25"/>
      <c r="AD61" s="25" t="str">
        <f>'Ingest Template'!U61</f>
        <v/>
      </c>
      <c r="AE61" s="25" t="str">
        <f>'Ingest Template'!V61</f>
        <v/>
      </c>
      <c r="AF61" s="25"/>
      <c r="AG61" s="25" t="str">
        <f t="array" ref="AG61">IF('Ingest Template'!A61="Standard",(CONCATENATE(IF(ISBLANK('Ingest Template'!O61),"", 'Ingest Template'!O61&amp;"|DAR"),CHAR(10), IF(ISBLANK('Ingest Template'!P61),"", 'Ingest Template'!P61&amp;"|DAR"),CHAR(10), IF(ISBLANK('Ingest Template'!Q61),"", 'Ingest Template'!Q61&amp;"|DAR"))),(CONCATENATE(IF(ISBLANK('Ingest Template'!O61),"", 'Ingest Template'!O61&amp;"|Operations - Core Title"),CHAR(10), IF(ISBLANK('Ingest Template'!P61),"", 'Ingest Template'!P61&amp;"|Operations - Core Title"),CHAR(10), IF(ISBLANK('Ingest Template'!Q61),"", 'Ingest Template'!Q61&amp;"|Operations - Core Title"))))</f>
        <v>#|Operations - Core Title
#videoGame|Operations - Core Title
</v>
      </c>
      <c r="AH61" s="25"/>
      <c r="AI61" s="25"/>
      <c r="AJ61" s="50" t="str">
        <f>if('Ingest Template'!A61="Standard",'Ingest Template'!R61&amp; "|DAR|DAR|2021-01-01",'Ingest Template'!R61&amp; "|Operations - Core Title|Operations - Core Title")</f>
        <v>#N/A</v>
      </c>
      <c r="AK61" s="25"/>
      <c r="AL61" s="25" t="str">
        <f>if('Ingest Template'!A61="Standard",'Ingest Template'!S61&amp; "|2021-01-01",'Ingest Template'!S61)</f>
        <v>#N/A</v>
      </c>
      <c r="AM61" s="25"/>
    </row>
    <row r="62">
      <c r="A62" s="25"/>
      <c r="B62" s="25" t="str">
        <f>'Ingest Template'!C62&amp;IF('Ingest Template'!A62 = "Standard", " - DAR","")</f>
        <v/>
      </c>
      <c r="C62" s="34" t="s">
        <v>92</v>
      </c>
      <c r="D62" s="34" t="str">
        <f>CONCATENATE('Ingest Template'!E62&amp;Char(10)&amp;'Ingest Template'!G62&amp;Char(10)&amp;'Ingest Template'!H62&amp;Char(10)&amp;'Ingest Template'!I62&amp;Char(10)&amp;'Ingest Template'!J62&amp;Char(10)&amp;'Ingest Template'!K62&amp;Char(10)&amp;'Ingest Template'!L62)</f>
        <v>
</v>
      </c>
      <c r="E62" s="25" t="str">
        <f>('Ingest Template'!M62)</f>
        <v/>
      </c>
      <c r="F62" s="40" t="str">
        <f t="array" ref="F62">INDEX(DropDown!$J$2:$J$63,MATCH(1,COUNTIF(E62,DropDown!$I$2:$I$63),0))</f>
        <v>#N/A</v>
      </c>
      <c r="G62" s="25"/>
      <c r="H62" s="25"/>
      <c r="I62" s="25"/>
      <c r="J62" s="25" t="str">
        <f>'Ingest Template'!B62</f>
        <v/>
      </c>
      <c r="K62" s="25" t="str">
        <f>IF('Ingest Template'!A62="Standard",'Ingest Template'!N62,"Competitive View")</f>
        <v>Competitive View</v>
      </c>
      <c r="L62" s="41" t="s">
        <v>145</v>
      </c>
      <c r="M62" s="25" t="str">
        <f>'Ingest Template'!D62</f>
        <v/>
      </c>
      <c r="N62" s="25"/>
      <c r="O62" s="25"/>
      <c r="P62" s="25"/>
      <c r="Q62" s="25"/>
      <c r="R62" s="25" t="str">
        <f>CONCATENATE('Ingest Template'!F62)</f>
        <v/>
      </c>
      <c r="S62" s="43" t="s">
        <v>160</v>
      </c>
      <c r="T62" s="25" t="str">
        <f>'Ingest Template'!W62</f>
        <v/>
      </c>
      <c r="U62" s="25"/>
      <c r="V62" s="25" t="str">
        <f>LOWER(SUBSTITUTE(SUBSTITUTE(SUBSTITUTE(SUBSTITUTE(SUBSTITUTE('Ingest Template'!Y62,"https:",""),"www.",""),"/",""),"?hl=en",""),"instagram.com",""))</f>
        <v/>
      </c>
      <c r="W62" s="34" t="str">
        <f>(IFERROR(vlookup('Ingest Template'!F62,DropDown!D:E,2,false)&amp;'Ingest Template'!C62,""))</f>
        <v/>
      </c>
      <c r="X62" s="25" t="str">
        <f>'Ingest Template'!AA62</f>
        <v/>
      </c>
      <c r="Y62" s="25"/>
      <c r="Z62" s="25"/>
      <c r="AA62" s="25"/>
      <c r="AB62" s="25" t="str">
        <f>'Ingest Template'!T62</f>
        <v/>
      </c>
      <c r="AC62" s="25"/>
      <c r="AD62" s="25" t="str">
        <f>'Ingest Template'!U62</f>
        <v/>
      </c>
      <c r="AE62" s="25" t="str">
        <f>'Ingest Template'!V62</f>
        <v/>
      </c>
      <c r="AF62" s="25"/>
      <c r="AG62" s="25" t="str">
        <f t="array" ref="AG62">IF('Ingest Template'!A62="Standard",(CONCATENATE(IF(ISBLANK('Ingest Template'!O62),"", 'Ingest Template'!O62&amp;"|DAR"),CHAR(10), IF(ISBLANK('Ingest Template'!P62),"", 'Ingest Template'!P62&amp;"|DAR"),CHAR(10), IF(ISBLANK('Ingest Template'!Q62),"", 'Ingest Template'!Q62&amp;"|DAR"))),(CONCATENATE(IF(ISBLANK('Ingest Template'!O62),"", 'Ingest Template'!O62&amp;"|Operations - Core Title"),CHAR(10), IF(ISBLANK('Ingest Template'!P62),"", 'Ingest Template'!P62&amp;"|Operations - Core Title"),CHAR(10), IF(ISBLANK('Ingest Template'!Q62),"", 'Ingest Template'!Q62&amp;"|Operations - Core Title"))))</f>
        <v>#|Operations - Core Title
#videoGame|Operations - Core Title
</v>
      </c>
      <c r="AH62" s="25"/>
      <c r="AI62" s="25"/>
      <c r="AJ62" s="50" t="str">
        <f>if('Ingest Template'!A62="Standard",'Ingest Template'!R62&amp; "|DAR|DAR|2021-01-01",'Ingest Template'!R62&amp; "|Operations - Core Title|Operations - Core Title")</f>
        <v>#N/A</v>
      </c>
      <c r="AK62" s="25"/>
      <c r="AL62" s="25" t="str">
        <f>if('Ingest Template'!A62="Standard",'Ingest Template'!S62&amp; "|2021-01-01",'Ingest Template'!S62)</f>
        <v>#N/A</v>
      </c>
      <c r="AM62" s="25"/>
    </row>
    <row r="63">
      <c r="A63" s="25"/>
      <c r="B63" s="25" t="str">
        <f>'Ingest Template'!C63&amp;IF('Ingest Template'!A63 = "Standard", " - DAR","")</f>
        <v/>
      </c>
      <c r="C63" s="34" t="s">
        <v>92</v>
      </c>
      <c r="D63" s="34" t="str">
        <f>CONCATENATE('Ingest Template'!E63&amp;Char(10)&amp;'Ingest Template'!G63&amp;Char(10)&amp;'Ingest Template'!H63&amp;Char(10)&amp;'Ingest Template'!I63&amp;Char(10)&amp;'Ingest Template'!J63&amp;Char(10)&amp;'Ingest Template'!K63&amp;Char(10)&amp;'Ingest Template'!L63)</f>
        <v>
</v>
      </c>
      <c r="E63" s="25" t="str">
        <f>('Ingest Template'!M63)</f>
        <v/>
      </c>
      <c r="F63" s="40" t="str">
        <f t="array" ref="F63">INDEX(DropDown!$J$2:$J$63,MATCH(1,COUNTIF(E63,DropDown!$I$2:$I$63),0))</f>
        <v>#N/A</v>
      </c>
      <c r="G63" s="25"/>
      <c r="H63" s="25"/>
      <c r="I63" s="25"/>
      <c r="J63" s="25" t="str">
        <f>'Ingest Template'!B63</f>
        <v/>
      </c>
      <c r="K63" s="25" t="str">
        <f>IF('Ingest Template'!A63="Standard",'Ingest Template'!N63,"Competitive View")</f>
        <v>Competitive View</v>
      </c>
      <c r="L63" s="41" t="s">
        <v>145</v>
      </c>
      <c r="M63" s="25" t="str">
        <f>'Ingest Template'!D63</f>
        <v/>
      </c>
      <c r="N63" s="25"/>
      <c r="O63" s="25"/>
      <c r="P63" s="25"/>
      <c r="Q63" s="25"/>
      <c r="R63" s="25" t="str">
        <f>CONCATENATE('Ingest Template'!F63)</f>
        <v/>
      </c>
      <c r="S63" s="43" t="s">
        <v>160</v>
      </c>
      <c r="T63" s="25" t="str">
        <f>'Ingest Template'!W63</f>
        <v/>
      </c>
      <c r="U63" s="25"/>
      <c r="V63" s="25" t="str">
        <f>LOWER(SUBSTITUTE(SUBSTITUTE(SUBSTITUTE(SUBSTITUTE(SUBSTITUTE('Ingest Template'!Y63,"https:",""),"www.",""),"/",""),"?hl=en",""),"instagram.com",""))</f>
        <v/>
      </c>
      <c r="W63" s="34" t="str">
        <f>(IFERROR(vlookup('Ingest Template'!F63,DropDown!D:E,2,false)&amp;'Ingest Template'!C63,""))</f>
        <v/>
      </c>
      <c r="X63" s="25" t="str">
        <f>'Ingest Template'!AA63</f>
        <v/>
      </c>
      <c r="Y63" s="25"/>
      <c r="Z63" s="25"/>
      <c r="AA63" s="25"/>
      <c r="AB63" s="25" t="str">
        <f>'Ingest Template'!T63</f>
        <v/>
      </c>
      <c r="AC63" s="25"/>
      <c r="AD63" s="25" t="str">
        <f>'Ingest Template'!U63</f>
        <v/>
      </c>
      <c r="AE63" s="25" t="str">
        <f>'Ingest Template'!V63</f>
        <v/>
      </c>
      <c r="AF63" s="25"/>
      <c r="AG63" s="25" t="str">
        <f t="array" ref="AG63">IF('Ingest Template'!A63="Standard",(CONCATENATE(IF(ISBLANK('Ingest Template'!O63),"", 'Ingest Template'!O63&amp;"|DAR"),CHAR(10), IF(ISBLANK('Ingest Template'!P63),"", 'Ingest Template'!P63&amp;"|DAR"),CHAR(10), IF(ISBLANK('Ingest Template'!Q63),"", 'Ingest Template'!Q63&amp;"|DAR"))),(CONCATENATE(IF(ISBLANK('Ingest Template'!O63),"", 'Ingest Template'!O63&amp;"|Operations - Core Title"),CHAR(10), IF(ISBLANK('Ingest Template'!P63),"", 'Ingest Template'!P63&amp;"|Operations - Core Title"),CHAR(10), IF(ISBLANK('Ingest Template'!Q63),"", 'Ingest Template'!Q63&amp;"|Operations - Core Title"))))</f>
        <v>#|Operations - Core Title
#videoGame|Operations - Core Title
</v>
      </c>
      <c r="AH63" s="25"/>
      <c r="AI63" s="25"/>
      <c r="AJ63" s="50" t="str">
        <f>if('Ingest Template'!A63="Standard",'Ingest Template'!R63&amp; "|DAR|DAR|2021-01-01",'Ingest Template'!R63&amp; "|Operations - Core Title|Operations - Core Title")</f>
        <v>#N/A</v>
      </c>
      <c r="AK63" s="25"/>
      <c r="AL63" s="25" t="str">
        <f>if('Ingest Template'!A63="Standard",'Ingest Template'!S63&amp; "|2021-01-01",'Ingest Template'!S63)</f>
        <v>#N/A</v>
      </c>
      <c r="AM63" s="25"/>
    </row>
    <row r="64">
      <c r="A64" s="25"/>
      <c r="B64" s="25" t="str">
        <f>'Ingest Template'!C64&amp;IF('Ingest Template'!A64 = "Standard", " - DAR","")</f>
        <v/>
      </c>
      <c r="C64" s="34" t="s">
        <v>92</v>
      </c>
      <c r="D64" s="34" t="str">
        <f>CONCATENATE('Ingest Template'!E64&amp;Char(10)&amp;'Ingest Template'!G64&amp;Char(10)&amp;'Ingest Template'!H64&amp;Char(10)&amp;'Ingest Template'!I64&amp;Char(10)&amp;'Ingest Template'!J64&amp;Char(10)&amp;'Ingest Template'!K64&amp;Char(10)&amp;'Ingest Template'!L64)</f>
        <v>
</v>
      </c>
      <c r="E64" s="25" t="str">
        <f>('Ingest Template'!M64)</f>
        <v/>
      </c>
      <c r="F64" s="40" t="str">
        <f t="array" ref="F64">INDEX(DropDown!$J$2:$J$63,MATCH(1,COUNTIF(E64,DropDown!$I$2:$I$63),0))</f>
        <v>#N/A</v>
      </c>
      <c r="G64" s="25"/>
      <c r="H64" s="25"/>
      <c r="I64" s="25"/>
      <c r="J64" s="25" t="str">
        <f>'Ingest Template'!B64</f>
        <v/>
      </c>
      <c r="K64" s="25" t="str">
        <f>IF('Ingest Template'!A64="Standard",'Ingest Template'!N64,"Competitive View")</f>
        <v>Competitive View</v>
      </c>
      <c r="L64" s="41" t="s">
        <v>145</v>
      </c>
      <c r="M64" s="25" t="str">
        <f>'Ingest Template'!D64</f>
        <v/>
      </c>
      <c r="N64" s="25"/>
      <c r="O64" s="25"/>
      <c r="P64" s="25"/>
      <c r="Q64" s="25"/>
      <c r="R64" s="25" t="str">
        <f>CONCATENATE('Ingest Template'!F64)</f>
        <v/>
      </c>
      <c r="S64" s="43" t="s">
        <v>160</v>
      </c>
      <c r="T64" s="25" t="str">
        <f>'Ingest Template'!W64</f>
        <v/>
      </c>
      <c r="U64" s="25"/>
      <c r="V64" s="25" t="str">
        <f>LOWER(SUBSTITUTE(SUBSTITUTE(SUBSTITUTE(SUBSTITUTE(SUBSTITUTE('Ingest Template'!Y64,"https:",""),"www.",""),"/",""),"?hl=en",""),"instagram.com",""))</f>
        <v/>
      </c>
      <c r="W64" s="34" t="str">
        <f>(IFERROR(vlookup('Ingest Template'!F64,DropDown!D:E,2,false)&amp;'Ingest Template'!C64,""))</f>
        <v/>
      </c>
      <c r="X64" s="25" t="str">
        <f>'Ingest Template'!AA64</f>
        <v/>
      </c>
      <c r="Y64" s="25"/>
      <c r="Z64" s="25"/>
      <c r="AA64" s="25"/>
      <c r="AB64" s="25" t="str">
        <f>'Ingest Template'!T64</f>
        <v/>
      </c>
      <c r="AC64" s="25"/>
      <c r="AD64" s="25" t="str">
        <f>'Ingest Template'!U64</f>
        <v/>
      </c>
      <c r="AE64" s="25" t="str">
        <f>'Ingest Template'!V64</f>
        <v/>
      </c>
      <c r="AF64" s="25"/>
      <c r="AG64" s="25" t="str">
        <f t="array" ref="AG64">IF('Ingest Template'!A64="Standard",(CONCATENATE(IF(ISBLANK('Ingest Template'!O64),"", 'Ingest Template'!O64&amp;"|DAR"),CHAR(10), IF(ISBLANK('Ingest Template'!P64),"", 'Ingest Template'!P64&amp;"|DAR"),CHAR(10), IF(ISBLANK('Ingest Template'!Q64),"", 'Ingest Template'!Q64&amp;"|DAR"))),(CONCATENATE(IF(ISBLANK('Ingest Template'!O64),"", 'Ingest Template'!O64&amp;"|Operations - Core Title"),CHAR(10), IF(ISBLANK('Ingest Template'!P64),"", 'Ingest Template'!P64&amp;"|Operations - Core Title"),CHAR(10), IF(ISBLANK('Ingest Template'!Q64),"", 'Ingest Template'!Q64&amp;"|Operations - Core Title"))))</f>
        <v>#|Operations - Core Title
#videoGame|Operations - Core Title
</v>
      </c>
      <c r="AH64" s="25"/>
      <c r="AI64" s="25"/>
      <c r="AJ64" s="50" t="str">
        <f>if('Ingest Template'!A64="Standard",'Ingest Template'!R64&amp; "|DAR|DAR|2021-01-01",'Ingest Template'!R64&amp; "|Operations - Core Title|Operations - Core Title")</f>
        <v>#N/A</v>
      </c>
      <c r="AK64" s="25"/>
      <c r="AL64" s="25" t="str">
        <f>if('Ingest Template'!A64="Standard",'Ingest Template'!S64&amp; "|2021-01-01",'Ingest Template'!S64)</f>
        <v>#N/A</v>
      </c>
      <c r="AM64" s="25"/>
    </row>
    <row r="65">
      <c r="A65" s="25"/>
      <c r="B65" s="25" t="str">
        <f>'Ingest Template'!C65&amp;IF('Ingest Template'!A65 = "Standard", " - DAR","")</f>
        <v/>
      </c>
      <c r="C65" s="34" t="s">
        <v>92</v>
      </c>
      <c r="D65" s="34" t="str">
        <f>CONCATENATE('Ingest Template'!E65&amp;Char(10)&amp;'Ingest Template'!G65&amp;Char(10)&amp;'Ingest Template'!H65&amp;Char(10)&amp;'Ingest Template'!I65&amp;Char(10)&amp;'Ingest Template'!J65&amp;Char(10)&amp;'Ingest Template'!K65&amp;Char(10)&amp;'Ingest Template'!L65)</f>
        <v>
</v>
      </c>
      <c r="E65" s="25" t="str">
        <f>('Ingest Template'!M65)</f>
        <v/>
      </c>
      <c r="F65" s="40" t="str">
        <f t="array" ref="F65">INDEX(DropDown!$J$2:$J$63,MATCH(1,COUNTIF(E65,DropDown!$I$2:$I$63),0))</f>
        <v>#N/A</v>
      </c>
      <c r="G65" s="25"/>
      <c r="H65" s="25"/>
      <c r="I65" s="25"/>
      <c r="J65" s="25" t="str">
        <f>'Ingest Template'!B65</f>
        <v/>
      </c>
      <c r="K65" s="25" t="str">
        <f>IF('Ingest Template'!A65="Standard",'Ingest Template'!N65,"Competitive View")</f>
        <v>Competitive View</v>
      </c>
      <c r="L65" s="41" t="s">
        <v>145</v>
      </c>
      <c r="M65" s="25" t="str">
        <f>'Ingest Template'!D65</f>
        <v/>
      </c>
      <c r="N65" s="25"/>
      <c r="O65" s="25"/>
      <c r="P65" s="25"/>
      <c r="Q65" s="25"/>
      <c r="R65" s="25" t="str">
        <f>CONCATENATE('Ingest Template'!F65)</f>
        <v/>
      </c>
      <c r="S65" s="43" t="s">
        <v>160</v>
      </c>
      <c r="T65" s="25" t="str">
        <f>'Ingest Template'!W65</f>
        <v/>
      </c>
      <c r="U65" s="25"/>
      <c r="V65" s="25" t="str">
        <f>LOWER(SUBSTITUTE(SUBSTITUTE(SUBSTITUTE(SUBSTITUTE(SUBSTITUTE('Ingest Template'!Y65,"https:",""),"www.",""),"/",""),"?hl=en",""),"instagram.com",""))</f>
        <v/>
      </c>
      <c r="W65" s="34" t="str">
        <f>(IFERROR(vlookup('Ingest Template'!F65,DropDown!D:E,2,false)&amp;'Ingest Template'!C65,""))</f>
        <v/>
      </c>
      <c r="X65" s="25" t="str">
        <f>'Ingest Template'!AA65</f>
        <v/>
      </c>
      <c r="Y65" s="25"/>
      <c r="Z65" s="25"/>
      <c r="AA65" s="25"/>
      <c r="AB65" s="25" t="str">
        <f>'Ingest Template'!T65</f>
        <v/>
      </c>
      <c r="AC65" s="25"/>
      <c r="AD65" s="25" t="str">
        <f>'Ingest Template'!U65</f>
        <v/>
      </c>
      <c r="AE65" s="25" t="str">
        <f>'Ingest Template'!V65</f>
        <v/>
      </c>
      <c r="AF65" s="25"/>
      <c r="AG65" s="25" t="str">
        <f t="array" ref="AG65">IF('Ingest Template'!A65="Standard",(CONCATENATE(IF(ISBLANK('Ingest Template'!O65),"", 'Ingest Template'!O65&amp;"|DAR"),CHAR(10), IF(ISBLANK('Ingest Template'!P65),"", 'Ingest Template'!P65&amp;"|DAR"),CHAR(10), IF(ISBLANK('Ingest Template'!Q65),"", 'Ingest Template'!Q65&amp;"|DAR"))),(CONCATENATE(IF(ISBLANK('Ingest Template'!O65),"", 'Ingest Template'!O65&amp;"|Operations - Core Title"),CHAR(10), IF(ISBLANK('Ingest Template'!P65),"", 'Ingest Template'!P65&amp;"|Operations - Core Title"),CHAR(10), IF(ISBLANK('Ingest Template'!Q65),"", 'Ingest Template'!Q65&amp;"|Operations - Core Title"))))</f>
        <v>#|Operations - Core Title
#videoGame|Operations - Core Title
</v>
      </c>
      <c r="AH65" s="25"/>
      <c r="AI65" s="25"/>
      <c r="AJ65" s="50" t="str">
        <f>if('Ingest Template'!A65="Standard",'Ingest Template'!R65&amp; "|DAR|DAR|2021-01-01",'Ingest Template'!R65&amp; "|Operations - Core Title|Operations - Core Title")</f>
        <v>#N/A</v>
      </c>
      <c r="AK65" s="25"/>
      <c r="AL65" s="25" t="str">
        <f>if('Ingest Template'!A65="Standard",'Ingest Template'!S65&amp; "|2021-01-01",'Ingest Template'!S65)</f>
        <v>#N/A</v>
      </c>
      <c r="AM65" s="25"/>
    </row>
    <row r="66">
      <c r="A66" s="25"/>
      <c r="B66" s="25" t="str">
        <f>'Ingest Template'!C66&amp;IF('Ingest Template'!A66 = "Standard", " - DAR","")</f>
        <v/>
      </c>
      <c r="C66" s="34" t="s">
        <v>92</v>
      </c>
      <c r="D66" s="34" t="str">
        <f>CONCATENATE('Ingest Template'!E66&amp;Char(10)&amp;'Ingest Template'!G66&amp;Char(10)&amp;'Ingest Template'!H66&amp;Char(10)&amp;'Ingest Template'!I66&amp;Char(10)&amp;'Ingest Template'!J66&amp;Char(10)&amp;'Ingest Template'!K66&amp;Char(10)&amp;'Ingest Template'!L66)</f>
        <v>
</v>
      </c>
      <c r="E66" s="25" t="str">
        <f>('Ingest Template'!M66)</f>
        <v/>
      </c>
      <c r="F66" s="40" t="str">
        <f t="array" ref="F66">INDEX(DropDown!$J$2:$J$63,MATCH(1,COUNTIF(E66,DropDown!$I$2:$I$63),0))</f>
        <v>#N/A</v>
      </c>
      <c r="G66" s="25"/>
      <c r="H66" s="25"/>
      <c r="I66" s="25"/>
      <c r="J66" s="25" t="str">
        <f>'Ingest Template'!B66</f>
        <v/>
      </c>
      <c r="K66" s="25" t="str">
        <f>IF('Ingest Template'!A66="Standard",'Ingest Template'!N66,"Competitive View")</f>
        <v>Competitive View</v>
      </c>
      <c r="L66" s="41" t="s">
        <v>145</v>
      </c>
      <c r="M66" s="25" t="str">
        <f>'Ingest Template'!D66</f>
        <v/>
      </c>
      <c r="N66" s="25"/>
      <c r="O66" s="25"/>
      <c r="P66" s="25"/>
      <c r="Q66" s="25"/>
      <c r="R66" s="25" t="str">
        <f>CONCATENATE('Ingest Template'!F66)</f>
        <v/>
      </c>
      <c r="S66" s="43" t="s">
        <v>160</v>
      </c>
      <c r="T66" s="25" t="str">
        <f>'Ingest Template'!W66</f>
        <v/>
      </c>
      <c r="U66" s="25"/>
      <c r="V66" s="25" t="str">
        <f>LOWER(SUBSTITUTE(SUBSTITUTE(SUBSTITUTE(SUBSTITUTE(SUBSTITUTE('Ingest Template'!Y66,"https:",""),"www.",""),"/",""),"?hl=en",""),"instagram.com",""))</f>
        <v/>
      </c>
      <c r="W66" s="34" t="str">
        <f>(IFERROR(vlookup('Ingest Template'!F66,DropDown!D:E,2,false)&amp;'Ingest Template'!C66,""))</f>
        <v/>
      </c>
      <c r="X66" s="25" t="str">
        <f>'Ingest Template'!AA66</f>
        <v/>
      </c>
      <c r="Y66" s="25"/>
      <c r="Z66" s="25"/>
      <c r="AA66" s="25"/>
      <c r="AB66" s="25" t="str">
        <f>'Ingest Template'!T66</f>
        <v/>
      </c>
      <c r="AC66" s="25"/>
      <c r="AD66" s="25" t="str">
        <f>'Ingest Template'!U66</f>
        <v/>
      </c>
      <c r="AE66" s="25" t="str">
        <f>'Ingest Template'!V66</f>
        <v/>
      </c>
      <c r="AF66" s="25"/>
      <c r="AG66" s="25" t="str">
        <f t="array" ref="AG66">IF('Ingest Template'!A66="Standard",(CONCATENATE(IF(ISBLANK('Ingest Template'!O66),"", 'Ingest Template'!O66&amp;"|DAR"),CHAR(10), IF(ISBLANK('Ingest Template'!P66),"", 'Ingest Template'!P66&amp;"|DAR"),CHAR(10), IF(ISBLANK('Ingest Template'!Q66),"", 'Ingest Template'!Q66&amp;"|DAR"))),(CONCATENATE(IF(ISBLANK('Ingest Template'!O66),"", 'Ingest Template'!O66&amp;"|Operations - Core Title"),CHAR(10), IF(ISBLANK('Ingest Template'!P66),"", 'Ingest Template'!P66&amp;"|Operations - Core Title"),CHAR(10), IF(ISBLANK('Ingest Template'!Q66),"", 'Ingest Template'!Q66&amp;"|Operations - Core Title"))))</f>
        <v>#|Operations - Core Title
#videoGame|Operations - Core Title
</v>
      </c>
      <c r="AH66" s="25"/>
      <c r="AI66" s="25"/>
      <c r="AJ66" s="50" t="str">
        <f>if('Ingest Template'!A66="Standard",'Ingest Template'!R66&amp; "|DAR|DAR|2021-01-01",'Ingest Template'!R66&amp; "|Operations - Core Title|Operations - Core Title")</f>
        <v>#N/A</v>
      </c>
      <c r="AK66" s="25"/>
      <c r="AL66" s="25" t="str">
        <f>if('Ingest Template'!A66="Standard",'Ingest Template'!S66&amp; "|2021-01-01",'Ingest Template'!S66)</f>
        <v>#N/A</v>
      </c>
      <c r="AM66" s="25"/>
    </row>
    <row r="67">
      <c r="A67" s="25"/>
      <c r="B67" s="25" t="str">
        <f>'Ingest Template'!C67&amp;IF('Ingest Template'!A67 = "Standard", " - DAR","")</f>
        <v/>
      </c>
      <c r="C67" s="34" t="s">
        <v>92</v>
      </c>
      <c r="D67" s="34" t="str">
        <f>CONCATENATE('Ingest Template'!E67&amp;Char(10)&amp;'Ingest Template'!G67&amp;Char(10)&amp;'Ingest Template'!H67&amp;Char(10)&amp;'Ingest Template'!I67&amp;Char(10)&amp;'Ingest Template'!J67&amp;Char(10)&amp;'Ingest Template'!K67&amp;Char(10)&amp;'Ingest Template'!L67)</f>
        <v>
</v>
      </c>
      <c r="E67" s="25" t="str">
        <f>('Ingest Template'!M67)</f>
        <v/>
      </c>
      <c r="F67" s="40" t="str">
        <f t="array" ref="F67">INDEX(DropDown!$J$2:$J$63,MATCH(1,COUNTIF(E67,DropDown!$I$2:$I$63),0))</f>
        <v>#N/A</v>
      </c>
      <c r="G67" s="25"/>
      <c r="H67" s="25"/>
      <c r="I67" s="25"/>
      <c r="J67" s="25" t="str">
        <f>'Ingest Template'!B67</f>
        <v/>
      </c>
      <c r="K67" s="25" t="str">
        <f>IF('Ingest Template'!A67="Standard",'Ingest Template'!N67,"Competitive View")</f>
        <v>Competitive View</v>
      </c>
      <c r="L67" s="41" t="s">
        <v>145</v>
      </c>
      <c r="M67" s="25" t="str">
        <f>'Ingest Template'!D67</f>
        <v/>
      </c>
      <c r="N67" s="25"/>
      <c r="O67" s="25"/>
      <c r="P67" s="25"/>
      <c r="Q67" s="25"/>
      <c r="R67" s="25" t="str">
        <f>CONCATENATE('Ingest Template'!F67)</f>
        <v/>
      </c>
      <c r="S67" s="43" t="s">
        <v>160</v>
      </c>
      <c r="T67" s="25" t="str">
        <f>'Ingest Template'!W67</f>
        <v/>
      </c>
      <c r="U67" s="25"/>
      <c r="V67" s="25" t="str">
        <f>LOWER(SUBSTITUTE(SUBSTITUTE(SUBSTITUTE(SUBSTITUTE(SUBSTITUTE('Ingest Template'!Y67,"https:",""),"www.",""),"/",""),"?hl=en",""),"instagram.com",""))</f>
        <v/>
      </c>
      <c r="W67" s="34" t="str">
        <f>(IFERROR(vlookup('Ingest Template'!F67,DropDown!D:E,2,false)&amp;'Ingest Template'!C67,""))</f>
        <v/>
      </c>
      <c r="X67" s="25" t="str">
        <f>'Ingest Template'!AA67</f>
        <v/>
      </c>
      <c r="Y67" s="25"/>
      <c r="Z67" s="25"/>
      <c r="AA67" s="25"/>
      <c r="AB67" s="25" t="str">
        <f>'Ingest Template'!T67</f>
        <v/>
      </c>
      <c r="AC67" s="25"/>
      <c r="AD67" s="25" t="str">
        <f>'Ingest Template'!U67</f>
        <v/>
      </c>
      <c r="AE67" s="25" t="str">
        <f>'Ingest Template'!V67</f>
        <v/>
      </c>
      <c r="AF67" s="25"/>
      <c r="AG67" s="25" t="str">
        <f t="array" ref="AG67">IF('Ingest Template'!A67="Standard",(CONCATENATE(IF(ISBLANK('Ingest Template'!O67),"", 'Ingest Template'!O67&amp;"|DAR"),CHAR(10), IF(ISBLANK('Ingest Template'!P67),"", 'Ingest Template'!P67&amp;"|DAR"),CHAR(10), IF(ISBLANK('Ingest Template'!Q67),"", 'Ingest Template'!Q67&amp;"|DAR"))),(CONCATENATE(IF(ISBLANK('Ingest Template'!O67),"", 'Ingest Template'!O67&amp;"|Operations - Core Title"),CHAR(10), IF(ISBLANK('Ingest Template'!P67),"", 'Ingest Template'!P67&amp;"|Operations - Core Title"),CHAR(10), IF(ISBLANK('Ingest Template'!Q67),"", 'Ingest Template'!Q67&amp;"|Operations - Core Title"))))</f>
        <v>#|Operations - Core Title
#videoGame|Operations - Core Title
</v>
      </c>
      <c r="AH67" s="25"/>
      <c r="AI67" s="25"/>
      <c r="AJ67" s="50" t="str">
        <f>if('Ingest Template'!A67="Standard",'Ingest Template'!R67&amp; "|DAR|DAR|2021-01-01",'Ingest Template'!R67&amp; "|Operations - Core Title|Operations - Core Title")</f>
        <v>#N/A</v>
      </c>
      <c r="AK67" s="25"/>
      <c r="AL67" s="25" t="str">
        <f>if('Ingest Template'!A67="Standard",'Ingest Template'!S67&amp; "|2021-01-01",'Ingest Template'!S67)</f>
        <v>#N/A</v>
      </c>
      <c r="AM67" s="25"/>
    </row>
    <row r="68">
      <c r="A68" s="25"/>
      <c r="B68" s="25" t="str">
        <f>'Ingest Template'!C68&amp;IF('Ingest Template'!A68 = "Standard", " - DAR","")</f>
        <v/>
      </c>
      <c r="C68" s="34" t="s">
        <v>92</v>
      </c>
      <c r="D68" s="34" t="str">
        <f>CONCATENATE('Ingest Template'!E68&amp;Char(10)&amp;'Ingest Template'!G68&amp;Char(10)&amp;'Ingest Template'!H68&amp;Char(10)&amp;'Ingest Template'!I68&amp;Char(10)&amp;'Ingest Template'!J68&amp;Char(10)&amp;'Ingest Template'!K68&amp;Char(10)&amp;'Ingest Template'!L68)</f>
        <v>
</v>
      </c>
      <c r="E68" s="25" t="str">
        <f>('Ingest Template'!M68)</f>
        <v/>
      </c>
      <c r="F68" s="40" t="str">
        <f t="array" ref="F68">INDEX(DropDown!$J$2:$J$63,MATCH(1,COUNTIF(E68,DropDown!$I$2:$I$63),0))</f>
        <v>#N/A</v>
      </c>
      <c r="G68" s="25"/>
      <c r="H68" s="25"/>
      <c r="I68" s="25"/>
      <c r="J68" s="25" t="str">
        <f>'Ingest Template'!B68</f>
        <v/>
      </c>
      <c r="K68" s="25" t="str">
        <f>IF('Ingest Template'!A68="Standard",'Ingest Template'!N68,"Competitive View")</f>
        <v>Competitive View</v>
      </c>
      <c r="L68" s="41" t="s">
        <v>145</v>
      </c>
      <c r="M68" s="25" t="str">
        <f>'Ingest Template'!D68</f>
        <v/>
      </c>
      <c r="N68" s="25"/>
      <c r="O68" s="25"/>
      <c r="P68" s="25"/>
      <c r="Q68" s="25"/>
      <c r="R68" s="25" t="str">
        <f>CONCATENATE('Ingest Template'!F68)</f>
        <v/>
      </c>
      <c r="S68" s="43" t="s">
        <v>160</v>
      </c>
      <c r="T68" s="25" t="str">
        <f>'Ingest Template'!W68</f>
        <v/>
      </c>
      <c r="U68" s="25"/>
      <c r="V68" s="25" t="str">
        <f>LOWER(SUBSTITUTE(SUBSTITUTE(SUBSTITUTE(SUBSTITUTE(SUBSTITUTE('Ingest Template'!Y68,"https:",""),"www.",""),"/",""),"?hl=en",""),"instagram.com",""))</f>
        <v/>
      </c>
      <c r="W68" s="34" t="str">
        <f>(IFERROR(vlookup('Ingest Template'!F68,DropDown!D:E,2,false)&amp;'Ingest Template'!C68,""))</f>
        <v/>
      </c>
      <c r="X68" s="25" t="str">
        <f>'Ingest Template'!AA68</f>
        <v/>
      </c>
      <c r="Y68" s="25"/>
      <c r="Z68" s="25"/>
      <c r="AA68" s="25"/>
      <c r="AB68" s="25" t="str">
        <f>'Ingest Template'!T68</f>
        <v/>
      </c>
      <c r="AC68" s="25"/>
      <c r="AD68" s="25" t="str">
        <f>'Ingest Template'!U68</f>
        <v/>
      </c>
      <c r="AE68" s="25" t="str">
        <f>'Ingest Template'!V68</f>
        <v/>
      </c>
      <c r="AF68" s="25"/>
      <c r="AG68" s="25" t="str">
        <f t="array" ref="AG68">IF('Ingest Template'!A68="Standard",(CONCATENATE(IF(ISBLANK('Ingest Template'!O68),"", 'Ingest Template'!O68&amp;"|DAR"),CHAR(10), IF(ISBLANK('Ingest Template'!P68),"", 'Ingest Template'!P68&amp;"|DAR"),CHAR(10), IF(ISBLANK('Ingest Template'!Q68),"", 'Ingest Template'!Q68&amp;"|DAR"))),(CONCATENATE(IF(ISBLANK('Ingest Template'!O68),"", 'Ingest Template'!O68&amp;"|Operations - Core Title"),CHAR(10), IF(ISBLANK('Ingest Template'!P68),"", 'Ingest Template'!P68&amp;"|Operations - Core Title"),CHAR(10), IF(ISBLANK('Ingest Template'!Q68),"", 'Ingest Template'!Q68&amp;"|Operations - Core Title"))))</f>
        <v>#|Operations - Core Title
#videoGame|Operations - Core Title
</v>
      </c>
      <c r="AH68" s="25"/>
      <c r="AI68" s="25"/>
      <c r="AJ68" s="50" t="str">
        <f>if('Ingest Template'!A68="Standard",'Ingest Template'!R68&amp; "|DAR|DAR|2021-01-01",'Ingest Template'!R68&amp; "|Operations - Core Title|Operations - Core Title")</f>
        <v>#N/A</v>
      </c>
      <c r="AK68" s="25"/>
      <c r="AL68" s="25" t="str">
        <f>if('Ingest Template'!A68="Standard",'Ingest Template'!S68&amp; "|2021-01-01",'Ingest Template'!S68)</f>
        <v>#N/A</v>
      </c>
      <c r="AM68" s="25"/>
    </row>
    <row r="69">
      <c r="A69" s="25"/>
      <c r="B69" s="25" t="str">
        <f>'Ingest Template'!C69&amp;IF('Ingest Template'!A69 = "Standard", " - DAR","")</f>
        <v/>
      </c>
      <c r="C69" s="34" t="s">
        <v>92</v>
      </c>
      <c r="D69" s="34" t="str">
        <f>CONCATENATE('Ingest Template'!E69&amp;Char(10)&amp;'Ingest Template'!G69&amp;Char(10)&amp;'Ingest Template'!H69&amp;Char(10)&amp;'Ingest Template'!I69&amp;Char(10)&amp;'Ingest Template'!J69&amp;Char(10)&amp;'Ingest Template'!K69&amp;Char(10)&amp;'Ingest Template'!L69)</f>
        <v>
</v>
      </c>
      <c r="E69" s="25" t="str">
        <f>('Ingest Template'!M69)</f>
        <v/>
      </c>
      <c r="F69" s="40" t="str">
        <f t="array" ref="F69">INDEX(DropDown!$J$2:$J$63,MATCH(1,COUNTIF(E69,DropDown!$I$2:$I$63),0))</f>
        <v>#N/A</v>
      </c>
      <c r="G69" s="25"/>
      <c r="H69" s="25"/>
      <c r="I69" s="25"/>
      <c r="J69" s="25" t="str">
        <f>'Ingest Template'!B69</f>
        <v/>
      </c>
      <c r="K69" s="25" t="str">
        <f>IF('Ingest Template'!A69="Standard",'Ingest Template'!N69,"Competitive View")</f>
        <v>Competitive View</v>
      </c>
      <c r="L69" s="41" t="s">
        <v>145</v>
      </c>
      <c r="M69" s="25" t="str">
        <f>'Ingest Template'!D69</f>
        <v/>
      </c>
      <c r="N69" s="25"/>
      <c r="O69" s="25"/>
      <c r="P69" s="25"/>
      <c r="Q69" s="25"/>
      <c r="R69" s="25" t="str">
        <f>CONCATENATE('Ingest Template'!F69)</f>
        <v/>
      </c>
      <c r="S69" s="43" t="s">
        <v>160</v>
      </c>
      <c r="T69" s="25" t="str">
        <f>'Ingest Template'!W69</f>
        <v/>
      </c>
      <c r="U69" s="25"/>
      <c r="V69" s="25" t="str">
        <f>LOWER(SUBSTITUTE(SUBSTITUTE(SUBSTITUTE(SUBSTITUTE(SUBSTITUTE('Ingest Template'!Y69,"https:",""),"www.",""),"/",""),"?hl=en",""),"instagram.com",""))</f>
        <v/>
      </c>
      <c r="W69" s="34" t="str">
        <f>(IFERROR(vlookup('Ingest Template'!F69,DropDown!D:E,2,false)&amp;'Ingest Template'!C69,""))</f>
        <v/>
      </c>
      <c r="X69" s="25" t="str">
        <f>'Ingest Template'!AA69</f>
        <v/>
      </c>
      <c r="Y69" s="25"/>
      <c r="Z69" s="25"/>
      <c r="AA69" s="25"/>
      <c r="AB69" s="25" t="str">
        <f>'Ingest Template'!T69</f>
        <v/>
      </c>
      <c r="AC69" s="25"/>
      <c r="AD69" s="25" t="str">
        <f>'Ingest Template'!U69</f>
        <v/>
      </c>
      <c r="AE69" s="25" t="str">
        <f>'Ingest Template'!V69</f>
        <v/>
      </c>
      <c r="AF69" s="25"/>
      <c r="AG69" s="25" t="str">
        <f t="array" ref="AG69">IF('Ingest Template'!A69="Standard",(CONCATENATE(IF(ISBLANK('Ingest Template'!O69),"", 'Ingest Template'!O69&amp;"|DAR"),CHAR(10), IF(ISBLANK('Ingest Template'!P69),"", 'Ingest Template'!P69&amp;"|DAR"),CHAR(10), IF(ISBLANK('Ingest Template'!Q69),"", 'Ingest Template'!Q69&amp;"|DAR"))),(CONCATENATE(IF(ISBLANK('Ingest Template'!O69),"", 'Ingest Template'!O69&amp;"|Operations - Core Title"),CHAR(10), IF(ISBLANK('Ingest Template'!P69),"", 'Ingest Template'!P69&amp;"|Operations - Core Title"),CHAR(10), IF(ISBLANK('Ingest Template'!Q69),"", 'Ingest Template'!Q69&amp;"|Operations - Core Title"))))</f>
        <v>#|Operations - Core Title
#videoGame|Operations - Core Title
</v>
      </c>
      <c r="AH69" s="25"/>
      <c r="AI69" s="25"/>
      <c r="AJ69" s="50" t="str">
        <f>if('Ingest Template'!A69="Standard",'Ingest Template'!R69&amp; "|DAR|DAR|2021-01-01",'Ingest Template'!R69&amp; "|Operations - Core Title|Operations - Core Title")</f>
        <v>#N/A</v>
      </c>
      <c r="AK69" s="25"/>
      <c r="AL69" s="25" t="str">
        <f>if('Ingest Template'!A69="Standard",'Ingest Template'!S69&amp; "|2021-01-01",'Ingest Template'!S69)</f>
        <v>#N/A</v>
      </c>
      <c r="AM69" s="25"/>
    </row>
    <row r="70">
      <c r="A70" s="25"/>
      <c r="B70" s="25" t="str">
        <f>'Ingest Template'!C70&amp;IF('Ingest Template'!A70 = "Standard", " - DAR","")</f>
        <v/>
      </c>
      <c r="C70" s="34" t="s">
        <v>92</v>
      </c>
      <c r="D70" s="34" t="str">
        <f>CONCATENATE('Ingest Template'!E70&amp;Char(10)&amp;'Ingest Template'!G70&amp;Char(10)&amp;'Ingest Template'!H70&amp;Char(10)&amp;'Ingest Template'!I70&amp;Char(10)&amp;'Ingest Template'!J70&amp;Char(10)&amp;'Ingest Template'!K70&amp;Char(10)&amp;'Ingest Template'!L70)</f>
        <v>
</v>
      </c>
      <c r="E70" s="25" t="str">
        <f>('Ingest Template'!M70)</f>
        <v/>
      </c>
      <c r="F70" s="40" t="str">
        <f t="array" ref="F70">INDEX(DropDown!$J$2:$J$63,MATCH(1,COUNTIF(E70,DropDown!$I$2:$I$63),0))</f>
        <v>#N/A</v>
      </c>
      <c r="G70" s="25"/>
      <c r="H70" s="25"/>
      <c r="I70" s="25"/>
      <c r="J70" s="25" t="str">
        <f>'Ingest Template'!B70</f>
        <v/>
      </c>
      <c r="K70" s="25" t="str">
        <f>IF('Ingest Template'!A70="Standard",'Ingest Template'!N70,"Competitive View")</f>
        <v>Competitive View</v>
      </c>
      <c r="L70" s="41" t="s">
        <v>145</v>
      </c>
      <c r="M70" s="25" t="str">
        <f>'Ingest Template'!D70</f>
        <v/>
      </c>
      <c r="N70" s="25"/>
      <c r="O70" s="25"/>
      <c r="P70" s="25"/>
      <c r="Q70" s="25"/>
      <c r="R70" s="25" t="str">
        <f>CONCATENATE('Ingest Template'!F70)</f>
        <v/>
      </c>
      <c r="S70" s="43" t="s">
        <v>160</v>
      </c>
      <c r="T70" s="25" t="str">
        <f>'Ingest Template'!W70</f>
        <v/>
      </c>
      <c r="U70" s="25"/>
      <c r="V70" s="25" t="str">
        <f>LOWER(SUBSTITUTE(SUBSTITUTE(SUBSTITUTE(SUBSTITUTE(SUBSTITUTE('Ingest Template'!Y70,"https:",""),"www.",""),"/",""),"?hl=en",""),"instagram.com",""))</f>
        <v/>
      </c>
      <c r="W70" s="34" t="str">
        <f>(IFERROR(vlookup('Ingest Template'!F70,DropDown!D:E,2,false)&amp;'Ingest Template'!C70,""))</f>
        <v/>
      </c>
      <c r="X70" s="25" t="str">
        <f>'Ingest Template'!AA70</f>
        <v/>
      </c>
      <c r="Y70" s="25"/>
      <c r="Z70" s="25"/>
      <c r="AA70" s="25"/>
      <c r="AB70" s="25" t="str">
        <f>'Ingest Template'!T70</f>
        <v/>
      </c>
      <c r="AC70" s="25"/>
      <c r="AD70" s="25" t="str">
        <f>'Ingest Template'!U70</f>
        <v/>
      </c>
      <c r="AE70" s="25" t="str">
        <f>'Ingest Template'!V70</f>
        <v/>
      </c>
      <c r="AF70" s="25"/>
      <c r="AG70" s="25" t="str">
        <f t="array" ref="AG70">IF('Ingest Template'!A70="Standard",(CONCATENATE(IF(ISBLANK('Ingest Template'!O70),"", 'Ingest Template'!O70&amp;"|DAR"),CHAR(10), IF(ISBLANK('Ingest Template'!P70),"", 'Ingest Template'!P70&amp;"|DAR"),CHAR(10), IF(ISBLANK('Ingest Template'!Q70),"", 'Ingest Template'!Q70&amp;"|DAR"))),(CONCATENATE(IF(ISBLANK('Ingest Template'!O70),"", 'Ingest Template'!O70&amp;"|Operations - Core Title"),CHAR(10), IF(ISBLANK('Ingest Template'!P70),"", 'Ingest Template'!P70&amp;"|Operations - Core Title"),CHAR(10), IF(ISBLANK('Ingest Template'!Q70),"", 'Ingest Template'!Q70&amp;"|Operations - Core Title"))))</f>
        <v>#|Operations - Core Title
#videoGame|Operations - Core Title
</v>
      </c>
      <c r="AH70" s="25"/>
      <c r="AI70" s="25"/>
      <c r="AJ70" s="50" t="str">
        <f>if('Ingest Template'!A70="Standard",'Ingest Template'!R70&amp; "|DAR|DAR|2021-01-01",'Ingest Template'!R70&amp; "|Operations - Core Title|Operations - Core Title")</f>
        <v>#N/A</v>
      </c>
      <c r="AK70" s="25"/>
      <c r="AL70" s="25" t="str">
        <f>if('Ingest Template'!A70="Standard",'Ingest Template'!S70&amp; "|2021-01-01",'Ingest Template'!S70)</f>
        <v>#N/A</v>
      </c>
      <c r="AM70" s="25"/>
    </row>
    <row r="71">
      <c r="A71" s="25"/>
      <c r="B71" s="25" t="str">
        <f>'Ingest Template'!C71&amp;IF('Ingest Template'!A71 = "Standard", " - DAR","")</f>
        <v/>
      </c>
      <c r="C71" s="34" t="s">
        <v>92</v>
      </c>
      <c r="D71" s="34" t="str">
        <f>CONCATENATE('Ingest Template'!E71&amp;Char(10)&amp;'Ingest Template'!G71&amp;Char(10)&amp;'Ingest Template'!H71&amp;Char(10)&amp;'Ingest Template'!I71&amp;Char(10)&amp;'Ingest Template'!J71&amp;Char(10)&amp;'Ingest Template'!K71&amp;Char(10)&amp;'Ingest Template'!L71)</f>
        <v>
</v>
      </c>
      <c r="E71" s="25" t="str">
        <f>('Ingest Template'!M71)</f>
        <v/>
      </c>
      <c r="F71" s="40" t="str">
        <f t="array" ref="F71">INDEX(DropDown!$J$2:$J$63,MATCH(1,COUNTIF(E71,DropDown!$I$2:$I$63),0))</f>
        <v>#N/A</v>
      </c>
      <c r="G71" s="25"/>
      <c r="H71" s="25"/>
      <c r="I71" s="25"/>
      <c r="J71" s="25" t="str">
        <f>'Ingest Template'!B71</f>
        <v/>
      </c>
      <c r="K71" s="25" t="str">
        <f>IF('Ingest Template'!A71="Standard",'Ingest Template'!N71,"Competitive View")</f>
        <v>Competitive View</v>
      </c>
      <c r="L71" s="41" t="s">
        <v>145</v>
      </c>
      <c r="M71" s="25" t="str">
        <f>'Ingest Template'!D71</f>
        <v/>
      </c>
      <c r="N71" s="25"/>
      <c r="O71" s="25"/>
      <c r="P71" s="25"/>
      <c r="Q71" s="25"/>
      <c r="R71" s="25" t="str">
        <f>CONCATENATE('Ingest Template'!F71)</f>
        <v/>
      </c>
      <c r="S71" s="43" t="s">
        <v>160</v>
      </c>
      <c r="T71" s="25" t="str">
        <f>'Ingest Template'!W71</f>
        <v/>
      </c>
      <c r="U71" s="25"/>
      <c r="V71" s="25" t="str">
        <f>LOWER(SUBSTITUTE(SUBSTITUTE(SUBSTITUTE(SUBSTITUTE(SUBSTITUTE('Ingest Template'!Y71,"https:",""),"www.",""),"/",""),"?hl=en",""),"instagram.com",""))</f>
        <v/>
      </c>
      <c r="W71" s="34" t="str">
        <f>(IFERROR(vlookup('Ingest Template'!F71,DropDown!D:E,2,false)&amp;'Ingest Template'!C71,""))</f>
        <v/>
      </c>
      <c r="X71" s="25" t="str">
        <f>'Ingest Template'!AA71</f>
        <v/>
      </c>
      <c r="Y71" s="25"/>
      <c r="Z71" s="25"/>
      <c r="AA71" s="25"/>
      <c r="AB71" s="25" t="str">
        <f>'Ingest Template'!T71</f>
        <v/>
      </c>
      <c r="AC71" s="25"/>
      <c r="AD71" s="25" t="str">
        <f>'Ingest Template'!U71</f>
        <v/>
      </c>
      <c r="AE71" s="25" t="str">
        <f>'Ingest Template'!V71</f>
        <v/>
      </c>
      <c r="AF71" s="25"/>
      <c r="AG71" s="25" t="str">
        <f t="array" ref="AG71">IF('Ingest Template'!A71="Standard",(CONCATENATE(IF(ISBLANK('Ingest Template'!O71),"", 'Ingest Template'!O71&amp;"|DAR"),CHAR(10), IF(ISBLANK('Ingest Template'!P71),"", 'Ingest Template'!P71&amp;"|DAR"),CHAR(10), IF(ISBLANK('Ingest Template'!Q71),"", 'Ingest Template'!Q71&amp;"|DAR"))),(CONCATENATE(IF(ISBLANK('Ingest Template'!O71),"", 'Ingest Template'!O71&amp;"|Operations - Core Title"),CHAR(10), IF(ISBLANK('Ingest Template'!P71),"", 'Ingest Template'!P71&amp;"|Operations - Core Title"),CHAR(10), IF(ISBLANK('Ingest Template'!Q71),"", 'Ingest Template'!Q71&amp;"|Operations - Core Title"))))</f>
        <v>#|Operations - Core Title
#videoGame|Operations - Core Title
</v>
      </c>
      <c r="AH71" s="25"/>
      <c r="AI71" s="25"/>
      <c r="AJ71" s="50" t="str">
        <f>if('Ingest Template'!A71="Standard",'Ingest Template'!R71&amp; "|DAR|DAR|2021-01-01",'Ingest Template'!R71&amp; "|Operations - Core Title|Operations - Core Title")</f>
        <v>#N/A</v>
      </c>
      <c r="AK71" s="25"/>
      <c r="AL71" s="25" t="str">
        <f>if('Ingest Template'!A71="Standard",'Ingest Template'!S71&amp; "|2021-01-01",'Ingest Template'!S71)</f>
        <v>#N/A</v>
      </c>
      <c r="AM71" s="25"/>
    </row>
    <row r="72">
      <c r="A72" s="25"/>
      <c r="B72" s="25" t="str">
        <f>'Ingest Template'!C72&amp;IF('Ingest Template'!A72 = "Standard", " - DAR","")</f>
        <v/>
      </c>
      <c r="C72" s="34" t="s">
        <v>92</v>
      </c>
      <c r="D72" s="34" t="str">
        <f>CONCATENATE('Ingest Template'!E72&amp;Char(10)&amp;'Ingest Template'!G72&amp;Char(10)&amp;'Ingest Template'!H72&amp;Char(10)&amp;'Ingest Template'!I72&amp;Char(10)&amp;'Ingest Template'!J72&amp;Char(10)&amp;'Ingest Template'!K72&amp;Char(10)&amp;'Ingest Template'!L72)</f>
        <v>
</v>
      </c>
      <c r="E72" s="25" t="str">
        <f>('Ingest Template'!M72)</f>
        <v/>
      </c>
      <c r="F72" s="40" t="str">
        <f t="array" ref="F72">INDEX(DropDown!$J$2:$J$63,MATCH(1,COUNTIF(E72,DropDown!$I$2:$I$63),0))</f>
        <v>#N/A</v>
      </c>
      <c r="G72" s="25"/>
      <c r="H72" s="25"/>
      <c r="I72" s="25"/>
      <c r="J72" s="25" t="str">
        <f>'Ingest Template'!B72</f>
        <v/>
      </c>
      <c r="K72" s="25" t="str">
        <f>IF('Ingest Template'!A72="Standard",'Ingest Template'!N72,"Competitive View")</f>
        <v>Competitive View</v>
      </c>
      <c r="L72" s="41" t="s">
        <v>145</v>
      </c>
      <c r="M72" s="25" t="str">
        <f>'Ingest Template'!D72</f>
        <v/>
      </c>
      <c r="N72" s="25"/>
      <c r="O72" s="25"/>
      <c r="P72" s="25"/>
      <c r="Q72" s="25"/>
      <c r="R72" s="25" t="str">
        <f>CONCATENATE('Ingest Template'!F72)</f>
        <v/>
      </c>
      <c r="S72" s="43" t="s">
        <v>160</v>
      </c>
      <c r="T72" s="25" t="str">
        <f>'Ingest Template'!W72</f>
        <v/>
      </c>
      <c r="U72" s="25"/>
      <c r="V72" s="25" t="str">
        <f>LOWER(SUBSTITUTE(SUBSTITUTE(SUBSTITUTE(SUBSTITUTE(SUBSTITUTE('Ingest Template'!Y72,"https:",""),"www.",""),"/",""),"?hl=en",""),"instagram.com",""))</f>
        <v/>
      </c>
      <c r="W72" s="34" t="str">
        <f>(IFERROR(vlookup('Ingest Template'!F72,DropDown!D:E,2,false)&amp;'Ingest Template'!C72,""))</f>
        <v/>
      </c>
      <c r="X72" s="25" t="str">
        <f>'Ingest Template'!AA72</f>
        <v/>
      </c>
      <c r="Y72" s="25"/>
      <c r="Z72" s="25"/>
      <c r="AA72" s="25"/>
      <c r="AB72" s="25" t="str">
        <f>'Ingest Template'!T72</f>
        <v/>
      </c>
      <c r="AC72" s="25"/>
      <c r="AD72" s="25" t="str">
        <f>'Ingest Template'!U72</f>
        <v/>
      </c>
      <c r="AE72" s="25" t="str">
        <f>'Ingest Template'!V72</f>
        <v/>
      </c>
      <c r="AF72" s="25"/>
      <c r="AG72" s="25" t="str">
        <f t="array" ref="AG72">IF('Ingest Template'!A72="Standard",(CONCATENATE(IF(ISBLANK('Ingest Template'!O72),"", 'Ingest Template'!O72&amp;"|DAR"),CHAR(10), IF(ISBLANK('Ingest Template'!P72),"", 'Ingest Template'!P72&amp;"|DAR"),CHAR(10), IF(ISBLANK('Ingest Template'!Q72),"", 'Ingest Template'!Q72&amp;"|DAR"))),(CONCATENATE(IF(ISBLANK('Ingest Template'!O72),"", 'Ingest Template'!O72&amp;"|Operations - Core Title"),CHAR(10), IF(ISBLANK('Ingest Template'!P72),"", 'Ingest Template'!P72&amp;"|Operations - Core Title"),CHAR(10), IF(ISBLANK('Ingest Template'!Q72),"", 'Ingest Template'!Q72&amp;"|Operations - Core Title"))))</f>
        <v>#|Operations - Core Title
#videoGame|Operations - Core Title
</v>
      </c>
      <c r="AH72" s="25"/>
      <c r="AI72" s="25"/>
      <c r="AJ72" s="50" t="str">
        <f>if('Ingest Template'!A72="Standard",'Ingest Template'!R72&amp; "|DAR|DAR|2021-01-01",'Ingest Template'!R72&amp; "|Operations - Core Title|Operations - Core Title")</f>
        <v>#N/A</v>
      </c>
      <c r="AK72" s="25"/>
      <c r="AL72" s="25" t="str">
        <f>if('Ingest Template'!A72="Standard",'Ingest Template'!S72&amp; "|2021-01-01",'Ingest Template'!S72)</f>
        <v>#N/A</v>
      </c>
      <c r="AM72" s="25"/>
    </row>
    <row r="73">
      <c r="A73" s="25"/>
      <c r="B73" s="25" t="str">
        <f>'Ingest Template'!C73&amp;IF('Ingest Template'!A73 = "Standard", " - DAR","")</f>
        <v/>
      </c>
      <c r="C73" s="34" t="s">
        <v>92</v>
      </c>
      <c r="D73" s="34" t="str">
        <f>CONCATENATE('Ingest Template'!E73&amp;Char(10)&amp;'Ingest Template'!G73&amp;Char(10)&amp;'Ingest Template'!H73&amp;Char(10)&amp;'Ingest Template'!I73&amp;Char(10)&amp;'Ingest Template'!J73&amp;Char(10)&amp;'Ingest Template'!K73&amp;Char(10)&amp;'Ingest Template'!L73)</f>
        <v>
</v>
      </c>
      <c r="E73" s="25" t="str">
        <f>('Ingest Template'!M73)</f>
        <v/>
      </c>
      <c r="F73" s="40" t="str">
        <f t="array" ref="F73">INDEX(DropDown!$J$2:$J$63,MATCH(1,COUNTIF(E73,DropDown!$I$2:$I$63),0))</f>
        <v>#N/A</v>
      </c>
      <c r="G73" s="25"/>
      <c r="H73" s="25"/>
      <c r="I73" s="25"/>
      <c r="J73" s="25" t="str">
        <f>'Ingest Template'!B73</f>
        <v/>
      </c>
      <c r="K73" s="25" t="str">
        <f>IF('Ingest Template'!A73="Standard",'Ingest Template'!N73,"Competitive View")</f>
        <v>Competitive View</v>
      </c>
      <c r="L73" s="41" t="s">
        <v>145</v>
      </c>
      <c r="M73" s="25" t="str">
        <f>'Ingest Template'!D73</f>
        <v/>
      </c>
      <c r="N73" s="25"/>
      <c r="O73" s="25"/>
      <c r="P73" s="25"/>
      <c r="Q73" s="25"/>
      <c r="R73" s="25" t="str">
        <f>CONCATENATE('Ingest Template'!F73)</f>
        <v/>
      </c>
      <c r="S73" s="43" t="s">
        <v>160</v>
      </c>
      <c r="T73" s="25" t="str">
        <f>'Ingest Template'!W73</f>
        <v/>
      </c>
      <c r="U73" s="25"/>
      <c r="V73" s="25" t="str">
        <f>LOWER(SUBSTITUTE(SUBSTITUTE(SUBSTITUTE(SUBSTITUTE(SUBSTITUTE('Ingest Template'!Y73,"https:",""),"www.",""),"/",""),"?hl=en",""),"instagram.com",""))</f>
        <v/>
      </c>
      <c r="W73" s="34" t="str">
        <f>(IFERROR(vlookup('Ingest Template'!F73,DropDown!D:E,2,false)&amp;'Ingest Template'!C73,""))</f>
        <v/>
      </c>
      <c r="X73" s="25" t="str">
        <f>'Ingest Template'!AA73</f>
        <v/>
      </c>
      <c r="Y73" s="25"/>
      <c r="Z73" s="25"/>
      <c r="AA73" s="25"/>
      <c r="AB73" s="25" t="str">
        <f>'Ingest Template'!T73</f>
        <v/>
      </c>
      <c r="AC73" s="25"/>
      <c r="AD73" s="25" t="str">
        <f>'Ingest Template'!U73</f>
        <v/>
      </c>
      <c r="AE73" s="25" t="str">
        <f>'Ingest Template'!V73</f>
        <v/>
      </c>
      <c r="AF73" s="25"/>
      <c r="AG73" s="25" t="str">
        <f t="array" ref="AG73">IF('Ingest Template'!A73="Standard",(CONCATENATE(IF(ISBLANK('Ingest Template'!O73),"", 'Ingest Template'!O73&amp;"|DAR"),CHAR(10), IF(ISBLANK('Ingest Template'!P73),"", 'Ingest Template'!P73&amp;"|DAR"),CHAR(10), IF(ISBLANK('Ingest Template'!Q73),"", 'Ingest Template'!Q73&amp;"|DAR"))),(CONCATENATE(IF(ISBLANK('Ingest Template'!O73),"", 'Ingest Template'!O73&amp;"|Operations - Core Title"),CHAR(10), IF(ISBLANK('Ingest Template'!P73),"", 'Ingest Template'!P73&amp;"|Operations - Core Title"),CHAR(10), IF(ISBLANK('Ingest Template'!Q73),"", 'Ingest Template'!Q73&amp;"|Operations - Core Title"))))</f>
        <v>#|Operations - Core Title
#videoGame|Operations - Core Title
</v>
      </c>
      <c r="AH73" s="25"/>
      <c r="AI73" s="25"/>
      <c r="AJ73" s="50" t="str">
        <f>if('Ingest Template'!A73="Standard",'Ingest Template'!R73&amp; "|DAR|DAR|2021-01-01",'Ingest Template'!R73&amp; "|Operations - Core Title|Operations - Core Title")</f>
        <v>#N/A</v>
      </c>
      <c r="AK73" s="25"/>
      <c r="AL73" s="25" t="str">
        <f>if('Ingest Template'!A73="Standard",'Ingest Template'!S73&amp; "|2021-01-01",'Ingest Template'!S73)</f>
        <v>#N/A</v>
      </c>
      <c r="AM73" s="25"/>
    </row>
    <row r="74">
      <c r="A74" s="25"/>
      <c r="B74" s="25" t="str">
        <f>'Ingest Template'!C74&amp;IF('Ingest Template'!A74 = "Standard", " - DAR","")</f>
        <v/>
      </c>
      <c r="C74" s="34" t="s">
        <v>92</v>
      </c>
      <c r="D74" s="34" t="str">
        <f>CONCATENATE('Ingest Template'!E74&amp;Char(10)&amp;'Ingest Template'!G74&amp;Char(10)&amp;'Ingest Template'!H74&amp;Char(10)&amp;'Ingest Template'!I74&amp;Char(10)&amp;'Ingest Template'!J74&amp;Char(10)&amp;'Ingest Template'!K74&amp;Char(10)&amp;'Ingest Template'!L74)</f>
        <v>
</v>
      </c>
      <c r="E74" s="25" t="str">
        <f>('Ingest Template'!M74)</f>
        <v/>
      </c>
      <c r="F74" s="40" t="str">
        <f t="array" ref="F74">INDEX(DropDown!$J$2:$J$63,MATCH(1,COUNTIF(E74,DropDown!$I$2:$I$63),0))</f>
        <v>#N/A</v>
      </c>
      <c r="G74" s="25"/>
      <c r="H74" s="25"/>
      <c r="I74" s="25"/>
      <c r="J74" s="25" t="str">
        <f>'Ingest Template'!B74</f>
        <v/>
      </c>
      <c r="K74" s="25" t="str">
        <f>IF('Ingest Template'!A74="Standard",'Ingest Template'!N74,"Competitive View")</f>
        <v>Competitive View</v>
      </c>
      <c r="L74" s="41" t="s">
        <v>145</v>
      </c>
      <c r="M74" s="25" t="str">
        <f>'Ingest Template'!D74</f>
        <v/>
      </c>
      <c r="N74" s="25"/>
      <c r="O74" s="25"/>
      <c r="P74" s="25"/>
      <c r="Q74" s="25"/>
      <c r="R74" s="25" t="str">
        <f>CONCATENATE('Ingest Template'!F74)</f>
        <v/>
      </c>
      <c r="S74" s="43" t="s">
        <v>160</v>
      </c>
      <c r="T74" s="25" t="str">
        <f>'Ingest Template'!W74</f>
        <v/>
      </c>
      <c r="U74" s="25"/>
      <c r="V74" s="25" t="str">
        <f>LOWER(SUBSTITUTE(SUBSTITUTE(SUBSTITUTE(SUBSTITUTE(SUBSTITUTE('Ingest Template'!Y74,"https:",""),"www.",""),"/",""),"?hl=en",""),"instagram.com",""))</f>
        <v/>
      </c>
      <c r="W74" s="34" t="str">
        <f>(IFERROR(vlookup('Ingest Template'!F74,DropDown!D:E,2,false)&amp;'Ingest Template'!C74,""))</f>
        <v/>
      </c>
      <c r="X74" s="25" t="str">
        <f>'Ingest Template'!AA74</f>
        <v/>
      </c>
      <c r="Y74" s="25"/>
      <c r="Z74" s="25"/>
      <c r="AA74" s="25"/>
      <c r="AB74" s="25" t="str">
        <f>'Ingest Template'!T74</f>
        <v/>
      </c>
      <c r="AC74" s="25"/>
      <c r="AD74" s="25" t="str">
        <f>'Ingest Template'!U74</f>
        <v/>
      </c>
      <c r="AE74" s="25" t="str">
        <f>'Ingest Template'!V74</f>
        <v/>
      </c>
      <c r="AF74" s="25"/>
      <c r="AG74" s="25" t="str">
        <f t="array" ref="AG74">IF('Ingest Template'!A74="Standard",(CONCATENATE(IF(ISBLANK('Ingest Template'!O74),"", 'Ingest Template'!O74&amp;"|DAR"),CHAR(10), IF(ISBLANK('Ingest Template'!P74),"", 'Ingest Template'!P74&amp;"|DAR"),CHAR(10), IF(ISBLANK('Ingest Template'!Q74),"", 'Ingest Template'!Q74&amp;"|DAR"))),(CONCATENATE(IF(ISBLANK('Ingest Template'!O74),"", 'Ingest Template'!O74&amp;"|Operations - Core Title"),CHAR(10), IF(ISBLANK('Ingest Template'!P74),"", 'Ingest Template'!P74&amp;"|Operations - Core Title"),CHAR(10), IF(ISBLANK('Ingest Template'!Q74),"", 'Ingest Template'!Q74&amp;"|Operations - Core Title"))))</f>
        <v>#|Operations - Core Title
#videoGame|Operations - Core Title
</v>
      </c>
      <c r="AH74" s="25"/>
      <c r="AI74" s="25"/>
      <c r="AJ74" s="50" t="str">
        <f>if('Ingest Template'!A74="Standard",'Ingest Template'!R74&amp; "|DAR|DAR|2021-01-01",'Ingest Template'!R74&amp; "|Operations - Core Title|Operations - Core Title")</f>
        <v>#N/A</v>
      </c>
      <c r="AK74" s="25"/>
      <c r="AL74" s="25" t="str">
        <f>if('Ingest Template'!A74="Standard",'Ingest Template'!S74&amp; "|2021-01-01",'Ingest Template'!S74)</f>
        <v>#N/A</v>
      </c>
      <c r="AM74" s="25"/>
    </row>
    <row r="75">
      <c r="A75" s="25"/>
      <c r="B75" s="25" t="str">
        <f>'Ingest Template'!C75&amp;IF('Ingest Template'!A75 = "Standard", " - DAR","")</f>
        <v/>
      </c>
      <c r="C75" s="34" t="s">
        <v>92</v>
      </c>
      <c r="D75" s="34" t="str">
        <f>CONCATENATE('Ingest Template'!E75&amp;Char(10)&amp;'Ingest Template'!G75&amp;Char(10)&amp;'Ingest Template'!H75&amp;Char(10)&amp;'Ingest Template'!I75&amp;Char(10)&amp;'Ingest Template'!J75&amp;Char(10)&amp;'Ingest Template'!K75&amp;Char(10)&amp;'Ingest Template'!L75)</f>
        <v>
</v>
      </c>
      <c r="E75" s="25" t="str">
        <f>('Ingest Template'!M75)</f>
        <v/>
      </c>
      <c r="F75" s="40" t="str">
        <f t="array" ref="F75">INDEX(DropDown!$J$2:$J$63,MATCH(1,COUNTIF(E75,DropDown!$I$2:$I$63),0))</f>
        <v>#N/A</v>
      </c>
      <c r="G75" s="25"/>
      <c r="H75" s="25"/>
      <c r="I75" s="25"/>
      <c r="J75" s="25" t="str">
        <f>'Ingest Template'!B75</f>
        <v/>
      </c>
      <c r="K75" s="25" t="str">
        <f>IF('Ingest Template'!A75="Standard",'Ingest Template'!N75,"Competitive View")</f>
        <v>Competitive View</v>
      </c>
      <c r="L75" s="41" t="s">
        <v>145</v>
      </c>
      <c r="M75" s="25" t="str">
        <f>'Ingest Template'!D75</f>
        <v/>
      </c>
      <c r="N75" s="25"/>
      <c r="O75" s="25"/>
      <c r="P75" s="25"/>
      <c r="Q75" s="25"/>
      <c r="R75" s="25" t="str">
        <f>CONCATENATE('Ingest Template'!F75)</f>
        <v/>
      </c>
      <c r="S75" s="43" t="s">
        <v>160</v>
      </c>
      <c r="T75" s="25" t="str">
        <f>'Ingest Template'!W75</f>
        <v/>
      </c>
      <c r="U75" s="25"/>
      <c r="V75" s="25" t="str">
        <f>LOWER(SUBSTITUTE(SUBSTITUTE(SUBSTITUTE(SUBSTITUTE(SUBSTITUTE('Ingest Template'!Y75,"https:",""),"www.",""),"/",""),"?hl=en",""),"instagram.com",""))</f>
        <v/>
      </c>
      <c r="W75" s="34" t="str">
        <f>(IFERROR(vlookup('Ingest Template'!F75,DropDown!D:E,2,false)&amp;'Ingest Template'!C75,""))</f>
        <v/>
      </c>
      <c r="X75" s="25" t="str">
        <f>'Ingest Template'!AA75</f>
        <v/>
      </c>
      <c r="Y75" s="25"/>
      <c r="Z75" s="25"/>
      <c r="AA75" s="25"/>
      <c r="AB75" s="25" t="str">
        <f>'Ingest Template'!T75</f>
        <v/>
      </c>
      <c r="AC75" s="25"/>
      <c r="AD75" s="25" t="str">
        <f>'Ingest Template'!U75</f>
        <v/>
      </c>
      <c r="AE75" s="25" t="str">
        <f>'Ingest Template'!V75</f>
        <v/>
      </c>
      <c r="AF75" s="25"/>
      <c r="AG75" s="25" t="str">
        <f t="array" ref="AG75">IF('Ingest Template'!A75="Standard",(CONCATENATE(IF(ISBLANK('Ingest Template'!O75),"", 'Ingest Template'!O75&amp;"|DAR"),CHAR(10), IF(ISBLANK('Ingest Template'!P75),"", 'Ingest Template'!P75&amp;"|DAR"),CHAR(10), IF(ISBLANK('Ingest Template'!Q75),"", 'Ingest Template'!Q75&amp;"|DAR"))),(CONCATENATE(IF(ISBLANK('Ingest Template'!O75),"", 'Ingest Template'!O75&amp;"|Operations - Core Title"),CHAR(10), IF(ISBLANK('Ingest Template'!P75),"", 'Ingest Template'!P75&amp;"|Operations - Core Title"),CHAR(10), IF(ISBLANK('Ingest Template'!Q75),"", 'Ingest Template'!Q75&amp;"|Operations - Core Title"))))</f>
        <v>#|Operations - Core Title
#videoGame|Operations - Core Title
</v>
      </c>
      <c r="AH75" s="25"/>
      <c r="AI75" s="25"/>
      <c r="AJ75" s="50" t="str">
        <f>if('Ingest Template'!A75="Standard",'Ingest Template'!R75&amp; "|DAR|DAR|2021-01-01",'Ingest Template'!R75&amp; "|Operations - Core Title|Operations - Core Title")</f>
        <v>#N/A</v>
      </c>
      <c r="AK75" s="25"/>
      <c r="AL75" s="25" t="str">
        <f>if('Ingest Template'!A75="Standard",'Ingest Template'!S75&amp; "|2021-01-01",'Ingest Template'!S75)</f>
        <v>#N/A</v>
      </c>
      <c r="AM75" s="25"/>
    </row>
    <row r="76">
      <c r="A76" s="25"/>
      <c r="B76" s="25" t="str">
        <f>'Ingest Template'!C76&amp;IF('Ingest Template'!A76 = "Standard", " - DAR","")</f>
        <v/>
      </c>
      <c r="C76" s="34" t="s">
        <v>92</v>
      </c>
      <c r="D76" s="34" t="str">
        <f>CONCATENATE('Ingest Template'!E76&amp;Char(10)&amp;'Ingest Template'!G76&amp;Char(10)&amp;'Ingest Template'!H76&amp;Char(10)&amp;'Ingest Template'!I76&amp;Char(10)&amp;'Ingest Template'!J76&amp;Char(10)&amp;'Ingest Template'!K76&amp;Char(10)&amp;'Ingest Template'!L76)</f>
        <v>
</v>
      </c>
      <c r="E76" s="25" t="str">
        <f>('Ingest Template'!M76)</f>
        <v/>
      </c>
      <c r="F76" s="40" t="str">
        <f t="array" ref="F76">INDEX(DropDown!$J$2:$J$63,MATCH(1,COUNTIF(E76,DropDown!$I$2:$I$63),0))</f>
        <v>#N/A</v>
      </c>
      <c r="G76" s="25"/>
      <c r="H76" s="25"/>
      <c r="I76" s="25"/>
      <c r="J76" s="25" t="str">
        <f>'Ingest Template'!B76</f>
        <v/>
      </c>
      <c r="K76" s="25" t="str">
        <f>IF('Ingest Template'!A76="Standard",'Ingest Template'!N76,"Competitive View")</f>
        <v>Competitive View</v>
      </c>
      <c r="L76" s="41" t="s">
        <v>145</v>
      </c>
      <c r="M76" s="25" t="str">
        <f>'Ingest Template'!D76</f>
        <v/>
      </c>
      <c r="N76" s="25"/>
      <c r="O76" s="25"/>
      <c r="P76" s="25"/>
      <c r="Q76" s="25"/>
      <c r="R76" s="25" t="str">
        <f>CONCATENATE('Ingest Template'!F76)</f>
        <v/>
      </c>
      <c r="S76" s="43" t="s">
        <v>160</v>
      </c>
      <c r="T76" s="25" t="str">
        <f>'Ingest Template'!W76</f>
        <v/>
      </c>
      <c r="U76" s="25"/>
      <c r="V76" s="25" t="str">
        <f>LOWER(SUBSTITUTE(SUBSTITUTE(SUBSTITUTE(SUBSTITUTE(SUBSTITUTE('Ingest Template'!Y76,"https:",""),"www.",""),"/",""),"?hl=en",""),"instagram.com",""))</f>
        <v/>
      </c>
      <c r="W76" s="34" t="str">
        <f>(IFERROR(vlookup('Ingest Template'!F76,DropDown!D:E,2,false)&amp;'Ingest Template'!C76,""))</f>
        <v/>
      </c>
      <c r="X76" s="25" t="str">
        <f>'Ingest Template'!AA76</f>
        <v/>
      </c>
      <c r="Y76" s="25"/>
      <c r="Z76" s="25"/>
      <c r="AA76" s="25"/>
      <c r="AB76" s="25" t="str">
        <f>'Ingest Template'!T76</f>
        <v/>
      </c>
      <c r="AC76" s="25"/>
      <c r="AD76" s="25" t="str">
        <f>'Ingest Template'!U76</f>
        <v/>
      </c>
      <c r="AE76" s="25" t="str">
        <f>'Ingest Template'!V76</f>
        <v/>
      </c>
      <c r="AF76" s="25"/>
      <c r="AG76" s="25" t="str">
        <f t="array" ref="AG76">IF('Ingest Template'!A76="Standard",(CONCATENATE(IF(ISBLANK('Ingest Template'!O76),"", 'Ingest Template'!O76&amp;"|DAR"),CHAR(10), IF(ISBLANK('Ingest Template'!P76),"", 'Ingest Template'!P76&amp;"|DAR"),CHAR(10), IF(ISBLANK('Ingest Template'!Q76),"", 'Ingest Template'!Q76&amp;"|DAR"))),(CONCATENATE(IF(ISBLANK('Ingest Template'!O76),"", 'Ingest Template'!O76&amp;"|Operations - Core Title"),CHAR(10), IF(ISBLANK('Ingest Template'!P76),"", 'Ingest Template'!P76&amp;"|Operations - Core Title"),CHAR(10), IF(ISBLANK('Ingest Template'!Q76),"", 'Ingest Template'!Q76&amp;"|Operations - Core Title"))))</f>
        <v>#|Operations - Core Title
#videoGame|Operations - Core Title
</v>
      </c>
      <c r="AH76" s="25"/>
      <c r="AI76" s="25"/>
      <c r="AJ76" s="50" t="str">
        <f>if('Ingest Template'!A76="Standard",'Ingest Template'!R76&amp; "|DAR|DAR|2021-01-01",'Ingest Template'!R76&amp; "|Operations - Core Title|Operations - Core Title")</f>
        <v>#N/A</v>
      </c>
      <c r="AK76" s="25"/>
      <c r="AL76" s="25" t="str">
        <f>if('Ingest Template'!A76="Standard",'Ingest Template'!S76&amp; "|2021-01-01",'Ingest Template'!S76)</f>
        <v>#N/A</v>
      </c>
      <c r="AM76" s="25"/>
    </row>
    <row r="77">
      <c r="A77" s="25"/>
      <c r="B77" s="25" t="str">
        <f>'Ingest Template'!C77&amp;IF('Ingest Template'!A77 = "Standard", " - DAR","")</f>
        <v/>
      </c>
      <c r="C77" s="34" t="s">
        <v>92</v>
      </c>
      <c r="D77" s="34" t="str">
        <f>CONCATENATE('Ingest Template'!E77&amp;Char(10)&amp;'Ingest Template'!G77&amp;Char(10)&amp;'Ingest Template'!H77&amp;Char(10)&amp;'Ingest Template'!I77&amp;Char(10)&amp;'Ingest Template'!J77&amp;Char(10)&amp;'Ingest Template'!K77&amp;Char(10)&amp;'Ingest Template'!L77)</f>
        <v>
</v>
      </c>
      <c r="E77" s="25" t="str">
        <f>('Ingest Template'!M77)</f>
        <v/>
      </c>
      <c r="F77" s="40" t="str">
        <f t="array" ref="F77">INDEX(DropDown!$J$2:$J$63,MATCH(1,COUNTIF(E77,DropDown!$I$2:$I$63),0))</f>
        <v>#N/A</v>
      </c>
      <c r="G77" s="25"/>
      <c r="H77" s="25"/>
      <c r="I77" s="25"/>
      <c r="J77" s="25" t="str">
        <f>'Ingest Template'!B77</f>
        <v/>
      </c>
      <c r="K77" s="25" t="str">
        <f>IF('Ingest Template'!A77="Standard",'Ingest Template'!N77,"Competitive View")</f>
        <v>Competitive View</v>
      </c>
      <c r="L77" s="41" t="s">
        <v>145</v>
      </c>
      <c r="M77" s="25" t="str">
        <f>'Ingest Template'!D77</f>
        <v/>
      </c>
      <c r="N77" s="25"/>
      <c r="O77" s="25"/>
      <c r="P77" s="25"/>
      <c r="Q77" s="25"/>
      <c r="R77" s="25" t="str">
        <f>CONCATENATE('Ingest Template'!F77)</f>
        <v/>
      </c>
      <c r="S77" s="43" t="s">
        <v>160</v>
      </c>
      <c r="T77" s="25" t="str">
        <f>'Ingest Template'!W77</f>
        <v/>
      </c>
      <c r="U77" s="25"/>
      <c r="V77" s="25" t="str">
        <f>LOWER(SUBSTITUTE(SUBSTITUTE(SUBSTITUTE(SUBSTITUTE(SUBSTITUTE('Ingest Template'!Y77,"https:",""),"www.",""),"/",""),"?hl=en",""),"instagram.com",""))</f>
        <v/>
      </c>
      <c r="W77" s="34" t="str">
        <f>(IFERROR(vlookup('Ingest Template'!F77,DropDown!D:E,2,false)&amp;'Ingest Template'!C77,""))</f>
        <v/>
      </c>
      <c r="X77" s="25" t="str">
        <f>'Ingest Template'!AA77</f>
        <v/>
      </c>
      <c r="Y77" s="25"/>
      <c r="Z77" s="25"/>
      <c r="AA77" s="25"/>
      <c r="AB77" s="25" t="str">
        <f>'Ingest Template'!T77</f>
        <v/>
      </c>
      <c r="AC77" s="25"/>
      <c r="AD77" s="25" t="str">
        <f>'Ingest Template'!U77</f>
        <v/>
      </c>
      <c r="AE77" s="25" t="str">
        <f>'Ingest Template'!V77</f>
        <v/>
      </c>
      <c r="AF77" s="25"/>
      <c r="AG77" s="25" t="str">
        <f t="array" ref="AG77">IF('Ingest Template'!A77="Standard",(CONCATENATE(IF(ISBLANK('Ingest Template'!O77),"", 'Ingest Template'!O77&amp;"|DAR"),CHAR(10), IF(ISBLANK('Ingest Template'!P77),"", 'Ingest Template'!P77&amp;"|DAR"),CHAR(10), IF(ISBLANK('Ingest Template'!Q77),"", 'Ingest Template'!Q77&amp;"|DAR"))),(CONCATENATE(IF(ISBLANK('Ingest Template'!O77),"", 'Ingest Template'!O77&amp;"|Operations - Core Title"),CHAR(10), IF(ISBLANK('Ingest Template'!P77),"", 'Ingest Template'!P77&amp;"|Operations - Core Title"),CHAR(10), IF(ISBLANK('Ingest Template'!Q77),"", 'Ingest Template'!Q77&amp;"|Operations - Core Title"))))</f>
        <v>#|Operations - Core Title
#videoGame|Operations - Core Title
</v>
      </c>
      <c r="AH77" s="25"/>
      <c r="AI77" s="25"/>
      <c r="AJ77" s="50" t="str">
        <f>if('Ingest Template'!A77="Standard",'Ingest Template'!R77&amp; "|DAR|DAR|2021-01-01",'Ingest Template'!R77&amp; "|Operations - Core Title|Operations - Core Title")</f>
        <v>#N/A</v>
      </c>
      <c r="AK77" s="25"/>
      <c r="AL77" s="25" t="str">
        <f>if('Ingest Template'!A77="Standard",'Ingest Template'!S77&amp; "|2021-01-01",'Ingest Template'!S77)</f>
        <v>#N/A</v>
      </c>
      <c r="AM77" s="25"/>
    </row>
    <row r="78">
      <c r="A78" s="25"/>
      <c r="B78" s="25" t="str">
        <f>'Ingest Template'!C78&amp;IF('Ingest Template'!A78 = "Standard", " - DAR","")</f>
        <v/>
      </c>
      <c r="C78" s="34" t="s">
        <v>92</v>
      </c>
      <c r="D78" s="34" t="str">
        <f>CONCATENATE('Ingest Template'!E78&amp;Char(10)&amp;'Ingest Template'!G78&amp;Char(10)&amp;'Ingest Template'!H78&amp;Char(10)&amp;'Ingest Template'!I78&amp;Char(10)&amp;'Ingest Template'!J78&amp;Char(10)&amp;'Ingest Template'!K78&amp;Char(10)&amp;'Ingest Template'!L78)</f>
        <v>
</v>
      </c>
      <c r="E78" s="25" t="str">
        <f>('Ingest Template'!M78)</f>
        <v/>
      </c>
      <c r="F78" s="40" t="str">
        <f t="array" ref="F78">INDEX(DropDown!$J$2:$J$63,MATCH(1,COUNTIF(E78,DropDown!$I$2:$I$63),0))</f>
        <v>#N/A</v>
      </c>
      <c r="G78" s="25"/>
      <c r="H78" s="25"/>
      <c r="I78" s="25"/>
      <c r="J78" s="25" t="str">
        <f>'Ingest Template'!B78</f>
        <v/>
      </c>
      <c r="K78" s="25" t="str">
        <f>IF('Ingest Template'!A78="Standard",'Ingest Template'!N78,"Competitive View")</f>
        <v>Competitive View</v>
      </c>
      <c r="L78" s="41" t="s">
        <v>145</v>
      </c>
      <c r="M78" s="25" t="str">
        <f>'Ingest Template'!D78</f>
        <v/>
      </c>
      <c r="N78" s="25"/>
      <c r="O78" s="25"/>
      <c r="P78" s="25"/>
      <c r="Q78" s="25"/>
      <c r="R78" s="25" t="str">
        <f>CONCATENATE('Ingest Template'!F78)</f>
        <v/>
      </c>
      <c r="S78" s="43" t="s">
        <v>160</v>
      </c>
      <c r="T78" s="25" t="str">
        <f>'Ingest Template'!W78</f>
        <v/>
      </c>
      <c r="U78" s="25"/>
      <c r="V78" s="25" t="str">
        <f>LOWER(SUBSTITUTE(SUBSTITUTE(SUBSTITUTE(SUBSTITUTE(SUBSTITUTE('Ingest Template'!Y78,"https:",""),"www.",""),"/",""),"?hl=en",""),"instagram.com",""))</f>
        <v/>
      </c>
      <c r="W78" s="34" t="str">
        <f>(IFERROR(vlookup('Ingest Template'!F78,DropDown!D:E,2,false)&amp;'Ingest Template'!C78,""))</f>
        <v/>
      </c>
      <c r="X78" s="25" t="str">
        <f>'Ingest Template'!AA78</f>
        <v/>
      </c>
      <c r="Y78" s="25"/>
      <c r="Z78" s="25"/>
      <c r="AA78" s="25"/>
      <c r="AB78" s="25" t="str">
        <f>'Ingest Template'!T78</f>
        <v/>
      </c>
      <c r="AC78" s="25"/>
      <c r="AD78" s="25" t="str">
        <f>'Ingest Template'!U78</f>
        <v/>
      </c>
      <c r="AE78" s="25" t="str">
        <f>'Ingest Template'!V78</f>
        <v/>
      </c>
      <c r="AF78" s="25"/>
      <c r="AG78" s="25" t="str">
        <f t="array" ref="AG78">IF('Ingest Template'!A78="Standard",(CONCATENATE(IF(ISBLANK('Ingest Template'!O78),"", 'Ingest Template'!O78&amp;"|DAR"),CHAR(10), IF(ISBLANK('Ingest Template'!P78),"", 'Ingest Template'!P78&amp;"|DAR"),CHAR(10), IF(ISBLANK('Ingest Template'!Q78),"", 'Ingest Template'!Q78&amp;"|DAR"))),(CONCATENATE(IF(ISBLANK('Ingest Template'!O78),"", 'Ingest Template'!O78&amp;"|Operations - Core Title"),CHAR(10), IF(ISBLANK('Ingest Template'!P78),"", 'Ingest Template'!P78&amp;"|Operations - Core Title"),CHAR(10), IF(ISBLANK('Ingest Template'!Q78),"", 'Ingest Template'!Q78&amp;"|Operations - Core Title"))))</f>
        <v>#|Operations - Core Title
#videoGame|Operations - Core Title
</v>
      </c>
      <c r="AH78" s="25"/>
      <c r="AI78" s="25"/>
      <c r="AJ78" s="50" t="str">
        <f>if('Ingest Template'!A78="Standard",'Ingest Template'!R78&amp; "|DAR|DAR|2021-01-01",'Ingest Template'!R78&amp; "|Operations - Core Title|Operations - Core Title")</f>
        <v>#N/A</v>
      </c>
      <c r="AK78" s="25"/>
      <c r="AL78" s="25" t="str">
        <f>if('Ingest Template'!A78="Standard",'Ingest Template'!S78&amp; "|2021-01-01",'Ingest Template'!S78)</f>
        <v>#N/A</v>
      </c>
      <c r="AM78" s="25"/>
    </row>
    <row r="79">
      <c r="A79" s="25"/>
      <c r="B79" s="25" t="str">
        <f>'Ingest Template'!C79&amp;IF('Ingest Template'!A79 = "Standard", " - DAR","")</f>
        <v/>
      </c>
      <c r="C79" s="34" t="s">
        <v>92</v>
      </c>
      <c r="D79" s="34" t="str">
        <f>CONCATENATE('Ingest Template'!E79&amp;Char(10)&amp;'Ingest Template'!G79&amp;Char(10)&amp;'Ingest Template'!H79&amp;Char(10)&amp;'Ingest Template'!I79&amp;Char(10)&amp;'Ingest Template'!J79&amp;Char(10)&amp;'Ingest Template'!K79&amp;Char(10)&amp;'Ingest Template'!L79)</f>
        <v>
</v>
      </c>
      <c r="E79" s="25" t="str">
        <f>('Ingest Template'!M79)</f>
        <v/>
      </c>
      <c r="F79" s="40" t="str">
        <f t="array" ref="F79">INDEX(DropDown!$J$2:$J$63,MATCH(1,COUNTIF(E79,DropDown!$I$2:$I$63),0))</f>
        <v>#N/A</v>
      </c>
      <c r="G79" s="25"/>
      <c r="H79" s="25"/>
      <c r="I79" s="25"/>
      <c r="J79" s="25" t="str">
        <f>'Ingest Template'!B79</f>
        <v/>
      </c>
      <c r="K79" s="25" t="str">
        <f>IF('Ingest Template'!A79="Standard",'Ingest Template'!N79,"Competitive View")</f>
        <v>Competitive View</v>
      </c>
      <c r="L79" s="41" t="s">
        <v>145</v>
      </c>
      <c r="M79" s="25" t="str">
        <f>'Ingest Template'!D79</f>
        <v/>
      </c>
      <c r="N79" s="25"/>
      <c r="O79" s="25"/>
      <c r="P79" s="25"/>
      <c r="Q79" s="25"/>
      <c r="R79" s="25" t="str">
        <f>CONCATENATE('Ingest Template'!F79)</f>
        <v/>
      </c>
      <c r="S79" s="43" t="s">
        <v>160</v>
      </c>
      <c r="T79" s="25" t="str">
        <f>'Ingest Template'!W79</f>
        <v/>
      </c>
      <c r="U79" s="25"/>
      <c r="V79" s="25" t="str">
        <f>LOWER(SUBSTITUTE(SUBSTITUTE(SUBSTITUTE(SUBSTITUTE(SUBSTITUTE('Ingest Template'!Y79,"https:",""),"www.",""),"/",""),"?hl=en",""),"instagram.com",""))</f>
        <v/>
      </c>
      <c r="W79" s="34" t="str">
        <f>(IFERROR(vlookup('Ingest Template'!F79,DropDown!D:E,2,false)&amp;'Ingest Template'!C79,""))</f>
        <v/>
      </c>
      <c r="X79" s="25" t="str">
        <f>'Ingest Template'!AA79</f>
        <v/>
      </c>
      <c r="Y79" s="25"/>
      <c r="Z79" s="25"/>
      <c r="AA79" s="25"/>
      <c r="AB79" s="25" t="str">
        <f>'Ingest Template'!T79</f>
        <v/>
      </c>
      <c r="AC79" s="25"/>
      <c r="AD79" s="25" t="str">
        <f>'Ingest Template'!U79</f>
        <v/>
      </c>
      <c r="AE79" s="25" t="str">
        <f>'Ingest Template'!V79</f>
        <v/>
      </c>
      <c r="AF79" s="25"/>
      <c r="AG79" s="25" t="str">
        <f t="array" ref="AG79">IF('Ingest Template'!A79="Standard",(CONCATENATE(IF(ISBLANK('Ingest Template'!O79),"", 'Ingest Template'!O79&amp;"|DAR"),CHAR(10), IF(ISBLANK('Ingest Template'!P79),"", 'Ingest Template'!P79&amp;"|DAR"),CHAR(10), IF(ISBLANK('Ingest Template'!Q79),"", 'Ingest Template'!Q79&amp;"|DAR"))),(CONCATENATE(IF(ISBLANK('Ingest Template'!O79),"", 'Ingest Template'!O79&amp;"|Operations - Core Title"),CHAR(10), IF(ISBLANK('Ingest Template'!P79),"", 'Ingest Template'!P79&amp;"|Operations - Core Title"),CHAR(10), IF(ISBLANK('Ingest Template'!Q79),"", 'Ingest Template'!Q79&amp;"|Operations - Core Title"))))</f>
        <v>#|Operations - Core Title
#videoGame|Operations - Core Title
</v>
      </c>
      <c r="AH79" s="25"/>
      <c r="AI79" s="25"/>
      <c r="AJ79" s="50" t="str">
        <f>if('Ingest Template'!A79="Standard",'Ingest Template'!R79&amp; "|DAR|DAR|2021-01-01",'Ingest Template'!R79&amp; "|Operations - Core Title|Operations - Core Title")</f>
        <v>#N/A</v>
      </c>
      <c r="AK79" s="25"/>
      <c r="AL79" s="25" t="str">
        <f>if('Ingest Template'!A79="Standard",'Ingest Template'!S79&amp; "|2021-01-01",'Ingest Template'!S79)</f>
        <v>#N/A</v>
      </c>
      <c r="AM79" s="25"/>
    </row>
    <row r="80">
      <c r="A80" s="25"/>
      <c r="B80" s="25" t="str">
        <f>'Ingest Template'!C80&amp;IF('Ingest Template'!A80 = "Standard", " - DAR","")</f>
        <v/>
      </c>
      <c r="C80" s="34" t="s">
        <v>92</v>
      </c>
      <c r="D80" s="34" t="str">
        <f>CONCATENATE('Ingest Template'!E80&amp;Char(10)&amp;'Ingest Template'!G80&amp;Char(10)&amp;'Ingest Template'!H80&amp;Char(10)&amp;'Ingest Template'!I80&amp;Char(10)&amp;'Ingest Template'!J80&amp;Char(10)&amp;'Ingest Template'!K80&amp;Char(10)&amp;'Ingest Template'!L80)</f>
        <v>
</v>
      </c>
      <c r="E80" s="25" t="str">
        <f>('Ingest Template'!M80)</f>
        <v/>
      </c>
      <c r="F80" s="40" t="str">
        <f t="array" ref="F80">INDEX(DropDown!$J$2:$J$63,MATCH(1,COUNTIF(E80,DropDown!$I$2:$I$63),0))</f>
        <v>#N/A</v>
      </c>
      <c r="G80" s="25"/>
      <c r="H80" s="25"/>
      <c r="I80" s="25"/>
      <c r="J80" s="25" t="str">
        <f>'Ingest Template'!B80</f>
        <v/>
      </c>
      <c r="K80" s="25" t="str">
        <f>IF('Ingest Template'!A80="Standard",'Ingest Template'!N80,"Competitive View")</f>
        <v>Competitive View</v>
      </c>
      <c r="L80" s="41" t="s">
        <v>145</v>
      </c>
      <c r="M80" s="25" t="str">
        <f>'Ingest Template'!D80</f>
        <v/>
      </c>
      <c r="N80" s="25"/>
      <c r="O80" s="25"/>
      <c r="P80" s="25"/>
      <c r="Q80" s="25"/>
      <c r="R80" s="25" t="str">
        <f>CONCATENATE('Ingest Template'!F80)</f>
        <v/>
      </c>
      <c r="S80" s="43" t="s">
        <v>160</v>
      </c>
      <c r="T80" s="25" t="str">
        <f>'Ingest Template'!W80</f>
        <v/>
      </c>
      <c r="U80" s="25"/>
      <c r="V80" s="25" t="str">
        <f>LOWER(SUBSTITUTE(SUBSTITUTE(SUBSTITUTE(SUBSTITUTE(SUBSTITUTE('Ingest Template'!Y80,"https:",""),"www.",""),"/",""),"?hl=en",""),"instagram.com",""))</f>
        <v/>
      </c>
      <c r="W80" s="34" t="str">
        <f>(IFERROR(vlookup('Ingest Template'!F80,DropDown!D:E,2,false)&amp;'Ingest Template'!C80,""))</f>
        <v/>
      </c>
      <c r="X80" s="25" t="str">
        <f>'Ingest Template'!AA80</f>
        <v/>
      </c>
      <c r="Y80" s="25"/>
      <c r="Z80" s="25"/>
      <c r="AA80" s="25"/>
      <c r="AB80" s="25" t="str">
        <f>'Ingest Template'!T80</f>
        <v/>
      </c>
      <c r="AC80" s="25"/>
      <c r="AD80" s="25" t="str">
        <f>'Ingest Template'!U80</f>
        <v/>
      </c>
      <c r="AE80" s="25" t="str">
        <f>'Ingest Template'!V80</f>
        <v/>
      </c>
      <c r="AF80" s="25"/>
      <c r="AG80" s="25" t="str">
        <f t="array" ref="AG80">IF('Ingest Template'!A80="Standard",(CONCATENATE(IF(ISBLANK('Ingest Template'!O80),"", 'Ingest Template'!O80&amp;"|DAR"),CHAR(10), IF(ISBLANK('Ingest Template'!P80),"", 'Ingest Template'!P80&amp;"|DAR"),CHAR(10), IF(ISBLANK('Ingest Template'!Q80),"", 'Ingest Template'!Q80&amp;"|DAR"))),(CONCATENATE(IF(ISBLANK('Ingest Template'!O80),"", 'Ingest Template'!O80&amp;"|Operations - Core Title"),CHAR(10), IF(ISBLANK('Ingest Template'!P80),"", 'Ingest Template'!P80&amp;"|Operations - Core Title"),CHAR(10), IF(ISBLANK('Ingest Template'!Q80),"", 'Ingest Template'!Q80&amp;"|Operations - Core Title"))))</f>
        <v>#|Operations - Core Title
#videoGame|Operations - Core Title
</v>
      </c>
      <c r="AH80" s="25"/>
      <c r="AI80" s="25"/>
      <c r="AJ80" s="50" t="str">
        <f>if('Ingest Template'!A80="Standard",'Ingest Template'!R80&amp; "|DAR|DAR|2021-01-01",'Ingest Template'!R80&amp; "|Operations - Core Title|Operations - Core Title")</f>
        <v>#N/A</v>
      </c>
      <c r="AK80" s="25"/>
      <c r="AL80" s="25" t="str">
        <f>if('Ingest Template'!A80="Standard",'Ingest Template'!S80&amp; "|2021-01-01",'Ingest Template'!S80)</f>
        <v>#N/A</v>
      </c>
      <c r="AM80" s="25"/>
    </row>
    <row r="81">
      <c r="A81" s="25"/>
      <c r="B81" s="25" t="str">
        <f>'Ingest Template'!C81&amp;IF('Ingest Template'!A81 = "Standard", " - DAR","")</f>
        <v/>
      </c>
      <c r="C81" s="34" t="s">
        <v>92</v>
      </c>
      <c r="D81" s="34" t="str">
        <f>CONCATENATE('Ingest Template'!E81&amp;Char(10)&amp;'Ingest Template'!G81&amp;Char(10)&amp;'Ingest Template'!H81&amp;Char(10)&amp;'Ingest Template'!I81&amp;Char(10)&amp;'Ingest Template'!J81&amp;Char(10)&amp;'Ingest Template'!K81&amp;Char(10)&amp;'Ingest Template'!L81)</f>
        <v>
</v>
      </c>
      <c r="E81" s="25" t="str">
        <f>('Ingest Template'!M81)</f>
        <v/>
      </c>
      <c r="F81" s="40" t="str">
        <f t="array" ref="F81">INDEX(DropDown!$J$2:$J$63,MATCH(1,COUNTIF(E81,DropDown!$I$2:$I$63),0))</f>
        <v>#N/A</v>
      </c>
      <c r="G81" s="25"/>
      <c r="H81" s="25"/>
      <c r="I81" s="25"/>
      <c r="J81" s="25" t="str">
        <f>'Ingest Template'!B81</f>
        <v/>
      </c>
      <c r="K81" s="25" t="str">
        <f>IF('Ingest Template'!A81="Standard",'Ingest Template'!N81,"Competitive View")</f>
        <v>Competitive View</v>
      </c>
      <c r="L81" s="41" t="s">
        <v>145</v>
      </c>
      <c r="M81" s="25" t="str">
        <f>'Ingest Template'!D81</f>
        <v/>
      </c>
      <c r="N81" s="25"/>
      <c r="O81" s="25"/>
      <c r="P81" s="25"/>
      <c r="Q81" s="25"/>
      <c r="R81" s="25" t="str">
        <f>CONCATENATE('Ingest Template'!F81)</f>
        <v/>
      </c>
      <c r="S81" s="43" t="s">
        <v>160</v>
      </c>
      <c r="T81" s="25" t="str">
        <f>'Ingest Template'!W81</f>
        <v/>
      </c>
      <c r="U81" s="25"/>
      <c r="V81" s="25" t="str">
        <f>LOWER(SUBSTITUTE(SUBSTITUTE(SUBSTITUTE(SUBSTITUTE(SUBSTITUTE('Ingest Template'!Y81,"https:",""),"www.",""),"/",""),"?hl=en",""),"instagram.com",""))</f>
        <v/>
      </c>
      <c r="W81" s="34" t="str">
        <f>(IFERROR(vlookup('Ingest Template'!F81,DropDown!D:E,2,false)&amp;'Ingest Template'!C81,""))</f>
        <v/>
      </c>
      <c r="X81" s="25" t="str">
        <f>'Ingest Template'!AA81</f>
        <v/>
      </c>
      <c r="Y81" s="25"/>
      <c r="Z81" s="25"/>
      <c r="AA81" s="25"/>
      <c r="AB81" s="25" t="str">
        <f>'Ingest Template'!T81</f>
        <v/>
      </c>
      <c r="AC81" s="25"/>
      <c r="AD81" s="25" t="str">
        <f>'Ingest Template'!U81</f>
        <v/>
      </c>
      <c r="AE81" s="25" t="str">
        <f>'Ingest Template'!V81</f>
        <v/>
      </c>
      <c r="AF81" s="25"/>
      <c r="AG81" s="25" t="str">
        <f t="array" ref="AG81">IF('Ingest Template'!A81="Standard",(CONCATENATE(IF(ISBLANK('Ingest Template'!O81),"", 'Ingest Template'!O81&amp;"|DAR"),CHAR(10), IF(ISBLANK('Ingest Template'!P81),"", 'Ingest Template'!P81&amp;"|DAR"),CHAR(10), IF(ISBLANK('Ingest Template'!Q81),"", 'Ingest Template'!Q81&amp;"|DAR"))),(CONCATENATE(IF(ISBLANK('Ingest Template'!O81),"", 'Ingest Template'!O81&amp;"|Operations - Core Title"),CHAR(10), IF(ISBLANK('Ingest Template'!P81),"", 'Ingest Template'!P81&amp;"|Operations - Core Title"),CHAR(10), IF(ISBLANK('Ingest Template'!Q81),"", 'Ingest Template'!Q81&amp;"|Operations - Core Title"))))</f>
        <v>#|Operations - Core Title
#videoGame|Operations - Core Title
</v>
      </c>
      <c r="AH81" s="25"/>
      <c r="AI81" s="25"/>
      <c r="AJ81" s="50" t="str">
        <f>if('Ingest Template'!A81="Standard",'Ingest Template'!R81&amp; "|DAR|DAR|2021-01-01",'Ingest Template'!R81&amp; "|Operations - Core Title|Operations - Core Title")</f>
        <v>#N/A</v>
      </c>
      <c r="AK81" s="25"/>
      <c r="AL81" s="25" t="str">
        <f>if('Ingest Template'!A81="Standard",'Ingest Template'!S81&amp; "|2021-01-01",'Ingest Template'!S81)</f>
        <v>#N/A</v>
      </c>
      <c r="AM81" s="25"/>
    </row>
    <row r="82">
      <c r="A82" s="25"/>
      <c r="B82" s="25" t="str">
        <f>'Ingest Template'!C82&amp;IF('Ingest Template'!A82 = "Standard", " - DAR","")</f>
        <v/>
      </c>
      <c r="C82" s="34" t="s">
        <v>92</v>
      </c>
      <c r="D82" s="34" t="str">
        <f>CONCATENATE('Ingest Template'!E82&amp;Char(10)&amp;'Ingest Template'!G82&amp;Char(10)&amp;'Ingest Template'!H82&amp;Char(10)&amp;'Ingest Template'!I82&amp;Char(10)&amp;'Ingest Template'!J82&amp;Char(10)&amp;'Ingest Template'!K82&amp;Char(10)&amp;'Ingest Template'!L82)</f>
        <v>
</v>
      </c>
      <c r="E82" s="25" t="str">
        <f>('Ingest Template'!M82)</f>
        <v/>
      </c>
      <c r="F82" s="40" t="str">
        <f t="array" ref="F82">INDEX(DropDown!$J$2:$J$63,MATCH(1,COUNTIF(E82,DropDown!$I$2:$I$63),0))</f>
        <v>#N/A</v>
      </c>
      <c r="G82" s="25"/>
      <c r="H82" s="25"/>
      <c r="I82" s="25"/>
      <c r="J82" s="25" t="str">
        <f>'Ingest Template'!B82</f>
        <v/>
      </c>
      <c r="K82" s="25" t="str">
        <f>IF('Ingest Template'!A82="Standard",'Ingest Template'!N82,"Competitive View")</f>
        <v>Competitive View</v>
      </c>
      <c r="L82" s="41" t="s">
        <v>145</v>
      </c>
      <c r="M82" s="25" t="str">
        <f>'Ingest Template'!D82</f>
        <v/>
      </c>
      <c r="N82" s="25"/>
      <c r="O82" s="25"/>
      <c r="P82" s="25"/>
      <c r="Q82" s="25"/>
      <c r="R82" s="25" t="str">
        <f>CONCATENATE('Ingest Template'!F82)</f>
        <v/>
      </c>
      <c r="S82" s="43" t="s">
        <v>160</v>
      </c>
      <c r="T82" s="25" t="str">
        <f>'Ingest Template'!W82</f>
        <v/>
      </c>
      <c r="U82" s="25"/>
      <c r="V82" s="25" t="str">
        <f>LOWER(SUBSTITUTE(SUBSTITUTE(SUBSTITUTE(SUBSTITUTE(SUBSTITUTE('Ingest Template'!Y82,"https:",""),"www.",""),"/",""),"?hl=en",""),"instagram.com",""))</f>
        <v/>
      </c>
      <c r="W82" s="34" t="str">
        <f>(IFERROR(vlookup('Ingest Template'!F82,DropDown!D:E,2,false)&amp;'Ingest Template'!C82,""))</f>
        <v/>
      </c>
      <c r="X82" s="25" t="str">
        <f>'Ingest Template'!AA82</f>
        <v/>
      </c>
      <c r="Y82" s="25"/>
      <c r="Z82" s="25"/>
      <c r="AA82" s="25"/>
      <c r="AB82" s="25" t="str">
        <f>'Ingest Template'!T82</f>
        <v/>
      </c>
      <c r="AC82" s="25"/>
      <c r="AD82" s="25" t="str">
        <f>'Ingest Template'!U82</f>
        <v/>
      </c>
      <c r="AE82" s="25" t="str">
        <f>'Ingest Template'!V82</f>
        <v/>
      </c>
      <c r="AF82" s="25"/>
      <c r="AG82" s="25" t="str">
        <f t="array" ref="AG82">IF('Ingest Template'!A82="Standard",(CONCATENATE(IF(ISBLANK('Ingest Template'!O82),"", 'Ingest Template'!O82&amp;"|DAR"),CHAR(10), IF(ISBLANK('Ingest Template'!P82),"", 'Ingest Template'!P82&amp;"|DAR"),CHAR(10), IF(ISBLANK('Ingest Template'!Q82),"", 'Ingest Template'!Q82&amp;"|DAR"))),(CONCATENATE(IF(ISBLANK('Ingest Template'!O82),"", 'Ingest Template'!O82&amp;"|Operations - Core Title"),CHAR(10), IF(ISBLANK('Ingest Template'!P82),"", 'Ingest Template'!P82&amp;"|Operations - Core Title"),CHAR(10), IF(ISBLANK('Ingest Template'!Q82),"", 'Ingest Template'!Q82&amp;"|Operations - Core Title"))))</f>
        <v>#|Operations - Core Title
#videoGame|Operations - Core Title
</v>
      </c>
      <c r="AH82" s="25"/>
      <c r="AI82" s="25"/>
      <c r="AJ82" s="50" t="str">
        <f>if('Ingest Template'!A82="Standard",'Ingest Template'!R82&amp; "|DAR|DAR|2021-01-01",'Ingest Template'!R82&amp; "|Operations - Core Title|Operations - Core Title")</f>
        <v>#N/A</v>
      </c>
      <c r="AK82" s="25"/>
      <c r="AL82" s="25" t="str">
        <f>if('Ingest Template'!A82="Standard",'Ingest Template'!S82&amp; "|2021-01-01",'Ingest Template'!S82)</f>
        <v>#N/A</v>
      </c>
      <c r="AM82" s="25"/>
    </row>
    <row r="83">
      <c r="A83" s="25"/>
      <c r="B83" s="25" t="str">
        <f>'Ingest Template'!C83&amp;IF('Ingest Template'!A83 = "Standard", " - DAR","")</f>
        <v/>
      </c>
      <c r="C83" s="34" t="s">
        <v>92</v>
      </c>
      <c r="D83" s="34" t="str">
        <f>CONCATENATE('Ingest Template'!E83&amp;Char(10)&amp;'Ingest Template'!G83&amp;Char(10)&amp;'Ingest Template'!H83&amp;Char(10)&amp;'Ingest Template'!I83&amp;Char(10)&amp;'Ingest Template'!J83&amp;Char(10)&amp;'Ingest Template'!K83&amp;Char(10)&amp;'Ingest Template'!L83)</f>
        <v>
</v>
      </c>
      <c r="E83" s="25" t="str">
        <f>('Ingest Template'!M83)</f>
        <v/>
      </c>
      <c r="F83" s="40" t="str">
        <f t="array" ref="F83">INDEX(DropDown!$J$2:$J$63,MATCH(1,COUNTIF(E83,DropDown!$I$2:$I$63),0))</f>
        <v>#N/A</v>
      </c>
      <c r="G83" s="25"/>
      <c r="H83" s="25"/>
      <c r="I83" s="25"/>
      <c r="J83" s="25" t="str">
        <f>'Ingest Template'!B83</f>
        <v/>
      </c>
      <c r="K83" s="25" t="str">
        <f>IF('Ingest Template'!A83="Standard",'Ingest Template'!N83,"Competitive View")</f>
        <v>Competitive View</v>
      </c>
      <c r="L83" s="41" t="s">
        <v>145</v>
      </c>
      <c r="M83" s="25" t="str">
        <f>'Ingest Template'!D83</f>
        <v/>
      </c>
      <c r="N83" s="25"/>
      <c r="O83" s="25"/>
      <c r="P83" s="25"/>
      <c r="Q83" s="25"/>
      <c r="R83" s="25" t="str">
        <f>CONCATENATE('Ingest Template'!F83)</f>
        <v/>
      </c>
      <c r="S83" s="43" t="s">
        <v>160</v>
      </c>
      <c r="T83" s="25" t="str">
        <f>'Ingest Template'!W83</f>
        <v/>
      </c>
      <c r="U83" s="25"/>
      <c r="V83" s="25" t="str">
        <f>LOWER(SUBSTITUTE(SUBSTITUTE(SUBSTITUTE(SUBSTITUTE(SUBSTITUTE('Ingest Template'!Y83,"https:",""),"www.",""),"/",""),"?hl=en",""),"instagram.com",""))</f>
        <v/>
      </c>
      <c r="W83" s="34" t="str">
        <f>(IFERROR(vlookup('Ingest Template'!F83,DropDown!D:E,2,false)&amp;'Ingest Template'!C83,""))</f>
        <v/>
      </c>
      <c r="X83" s="25" t="str">
        <f>'Ingest Template'!AA83</f>
        <v/>
      </c>
      <c r="Y83" s="25"/>
      <c r="Z83" s="25"/>
      <c r="AA83" s="25"/>
      <c r="AB83" s="25" t="str">
        <f>'Ingest Template'!T83</f>
        <v/>
      </c>
      <c r="AC83" s="25"/>
      <c r="AD83" s="25" t="str">
        <f>'Ingest Template'!U83</f>
        <v/>
      </c>
      <c r="AE83" s="25" t="str">
        <f>'Ingest Template'!V83</f>
        <v/>
      </c>
      <c r="AF83" s="25"/>
      <c r="AG83" s="25" t="str">
        <f t="array" ref="AG83">IF('Ingest Template'!A83="Standard",(CONCATENATE(IF(ISBLANK('Ingest Template'!O83),"", 'Ingest Template'!O83&amp;"|DAR"),CHAR(10), IF(ISBLANK('Ingest Template'!P83),"", 'Ingest Template'!P83&amp;"|DAR"),CHAR(10), IF(ISBLANK('Ingest Template'!Q83),"", 'Ingest Template'!Q83&amp;"|DAR"))),(CONCATENATE(IF(ISBLANK('Ingest Template'!O83),"", 'Ingest Template'!O83&amp;"|Operations - Core Title"),CHAR(10), IF(ISBLANK('Ingest Template'!P83),"", 'Ingest Template'!P83&amp;"|Operations - Core Title"),CHAR(10), IF(ISBLANK('Ingest Template'!Q83),"", 'Ingest Template'!Q83&amp;"|Operations - Core Title"))))</f>
        <v>#|Operations - Core Title
#videoGame|Operations - Core Title
</v>
      </c>
      <c r="AH83" s="25"/>
      <c r="AI83" s="25"/>
      <c r="AJ83" s="50" t="str">
        <f>if('Ingest Template'!A83="Standard",'Ingest Template'!R83&amp; "|DAR|DAR|2021-01-01",'Ingest Template'!R83&amp; "|Operations - Core Title|Operations - Core Title")</f>
        <v>#N/A</v>
      </c>
      <c r="AK83" s="25"/>
      <c r="AL83" s="25" t="str">
        <f>if('Ingest Template'!A83="Standard",'Ingest Template'!S83&amp; "|2021-01-01",'Ingest Template'!S83)</f>
        <v>#N/A</v>
      </c>
      <c r="AM83" s="25"/>
    </row>
    <row r="84">
      <c r="A84" s="25"/>
      <c r="B84" s="25" t="str">
        <f>'Ingest Template'!C84&amp;IF('Ingest Template'!A84 = "Standard", " - DAR","")</f>
        <v/>
      </c>
      <c r="C84" s="34" t="s">
        <v>92</v>
      </c>
      <c r="D84" s="34" t="str">
        <f>CONCATENATE('Ingest Template'!E84&amp;Char(10)&amp;'Ingest Template'!G84&amp;Char(10)&amp;'Ingest Template'!H84&amp;Char(10)&amp;'Ingest Template'!I84&amp;Char(10)&amp;'Ingest Template'!J84&amp;Char(10)&amp;'Ingest Template'!K84&amp;Char(10)&amp;'Ingest Template'!L84)</f>
        <v>
</v>
      </c>
      <c r="E84" s="25" t="str">
        <f>('Ingest Template'!M84)</f>
        <v/>
      </c>
      <c r="F84" s="40" t="str">
        <f t="array" ref="F84">INDEX(DropDown!$J$2:$J$63,MATCH(1,COUNTIF(E84,DropDown!$I$2:$I$63),0))</f>
        <v>#N/A</v>
      </c>
      <c r="G84" s="25"/>
      <c r="H84" s="25"/>
      <c r="I84" s="25"/>
      <c r="J84" s="25" t="str">
        <f>'Ingest Template'!B84</f>
        <v/>
      </c>
      <c r="K84" s="25" t="str">
        <f>IF('Ingest Template'!A84="Standard",'Ingest Template'!N84,"Competitive View")</f>
        <v>Competitive View</v>
      </c>
      <c r="L84" s="41" t="s">
        <v>145</v>
      </c>
      <c r="M84" s="25" t="str">
        <f>'Ingest Template'!D84</f>
        <v/>
      </c>
      <c r="N84" s="25"/>
      <c r="O84" s="25"/>
      <c r="P84" s="25"/>
      <c r="Q84" s="25"/>
      <c r="R84" s="25" t="str">
        <f>CONCATENATE('Ingest Template'!F84)</f>
        <v/>
      </c>
      <c r="S84" s="43" t="s">
        <v>160</v>
      </c>
      <c r="T84" s="25" t="str">
        <f>'Ingest Template'!W84</f>
        <v/>
      </c>
      <c r="U84" s="25"/>
      <c r="V84" s="25" t="str">
        <f>LOWER(SUBSTITUTE(SUBSTITUTE(SUBSTITUTE(SUBSTITUTE(SUBSTITUTE('Ingest Template'!Y84,"https:",""),"www.",""),"/",""),"?hl=en",""),"instagram.com",""))</f>
        <v/>
      </c>
      <c r="W84" s="34" t="str">
        <f>(IFERROR(vlookup('Ingest Template'!F84,DropDown!D:E,2,false)&amp;'Ingest Template'!C84,""))</f>
        <v/>
      </c>
      <c r="X84" s="25" t="str">
        <f>'Ingest Template'!AA84</f>
        <v/>
      </c>
      <c r="Y84" s="25"/>
      <c r="Z84" s="25"/>
      <c r="AA84" s="25"/>
      <c r="AB84" s="25" t="str">
        <f>'Ingest Template'!T84</f>
        <v/>
      </c>
      <c r="AC84" s="25"/>
      <c r="AD84" s="25" t="str">
        <f>'Ingest Template'!U84</f>
        <v/>
      </c>
      <c r="AE84" s="25" t="str">
        <f>'Ingest Template'!V84</f>
        <v/>
      </c>
      <c r="AF84" s="25"/>
      <c r="AG84" s="25" t="str">
        <f t="array" ref="AG84">IF('Ingest Template'!A84="Standard",(CONCATENATE(IF(ISBLANK('Ingest Template'!O84),"", 'Ingest Template'!O84&amp;"|DAR"),CHAR(10), IF(ISBLANK('Ingest Template'!P84),"", 'Ingest Template'!P84&amp;"|DAR"),CHAR(10), IF(ISBLANK('Ingest Template'!Q84),"", 'Ingest Template'!Q84&amp;"|DAR"))),(CONCATENATE(IF(ISBLANK('Ingest Template'!O84),"", 'Ingest Template'!O84&amp;"|Operations - Core Title"),CHAR(10), IF(ISBLANK('Ingest Template'!P84),"", 'Ingest Template'!P84&amp;"|Operations - Core Title"),CHAR(10), IF(ISBLANK('Ingest Template'!Q84),"", 'Ingest Template'!Q84&amp;"|Operations - Core Title"))))</f>
        <v>#|Operations - Core Title
#videoGame|Operations - Core Title
</v>
      </c>
      <c r="AH84" s="25"/>
      <c r="AI84" s="25"/>
      <c r="AJ84" s="50" t="str">
        <f>if('Ingest Template'!A84="Standard",'Ingest Template'!R84&amp; "|DAR|DAR|2021-01-01",'Ingest Template'!R84&amp; "|Operations - Core Title|Operations - Core Title")</f>
        <v>#N/A</v>
      </c>
      <c r="AK84" s="25"/>
      <c r="AL84" s="25" t="str">
        <f>if('Ingest Template'!A84="Standard",'Ingest Template'!S84&amp; "|2021-01-01",'Ingest Template'!S84)</f>
        <v>#N/A</v>
      </c>
      <c r="AM84" s="25"/>
    </row>
    <row r="85">
      <c r="A85" s="25"/>
      <c r="B85" s="25" t="str">
        <f>'Ingest Template'!C85&amp;IF('Ingest Template'!A85 = "Standard", " - DAR","")</f>
        <v/>
      </c>
      <c r="C85" s="34" t="s">
        <v>92</v>
      </c>
      <c r="D85" s="34" t="str">
        <f>CONCATENATE('Ingest Template'!E85&amp;Char(10)&amp;'Ingest Template'!G85&amp;Char(10)&amp;'Ingest Template'!H85&amp;Char(10)&amp;'Ingest Template'!I85&amp;Char(10)&amp;'Ingest Template'!J85&amp;Char(10)&amp;'Ingest Template'!K85&amp;Char(10)&amp;'Ingest Template'!L85)</f>
        <v>
</v>
      </c>
      <c r="E85" s="25" t="str">
        <f>('Ingest Template'!M85)</f>
        <v/>
      </c>
      <c r="F85" s="40" t="str">
        <f t="array" ref="F85">INDEX(DropDown!$J$2:$J$63,MATCH(1,COUNTIF(E85,DropDown!$I$2:$I$63),0))</f>
        <v>#N/A</v>
      </c>
      <c r="G85" s="25"/>
      <c r="H85" s="25"/>
      <c r="I85" s="25"/>
      <c r="J85" s="25" t="str">
        <f>'Ingest Template'!B85</f>
        <v/>
      </c>
      <c r="K85" s="25" t="str">
        <f>IF('Ingest Template'!A85="Standard",'Ingest Template'!N85,"Competitive View")</f>
        <v>Competitive View</v>
      </c>
      <c r="L85" s="41" t="s">
        <v>145</v>
      </c>
      <c r="M85" s="25" t="str">
        <f>'Ingest Template'!D85</f>
        <v/>
      </c>
      <c r="N85" s="25"/>
      <c r="O85" s="25"/>
      <c r="P85" s="25"/>
      <c r="Q85" s="25"/>
      <c r="R85" s="25" t="str">
        <f>CONCATENATE('Ingest Template'!F85)</f>
        <v/>
      </c>
      <c r="S85" s="43" t="s">
        <v>160</v>
      </c>
      <c r="T85" s="25" t="str">
        <f>'Ingest Template'!W85</f>
        <v/>
      </c>
      <c r="U85" s="25"/>
      <c r="V85" s="25" t="str">
        <f>LOWER(SUBSTITUTE(SUBSTITUTE(SUBSTITUTE(SUBSTITUTE(SUBSTITUTE('Ingest Template'!Y85,"https:",""),"www.",""),"/",""),"?hl=en",""),"instagram.com",""))</f>
        <v/>
      </c>
      <c r="W85" s="34" t="str">
        <f>(IFERROR(vlookup('Ingest Template'!F85,DropDown!D:E,2,false)&amp;'Ingest Template'!C85,""))</f>
        <v/>
      </c>
      <c r="X85" s="25" t="str">
        <f>'Ingest Template'!AA85</f>
        <v/>
      </c>
      <c r="Y85" s="25"/>
      <c r="Z85" s="25"/>
      <c r="AA85" s="25"/>
      <c r="AB85" s="25" t="str">
        <f>'Ingest Template'!T85</f>
        <v/>
      </c>
      <c r="AC85" s="25"/>
      <c r="AD85" s="25" t="str">
        <f>'Ingest Template'!U85</f>
        <v/>
      </c>
      <c r="AE85" s="25" t="str">
        <f>'Ingest Template'!V85</f>
        <v/>
      </c>
      <c r="AF85" s="25"/>
      <c r="AG85" s="25" t="str">
        <f t="array" ref="AG85">IF('Ingest Template'!A85="Standard",(CONCATENATE(IF(ISBLANK('Ingest Template'!O85),"", 'Ingest Template'!O85&amp;"|DAR"),CHAR(10), IF(ISBLANK('Ingest Template'!P85),"", 'Ingest Template'!P85&amp;"|DAR"),CHAR(10), IF(ISBLANK('Ingest Template'!Q85),"", 'Ingest Template'!Q85&amp;"|DAR"))),(CONCATENATE(IF(ISBLANK('Ingest Template'!O85),"", 'Ingest Template'!O85&amp;"|Operations - Core Title"),CHAR(10), IF(ISBLANK('Ingest Template'!P85),"", 'Ingest Template'!P85&amp;"|Operations - Core Title"),CHAR(10), IF(ISBLANK('Ingest Template'!Q85),"", 'Ingest Template'!Q85&amp;"|Operations - Core Title"))))</f>
        <v>#|Operations - Core Title
#videoGame|Operations - Core Title
</v>
      </c>
      <c r="AH85" s="25"/>
      <c r="AI85" s="25"/>
      <c r="AJ85" s="50" t="str">
        <f>if('Ingest Template'!A85="Standard",'Ingest Template'!R85&amp; "|DAR|DAR|2021-01-01",'Ingest Template'!R85&amp; "|Operations - Core Title|Operations - Core Title")</f>
        <v>#N/A</v>
      </c>
      <c r="AK85" s="25"/>
      <c r="AL85" s="25" t="str">
        <f>if('Ingest Template'!A85="Standard",'Ingest Template'!S85&amp; "|2021-01-01",'Ingest Template'!S85)</f>
        <v>#N/A</v>
      </c>
      <c r="AM85" s="25"/>
    </row>
    <row r="86">
      <c r="A86" s="25"/>
      <c r="B86" s="25" t="str">
        <f>'Ingest Template'!C86&amp;IF('Ingest Template'!A86 = "Standard", " - DAR","")</f>
        <v/>
      </c>
      <c r="C86" s="34" t="s">
        <v>92</v>
      </c>
      <c r="D86" s="34" t="str">
        <f>CONCATENATE('Ingest Template'!E86&amp;Char(10)&amp;'Ingest Template'!G86&amp;Char(10)&amp;'Ingest Template'!H86&amp;Char(10)&amp;'Ingest Template'!I86&amp;Char(10)&amp;'Ingest Template'!J86&amp;Char(10)&amp;'Ingest Template'!K86&amp;Char(10)&amp;'Ingest Template'!L86)</f>
        <v>
</v>
      </c>
      <c r="E86" s="25" t="str">
        <f>('Ingest Template'!M86)</f>
        <v/>
      </c>
      <c r="F86" s="40" t="str">
        <f t="array" ref="F86">INDEX(DropDown!$J$2:$J$63,MATCH(1,COUNTIF(E86,DropDown!$I$2:$I$63),0))</f>
        <v>#N/A</v>
      </c>
      <c r="G86" s="25"/>
      <c r="H86" s="25"/>
      <c r="I86" s="25"/>
      <c r="J86" s="25" t="str">
        <f>'Ingest Template'!B86</f>
        <v/>
      </c>
      <c r="K86" s="25" t="str">
        <f>IF('Ingest Template'!A86="Standard",'Ingest Template'!N86,"Competitive View")</f>
        <v>Competitive View</v>
      </c>
      <c r="L86" s="41" t="s">
        <v>145</v>
      </c>
      <c r="M86" s="25" t="str">
        <f>'Ingest Template'!D86</f>
        <v/>
      </c>
      <c r="N86" s="25"/>
      <c r="O86" s="25"/>
      <c r="P86" s="25"/>
      <c r="Q86" s="25"/>
      <c r="R86" s="25" t="str">
        <f>CONCATENATE('Ingest Template'!F86)</f>
        <v/>
      </c>
      <c r="S86" s="43" t="s">
        <v>160</v>
      </c>
      <c r="T86" s="25" t="str">
        <f>'Ingest Template'!W86</f>
        <v/>
      </c>
      <c r="U86" s="25"/>
      <c r="V86" s="25" t="str">
        <f>LOWER(SUBSTITUTE(SUBSTITUTE(SUBSTITUTE(SUBSTITUTE(SUBSTITUTE('Ingest Template'!Y86,"https:",""),"www.",""),"/",""),"?hl=en",""),"instagram.com",""))</f>
        <v/>
      </c>
      <c r="W86" s="34" t="str">
        <f>(IFERROR(vlookup('Ingest Template'!F86,DropDown!D:E,2,false)&amp;'Ingest Template'!C86,""))</f>
        <v/>
      </c>
      <c r="X86" s="25" t="str">
        <f>'Ingest Template'!AA86</f>
        <v/>
      </c>
      <c r="Y86" s="25"/>
      <c r="Z86" s="25"/>
      <c r="AA86" s="25"/>
      <c r="AB86" s="25" t="str">
        <f>'Ingest Template'!T86</f>
        <v/>
      </c>
      <c r="AC86" s="25"/>
      <c r="AD86" s="25" t="str">
        <f>'Ingest Template'!U86</f>
        <v/>
      </c>
      <c r="AE86" s="25" t="str">
        <f>'Ingest Template'!V86</f>
        <v/>
      </c>
      <c r="AF86" s="25"/>
      <c r="AG86" s="25" t="str">
        <f t="array" ref="AG86">IF('Ingest Template'!A86="Standard",(CONCATENATE(IF(ISBLANK('Ingest Template'!O86),"", 'Ingest Template'!O86&amp;"|DAR"),CHAR(10), IF(ISBLANK('Ingest Template'!P86),"", 'Ingest Template'!P86&amp;"|DAR"),CHAR(10), IF(ISBLANK('Ingest Template'!Q86),"", 'Ingest Template'!Q86&amp;"|DAR"))),(CONCATENATE(IF(ISBLANK('Ingest Template'!O86),"", 'Ingest Template'!O86&amp;"|Operations - Core Title"),CHAR(10), IF(ISBLANK('Ingest Template'!P86),"", 'Ingest Template'!P86&amp;"|Operations - Core Title"),CHAR(10), IF(ISBLANK('Ingest Template'!Q86),"", 'Ingest Template'!Q86&amp;"|Operations - Core Title"))))</f>
        <v>#|Operations - Core Title
#videoGame|Operations - Core Title
</v>
      </c>
      <c r="AH86" s="25"/>
      <c r="AI86" s="25"/>
      <c r="AJ86" s="50" t="str">
        <f>if('Ingest Template'!A86="Standard",'Ingest Template'!R86&amp; "|DAR|DAR|2021-01-01",'Ingest Template'!R86&amp; "|Operations - Core Title|Operations - Core Title")</f>
        <v>#N/A</v>
      </c>
      <c r="AK86" s="25"/>
      <c r="AL86" s="25" t="str">
        <f>if('Ingest Template'!A86="Standard",'Ingest Template'!S86&amp; "|2021-01-01",'Ingest Template'!S86)</f>
        <v>#N/A</v>
      </c>
      <c r="AM86" s="25"/>
    </row>
    <row r="87">
      <c r="A87" s="25"/>
      <c r="B87" s="25" t="str">
        <f>'Ingest Template'!C87&amp;IF('Ingest Template'!A87 = "Standard", " - DAR","")</f>
        <v/>
      </c>
      <c r="C87" s="34" t="s">
        <v>92</v>
      </c>
      <c r="D87" s="34" t="str">
        <f>CONCATENATE('Ingest Template'!E87&amp;Char(10)&amp;'Ingest Template'!G87&amp;Char(10)&amp;'Ingest Template'!H87&amp;Char(10)&amp;'Ingest Template'!I87&amp;Char(10)&amp;'Ingest Template'!J87&amp;Char(10)&amp;'Ingest Template'!K87&amp;Char(10)&amp;'Ingest Template'!L87)</f>
        <v>
</v>
      </c>
      <c r="E87" s="25" t="str">
        <f>('Ingest Template'!M87)</f>
        <v/>
      </c>
      <c r="F87" s="40" t="str">
        <f t="array" ref="F87">INDEX(DropDown!$J$2:$J$63,MATCH(1,COUNTIF(E87,DropDown!$I$2:$I$63),0))</f>
        <v>#N/A</v>
      </c>
      <c r="G87" s="25"/>
      <c r="H87" s="25"/>
      <c r="I87" s="25"/>
      <c r="J87" s="25" t="str">
        <f>'Ingest Template'!B87</f>
        <v/>
      </c>
      <c r="K87" s="25" t="str">
        <f>IF('Ingest Template'!A87="Standard",'Ingest Template'!N87,"Competitive View")</f>
        <v>Competitive View</v>
      </c>
      <c r="L87" s="41" t="s">
        <v>145</v>
      </c>
      <c r="M87" s="25" t="str">
        <f>'Ingest Template'!D87</f>
        <v/>
      </c>
      <c r="N87" s="25"/>
      <c r="O87" s="25"/>
      <c r="P87" s="25"/>
      <c r="Q87" s="25"/>
      <c r="R87" s="25" t="str">
        <f>CONCATENATE('Ingest Template'!F87)</f>
        <v/>
      </c>
      <c r="S87" s="43" t="s">
        <v>160</v>
      </c>
      <c r="T87" s="25" t="str">
        <f>'Ingest Template'!W87</f>
        <v/>
      </c>
      <c r="U87" s="25"/>
      <c r="V87" s="25" t="str">
        <f>LOWER(SUBSTITUTE(SUBSTITUTE(SUBSTITUTE(SUBSTITUTE(SUBSTITUTE('Ingest Template'!Y87,"https:",""),"www.",""),"/",""),"?hl=en",""),"instagram.com",""))</f>
        <v/>
      </c>
      <c r="W87" s="34" t="str">
        <f>(IFERROR(vlookup('Ingest Template'!F87,DropDown!D:E,2,false)&amp;'Ingest Template'!C87,""))</f>
        <v/>
      </c>
      <c r="X87" s="25" t="str">
        <f>'Ingest Template'!AA87</f>
        <v/>
      </c>
      <c r="Y87" s="25"/>
      <c r="Z87" s="25"/>
      <c r="AA87" s="25"/>
      <c r="AB87" s="25" t="str">
        <f>'Ingest Template'!T87</f>
        <v/>
      </c>
      <c r="AC87" s="25"/>
      <c r="AD87" s="25" t="str">
        <f>'Ingest Template'!U87</f>
        <v/>
      </c>
      <c r="AE87" s="25" t="str">
        <f>'Ingest Template'!V87</f>
        <v/>
      </c>
      <c r="AF87" s="25"/>
      <c r="AG87" s="25" t="str">
        <f t="array" ref="AG87">IF('Ingest Template'!A87="Standard",(CONCATENATE(IF(ISBLANK('Ingest Template'!O87),"", 'Ingest Template'!O87&amp;"|DAR"),CHAR(10), IF(ISBLANK('Ingest Template'!P87),"", 'Ingest Template'!P87&amp;"|DAR"),CHAR(10), IF(ISBLANK('Ingest Template'!Q87),"", 'Ingest Template'!Q87&amp;"|DAR"))),(CONCATENATE(IF(ISBLANK('Ingest Template'!O87),"", 'Ingest Template'!O87&amp;"|Operations - Core Title"),CHAR(10), IF(ISBLANK('Ingest Template'!P87),"", 'Ingest Template'!P87&amp;"|Operations - Core Title"),CHAR(10), IF(ISBLANK('Ingest Template'!Q87),"", 'Ingest Template'!Q87&amp;"|Operations - Core Title"))))</f>
        <v>#|Operations - Core Title
#videoGame|Operations - Core Title
</v>
      </c>
      <c r="AH87" s="25"/>
      <c r="AI87" s="25"/>
      <c r="AJ87" s="50" t="str">
        <f>if('Ingest Template'!A87="Standard",'Ingest Template'!R87&amp; "|DAR|DAR|2021-01-01",'Ingest Template'!R87&amp; "|Operations - Core Title|Operations - Core Title")</f>
        <v>#N/A</v>
      </c>
      <c r="AK87" s="25"/>
      <c r="AL87" s="25" t="str">
        <f>if('Ingest Template'!A87="Standard",'Ingest Template'!S87&amp; "|2021-01-01",'Ingest Template'!S87)</f>
        <v>#N/A</v>
      </c>
      <c r="AM87" s="25"/>
    </row>
    <row r="88">
      <c r="A88" s="25"/>
      <c r="B88" s="25" t="str">
        <f>'Ingest Template'!C88&amp;IF('Ingest Template'!A88 = "Standard", " - DAR","")</f>
        <v/>
      </c>
      <c r="C88" s="34" t="s">
        <v>92</v>
      </c>
      <c r="D88" s="34" t="str">
        <f>CONCATENATE('Ingest Template'!E88&amp;Char(10)&amp;'Ingest Template'!G88&amp;Char(10)&amp;'Ingest Template'!H88&amp;Char(10)&amp;'Ingest Template'!I88&amp;Char(10)&amp;'Ingest Template'!J88&amp;Char(10)&amp;'Ingest Template'!K88&amp;Char(10)&amp;'Ingest Template'!L88)</f>
        <v>
</v>
      </c>
      <c r="E88" s="25" t="str">
        <f>('Ingest Template'!M88)</f>
        <v/>
      </c>
      <c r="F88" s="40" t="str">
        <f t="array" ref="F88">INDEX(DropDown!$J$2:$J$63,MATCH(1,COUNTIF(E88,DropDown!$I$2:$I$63),0))</f>
        <v>#N/A</v>
      </c>
      <c r="G88" s="25"/>
      <c r="H88" s="25"/>
      <c r="I88" s="25"/>
      <c r="J88" s="25" t="str">
        <f>'Ingest Template'!B88</f>
        <v/>
      </c>
      <c r="K88" s="25" t="str">
        <f>IF('Ingest Template'!A88="Standard",'Ingest Template'!N88,"Competitive View")</f>
        <v>Competitive View</v>
      </c>
      <c r="L88" s="41" t="s">
        <v>145</v>
      </c>
      <c r="M88" s="25" t="str">
        <f>'Ingest Template'!D88</f>
        <v/>
      </c>
      <c r="N88" s="25"/>
      <c r="O88" s="25"/>
      <c r="P88" s="25"/>
      <c r="Q88" s="25"/>
      <c r="R88" s="25" t="str">
        <f>CONCATENATE('Ingest Template'!F88)</f>
        <v/>
      </c>
      <c r="S88" s="43" t="s">
        <v>160</v>
      </c>
      <c r="T88" s="25" t="str">
        <f>'Ingest Template'!W88</f>
        <v/>
      </c>
      <c r="U88" s="25"/>
      <c r="V88" s="25" t="str">
        <f>LOWER(SUBSTITUTE(SUBSTITUTE(SUBSTITUTE(SUBSTITUTE(SUBSTITUTE('Ingest Template'!Y88,"https:",""),"www.",""),"/",""),"?hl=en",""),"instagram.com",""))</f>
        <v/>
      </c>
      <c r="W88" s="34" t="str">
        <f>(IFERROR(vlookup('Ingest Template'!F88,DropDown!D:E,2,false)&amp;'Ingest Template'!C88,""))</f>
        <v/>
      </c>
      <c r="X88" s="25" t="str">
        <f>'Ingest Template'!AA88</f>
        <v/>
      </c>
      <c r="Y88" s="25"/>
      <c r="Z88" s="25"/>
      <c r="AA88" s="25"/>
      <c r="AB88" s="25" t="str">
        <f>'Ingest Template'!T88</f>
        <v/>
      </c>
      <c r="AC88" s="25"/>
      <c r="AD88" s="25" t="str">
        <f>'Ingest Template'!U88</f>
        <v/>
      </c>
      <c r="AE88" s="25" t="str">
        <f>'Ingest Template'!V88</f>
        <v/>
      </c>
      <c r="AF88" s="25"/>
      <c r="AG88" s="25" t="str">
        <f t="array" ref="AG88">IF('Ingest Template'!A88="Standard",(CONCATENATE(IF(ISBLANK('Ingest Template'!O88),"", 'Ingest Template'!O88&amp;"|DAR"),CHAR(10), IF(ISBLANK('Ingest Template'!P88),"", 'Ingest Template'!P88&amp;"|DAR"),CHAR(10), IF(ISBLANK('Ingest Template'!Q88),"", 'Ingest Template'!Q88&amp;"|DAR"))),(CONCATENATE(IF(ISBLANK('Ingest Template'!O88),"", 'Ingest Template'!O88&amp;"|Operations - Core Title"),CHAR(10), IF(ISBLANK('Ingest Template'!P88),"", 'Ingest Template'!P88&amp;"|Operations - Core Title"),CHAR(10), IF(ISBLANK('Ingest Template'!Q88),"", 'Ingest Template'!Q88&amp;"|Operations - Core Title"))))</f>
        <v>#|Operations - Core Title
#videoGame|Operations - Core Title
</v>
      </c>
      <c r="AH88" s="25"/>
      <c r="AI88" s="25"/>
      <c r="AJ88" s="50" t="str">
        <f>if('Ingest Template'!A88="Standard",'Ingest Template'!R88&amp; "|DAR|DAR|2021-01-01",'Ingest Template'!R88&amp; "|Operations - Core Title|Operations - Core Title")</f>
        <v>#N/A</v>
      </c>
      <c r="AK88" s="25"/>
      <c r="AL88" s="25" t="str">
        <f>if('Ingest Template'!A88="Standard",'Ingest Template'!S88&amp; "|2021-01-01",'Ingest Template'!S88)</f>
        <v>#N/A</v>
      </c>
      <c r="AM88" s="25"/>
    </row>
    <row r="89">
      <c r="A89" s="25"/>
      <c r="B89" s="25" t="str">
        <f>'Ingest Template'!C89&amp;IF('Ingest Template'!A89 = "Standard", " - DAR","")</f>
        <v/>
      </c>
      <c r="C89" s="34" t="s">
        <v>92</v>
      </c>
      <c r="D89" s="34" t="str">
        <f>CONCATENATE('Ingest Template'!E89&amp;Char(10)&amp;'Ingest Template'!G89&amp;Char(10)&amp;'Ingest Template'!H89&amp;Char(10)&amp;'Ingest Template'!I89&amp;Char(10)&amp;'Ingest Template'!J89&amp;Char(10)&amp;'Ingest Template'!K89&amp;Char(10)&amp;'Ingest Template'!L89)</f>
        <v>
</v>
      </c>
      <c r="E89" s="25" t="str">
        <f>('Ingest Template'!M89)</f>
        <v/>
      </c>
      <c r="F89" s="40" t="str">
        <f t="array" ref="F89">INDEX(DropDown!$J$2:$J$63,MATCH(1,COUNTIF(E89,DropDown!$I$2:$I$63),0))</f>
        <v>#N/A</v>
      </c>
      <c r="G89" s="25"/>
      <c r="H89" s="25"/>
      <c r="I89" s="25"/>
      <c r="J89" s="25" t="str">
        <f>'Ingest Template'!B89</f>
        <v/>
      </c>
      <c r="K89" s="25" t="str">
        <f>IF('Ingest Template'!A89="Standard",'Ingest Template'!N89,"Competitive View")</f>
        <v>Competitive View</v>
      </c>
      <c r="L89" s="41" t="s">
        <v>145</v>
      </c>
      <c r="M89" s="25" t="str">
        <f>'Ingest Template'!D89</f>
        <v/>
      </c>
      <c r="N89" s="25"/>
      <c r="O89" s="25"/>
      <c r="P89" s="25"/>
      <c r="Q89" s="25"/>
      <c r="R89" s="25" t="str">
        <f>CONCATENATE('Ingest Template'!F89)</f>
        <v/>
      </c>
      <c r="S89" s="43" t="s">
        <v>160</v>
      </c>
      <c r="T89" s="25" t="str">
        <f>'Ingest Template'!W89</f>
        <v/>
      </c>
      <c r="U89" s="25"/>
      <c r="V89" s="25" t="str">
        <f>LOWER(SUBSTITUTE(SUBSTITUTE(SUBSTITUTE(SUBSTITUTE(SUBSTITUTE('Ingest Template'!Y89,"https:",""),"www.",""),"/",""),"?hl=en",""),"instagram.com",""))</f>
        <v/>
      </c>
      <c r="W89" s="34" t="str">
        <f>(IFERROR(vlookup('Ingest Template'!F89,DropDown!D:E,2,false)&amp;'Ingest Template'!C89,""))</f>
        <v/>
      </c>
      <c r="X89" s="25" t="str">
        <f>'Ingest Template'!AA89</f>
        <v/>
      </c>
      <c r="Y89" s="25"/>
      <c r="Z89" s="25"/>
      <c r="AA89" s="25"/>
      <c r="AB89" s="25" t="str">
        <f>'Ingest Template'!T89</f>
        <v/>
      </c>
      <c r="AC89" s="25"/>
      <c r="AD89" s="25" t="str">
        <f>'Ingest Template'!U89</f>
        <v/>
      </c>
      <c r="AE89" s="25" t="str">
        <f>'Ingest Template'!V89</f>
        <v/>
      </c>
      <c r="AF89" s="25"/>
      <c r="AG89" s="25" t="str">
        <f t="array" ref="AG89">IF('Ingest Template'!A89="Standard",(CONCATENATE(IF(ISBLANK('Ingest Template'!O89),"", 'Ingest Template'!O89&amp;"|DAR"),CHAR(10), IF(ISBLANK('Ingest Template'!P89),"", 'Ingest Template'!P89&amp;"|DAR"),CHAR(10), IF(ISBLANK('Ingest Template'!Q89),"", 'Ingest Template'!Q89&amp;"|DAR"))),(CONCATENATE(IF(ISBLANK('Ingest Template'!O89),"", 'Ingest Template'!O89&amp;"|Operations - Core Title"),CHAR(10), IF(ISBLANK('Ingest Template'!P89),"", 'Ingest Template'!P89&amp;"|Operations - Core Title"),CHAR(10), IF(ISBLANK('Ingest Template'!Q89),"", 'Ingest Template'!Q89&amp;"|Operations - Core Title"))))</f>
        <v>#|Operations - Core Title
#videoGame|Operations - Core Title
</v>
      </c>
      <c r="AH89" s="25"/>
      <c r="AI89" s="25"/>
      <c r="AJ89" s="50" t="str">
        <f>if('Ingest Template'!A89="Standard",'Ingest Template'!R89&amp; "|DAR|DAR|2021-01-01",'Ingest Template'!R89&amp; "|Operations - Core Title|Operations - Core Title")</f>
        <v>#N/A</v>
      </c>
      <c r="AK89" s="25"/>
      <c r="AL89" s="25" t="str">
        <f>if('Ingest Template'!A89="Standard",'Ingest Template'!S89&amp; "|2021-01-01",'Ingest Template'!S89)</f>
        <v>#N/A</v>
      </c>
      <c r="AM89" s="25"/>
    </row>
    <row r="90">
      <c r="A90" s="25"/>
      <c r="B90" s="25" t="str">
        <f>'Ingest Template'!C90&amp;IF('Ingest Template'!A90 = "Standard", " - DAR","")</f>
        <v/>
      </c>
      <c r="C90" s="34" t="s">
        <v>92</v>
      </c>
      <c r="D90" s="34" t="str">
        <f>CONCATENATE('Ingest Template'!E90&amp;Char(10)&amp;'Ingest Template'!G90&amp;Char(10)&amp;'Ingest Template'!H90&amp;Char(10)&amp;'Ingest Template'!I90&amp;Char(10)&amp;'Ingest Template'!J90&amp;Char(10)&amp;'Ingest Template'!K90&amp;Char(10)&amp;'Ingest Template'!L90)</f>
        <v>
</v>
      </c>
      <c r="E90" s="25" t="str">
        <f>('Ingest Template'!M90)</f>
        <v/>
      </c>
      <c r="F90" s="40" t="str">
        <f t="array" ref="F90">INDEX(DropDown!$J$2:$J$63,MATCH(1,COUNTIF(E90,DropDown!$I$2:$I$63),0))</f>
        <v>#N/A</v>
      </c>
      <c r="G90" s="25"/>
      <c r="H90" s="25"/>
      <c r="I90" s="25"/>
      <c r="J90" s="25" t="str">
        <f>'Ingest Template'!B90</f>
        <v/>
      </c>
      <c r="K90" s="25" t="str">
        <f>IF('Ingest Template'!A90="Standard",'Ingest Template'!N90,"Competitive View")</f>
        <v>Competitive View</v>
      </c>
      <c r="L90" s="41" t="s">
        <v>145</v>
      </c>
      <c r="M90" s="25" t="str">
        <f>'Ingest Template'!D90</f>
        <v/>
      </c>
      <c r="N90" s="25"/>
      <c r="O90" s="25"/>
      <c r="P90" s="25"/>
      <c r="Q90" s="25"/>
      <c r="R90" s="25" t="str">
        <f>CONCATENATE('Ingest Template'!F90)</f>
        <v/>
      </c>
      <c r="S90" s="43" t="s">
        <v>160</v>
      </c>
      <c r="T90" s="25" t="str">
        <f>'Ingest Template'!W90</f>
        <v/>
      </c>
      <c r="U90" s="25"/>
      <c r="V90" s="25" t="str">
        <f>LOWER(SUBSTITUTE(SUBSTITUTE(SUBSTITUTE(SUBSTITUTE(SUBSTITUTE('Ingest Template'!Y90,"https:",""),"www.",""),"/",""),"?hl=en",""),"instagram.com",""))</f>
        <v/>
      </c>
      <c r="W90" s="34" t="str">
        <f>(IFERROR(vlookup('Ingest Template'!F90,DropDown!D:E,2,false)&amp;'Ingest Template'!C90,""))</f>
        <v/>
      </c>
      <c r="X90" s="25" t="str">
        <f>'Ingest Template'!AA90</f>
        <v/>
      </c>
      <c r="Y90" s="25"/>
      <c r="Z90" s="25"/>
      <c r="AA90" s="25"/>
      <c r="AB90" s="25" t="str">
        <f>'Ingest Template'!T90</f>
        <v/>
      </c>
      <c r="AC90" s="25"/>
      <c r="AD90" s="25" t="str">
        <f>'Ingest Template'!U90</f>
        <v/>
      </c>
      <c r="AE90" s="25" t="str">
        <f>'Ingest Template'!V90</f>
        <v/>
      </c>
      <c r="AF90" s="25"/>
      <c r="AG90" s="25" t="str">
        <f t="array" ref="AG90">IF('Ingest Template'!A90="Standard",(CONCATENATE(IF(ISBLANK('Ingest Template'!O90),"", 'Ingest Template'!O90&amp;"|DAR"),CHAR(10), IF(ISBLANK('Ingest Template'!P90),"", 'Ingest Template'!P90&amp;"|DAR"),CHAR(10), IF(ISBLANK('Ingest Template'!Q90),"", 'Ingest Template'!Q90&amp;"|DAR"))),(CONCATENATE(IF(ISBLANK('Ingest Template'!O90),"", 'Ingest Template'!O90&amp;"|Operations - Core Title"),CHAR(10), IF(ISBLANK('Ingest Template'!P90),"", 'Ingest Template'!P90&amp;"|Operations - Core Title"),CHAR(10), IF(ISBLANK('Ingest Template'!Q90),"", 'Ingest Template'!Q90&amp;"|Operations - Core Title"))))</f>
        <v>#|Operations - Core Title
#videoGame|Operations - Core Title
</v>
      </c>
      <c r="AH90" s="25"/>
      <c r="AI90" s="25"/>
      <c r="AJ90" s="50" t="str">
        <f>if('Ingest Template'!A90="Standard",'Ingest Template'!R90&amp; "|DAR|DAR|2021-01-01",'Ingest Template'!R90&amp; "|Operations - Core Title|Operations - Core Title")</f>
        <v>#N/A</v>
      </c>
      <c r="AK90" s="25"/>
      <c r="AL90" s="25" t="str">
        <f>if('Ingest Template'!A90="Standard",'Ingest Template'!S90&amp; "|2021-01-01",'Ingest Template'!S90)</f>
        <v>#N/A</v>
      </c>
      <c r="AM90" s="25"/>
    </row>
    <row r="91">
      <c r="A91" s="25"/>
      <c r="B91" s="25" t="str">
        <f>'Ingest Template'!C91&amp;IF('Ingest Template'!A91 = "Standard", " - DAR","")</f>
        <v/>
      </c>
      <c r="C91" s="34" t="s">
        <v>92</v>
      </c>
      <c r="D91" s="34" t="str">
        <f>CONCATENATE('Ingest Template'!E91&amp;Char(10)&amp;'Ingest Template'!G91&amp;Char(10)&amp;'Ingest Template'!H91&amp;Char(10)&amp;'Ingest Template'!I91&amp;Char(10)&amp;'Ingest Template'!J91&amp;Char(10)&amp;'Ingest Template'!K91&amp;Char(10)&amp;'Ingest Template'!L91)</f>
        <v>
</v>
      </c>
      <c r="E91" s="25" t="str">
        <f>('Ingest Template'!M91)</f>
        <v/>
      </c>
      <c r="F91" s="40" t="str">
        <f t="array" ref="F91">INDEX(DropDown!$J$2:$J$63,MATCH(1,COUNTIF(E91,DropDown!$I$2:$I$63),0))</f>
        <v>#N/A</v>
      </c>
      <c r="G91" s="25"/>
      <c r="H91" s="25"/>
      <c r="I91" s="25"/>
      <c r="J91" s="25" t="str">
        <f>'Ingest Template'!B91</f>
        <v/>
      </c>
      <c r="K91" s="25" t="str">
        <f>IF('Ingest Template'!A91="Standard",'Ingest Template'!N91,"Competitive View")</f>
        <v>Competitive View</v>
      </c>
      <c r="L91" s="41" t="s">
        <v>145</v>
      </c>
      <c r="M91" s="25" t="str">
        <f>'Ingest Template'!D91</f>
        <v/>
      </c>
      <c r="N91" s="25"/>
      <c r="O91" s="25"/>
      <c r="P91" s="25"/>
      <c r="Q91" s="25"/>
      <c r="R91" s="25" t="str">
        <f>CONCATENATE('Ingest Template'!F91)</f>
        <v/>
      </c>
      <c r="S91" s="43" t="s">
        <v>160</v>
      </c>
      <c r="T91" s="25" t="str">
        <f>'Ingest Template'!W91</f>
        <v/>
      </c>
      <c r="U91" s="25"/>
      <c r="V91" s="25" t="str">
        <f>LOWER(SUBSTITUTE(SUBSTITUTE(SUBSTITUTE(SUBSTITUTE(SUBSTITUTE('Ingest Template'!Y91,"https:",""),"www.",""),"/",""),"?hl=en",""),"instagram.com",""))</f>
        <v/>
      </c>
      <c r="W91" s="34" t="str">
        <f>(IFERROR(vlookup('Ingest Template'!F91,DropDown!D:E,2,false)&amp;'Ingest Template'!C91,""))</f>
        <v/>
      </c>
      <c r="X91" s="25" t="str">
        <f>'Ingest Template'!AA91</f>
        <v/>
      </c>
      <c r="Y91" s="25"/>
      <c r="Z91" s="25"/>
      <c r="AA91" s="25"/>
      <c r="AB91" s="25" t="str">
        <f>'Ingest Template'!T91</f>
        <v/>
      </c>
      <c r="AC91" s="25"/>
      <c r="AD91" s="25" t="str">
        <f>'Ingest Template'!U91</f>
        <v/>
      </c>
      <c r="AE91" s="25" t="str">
        <f>'Ingest Template'!V91</f>
        <v/>
      </c>
      <c r="AF91" s="25"/>
      <c r="AG91" s="25" t="str">
        <f t="array" ref="AG91">IF('Ingest Template'!A91="Standard",(CONCATENATE(IF(ISBLANK('Ingest Template'!O91),"", 'Ingest Template'!O91&amp;"|DAR"),CHAR(10), IF(ISBLANK('Ingest Template'!P91),"", 'Ingest Template'!P91&amp;"|DAR"),CHAR(10), IF(ISBLANK('Ingest Template'!Q91),"", 'Ingest Template'!Q91&amp;"|DAR"))),(CONCATENATE(IF(ISBLANK('Ingest Template'!O91),"", 'Ingest Template'!O91&amp;"|Operations - Core Title"),CHAR(10), IF(ISBLANK('Ingest Template'!P91),"", 'Ingest Template'!P91&amp;"|Operations - Core Title"),CHAR(10), IF(ISBLANK('Ingest Template'!Q91),"", 'Ingest Template'!Q91&amp;"|Operations - Core Title"))))</f>
        <v>#|Operations - Core Title
#videoGame|Operations - Core Title
</v>
      </c>
      <c r="AH91" s="25"/>
      <c r="AI91" s="25"/>
      <c r="AJ91" s="50" t="str">
        <f>if('Ingest Template'!A91="Standard",'Ingest Template'!R91&amp; "|DAR|DAR|2021-01-01",'Ingest Template'!R91&amp; "|Operations - Core Title|Operations - Core Title")</f>
        <v>#N/A</v>
      </c>
      <c r="AK91" s="25"/>
      <c r="AL91" s="25" t="str">
        <f>if('Ingest Template'!A91="Standard",'Ingest Template'!S91&amp; "|2021-01-01",'Ingest Template'!S91)</f>
        <v>#N/A</v>
      </c>
      <c r="AM91" s="25"/>
    </row>
    <row r="92">
      <c r="A92" s="25"/>
      <c r="B92" s="25" t="str">
        <f>'Ingest Template'!C92&amp;IF('Ingest Template'!A92 = "Standard", " - DAR","")</f>
        <v/>
      </c>
      <c r="C92" s="34" t="s">
        <v>92</v>
      </c>
      <c r="D92" s="34" t="str">
        <f>CONCATENATE('Ingest Template'!E92&amp;Char(10)&amp;'Ingest Template'!G92&amp;Char(10)&amp;'Ingest Template'!H92&amp;Char(10)&amp;'Ingest Template'!I92&amp;Char(10)&amp;'Ingest Template'!J92&amp;Char(10)&amp;'Ingest Template'!K92&amp;Char(10)&amp;'Ingest Template'!L92)</f>
        <v>
</v>
      </c>
      <c r="E92" s="25" t="str">
        <f>('Ingest Template'!M92)</f>
        <v/>
      </c>
      <c r="F92" s="40" t="str">
        <f t="array" ref="F92">INDEX(DropDown!$J$2:$J$63,MATCH(1,COUNTIF(E92,DropDown!$I$2:$I$63),0))</f>
        <v>#N/A</v>
      </c>
      <c r="G92" s="25"/>
      <c r="H92" s="25"/>
      <c r="I92" s="25"/>
      <c r="J92" s="25" t="str">
        <f>'Ingest Template'!B92</f>
        <v/>
      </c>
      <c r="K92" s="25" t="str">
        <f>IF('Ingest Template'!A92="Standard",'Ingest Template'!N92,"Competitive View")</f>
        <v>Competitive View</v>
      </c>
      <c r="L92" s="41" t="s">
        <v>145</v>
      </c>
      <c r="M92" s="25" t="str">
        <f>'Ingest Template'!D92</f>
        <v/>
      </c>
      <c r="N92" s="25"/>
      <c r="O92" s="25"/>
      <c r="P92" s="25"/>
      <c r="Q92" s="25"/>
      <c r="R92" s="25" t="str">
        <f>CONCATENATE('Ingest Template'!F92)</f>
        <v/>
      </c>
      <c r="S92" s="43" t="s">
        <v>160</v>
      </c>
      <c r="T92" s="25" t="str">
        <f>'Ingest Template'!W92</f>
        <v/>
      </c>
      <c r="U92" s="25"/>
      <c r="V92" s="25" t="str">
        <f>LOWER(SUBSTITUTE(SUBSTITUTE(SUBSTITUTE(SUBSTITUTE(SUBSTITUTE('Ingest Template'!Y92,"https:",""),"www.",""),"/",""),"?hl=en",""),"instagram.com",""))</f>
        <v/>
      </c>
      <c r="W92" s="34" t="str">
        <f>(IFERROR(vlookup('Ingest Template'!F92,DropDown!D:E,2,false)&amp;'Ingest Template'!C92,""))</f>
        <v/>
      </c>
      <c r="X92" s="25" t="str">
        <f>'Ingest Template'!AA92</f>
        <v/>
      </c>
      <c r="Y92" s="25"/>
      <c r="Z92" s="25"/>
      <c r="AA92" s="25"/>
      <c r="AB92" s="25" t="str">
        <f>'Ingest Template'!T92</f>
        <v/>
      </c>
      <c r="AC92" s="25"/>
      <c r="AD92" s="25" t="str">
        <f>'Ingest Template'!U92</f>
        <v/>
      </c>
      <c r="AE92" s="25" t="str">
        <f>'Ingest Template'!V92</f>
        <v/>
      </c>
      <c r="AF92" s="25"/>
      <c r="AG92" s="25" t="str">
        <f t="array" ref="AG92">IF('Ingest Template'!A92="Standard",(CONCATENATE(IF(ISBLANK('Ingest Template'!O92),"", 'Ingest Template'!O92&amp;"|DAR"),CHAR(10), IF(ISBLANK('Ingest Template'!P92),"", 'Ingest Template'!P92&amp;"|DAR"),CHAR(10), IF(ISBLANK('Ingest Template'!Q92),"", 'Ingest Template'!Q92&amp;"|DAR"))),(CONCATENATE(IF(ISBLANK('Ingest Template'!O92),"", 'Ingest Template'!O92&amp;"|Operations - Core Title"),CHAR(10), IF(ISBLANK('Ingest Template'!P92),"", 'Ingest Template'!P92&amp;"|Operations - Core Title"),CHAR(10), IF(ISBLANK('Ingest Template'!Q92),"", 'Ingest Template'!Q92&amp;"|Operations - Core Title"))))</f>
        <v>#|Operations - Core Title
#videoGame|Operations - Core Title
</v>
      </c>
      <c r="AH92" s="25"/>
      <c r="AI92" s="25"/>
      <c r="AJ92" s="50" t="str">
        <f>if('Ingest Template'!A92="Standard",'Ingest Template'!R92&amp; "|DAR|DAR|2021-01-01",'Ingest Template'!R92&amp; "|Operations - Core Title|Operations - Core Title")</f>
        <v>#N/A</v>
      </c>
      <c r="AK92" s="25"/>
      <c r="AL92" s="25" t="str">
        <f>if('Ingest Template'!A92="Standard",'Ingest Template'!S92&amp; "|2021-01-01",'Ingest Template'!S92)</f>
        <v>#N/A</v>
      </c>
      <c r="AM92" s="25"/>
    </row>
    <row r="93">
      <c r="A93" s="25"/>
      <c r="B93" s="25" t="str">
        <f>'Ingest Template'!C93&amp;IF('Ingest Template'!A93 = "Standard", " - DAR","")</f>
        <v/>
      </c>
      <c r="C93" s="34" t="s">
        <v>92</v>
      </c>
      <c r="D93" s="34" t="str">
        <f>CONCATENATE('Ingest Template'!E93&amp;Char(10)&amp;'Ingest Template'!G93&amp;Char(10)&amp;'Ingest Template'!H93&amp;Char(10)&amp;'Ingest Template'!I93&amp;Char(10)&amp;'Ingest Template'!J93&amp;Char(10)&amp;'Ingest Template'!K93&amp;Char(10)&amp;'Ingest Template'!L93)</f>
        <v>
</v>
      </c>
      <c r="E93" s="25" t="str">
        <f>('Ingest Template'!M93)</f>
        <v/>
      </c>
      <c r="F93" s="40" t="str">
        <f t="array" ref="F93">INDEX(DropDown!$J$2:$J$63,MATCH(1,COUNTIF(E93,DropDown!$I$2:$I$63),0))</f>
        <v>#N/A</v>
      </c>
      <c r="G93" s="25"/>
      <c r="H93" s="25"/>
      <c r="I93" s="25"/>
      <c r="J93" s="25" t="str">
        <f>'Ingest Template'!B93</f>
        <v/>
      </c>
      <c r="K93" s="25" t="str">
        <f>IF('Ingest Template'!A93="Standard",'Ingest Template'!N93,"Competitive View")</f>
        <v>Competitive View</v>
      </c>
      <c r="L93" s="41" t="s">
        <v>145</v>
      </c>
      <c r="M93" s="25" t="str">
        <f>'Ingest Template'!D93</f>
        <v/>
      </c>
      <c r="N93" s="25"/>
      <c r="O93" s="25"/>
      <c r="P93" s="25"/>
      <c r="Q93" s="25"/>
      <c r="R93" s="25" t="str">
        <f>CONCATENATE('Ingest Template'!F93)</f>
        <v/>
      </c>
      <c r="S93" s="43" t="s">
        <v>160</v>
      </c>
      <c r="T93" s="25" t="str">
        <f>'Ingest Template'!W93</f>
        <v/>
      </c>
      <c r="U93" s="25"/>
      <c r="V93" s="25" t="str">
        <f>LOWER(SUBSTITUTE(SUBSTITUTE(SUBSTITUTE(SUBSTITUTE(SUBSTITUTE('Ingest Template'!Y93,"https:",""),"www.",""),"/",""),"?hl=en",""),"instagram.com",""))</f>
        <v/>
      </c>
      <c r="W93" s="34" t="str">
        <f>(IFERROR(vlookup('Ingest Template'!F93,DropDown!D:E,2,false)&amp;'Ingest Template'!C93,""))</f>
        <v/>
      </c>
      <c r="X93" s="25" t="str">
        <f>'Ingest Template'!AA93</f>
        <v/>
      </c>
      <c r="Y93" s="25"/>
      <c r="Z93" s="25"/>
      <c r="AA93" s="25"/>
      <c r="AB93" s="25" t="str">
        <f>'Ingest Template'!T93</f>
        <v/>
      </c>
      <c r="AC93" s="25"/>
      <c r="AD93" s="25" t="str">
        <f>'Ingest Template'!U93</f>
        <v/>
      </c>
      <c r="AE93" s="25" t="str">
        <f>'Ingest Template'!V93</f>
        <v/>
      </c>
      <c r="AF93" s="25"/>
      <c r="AG93" s="25" t="str">
        <f t="array" ref="AG93">IF('Ingest Template'!A93="Standard",(CONCATENATE(IF(ISBLANK('Ingest Template'!O93),"", 'Ingest Template'!O93&amp;"|DAR"),CHAR(10), IF(ISBLANK('Ingest Template'!P93),"", 'Ingest Template'!P93&amp;"|DAR"),CHAR(10), IF(ISBLANK('Ingest Template'!Q93),"", 'Ingest Template'!Q93&amp;"|DAR"))),(CONCATENATE(IF(ISBLANK('Ingest Template'!O93),"", 'Ingest Template'!O93&amp;"|Operations - Core Title"),CHAR(10), IF(ISBLANK('Ingest Template'!P93),"", 'Ingest Template'!P93&amp;"|Operations - Core Title"),CHAR(10), IF(ISBLANK('Ingest Template'!Q93),"", 'Ingest Template'!Q93&amp;"|Operations - Core Title"))))</f>
        <v>#|Operations - Core Title
#videoGame|Operations - Core Title
</v>
      </c>
      <c r="AH93" s="25"/>
      <c r="AI93" s="25"/>
      <c r="AJ93" s="50" t="str">
        <f>if('Ingest Template'!A93="Standard",'Ingest Template'!R93&amp; "|DAR|DAR|2021-01-01",'Ingest Template'!R93&amp; "|Operations - Core Title|Operations - Core Title")</f>
        <v>#N/A</v>
      </c>
      <c r="AK93" s="25"/>
      <c r="AL93" s="25" t="str">
        <f>if('Ingest Template'!A93="Standard",'Ingest Template'!S93&amp; "|2021-01-01",'Ingest Template'!S93)</f>
        <v>#N/A</v>
      </c>
      <c r="AM93" s="25"/>
    </row>
    <row r="94">
      <c r="A94" s="25"/>
      <c r="B94" s="25" t="str">
        <f>'Ingest Template'!C94&amp;IF('Ingest Template'!A94 = "Standard", " - DAR","")</f>
        <v/>
      </c>
      <c r="C94" s="34" t="s">
        <v>92</v>
      </c>
      <c r="D94" s="34" t="str">
        <f>CONCATENATE('Ingest Template'!E94&amp;Char(10)&amp;'Ingest Template'!G94&amp;Char(10)&amp;'Ingest Template'!H94&amp;Char(10)&amp;'Ingest Template'!I94&amp;Char(10)&amp;'Ingest Template'!J94&amp;Char(10)&amp;'Ingest Template'!K94&amp;Char(10)&amp;'Ingest Template'!L94)</f>
        <v>
</v>
      </c>
      <c r="E94" s="25" t="str">
        <f>('Ingest Template'!M94)</f>
        <v/>
      </c>
      <c r="F94" s="40" t="str">
        <f t="array" ref="F94">INDEX(DropDown!$J$2:$J$63,MATCH(1,COUNTIF(E94,DropDown!$I$2:$I$63),0))</f>
        <v>#N/A</v>
      </c>
      <c r="G94" s="25"/>
      <c r="H94" s="25"/>
      <c r="I94" s="25"/>
      <c r="J94" s="25" t="str">
        <f>'Ingest Template'!B94</f>
        <v/>
      </c>
      <c r="K94" s="25" t="str">
        <f>IF('Ingest Template'!A94="Standard",'Ingest Template'!N94,"Competitive View")</f>
        <v>Competitive View</v>
      </c>
      <c r="L94" s="41" t="s">
        <v>145</v>
      </c>
      <c r="M94" s="25" t="str">
        <f>'Ingest Template'!D94</f>
        <v/>
      </c>
      <c r="N94" s="25"/>
      <c r="O94" s="25"/>
      <c r="P94" s="25"/>
      <c r="Q94" s="25"/>
      <c r="R94" s="25" t="str">
        <f>CONCATENATE('Ingest Template'!F94)</f>
        <v/>
      </c>
      <c r="S94" s="43" t="s">
        <v>160</v>
      </c>
      <c r="T94" s="25" t="str">
        <f>'Ingest Template'!W94</f>
        <v/>
      </c>
      <c r="U94" s="25"/>
      <c r="V94" s="25" t="str">
        <f>LOWER(SUBSTITUTE(SUBSTITUTE(SUBSTITUTE(SUBSTITUTE(SUBSTITUTE('Ingest Template'!Y94,"https:",""),"www.",""),"/",""),"?hl=en",""),"instagram.com",""))</f>
        <v/>
      </c>
      <c r="W94" s="34" t="str">
        <f>(IFERROR(vlookup('Ingest Template'!F94,DropDown!D:E,2,false)&amp;'Ingest Template'!C94,""))</f>
        <v/>
      </c>
      <c r="X94" s="25" t="str">
        <f>'Ingest Template'!AA94</f>
        <v/>
      </c>
      <c r="Y94" s="25"/>
      <c r="Z94" s="25"/>
      <c r="AA94" s="25"/>
      <c r="AB94" s="25" t="str">
        <f>'Ingest Template'!T94</f>
        <v/>
      </c>
      <c r="AC94" s="25"/>
      <c r="AD94" s="25" t="str">
        <f>'Ingest Template'!U94</f>
        <v/>
      </c>
      <c r="AE94" s="25" t="str">
        <f>'Ingest Template'!V94</f>
        <v/>
      </c>
      <c r="AF94" s="25"/>
      <c r="AG94" s="25" t="str">
        <f t="array" ref="AG94">IF('Ingest Template'!A94="Standard",(CONCATENATE(IF(ISBLANK('Ingest Template'!O94),"", 'Ingest Template'!O94&amp;"|DAR"),CHAR(10), IF(ISBLANK('Ingest Template'!P94),"", 'Ingest Template'!P94&amp;"|DAR"),CHAR(10), IF(ISBLANK('Ingest Template'!Q94),"", 'Ingest Template'!Q94&amp;"|DAR"))),(CONCATENATE(IF(ISBLANK('Ingest Template'!O94),"", 'Ingest Template'!O94&amp;"|Operations - Core Title"),CHAR(10), IF(ISBLANK('Ingest Template'!P94),"", 'Ingest Template'!P94&amp;"|Operations - Core Title"),CHAR(10), IF(ISBLANK('Ingest Template'!Q94),"", 'Ingest Template'!Q94&amp;"|Operations - Core Title"))))</f>
        <v>#|Operations - Core Title
#videoGame|Operations - Core Title
</v>
      </c>
      <c r="AH94" s="25"/>
      <c r="AI94" s="25"/>
      <c r="AJ94" s="50" t="str">
        <f>if('Ingest Template'!A94="Standard",'Ingest Template'!R94&amp; "|DAR|DAR|2021-01-01",'Ingest Template'!R94&amp; "|Operations - Core Title|Operations - Core Title")</f>
        <v>#N/A</v>
      </c>
      <c r="AK94" s="25"/>
      <c r="AL94" s="25" t="str">
        <f>if('Ingest Template'!A94="Standard",'Ingest Template'!S94&amp; "|2021-01-01",'Ingest Template'!S94)</f>
        <v>#N/A</v>
      </c>
      <c r="AM94" s="25"/>
    </row>
    <row r="95">
      <c r="A95" s="25"/>
      <c r="B95" s="25" t="str">
        <f>'Ingest Template'!C95&amp;IF('Ingest Template'!A95 = "Standard", " - DAR","")</f>
        <v/>
      </c>
      <c r="C95" s="34" t="s">
        <v>92</v>
      </c>
      <c r="D95" s="34" t="str">
        <f>CONCATENATE('Ingest Template'!E95&amp;Char(10)&amp;'Ingest Template'!G95&amp;Char(10)&amp;'Ingest Template'!H95&amp;Char(10)&amp;'Ingest Template'!I95&amp;Char(10)&amp;'Ingest Template'!J95&amp;Char(10)&amp;'Ingest Template'!K95&amp;Char(10)&amp;'Ingest Template'!L95)</f>
        <v>
</v>
      </c>
      <c r="E95" s="25" t="str">
        <f>('Ingest Template'!M95)</f>
        <v/>
      </c>
      <c r="F95" s="40" t="str">
        <f t="array" ref="F95">INDEX(DropDown!$J$2:$J$63,MATCH(1,COUNTIF(E95,DropDown!$I$2:$I$63),0))</f>
        <v>#N/A</v>
      </c>
      <c r="G95" s="25"/>
      <c r="H95" s="25"/>
      <c r="I95" s="25"/>
      <c r="J95" s="25" t="str">
        <f>'Ingest Template'!B95</f>
        <v/>
      </c>
      <c r="K95" s="25" t="str">
        <f>IF('Ingest Template'!A95="Standard",'Ingest Template'!N95,"Competitive View")</f>
        <v>Competitive View</v>
      </c>
      <c r="L95" s="41" t="s">
        <v>145</v>
      </c>
      <c r="M95" s="25" t="str">
        <f>'Ingest Template'!D95</f>
        <v/>
      </c>
      <c r="N95" s="25"/>
      <c r="O95" s="25"/>
      <c r="P95" s="25"/>
      <c r="Q95" s="25"/>
      <c r="R95" s="25" t="str">
        <f>CONCATENATE('Ingest Template'!F95)</f>
        <v/>
      </c>
      <c r="S95" s="43" t="s">
        <v>160</v>
      </c>
      <c r="T95" s="25" t="str">
        <f>'Ingest Template'!W95</f>
        <v/>
      </c>
      <c r="U95" s="25"/>
      <c r="V95" s="25" t="str">
        <f>LOWER(SUBSTITUTE(SUBSTITUTE(SUBSTITUTE(SUBSTITUTE(SUBSTITUTE('Ingest Template'!Y95,"https:",""),"www.",""),"/",""),"?hl=en",""),"instagram.com",""))</f>
        <v/>
      </c>
      <c r="W95" s="34" t="str">
        <f>(IFERROR(vlookup('Ingest Template'!F95,DropDown!D:E,2,false)&amp;'Ingest Template'!C95,""))</f>
        <v/>
      </c>
      <c r="X95" s="25" t="str">
        <f>'Ingest Template'!AA95</f>
        <v/>
      </c>
      <c r="Y95" s="25"/>
      <c r="Z95" s="25"/>
      <c r="AA95" s="25"/>
      <c r="AB95" s="25" t="str">
        <f>'Ingest Template'!T95</f>
        <v/>
      </c>
      <c r="AC95" s="25"/>
      <c r="AD95" s="25" t="str">
        <f>'Ingest Template'!U95</f>
        <v/>
      </c>
      <c r="AE95" s="25" t="str">
        <f>'Ingest Template'!V95</f>
        <v/>
      </c>
      <c r="AF95" s="25"/>
      <c r="AG95" s="25" t="str">
        <f t="array" ref="AG95">IF('Ingest Template'!A95="Standard",(CONCATENATE(IF(ISBLANK('Ingest Template'!O95),"", 'Ingest Template'!O95&amp;"|DAR"),CHAR(10), IF(ISBLANK('Ingest Template'!P95),"", 'Ingest Template'!P95&amp;"|DAR"),CHAR(10), IF(ISBLANK('Ingest Template'!Q95),"", 'Ingest Template'!Q95&amp;"|DAR"))),(CONCATENATE(IF(ISBLANK('Ingest Template'!O95),"", 'Ingest Template'!O95&amp;"|Operations - Core Title"),CHAR(10), IF(ISBLANK('Ingest Template'!P95),"", 'Ingest Template'!P95&amp;"|Operations - Core Title"),CHAR(10), IF(ISBLANK('Ingest Template'!Q95),"", 'Ingest Template'!Q95&amp;"|Operations - Core Title"))))</f>
        <v>#|Operations - Core Title
#videoGame|Operations - Core Title
</v>
      </c>
      <c r="AH95" s="25"/>
      <c r="AI95" s="25"/>
      <c r="AJ95" s="50" t="str">
        <f>if('Ingest Template'!A95="Standard",'Ingest Template'!R95&amp; "|DAR|DAR|2021-01-01",'Ingest Template'!R95&amp; "|Operations - Core Title|Operations - Core Title")</f>
        <v>#N/A</v>
      </c>
      <c r="AK95" s="25"/>
      <c r="AL95" s="25" t="str">
        <f>if('Ingest Template'!A95="Standard",'Ingest Template'!S95&amp; "|2021-01-01",'Ingest Template'!S95)</f>
        <v>#N/A</v>
      </c>
      <c r="AM95" s="25"/>
    </row>
    <row r="96">
      <c r="A96" s="25"/>
      <c r="B96" s="25" t="str">
        <f>'Ingest Template'!C96&amp;IF('Ingest Template'!A96 = "Standard", " - DAR","")</f>
        <v/>
      </c>
      <c r="C96" s="34" t="s">
        <v>92</v>
      </c>
      <c r="D96" s="34" t="str">
        <f>CONCATENATE('Ingest Template'!E96&amp;Char(10)&amp;'Ingest Template'!G96&amp;Char(10)&amp;'Ingest Template'!H96&amp;Char(10)&amp;'Ingest Template'!I96&amp;Char(10)&amp;'Ingest Template'!J96&amp;Char(10)&amp;'Ingest Template'!K96&amp;Char(10)&amp;'Ingest Template'!L96)</f>
        <v>
</v>
      </c>
      <c r="E96" s="25" t="str">
        <f>('Ingest Template'!M96)</f>
        <v/>
      </c>
      <c r="F96" s="40" t="str">
        <f t="array" ref="F96">INDEX(DropDown!$J$2:$J$63,MATCH(1,COUNTIF(E96,DropDown!$I$2:$I$63),0))</f>
        <v>#N/A</v>
      </c>
      <c r="G96" s="25"/>
      <c r="H96" s="25"/>
      <c r="I96" s="25"/>
      <c r="J96" s="25" t="str">
        <f>'Ingest Template'!B96</f>
        <v/>
      </c>
      <c r="K96" s="25" t="str">
        <f>IF('Ingest Template'!A96="Standard",'Ingest Template'!N96,"Competitive View")</f>
        <v>Competitive View</v>
      </c>
      <c r="L96" s="41" t="s">
        <v>145</v>
      </c>
      <c r="M96" s="25" t="str">
        <f>'Ingest Template'!D96</f>
        <v/>
      </c>
      <c r="N96" s="25"/>
      <c r="O96" s="25"/>
      <c r="P96" s="25"/>
      <c r="Q96" s="25"/>
      <c r="R96" s="25" t="str">
        <f>CONCATENATE('Ingest Template'!F96)</f>
        <v/>
      </c>
      <c r="S96" s="43" t="s">
        <v>160</v>
      </c>
      <c r="T96" s="25" t="str">
        <f>'Ingest Template'!W96</f>
        <v/>
      </c>
      <c r="U96" s="25"/>
      <c r="V96" s="25" t="str">
        <f>LOWER(SUBSTITUTE(SUBSTITUTE(SUBSTITUTE(SUBSTITUTE(SUBSTITUTE('Ingest Template'!Y96,"https:",""),"www.",""),"/",""),"?hl=en",""),"instagram.com",""))</f>
        <v/>
      </c>
      <c r="W96" s="34" t="str">
        <f>(IFERROR(vlookup('Ingest Template'!F96,DropDown!D:E,2,false)&amp;'Ingest Template'!C96,""))</f>
        <v/>
      </c>
      <c r="X96" s="25" t="str">
        <f>'Ingest Template'!AA96</f>
        <v/>
      </c>
      <c r="Y96" s="25"/>
      <c r="Z96" s="25"/>
      <c r="AA96" s="25"/>
      <c r="AB96" s="25" t="str">
        <f>'Ingest Template'!T96</f>
        <v/>
      </c>
      <c r="AC96" s="25"/>
      <c r="AD96" s="25" t="str">
        <f>'Ingest Template'!U96</f>
        <v/>
      </c>
      <c r="AE96" s="25" t="str">
        <f>'Ingest Template'!V96</f>
        <v/>
      </c>
      <c r="AF96" s="25"/>
      <c r="AG96" s="25" t="str">
        <f t="array" ref="AG96">IF('Ingest Template'!A96="Standard",(CONCATENATE(IF(ISBLANK('Ingest Template'!O96),"", 'Ingest Template'!O96&amp;"|DAR"),CHAR(10), IF(ISBLANK('Ingest Template'!P96),"", 'Ingest Template'!P96&amp;"|DAR"),CHAR(10), IF(ISBLANK('Ingest Template'!Q96),"", 'Ingest Template'!Q96&amp;"|DAR"))),(CONCATENATE(IF(ISBLANK('Ingest Template'!O96),"", 'Ingest Template'!O96&amp;"|Operations - Core Title"),CHAR(10), IF(ISBLANK('Ingest Template'!P96),"", 'Ingest Template'!P96&amp;"|Operations - Core Title"),CHAR(10), IF(ISBLANK('Ingest Template'!Q96),"", 'Ingest Template'!Q96&amp;"|Operations - Core Title"))))</f>
        <v>#|Operations - Core Title
#videoGame|Operations - Core Title
</v>
      </c>
      <c r="AH96" s="25"/>
      <c r="AI96" s="25"/>
      <c r="AJ96" s="50" t="str">
        <f>if('Ingest Template'!A96="Standard",'Ingest Template'!R96&amp; "|DAR|DAR|2021-01-01",'Ingest Template'!R96&amp; "|Operations - Core Title|Operations - Core Title")</f>
        <v>#N/A</v>
      </c>
      <c r="AK96" s="25"/>
      <c r="AL96" s="25" t="str">
        <f>if('Ingest Template'!A96="Standard",'Ingest Template'!S96&amp; "|2021-01-01",'Ingest Template'!S96)</f>
        <v>#N/A</v>
      </c>
      <c r="AM96" s="25"/>
    </row>
    <row r="97">
      <c r="A97" s="25"/>
      <c r="B97" s="25" t="str">
        <f>'Ingest Template'!C97&amp;IF('Ingest Template'!A97 = "Standard", " - DAR","")</f>
        <v/>
      </c>
      <c r="C97" s="34" t="s">
        <v>92</v>
      </c>
      <c r="D97" s="34" t="str">
        <f>CONCATENATE('Ingest Template'!E97&amp;Char(10)&amp;'Ingest Template'!G97&amp;Char(10)&amp;'Ingest Template'!H97&amp;Char(10)&amp;'Ingest Template'!I97&amp;Char(10)&amp;'Ingest Template'!J97&amp;Char(10)&amp;'Ingest Template'!K97&amp;Char(10)&amp;'Ingest Template'!L97)</f>
        <v>
</v>
      </c>
      <c r="E97" s="25" t="str">
        <f>('Ingest Template'!M97)</f>
        <v/>
      </c>
      <c r="F97" s="40" t="str">
        <f t="array" ref="F97">INDEX(DropDown!$J$2:$J$63,MATCH(1,COUNTIF(E97,DropDown!$I$2:$I$63),0))</f>
        <v>#N/A</v>
      </c>
      <c r="G97" s="25"/>
      <c r="H97" s="25"/>
      <c r="I97" s="25"/>
      <c r="J97" s="25" t="str">
        <f>'Ingest Template'!B97</f>
        <v/>
      </c>
      <c r="K97" s="25" t="str">
        <f>IF('Ingest Template'!A97="Standard",'Ingest Template'!N97,"Competitive View")</f>
        <v>Competitive View</v>
      </c>
      <c r="L97" s="41" t="s">
        <v>145</v>
      </c>
      <c r="M97" s="25" t="str">
        <f>'Ingest Template'!D97</f>
        <v/>
      </c>
      <c r="N97" s="25"/>
      <c r="O97" s="25"/>
      <c r="P97" s="25"/>
      <c r="Q97" s="25"/>
      <c r="R97" s="25" t="str">
        <f>CONCATENATE('Ingest Template'!F97)</f>
        <v/>
      </c>
      <c r="S97" s="43" t="s">
        <v>160</v>
      </c>
      <c r="T97" s="25" t="str">
        <f>'Ingest Template'!W97</f>
        <v/>
      </c>
      <c r="U97" s="25"/>
      <c r="V97" s="25" t="str">
        <f>LOWER(SUBSTITUTE(SUBSTITUTE(SUBSTITUTE(SUBSTITUTE(SUBSTITUTE('Ingest Template'!Y97,"https:",""),"www.",""),"/",""),"?hl=en",""),"instagram.com",""))</f>
        <v/>
      </c>
      <c r="W97" s="34" t="str">
        <f>(IFERROR(vlookup('Ingest Template'!F97,DropDown!D:E,2,false)&amp;'Ingest Template'!C97,""))</f>
        <v/>
      </c>
      <c r="X97" s="25" t="str">
        <f>'Ingest Template'!AA97</f>
        <v/>
      </c>
      <c r="Y97" s="25"/>
      <c r="Z97" s="25"/>
      <c r="AA97" s="25"/>
      <c r="AB97" s="25" t="str">
        <f>'Ingest Template'!T97</f>
        <v/>
      </c>
      <c r="AC97" s="25"/>
      <c r="AD97" s="25" t="str">
        <f>'Ingest Template'!U97</f>
        <v/>
      </c>
      <c r="AE97" s="25" t="str">
        <f>'Ingest Template'!V97</f>
        <v/>
      </c>
      <c r="AF97" s="25"/>
      <c r="AG97" s="25" t="str">
        <f t="array" ref="AG97">IF('Ingest Template'!A97="Standard",(CONCATENATE(IF(ISBLANK('Ingest Template'!O97),"", 'Ingest Template'!O97&amp;"|DAR"),CHAR(10), IF(ISBLANK('Ingest Template'!P97),"", 'Ingest Template'!P97&amp;"|DAR"),CHAR(10), IF(ISBLANK('Ingest Template'!Q97),"", 'Ingest Template'!Q97&amp;"|DAR"))),(CONCATENATE(IF(ISBLANK('Ingest Template'!O97),"", 'Ingest Template'!O97&amp;"|Operations - Core Title"),CHAR(10), IF(ISBLANK('Ingest Template'!P97),"", 'Ingest Template'!P97&amp;"|Operations - Core Title"),CHAR(10), IF(ISBLANK('Ingest Template'!Q97),"", 'Ingest Template'!Q97&amp;"|Operations - Core Title"))))</f>
        <v>#|Operations - Core Title
#videoGame|Operations - Core Title
</v>
      </c>
      <c r="AH97" s="25"/>
      <c r="AI97" s="25"/>
      <c r="AJ97" s="50" t="str">
        <f>if('Ingest Template'!A97="Standard",'Ingest Template'!R97&amp; "|DAR|DAR|2021-01-01",'Ingest Template'!R97&amp; "|Operations - Core Title|Operations - Core Title")</f>
        <v>#N/A</v>
      </c>
      <c r="AK97" s="25"/>
      <c r="AL97" s="25" t="str">
        <f>if('Ingest Template'!A97="Standard",'Ingest Template'!S97&amp; "|2021-01-01",'Ingest Template'!S97)</f>
        <v>#N/A</v>
      </c>
      <c r="AM97" s="25"/>
    </row>
    <row r="98">
      <c r="A98" s="25"/>
      <c r="B98" s="25" t="str">
        <f>'Ingest Template'!C98&amp;IF('Ingest Template'!A98 = "Standard", " - DAR","")</f>
        <v/>
      </c>
      <c r="C98" s="34" t="s">
        <v>92</v>
      </c>
      <c r="D98" s="34" t="str">
        <f>CONCATENATE('Ingest Template'!E98&amp;Char(10)&amp;'Ingest Template'!G98&amp;Char(10)&amp;'Ingest Template'!H98&amp;Char(10)&amp;'Ingest Template'!I98&amp;Char(10)&amp;'Ingest Template'!J98&amp;Char(10)&amp;'Ingest Template'!K98&amp;Char(10)&amp;'Ingest Template'!L98)</f>
        <v>
</v>
      </c>
      <c r="E98" s="25" t="str">
        <f>('Ingest Template'!M98)</f>
        <v/>
      </c>
      <c r="F98" s="40" t="str">
        <f t="array" ref="F98">INDEX(DropDown!$J$2:$J$63,MATCH(1,COUNTIF(E98,DropDown!$I$2:$I$63),0))</f>
        <v>#N/A</v>
      </c>
      <c r="G98" s="25"/>
      <c r="H98" s="25"/>
      <c r="I98" s="25"/>
      <c r="J98" s="25" t="str">
        <f>'Ingest Template'!B98</f>
        <v/>
      </c>
      <c r="K98" s="25" t="str">
        <f>IF('Ingest Template'!A98="Standard",'Ingest Template'!N98,"Competitive View")</f>
        <v>Competitive View</v>
      </c>
      <c r="L98" s="41" t="s">
        <v>145</v>
      </c>
      <c r="M98" s="25" t="str">
        <f>'Ingest Template'!D98</f>
        <v/>
      </c>
      <c r="N98" s="25"/>
      <c r="O98" s="25"/>
      <c r="P98" s="25"/>
      <c r="Q98" s="25"/>
      <c r="R98" s="25" t="str">
        <f>CONCATENATE('Ingest Template'!F98)</f>
        <v/>
      </c>
      <c r="S98" s="43" t="s">
        <v>160</v>
      </c>
      <c r="T98" s="25" t="str">
        <f>'Ingest Template'!W98</f>
        <v/>
      </c>
      <c r="U98" s="25"/>
      <c r="V98" s="25" t="str">
        <f>LOWER(SUBSTITUTE(SUBSTITUTE(SUBSTITUTE(SUBSTITUTE(SUBSTITUTE('Ingest Template'!Y98,"https:",""),"www.",""),"/",""),"?hl=en",""),"instagram.com",""))</f>
        <v/>
      </c>
      <c r="W98" s="34" t="str">
        <f>(IFERROR(vlookup('Ingest Template'!F98,DropDown!D:E,2,false)&amp;'Ingest Template'!C98,""))</f>
        <v/>
      </c>
      <c r="X98" s="25" t="str">
        <f>'Ingest Template'!AA98</f>
        <v/>
      </c>
      <c r="Y98" s="25"/>
      <c r="Z98" s="25"/>
      <c r="AA98" s="25"/>
      <c r="AB98" s="25" t="str">
        <f>'Ingest Template'!T98</f>
        <v/>
      </c>
      <c r="AC98" s="25"/>
      <c r="AD98" s="25" t="str">
        <f>'Ingest Template'!U98</f>
        <v/>
      </c>
      <c r="AE98" s="25" t="str">
        <f>'Ingest Template'!V98</f>
        <v/>
      </c>
      <c r="AF98" s="25"/>
      <c r="AG98" s="25" t="str">
        <f t="array" ref="AG98">IF('Ingest Template'!A98="Standard",(CONCATENATE(IF(ISBLANK('Ingest Template'!O98),"", 'Ingest Template'!O98&amp;"|DAR"),CHAR(10), IF(ISBLANK('Ingest Template'!P98),"", 'Ingest Template'!P98&amp;"|DAR"),CHAR(10), IF(ISBLANK('Ingest Template'!Q98),"", 'Ingest Template'!Q98&amp;"|DAR"))),(CONCATENATE(IF(ISBLANK('Ingest Template'!O98),"", 'Ingest Template'!O98&amp;"|Operations - Core Title"),CHAR(10), IF(ISBLANK('Ingest Template'!P98),"", 'Ingest Template'!P98&amp;"|Operations - Core Title"),CHAR(10), IF(ISBLANK('Ingest Template'!Q98),"", 'Ingest Template'!Q98&amp;"|Operations - Core Title"))))</f>
        <v>#|Operations - Core Title
#videoGame|Operations - Core Title
</v>
      </c>
      <c r="AH98" s="25"/>
      <c r="AI98" s="25"/>
      <c r="AJ98" s="50" t="str">
        <f>if('Ingest Template'!A98="Standard",'Ingest Template'!R98&amp; "|DAR|DAR|2021-01-01",'Ingest Template'!R98&amp; "|Operations - Core Title|Operations - Core Title")</f>
        <v>#N/A</v>
      </c>
      <c r="AK98" s="25"/>
      <c r="AL98" s="25" t="str">
        <f>if('Ingest Template'!A98="Standard",'Ingest Template'!S98&amp; "|2021-01-01",'Ingest Template'!S98)</f>
        <v>#N/A</v>
      </c>
      <c r="AM98" s="25"/>
    </row>
    <row r="99">
      <c r="A99" s="25"/>
      <c r="B99" s="25" t="str">
        <f>'Ingest Template'!C99&amp;IF('Ingest Template'!A99 = "Standard", " - DAR","")</f>
        <v/>
      </c>
      <c r="C99" s="34" t="s">
        <v>92</v>
      </c>
      <c r="D99" s="34" t="str">
        <f>CONCATENATE('Ingest Template'!E99&amp;Char(10)&amp;'Ingest Template'!G99&amp;Char(10)&amp;'Ingest Template'!H99&amp;Char(10)&amp;'Ingest Template'!I99&amp;Char(10)&amp;'Ingest Template'!J99&amp;Char(10)&amp;'Ingest Template'!K99&amp;Char(10)&amp;'Ingest Template'!L99)</f>
        <v>
</v>
      </c>
      <c r="E99" s="25" t="str">
        <f>('Ingest Template'!M99)</f>
        <v/>
      </c>
      <c r="F99" s="40" t="str">
        <f t="array" ref="F99">INDEX(DropDown!$J$2:$J$63,MATCH(1,COUNTIF(E99,DropDown!$I$2:$I$63),0))</f>
        <v>#N/A</v>
      </c>
      <c r="G99" s="25"/>
      <c r="H99" s="25"/>
      <c r="I99" s="25"/>
      <c r="J99" s="25" t="str">
        <f>'Ingest Template'!B99</f>
        <v/>
      </c>
      <c r="K99" s="25" t="str">
        <f>IF('Ingest Template'!A99="Standard",'Ingest Template'!N99,"Competitive View")</f>
        <v>Competitive View</v>
      </c>
      <c r="L99" s="41" t="s">
        <v>145</v>
      </c>
      <c r="M99" s="25" t="str">
        <f>'Ingest Template'!D99</f>
        <v/>
      </c>
      <c r="N99" s="25"/>
      <c r="O99" s="25"/>
      <c r="P99" s="25"/>
      <c r="Q99" s="25"/>
      <c r="R99" s="25" t="str">
        <f>CONCATENATE('Ingest Template'!F99)</f>
        <v/>
      </c>
      <c r="S99" s="43" t="s">
        <v>160</v>
      </c>
      <c r="T99" s="25" t="str">
        <f>'Ingest Template'!W99</f>
        <v/>
      </c>
      <c r="U99" s="25"/>
      <c r="V99" s="25" t="str">
        <f>LOWER(SUBSTITUTE(SUBSTITUTE(SUBSTITUTE(SUBSTITUTE(SUBSTITUTE('Ingest Template'!Y99,"https:",""),"www.",""),"/",""),"?hl=en",""),"instagram.com",""))</f>
        <v/>
      </c>
      <c r="W99" s="34" t="str">
        <f>(IFERROR(vlookup('Ingest Template'!F99,DropDown!D:E,2,false)&amp;'Ingest Template'!C99,""))</f>
        <v/>
      </c>
      <c r="X99" s="25" t="str">
        <f>'Ingest Template'!AA99</f>
        <v/>
      </c>
      <c r="Y99" s="25"/>
      <c r="Z99" s="25"/>
      <c r="AA99" s="25"/>
      <c r="AB99" s="25" t="str">
        <f>'Ingest Template'!T99</f>
        <v/>
      </c>
      <c r="AC99" s="25"/>
      <c r="AD99" s="25" t="str">
        <f>'Ingest Template'!U99</f>
        <v/>
      </c>
      <c r="AE99" s="25" t="str">
        <f>'Ingest Template'!V99</f>
        <v/>
      </c>
      <c r="AF99" s="25"/>
      <c r="AG99" s="25" t="str">
        <f t="array" ref="AG99">IF('Ingest Template'!A99="Standard",(CONCATENATE(IF(ISBLANK('Ingest Template'!O99),"", 'Ingest Template'!O99&amp;"|DAR"),CHAR(10), IF(ISBLANK('Ingest Template'!P99),"", 'Ingest Template'!P99&amp;"|DAR"),CHAR(10), IF(ISBLANK('Ingest Template'!Q99),"", 'Ingest Template'!Q99&amp;"|DAR"))),(CONCATENATE(IF(ISBLANK('Ingest Template'!O99),"", 'Ingest Template'!O99&amp;"|Operations - Core Title"),CHAR(10), IF(ISBLANK('Ingest Template'!P99),"", 'Ingest Template'!P99&amp;"|Operations - Core Title"),CHAR(10), IF(ISBLANK('Ingest Template'!Q99),"", 'Ingest Template'!Q99&amp;"|Operations - Core Title"))))</f>
        <v>#|Operations - Core Title
#videoGame|Operations - Core Title
</v>
      </c>
      <c r="AH99" s="25"/>
      <c r="AI99" s="25"/>
      <c r="AJ99" s="50" t="str">
        <f>if('Ingest Template'!A99="Standard",'Ingest Template'!R99&amp; "|DAR|DAR|2021-01-01",'Ingest Template'!R99&amp; "|Operations - Core Title|Operations - Core Title")</f>
        <v>#N/A</v>
      </c>
      <c r="AK99" s="25"/>
      <c r="AL99" s="25" t="str">
        <f>if('Ingest Template'!A99="Standard",'Ingest Template'!S99&amp; "|2021-01-01",'Ingest Template'!S99)</f>
        <v>#N/A</v>
      </c>
      <c r="AM99" s="25"/>
    </row>
    <row r="100">
      <c r="A100" s="25"/>
      <c r="B100" s="25" t="str">
        <f>'Ingest Template'!C100&amp;IF('Ingest Template'!A100 = "Standard", " - DAR","")</f>
        <v/>
      </c>
      <c r="C100" s="34" t="s">
        <v>92</v>
      </c>
      <c r="D100" s="34" t="str">
        <f>CONCATENATE('Ingest Template'!E100&amp;Char(10)&amp;'Ingest Template'!G100&amp;Char(10)&amp;'Ingest Template'!H100&amp;Char(10)&amp;'Ingest Template'!I100&amp;Char(10)&amp;'Ingest Template'!J100&amp;Char(10)&amp;'Ingest Template'!K100&amp;Char(10)&amp;'Ingest Template'!L100)</f>
        <v>
</v>
      </c>
      <c r="E100" s="25" t="str">
        <f>('Ingest Template'!M100)</f>
        <v/>
      </c>
      <c r="F100" s="40" t="str">
        <f t="array" ref="F100">INDEX(DropDown!$J$2:$J$63,MATCH(1,COUNTIF(E100,DropDown!$I$2:$I$63),0))</f>
        <v>#N/A</v>
      </c>
      <c r="G100" s="25"/>
      <c r="H100" s="25"/>
      <c r="I100" s="25"/>
      <c r="J100" s="25" t="str">
        <f>'Ingest Template'!B100</f>
        <v/>
      </c>
      <c r="K100" s="25" t="str">
        <f>IF('Ingest Template'!A100="Standard",'Ingest Template'!N100,"Competitive View")</f>
        <v>Competitive View</v>
      </c>
      <c r="L100" s="41" t="s">
        <v>145</v>
      </c>
      <c r="M100" s="25" t="str">
        <f>'Ingest Template'!D100</f>
        <v/>
      </c>
      <c r="N100" s="25"/>
      <c r="O100" s="25"/>
      <c r="P100" s="25"/>
      <c r="Q100" s="25"/>
      <c r="R100" s="25" t="str">
        <f>CONCATENATE('Ingest Template'!F100)</f>
        <v/>
      </c>
      <c r="S100" s="43" t="s">
        <v>160</v>
      </c>
      <c r="T100" s="25" t="str">
        <f>'Ingest Template'!W100</f>
        <v/>
      </c>
      <c r="U100" s="25"/>
      <c r="V100" s="25" t="str">
        <f>LOWER(SUBSTITUTE(SUBSTITUTE(SUBSTITUTE(SUBSTITUTE(SUBSTITUTE('Ingest Template'!Y100,"https:",""),"www.",""),"/",""),"?hl=en",""),"instagram.com",""))</f>
        <v/>
      </c>
      <c r="W100" s="34" t="str">
        <f>(IFERROR(vlookup('Ingest Template'!F100,DropDown!D:E,2,false)&amp;'Ingest Template'!C100,""))</f>
        <v/>
      </c>
      <c r="X100" s="25" t="str">
        <f>'Ingest Template'!AA100</f>
        <v/>
      </c>
      <c r="Y100" s="25"/>
      <c r="Z100" s="25"/>
      <c r="AA100" s="25"/>
      <c r="AB100" s="25" t="str">
        <f>'Ingest Template'!T100</f>
        <v/>
      </c>
      <c r="AC100" s="25"/>
      <c r="AD100" s="25" t="str">
        <f>'Ingest Template'!U100</f>
        <v/>
      </c>
      <c r="AE100" s="25" t="str">
        <f>'Ingest Template'!V100</f>
        <v/>
      </c>
      <c r="AF100" s="25"/>
      <c r="AG100" s="25" t="str">
        <f t="array" ref="AG100">IF('Ingest Template'!A100="Standard",(CONCATENATE(IF(ISBLANK('Ingest Template'!O100),"", 'Ingest Template'!O100&amp;"|DAR"),CHAR(10), IF(ISBLANK('Ingest Template'!P100),"", 'Ingest Template'!P100&amp;"|DAR"),CHAR(10), IF(ISBLANK('Ingest Template'!Q100),"", 'Ingest Template'!Q100&amp;"|DAR"))),(CONCATENATE(IF(ISBLANK('Ingest Template'!O100),"", 'Ingest Template'!O100&amp;"|Operations - Core Title"),CHAR(10), IF(ISBLANK('Ingest Template'!P100),"", 'Ingest Template'!P100&amp;"|Operations - Core Title"),CHAR(10), IF(ISBLANK('Ingest Template'!Q100),"", 'Ingest Template'!Q100&amp;"|Operations - Core Title"))))</f>
        <v>#|Operations - Core Title
#videoGame|Operations - Core Title
</v>
      </c>
      <c r="AH100" s="25"/>
      <c r="AI100" s="25"/>
      <c r="AJ100" s="50" t="str">
        <f>if('Ingest Template'!A100="Standard",'Ingest Template'!R100&amp; "|DAR|DAR|2021-01-01",'Ingest Template'!R100&amp; "|Operations - Core Title|Operations - Core Title")</f>
        <v>#N/A</v>
      </c>
      <c r="AK100" s="25"/>
      <c r="AL100" s="25" t="str">
        <f>if('Ingest Template'!A100="Standard",'Ingest Template'!S100&amp; "|2021-01-01",'Ingest Template'!S100)</f>
        <v>#N/A</v>
      </c>
      <c r="AM100" s="25"/>
    </row>
    <row r="101">
      <c r="A101" s="25"/>
      <c r="B101" s="25" t="str">
        <f>'Ingest Template'!C101&amp;IF('Ingest Template'!A101 = "Standard", " - DAR","")</f>
        <v/>
      </c>
      <c r="C101" s="34" t="s">
        <v>92</v>
      </c>
      <c r="D101" s="34" t="str">
        <f>CONCATENATE('Ingest Template'!E101&amp;Char(10)&amp;'Ingest Template'!G101&amp;Char(10)&amp;'Ingest Template'!H101&amp;Char(10)&amp;'Ingest Template'!I101&amp;Char(10)&amp;'Ingest Template'!J101&amp;Char(10)&amp;'Ingest Template'!K101&amp;Char(10)&amp;'Ingest Template'!L101)</f>
        <v>
</v>
      </c>
      <c r="E101" s="25" t="str">
        <f>('Ingest Template'!M101)</f>
        <v/>
      </c>
      <c r="F101" s="40" t="str">
        <f t="array" ref="F101">INDEX(DropDown!$J$2:$J$63,MATCH(1,COUNTIF(E101,DropDown!$I$2:$I$63),0))</f>
        <v>#N/A</v>
      </c>
      <c r="G101" s="25"/>
      <c r="H101" s="25"/>
      <c r="I101" s="25"/>
      <c r="J101" s="25" t="str">
        <f>'Ingest Template'!B101</f>
        <v/>
      </c>
      <c r="K101" s="25" t="str">
        <f>IF('Ingest Template'!A101="Standard",'Ingest Template'!N101,"Competitive View")</f>
        <v>Competitive View</v>
      </c>
      <c r="L101" s="41" t="s">
        <v>145</v>
      </c>
      <c r="M101" s="25" t="str">
        <f>'Ingest Template'!D101</f>
        <v/>
      </c>
      <c r="N101" s="25"/>
      <c r="O101" s="25"/>
      <c r="P101" s="25"/>
      <c r="Q101" s="25"/>
      <c r="R101" s="25" t="str">
        <f>CONCATENATE('Ingest Template'!F101)</f>
        <v/>
      </c>
      <c r="S101" s="43" t="s">
        <v>160</v>
      </c>
      <c r="T101" s="25" t="str">
        <f>'Ingest Template'!W101</f>
        <v/>
      </c>
      <c r="U101" s="25"/>
      <c r="V101" s="25" t="str">
        <f>LOWER(SUBSTITUTE(SUBSTITUTE(SUBSTITUTE(SUBSTITUTE(SUBSTITUTE('Ingest Template'!Y101,"https:",""),"www.",""),"/",""),"?hl=en",""),"instagram.com",""))</f>
        <v/>
      </c>
      <c r="W101" s="34" t="str">
        <f>(IFERROR(vlookup('Ingest Template'!F101,DropDown!D:E,2,false)&amp;'Ingest Template'!C101,""))</f>
        <v/>
      </c>
      <c r="X101" s="25" t="str">
        <f>'Ingest Template'!AA101</f>
        <v/>
      </c>
      <c r="Y101" s="25"/>
      <c r="Z101" s="25"/>
      <c r="AA101" s="25"/>
      <c r="AB101" s="25" t="str">
        <f>'Ingest Template'!T101</f>
        <v/>
      </c>
      <c r="AC101" s="25"/>
      <c r="AD101" s="25" t="str">
        <f>'Ingest Template'!U101</f>
        <v/>
      </c>
      <c r="AE101" s="25" t="str">
        <f>'Ingest Template'!V101</f>
        <v/>
      </c>
      <c r="AF101" s="25"/>
      <c r="AG101" s="25" t="str">
        <f t="array" ref="AG101">IF('Ingest Template'!A101="Standard",(CONCATENATE(IF(ISBLANK('Ingest Template'!O101),"", 'Ingest Template'!O101&amp;"|DAR"),CHAR(10), IF(ISBLANK('Ingest Template'!P101),"", 'Ingest Template'!P101&amp;"|DAR"),CHAR(10), IF(ISBLANK('Ingest Template'!Q101),"", 'Ingest Template'!Q101&amp;"|DAR"))),(CONCATENATE(IF(ISBLANK('Ingest Template'!O101),"", 'Ingest Template'!O101&amp;"|Operations - Core Title"),CHAR(10), IF(ISBLANK('Ingest Template'!P101),"", 'Ingest Template'!P101&amp;"|Operations - Core Title"),CHAR(10), IF(ISBLANK('Ingest Template'!Q101),"", 'Ingest Template'!Q101&amp;"|Operations - Core Title"))))</f>
        <v>#|Operations - Core Title
#videoGame|Operations - Core Title
</v>
      </c>
      <c r="AH101" s="25"/>
      <c r="AI101" s="25"/>
      <c r="AJ101" s="50" t="str">
        <f>if('Ingest Template'!A101="Standard",'Ingest Template'!R101&amp; "|DAR|DAR|2021-01-01",'Ingest Template'!R101&amp; "|Operations - Core Title|Operations - Core Title")</f>
        <v>#N/A</v>
      </c>
      <c r="AK101" s="25"/>
      <c r="AL101" s="25" t="str">
        <f>if('Ingest Template'!A101="Standard",'Ingest Template'!S101&amp; "|2021-01-01",'Ingest Template'!S101)</f>
        <v>#N/A</v>
      </c>
      <c r="AM101" s="25"/>
    </row>
    <row r="102">
      <c r="A102" s="25"/>
      <c r="B102" s="25" t="str">
        <f>'Ingest Template'!C102&amp;IF('Ingest Template'!A102 = "Standard", " - DAR","")</f>
        <v/>
      </c>
      <c r="C102" s="34" t="s">
        <v>92</v>
      </c>
      <c r="D102" s="34" t="str">
        <f>CONCATENATE('Ingest Template'!E102&amp;Char(10)&amp;'Ingest Template'!G102&amp;Char(10)&amp;'Ingest Template'!H102&amp;Char(10)&amp;'Ingest Template'!I102&amp;Char(10)&amp;'Ingest Template'!J102&amp;Char(10)&amp;'Ingest Template'!K102&amp;Char(10)&amp;'Ingest Template'!L102)</f>
        <v>
</v>
      </c>
      <c r="E102" s="25" t="str">
        <f>('Ingest Template'!M102)</f>
        <v/>
      </c>
      <c r="F102" s="40" t="str">
        <f t="array" ref="F102">INDEX(DropDown!$J$2:$J$63,MATCH(1,COUNTIF(E102,DropDown!$I$2:$I$63),0))</f>
        <v>#N/A</v>
      </c>
      <c r="G102" s="25"/>
      <c r="H102" s="25"/>
      <c r="I102" s="25"/>
      <c r="J102" s="25" t="str">
        <f>'Ingest Template'!B102</f>
        <v/>
      </c>
      <c r="K102" s="25" t="str">
        <f>IF('Ingest Template'!A102="Standard",'Ingest Template'!N102,"Competitive View")</f>
        <v>Competitive View</v>
      </c>
      <c r="L102" s="41" t="s">
        <v>145</v>
      </c>
      <c r="M102" s="25" t="str">
        <f>'Ingest Template'!D102</f>
        <v/>
      </c>
      <c r="N102" s="25"/>
      <c r="O102" s="25"/>
      <c r="P102" s="25"/>
      <c r="Q102" s="25"/>
      <c r="R102" s="25" t="str">
        <f>CONCATENATE('Ingest Template'!F102)</f>
        <v/>
      </c>
      <c r="S102" s="43" t="s">
        <v>160</v>
      </c>
      <c r="T102" s="25" t="str">
        <f>'Ingest Template'!W102</f>
        <v/>
      </c>
      <c r="U102" s="25"/>
      <c r="V102" s="25" t="str">
        <f>LOWER(SUBSTITUTE(SUBSTITUTE(SUBSTITUTE(SUBSTITUTE(SUBSTITUTE('Ingest Template'!Y102,"https:",""),"www.",""),"/",""),"?hl=en",""),"instagram.com",""))</f>
        <v/>
      </c>
      <c r="W102" s="34" t="str">
        <f>(IFERROR(vlookup('Ingest Template'!F102,DropDown!D:E,2,false)&amp;'Ingest Template'!C102,""))</f>
        <v/>
      </c>
      <c r="X102" s="25" t="str">
        <f>'Ingest Template'!AA102</f>
        <v/>
      </c>
      <c r="Y102" s="25"/>
      <c r="Z102" s="25"/>
      <c r="AA102" s="25"/>
      <c r="AB102" s="25" t="str">
        <f>'Ingest Template'!T102</f>
        <v/>
      </c>
      <c r="AC102" s="25"/>
      <c r="AD102" s="25" t="str">
        <f>'Ingest Template'!U102</f>
        <v/>
      </c>
      <c r="AE102" s="25" t="str">
        <f>'Ingest Template'!V102</f>
        <v/>
      </c>
      <c r="AF102" s="25"/>
      <c r="AG102" s="25" t="str">
        <f t="array" ref="AG102">IF('Ingest Template'!A102="Standard",(CONCATENATE(IF(ISBLANK('Ingest Template'!O102),"", 'Ingest Template'!O102&amp;"|DAR"),CHAR(10), IF(ISBLANK('Ingest Template'!P102),"", 'Ingest Template'!P102&amp;"|DAR"),CHAR(10), IF(ISBLANK('Ingest Template'!Q102),"", 'Ingest Template'!Q102&amp;"|DAR"))),(CONCATENATE(IF(ISBLANK('Ingest Template'!O102),"", 'Ingest Template'!O102&amp;"|Operations - Core Title"),CHAR(10), IF(ISBLANK('Ingest Template'!P102),"", 'Ingest Template'!P102&amp;"|Operations - Core Title"),CHAR(10), IF(ISBLANK('Ingest Template'!Q102),"", 'Ingest Template'!Q102&amp;"|Operations - Core Title"))))</f>
        <v>#|Operations - Core Title
#videoGame|Operations - Core Title
</v>
      </c>
      <c r="AH102" s="25"/>
      <c r="AI102" s="25"/>
      <c r="AJ102" s="50" t="str">
        <f>if('Ingest Template'!A102="Standard",'Ingest Template'!R102&amp; "|DAR|DAR|2021-01-01",'Ingest Template'!R102&amp; "|Operations - Core Title|Operations - Core Title")</f>
        <v>#N/A</v>
      </c>
      <c r="AK102" s="25"/>
      <c r="AL102" s="25" t="str">
        <f>if('Ingest Template'!A102="Standard",'Ingest Template'!S102&amp; "|2021-01-01",'Ingest Template'!S102)</f>
        <v>#N/A</v>
      </c>
      <c r="AM102" s="25"/>
    </row>
    <row r="103">
      <c r="A103" s="25"/>
      <c r="B103" s="25" t="str">
        <f>'Ingest Template'!C103&amp;IF('Ingest Template'!A103 = "Standard", " - DAR","")</f>
        <v/>
      </c>
      <c r="C103" s="34" t="s">
        <v>92</v>
      </c>
      <c r="D103" s="34" t="str">
        <f>CONCATENATE('Ingest Template'!E103&amp;Char(10)&amp;'Ingest Template'!G103&amp;Char(10)&amp;'Ingest Template'!H103&amp;Char(10)&amp;'Ingest Template'!I103&amp;Char(10)&amp;'Ingest Template'!J103&amp;Char(10)&amp;'Ingest Template'!K103&amp;Char(10)&amp;'Ingest Template'!L103)</f>
        <v>
</v>
      </c>
      <c r="E103" s="25" t="str">
        <f>('Ingest Template'!M103)</f>
        <v/>
      </c>
      <c r="F103" s="40" t="str">
        <f t="array" ref="F103">INDEX(DropDown!$J$2:$J$63,MATCH(1,COUNTIF(E103,DropDown!$I$2:$I$63),0))</f>
        <v>#N/A</v>
      </c>
      <c r="G103" s="25"/>
      <c r="H103" s="25"/>
      <c r="I103" s="25"/>
      <c r="J103" s="25" t="str">
        <f>'Ingest Template'!B103</f>
        <v/>
      </c>
      <c r="K103" s="25" t="str">
        <f>IF('Ingest Template'!A103="Standard",'Ingest Template'!N103,"Competitive View")</f>
        <v>Competitive View</v>
      </c>
      <c r="L103" s="41" t="s">
        <v>145</v>
      </c>
      <c r="M103" s="25" t="str">
        <f>'Ingest Template'!D103</f>
        <v/>
      </c>
      <c r="N103" s="25"/>
      <c r="O103" s="25"/>
      <c r="P103" s="25"/>
      <c r="Q103" s="25"/>
      <c r="R103" s="25" t="str">
        <f>CONCATENATE('Ingest Template'!F103)</f>
        <v/>
      </c>
      <c r="S103" s="43" t="s">
        <v>160</v>
      </c>
      <c r="T103" s="25" t="str">
        <f>'Ingest Template'!W103</f>
        <v/>
      </c>
      <c r="U103" s="25"/>
      <c r="V103" s="25" t="str">
        <f>LOWER(SUBSTITUTE(SUBSTITUTE(SUBSTITUTE(SUBSTITUTE(SUBSTITUTE('Ingest Template'!Y103,"https:",""),"www.",""),"/",""),"?hl=en",""),"instagram.com",""))</f>
        <v/>
      </c>
      <c r="W103" s="34" t="str">
        <f>(IFERROR(vlookup('Ingest Template'!F103,DropDown!D:E,2,false)&amp;'Ingest Template'!C103,""))</f>
        <v/>
      </c>
      <c r="X103" s="25" t="str">
        <f>'Ingest Template'!AA103</f>
        <v/>
      </c>
      <c r="Y103" s="25"/>
      <c r="Z103" s="25"/>
      <c r="AA103" s="25"/>
      <c r="AB103" s="25" t="str">
        <f>'Ingest Template'!T103</f>
        <v/>
      </c>
      <c r="AC103" s="25"/>
      <c r="AD103" s="25" t="str">
        <f>'Ingest Template'!U103</f>
        <v/>
      </c>
      <c r="AE103" s="25" t="str">
        <f>'Ingest Template'!V103</f>
        <v/>
      </c>
      <c r="AF103" s="25"/>
      <c r="AG103" s="25" t="str">
        <f t="array" ref="AG103">IF('Ingest Template'!A103="Standard",(CONCATENATE(IF(ISBLANK('Ingest Template'!O103),"", 'Ingest Template'!O103&amp;"|DAR"),CHAR(10), IF(ISBLANK('Ingest Template'!P103),"", 'Ingest Template'!P103&amp;"|DAR"),CHAR(10), IF(ISBLANK('Ingest Template'!Q103),"", 'Ingest Template'!Q103&amp;"|DAR"))),(CONCATENATE(IF(ISBLANK('Ingest Template'!O103),"", 'Ingest Template'!O103&amp;"|Operations - Core Title"),CHAR(10), IF(ISBLANK('Ingest Template'!P103),"", 'Ingest Template'!P103&amp;"|Operations - Core Title"),CHAR(10), IF(ISBLANK('Ingest Template'!Q103),"", 'Ingest Template'!Q103&amp;"|Operations - Core Title"))))</f>
        <v>#|Operations - Core Title
#videoGame|Operations - Core Title
</v>
      </c>
      <c r="AH103" s="25"/>
      <c r="AI103" s="25"/>
      <c r="AJ103" s="50" t="str">
        <f>if('Ingest Template'!A103="Standard",'Ingest Template'!R103&amp; "|DAR|DAR|2021-01-01",'Ingest Template'!R103&amp; "|Operations - Core Title|Operations - Core Title")</f>
        <v>#N/A</v>
      </c>
      <c r="AK103" s="25"/>
      <c r="AL103" s="25" t="str">
        <f>if('Ingest Template'!A103="Standard",'Ingest Template'!S103&amp; "|2021-01-01",'Ingest Template'!S103)</f>
        <v>#N/A</v>
      </c>
      <c r="AM103" s="25"/>
    </row>
    <row r="104">
      <c r="A104" s="25"/>
      <c r="B104" s="25" t="str">
        <f>'Ingest Template'!C104&amp;IF('Ingest Template'!A104 = "Standard", " - DAR","")</f>
        <v/>
      </c>
      <c r="C104" s="34" t="s">
        <v>92</v>
      </c>
      <c r="D104" s="34" t="str">
        <f>CONCATENATE('Ingest Template'!E104&amp;Char(10)&amp;'Ingest Template'!G104&amp;Char(10)&amp;'Ingest Template'!H104&amp;Char(10)&amp;'Ingest Template'!I104&amp;Char(10)&amp;'Ingest Template'!J104&amp;Char(10)&amp;'Ingest Template'!K104&amp;Char(10)&amp;'Ingest Template'!L104)</f>
        <v>
</v>
      </c>
      <c r="E104" s="25" t="str">
        <f>('Ingest Template'!M104)</f>
        <v/>
      </c>
      <c r="F104" s="40" t="str">
        <f t="array" ref="F104">INDEX(DropDown!$J$2:$J$63,MATCH(1,COUNTIF(E104,DropDown!$I$2:$I$63),0))</f>
        <v>#N/A</v>
      </c>
      <c r="G104" s="25"/>
      <c r="H104" s="25"/>
      <c r="I104" s="25"/>
      <c r="J104" s="25" t="str">
        <f>'Ingest Template'!B104</f>
        <v/>
      </c>
      <c r="K104" s="25" t="str">
        <f>IF('Ingest Template'!A104="Standard",'Ingest Template'!N104,"Competitive View")</f>
        <v>Competitive View</v>
      </c>
      <c r="L104" s="41" t="s">
        <v>145</v>
      </c>
      <c r="M104" s="25" t="str">
        <f>'Ingest Template'!D104</f>
        <v/>
      </c>
      <c r="N104" s="25"/>
      <c r="O104" s="25"/>
      <c r="P104" s="25"/>
      <c r="Q104" s="25"/>
      <c r="R104" s="25" t="str">
        <f>CONCATENATE('Ingest Template'!F104)</f>
        <v/>
      </c>
      <c r="S104" s="43" t="s">
        <v>160</v>
      </c>
      <c r="T104" s="25" t="str">
        <f>'Ingest Template'!W104</f>
        <v/>
      </c>
      <c r="U104" s="25"/>
      <c r="V104" s="25" t="str">
        <f>LOWER(SUBSTITUTE(SUBSTITUTE(SUBSTITUTE(SUBSTITUTE(SUBSTITUTE('Ingest Template'!Y104,"https:",""),"www.",""),"/",""),"?hl=en",""),"instagram.com",""))</f>
        <v/>
      </c>
      <c r="W104" s="34" t="str">
        <f>(IFERROR(vlookup('Ingest Template'!F104,DropDown!D:E,2,false)&amp;'Ingest Template'!C104,""))</f>
        <v/>
      </c>
      <c r="X104" s="25" t="str">
        <f>'Ingest Template'!AA104</f>
        <v/>
      </c>
      <c r="Y104" s="25"/>
      <c r="Z104" s="25"/>
      <c r="AA104" s="25"/>
      <c r="AB104" s="25" t="str">
        <f>'Ingest Template'!T104</f>
        <v/>
      </c>
      <c r="AC104" s="25"/>
      <c r="AD104" s="25" t="str">
        <f>'Ingest Template'!U104</f>
        <v/>
      </c>
      <c r="AE104" s="25" t="str">
        <f>'Ingest Template'!V104</f>
        <v/>
      </c>
      <c r="AF104" s="25"/>
      <c r="AG104" s="25" t="str">
        <f t="array" ref="AG104">IF('Ingest Template'!A104="Standard",(CONCATENATE(IF(ISBLANK('Ingest Template'!O104),"", 'Ingest Template'!O104&amp;"|DAR"),CHAR(10), IF(ISBLANK('Ingest Template'!P104),"", 'Ingest Template'!P104&amp;"|DAR"),CHAR(10), IF(ISBLANK('Ingest Template'!Q104),"", 'Ingest Template'!Q104&amp;"|DAR"))),(CONCATENATE(IF(ISBLANK('Ingest Template'!O104),"", 'Ingest Template'!O104&amp;"|Operations - Core Title"),CHAR(10), IF(ISBLANK('Ingest Template'!P104),"", 'Ingest Template'!P104&amp;"|Operations - Core Title"),CHAR(10), IF(ISBLANK('Ingest Template'!Q104),"", 'Ingest Template'!Q104&amp;"|Operations - Core Title"))))</f>
        <v>#|Operations - Core Title
#videoGame|Operations - Core Title
</v>
      </c>
      <c r="AH104" s="25"/>
      <c r="AI104" s="25"/>
      <c r="AJ104" s="50" t="str">
        <f>if('Ingest Template'!A104="Standard",'Ingest Template'!R104&amp; "|DAR|DAR|2021-01-01",'Ingest Template'!R104&amp; "|Operations - Core Title|Operations - Core Title")</f>
        <v>#N/A</v>
      </c>
      <c r="AK104" s="25"/>
      <c r="AL104" s="25" t="str">
        <f>if('Ingest Template'!A104="Standard",'Ingest Template'!S104&amp; "|2021-01-01",'Ingest Template'!S104)</f>
        <v>#N/A</v>
      </c>
      <c r="AM104" s="25"/>
    </row>
    <row r="105">
      <c r="A105" s="25"/>
      <c r="B105" s="25" t="str">
        <f>'Ingest Template'!C105&amp;IF('Ingest Template'!A105 = "Standard", " - DAR","")</f>
        <v/>
      </c>
      <c r="C105" s="34" t="s">
        <v>92</v>
      </c>
      <c r="D105" s="34" t="str">
        <f>CONCATENATE('Ingest Template'!E105&amp;Char(10)&amp;'Ingest Template'!G105&amp;Char(10)&amp;'Ingest Template'!H105&amp;Char(10)&amp;'Ingest Template'!I105&amp;Char(10)&amp;'Ingest Template'!J105&amp;Char(10)&amp;'Ingest Template'!K105&amp;Char(10)&amp;'Ingest Template'!L105)</f>
        <v>
</v>
      </c>
      <c r="E105" s="25" t="str">
        <f>('Ingest Template'!M105)</f>
        <v/>
      </c>
      <c r="F105" s="40" t="str">
        <f t="array" ref="F105">INDEX(DropDown!$J$2:$J$63,MATCH(1,COUNTIF(E105,DropDown!$I$2:$I$63),0))</f>
        <v>#N/A</v>
      </c>
      <c r="G105" s="25"/>
      <c r="H105" s="25"/>
      <c r="I105" s="25"/>
      <c r="J105" s="25" t="str">
        <f>'Ingest Template'!B105</f>
        <v/>
      </c>
      <c r="K105" s="25" t="str">
        <f>IF('Ingest Template'!A105="Standard",'Ingest Template'!N105,"Competitive View")</f>
        <v>Competitive View</v>
      </c>
      <c r="L105" s="41" t="s">
        <v>145</v>
      </c>
      <c r="M105" s="25" t="str">
        <f>'Ingest Template'!D105</f>
        <v/>
      </c>
      <c r="N105" s="25"/>
      <c r="O105" s="25"/>
      <c r="P105" s="25"/>
      <c r="Q105" s="25"/>
      <c r="R105" s="25" t="str">
        <f>CONCATENATE('Ingest Template'!F105)</f>
        <v/>
      </c>
      <c r="S105" s="43" t="s">
        <v>160</v>
      </c>
      <c r="T105" s="25" t="str">
        <f>'Ingest Template'!W105</f>
        <v/>
      </c>
      <c r="U105" s="25"/>
      <c r="V105" s="25" t="str">
        <f>LOWER(SUBSTITUTE(SUBSTITUTE(SUBSTITUTE(SUBSTITUTE(SUBSTITUTE('Ingest Template'!Y105,"https:",""),"www.",""),"/",""),"?hl=en",""),"instagram.com",""))</f>
        <v/>
      </c>
      <c r="W105" s="34" t="str">
        <f>(IFERROR(vlookup('Ingest Template'!F105,DropDown!D:E,2,false)&amp;'Ingest Template'!C105,""))</f>
        <v/>
      </c>
      <c r="X105" s="25" t="str">
        <f>'Ingest Template'!AA105</f>
        <v/>
      </c>
      <c r="Y105" s="25"/>
      <c r="Z105" s="25"/>
      <c r="AA105" s="25"/>
      <c r="AB105" s="25" t="str">
        <f>'Ingest Template'!T105</f>
        <v/>
      </c>
      <c r="AC105" s="25"/>
      <c r="AD105" s="25" t="str">
        <f>'Ingest Template'!U105</f>
        <v/>
      </c>
      <c r="AE105" s="25" t="str">
        <f>'Ingest Template'!V105</f>
        <v/>
      </c>
      <c r="AF105" s="25"/>
      <c r="AG105" s="25" t="str">
        <f t="array" ref="AG105">IF('Ingest Template'!A105="Standard",(CONCATENATE(IF(ISBLANK('Ingest Template'!O105),"", 'Ingest Template'!O105&amp;"|DAR"),CHAR(10), IF(ISBLANK('Ingest Template'!P105),"", 'Ingest Template'!P105&amp;"|DAR"),CHAR(10), IF(ISBLANK('Ingest Template'!Q105),"", 'Ingest Template'!Q105&amp;"|DAR"))),(CONCATENATE(IF(ISBLANK('Ingest Template'!O105),"", 'Ingest Template'!O105&amp;"|Operations - Core Title"),CHAR(10), IF(ISBLANK('Ingest Template'!P105),"", 'Ingest Template'!P105&amp;"|Operations - Core Title"),CHAR(10), IF(ISBLANK('Ingest Template'!Q105),"", 'Ingest Template'!Q105&amp;"|Operations - Core Title"))))</f>
        <v>#|Operations - Core Title
#videoGame|Operations - Core Title
</v>
      </c>
      <c r="AH105" s="25"/>
      <c r="AI105" s="25"/>
      <c r="AJ105" s="50" t="str">
        <f>if('Ingest Template'!A105="Standard",'Ingest Template'!R105&amp; "|DAR|DAR|2021-01-01",'Ingest Template'!R105&amp; "|Operations - Core Title|Operations - Core Title")</f>
        <v>#N/A</v>
      </c>
      <c r="AK105" s="25"/>
      <c r="AL105" s="25" t="str">
        <f>if('Ingest Template'!A105="Standard",'Ingest Template'!S105&amp; "|2021-01-01",'Ingest Template'!S105)</f>
        <v>#N/A</v>
      </c>
      <c r="AM105" s="25"/>
    </row>
    <row r="106">
      <c r="A106" s="25"/>
      <c r="B106" s="25" t="str">
        <f>'Ingest Template'!C106&amp;IF('Ingest Template'!A106 = "Standard", " - DAR","")</f>
        <v/>
      </c>
      <c r="C106" s="34" t="s">
        <v>92</v>
      </c>
      <c r="D106" s="34" t="str">
        <f>CONCATENATE('Ingest Template'!E106&amp;Char(10)&amp;'Ingest Template'!G106&amp;Char(10)&amp;'Ingest Template'!H106&amp;Char(10)&amp;'Ingest Template'!I106&amp;Char(10)&amp;'Ingest Template'!J106&amp;Char(10)&amp;'Ingest Template'!K106&amp;Char(10)&amp;'Ingest Template'!L106)</f>
        <v>
</v>
      </c>
      <c r="E106" s="25" t="str">
        <f>('Ingest Template'!M106)</f>
        <v/>
      </c>
      <c r="F106" s="40" t="str">
        <f t="array" ref="F106">INDEX(DropDown!$J$2:$J$63,MATCH(1,COUNTIF(E106,DropDown!$I$2:$I$63),0))</f>
        <v>#N/A</v>
      </c>
      <c r="G106" s="25"/>
      <c r="H106" s="25"/>
      <c r="I106" s="25"/>
      <c r="J106" s="25" t="str">
        <f>'Ingest Template'!B106</f>
        <v/>
      </c>
      <c r="K106" s="25" t="str">
        <f>IF('Ingest Template'!A106="Standard",'Ingest Template'!N106,"Competitive View")</f>
        <v>Competitive View</v>
      </c>
      <c r="L106" s="41" t="s">
        <v>145</v>
      </c>
      <c r="M106" s="25" t="str">
        <f>'Ingest Template'!D106</f>
        <v/>
      </c>
      <c r="N106" s="25"/>
      <c r="O106" s="25"/>
      <c r="P106" s="25"/>
      <c r="Q106" s="25"/>
      <c r="R106" s="25" t="str">
        <f>CONCATENATE('Ingest Template'!F106)</f>
        <v/>
      </c>
      <c r="S106" s="43" t="s">
        <v>160</v>
      </c>
      <c r="T106" s="25" t="str">
        <f>'Ingest Template'!W106</f>
        <v/>
      </c>
      <c r="U106" s="25"/>
      <c r="V106" s="25" t="str">
        <f>LOWER(SUBSTITUTE(SUBSTITUTE(SUBSTITUTE(SUBSTITUTE(SUBSTITUTE('Ingest Template'!Y106,"https:",""),"www.",""),"/",""),"?hl=en",""),"instagram.com",""))</f>
        <v/>
      </c>
      <c r="W106" s="34" t="str">
        <f>(IFERROR(vlookup('Ingest Template'!F106,DropDown!D:E,2,false)&amp;'Ingest Template'!C106,""))</f>
        <v/>
      </c>
      <c r="X106" s="25" t="str">
        <f>'Ingest Template'!AA106</f>
        <v/>
      </c>
      <c r="Y106" s="25"/>
      <c r="Z106" s="25"/>
      <c r="AA106" s="25"/>
      <c r="AB106" s="25" t="str">
        <f>'Ingest Template'!T106</f>
        <v/>
      </c>
      <c r="AC106" s="25"/>
      <c r="AD106" s="25" t="str">
        <f>'Ingest Template'!U106</f>
        <v/>
      </c>
      <c r="AE106" s="25" t="str">
        <f>'Ingest Template'!V106</f>
        <v/>
      </c>
      <c r="AF106" s="25"/>
      <c r="AG106" s="25" t="str">
        <f t="array" ref="AG106">IF('Ingest Template'!A106="Standard",(CONCATENATE(IF(ISBLANK('Ingest Template'!O106),"", 'Ingest Template'!O106&amp;"|DAR"),CHAR(10), IF(ISBLANK('Ingest Template'!P106),"", 'Ingest Template'!P106&amp;"|DAR"),CHAR(10), IF(ISBLANK('Ingest Template'!Q106),"", 'Ingest Template'!Q106&amp;"|DAR"))),(CONCATENATE(IF(ISBLANK('Ingest Template'!O106),"", 'Ingest Template'!O106&amp;"|Operations - Core Title"),CHAR(10), IF(ISBLANK('Ingest Template'!P106),"", 'Ingest Template'!P106&amp;"|Operations - Core Title"),CHAR(10), IF(ISBLANK('Ingest Template'!Q106),"", 'Ingest Template'!Q106&amp;"|Operations - Core Title"))))</f>
        <v>#|Operations - Core Title
#videoGame|Operations - Core Title
</v>
      </c>
      <c r="AH106" s="25"/>
      <c r="AI106" s="25"/>
      <c r="AJ106" s="50" t="str">
        <f>if('Ingest Template'!A106="Standard",'Ingest Template'!R106&amp; "|DAR|DAR|2021-01-01",'Ingest Template'!R106&amp; "|Operations - Core Title|Operations - Core Title")</f>
        <v>#N/A</v>
      </c>
      <c r="AK106" s="25"/>
      <c r="AL106" s="25" t="str">
        <f>if('Ingest Template'!A106="Standard",'Ingest Template'!S106&amp; "|2021-01-01",'Ingest Template'!S106)</f>
        <v>#N/A</v>
      </c>
      <c r="AM106" s="25"/>
    </row>
    <row r="107">
      <c r="A107" s="25"/>
      <c r="B107" s="25" t="str">
        <f>'Ingest Template'!C107&amp;IF('Ingest Template'!A107 = "Standard", " - DAR","")</f>
        <v/>
      </c>
      <c r="C107" s="34" t="s">
        <v>92</v>
      </c>
      <c r="D107" s="34" t="str">
        <f>CONCATENATE('Ingest Template'!E107&amp;Char(10)&amp;'Ingest Template'!G107&amp;Char(10)&amp;'Ingest Template'!H107&amp;Char(10)&amp;'Ingest Template'!I107&amp;Char(10)&amp;'Ingest Template'!J107&amp;Char(10)&amp;'Ingest Template'!K107&amp;Char(10)&amp;'Ingest Template'!L107)</f>
        <v>
</v>
      </c>
      <c r="E107" s="25" t="str">
        <f>('Ingest Template'!M107)</f>
        <v/>
      </c>
      <c r="F107" s="40" t="str">
        <f t="array" ref="F107">INDEX(DropDown!$J$2:$J$63,MATCH(1,COUNTIF(E107,DropDown!$I$2:$I$63),0))</f>
        <v>#N/A</v>
      </c>
      <c r="G107" s="25"/>
      <c r="H107" s="25"/>
      <c r="I107" s="25"/>
      <c r="J107" s="25" t="str">
        <f>'Ingest Template'!B107</f>
        <v/>
      </c>
      <c r="K107" s="25" t="str">
        <f>IF('Ingest Template'!A107="Standard",'Ingest Template'!N107,"Competitive View")</f>
        <v>Competitive View</v>
      </c>
      <c r="L107" s="41" t="s">
        <v>145</v>
      </c>
      <c r="M107" s="25" t="str">
        <f>'Ingest Template'!D107</f>
        <v/>
      </c>
      <c r="N107" s="25"/>
      <c r="O107" s="25"/>
      <c r="P107" s="25"/>
      <c r="Q107" s="25"/>
      <c r="R107" s="25" t="str">
        <f>CONCATENATE('Ingest Template'!F107)</f>
        <v/>
      </c>
      <c r="S107" s="43" t="s">
        <v>160</v>
      </c>
      <c r="T107" s="25" t="str">
        <f>'Ingest Template'!W107</f>
        <v/>
      </c>
      <c r="U107" s="25"/>
      <c r="V107" s="25" t="str">
        <f>LOWER(SUBSTITUTE(SUBSTITUTE(SUBSTITUTE(SUBSTITUTE(SUBSTITUTE('Ingest Template'!Y107,"https:",""),"www.",""),"/",""),"?hl=en",""),"instagram.com",""))</f>
        <v/>
      </c>
      <c r="W107" s="34" t="str">
        <f>(IFERROR(vlookup('Ingest Template'!F107,DropDown!D:E,2,false)&amp;'Ingest Template'!C107,""))</f>
        <v/>
      </c>
      <c r="X107" s="25" t="str">
        <f>'Ingest Template'!AA107</f>
        <v/>
      </c>
      <c r="Y107" s="25"/>
      <c r="Z107" s="25"/>
      <c r="AA107" s="25"/>
      <c r="AB107" s="25" t="str">
        <f>'Ingest Template'!T107</f>
        <v/>
      </c>
      <c r="AC107" s="25"/>
      <c r="AD107" s="25" t="str">
        <f>'Ingest Template'!U107</f>
        <v/>
      </c>
      <c r="AE107" s="25" t="str">
        <f>'Ingest Template'!V107</f>
        <v/>
      </c>
      <c r="AF107" s="25"/>
      <c r="AG107" s="25" t="str">
        <f t="array" ref="AG107">IF('Ingest Template'!A107="Standard",(CONCATENATE(IF(ISBLANK('Ingest Template'!O107),"", 'Ingest Template'!O107&amp;"|DAR"),CHAR(10), IF(ISBLANK('Ingest Template'!P107),"", 'Ingest Template'!P107&amp;"|DAR"),CHAR(10), IF(ISBLANK('Ingest Template'!Q107),"", 'Ingest Template'!Q107&amp;"|DAR"))),(CONCATENATE(IF(ISBLANK('Ingest Template'!O107),"", 'Ingest Template'!O107&amp;"|Operations - Core Title"),CHAR(10), IF(ISBLANK('Ingest Template'!P107),"", 'Ingest Template'!P107&amp;"|Operations - Core Title"),CHAR(10), IF(ISBLANK('Ingest Template'!Q107),"", 'Ingest Template'!Q107&amp;"|Operations - Core Title"))))</f>
        <v>#|Operations - Core Title
#videoGame|Operations - Core Title
</v>
      </c>
      <c r="AH107" s="25"/>
      <c r="AI107" s="25"/>
      <c r="AJ107" s="50" t="str">
        <f>if('Ingest Template'!A107="Standard",'Ingest Template'!R107&amp; "|DAR|DAR|2021-01-01",'Ingest Template'!R107&amp; "|Operations - Core Title|Operations - Core Title")</f>
        <v>#N/A</v>
      </c>
      <c r="AK107" s="25"/>
      <c r="AL107" s="25" t="str">
        <f>if('Ingest Template'!A107="Standard",'Ingest Template'!S107&amp; "|2021-01-01",'Ingest Template'!S107)</f>
        <v>#N/A</v>
      </c>
      <c r="AM107" s="25"/>
    </row>
    <row r="108">
      <c r="A108" s="25"/>
      <c r="B108" s="25" t="str">
        <f>'Ingest Template'!C108&amp;IF('Ingest Template'!A108 = "Standard", " - DAR","")</f>
        <v/>
      </c>
      <c r="C108" s="34" t="s">
        <v>92</v>
      </c>
      <c r="D108" s="34" t="str">
        <f>CONCATENATE('Ingest Template'!E108&amp;Char(10)&amp;'Ingest Template'!G108&amp;Char(10)&amp;'Ingest Template'!H108&amp;Char(10)&amp;'Ingest Template'!I108&amp;Char(10)&amp;'Ingest Template'!J108&amp;Char(10)&amp;'Ingest Template'!K108&amp;Char(10)&amp;'Ingest Template'!L108)</f>
        <v>
</v>
      </c>
      <c r="E108" s="25" t="str">
        <f>('Ingest Template'!M108)</f>
        <v/>
      </c>
      <c r="F108" s="40" t="str">
        <f t="array" ref="F108">INDEX(DropDown!$J$2:$J$63,MATCH(1,COUNTIF(E108,DropDown!$I$2:$I$63),0))</f>
        <v>#N/A</v>
      </c>
      <c r="G108" s="25"/>
      <c r="H108" s="25"/>
      <c r="I108" s="25"/>
      <c r="J108" s="25" t="str">
        <f>'Ingest Template'!B108</f>
        <v/>
      </c>
      <c r="K108" s="25" t="str">
        <f>IF('Ingest Template'!A108="Standard",'Ingest Template'!N108,"Competitive View")</f>
        <v>Competitive View</v>
      </c>
      <c r="L108" s="41" t="s">
        <v>145</v>
      </c>
      <c r="M108" s="25" t="str">
        <f>'Ingest Template'!D108</f>
        <v/>
      </c>
      <c r="N108" s="25"/>
      <c r="O108" s="25"/>
      <c r="P108" s="25"/>
      <c r="Q108" s="25"/>
      <c r="R108" s="25" t="str">
        <f>CONCATENATE('Ingest Template'!F108)</f>
        <v/>
      </c>
      <c r="S108" s="43" t="s">
        <v>160</v>
      </c>
      <c r="T108" s="25" t="str">
        <f>'Ingest Template'!W108</f>
        <v/>
      </c>
      <c r="U108" s="25"/>
      <c r="V108" s="25" t="str">
        <f>LOWER(SUBSTITUTE(SUBSTITUTE(SUBSTITUTE(SUBSTITUTE(SUBSTITUTE('Ingest Template'!Y108,"https:",""),"www.",""),"/",""),"?hl=en",""),"instagram.com",""))</f>
        <v/>
      </c>
      <c r="W108" s="34" t="str">
        <f>(IFERROR(vlookup('Ingest Template'!F108,DropDown!D:E,2,false)&amp;'Ingest Template'!C108,""))</f>
        <v/>
      </c>
      <c r="X108" s="25" t="str">
        <f>'Ingest Template'!AA108</f>
        <v/>
      </c>
      <c r="Y108" s="25"/>
      <c r="Z108" s="25"/>
      <c r="AA108" s="25"/>
      <c r="AB108" s="25" t="str">
        <f>'Ingest Template'!T108</f>
        <v/>
      </c>
      <c r="AC108" s="25"/>
      <c r="AD108" s="25" t="str">
        <f>'Ingest Template'!U108</f>
        <v/>
      </c>
      <c r="AE108" s="25" t="str">
        <f>'Ingest Template'!V108</f>
        <v/>
      </c>
      <c r="AF108" s="25"/>
      <c r="AG108" s="25" t="str">
        <f t="array" ref="AG108">IF('Ingest Template'!A108="Standard",(CONCATENATE(IF(ISBLANK('Ingest Template'!O108),"", 'Ingest Template'!O108&amp;"|DAR"),CHAR(10), IF(ISBLANK('Ingest Template'!P108),"", 'Ingest Template'!P108&amp;"|DAR"),CHAR(10), IF(ISBLANK('Ingest Template'!Q108),"", 'Ingest Template'!Q108&amp;"|DAR"))),(CONCATENATE(IF(ISBLANK('Ingest Template'!O108),"", 'Ingest Template'!O108&amp;"|Operations - Core Title"),CHAR(10), IF(ISBLANK('Ingest Template'!P108),"", 'Ingest Template'!P108&amp;"|Operations - Core Title"),CHAR(10), IF(ISBLANK('Ingest Template'!Q108),"", 'Ingest Template'!Q108&amp;"|Operations - Core Title"))))</f>
        <v>#|Operations - Core Title
#videoGame|Operations - Core Title
</v>
      </c>
      <c r="AH108" s="25"/>
      <c r="AI108" s="25"/>
      <c r="AJ108" s="50" t="str">
        <f>if('Ingest Template'!A108="Standard",'Ingest Template'!R108&amp; "|DAR|DAR|2021-01-01",'Ingest Template'!R108&amp; "|Operations - Core Title|Operations - Core Title")</f>
        <v>#N/A</v>
      </c>
      <c r="AK108" s="25"/>
      <c r="AL108" s="25" t="str">
        <f>if('Ingest Template'!A108="Standard",'Ingest Template'!S108&amp; "|2021-01-01",'Ingest Template'!S108)</f>
        <v>#N/A</v>
      </c>
      <c r="AM108" s="25"/>
    </row>
    <row r="109">
      <c r="A109" s="25"/>
      <c r="B109" s="25" t="str">
        <f>'Ingest Template'!C109&amp;IF('Ingest Template'!A109 = "Standard", " - DAR","")</f>
        <v/>
      </c>
      <c r="C109" s="34" t="s">
        <v>92</v>
      </c>
      <c r="D109" s="34" t="str">
        <f>CONCATENATE('Ingest Template'!E109&amp;Char(10)&amp;'Ingest Template'!G109&amp;Char(10)&amp;'Ingest Template'!H109&amp;Char(10)&amp;'Ingest Template'!I109&amp;Char(10)&amp;'Ingest Template'!J109&amp;Char(10)&amp;'Ingest Template'!K109&amp;Char(10)&amp;'Ingest Template'!L109)</f>
        <v>
</v>
      </c>
      <c r="E109" s="25" t="str">
        <f>('Ingest Template'!M109)</f>
        <v/>
      </c>
      <c r="F109" s="40" t="str">
        <f t="array" ref="F109">INDEX(DropDown!$J$2:$J$63,MATCH(1,COUNTIF(E109,DropDown!$I$2:$I$63),0))</f>
        <v>#N/A</v>
      </c>
      <c r="G109" s="25"/>
      <c r="H109" s="25"/>
      <c r="I109" s="25"/>
      <c r="J109" s="25" t="str">
        <f>'Ingest Template'!B109</f>
        <v/>
      </c>
      <c r="K109" s="25" t="str">
        <f>IF('Ingest Template'!A109="Standard",'Ingest Template'!N109,"Competitive View")</f>
        <v>Competitive View</v>
      </c>
      <c r="L109" s="41" t="s">
        <v>145</v>
      </c>
      <c r="M109" s="25" t="str">
        <f>'Ingest Template'!D109</f>
        <v/>
      </c>
      <c r="N109" s="25"/>
      <c r="O109" s="25"/>
      <c r="P109" s="25"/>
      <c r="Q109" s="25"/>
      <c r="R109" s="25" t="str">
        <f>CONCATENATE('Ingest Template'!F109)</f>
        <v/>
      </c>
      <c r="S109" s="43" t="s">
        <v>160</v>
      </c>
      <c r="T109" s="25" t="str">
        <f>'Ingest Template'!W109</f>
        <v/>
      </c>
      <c r="U109" s="25"/>
      <c r="V109" s="25" t="str">
        <f>LOWER(SUBSTITUTE(SUBSTITUTE(SUBSTITUTE(SUBSTITUTE(SUBSTITUTE('Ingest Template'!Y109,"https:",""),"www.",""),"/",""),"?hl=en",""),"instagram.com",""))</f>
        <v/>
      </c>
      <c r="W109" s="34" t="str">
        <f>(IFERROR(vlookup('Ingest Template'!F109,DropDown!D:E,2,false)&amp;'Ingest Template'!C109,""))</f>
        <v/>
      </c>
      <c r="X109" s="25" t="str">
        <f>'Ingest Template'!AA109</f>
        <v/>
      </c>
      <c r="Y109" s="25"/>
      <c r="Z109" s="25"/>
      <c r="AA109" s="25"/>
      <c r="AB109" s="25" t="str">
        <f>'Ingest Template'!T109</f>
        <v/>
      </c>
      <c r="AC109" s="25"/>
      <c r="AD109" s="25" t="str">
        <f>'Ingest Template'!U109</f>
        <v/>
      </c>
      <c r="AE109" s="25" t="str">
        <f>'Ingest Template'!V109</f>
        <v/>
      </c>
      <c r="AF109" s="25"/>
      <c r="AG109" s="25" t="str">
        <f t="array" ref="AG109">IF('Ingest Template'!A109="Standard",(CONCATENATE(IF(ISBLANK('Ingest Template'!O109),"", 'Ingest Template'!O109&amp;"|DAR"),CHAR(10), IF(ISBLANK('Ingest Template'!P109),"", 'Ingest Template'!P109&amp;"|DAR"),CHAR(10), IF(ISBLANK('Ingest Template'!Q109),"", 'Ingest Template'!Q109&amp;"|DAR"))),(CONCATENATE(IF(ISBLANK('Ingest Template'!O109),"", 'Ingest Template'!O109&amp;"|Operations - Core Title"),CHAR(10), IF(ISBLANK('Ingest Template'!P109),"", 'Ingest Template'!P109&amp;"|Operations - Core Title"),CHAR(10), IF(ISBLANK('Ingest Template'!Q109),"", 'Ingest Template'!Q109&amp;"|Operations - Core Title"))))</f>
        <v>#|Operations - Core Title
#videoGame|Operations - Core Title
</v>
      </c>
      <c r="AH109" s="25"/>
      <c r="AI109" s="25"/>
      <c r="AJ109" s="50" t="str">
        <f>if('Ingest Template'!A109="Standard",'Ingest Template'!R109&amp; "|DAR|DAR|2021-01-01",'Ingest Template'!R109&amp; "|Operations - Core Title|Operations - Core Title")</f>
        <v>#N/A</v>
      </c>
      <c r="AK109" s="25"/>
      <c r="AL109" s="25" t="str">
        <f>if('Ingest Template'!A109="Standard",'Ingest Template'!S109&amp; "|2021-01-01",'Ingest Template'!S109)</f>
        <v>#N/A</v>
      </c>
      <c r="AM109" s="25"/>
    </row>
    <row r="110">
      <c r="A110" s="25"/>
      <c r="B110" s="25" t="str">
        <f>'Ingest Template'!C110&amp;IF('Ingest Template'!A110 = "Standard", " - DAR","")</f>
        <v/>
      </c>
      <c r="C110" s="34" t="s">
        <v>92</v>
      </c>
      <c r="D110" s="34" t="str">
        <f>CONCATENATE('Ingest Template'!E110&amp;Char(10)&amp;'Ingest Template'!G110&amp;Char(10)&amp;'Ingest Template'!H110&amp;Char(10)&amp;'Ingest Template'!I110&amp;Char(10)&amp;'Ingest Template'!J110&amp;Char(10)&amp;'Ingest Template'!K110&amp;Char(10)&amp;'Ingest Template'!L110)</f>
        <v>
</v>
      </c>
      <c r="E110" s="25" t="str">
        <f>('Ingest Template'!M110)</f>
        <v/>
      </c>
      <c r="F110" s="40" t="str">
        <f t="array" ref="F110">INDEX(DropDown!$J$2:$J$63,MATCH(1,COUNTIF(E110,DropDown!$I$2:$I$63),0))</f>
        <v>#N/A</v>
      </c>
      <c r="G110" s="25"/>
      <c r="H110" s="25"/>
      <c r="I110" s="25"/>
      <c r="J110" s="25" t="str">
        <f>'Ingest Template'!B110</f>
        <v/>
      </c>
      <c r="K110" s="25" t="str">
        <f>IF('Ingest Template'!A110="Standard",'Ingest Template'!N110,"Competitive View")</f>
        <v>Competitive View</v>
      </c>
      <c r="L110" s="41" t="s">
        <v>145</v>
      </c>
      <c r="M110" s="25" t="str">
        <f>'Ingest Template'!D110</f>
        <v/>
      </c>
      <c r="N110" s="25"/>
      <c r="O110" s="25"/>
      <c r="P110" s="25"/>
      <c r="Q110" s="25"/>
      <c r="R110" s="25" t="str">
        <f>CONCATENATE('Ingest Template'!F110)</f>
        <v/>
      </c>
      <c r="S110" s="43" t="s">
        <v>160</v>
      </c>
      <c r="T110" s="25" t="str">
        <f>'Ingest Template'!W110</f>
        <v/>
      </c>
      <c r="U110" s="25"/>
      <c r="V110" s="25" t="str">
        <f>LOWER(SUBSTITUTE(SUBSTITUTE(SUBSTITUTE(SUBSTITUTE(SUBSTITUTE('Ingest Template'!Y110,"https:",""),"www.",""),"/",""),"?hl=en",""),"instagram.com",""))</f>
        <v/>
      </c>
      <c r="W110" s="34" t="str">
        <f>(IFERROR(vlookup('Ingest Template'!F110,DropDown!D:E,2,false)&amp;'Ingest Template'!C110,""))</f>
        <v/>
      </c>
      <c r="X110" s="25" t="str">
        <f>'Ingest Template'!AA110</f>
        <v/>
      </c>
      <c r="Y110" s="25"/>
      <c r="Z110" s="25"/>
      <c r="AA110" s="25"/>
      <c r="AB110" s="25" t="str">
        <f>'Ingest Template'!T110</f>
        <v/>
      </c>
      <c r="AC110" s="25"/>
      <c r="AD110" s="25" t="str">
        <f>'Ingest Template'!U110</f>
        <v/>
      </c>
      <c r="AE110" s="25" t="str">
        <f>'Ingest Template'!V110</f>
        <v/>
      </c>
      <c r="AF110" s="25"/>
      <c r="AG110" s="25" t="str">
        <f t="array" ref="AG110">IF('Ingest Template'!A110="Standard",(CONCATENATE(IF(ISBLANK('Ingest Template'!O110),"", 'Ingest Template'!O110&amp;"|DAR"),CHAR(10), IF(ISBLANK('Ingest Template'!P110),"", 'Ingest Template'!P110&amp;"|DAR"),CHAR(10), IF(ISBLANK('Ingest Template'!Q110),"", 'Ingest Template'!Q110&amp;"|DAR"))),(CONCATENATE(IF(ISBLANK('Ingest Template'!O110),"", 'Ingest Template'!O110&amp;"|Operations - Core Title"),CHAR(10), IF(ISBLANK('Ingest Template'!P110),"", 'Ingest Template'!P110&amp;"|Operations - Core Title"),CHAR(10), IF(ISBLANK('Ingest Template'!Q110),"", 'Ingest Template'!Q110&amp;"|Operations - Core Title"))))</f>
        <v>#|Operations - Core Title
#videoGame|Operations - Core Title
</v>
      </c>
      <c r="AH110" s="25"/>
      <c r="AI110" s="25"/>
      <c r="AJ110" s="50" t="str">
        <f>if('Ingest Template'!A110="Standard",'Ingest Template'!R110&amp; "|DAR|DAR|2021-01-01",'Ingest Template'!R110&amp; "|Operations - Core Title|Operations - Core Title")</f>
        <v>#N/A</v>
      </c>
      <c r="AK110" s="25"/>
      <c r="AL110" s="25" t="str">
        <f>if('Ingest Template'!A110="Standard",'Ingest Template'!S110&amp; "|2021-01-01",'Ingest Template'!S110)</f>
        <v>#N/A</v>
      </c>
      <c r="AM110" s="25"/>
    </row>
    <row r="111">
      <c r="A111" s="25"/>
      <c r="B111" s="25" t="str">
        <f>'Ingest Template'!C111&amp;IF('Ingest Template'!A111 = "Standard", " - DAR","")</f>
        <v/>
      </c>
      <c r="C111" s="34" t="s">
        <v>92</v>
      </c>
      <c r="D111" s="34" t="str">
        <f>CONCATENATE('Ingest Template'!E111&amp;Char(10)&amp;'Ingest Template'!G111&amp;Char(10)&amp;'Ingest Template'!H111&amp;Char(10)&amp;'Ingest Template'!I111&amp;Char(10)&amp;'Ingest Template'!J111&amp;Char(10)&amp;'Ingest Template'!K111&amp;Char(10)&amp;'Ingest Template'!L111)</f>
        <v>
</v>
      </c>
      <c r="E111" s="25" t="str">
        <f>('Ingest Template'!M111)</f>
        <v/>
      </c>
      <c r="F111" s="40" t="str">
        <f t="array" ref="F111">INDEX(DropDown!$J$2:$J$63,MATCH(1,COUNTIF(E111,DropDown!$I$2:$I$63),0))</f>
        <v>#N/A</v>
      </c>
      <c r="G111" s="25"/>
      <c r="H111" s="25"/>
      <c r="I111" s="25"/>
      <c r="J111" s="25" t="str">
        <f>'Ingest Template'!B111</f>
        <v/>
      </c>
      <c r="K111" s="25" t="str">
        <f>IF('Ingest Template'!A111="Standard",'Ingest Template'!N111,"Competitive View")</f>
        <v>Competitive View</v>
      </c>
      <c r="L111" s="41" t="s">
        <v>145</v>
      </c>
      <c r="M111" s="25" t="str">
        <f>'Ingest Template'!D111</f>
        <v/>
      </c>
      <c r="N111" s="25"/>
      <c r="O111" s="25"/>
      <c r="P111" s="25"/>
      <c r="Q111" s="25"/>
      <c r="R111" s="25" t="str">
        <f>CONCATENATE('Ingest Template'!F111)</f>
        <v/>
      </c>
      <c r="S111" s="43" t="s">
        <v>160</v>
      </c>
      <c r="T111" s="25" t="str">
        <f>'Ingest Template'!W111</f>
        <v/>
      </c>
      <c r="U111" s="25"/>
      <c r="V111" s="25" t="str">
        <f>LOWER(SUBSTITUTE(SUBSTITUTE(SUBSTITUTE(SUBSTITUTE(SUBSTITUTE('Ingest Template'!Y111,"https:",""),"www.",""),"/",""),"?hl=en",""),"instagram.com",""))</f>
        <v/>
      </c>
      <c r="W111" s="34" t="str">
        <f>(IFERROR(vlookup('Ingest Template'!F111,DropDown!D:E,2,false)&amp;'Ingest Template'!C111,""))</f>
        <v/>
      </c>
      <c r="X111" s="25" t="str">
        <f>'Ingest Template'!AA111</f>
        <v/>
      </c>
      <c r="Y111" s="25"/>
      <c r="Z111" s="25"/>
      <c r="AA111" s="25"/>
      <c r="AB111" s="25" t="str">
        <f>'Ingest Template'!T111</f>
        <v/>
      </c>
      <c r="AC111" s="25"/>
      <c r="AD111" s="25" t="str">
        <f>'Ingest Template'!U111</f>
        <v/>
      </c>
      <c r="AE111" s="25" t="str">
        <f>'Ingest Template'!V111</f>
        <v/>
      </c>
      <c r="AF111" s="25"/>
      <c r="AG111" s="25" t="str">
        <f t="array" ref="AG111">IF('Ingest Template'!A111="Standard",(CONCATENATE(IF(ISBLANK('Ingest Template'!O111),"", 'Ingest Template'!O111&amp;"|DAR"),CHAR(10), IF(ISBLANK('Ingest Template'!P111),"", 'Ingest Template'!P111&amp;"|DAR"),CHAR(10), IF(ISBLANK('Ingest Template'!Q111),"", 'Ingest Template'!Q111&amp;"|DAR"))),(CONCATENATE(IF(ISBLANK('Ingest Template'!O111),"", 'Ingest Template'!O111&amp;"|Operations - Core Title"),CHAR(10), IF(ISBLANK('Ingest Template'!P111),"", 'Ingest Template'!P111&amp;"|Operations - Core Title"),CHAR(10), IF(ISBLANK('Ingest Template'!Q111),"", 'Ingest Template'!Q111&amp;"|Operations - Core Title"))))</f>
        <v>#|Operations - Core Title
#videoGame|Operations - Core Title
</v>
      </c>
      <c r="AH111" s="25"/>
      <c r="AI111" s="25"/>
      <c r="AJ111" s="50" t="str">
        <f>if('Ingest Template'!A111="Standard",'Ingest Template'!R111&amp; "|DAR|DAR|2021-01-01",'Ingest Template'!R111&amp; "|Operations - Core Title|Operations - Core Title")</f>
        <v>#N/A</v>
      </c>
      <c r="AK111" s="25"/>
      <c r="AL111" s="25" t="str">
        <f>if('Ingest Template'!A111="Standard",'Ingest Template'!S111&amp; "|2021-01-01",'Ingest Template'!S111)</f>
        <v>#N/A</v>
      </c>
      <c r="AM111" s="25"/>
    </row>
    <row r="112">
      <c r="A112" s="25"/>
      <c r="B112" s="25" t="str">
        <f>'Ingest Template'!C112&amp;IF('Ingest Template'!A112 = "Standard", " - DAR","")</f>
        <v/>
      </c>
      <c r="C112" s="34" t="s">
        <v>92</v>
      </c>
      <c r="D112" s="34" t="str">
        <f>CONCATENATE('Ingest Template'!E112&amp;Char(10)&amp;'Ingest Template'!G112&amp;Char(10)&amp;'Ingest Template'!H112&amp;Char(10)&amp;'Ingest Template'!I112&amp;Char(10)&amp;'Ingest Template'!J112&amp;Char(10)&amp;'Ingest Template'!K112&amp;Char(10)&amp;'Ingest Template'!L112)</f>
        <v>
</v>
      </c>
      <c r="E112" s="25" t="str">
        <f>('Ingest Template'!M112)</f>
        <v/>
      </c>
      <c r="F112" s="40" t="str">
        <f t="array" ref="F112">INDEX(DropDown!$J$2:$J$63,MATCH(1,COUNTIF(E112,DropDown!$I$2:$I$63),0))</f>
        <v>#N/A</v>
      </c>
      <c r="G112" s="25"/>
      <c r="H112" s="25"/>
      <c r="I112" s="25"/>
      <c r="J112" s="25" t="str">
        <f>'Ingest Template'!B112</f>
        <v/>
      </c>
      <c r="K112" s="25" t="str">
        <f>IF('Ingest Template'!A112="Standard",'Ingest Template'!N112,"Competitive View")</f>
        <v>Competitive View</v>
      </c>
      <c r="L112" s="41" t="s">
        <v>145</v>
      </c>
      <c r="M112" s="25" t="str">
        <f>'Ingest Template'!D112</f>
        <v/>
      </c>
      <c r="N112" s="25"/>
      <c r="O112" s="25"/>
      <c r="P112" s="25"/>
      <c r="Q112" s="25"/>
      <c r="R112" s="25" t="str">
        <f>CONCATENATE('Ingest Template'!F112)</f>
        <v/>
      </c>
      <c r="S112" s="43" t="s">
        <v>160</v>
      </c>
      <c r="T112" s="25" t="str">
        <f>'Ingest Template'!W112</f>
        <v/>
      </c>
      <c r="U112" s="25"/>
      <c r="V112" s="25" t="str">
        <f>LOWER(SUBSTITUTE(SUBSTITUTE(SUBSTITUTE(SUBSTITUTE(SUBSTITUTE('Ingest Template'!Y112,"https:",""),"www.",""),"/",""),"?hl=en",""),"instagram.com",""))</f>
        <v/>
      </c>
      <c r="W112" s="34" t="str">
        <f>(IFERROR(vlookup('Ingest Template'!F112,DropDown!D:E,2,false)&amp;'Ingest Template'!C112,""))</f>
        <v/>
      </c>
      <c r="X112" s="25" t="str">
        <f>'Ingest Template'!AA112</f>
        <v/>
      </c>
      <c r="Y112" s="25"/>
      <c r="Z112" s="25"/>
      <c r="AA112" s="25"/>
      <c r="AB112" s="25" t="str">
        <f>'Ingest Template'!T112</f>
        <v/>
      </c>
      <c r="AC112" s="25"/>
      <c r="AD112" s="25" t="str">
        <f>'Ingest Template'!U112</f>
        <v/>
      </c>
      <c r="AE112" s="25" t="str">
        <f>'Ingest Template'!V112</f>
        <v/>
      </c>
      <c r="AF112" s="25"/>
      <c r="AG112" s="25" t="str">
        <f t="array" ref="AG112">IF('Ingest Template'!A112="Standard",(CONCATENATE(IF(ISBLANK('Ingest Template'!O112),"", 'Ingest Template'!O112&amp;"|DAR"),CHAR(10), IF(ISBLANK('Ingest Template'!P112),"", 'Ingest Template'!P112&amp;"|DAR"),CHAR(10), IF(ISBLANK('Ingest Template'!Q112),"", 'Ingest Template'!Q112&amp;"|DAR"))),(CONCATENATE(IF(ISBLANK('Ingest Template'!O112),"", 'Ingest Template'!O112&amp;"|Operations - Core Title"),CHAR(10), IF(ISBLANK('Ingest Template'!P112),"", 'Ingest Template'!P112&amp;"|Operations - Core Title"),CHAR(10), IF(ISBLANK('Ingest Template'!Q112),"", 'Ingest Template'!Q112&amp;"|Operations - Core Title"))))</f>
        <v>#|Operations - Core Title
#videoGame|Operations - Core Title
</v>
      </c>
      <c r="AH112" s="25"/>
      <c r="AI112" s="25"/>
      <c r="AJ112" s="50" t="str">
        <f>if('Ingest Template'!A112="Standard",'Ingest Template'!R112&amp; "|DAR|DAR|2021-01-01",'Ingest Template'!R112&amp; "|Operations - Core Title|Operations - Core Title")</f>
        <v>#N/A</v>
      </c>
      <c r="AK112" s="25"/>
      <c r="AL112" s="25" t="str">
        <f>if('Ingest Template'!A112="Standard",'Ingest Template'!S112&amp; "|2021-01-01",'Ingest Template'!S112)</f>
        <v>#N/A</v>
      </c>
      <c r="AM112" s="25"/>
    </row>
    <row r="113">
      <c r="A113" s="25"/>
      <c r="B113" s="25" t="str">
        <f>'Ingest Template'!C113&amp;IF('Ingest Template'!A113 = "Standard", " - DAR","")</f>
        <v/>
      </c>
      <c r="C113" s="34" t="s">
        <v>92</v>
      </c>
      <c r="D113" s="34" t="str">
        <f>CONCATENATE('Ingest Template'!E113&amp;Char(10)&amp;'Ingest Template'!G113&amp;Char(10)&amp;'Ingest Template'!H113&amp;Char(10)&amp;'Ingest Template'!I113&amp;Char(10)&amp;'Ingest Template'!J113&amp;Char(10)&amp;'Ingest Template'!K113&amp;Char(10)&amp;'Ingest Template'!L113)</f>
        <v>
</v>
      </c>
      <c r="E113" s="25" t="str">
        <f>('Ingest Template'!M113)</f>
        <v/>
      </c>
      <c r="F113" s="40" t="str">
        <f t="array" ref="F113">INDEX(DropDown!$J$2:$J$63,MATCH(1,COUNTIF(E113,DropDown!$I$2:$I$63),0))</f>
        <v>#N/A</v>
      </c>
      <c r="G113" s="25"/>
      <c r="H113" s="25"/>
      <c r="I113" s="25"/>
      <c r="J113" s="25" t="str">
        <f>'Ingest Template'!B113</f>
        <v/>
      </c>
      <c r="K113" s="25" t="str">
        <f>IF('Ingest Template'!A113="Standard",'Ingest Template'!N113,"Competitive View")</f>
        <v>Competitive View</v>
      </c>
      <c r="L113" s="41" t="s">
        <v>145</v>
      </c>
      <c r="M113" s="25" t="str">
        <f>'Ingest Template'!D113</f>
        <v/>
      </c>
      <c r="N113" s="25"/>
      <c r="O113" s="25"/>
      <c r="P113" s="25"/>
      <c r="Q113" s="25"/>
      <c r="R113" s="25" t="str">
        <f>CONCATENATE('Ingest Template'!F113)</f>
        <v/>
      </c>
      <c r="S113" s="43" t="s">
        <v>160</v>
      </c>
      <c r="T113" s="25" t="str">
        <f>'Ingest Template'!W113</f>
        <v/>
      </c>
      <c r="U113" s="25"/>
      <c r="V113" s="25" t="str">
        <f>LOWER(SUBSTITUTE(SUBSTITUTE(SUBSTITUTE(SUBSTITUTE(SUBSTITUTE('Ingest Template'!Y113,"https:",""),"www.",""),"/",""),"?hl=en",""),"instagram.com",""))</f>
        <v/>
      </c>
      <c r="W113" s="34" t="str">
        <f>(IFERROR(vlookup('Ingest Template'!F113,DropDown!D:E,2,false)&amp;'Ingest Template'!C113,""))</f>
        <v/>
      </c>
      <c r="X113" s="25" t="str">
        <f>'Ingest Template'!AA113</f>
        <v/>
      </c>
      <c r="Y113" s="25"/>
      <c r="Z113" s="25"/>
      <c r="AA113" s="25"/>
      <c r="AB113" s="25" t="str">
        <f>'Ingest Template'!T113</f>
        <v/>
      </c>
      <c r="AC113" s="25"/>
      <c r="AD113" s="25" t="str">
        <f>'Ingest Template'!U113</f>
        <v/>
      </c>
      <c r="AE113" s="25" t="str">
        <f>'Ingest Template'!V113</f>
        <v/>
      </c>
      <c r="AF113" s="25"/>
      <c r="AG113" s="25" t="str">
        <f t="array" ref="AG113">IF('Ingest Template'!A113="Standard",(CONCATENATE(IF(ISBLANK('Ingest Template'!O113),"", 'Ingest Template'!O113&amp;"|DAR"),CHAR(10), IF(ISBLANK('Ingest Template'!P113),"", 'Ingest Template'!P113&amp;"|DAR"),CHAR(10), IF(ISBLANK('Ingest Template'!Q113),"", 'Ingest Template'!Q113&amp;"|DAR"))),(CONCATENATE(IF(ISBLANK('Ingest Template'!O113),"", 'Ingest Template'!O113&amp;"|Operations - Core Title"),CHAR(10), IF(ISBLANK('Ingest Template'!P113),"", 'Ingest Template'!P113&amp;"|Operations - Core Title"),CHAR(10), IF(ISBLANK('Ingest Template'!Q113),"", 'Ingest Template'!Q113&amp;"|Operations - Core Title"))))</f>
        <v>#|Operations - Core Title
#videoGame|Operations - Core Title
</v>
      </c>
      <c r="AH113" s="25"/>
      <c r="AI113" s="25"/>
      <c r="AJ113" s="50" t="str">
        <f>if('Ingest Template'!A113="Standard",'Ingest Template'!R113&amp; "|DAR|DAR|2021-01-01",'Ingest Template'!R113&amp; "|Operations - Core Title|Operations - Core Title")</f>
        <v>#N/A</v>
      </c>
      <c r="AK113" s="25"/>
      <c r="AL113" s="25" t="str">
        <f>if('Ingest Template'!A113="Standard",'Ingest Template'!S113&amp; "|2021-01-01",'Ingest Template'!S113)</f>
        <v>#N/A</v>
      </c>
      <c r="AM113" s="25"/>
    </row>
    <row r="114">
      <c r="A114" s="25"/>
      <c r="B114" s="25" t="str">
        <f>'Ingest Template'!C114&amp;IF('Ingest Template'!A114 = "Standard", " - DAR","")</f>
        <v/>
      </c>
      <c r="C114" s="34" t="s">
        <v>92</v>
      </c>
      <c r="D114" s="34" t="str">
        <f>CONCATENATE('Ingest Template'!E114&amp;Char(10)&amp;'Ingest Template'!G114&amp;Char(10)&amp;'Ingest Template'!H114&amp;Char(10)&amp;'Ingest Template'!I114&amp;Char(10)&amp;'Ingest Template'!J114&amp;Char(10)&amp;'Ingest Template'!K114&amp;Char(10)&amp;'Ingest Template'!L114)</f>
        <v>
</v>
      </c>
      <c r="E114" s="25" t="str">
        <f>('Ingest Template'!M114)</f>
        <v/>
      </c>
      <c r="F114" s="40" t="str">
        <f t="array" ref="F114">INDEX(DropDown!$J$2:$J$63,MATCH(1,COUNTIF(E114,DropDown!$I$2:$I$63),0))</f>
        <v>#N/A</v>
      </c>
      <c r="G114" s="25"/>
      <c r="H114" s="25"/>
      <c r="I114" s="25"/>
      <c r="J114" s="25" t="str">
        <f>'Ingest Template'!B114</f>
        <v/>
      </c>
      <c r="K114" s="25" t="str">
        <f>IF('Ingest Template'!A114="Standard",'Ingest Template'!N114,"Competitive View")</f>
        <v>Competitive View</v>
      </c>
      <c r="L114" s="41" t="s">
        <v>145</v>
      </c>
      <c r="M114" s="25" t="str">
        <f>'Ingest Template'!D114</f>
        <v/>
      </c>
      <c r="N114" s="25"/>
      <c r="O114" s="25"/>
      <c r="P114" s="25"/>
      <c r="Q114" s="25"/>
      <c r="R114" s="25" t="str">
        <f>CONCATENATE('Ingest Template'!F114)</f>
        <v/>
      </c>
      <c r="S114" s="43" t="s">
        <v>160</v>
      </c>
      <c r="T114" s="25" t="str">
        <f>'Ingest Template'!W114</f>
        <v/>
      </c>
      <c r="U114" s="25"/>
      <c r="V114" s="25" t="str">
        <f>LOWER(SUBSTITUTE(SUBSTITUTE(SUBSTITUTE(SUBSTITUTE(SUBSTITUTE('Ingest Template'!Y114,"https:",""),"www.",""),"/",""),"?hl=en",""),"instagram.com",""))</f>
        <v/>
      </c>
      <c r="W114" s="34" t="str">
        <f>(IFERROR(vlookup('Ingest Template'!F114,DropDown!D:E,2,false)&amp;'Ingest Template'!C114,""))</f>
        <v/>
      </c>
      <c r="X114" s="25" t="str">
        <f>'Ingest Template'!AA114</f>
        <v/>
      </c>
      <c r="Y114" s="25"/>
      <c r="Z114" s="25"/>
      <c r="AA114" s="25"/>
      <c r="AB114" s="25" t="str">
        <f>'Ingest Template'!T114</f>
        <v/>
      </c>
      <c r="AC114" s="25"/>
      <c r="AD114" s="25" t="str">
        <f>'Ingest Template'!U114</f>
        <v/>
      </c>
      <c r="AE114" s="25" t="str">
        <f>'Ingest Template'!V114</f>
        <v/>
      </c>
      <c r="AF114" s="25"/>
      <c r="AG114" s="25" t="str">
        <f t="array" ref="AG114">IF('Ingest Template'!A114="Standard",(CONCATENATE(IF(ISBLANK('Ingest Template'!O114),"", 'Ingest Template'!O114&amp;"|DAR"),CHAR(10), IF(ISBLANK('Ingest Template'!P114),"", 'Ingest Template'!P114&amp;"|DAR"),CHAR(10), IF(ISBLANK('Ingest Template'!Q114),"", 'Ingest Template'!Q114&amp;"|DAR"))),(CONCATENATE(IF(ISBLANK('Ingest Template'!O114),"", 'Ingest Template'!O114&amp;"|Operations - Core Title"),CHAR(10), IF(ISBLANK('Ingest Template'!P114),"", 'Ingest Template'!P114&amp;"|Operations - Core Title"),CHAR(10), IF(ISBLANK('Ingest Template'!Q114),"", 'Ingest Template'!Q114&amp;"|Operations - Core Title"))))</f>
        <v>#|Operations - Core Title
#videoGame|Operations - Core Title
</v>
      </c>
      <c r="AH114" s="25"/>
      <c r="AI114" s="25"/>
      <c r="AJ114" s="50" t="str">
        <f>if('Ingest Template'!A114="Standard",'Ingest Template'!R114&amp; "|DAR|DAR|2021-01-01",'Ingest Template'!R114&amp; "|Operations - Core Title|Operations - Core Title")</f>
        <v>#N/A</v>
      </c>
      <c r="AK114" s="25"/>
      <c r="AL114" s="25" t="str">
        <f>if('Ingest Template'!A114="Standard",'Ingest Template'!S114&amp; "|2021-01-01",'Ingest Template'!S114)</f>
        <v>#N/A</v>
      </c>
      <c r="AM114" s="25"/>
    </row>
    <row r="115">
      <c r="A115" s="25"/>
      <c r="B115" s="25" t="str">
        <f>'Ingest Template'!C115&amp;IF('Ingest Template'!A115 = "Standard", " - DAR","")</f>
        <v/>
      </c>
      <c r="C115" s="34" t="s">
        <v>92</v>
      </c>
      <c r="D115" s="34" t="str">
        <f>CONCATENATE('Ingest Template'!E115&amp;Char(10)&amp;'Ingest Template'!G115&amp;Char(10)&amp;'Ingest Template'!H115&amp;Char(10)&amp;'Ingest Template'!I115&amp;Char(10)&amp;'Ingest Template'!J115&amp;Char(10)&amp;'Ingest Template'!K115&amp;Char(10)&amp;'Ingest Template'!L115)</f>
        <v>
</v>
      </c>
      <c r="E115" s="25" t="str">
        <f>('Ingest Template'!M115)</f>
        <v/>
      </c>
      <c r="F115" s="40" t="str">
        <f t="array" ref="F115">INDEX(DropDown!$J$2:$J$63,MATCH(1,COUNTIF(E115,DropDown!$I$2:$I$63),0))</f>
        <v>#N/A</v>
      </c>
      <c r="G115" s="25"/>
      <c r="H115" s="25"/>
      <c r="I115" s="25"/>
      <c r="J115" s="25" t="str">
        <f>'Ingest Template'!B115</f>
        <v/>
      </c>
      <c r="K115" s="25" t="str">
        <f>IF('Ingest Template'!A115="Standard",'Ingest Template'!N115,"Competitive View")</f>
        <v>Competitive View</v>
      </c>
      <c r="L115" s="41" t="s">
        <v>145</v>
      </c>
      <c r="M115" s="25" t="str">
        <f>'Ingest Template'!D115</f>
        <v/>
      </c>
      <c r="N115" s="25"/>
      <c r="O115" s="25"/>
      <c r="P115" s="25"/>
      <c r="Q115" s="25"/>
      <c r="R115" s="25" t="str">
        <f>CONCATENATE('Ingest Template'!F115)</f>
        <v/>
      </c>
      <c r="S115" s="43" t="s">
        <v>160</v>
      </c>
      <c r="T115" s="25" t="str">
        <f>'Ingest Template'!W115</f>
        <v/>
      </c>
      <c r="U115" s="25"/>
      <c r="V115" s="25" t="str">
        <f>LOWER(SUBSTITUTE(SUBSTITUTE(SUBSTITUTE(SUBSTITUTE(SUBSTITUTE('Ingest Template'!Y115,"https:",""),"www.",""),"/",""),"?hl=en",""),"instagram.com",""))</f>
        <v/>
      </c>
      <c r="W115" s="34" t="str">
        <f>(IFERROR(vlookup('Ingest Template'!F115,DropDown!D:E,2,false)&amp;'Ingest Template'!C115,""))</f>
        <v/>
      </c>
      <c r="X115" s="25" t="str">
        <f>'Ingest Template'!AA115</f>
        <v/>
      </c>
      <c r="Y115" s="25"/>
      <c r="Z115" s="25"/>
      <c r="AA115" s="25"/>
      <c r="AB115" s="25" t="str">
        <f>'Ingest Template'!T115</f>
        <v/>
      </c>
      <c r="AC115" s="25"/>
      <c r="AD115" s="25" t="str">
        <f>'Ingest Template'!U115</f>
        <v/>
      </c>
      <c r="AE115" s="25" t="str">
        <f>'Ingest Template'!V115</f>
        <v/>
      </c>
      <c r="AF115" s="25"/>
      <c r="AG115" s="25" t="str">
        <f t="array" ref="AG115">IF('Ingest Template'!A115="Standard",(CONCATENATE(IF(ISBLANK('Ingest Template'!O115),"", 'Ingest Template'!O115&amp;"|DAR"),CHAR(10), IF(ISBLANK('Ingest Template'!P115),"", 'Ingest Template'!P115&amp;"|DAR"),CHAR(10), IF(ISBLANK('Ingest Template'!Q115),"", 'Ingest Template'!Q115&amp;"|DAR"))),(CONCATENATE(IF(ISBLANK('Ingest Template'!O115),"", 'Ingest Template'!O115&amp;"|Operations - Core Title"),CHAR(10), IF(ISBLANK('Ingest Template'!P115),"", 'Ingest Template'!P115&amp;"|Operations - Core Title"),CHAR(10), IF(ISBLANK('Ingest Template'!Q115),"", 'Ingest Template'!Q115&amp;"|Operations - Core Title"))))</f>
        <v>#|Operations - Core Title
#videoGame|Operations - Core Title
</v>
      </c>
      <c r="AH115" s="25"/>
      <c r="AI115" s="25"/>
      <c r="AJ115" s="50" t="str">
        <f>if('Ingest Template'!A115="Standard",'Ingest Template'!R115&amp; "|DAR|DAR|2021-01-01",'Ingest Template'!R115&amp; "|Operations - Core Title|Operations - Core Title")</f>
        <v>#N/A</v>
      </c>
      <c r="AK115" s="25"/>
      <c r="AL115" s="25" t="str">
        <f>if('Ingest Template'!A115="Standard",'Ingest Template'!S115&amp; "|2021-01-01",'Ingest Template'!S115)</f>
        <v>#N/A</v>
      </c>
      <c r="AM115" s="25"/>
    </row>
    <row r="116">
      <c r="A116" s="25"/>
      <c r="B116" s="25" t="str">
        <f>'Ingest Template'!C116&amp;IF('Ingest Template'!A116 = "Standard", " - DAR","")</f>
        <v/>
      </c>
      <c r="C116" s="34" t="s">
        <v>92</v>
      </c>
      <c r="D116" s="34" t="str">
        <f>CONCATENATE('Ingest Template'!E116&amp;Char(10)&amp;'Ingest Template'!G116&amp;Char(10)&amp;'Ingest Template'!H116&amp;Char(10)&amp;'Ingest Template'!I116&amp;Char(10)&amp;'Ingest Template'!J116&amp;Char(10)&amp;'Ingest Template'!K116&amp;Char(10)&amp;'Ingest Template'!L116)</f>
        <v>
</v>
      </c>
      <c r="E116" s="25" t="str">
        <f>('Ingest Template'!M116)</f>
        <v/>
      </c>
      <c r="F116" s="40" t="str">
        <f t="array" ref="F116">INDEX(DropDown!$J$2:$J$63,MATCH(1,COUNTIF(E116,DropDown!$I$2:$I$63),0))</f>
        <v>#N/A</v>
      </c>
      <c r="G116" s="25"/>
      <c r="H116" s="25"/>
      <c r="I116" s="25"/>
      <c r="J116" s="25" t="str">
        <f>'Ingest Template'!B116</f>
        <v/>
      </c>
      <c r="K116" s="25" t="str">
        <f>IF('Ingest Template'!A116="Standard",'Ingest Template'!N116,"Competitive View")</f>
        <v>Competitive View</v>
      </c>
      <c r="L116" s="41" t="s">
        <v>145</v>
      </c>
      <c r="M116" s="25" t="str">
        <f>'Ingest Template'!D116</f>
        <v/>
      </c>
      <c r="N116" s="25"/>
      <c r="O116" s="25"/>
      <c r="P116" s="25"/>
      <c r="Q116" s="25"/>
      <c r="R116" s="25" t="str">
        <f>CONCATENATE('Ingest Template'!F116)</f>
        <v/>
      </c>
      <c r="S116" s="43" t="s">
        <v>160</v>
      </c>
      <c r="T116" s="25" t="str">
        <f>'Ingest Template'!W116</f>
        <v/>
      </c>
      <c r="U116" s="25"/>
      <c r="V116" s="25" t="str">
        <f>LOWER(SUBSTITUTE(SUBSTITUTE(SUBSTITUTE(SUBSTITUTE(SUBSTITUTE('Ingest Template'!Y116,"https:",""),"www.",""),"/",""),"?hl=en",""),"instagram.com",""))</f>
        <v/>
      </c>
      <c r="W116" s="34" t="str">
        <f>(IFERROR(vlookup('Ingest Template'!F116,DropDown!D:E,2,false)&amp;'Ingest Template'!C116,""))</f>
        <v/>
      </c>
      <c r="X116" s="25" t="str">
        <f>'Ingest Template'!AA116</f>
        <v/>
      </c>
      <c r="Y116" s="25"/>
      <c r="Z116" s="25"/>
      <c r="AA116" s="25"/>
      <c r="AB116" s="25" t="str">
        <f>'Ingest Template'!T116</f>
        <v/>
      </c>
      <c r="AC116" s="25"/>
      <c r="AD116" s="25" t="str">
        <f>'Ingest Template'!U116</f>
        <v/>
      </c>
      <c r="AE116" s="25" t="str">
        <f>'Ingest Template'!V116</f>
        <v/>
      </c>
      <c r="AF116" s="25"/>
      <c r="AG116" s="25" t="str">
        <f t="array" ref="AG116">IF('Ingest Template'!A116="Standard",(CONCATENATE(IF(ISBLANK('Ingest Template'!O116),"", 'Ingest Template'!O116&amp;"|DAR"),CHAR(10), IF(ISBLANK('Ingest Template'!P116),"", 'Ingest Template'!P116&amp;"|DAR"),CHAR(10), IF(ISBLANK('Ingest Template'!Q116),"", 'Ingest Template'!Q116&amp;"|DAR"))),(CONCATENATE(IF(ISBLANK('Ingest Template'!O116),"", 'Ingest Template'!O116&amp;"|Operations - Core Title"),CHAR(10), IF(ISBLANK('Ingest Template'!P116),"", 'Ingest Template'!P116&amp;"|Operations - Core Title"),CHAR(10), IF(ISBLANK('Ingest Template'!Q116),"", 'Ingest Template'!Q116&amp;"|Operations - Core Title"))))</f>
        <v>#|Operations - Core Title
#videoGame|Operations - Core Title
</v>
      </c>
      <c r="AH116" s="25"/>
      <c r="AI116" s="25"/>
      <c r="AJ116" s="50" t="str">
        <f>if('Ingest Template'!A116="Standard",'Ingest Template'!R116&amp; "|DAR|DAR|2021-01-01",'Ingest Template'!R116&amp; "|Operations - Core Title|Operations - Core Title")</f>
        <v>#N/A</v>
      </c>
      <c r="AK116" s="25"/>
      <c r="AL116" s="25" t="str">
        <f>if('Ingest Template'!A116="Standard",'Ingest Template'!S116&amp; "|2021-01-01",'Ingest Template'!S116)</f>
        <v>#N/A</v>
      </c>
      <c r="AM116" s="25"/>
    </row>
    <row r="117">
      <c r="A117" s="25"/>
      <c r="B117" s="25" t="str">
        <f>'Ingest Template'!C117&amp;IF('Ingest Template'!A117 = "Standard", " - DAR","")</f>
        <v/>
      </c>
      <c r="C117" s="34" t="s">
        <v>92</v>
      </c>
      <c r="D117" s="34" t="str">
        <f>CONCATENATE('Ingest Template'!E117&amp;Char(10)&amp;'Ingest Template'!G117&amp;Char(10)&amp;'Ingest Template'!H117&amp;Char(10)&amp;'Ingest Template'!I117&amp;Char(10)&amp;'Ingest Template'!J117&amp;Char(10)&amp;'Ingest Template'!K117&amp;Char(10)&amp;'Ingest Template'!L117)</f>
        <v>
</v>
      </c>
      <c r="E117" s="25" t="str">
        <f>('Ingest Template'!M117)</f>
        <v/>
      </c>
      <c r="F117" s="40" t="str">
        <f t="array" ref="F117">INDEX(DropDown!$J$2:$J$63,MATCH(1,COUNTIF(E117,DropDown!$I$2:$I$63),0))</f>
        <v>#N/A</v>
      </c>
      <c r="G117" s="25"/>
      <c r="H117" s="25"/>
      <c r="I117" s="25"/>
      <c r="J117" s="25" t="str">
        <f>'Ingest Template'!B117</f>
        <v/>
      </c>
      <c r="K117" s="25" t="str">
        <f>IF('Ingest Template'!A117="Standard",'Ingest Template'!N117,"Competitive View")</f>
        <v>Competitive View</v>
      </c>
      <c r="L117" s="41" t="s">
        <v>145</v>
      </c>
      <c r="M117" s="25" t="str">
        <f>'Ingest Template'!D117</f>
        <v/>
      </c>
      <c r="N117" s="25"/>
      <c r="O117" s="25"/>
      <c r="P117" s="25"/>
      <c r="Q117" s="25"/>
      <c r="R117" s="25" t="str">
        <f>CONCATENATE('Ingest Template'!F117)</f>
        <v/>
      </c>
      <c r="S117" s="43" t="s">
        <v>160</v>
      </c>
      <c r="T117" s="25" t="str">
        <f>'Ingest Template'!W117</f>
        <v/>
      </c>
      <c r="U117" s="25"/>
      <c r="V117" s="25" t="str">
        <f>LOWER(SUBSTITUTE(SUBSTITUTE(SUBSTITUTE(SUBSTITUTE(SUBSTITUTE('Ingest Template'!Y117,"https:",""),"www.",""),"/",""),"?hl=en",""),"instagram.com",""))</f>
        <v/>
      </c>
      <c r="W117" s="34" t="str">
        <f>(IFERROR(vlookup('Ingest Template'!F117,DropDown!D:E,2,false)&amp;'Ingest Template'!C117,""))</f>
        <v/>
      </c>
      <c r="X117" s="25" t="str">
        <f>'Ingest Template'!AA117</f>
        <v/>
      </c>
      <c r="Y117" s="25"/>
      <c r="Z117" s="25"/>
      <c r="AA117" s="25"/>
      <c r="AB117" s="25" t="str">
        <f>'Ingest Template'!T117</f>
        <v/>
      </c>
      <c r="AC117" s="25"/>
      <c r="AD117" s="25" t="str">
        <f>'Ingest Template'!U117</f>
        <v/>
      </c>
      <c r="AE117" s="25" t="str">
        <f>'Ingest Template'!V117</f>
        <v/>
      </c>
      <c r="AF117" s="25"/>
      <c r="AG117" s="25" t="str">
        <f t="array" ref="AG117">IF('Ingest Template'!A117="Standard",(CONCATENATE(IF(ISBLANK('Ingest Template'!O117),"", 'Ingest Template'!O117&amp;"|DAR"),CHAR(10), IF(ISBLANK('Ingest Template'!P117),"", 'Ingest Template'!P117&amp;"|DAR"),CHAR(10), IF(ISBLANK('Ingest Template'!Q117),"", 'Ingest Template'!Q117&amp;"|DAR"))),(CONCATENATE(IF(ISBLANK('Ingest Template'!O117),"", 'Ingest Template'!O117&amp;"|Operations - Core Title"),CHAR(10), IF(ISBLANK('Ingest Template'!P117),"", 'Ingest Template'!P117&amp;"|Operations - Core Title"),CHAR(10), IF(ISBLANK('Ingest Template'!Q117),"", 'Ingest Template'!Q117&amp;"|Operations - Core Title"))))</f>
        <v>#|Operations - Core Title
#videoGame|Operations - Core Title
</v>
      </c>
      <c r="AH117" s="25"/>
      <c r="AI117" s="25"/>
      <c r="AJ117" s="50" t="str">
        <f>if('Ingest Template'!A117="Standard",'Ingest Template'!R117&amp; "|DAR|DAR|2021-01-01",'Ingest Template'!R117&amp; "|Operations - Core Title|Operations - Core Title")</f>
        <v>#N/A</v>
      </c>
      <c r="AK117" s="25"/>
      <c r="AL117" s="25" t="str">
        <f>if('Ingest Template'!A117="Standard",'Ingest Template'!S117&amp; "|2021-01-01",'Ingest Template'!S117)</f>
        <v>#N/A</v>
      </c>
      <c r="AM117" s="25"/>
    </row>
    <row r="118">
      <c r="A118" s="25"/>
      <c r="B118" s="25" t="str">
        <f>'Ingest Template'!C118&amp;IF('Ingest Template'!A118 = "Standard", " - DAR","")</f>
        <v/>
      </c>
      <c r="C118" s="34" t="s">
        <v>92</v>
      </c>
      <c r="D118" s="34" t="str">
        <f>CONCATENATE('Ingest Template'!E118&amp;Char(10)&amp;'Ingest Template'!G118&amp;Char(10)&amp;'Ingest Template'!H118&amp;Char(10)&amp;'Ingest Template'!I118&amp;Char(10)&amp;'Ingest Template'!J118&amp;Char(10)&amp;'Ingest Template'!K118&amp;Char(10)&amp;'Ingest Template'!L118)</f>
        <v>
</v>
      </c>
      <c r="E118" s="25" t="str">
        <f>('Ingest Template'!M118)</f>
        <v/>
      </c>
      <c r="F118" s="40" t="str">
        <f t="array" ref="F118">INDEX(DropDown!$J$2:$J$63,MATCH(1,COUNTIF(E118,DropDown!$I$2:$I$63),0))</f>
        <v>#N/A</v>
      </c>
      <c r="G118" s="25"/>
      <c r="H118" s="25"/>
      <c r="I118" s="25"/>
      <c r="J118" s="25" t="str">
        <f>'Ingest Template'!B118</f>
        <v/>
      </c>
      <c r="K118" s="25" t="str">
        <f>IF('Ingest Template'!A118="Standard",'Ingest Template'!N118,"Competitive View")</f>
        <v>Competitive View</v>
      </c>
      <c r="L118" s="41" t="s">
        <v>145</v>
      </c>
      <c r="M118" s="25" t="str">
        <f>'Ingest Template'!D118</f>
        <v/>
      </c>
      <c r="N118" s="25"/>
      <c r="O118" s="25"/>
      <c r="P118" s="25"/>
      <c r="Q118" s="25"/>
      <c r="R118" s="25" t="str">
        <f>CONCATENATE('Ingest Template'!F118)</f>
        <v/>
      </c>
      <c r="S118" s="43" t="s">
        <v>160</v>
      </c>
      <c r="T118" s="25" t="str">
        <f>'Ingest Template'!W118</f>
        <v/>
      </c>
      <c r="U118" s="25"/>
      <c r="V118" s="25" t="str">
        <f>LOWER(SUBSTITUTE(SUBSTITUTE(SUBSTITUTE(SUBSTITUTE(SUBSTITUTE('Ingest Template'!Y118,"https:",""),"www.",""),"/",""),"?hl=en",""),"instagram.com",""))</f>
        <v/>
      </c>
      <c r="W118" s="34" t="str">
        <f>(IFERROR(vlookup('Ingest Template'!F118,DropDown!D:E,2,false)&amp;'Ingest Template'!C118,""))</f>
        <v/>
      </c>
      <c r="X118" s="25" t="str">
        <f>'Ingest Template'!AA118</f>
        <v/>
      </c>
      <c r="Y118" s="25"/>
      <c r="Z118" s="25"/>
      <c r="AA118" s="25"/>
      <c r="AB118" s="25" t="str">
        <f>'Ingest Template'!T118</f>
        <v/>
      </c>
      <c r="AC118" s="25"/>
      <c r="AD118" s="25" t="str">
        <f>'Ingest Template'!U118</f>
        <v/>
      </c>
      <c r="AE118" s="25" t="str">
        <f>'Ingest Template'!V118</f>
        <v/>
      </c>
      <c r="AF118" s="25"/>
      <c r="AG118" s="25" t="str">
        <f t="array" ref="AG118">IF('Ingest Template'!A118="Standard",(CONCATENATE(IF(ISBLANK('Ingest Template'!O118),"", 'Ingest Template'!O118&amp;"|DAR"),CHAR(10), IF(ISBLANK('Ingest Template'!P118),"", 'Ingest Template'!P118&amp;"|DAR"),CHAR(10), IF(ISBLANK('Ingest Template'!Q118),"", 'Ingest Template'!Q118&amp;"|DAR"))),(CONCATENATE(IF(ISBLANK('Ingest Template'!O118),"", 'Ingest Template'!O118&amp;"|Operations - Core Title"),CHAR(10), IF(ISBLANK('Ingest Template'!P118),"", 'Ingest Template'!P118&amp;"|Operations - Core Title"),CHAR(10), IF(ISBLANK('Ingest Template'!Q118),"", 'Ingest Template'!Q118&amp;"|Operations - Core Title"))))</f>
        <v>#|Operations - Core Title
#videoGame|Operations - Core Title
</v>
      </c>
      <c r="AH118" s="25"/>
      <c r="AI118" s="25"/>
      <c r="AJ118" s="50" t="str">
        <f>if('Ingest Template'!A118="Standard",'Ingest Template'!R118&amp; "|DAR|DAR|2021-01-01",'Ingest Template'!R118&amp; "|Operations - Core Title|Operations - Core Title")</f>
        <v>#N/A</v>
      </c>
      <c r="AK118" s="25"/>
      <c r="AL118" s="25" t="str">
        <f>if('Ingest Template'!A118="Standard",'Ingest Template'!S118&amp; "|2021-01-01",'Ingest Template'!S118)</f>
        <v>#N/A</v>
      </c>
      <c r="AM118" s="25"/>
    </row>
    <row r="119">
      <c r="A119" s="25"/>
      <c r="B119" s="25" t="str">
        <f>'Ingest Template'!C119&amp;IF('Ingest Template'!A119 = "Standard", " - DAR","")</f>
        <v/>
      </c>
      <c r="C119" s="34" t="s">
        <v>92</v>
      </c>
      <c r="D119" s="34" t="str">
        <f>CONCATENATE('Ingest Template'!E119&amp;Char(10)&amp;'Ingest Template'!G119&amp;Char(10)&amp;'Ingest Template'!H119&amp;Char(10)&amp;'Ingest Template'!I119&amp;Char(10)&amp;'Ingest Template'!J119&amp;Char(10)&amp;'Ingest Template'!K119&amp;Char(10)&amp;'Ingest Template'!L119)</f>
        <v>
</v>
      </c>
      <c r="E119" s="25" t="str">
        <f>('Ingest Template'!M119)</f>
        <v/>
      </c>
      <c r="F119" s="40" t="str">
        <f t="array" ref="F119">INDEX(DropDown!$J$2:$J$63,MATCH(1,COUNTIF(E119,DropDown!$I$2:$I$63),0))</f>
        <v>#N/A</v>
      </c>
      <c r="G119" s="25"/>
      <c r="H119" s="25"/>
      <c r="I119" s="25"/>
      <c r="J119" s="25" t="str">
        <f>'Ingest Template'!B119</f>
        <v/>
      </c>
      <c r="K119" s="25" t="str">
        <f>IF('Ingest Template'!A119="Standard",'Ingest Template'!N119,"Competitive View")</f>
        <v>Competitive View</v>
      </c>
      <c r="L119" s="41" t="s">
        <v>145</v>
      </c>
      <c r="M119" s="25" t="str">
        <f>'Ingest Template'!D119</f>
        <v/>
      </c>
      <c r="N119" s="25"/>
      <c r="O119" s="25"/>
      <c r="P119" s="25"/>
      <c r="Q119" s="25"/>
      <c r="R119" s="25" t="str">
        <f>CONCATENATE('Ingest Template'!F119)</f>
        <v/>
      </c>
      <c r="S119" s="43" t="s">
        <v>160</v>
      </c>
      <c r="T119" s="25" t="str">
        <f>'Ingest Template'!W119</f>
        <v/>
      </c>
      <c r="U119" s="25"/>
      <c r="V119" s="25" t="str">
        <f>LOWER(SUBSTITUTE(SUBSTITUTE(SUBSTITUTE(SUBSTITUTE(SUBSTITUTE('Ingest Template'!Y119,"https:",""),"www.",""),"/",""),"?hl=en",""),"instagram.com",""))</f>
        <v/>
      </c>
      <c r="W119" s="34" t="str">
        <f>(IFERROR(vlookup('Ingest Template'!F119,DropDown!D:E,2,false)&amp;'Ingest Template'!C119,""))</f>
        <v/>
      </c>
      <c r="X119" s="25" t="str">
        <f>'Ingest Template'!AA119</f>
        <v/>
      </c>
      <c r="Y119" s="25"/>
      <c r="Z119" s="25"/>
      <c r="AA119" s="25"/>
      <c r="AB119" s="25" t="str">
        <f>'Ingest Template'!T119</f>
        <v/>
      </c>
      <c r="AC119" s="25"/>
      <c r="AD119" s="25" t="str">
        <f>'Ingest Template'!U119</f>
        <v/>
      </c>
      <c r="AE119" s="25" t="str">
        <f>'Ingest Template'!V119</f>
        <v/>
      </c>
      <c r="AF119" s="25"/>
      <c r="AG119" s="25" t="str">
        <f t="array" ref="AG119">IF('Ingest Template'!A119="Standard",(CONCATENATE(IF(ISBLANK('Ingest Template'!O119),"", 'Ingest Template'!O119&amp;"|DAR"),CHAR(10), IF(ISBLANK('Ingest Template'!P119),"", 'Ingest Template'!P119&amp;"|DAR"),CHAR(10), IF(ISBLANK('Ingest Template'!Q119),"", 'Ingest Template'!Q119&amp;"|DAR"))),(CONCATENATE(IF(ISBLANK('Ingest Template'!O119),"", 'Ingest Template'!O119&amp;"|Operations - Core Title"),CHAR(10), IF(ISBLANK('Ingest Template'!P119),"", 'Ingest Template'!P119&amp;"|Operations - Core Title"),CHAR(10), IF(ISBLANK('Ingest Template'!Q119),"", 'Ingest Template'!Q119&amp;"|Operations - Core Title"))))</f>
        <v>#|Operations - Core Title
#videoGame|Operations - Core Title
</v>
      </c>
      <c r="AH119" s="25"/>
      <c r="AI119" s="25"/>
      <c r="AJ119" s="50" t="str">
        <f>if('Ingest Template'!A119="Standard",'Ingest Template'!R119&amp; "|DAR|DAR|2021-01-01",'Ingest Template'!R119&amp; "|Operations - Core Title|Operations - Core Title")</f>
        <v>#N/A</v>
      </c>
      <c r="AK119" s="25"/>
      <c r="AL119" s="25" t="str">
        <f>if('Ingest Template'!A119="Standard",'Ingest Template'!S119&amp; "|2021-01-01",'Ingest Template'!S119)</f>
        <v>#N/A</v>
      </c>
      <c r="AM119" s="25"/>
    </row>
    <row r="120">
      <c r="A120" s="25"/>
      <c r="B120" s="25" t="str">
        <f>'Ingest Template'!C120&amp;IF('Ingest Template'!A120 = "Standard", " - DAR","")</f>
        <v/>
      </c>
      <c r="C120" s="34" t="s">
        <v>92</v>
      </c>
      <c r="D120" s="34" t="str">
        <f>CONCATENATE('Ingest Template'!E120&amp;Char(10)&amp;'Ingest Template'!G120&amp;Char(10)&amp;'Ingest Template'!H120&amp;Char(10)&amp;'Ingest Template'!I120&amp;Char(10)&amp;'Ingest Template'!J120&amp;Char(10)&amp;'Ingest Template'!K120&amp;Char(10)&amp;'Ingest Template'!L120)</f>
        <v>
</v>
      </c>
      <c r="E120" s="25" t="str">
        <f>('Ingest Template'!M120)</f>
        <v/>
      </c>
      <c r="F120" s="40" t="str">
        <f t="array" ref="F120">INDEX(DropDown!$J$2:$J$63,MATCH(1,COUNTIF(E120,DropDown!$I$2:$I$63),0))</f>
        <v>#N/A</v>
      </c>
      <c r="G120" s="25"/>
      <c r="H120" s="25"/>
      <c r="I120" s="25"/>
      <c r="J120" s="25" t="str">
        <f>'Ingest Template'!B120</f>
        <v/>
      </c>
      <c r="K120" s="25" t="str">
        <f>IF('Ingest Template'!A120="Standard",'Ingest Template'!N120,"Competitive View")</f>
        <v>Competitive View</v>
      </c>
      <c r="L120" s="41" t="s">
        <v>145</v>
      </c>
      <c r="M120" s="25" t="str">
        <f>'Ingest Template'!D120</f>
        <v/>
      </c>
      <c r="N120" s="25"/>
      <c r="O120" s="25"/>
      <c r="P120" s="25"/>
      <c r="Q120" s="25"/>
      <c r="R120" s="25" t="str">
        <f>CONCATENATE('Ingest Template'!F120)</f>
        <v/>
      </c>
      <c r="S120" s="43" t="s">
        <v>160</v>
      </c>
      <c r="T120" s="25" t="str">
        <f>'Ingest Template'!W120</f>
        <v/>
      </c>
      <c r="U120" s="25"/>
      <c r="V120" s="25" t="str">
        <f>LOWER(SUBSTITUTE(SUBSTITUTE(SUBSTITUTE(SUBSTITUTE(SUBSTITUTE('Ingest Template'!Y120,"https:",""),"www.",""),"/",""),"?hl=en",""),"instagram.com",""))</f>
        <v/>
      </c>
      <c r="W120" s="34" t="str">
        <f>(IFERROR(vlookup('Ingest Template'!F120,DropDown!D:E,2,false)&amp;'Ingest Template'!C120,""))</f>
        <v/>
      </c>
      <c r="X120" s="25" t="str">
        <f>'Ingest Template'!AA120</f>
        <v/>
      </c>
      <c r="Y120" s="25"/>
      <c r="Z120" s="25"/>
      <c r="AA120" s="25"/>
      <c r="AB120" s="25" t="str">
        <f>'Ingest Template'!T120</f>
        <v/>
      </c>
      <c r="AC120" s="25"/>
      <c r="AD120" s="25" t="str">
        <f>'Ingest Template'!U120</f>
        <v/>
      </c>
      <c r="AE120" s="25" t="str">
        <f>'Ingest Template'!V120</f>
        <v/>
      </c>
      <c r="AF120" s="25"/>
      <c r="AG120" s="25" t="str">
        <f t="array" ref="AG120">IF('Ingest Template'!A120="Standard",(CONCATENATE(IF(ISBLANK('Ingest Template'!O120),"", 'Ingest Template'!O120&amp;"|DAR"),CHAR(10), IF(ISBLANK('Ingest Template'!P120),"", 'Ingest Template'!P120&amp;"|DAR"),CHAR(10), IF(ISBLANK('Ingest Template'!Q120),"", 'Ingest Template'!Q120&amp;"|DAR"))),(CONCATENATE(IF(ISBLANK('Ingest Template'!O120),"", 'Ingest Template'!O120&amp;"|Operations - Core Title"),CHAR(10), IF(ISBLANK('Ingest Template'!P120),"", 'Ingest Template'!P120&amp;"|Operations - Core Title"),CHAR(10), IF(ISBLANK('Ingest Template'!Q120),"", 'Ingest Template'!Q120&amp;"|Operations - Core Title"))))</f>
        <v>#|Operations - Core Title
#videoGame|Operations - Core Title
</v>
      </c>
      <c r="AH120" s="25"/>
      <c r="AI120" s="25"/>
      <c r="AJ120" s="50" t="str">
        <f>if('Ingest Template'!A120="Standard",'Ingest Template'!R120&amp; "|DAR|DAR|2021-01-01",'Ingest Template'!R120&amp; "|Operations - Core Title|Operations - Core Title")</f>
        <v>#N/A</v>
      </c>
      <c r="AK120" s="25"/>
      <c r="AL120" s="25" t="str">
        <f>if('Ingest Template'!A120="Standard",'Ingest Template'!S120&amp; "|2021-01-01",'Ingest Template'!S120)</f>
        <v>#N/A</v>
      </c>
      <c r="AM120" s="25"/>
    </row>
    <row r="121">
      <c r="A121" s="25"/>
      <c r="B121" s="25" t="str">
        <f>'Ingest Template'!C121&amp;IF('Ingest Template'!A121 = "Standard", " - DAR","")</f>
        <v/>
      </c>
      <c r="C121" s="34" t="s">
        <v>92</v>
      </c>
      <c r="D121" s="34" t="str">
        <f>CONCATENATE('Ingest Template'!E121&amp;Char(10)&amp;'Ingest Template'!G121&amp;Char(10)&amp;'Ingest Template'!H121&amp;Char(10)&amp;'Ingest Template'!I121&amp;Char(10)&amp;'Ingest Template'!J121&amp;Char(10)&amp;'Ingest Template'!K121&amp;Char(10)&amp;'Ingest Template'!L121)</f>
        <v>
</v>
      </c>
      <c r="E121" s="25" t="str">
        <f>('Ingest Template'!M121)</f>
        <v/>
      </c>
      <c r="F121" s="40" t="str">
        <f t="array" ref="F121">INDEX(DropDown!$J$2:$J$63,MATCH(1,COUNTIF(E121,DropDown!$I$2:$I$63),0))</f>
        <v>#N/A</v>
      </c>
      <c r="G121" s="25"/>
      <c r="H121" s="25"/>
      <c r="I121" s="25"/>
      <c r="J121" s="25" t="str">
        <f>'Ingest Template'!B121</f>
        <v/>
      </c>
      <c r="K121" s="25" t="str">
        <f>IF('Ingest Template'!A121="Standard",'Ingest Template'!N121,"Competitive View")</f>
        <v>Competitive View</v>
      </c>
      <c r="L121" s="41" t="s">
        <v>145</v>
      </c>
      <c r="M121" s="25" t="str">
        <f>'Ingest Template'!D121</f>
        <v/>
      </c>
      <c r="N121" s="25"/>
      <c r="O121" s="25"/>
      <c r="P121" s="25"/>
      <c r="Q121" s="25"/>
      <c r="R121" s="25" t="str">
        <f>CONCATENATE('Ingest Template'!F121)</f>
        <v/>
      </c>
      <c r="S121" s="43" t="s">
        <v>160</v>
      </c>
      <c r="T121" s="25" t="str">
        <f>'Ingest Template'!W121</f>
        <v/>
      </c>
      <c r="U121" s="25"/>
      <c r="V121" s="25" t="str">
        <f>LOWER(SUBSTITUTE(SUBSTITUTE(SUBSTITUTE(SUBSTITUTE(SUBSTITUTE('Ingest Template'!Y121,"https:",""),"www.",""),"/",""),"?hl=en",""),"instagram.com",""))</f>
        <v/>
      </c>
      <c r="W121" s="34" t="str">
        <f>(IFERROR(vlookup('Ingest Template'!F121,DropDown!D:E,2,false)&amp;'Ingest Template'!C121,""))</f>
        <v/>
      </c>
      <c r="X121" s="25" t="str">
        <f>'Ingest Template'!AA121</f>
        <v/>
      </c>
      <c r="Y121" s="25"/>
      <c r="Z121" s="25"/>
      <c r="AA121" s="25"/>
      <c r="AB121" s="25" t="str">
        <f>'Ingest Template'!T121</f>
        <v/>
      </c>
      <c r="AC121" s="25"/>
      <c r="AD121" s="25" t="str">
        <f>'Ingest Template'!U121</f>
        <v/>
      </c>
      <c r="AE121" s="25" t="str">
        <f>'Ingest Template'!V121</f>
        <v/>
      </c>
      <c r="AF121" s="25"/>
      <c r="AG121" s="25" t="str">
        <f t="array" ref="AG121">IF('Ingest Template'!A121="Standard",(CONCATENATE(IF(ISBLANK('Ingest Template'!O121),"", 'Ingest Template'!O121&amp;"|DAR"),CHAR(10), IF(ISBLANK('Ingest Template'!P121),"", 'Ingest Template'!P121&amp;"|DAR"),CHAR(10), IF(ISBLANK('Ingest Template'!Q121),"", 'Ingest Template'!Q121&amp;"|DAR"))),(CONCATENATE(IF(ISBLANK('Ingest Template'!O121),"", 'Ingest Template'!O121&amp;"|Operations - Core Title"),CHAR(10), IF(ISBLANK('Ingest Template'!P121),"", 'Ingest Template'!P121&amp;"|Operations - Core Title"),CHAR(10), IF(ISBLANK('Ingest Template'!Q121),"", 'Ingest Template'!Q121&amp;"|Operations - Core Title"))))</f>
        <v>#|Operations - Core Title
#videoGame|Operations - Core Title
</v>
      </c>
      <c r="AH121" s="25"/>
      <c r="AI121" s="25"/>
      <c r="AJ121" s="50" t="str">
        <f>if('Ingest Template'!A121="Standard",'Ingest Template'!R121&amp; "|DAR|DAR|2021-01-01",'Ingest Template'!R121&amp; "|Operations - Core Title|Operations - Core Title")</f>
        <v>#N/A</v>
      </c>
      <c r="AK121" s="25"/>
      <c r="AL121" s="25" t="str">
        <f>if('Ingest Template'!A121="Standard",'Ingest Template'!S121&amp; "|2021-01-01",'Ingest Template'!S121)</f>
        <v>#N/A</v>
      </c>
      <c r="AM121" s="25"/>
    </row>
    <row r="122">
      <c r="A122" s="25"/>
      <c r="B122" s="25" t="str">
        <f>'Ingest Template'!C122&amp;IF('Ingest Template'!A122 = "Standard", " - DAR","")</f>
        <v/>
      </c>
      <c r="C122" s="34" t="s">
        <v>92</v>
      </c>
      <c r="D122" s="34" t="str">
        <f>CONCATENATE('Ingest Template'!E122&amp;Char(10)&amp;'Ingest Template'!G122&amp;Char(10)&amp;'Ingest Template'!H122&amp;Char(10)&amp;'Ingest Template'!I122&amp;Char(10)&amp;'Ingest Template'!J122&amp;Char(10)&amp;'Ingest Template'!K122&amp;Char(10)&amp;'Ingest Template'!L122)</f>
        <v>
</v>
      </c>
      <c r="E122" s="25" t="str">
        <f>('Ingest Template'!M122)</f>
        <v/>
      </c>
      <c r="F122" s="40" t="str">
        <f t="array" ref="F122">INDEX(DropDown!$J$2:$J$63,MATCH(1,COUNTIF(E122,DropDown!$I$2:$I$63),0))</f>
        <v>#N/A</v>
      </c>
      <c r="G122" s="25"/>
      <c r="H122" s="25"/>
      <c r="I122" s="25"/>
      <c r="J122" s="25" t="str">
        <f>'Ingest Template'!B122</f>
        <v/>
      </c>
      <c r="K122" s="25" t="str">
        <f>IF('Ingest Template'!A122="Standard",'Ingest Template'!N122,"Competitive View")</f>
        <v>Competitive View</v>
      </c>
      <c r="L122" s="41" t="s">
        <v>145</v>
      </c>
      <c r="M122" s="25" t="str">
        <f>'Ingest Template'!D122</f>
        <v/>
      </c>
      <c r="N122" s="25"/>
      <c r="O122" s="25"/>
      <c r="P122" s="25"/>
      <c r="Q122" s="25"/>
      <c r="R122" s="25" t="str">
        <f>CONCATENATE('Ingest Template'!F122)</f>
        <v/>
      </c>
      <c r="S122" s="43" t="s">
        <v>160</v>
      </c>
      <c r="T122" s="25" t="str">
        <f>'Ingest Template'!W122</f>
        <v/>
      </c>
      <c r="U122" s="25"/>
      <c r="V122" s="25" t="str">
        <f>LOWER(SUBSTITUTE(SUBSTITUTE(SUBSTITUTE(SUBSTITUTE(SUBSTITUTE('Ingest Template'!Y122,"https:",""),"www.",""),"/",""),"?hl=en",""),"instagram.com",""))</f>
        <v/>
      </c>
      <c r="W122" s="34" t="str">
        <f>(IFERROR(vlookup('Ingest Template'!F122,DropDown!D:E,2,false)&amp;'Ingest Template'!C122,""))</f>
        <v/>
      </c>
      <c r="X122" s="25" t="str">
        <f>'Ingest Template'!AA122</f>
        <v/>
      </c>
      <c r="Y122" s="25"/>
      <c r="Z122" s="25"/>
      <c r="AA122" s="25"/>
      <c r="AB122" s="25" t="str">
        <f>'Ingest Template'!T122</f>
        <v/>
      </c>
      <c r="AC122" s="25"/>
      <c r="AD122" s="25" t="str">
        <f>'Ingest Template'!U122</f>
        <v/>
      </c>
      <c r="AE122" s="25" t="str">
        <f>'Ingest Template'!V122</f>
        <v/>
      </c>
      <c r="AF122" s="25"/>
      <c r="AG122" s="25" t="str">
        <f t="array" ref="AG122">IF('Ingest Template'!A122="Standard",(CONCATENATE(IF(ISBLANK('Ingest Template'!O122),"", 'Ingest Template'!O122&amp;"|DAR"),CHAR(10), IF(ISBLANK('Ingest Template'!P122),"", 'Ingest Template'!P122&amp;"|DAR"),CHAR(10), IF(ISBLANK('Ingest Template'!Q122),"", 'Ingest Template'!Q122&amp;"|DAR"))),(CONCATENATE(IF(ISBLANK('Ingest Template'!O122),"", 'Ingest Template'!O122&amp;"|Operations - Core Title"),CHAR(10), IF(ISBLANK('Ingest Template'!P122),"", 'Ingest Template'!P122&amp;"|Operations - Core Title"),CHAR(10), IF(ISBLANK('Ingest Template'!Q122),"", 'Ingest Template'!Q122&amp;"|Operations - Core Title"))))</f>
        <v>#|Operations - Core Title
#videoGame|Operations - Core Title
</v>
      </c>
      <c r="AH122" s="25"/>
      <c r="AI122" s="25"/>
      <c r="AJ122" s="50" t="str">
        <f>if('Ingest Template'!A122="Standard",'Ingest Template'!R122&amp; "|DAR|DAR|2021-01-01",'Ingest Template'!R122&amp; "|Operations - Core Title|Operations - Core Title")</f>
        <v>#N/A</v>
      </c>
      <c r="AK122" s="25"/>
      <c r="AL122" s="25" t="str">
        <f>if('Ingest Template'!A122="Standard",'Ingest Template'!S122&amp; "|2021-01-01",'Ingest Template'!S122)</f>
        <v>#N/A</v>
      </c>
      <c r="AM122" s="25"/>
    </row>
    <row r="123">
      <c r="A123" s="25"/>
      <c r="B123" s="25" t="str">
        <f>'Ingest Template'!C123&amp;IF('Ingest Template'!A123 = "Standard", " - DAR","")</f>
        <v/>
      </c>
      <c r="C123" s="34" t="s">
        <v>92</v>
      </c>
      <c r="D123" s="34" t="str">
        <f>CONCATENATE('Ingest Template'!E123&amp;Char(10)&amp;'Ingest Template'!G123&amp;Char(10)&amp;'Ingest Template'!H123&amp;Char(10)&amp;'Ingest Template'!I123&amp;Char(10)&amp;'Ingest Template'!J123&amp;Char(10)&amp;'Ingest Template'!K123&amp;Char(10)&amp;'Ingest Template'!L123)</f>
        <v>
</v>
      </c>
      <c r="E123" s="25" t="str">
        <f>('Ingest Template'!M123)</f>
        <v/>
      </c>
      <c r="F123" s="40" t="str">
        <f t="array" ref="F123">INDEX(DropDown!$J$2:$J$63,MATCH(1,COUNTIF(E123,DropDown!$I$2:$I$63),0))</f>
        <v>#N/A</v>
      </c>
      <c r="G123" s="25"/>
      <c r="H123" s="25"/>
      <c r="I123" s="25"/>
      <c r="J123" s="25" t="str">
        <f>'Ingest Template'!B123</f>
        <v/>
      </c>
      <c r="K123" s="25" t="str">
        <f>IF('Ingest Template'!A123="Standard",'Ingest Template'!N123,"Competitive View")</f>
        <v>Competitive View</v>
      </c>
      <c r="L123" s="41" t="s">
        <v>145</v>
      </c>
      <c r="M123" s="25" t="str">
        <f>'Ingest Template'!D123</f>
        <v/>
      </c>
      <c r="N123" s="25"/>
      <c r="O123" s="25"/>
      <c r="P123" s="25"/>
      <c r="Q123" s="25"/>
      <c r="R123" s="25" t="str">
        <f>CONCATENATE('Ingest Template'!F123)</f>
        <v/>
      </c>
      <c r="S123" s="43" t="s">
        <v>160</v>
      </c>
      <c r="T123" s="25" t="str">
        <f>'Ingest Template'!W123</f>
        <v/>
      </c>
      <c r="U123" s="25"/>
      <c r="V123" s="25" t="str">
        <f>LOWER(SUBSTITUTE(SUBSTITUTE(SUBSTITUTE(SUBSTITUTE(SUBSTITUTE('Ingest Template'!Y123,"https:",""),"www.",""),"/",""),"?hl=en",""),"instagram.com",""))</f>
        <v/>
      </c>
      <c r="W123" s="34" t="str">
        <f>(IFERROR(vlookup('Ingest Template'!F123,DropDown!D:E,2,false)&amp;'Ingest Template'!C123,""))</f>
        <v/>
      </c>
      <c r="X123" s="25" t="str">
        <f>'Ingest Template'!AA123</f>
        <v/>
      </c>
      <c r="Y123" s="25"/>
      <c r="Z123" s="25"/>
      <c r="AA123" s="25"/>
      <c r="AB123" s="25" t="str">
        <f>'Ingest Template'!T123</f>
        <v/>
      </c>
      <c r="AC123" s="25"/>
      <c r="AD123" s="25" t="str">
        <f>'Ingest Template'!U123</f>
        <v/>
      </c>
      <c r="AE123" s="25" t="str">
        <f>'Ingest Template'!V123</f>
        <v/>
      </c>
      <c r="AF123" s="25"/>
      <c r="AG123" s="25" t="str">
        <f t="array" ref="AG123">IF('Ingest Template'!A123="Standard",(CONCATENATE(IF(ISBLANK('Ingest Template'!O123),"", 'Ingest Template'!O123&amp;"|DAR"),CHAR(10), IF(ISBLANK('Ingest Template'!P123),"", 'Ingest Template'!P123&amp;"|DAR"),CHAR(10), IF(ISBLANK('Ingest Template'!Q123),"", 'Ingest Template'!Q123&amp;"|DAR"))),(CONCATENATE(IF(ISBLANK('Ingest Template'!O123),"", 'Ingest Template'!O123&amp;"|Operations - Core Title"),CHAR(10), IF(ISBLANK('Ingest Template'!P123),"", 'Ingest Template'!P123&amp;"|Operations - Core Title"),CHAR(10), IF(ISBLANK('Ingest Template'!Q123),"", 'Ingest Template'!Q123&amp;"|Operations - Core Title"))))</f>
        <v>#|Operations - Core Title
#videoGame|Operations - Core Title
</v>
      </c>
      <c r="AH123" s="25"/>
      <c r="AI123" s="25"/>
      <c r="AJ123" s="50" t="str">
        <f>if('Ingest Template'!A123="Standard",'Ingest Template'!R123&amp; "|DAR|DAR|2021-01-01",'Ingest Template'!R123&amp; "|Operations - Core Title|Operations - Core Title")</f>
        <v>#N/A</v>
      </c>
      <c r="AK123" s="25"/>
      <c r="AL123" s="25" t="str">
        <f>if('Ingest Template'!A123="Standard",'Ingest Template'!S123&amp; "|2021-01-01",'Ingest Template'!S123)</f>
        <v>#N/A</v>
      </c>
      <c r="AM123" s="25"/>
    </row>
    <row r="124">
      <c r="A124" s="25"/>
      <c r="B124" s="25" t="str">
        <f>'Ingest Template'!C124&amp;IF('Ingest Template'!A124 = "Standard", " - DAR","")</f>
        <v/>
      </c>
      <c r="C124" s="34" t="s">
        <v>92</v>
      </c>
      <c r="D124" s="34" t="str">
        <f>CONCATENATE('Ingest Template'!E124&amp;Char(10)&amp;'Ingest Template'!G124&amp;Char(10)&amp;'Ingest Template'!H124&amp;Char(10)&amp;'Ingest Template'!I124&amp;Char(10)&amp;'Ingest Template'!J124&amp;Char(10)&amp;'Ingest Template'!K124&amp;Char(10)&amp;'Ingest Template'!L124)</f>
        <v>
</v>
      </c>
      <c r="E124" s="25" t="str">
        <f>('Ingest Template'!M124)</f>
        <v/>
      </c>
      <c r="F124" s="40" t="str">
        <f t="array" ref="F124">INDEX(DropDown!$J$2:$J$63,MATCH(1,COUNTIF(E124,DropDown!$I$2:$I$63),0))</f>
        <v>#N/A</v>
      </c>
      <c r="G124" s="25"/>
      <c r="H124" s="25"/>
      <c r="I124" s="25"/>
      <c r="J124" s="25" t="str">
        <f>'Ingest Template'!B124</f>
        <v/>
      </c>
      <c r="K124" s="25" t="str">
        <f>IF('Ingest Template'!A124="Standard",'Ingest Template'!N124,"Competitive View")</f>
        <v>Competitive View</v>
      </c>
      <c r="L124" s="41" t="s">
        <v>145</v>
      </c>
      <c r="M124" s="25" t="str">
        <f>'Ingest Template'!D124</f>
        <v/>
      </c>
      <c r="N124" s="25"/>
      <c r="O124" s="25"/>
      <c r="P124" s="25"/>
      <c r="Q124" s="25"/>
      <c r="R124" s="25" t="str">
        <f>CONCATENATE('Ingest Template'!F124)</f>
        <v/>
      </c>
      <c r="S124" s="43" t="s">
        <v>160</v>
      </c>
      <c r="T124" s="25" t="str">
        <f>'Ingest Template'!W124</f>
        <v/>
      </c>
      <c r="U124" s="25"/>
      <c r="V124" s="25" t="str">
        <f>LOWER(SUBSTITUTE(SUBSTITUTE(SUBSTITUTE(SUBSTITUTE(SUBSTITUTE('Ingest Template'!Y124,"https:",""),"www.",""),"/",""),"?hl=en",""),"instagram.com",""))</f>
        <v/>
      </c>
      <c r="W124" s="34" t="str">
        <f>(IFERROR(vlookup('Ingest Template'!F124,DropDown!D:E,2,false)&amp;'Ingest Template'!C124,""))</f>
        <v/>
      </c>
      <c r="X124" s="25" t="str">
        <f>'Ingest Template'!AA124</f>
        <v/>
      </c>
      <c r="Y124" s="25"/>
      <c r="Z124" s="25"/>
      <c r="AA124" s="25"/>
      <c r="AB124" s="25" t="str">
        <f>'Ingest Template'!T124</f>
        <v/>
      </c>
      <c r="AC124" s="25"/>
      <c r="AD124" s="25" t="str">
        <f>'Ingest Template'!U124</f>
        <v/>
      </c>
      <c r="AE124" s="25" t="str">
        <f>'Ingest Template'!V124</f>
        <v/>
      </c>
      <c r="AF124" s="25"/>
      <c r="AG124" s="25" t="str">
        <f t="array" ref="AG124">IF('Ingest Template'!A124="Standard",(CONCATENATE(IF(ISBLANK('Ingest Template'!O124),"", 'Ingest Template'!O124&amp;"|DAR"),CHAR(10), IF(ISBLANK('Ingest Template'!P124),"", 'Ingest Template'!P124&amp;"|DAR"),CHAR(10), IF(ISBLANK('Ingest Template'!Q124),"", 'Ingest Template'!Q124&amp;"|DAR"))),(CONCATENATE(IF(ISBLANK('Ingest Template'!O124),"", 'Ingest Template'!O124&amp;"|Operations - Core Title"),CHAR(10), IF(ISBLANK('Ingest Template'!P124),"", 'Ingest Template'!P124&amp;"|Operations - Core Title"),CHAR(10), IF(ISBLANK('Ingest Template'!Q124),"", 'Ingest Template'!Q124&amp;"|Operations - Core Title"))))</f>
        <v>#|Operations - Core Title
#videoGame|Operations - Core Title
</v>
      </c>
      <c r="AH124" s="25"/>
      <c r="AI124" s="25"/>
      <c r="AJ124" s="50" t="str">
        <f>if('Ingest Template'!A124="Standard",'Ingest Template'!R124&amp; "|DAR|DAR|2021-01-01",'Ingest Template'!R124&amp; "|Operations - Core Title|Operations - Core Title")</f>
        <v>#N/A</v>
      </c>
      <c r="AK124" s="25"/>
      <c r="AL124" s="25" t="str">
        <f>if('Ingest Template'!A124="Standard",'Ingest Template'!S124&amp; "|2021-01-01",'Ingest Template'!S124)</f>
        <v>#N/A</v>
      </c>
      <c r="AM124" s="25"/>
    </row>
    <row r="125">
      <c r="A125" s="25"/>
      <c r="B125" s="25" t="str">
        <f>'Ingest Template'!C125&amp;IF('Ingest Template'!A125 = "Standard", " - DAR","")</f>
        <v/>
      </c>
      <c r="C125" s="34" t="s">
        <v>92</v>
      </c>
      <c r="D125" s="34" t="str">
        <f>CONCATENATE('Ingest Template'!E125&amp;Char(10)&amp;'Ingest Template'!G125&amp;Char(10)&amp;'Ingest Template'!H125&amp;Char(10)&amp;'Ingest Template'!I125&amp;Char(10)&amp;'Ingest Template'!J125&amp;Char(10)&amp;'Ingest Template'!K125&amp;Char(10)&amp;'Ingest Template'!L125)</f>
        <v>
</v>
      </c>
      <c r="E125" s="25" t="str">
        <f>('Ingest Template'!M125)</f>
        <v/>
      </c>
      <c r="F125" s="40" t="str">
        <f t="array" ref="F125">INDEX(DropDown!$J$2:$J$63,MATCH(1,COUNTIF(E125,DropDown!$I$2:$I$63),0))</f>
        <v>#N/A</v>
      </c>
      <c r="G125" s="25"/>
      <c r="H125" s="25"/>
      <c r="I125" s="25"/>
      <c r="J125" s="25" t="str">
        <f>'Ingest Template'!B125</f>
        <v/>
      </c>
      <c r="K125" s="25" t="str">
        <f>IF('Ingest Template'!A125="Standard",'Ingest Template'!N125,"Competitive View")</f>
        <v>Competitive View</v>
      </c>
      <c r="L125" s="41" t="s">
        <v>145</v>
      </c>
      <c r="M125" s="25" t="str">
        <f>'Ingest Template'!D125</f>
        <v/>
      </c>
      <c r="N125" s="25"/>
      <c r="O125" s="25"/>
      <c r="P125" s="25"/>
      <c r="Q125" s="25"/>
      <c r="R125" s="25" t="str">
        <f>CONCATENATE('Ingest Template'!F125)</f>
        <v/>
      </c>
      <c r="S125" s="43" t="s">
        <v>160</v>
      </c>
      <c r="T125" s="25" t="str">
        <f>'Ingest Template'!W125</f>
        <v/>
      </c>
      <c r="U125" s="25"/>
      <c r="V125" s="25" t="str">
        <f>LOWER(SUBSTITUTE(SUBSTITUTE(SUBSTITUTE(SUBSTITUTE(SUBSTITUTE('Ingest Template'!Y125,"https:",""),"www.",""),"/",""),"?hl=en",""),"instagram.com",""))</f>
        <v/>
      </c>
      <c r="W125" s="34" t="str">
        <f>(IFERROR(vlookup('Ingest Template'!F125,DropDown!D:E,2,false)&amp;'Ingest Template'!C125,""))</f>
        <v/>
      </c>
      <c r="X125" s="25" t="str">
        <f>'Ingest Template'!AA125</f>
        <v/>
      </c>
      <c r="Y125" s="25"/>
      <c r="Z125" s="25"/>
      <c r="AA125" s="25"/>
      <c r="AB125" s="25" t="str">
        <f>'Ingest Template'!T125</f>
        <v/>
      </c>
      <c r="AC125" s="25"/>
      <c r="AD125" s="25" t="str">
        <f>'Ingest Template'!U125</f>
        <v/>
      </c>
      <c r="AE125" s="25" t="str">
        <f>'Ingest Template'!V125</f>
        <v/>
      </c>
      <c r="AF125" s="25"/>
      <c r="AG125" s="25" t="str">
        <f t="array" ref="AG125">IF('Ingest Template'!A125="Standard",(CONCATENATE(IF(ISBLANK('Ingest Template'!O125),"", 'Ingest Template'!O125&amp;"|DAR"),CHAR(10), IF(ISBLANK('Ingest Template'!P125),"", 'Ingest Template'!P125&amp;"|DAR"),CHAR(10), IF(ISBLANK('Ingest Template'!Q125),"", 'Ingest Template'!Q125&amp;"|DAR"))),(CONCATENATE(IF(ISBLANK('Ingest Template'!O125),"", 'Ingest Template'!O125&amp;"|Operations - Core Title"),CHAR(10), IF(ISBLANK('Ingest Template'!P125),"", 'Ingest Template'!P125&amp;"|Operations - Core Title"),CHAR(10), IF(ISBLANK('Ingest Template'!Q125),"", 'Ingest Template'!Q125&amp;"|Operations - Core Title"))))</f>
        <v>#|Operations - Core Title
#videoGame|Operations - Core Title
</v>
      </c>
      <c r="AH125" s="25"/>
      <c r="AI125" s="25"/>
      <c r="AJ125" s="50" t="str">
        <f>if('Ingest Template'!A125="Standard",'Ingest Template'!R125&amp; "|DAR|DAR|2021-01-01",'Ingest Template'!R125&amp; "|Operations - Core Title|Operations - Core Title")</f>
        <v>#N/A</v>
      </c>
      <c r="AK125" s="25"/>
      <c r="AL125" s="25" t="str">
        <f>if('Ingest Template'!A125="Standard",'Ingest Template'!S125&amp; "|2021-01-01",'Ingest Template'!S125)</f>
        <v>#N/A</v>
      </c>
      <c r="AM125" s="25"/>
    </row>
    <row r="126">
      <c r="A126" s="25"/>
      <c r="B126" s="25" t="str">
        <f>'Ingest Template'!C125&amp;IF('Ingest Template'!A125 = "Standard", " - DAR","")</f>
        <v/>
      </c>
      <c r="C126" s="34" t="s">
        <v>92</v>
      </c>
      <c r="D126" s="34" t="str">
        <f>CONCATENATE('Ingest Template'!E126&amp;Char(10)&amp;'Ingest Template'!G126&amp;Char(10)&amp;'Ingest Template'!H126&amp;Char(10)&amp;'Ingest Template'!I126&amp;Char(10)&amp;'Ingest Template'!J126&amp;Char(10)&amp;'Ingest Template'!K126&amp;Char(10)&amp;'Ingest Template'!L126)</f>
        <v>
</v>
      </c>
      <c r="E126" s="25" t="str">
        <f>('Ingest Template'!M126)</f>
        <v/>
      </c>
      <c r="F126" s="40" t="str">
        <f t="array" ref="F126">INDEX(DropDown!$J$2:$J$63,MATCH(1,COUNTIF(E126,DropDown!$I$2:$I$63),0))</f>
        <v>#N/A</v>
      </c>
      <c r="G126" s="25"/>
      <c r="H126" s="25"/>
      <c r="I126" s="25"/>
      <c r="J126" s="25" t="str">
        <f>'Ingest Template'!B126</f>
        <v/>
      </c>
      <c r="K126" s="25" t="str">
        <f>IF('Ingest Template'!A125="Standard",'Ingest Template'!N125,"Competitive View")</f>
        <v>Competitive View</v>
      </c>
      <c r="L126" s="41" t="s">
        <v>145</v>
      </c>
      <c r="M126" s="25" t="str">
        <f>'Ingest Template'!D125</f>
        <v/>
      </c>
      <c r="N126" s="25"/>
      <c r="O126" s="25"/>
      <c r="P126" s="25"/>
      <c r="Q126" s="25"/>
      <c r="R126" s="25" t="str">
        <f>CONCATENATE('Ingest Template'!F125)</f>
        <v/>
      </c>
      <c r="S126" s="43" t="s">
        <v>160</v>
      </c>
      <c r="T126" s="25" t="str">
        <f>'Ingest Template'!W125</f>
        <v/>
      </c>
      <c r="U126" s="25"/>
      <c r="V126" s="25" t="str">
        <f>LOWER(SUBSTITUTE(SUBSTITUTE(SUBSTITUTE(SUBSTITUTE(SUBSTITUTE('Ingest Template'!Y125,"https:",""),"www.",""),"/",""),"?hl=en",""),"instagram.com",""))</f>
        <v/>
      </c>
      <c r="W126" s="34" t="str">
        <f>(IFERROR(vlookup('Ingest Template'!F126,DropDown!D:E,2,false)&amp;'Ingest Template'!C126,""))</f>
        <v/>
      </c>
      <c r="X126" s="25" t="str">
        <f>'Ingest Template'!AA125</f>
        <v/>
      </c>
      <c r="Y126" s="25"/>
      <c r="Z126" s="25"/>
      <c r="AA126" s="25"/>
      <c r="AB126" s="25" t="str">
        <f>'Ingest Template'!T125</f>
        <v/>
      </c>
      <c r="AC126" s="25"/>
      <c r="AD126" s="25" t="str">
        <f>'Ingest Template'!U125</f>
        <v/>
      </c>
      <c r="AE126" s="25" t="str">
        <f>'Ingest Template'!V125</f>
        <v/>
      </c>
      <c r="AF126" s="25"/>
      <c r="AG126" s="25" t="str">
        <f t="array" ref="AG126">IF('Ingest Template'!A125="Standard",(CONCATENATE(IF(ISBLANK('Ingest Template'!O125),"", 'Ingest Template'!O125&amp;"|DAR"),CHAR(10), IF(ISBLANK('Ingest Template'!P125),"", 'Ingest Template'!P125&amp;"|DAR"),CHAR(10), IF(ISBLANK('Ingest Template'!Q125),"", 'Ingest Template'!Q125&amp;"|DAR"))),(CONCATENATE(IF(ISBLANK('Ingest Template'!O125),"", 'Ingest Template'!O125&amp;"|Operations - Core Title"),CHAR(10), IF(ISBLANK('Ingest Template'!P125),"", 'Ingest Template'!P125&amp;"|Operations - Core Title"),CHAR(10), IF(ISBLANK('Ingest Template'!Q125),"", 'Ingest Template'!Q125&amp;"|Operations - Core Title"))))</f>
        <v>#|Operations - Core Title
#videoGame|Operations - Core Title
</v>
      </c>
      <c r="AH126" s="25"/>
      <c r="AI126" s="25"/>
      <c r="AJ126" s="50" t="str">
        <f>if('Ingest Template'!A125="Standard",'Ingest Template'!R125&amp; "|DAR|DAR|2021-01-01",'Ingest Template'!R125&amp; "|Operations - Core Title|Operations - Core Title")</f>
        <v>#N/A</v>
      </c>
      <c r="AK126" s="25"/>
      <c r="AL126" s="25" t="str">
        <f>if('Ingest Template'!A125="Standard",'Ingest Template'!S125&amp; "|2021-01-01",'Ingest Template'!S125)</f>
        <v>#N/A</v>
      </c>
      <c r="AM126" s="25"/>
    </row>
    <row r="127">
      <c r="A127" s="25"/>
      <c r="B127" s="25" t="str">
        <f>'Ingest Template'!C126&amp;IF('Ingest Template'!A126 = "Standard", " - DAR","")</f>
        <v/>
      </c>
      <c r="C127" s="34" t="s">
        <v>92</v>
      </c>
      <c r="D127" s="34" t="str">
        <f>CONCATENATE('Ingest Template'!E127&amp;Char(10)&amp;'Ingest Template'!G127&amp;Char(10)&amp;'Ingest Template'!H127&amp;Char(10)&amp;'Ingest Template'!I127&amp;Char(10)&amp;'Ingest Template'!J127&amp;Char(10)&amp;'Ingest Template'!K127&amp;Char(10)&amp;'Ingest Template'!L127)</f>
        <v>
</v>
      </c>
      <c r="E127" s="25" t="str">
        <f>('Ingest Template'!M127)</f>
        <v/>
      </c>
      <c r="F127" s="40" t="str">
        <f t="array" ref="F127">INDEX(DropDown!$J$2:$J$63,MATCH(1,COUNTIF(E127,DropDown!$I$2:$I$63),0))</f>
        <v>#N/A</v>
      </c>
      <c r="G127" s="25"/>
      <c r="H127" s="25"/>
      <c r="I127" s="25"/>
      <c r="J127" s="25" t="str">
        <f>'Ingest Template'!B127</f>
        <v/>
      </c>
      <c r="K127" s="25" t="str">
        <f>IF('Ingest Template'!A126="Standard",'Ingest Template'!N126,"Competitive View")</f>
        <v>Competitive View</v>
      </c>
      <c r="L127" s="41" t="s">
        <v>145</v>
      </c>
      <c r="M127" s="25" t="str">
        <f>'Ingest Template'!D126</f>
        <v/>
      </c>
      <c r="N127" s="25"/>
      <c r="O127" s="25"/>
      <c r="P127" s="25"/>
      <c r="Q127" s="25"/>
      <c r="R127" s="25" t="str">
        <f>CONCATENATE('Ingest Template'!F126)</f>
        <v/>
      </c>
      <c r="S127" s="43" t="s">
        <v>160</v>
      </c>
      <c r="T127" s="25" t="str">
        <f>'Ingest Template'!W126</f>
        <v/>
      </c>
      <c r="U127" s="25"/>
      <c r="V127" s="25" t="str">
        <f>LOWER(SUBSTITUTE(SUBSTITUTE(SUBSTITUTE(SUBSTITUTE(SUBSTITUTE('Ingest Template'!Y126,"https:",""),"www.",""),"/",""),"?hl=en",""),"instagram.com",""))</f>
        <v/>
      </c>
      <c r="W127" s="34" t="str">
        <f>(IFERROR(vlookup('Ingest Template'!F127,DropDown!D:E,2,false)&amp;'Ingest Template'!C127,""))</f>
        <v/>
      </c>
      <c r="X127" s="25" t="str">
        <f>'Ingest Template'!AA126</f>
        <v/>
      </c>
      <c r="Y127" s="25"/>
      <c r="Z127" s="25"/>
      <c r="AA127" s="25"/>
      <c r="AB127" s="25" t="str">
        <f>'Ingest Template'!T126</f>
        <v/>
      </c>
      <c r="AC127" s="25"/>
      <c r="AD127" s="25" t="str">
        <f>'Ingest Template'!U126</f>
        <v/>
      </c>
      <c r="AE127" s="25" t="str">
        <f>'Ingest Template'!V126</f>
        <v/>
      </c>
      <c r="AF127" s="25"/>
      <c r="AG127" s="25" t="str">
        <f t="array" ref="AG127">IF('Ingest Template'!A126="Standard",(CONCATENATE(IF(ISBLANK('Ingest Template'!O126),"", 'Ingest Template'!O126&amp;"|DAR"),CHAR(10), IF(ISBLANK('Ingest Template'!P126),"", 'Ingest Template'!P126&amp;"|DAR"),CHAR(10), IF(ISBLANK('Ingest Template'!Q126),"", 'Ingest Template'!Q126&amp;"|DAR"))),(CONCATENATE(IF(ISBLANK('Ingest Template'!O126),"", 'Ingest Template'!O126&amp;"|Operations - Core Title"),CHAR(10), IF(ISBLANK('Ingest Template'!P126),"", 'Ingest Template'!P126&amp;"|Operations - Core Title"),CHAR(10), IF(ISBLANK('Ingest Template'!Q126),"", 'Ingest Template'!Q126&amp;"|Operations - Core Title"))))</f>
        <v>#|Operations - Core Title
#videoGame|Operations - Core Title
</v>
      </c>
      <c r="AH127" s="25"/>
      <c r="AI127" s="25"/>
      <c r="AJ127" s="50" t="str">
        <f>if('Ingest Template'!A126="Standard",'Ingest Template'!R126&amp; "|DAR|DAR|2021-01-01",'Ingest Template'!R126&amp; "|Operations - Core Title|Operations - Core Title")</f>
        <v>#N/A</v>
      </c>
      <c r="AK127" s="25"/>
      <c r="AL127" s="25" t="str">
        <f>if('Ingest Template'!A126="Standard",'Ingest Template'!S126&amp; "|2021-01-01",'Ingest Template'!S126)</f>
        <v>#N/A</v>
      </c>
      <c r="AM127" s="25"/>
    </row>
    <row r="128">
      <c r="A128" s="25"/>
      <c r="B128" s="25" t="str">
        <f>'Ingest Template'!C127&amp;IF('Ingest Template'!A127 = "Standard", " - DAR","")</f>
        <v/>
      </c>
      <c r="C128" s="34" t="s">
        <v>92</v>
      </c>
      <c r="D128" s="34" t="str">
        <f>CONCATENATE('Ingest Template'!E128&amp;Char(10)&amp;'Ingest Template'!G128&amp;Char(10)&amp;'Ingest Template'!H128&amp;Char(10)&amp;'Ingest Template'!I128&amp;Char(10)&amp;'Ingest Template'!J128&amp;Char(10)&amp;'Ingest Template'!K128&amp;Char(10)&amp;'Ingest Template'!L128)</f>
        <v>
</v>
      </c>
      <c r="E128" s="25" t="str">
        <f>('Ingest Template'!M128)</f>
        <v/>
      </c>
      <c r="F128" s="40" t="str">
        <f t="array" ref="F128">INDEX(DropDown!$J$2:$J$63,MATCH(1,COUNTIF(E128,DropDown!$I$2:$I$63),0))</f>
        <v>#N/A</v>
      </c>
      <c r="G128" s="25"/>
      <c r="H128" s="25"/>
      <c r="I128" s="25"/>
      <c r="J128" s="25" t="str">
        <f>'Ingest Template'!B128</f>
        <v/>
      </c>
      <c r="K128" s="25" t="str">
        <f>IF('Ingest Template'!A127="Standard",'Ingest Template'!N127,"Competitive View")</f>
        <v>Competitive View</v>
      </c>
      <c r="L128" s="41" t="s">
        <v>145</v>
      </c>
      <c r="M128" s="25" t="str">
        <f>'Ingest Template'!D127</f>
        <v/>
      </c>
      <c r="N128" s="25"/>
      <c r="O128" s="25"/>
      <c r="P128" s="25"/>
      <c r="Q128" s="25"/>
      <c r="R128" s="25" t="str">
        <f>CONCATENATE('Ingest Template'!F127)</f>
        <v/>
      </c>
      <c r="S128" s="43" t="s">
        <v>160</v>
      </c>
      <c r="T128" s="25" t="str">
        <f>'Ingest Template'!W127</f>
        <v/>
      </c>
      <c r="U128" s="25"/>
      <c r="V128" s="25" t="str">
        <f>LOWER(SUBSTITUTE(SUBSTITUTE(SUBSTITUTE(SUBSTITUTE(SUBSTITUTE('Ingest Template'!Y127,"https:",""),"www.",""),"/",""),"?hl=en",""),"instagram.com",""))</f>
        <v/>
      </c>
      <c r="W128" s="34" t="str">
        <f>(IFERROR(vlookup('Ingest Template'!F128,DropDown!D:E,2,false)&amp;'Ingest Template'!C128,""))</f>
        <v/>
      </c>
      <c r="X128" s="25" t="str">
        <f>'Ingest Template'!AA127</f>
        <v/>
      </c>
      <c r="Y128" s="25"/>
      <c r="Z128" s="25"/>
      <c r="AA128" s="25"/>
      <c r="AB128" s="25" t="str">
        <f>'Ingest Template'!T127</f>
        <v/>
      </c>
      <c r="AC128" s="25"/>
      <c r="AD128" s="25" t="str">
        <f>'Ingest Template'!U127</f>
        <v/>
      </c>
      <c r="AE128" s="25" t="str">
        <f>'Ingest Template'!V127</f>
        <v/>
      </c>
      <c r="AF128" s="25"/>
      <c r="AG128" s="25" t="str">
        <f t="array" ref="AG128">IF('Ingest Template'!A127="Standard",(CONCATENATE(IF(ISBLANK('Ingest Template'!O127),"", 'Ingest Template'!O127&amp;"|DAR"),CHAR(10), IF(ISBLANK('Ingest Template'!P127),"", 'Ingest Template'!P127&amp;"|DAR"),CHAR(10), IF(ISBLANK('Ingest Template'!Q127),"", 'Ingest Template'!Q127&amp;"|DAR"))),(CONCATENATE(IF(ISBLANK('Ingest Template'!O127),"", 'Ingest Template'!O127&amp;"|Operations - Core Title"),CHAR(10), IF(ISBLANK('Ingest Template'!P127),"", 'Ingest Template'!P127&amp;"|Operations - Core Title"),CHAR(10), IF(ISBLANK('Ingest Template'!Q127),"", 'Ingest Template'!Q127&amp;"|Operations - Core Title"))))</f>
        <v>#|Operations - Core Title
#videoGame|Operations - Core Title
</v>
      </c>
      <c r="AH128" s="25"/>
      <c r="AI128" s="25"/>
      <c r="AJ128" s="50" t="str">
        <f>if('Ingest Template'!A127="Standard",'Ingest Template'!R127&amp; "|DAR|DAR|2021-01-01",'Ingest Template'!R127&amp; "|Operations - Core Title|Operations - Core Title")</f>
        <v>#N/A</v>
      </c>
      <c r="AK128" s="25"/>
      <c r="AL128" s="25" t="str">
        <f>if('Ingest Template'!A127="Standard",'Ingest Template'!S127&amp; "|2021-01-01",'Ingest Template'!S127)</f>
        <v>#N/A</v>
      </c>
      <c r="AM128" s="25"/>
    </row>
    <row r="129">
      <c r="A129" s="25"/>
      <c r="B129" s="25" t="str">
        <f>'Ingest Template'!C128&amp;IF('Ingest Template'!A128 = "Standard", " - DAR","")</f>
        <v/>
      </c>
      <c r="C129" s="34" t="s">
        <v>92</v>
      </c>
      <c r="D129" s="34" t="str">
        <f>CONCATENATE('Ingest Template'!E129&amp;Char(10)&amp;'Ingest Template'!G129&amp;Char(10)&amp;'Ingest Template'!H129&amp;Char(10)&amp;'Ingest Template'!I129&amp;Char(10)&amp;'Ingest Template'!J129&amp;Char(10)&amp;'Ingest Template'!K129&amp;Char(10)&amp;'Ingest Template'!L129)</f>
        <v>
</v>
      </c>
      <c r="E129" s="25" t="str">
        <f>('Ingest Template'!M129)</f>
        <v/>
      </c>
      <c r="F129" s="40" t="str">
        <f t="array" ref="F129">INDEX(DropDown!$J$2:$J$63,MATCH(1,COUNTIF(E129,DropDown!$I$2:$I$63),0))</f>
        <v>#N/A</v>
      </c>
      <c r="G129" s="25"/>
      <c r="H129" s="25"/>
      <c r="I129" s="25"/>
      <c r="J129" s="25" t="str">
        <f>'Ingest Template'!B129</f>
        <v/>
      </c>
      <c r="K129" s="25" t="str">
        <f>IF('Ingest Template'!A128="Standard",'Ingest Template'!N128,"Competitive View")</f>
        <v>Competitive View</v>
      </c>
      <c r="L129" s="41" t="s">
        <v>145</v>
      </c>
      <c r="M129" s="25" t="str">
        <f>'Ingest Template'!D128</f>
        <v/>
      </c>
      <c r="N129" s="25"/>
      <c r="O129" s="25"/>
      <c r="P129" s="25"/>
      <c r="Q129" s="25"/>
      <c r="R129" s="25" t="str">
        <f>CONCATENATE('Ingest Template'!F128)</f>
        <v/>
      </c>
      <c r="S129" s="43" t="s">
        <v>160</v>
      </c>
      <c r="T129" s="25" t="str">
        <f>'Ingest Template'!W128</f>
        <v/>
      </c>
      <c r="U129" s="25"/>
      <c r="V129" s="25" t="str">
        <f>LOWER(SUBSTITUTE(SUBSTITUTE(SUBSTITUTE(SUBSTITUTE(SUBSTITUTE('Ingest Template'!Y128,"https:",""),"www.",""),"/",""),"?hl=en",""),"instagram.com",""))</f>
        <v/>
      </c>
      <c r="W129" s="34" t="str">
        <f>(IFERROR(vlookup('Ingest Template'!F129,DropDown!D:E,2,false)&amp;'Ingest Template'!C129,""))</f>
        <v/>
      </c>
      <c r="X129" s="25" t="str">
        <f>'Ingest Template'!AA128</f>
        <v/>
      </c>
      <c r="Y129" s="25"/>
      <c r="Z129" s="25"/>
      <c r="AA129" s="25"/>
      <c r="AB129" s="25" t="str">
        <f>'Ingest Template'!T128</f>
        <v/>
      </c>
      <c r="AC129" s="25"/>
      <c r="AD129" s="25" t="str">
        <f>'Ingest Template'!U128</f>
        <v/>
      </c>
      <c r="AE129" s="25" t="str">
        <f>'Ingest Template'!V128</f>
        <v/>
      </c>
      <c r="AF129" s="25"/>
      <c r="AG129" s="25" t="str">
        <f t="array" ref="AG129">IF('Ingest Template'!A128="Standard",(CONCATENATE(IF(ISBLANK('Ingest Template'!O128),"", 'Ingest Template'!O128&amp;"|DAR"),CHAR(10), IF(ISBLANK('Ingest Template'!P128),"", 'Ingest Template'!P128&amp;"|DAR"),CHAR(10), IF(ISBLANK('Ingest Template'!Q128),"", 'Ingest Template'!Q128&amp;"|DAR"))),(CONCATENATE(IF(ISBLANK('Ingest Template'!O128),"", 'Ingest Template'!O128&amp;"|Operations - Core Title"),CHAR(10), IF(ISBLANK('Ingest Template'!P128),"", 'Ingest Template'!P128&amp;"|Operations - Core Title"),CHAR(10), IF(ISBLANK('Ingest Template'!Q128),"", 'Ingest Template'!Q128&amp;"|Operations - Core Title"))))</f>
        <v>#|Operations - Core Title
#videoGame|Operations - Core Title
</v>
      </c>
      <c r="AH129" s="25"/>
      <c r="AI129" s="25"/>
      <c r="AJ129" s="50" t="str">
        <f>if('Ingest Template'!A128="Standard",'Ingest Template'!R128&amp; "|DAR|DAR|2021-01-01",'Ingest Template'!R128&amp; "|Operations - Core Title|Operations - Core Title")</f>
        <v>#N/A</v>
      </c>
      <c r="AK129" s="25"/>
      <c r="AL129" s="25" t="str">
        <f>if('Ingest Template'!A128="Standard",'Ingest Template'!S128&amp; "|2021-01-01",'Ingest Template'!S128)</f>
        <v>#N/A</v>
      </c>
      <c r="AM129" s="25"/>
    </row>
    <row r="130">
      <c r="A130" s="25"/>
      <c r="B130" s="25" t="str">
        <f>'Ingest Template'!C129&amp;IF('Ingest Template'!A129 = "Standard", " - DAR","")</f>
        <v/>
      </c>
      <c r="C130" s="34" t="s">
        <v>92</v>
      </c>
      <c r="D130" s="34" t="str">
        <f>CONCATENATE('Ingest Template'!E130&amp;Char(10)&amp;'Ingest Template'!G130&amp;Char(10)&amp;'Ingest Template'!H130&amp;Char(10)&amp;'Ingest Template'!I130&amp;Char(10)&amp;'Ingest Template'!J130&amp;Char(10)&amp;'Ingest Template'!K130&amp;Char(10)&amp;'Ingest Template'!L130)</f>
        <v>
</v>
      </c>
      <c r="E130" s="25" t="str">
        <f>('Ingest Template'!M130)</f>
        <v/>
      </c>
      <c r="F130" s="40" t="str">
        <f t="array" ref="F130">INDEX(DropDown!$J$2:$J$63,MATCH(1,COUNTIF(E130,DropDown!$I$2:$I$63),0))</f>
        <v>#N/A</v>
      </c>
      <c r="G130" s="25"/>
      <c r="H130" s="25"/>
      <c r="I130" s="25"/>
      <c r="J130" s="25" t="str">
        <f>'Ingest Template'!B130</f>
        <v/>
      </c>
      <c r="K130" s="25" t="str">
        <f>IF('Ingest Template'!A129="Standard",'Ingest Template'!N129,"Competitive View")</f>
        <v>Competitive View</v>
      </c>
      <c r="L130" s="41" t="s">
        <v>145</v>
      </c>
      <c r="M130" s="25" t="str">
        <f>'Ingest Template'!D129</f>
        <v/>
      </c>
      <c r="N130" s="25"/>
      <c r="O130" s="25"/>
      <c r="P130" s="25"/>
      <c r="Q130" s="25"/>
      <c r="R130" s="25" t="str">
        <f>CONCATENATE('Ingest Template'!F129)</f>
        <v/>
      </c>
      <c r="S130" s="43" t="s">
        <v>160</v>
      </c>
      <c r="T130" s="25" t="str">
        <f>'Ingest Template'!W129</f>
        <v/>
      </c>
      <c r="U130" s="25"/>
      <c r="V130" s="25" t="str">
        <f>LOWER(SUBSTITUTE(SUBSTITUTE(SUBSTITUTE(SUBSTITUTE(SUBSTITUTE('Ingest Template'!Y129,"https:",""),"www.",""),"/",""),"?hl=en",""),"instagram.com",""))</f>
        <v/>
      </c>
      <c r="W130" s="34" t="str">
        <f>(IFERROR(vlookup('Ingest Template'!F130,DropDown!D:E,2,false)&amp;'Ingest Template'!C130,""))</f>
        <v/>
      </c>
      <c r="X130" s="25" t="str">
        <f>'Ingest Template'!AA129</f>
        <v/>
      </c>
      <c r="Y130" s="25"/>
      <c r="Z130" s="25"/>
      <c r="AA130" s="25"/>
      <c r="AB130" s="25" t="str">
        <f>'Ingest Template'!T129</f>
        <v/>
      </c>
      <c r="AC130" s="25"/>
      <c r="AD130" s="25" t="str">
        <f>'Ingest Template'!U129</f>
        <v/>
      </c>
      <c r="AE130" s="25" t="str">
        <f>'Ingest Template'!V129</f>
        <v/>
      </c>
      <c r="AF130" s="25"/>
      <c r="AG130" s="25" t="str">
        <f t="array" ref="AG130">IF('Ingest Template'!A129="Standard",(CONCATENATE(IF(ISBLANK('Ingest Template'!O129),"", 'Ingest Template'!O129&amp;"|DAR"),CHAR(10), IF(ISBLANK('Ingest Template'!P129),"", 'Ingest Template'!P129&amp;"|DAR"),CHAR(10), IF(ISBLANK('Ingest Template'!Q129),"", 'Ingest Template'!Q129&amp;"|DAR"))),(CONCATENATE(IF(ISBLANK('Ingest Template'!O129),"", 'Ingest Template'!O129&amp;"|Operations - Core Title"),CHAR(10), IF(ISBLANK('Ingest Template'!P129),"", 'Ingest Template'!P129&amp;"|Operations - Core Title"),CHAR(10), IF(ISBLANK('Ingest Template'!Q129),"", 'Ingest Template'!Q129&amp;"|Operations - Core Title"))))</f>
        <v>#|Operations - Core Title
#videoGame|Operations - Core Title
</v>
      </c>
      <c r="AH130" s="25"/>
      <c r="AI130" s="25"/>
      <c r="AJ130" s="50" t="str">
        <f>if('Ingest Template'!A129="Standard",'Ingest Template'!R129&amp; "|DAR|DAR|2021-01-01",'Ingest Template'!R129&amp; "|Operations - Core Title|Operations - Core Title")</f>
        <v>#N/A</v>
      </c>
      <c r="AK130" s="25"/>
      <c r="AL130" s="25" t="str">
        <f>if('Ingest Template'!A129="Standard",'Ingest Template'!S129&amp; "|2021-01-01",'Ingest Template'!S129)</f>
        <v>#N/A</v>
      </c>
      <c r="AM130" s="25"/>
    </row>
    <row r="131">
      <c r="A131" s="25"/>
      <c r="B131" s="25" t="str">
        <f>'Ingest Template'!C130&amp;IF('Ingest Template'!A130 = "Standard", " - DAR","")</f>
        <v/>
      </c>
      <c r="C131" s="34" t="s">
        <v>92</v>
      </c>
      <c r="D131" s="34" t="str">
        <f>CONCATENATE('Ingest Template'!E131&amp;Char(10)&amp;'Ingest Template'!G131&amp;Char(10)&amp;'Ingest Template'!H131&amp;Char(10)&amp;'Ingest Template'!I131&amp;Char(10)&amp;'Ingest Template'!J131&amp;Char(10)&amp;'Ingest Template'!K131&amp;Char(10)&amp;'Ingest Template'!L131)</f>
        <v>
</v>
      </c>
      <c r="E131" s="25" t="str">
        <f>('Ingest Template'!M131)</f>
        <v/>
      </c>
      <c r="F131" s="40" t="str">
        <f t="array" ref="F131">INDEX(DropDown!$J$2:$J$63,MATCH(1,COUNTIF(E131,DropDown!$I$2:$I$63),0))</f>
        <v>#N/A</v>
      </c>
      <c r="G131" s="25"/>
      <c r="H131" s="25"/>
      <c r="I131" s="25"/>
      <c r="J131" s="25" t="str">
        <f>'Ingest Template'!B131</f>
        <v/>
      </c>
      <c r="K131" s="25" t="str">
        <f>IF('Ingest Template'!A130="Standard",'Ingest Template'!N130,"Competitive View")</f>
        <v>Competitive View</v>
      </c>
      <c r="L131" s="41" t="s">
        <v>145</v>
      </c>
      <c r="M131" s="25" t="str">
        <f>'Ingest Template'!D130</f>
        <v/>
      </c>
      <c r="N131" s="25"/>
      <c r="O131" s="25"/>
      <c r="P131" s="25"/>
      <c r="Q131" s="25"/>
      <c r="R131" s="25" t="str">
        <f>CONCATENATE('Ingest Template'!F130)</f>
        <v/>
      </c>
      <c r="S131" s="43" t="s">
        <v>160</v>
      </c>
      <c r="T131" s="25" t="str">
        <f>'Ingest Template'!W130</f>
        <v/>
      </c>
      <c r="U131" s="25"/>
      <c r="V131" s="25" t="str">
        <f>LOWER(SUBSTITUTE(SUBSTITUTE(SUBSTITUTE(SUBSTITUTE(SUBSTITUTE('Ingest Template'!Y130,"https:",""),"www.",""),"/",""),"?hl=en",""),"instagram.com",""))</f>
        <v/>
      </c>
      <c r="W131" s="34" t="str">
        <f>(IFERROR(vlookup('Ingest Template'!F131,DropDown!D:E,2,false)&amp;'Ingest Template'!C131,""))</f>
        <v/>
      </c>
      <c r="X131" s="25" t="str">
        <f>'Ingest Template'!AA130</f>
        <v/>
      </c>
      <c r="Y131" s="25"/>
      <c r="Z131" s="25"/>
      <c r="AA131" s="25"/>
      <c r="AB131" s="25" t="str">
        <f>'Ingest Template'!T130</f>
        <v/>
      </c>
      <c r="AC131" s="25"/>
      <c r="AD131" s="25" t="str">
        <f>'Ingest Template'!U130</f>
        <v/>
      </c>
      <c r="AE131" s="25" t="str">
        <f>'Ingest Template'!V130</f>
        <v/>
      </c>
      <c r="AF131" s="25"/>
      <c r="AG131" s="25" t="str">
        <f t="array" ref="AG131">IF('Ingest Template'!A130="Standard",(CONCATENATE(IF(ISBLANK('Ingest Template'!O130),"", 'Ingest Template'!O130&amp;"|DAR"),CHAR(10), IF(ISBLANK('Ingest Template'!P130),"", 'Ingest Template'!P130&amp;"|DAR"),CHAR(10), IF(ISBLANK('Ingest Template'!Q130),"", 'Ingest Template'!Q130&amp;"|DAR"))),(CONCATENATE(IF(ISBLANK('Ingest Template'!O130),"", 'Ingest Template'!O130&amp;"|Operations - Core Title"),CHAR(10), IF(ISBLANK('Ingest Template'!P130),"", 'Ingest Template'!P130&amp;"|Operations - Core Title"),CHAR(10), IF(ISBLANK('Ingest Template'!Q130),"", 'Ingest Template'!Q130&amp;"|Operations - Core Title"))))</f>
        <v>#|Operations - Core Title
#videoGame|Operations - Core Title
</v>
      </c>
      <c r="AH131" s="25"/>
      <c r="AI131" s="25"/>
      <c r="AJ131" s="50" t="str">
        <f>if('Ingest Template'!A130="Standard",'Ingest Template'!R130&amp; "|DAR|DAR|2021-01-01",'Ingest Template'!R130&amp; "|Operations - Core Title|Operations - Core Title")</f>
        <v>#N/A</v>
      </c>
      <c r="AK131" s="25"/>
      <c r="AL131" s="25" t="str">
        <f>if('Ingest Template'!A130="Standard",'Ingest Template'!S130&amp; "|2021-01-01",'Ingest Template'!S130)</f>
        <v>#N/A</v>
      </c>
      <c r="AM131" s="25"/>
    </row>
    <row r="132">
      <c r="A132" s="25"/>
      <c r="B132" s="25" t="str">
        <f>'Ingest Template'!C131&amp;IF('Ingest Template'!A131 = "Standard", " - DAR","")</f>
        <v/>
      </c>
      <c r="C132" s="34" t="s">
        <v>92</v>
      </c>
      <c r="D132" s="34" t="str">
        <f>CONCATENATE('Ingest Template'!E132&amp;Char(10)&amp;'Ingest Template'!G132&amp;Char(10)&amp;'Ingest Template'!H132&amp;Char(10)&amp;'Ingest Template'!I132&amp;Char(10)&amp;'Ingest Template'!J132&amp;Char(10)&amp;'Ingest Template'!K132&amp;Char(10)&amp;'Ingest Template'!L132)</f>
        <v>
</v>
      </c>
      <c r="E132" s="25" t="str">
        <f>('Ingest Template'!M132)</f>
        <v/>
      </c>
      <c r="F132" s="40" t="str">
        <f t="array" ref="F132">INDEX(DropDown!$J$2:$J$63,MATCH(1,COUNTIF(E132,DropDown!$I$2:$I$63),0))</f>
        <v>#N/A</v>
      </c>
      <c r="G132" s="25"/>
      <c r="H132" s="25"/>
      <c r="I132" s="25"/>
      <c r="J132" s="25" t="str">
        <f>'Ingest Template'!B132</f>
        <v/>
      </c>
      <c r="K132" s="25" t="str">
        <f>IF('Ingest Template'!A131="Standard",'Ingest Template'!N131,"Competitive View")</f>
        <v>Competitive View</v>
      </c>
      <c r="L132" s="41" t="s">
        <v>145</v>
      </c>
      <c r="M132" s="25" t="str">
        <f>'Ingest Template'!D131</f>
        <v/>
      </c>
      <c r="N132" s="25"/>
      <c r="O132" s="25"/>
      <c r="P132" s="25"/>
      <c r="Q132" s="25"/>
      <c r="R132" s="25" t="str">
        <f>CONCATENATE('Ingest Template'!F131)</f>
        <v/>
      </c>
      <c r="S132" s="43" t="s">
        <v>160</v>
      </c>
      <c r="T132" s="25" t="str">
        <f>'Ingest Template'!W131</f>
        <v/>
      </c>
      <c r="U132" s="25"/>
      <c r="V132" s="25" t="str">
        <f>LOWER(SUBSTITUTE(SUBSTITUTE(SUBSTITUTE(SUBSTITUTE(SUBSTITUTE('Ingest Template'!Y131,"https:",""),"www.",""),"/",""),"?hl=en",""),"instagram.com",""))</f>
        <v/>
      </c>
      <c r="W132" s="34" t="str">
        <f>(IFERROR(vlookup('Ingest Template'!F132,DropDown!D:E,2,false)&amp;'Ingest Template'!C132,""))</f>
        <v/>
      </c>
      <c r="X132" s="25" t="str">
        <f>'Ingest Template'!AA131</f>
        <v/>
      </c>
      <c r="Y132" s="25"/>
      <c r="Z132" s="25"/>
      <c r="AA132" s="25"/>
      <c r="AB132" s="25" t="str">
        <f>'Ingest Template'!T131</f>
        <v/>
      </c>
      <c r="AC132" s="25"/>
      <c r="AD132" s="25" t="str">
        <f>'Ingest Template'!U131</f>
        <v/>
      </c>
      <c r="AE132" s="25" t="str">
        <f>'Ingest Template'!V131</f>
        <v/>
      </c>
      <c r="AF132" s="25"/>
      <c r="AG132" s="25" t="str">
        <f t="array" ref="AG132">IF('Ingest Template'!A131="Standard",(CONCATENATE(IF(ISBLANK('Ingest Template'!O131),"", 'Ingest Template'!O131&amp;"|DAR"),CHAR(10), IF(ISBLANK('Ingest Template'!P131),"", 'Ingest Template'!P131&amp;"|DAR"),CHAR(10), IF(ISBLANK('Ingest Template'!Q131),"", 'Ingest Template'!Q131&amp;"|DAR"))),(CONCATENATE(IF(ISBLANK('Ingest Template'!O131),"", 'Ingest Template'!O131&amp;"|Operations - Core Title"),CHAR(10), IF(ISBLANK('Ingest Template'!P131),"", 'Ingest Template'!P131&amp;"|Operations - Core Title"),CHAR(10), IF(ISBLANK('Ingest Template'!Q131),"", 'Ingest Template'!Q131&amp;"|Operations - Core Title"))))</f>
        <v>#|Operations - Core Title
#videoGame|Operations - Core Title
</v>
      </c>
      <c r="AH132" s="25"/>
      <c r="AI132" s="25"/>
      <c r="AJ132" s="50" t="str">
        <f>if('Ingest Template'!A131="Standard",'Ingest Template'!R131&amp; "|DAR|DAR|2021-01-01",'Ingest Template'!R131&amp; "|Operations - Core Title|Operations - Core Title")</f>
        <v>#N/A</v>
      </c>
      <c r="AK132" s="25"/>
      <c r="AL132" s="25" t="str">
        <f>if('Ingest Template'!A131="Standard",'Ingest Template'!S131&amp; "|2021-01-01",'Ingest Template'!S131)</f>
        <v>#N/A</v>
      </c>
      <c r="AM132" s="25"/>
    </row>
    <row r="133">
      <c r="A133" s="25"/>
      <c r="B133" s="25" t="str">
        <f>'Ingest Template'!C132&amp;IF('Ingest Template'!A132 = "Standard", " - DAR","")</f>
        <v/>
      </c>
      <c r="C133" s="34" t="s">
        <v>92</v>
      </c>
      <c r="D133" s="34" t="str">
        <f>CONCATENATE('Ingest Template'!E133&amp;Char(10)&amp;'Ingest Template'!G133&amp;Char(10)&amp;'Ingest Template'!H133&amp;Char(10)&amp;'Ingest Template'!I133&amp;Char(10)&amp;'Ingest Template'!J133&amp;Char(10)&amp;'Ingest Template'!K133&amp;Char(10)&amp;'Ingest Template'!L133)</f>
        <v>
</v>
      </c>
      <c r="E133" s="25" t="str">
        <f>('Ingest Template'!M133)</f>
        <v/>
      </c>
      <c r="F133" s="40" t="str">
        <f t="array" ref="F133">INDEX(DropDown!$J$2:$J$63,MATCH(1,COUNTIF(E133,DropDown!$I$2:$I$63),0))</f>
        <v>#N/A</v>
      </c>
      <c r="G133" s="25"/>
      <c r="H133" s="25"/>
      <c r="I133" s="25"/>
      <c r="J133" s="25" t="str">
        <f>'Ingest Template'!B133</f>
        <v/>
      </c>
      <c r="K133" s="25" t="str">
        <f>IF('Ingest Template'!A132="Standard",'Ingest Template'!N132,"Competitive View")</f>
        <v>Competitive View</v>
      </c>
      <c r="L133" s="41" t="s">
        <v>145</v>
      </c>
      <c r="M133" s="25" t="str">
        <f>'Ingest Template'!D132</f>
        <v/>
      </c>
      <c r="N133" s="25"/>
      <c r="O133" s="25"/>
      <c r="P133" s="25"/>
      <c r="Q133" s="25"/>
      <c r="R133" s="25" t="str">
        <f>CONCATENATE('Ingest Template'!F132)</f>
        <v/>
      </c>
      <c r="S133" s="43" t="s">
        <v>160</v>
      </c>
      <c r="T133" s="25" t="str">
        <f>'Ingest Template'!W132</f>
        <v/>
      </c>
      <c r="U133" s="25"/>
      <c r="V133" s="25" t="str">
        <f>LOWER(SUBSTITUTE(SUBSTITUTE(SUBSTITUTE(SUBSTITUTE(SUBSTITUTE('Ingest Template'!Y132,"https:",""),"www.",""),"/",""),"?hl=en",""),"instagram.com",""))</f>
        <v/>
      </c>
      <c r="W133" s="34" t="str">
        <f>(IFERROR(vlookup('Ingest Template'!F133,DropDown!D:E,2,false)&amp;'Ingest Template'!C133,""))</f>
        <v/>
      </c>
      <c r="X133" s="25" t="str">
        <f>'Ingest Template'!AA132</f>
        <v/>
      </c>
      <c r="Y133" s="25"/>
      <c r="Z133" s="25"/>
      <c r="AA133" s="25"/>
      <c r="AB133" s="25" t="str">
        <f>'Ingest Template'!T132</f>
        <v/>
      </c>
      <c r="AC133" s="25"/>
      <c r="AD133" s="25" t="str">
        <f>'Ingest Template'!U132</f>
        <v/>
      </c>
      <c r="AE133" s="25" t="str">
        <f>'Ingest Template'!V132</f>
        <v/>
      </c>
      <c r="AF133" s="25"/>
      <c r="AG133" s="25" t="str">
        <f t="array" ref="AG133">IF('Ingest Template'!A132="Standard",(CONCATENATE(IF(ISBLANK('Ingest Template'!O132),"", 'Ingest Template'!O132&amp;"|DAR"),CHAR(10), IF(ISBLANK('Ingest Template'!P132),"", 'Ingest Template'!P132&amp;"|DAR"),CHAR(10), IF(ISBLANK('Ingest Template'!Q132),"", 'Ingest Template'!Q132&amp;"|DAR"))),(CONCATENATE(IF(ISBLANK('Ingest Template'!O132),"", 'Ingest Template'!O132&amp;"|Operations - Core Title"),CHAR(10), IF(ISBLANK('Ingest Template'!P132),"", 'Ingest Template'!P132&amp;"|Operations - Core Title"),CHAR(10), IF(ISBLANK('Ingest Template'!Q132),"", 'Ingest Template'!Q132&amp;"|Operations - Core Title"))))</f>
        <v>#|Operations - Core Title
#videoGame|Operations - Core Title
</v>
      </c>
      <c r="AH133" s="25"/>
      <c r="AI133" s="25"/>
      <c r="AJ133" s="50" t="str">
        <f>if('Ingest Template'!A132="Standard",'Ingest Template'!R132&amp; "|DAR|DAR|2021-01-01",'Ingest Template'!R132&amp; "|Operations - Core Title|Operations - Core Title")</f>
        <v>#N/A</v>
      </c>
      <c r="AK133" s="25"/>
      <c r="AL133" s="25" t="str">
        <f>if('Ingest Template'!A132="Standard",'Ingest Template'!S132&amp; "|2021-01-01",'Ingest Template'!S132)</f>
        <v>#N/A</v>
      </c>
      <c r="AM133" s="25"/>
    </row>
    <row r="134">
      <c r="A134" s="25"/>
      <c r="B134" s="25" t="str">
        <f>'Ingest Template'!C133&amp;IF('Ingest Template'!A133 = "Standard", " - DAR","")</f>
        <v/>
      </c>
      <c r="C134" s="34" t="s">
        <v>92</v>
      </c>
      <c r="D134" s="34" t="str">
        <f>CONCATENATE('Ingest Template'!E134&amp;Char(10)&amp;'Ingest Template'!G134&amp;Char(10)&amp;'Ingest Template'!H134&amp;Char(10)&amp;'Ingest Template'!I134&amp;Char(10)&amp;'Ingest Template'!J134&amp;Char(10)&amp;'Ingest Template'!K134&amp;Char(10)&amp;'Ingest Template'!L134)</f>
        <v>
</v>
      </c>
      <c r="E134" s="25" t="str">
        <f>('Ingest Template'!M134)</f>
        <v/>
      </c>
      <c r="F134" s="40" t="str">
        <f t="array" ref="F134">INDEX(DropDown!$J$2:$J$63,MATCH(1,COUNTIF(E134,DropDown!$I$2:$I$63),0))</f>
        <v>#N/A</v>
      </c>
      <c r="G134" s="25"/>
      <c r="H134" s="25"/>
      <c r="I134" s="25"/>
      <c r="J134" s="25" t="str">
        <f>'Ingest Template'!B134</f>
        <v/>
      </c>
      <c r="K134" s="25" t="str">
        <f>IF('Ingest Template'!A133="Standard",'Ingest Template'!N133,"Competitive View")</f>
        <v>Competitive View</v>
      </c>
      <c r="L134" s="41" t="s">
        <v>145</v>
      </c>
      <c r="M134" s="25" t="str">
        <f>'Ingest Template'!D133</f>
        <v/>
      </c>
      <c r="N134" s="25"/>
      <c r="O134" s="25"/>
      <c r="P134" s="25"/>
      <c r="Q134" s="25"/>
      <c r="R134" s="25" t="str">
        <f>CONCATENATE('Ingest Template'!F133)</f>
        <v/>
      </c>
      <c r="S134" s="43" t="s">
        <v>160</v>
      </c>
      <c r="T134" s="25" t="str">
        <f>'Ingest Template'!W133</f>
        <v/>
      </c>
      <c r="U134" s="25"/>
      <c r="V134" s="25" t="str">
        <f>LOWER(SUBSTITUTE(SUBSTITUTE(SUBSTITUTE(SUBSTITUTE(SUBSTITUTE('Ingest Template'!Y133,"https:",""),"www.",""),"/",""),"?hl=en",""),"instagram.com",""))</f>
        <v/>
      </c>
      <c r="W134" s="34" t="str">
        <f>(IFERROR(vlookup('Ingest Template'!F134,DropDown!D:E,2,false)&amp;'Ingest Template'!C134,""))</f>
        <v/>
      </c>
      <c r="X134" s="25" t="str">
        <f>'Ingest Template'!AA133</f>
        <v/>
      </c>
      <c r="Y134" s="25"/>
      <c r="Z134" s="25"/>
      <c r="AA134" s="25"/>
      <c r="AB134" s="25" t="str">
        <f>'Ingest Template'!T133</f>
        <v/>
      </c>
      <c r="AC134" s="25"/>
      <c r="AD134" s="25" t="str">
        <f>'Ingest Template'!U133</f>
        <v/>
      </c>
      <c r="AE134" s="25" t="str">
        <f>'Ingest Template'!V133</f>
        <v/>
      </c>
      <c r="AF134" s="25"/>
      <c r="AG134" s="25" t="str">
        <f t="array" ref="AG134">IF('Ingest Template'!A133="Standard",(CONCATENATE(IF(ISBLANK('Ingest Template'!O133),"", 'Ingest Template'!O133&amp;"|DAR"),CHAR(10), IF(ISBLANK('Ingest Template'!P133),"", 'Ingest Template'!P133&amp;"|DAR"),CHAR(10), IF(ISBLANK('Ingest Template'!Q133),"", 'Ingest Template'!Q133&amp;"|DAR"))),(CONCATENATE(IF(ISBLANK('Ingest Template'!O133),"", 'Ingest Template'!O133&amp;"|Operations - Core Title"),CHAR(10), IF(ISBLANK('Ingest Template'!P133),"", 'Ingest Template'!P133&amp;"|Operations - Core Title"),CHAR(10), IF(ISBLANK('Ingest Template'!Q133),"", 'Ingest Template'!Q133&amp;"|Operations - Core Title"))))</f>
        <v>#|Operations - Core Title
#videoGame|Operations - Core Title
</v>
      </c>
      <c r="AH134" s="25"/>
      <c r="AI134" s="25"/>
      <c r="AJ134" s="50" t="str">
        <f>if('Ingest Template'!A133="Standard",'Ingest Template'!R133&amp; "|DAR|DAR|2021-01-01",'Ingest Template'!R133&amp; "|Operations - Core Title|Operations - Core Title")</f>
        <v>#N/A</v>
      </c>
      <c r="AK134" s="25"/>
      <c r="AL134" s="25" t="str">
        <f>if('Ingest Template'!A133="Standard",'Ingest Template'!S133&amp; "|2021-01-01",'Ingest Template'!S133)</f>
        <v>#N/A</v>
      </c>
      <c r="AM134" s="25"/>
    </row>
    <row r="135">
      <c r="A135" s="25"/>
      <c r="B135" s="25" t="str">
        <f>'Ingest Template'!C134&amp;IF('Ingest Template'!A134 = "Standard", " - DAR","")</f>
        <v/>
      </c>
      <c r="C135" s="34" t="s">
        <v>92</v>
      </c>
      <c r="D135" s="34" t="str">
        <f>CONCATENATE('Ingest Template'!E135&amp;Char(10)&amp;'Ingest Template'!G135&amp;Char(10)&amp;'Ingest Template'!H135&amp;Char(10)&amp;'Ingest Template'!I135&amp;Char(10)&amp;'Ingest Template'!J135&amp;Char(10)&amp;'Ingest Template'!K135&amp;Char(10)&amp;'Ingest Template'!L135)</f>
        <v>
</v>
      </c>
      <c r="E135" s="25" t="str">
        <f>('Ingest Template'!M135)</f>
        <v/>
      </c>
      <c r="F135" s="40" t="str">
        <f t="array" ref="F135">INDEX(DropDown!$J$2:$J$63,MATCH(1,COUNTIF(E135,DropDown!$I$2:$I$63),0))</f>
        <v>#N/A</v>
      </c>
      <c r="G135" s="25"/>
      <c r="H135" s="25"/>
      <c r="I135" s="25"/>
      <c r="J135" s="25" t="str">
        <f>'Ingest Template'!B135</f>
        <v/>
      </c>
      <c r="K135" s="25" t="str">
        <f>IF('Ingest Template'!A134="Standard",'Ingest Template'!N134,"Competitive View")</f>
        <v>Competitive View</v>
      </c>
      <c r="L135" s="41" t="s">
        <v>145</v>
      </c>
      <c r="M135" s="25" t="str">
        <f>'Ingest Template'!D134</f>
        <v/>
      </c>
      <c r="N135" s="25"/>
      <c r="O135" s="25"/>
      <c r="P135" s="25"/>
      <c r="Q135" s="25"/>
      <c r="R135" s="25" t="str">
        <f>CONCATENATE('Ingest Template'!F134)</f>
        <v/>
      </c>
      <c r="S135" s="43" t="s">
        <v>160</v>
      </c>
      <c r="T135" s="25" t="str">
        <f>'Ingest Template'!W134</f>
        <v/>
      </c>
      <c r="U135" s="25"/>
      <c r="V135" s="25" t="str">
        <f>LOWER(SUBSTITUTE(SUBSTITUTE(SUBSTITUTE(SUBSTITUTE(SUBSTITUTE('Ingest Template'!Y134,"https:",""),"www.",""),"/",""),"?hl=en",""),"instagram.com",""))</f>
        <v/>
      </c>
      <c r="W135" s="34" t="str">
        <f>(IFERROR(vlookup('Ingest Template'!F135,DropDown!D:E,2,false)&amp;'Ingest Template'!C135,""))</f>
        <v/>
      </c>
      <c r="X135" s="25" t="str">
        <f>'Ingest Template'!AA134</f>
        <v/>
      </c>
      <c r="Y135" s="25"/>
      <c r="Z135" s="25"/>
      <c r="AA135" s="25"/>
      <c r="AB135" s="25" t="str">
        <f>'Ingest Template'!T134</f>
        <v/>
      </c>
      <c r="AC135" s="25"/>
      <c r="AD135" s="25" t="str">
        <f>'Ingest Template'!U134</f>
        <v/>
      </c>
      <c r="AE135" s="25" t="str">
        <f>'Ingest Template'!V134</f>
        <v/>
      </c>
      <c r="AF135" s="25"/>
      <c r="AG135" s="25" t="str">
        <f t="array" ref="AG135">IF('Ingest Template'!A134="Standard",(CONCATENATE(IF(ISBLANK('Ingest Template'!O134),"", 'Ingest Template'!O134&amp;"|DAR"),CHAR(10), IF(ISBLANK('Ingest Template'!P134),"", 'Ingest Template'!P134&amp;"|DAR"),CHAR(10), IF(ISBLANK('Ingest Template'!Q134),"", 'Ingest Template'!Q134&amp;"|DAR"))),(CONCATENATE(IF(ISBLANK('Ingest Template'!O134),"", 'Ingest Template'!O134&amp;"|Operations - Core Title"),CHAR(10), IF(ISBLANK('Ingest Template'!P134),"", 'Ingest Template'!P134&amp;"|Operations - Core Title"),CHAR(10), IF(ISBLANK('Ingest Template'!Q134),"", 'Ingest Template'!Q134&amp;"|Operations - Core Title"))))</f>
        <v>#|Operations - Core Title
#videoGame|Operations - Core Title
</v>
      </c>
      <c r="AH135" s="25"/>
      <c r="AI135" s="25"/>
      <c r="AJ135" s="50" t="str">
        <f>if('Ingest Template'!A134="Standard",'Ingest Template'!R134&amp; "|DAR|DAR|2021-01-01",'Ingest Template'!R134&amp; "|Operations - Core Title|Operations - Core Title")</f>
        <v>#N/A</v>
      </c>
      <c r="AK135" s="25"/>
      <c r="AL135" s="25" t="str">
        <f>if('Ingest Template'!A134="Standard",'Ingest Template'!S134&amp; "|2021-01-01",'Ingest Template'!S134)</f>
        <v>#N/A</v>
      </c>
      <c r="AM135" s="25"/>
    </row>
    <row r="136">
      <c r="A136" s="25"/>
      <c r="B136" s="25" t="str">
        <f>'Ingest Template'!C135&amp;IF('Ingest Template'!A135 = "Standard", " - DAR","")</f>
        <v/>
      </c>
      <c r="C136" s="34" t="s">
        <v>92</v>
      </c>
      <c r="D136" s="34" t="str">
        <f>CONCATENATE('Ingest Template'!E136&amp;Char(10)&amp;'Ingest Template'!G136&amp;Char(10)&amp;'Ingest Template'!H136&amp;Char(10)&amp;'Ingest Template'!I136&amp;Char(10)&amp;'Ingest Template'!J136&amp;Char(10)&amp;'Ingest Template'!K136&amp;Char(10)&amp;'Ingest Template'!L136)</f>
        <v>
</v>
      </c>
      <c r="E136" s="25" t="str">
        <f>('Ingest Template'!M136)</f>
        <v/>
      </c>
      <c r="F136" s="40" t="str">
        <f t="array" ref="F136">INDEX(DropDown!$J$2:$J$63,MATCH(1,COUNTIF(E136,DropDown!$I$2:$I$63),0))</f>
        <v>#N/A</v>
      </c>
      <c r="G136" s="25"/>
      <c r="H136" s="25"/>
      <c r="I136" s="25"/>
      <c r="J136" s="25" t="str">
        <f>'Ingest Template'!B136</f>
        <v/>
      </c>
      <c r="K136" s="25" t="str">
        <f>IF('Ingest Template'!A135="Standard",'Ingest Template'!N135,"Competitive View")</f>
        <v>Competitive View</v>
      </c>
      <c r="L136" s="41" t="s">
        <v>145</v>
      </c>
      <c r="M136" s="25" t="str">
        <f>'Ingest Template'!D135</f>
        <v/>
      </c>
      <c r="N136" s="25"/>
      <c r="O136" s="25"/>
      <c r="P136" s="25"/>
      <c r="Q136" s="25"/>
      <c r="R136" s="25" t="str">
        <f>CONCATENATE('Ingest Template'!F135)</f>
        <v/>
      </c>
      <c r="S136" s="43" t="s">
        <v>160</v>
      </c>
      <c r="T136" s="25" t="str">
        <f>'Ingest Template'!W135</f>
        <v/>
      </c>
      <c r="U136" s="25"/>
      <c r="V136" s="25" t="str">
        <f>LOWER(SUBSTITUTE(SUBSTITUTE(SUBSTITUTE(SUBSTITUTE(SUBSTITUTE('Ingest Template'!Y135,"https:",""),"www.",""),"/",""),"?hl=en",""),"instagram.com",""))</f>
        <v/>
      </c>
      <c r="W136" s="34" t="str">
        <f>(IFERROR(vlookup('Ingest Template'!F136,DropDown!D:E,2,false)&amp;'Ingest Template'!C136,""))</f>
        <v/>
      </c>
      <c r="X136" s="25" t="str">
        <f>'Ingest Template'!AA135</f>
        <v/>
      </c>
      <c r="Y136" s="25"/>
      <c r="Z136" s="25"/>
      <c r="AA136" s="25"/>
      <c r="AB136" s="25" t="str">
        <f>'Ingest Template'!T135</f>
        <v/>
      </c>
      <c r="AC136" s="25"/>
      <c r="AD136" s="25" t="str">
        <f>'Ingest Template'!U135</f>
        <v/>
      </c>
      <c r="AE136" s="25" t="str">
        <f>'Ingest Template'!V135</f>
        <v/>
      </c>
      <c r="AF136" s="25"/>
      <c r="AG136" s="25" t="str">
        <f t="array" ref="AG136">IF('Ingest Template'!A135="Standard",(CONCATENATE(IF(ISBLANK('Ingest Template'!O135),"", 'Ingest Template'!O135&amp;"|DAR"),CHAR(10), IF(ISBLANK('Ingest Template'!P135),"", 'Ingest Template'!P135&amp;"|DAR"),CHAR(10), IF(ISBLANK('Ingest Template'!Q135),"", 'Ingest Template'!Q135&amp;"|DAR"))),(CONCATENATE(IF(ISBLANK('Ingest Template'!O135),"", 'Ingest Template'!O135&amp;"|Operations - Core Title"),CHAR(10), IF(ISBLANK('Ingest Template'!P135),"", 'Ingest Template'!P135&amp;"|Operations - Core Title"),CHAR(10), IF(ISBLANK('Ingest Template'!Q135),"", 'Ingest Template'!Q135&amp;"|Operations - Core Title"))))</f>
        <v>#|Operations - Core Title
#videoGame|Operations - Core Title
</v>
      </c>
      <c r="AH136" s="25"/>
      <c r="AI136" s="25"/>
      <c r="AJ136" s="50" t="str">
        <f>if('Ingest Template'!A135="Standard",'Ingest Template'!R135&amp; "|DAR|DAR|2021-01-01",'Ingest Template'!R135&amp; "|Operations - Core Title|Operations - Core Title")</f>
        <v>#N/A</v>
      </c>
      <c r="AK136" s="25"/>
      <c r="AL136" s="25" t="str">
        <f>if('Ingest Template'!A135="Standard",'Ingest Template'!S135&amp; "|2021-01-01",'Ingest Template'!S135)</f>
        <v>#N/A</v>
      </c>
      <c r="AM136" s="25"/>
    </row>
    <row r="137">
      <c r="A137" s="25"/>
      <c r="B137" s="25" t="str">
        <f>'Ingest Template'!C136&amp;IF('Ingest Template'!A136 = "Standard", " - DAR","")</f>
        <v/>
      </c>
      <c r="C137" s="34" t="s">
        <v>92</v>
      </c>
      <c r="D137" s="34" t="str">
        <f>CONCATENATE('Ingest Template'!E137&amp;Char(10)&amp;'Ingest Template'!G137&amp;Char(10)&amp;'Ingest Template'!H137&amp;Char(10)&amp;'Ingest Template'!I137&amp;Char(10)&amp;'Ingest Template'!J137&amp;Char(10)&amp;'Ingest Template'!K137&amp;Char(10)&amp;'Ingest Template'!L137)</f>
        <v>
</v>
      </c>
      <c r="E137" s="25" t="str">
        <f>('Ingest Template'!M137)</f>
        <v/>
      </c>
      <c r="F137" s="40" t="str">
        <f t="array" ref="F137">INDEX(DropDown!$J$2:$J$63,MATCH(1,COUNTIF(E137,DropDown!$I$2:$I$63),0))</f>
        <v>#N/A</v>
      </c>
      <c r="G137" s="25"/>
      <c r="H137" s="25"/>
      <c r="I137" s="25"/>
      <c r="J137" s="25" t="str">
        <f>'Ingest Template'!B137</f>
        <v/>
      </c>
      <c r="K137" s="25" t="str">
        <f>IF('Ingest Template'!A136="Standard",'Ingest Template'!N136,"Competitive View")</f>
        <v>Competitive View</v>
      </c>
      <c r="L137" s="41" t="s">
        <v>145</v>
      </c>
      <c r="M137" s="25" t="str">
        <f>'Ingest Template'!D136</f>
        <v/>
      </c>
      <c r="N137" s="25"/>
      <c r="O137" s="25"/>
      <c r="P137" s="25"/>
      <c r="Q137" s="25"/>
      <c r="R137" s="25" t="str">
        <f>CONCATENATE('Ingest Template'!F136)</f>
        <v/>
      </c>
      <c r="S137" s="43" t="s">
        <v>160</v>
      </c>
      <c r="T137" s="25" t="str">
        <f>'Ingest Template'!W136</f>
        <v/>
      </c>
      <c r="U137" s="25"/>
      <c r="V137" s="25" t="str">
        <f>LOWER(SUBSTITUTE(SUBSTITUTE(SUBSTITUTE(SUBSTITUTE(SUBSTITUTE('Ingest Template'!Y136,"https:",""),"www.",""),"/",""),"?hl=en",""),"instagram.com",""))</f>
        <v/>
      </c>
      <c r="W137" s="34" t="str">
        <f>(IFERROR(vlookup('Ingest Template'!F137,DropDown!D:E,2,false)&amp;'Ingest Template'!C137,""))</f>
        <v/>
      </c>
      <c r="X137" s="25" t="str">
        <f>'Ingest Template'!AA136</f>
        <v/>
      </c>
      <c r="Y137" s="25"/>
      <c r="Z137" s="25"/>
      <c r="AA137" s="25"/>
      <c r="AB137" s="25" t="str">
        <f>'Ingest Template'!T136</f>
        <v/>
      </c>
      <c r="AC137" s="25"/>
      <c r="AD137" s="25" t="str">
        <f>'Ingest Template'!U136</f>
        <v/>
      </c>
      <c r="AE137" s="25" t="str">
        <f>'Ingest Template'!V136</f>
        <v/>
      </c>
      <c r="AF137" s="25"/>
      <c r="AG137" s="25" t="str">
        <f t="array" ref="AG137">IF('Ingest Template'!A136="Standard",(CONCATENATE(IF(ISBLANK('Ingest Template'!O136),"", 'Ingest Template'!O136&amp;"|DAR"),CHAR(10), IF(ISBLANK('Ingest Template'!P136),"", 'Ingest Template'!P136&amp;"|DAR"),CHAR(10), IF(ISBLANK('Ingest Template'!Q136),"", 'Ingest Template'!Q136&amp;"|DAR"))),(CONCATENATE(IF(ISBLANK('Ingest Template'!O136),"", 'Ingest Template'!O136&amp;"|Operations - Core Title"),CHAR(10), IF(ISBLANK('Ingest Template'!P136),"", 'Ingest Template'!P136&amp;"|Operations - Core Title"),CHAR(10), IF(ISBLANK('Ingest Template'!Q136),"", 'Ingest Template'!Q136&amp;"|Operations - Core Title"))))</f>
        <v>#|Operations - Core Title
#videoGame|Operations - Core Title
</v>
      </c>
      <c r="AH137" s="25"/>
      <c r="AI137" s="25"/>
      <c r="AJ137" s="50" t="str">
        <f>if('Ingest Template'!A136="Standard",'Ingest Template'!R136&amp; "|DAR|DAR|2021-01-01",'Ingest Template'!R136&amp; "|Operations - Core Title|Operations - Core Title")</f>
        <v>#N/A</v>
      </c>
      <c r="AK137" s="25"/>
      <c r="AL137" s="25" t="str">
        <f>if('Ingest Template'!A136="Standard",'Ingest Template'!S136&amp; "|2021-01-01",'Ingest Template'!S136)</f>
        <v>#N/A</v>
      </c>
      <c r="AM137" s="25"/>
    </row>
    <row r="138">
      <c r="A138" s="25"/>
      <c r="B138" s="25" t="str">
        <f>'Ingest Template'!C137&amp;IF('Ingest Template'!A137 = "Standard", " - DAR","")</f>
        <v/>
      </c>
      <c r="C138" s="34" t="s">
        <v>92</v>
      </c>
      <c r="D138" s="34" t="str">
        <f>CONCATENATE('Ingest Template'!E138&amp;Char(10)&amp;'Ingest Template'!G138&amp;Char(10)&amp;'Ingest Template'!H138&amp;Char(10)&amp;'Ingest Template'!I138&amp;Char(10)&amp;'Ingest Template'!J138&amp;Char(10)&amp;'Ingest Template'!K138&amp;Char(10)&amp;'Ingest Template'!L138)</f>
        <v>
</v>
      </c>
      <c r="E138" s="25" t="str">
        <f>('Ingest Template'!M138)</f>
        <v/>
      </c>
      <c r="F138" s="40" t="str">
        <f t="array" ref="F138">INDEX(DropDown!$J$2:$J$63,MATCH(1,COUNTIF(E138,DropDown!$I$2:$I$63),0))</f>
        <v>#N/A</v>
      </c>
      <c r="G138" s="25"/>
      <c r="H138" s="25"/>
      <c r="I138" s="25"/>
      <c r="J138" s="25" t="str">
        <f>'Ingest Template'!B138</f>
        <v/>
      </c>
      <c r="K138" s="25" t="str">
        <f>IF('Ingest Template'!A137="Standard",'Ingest Template'!N137,"Competitive View")</f>
        <v>Competitive View</v>
      </c>
      <c r="L138" s="41" t="s">
        <v>145</v>
      </c>
      <c r="M138" s="25" t="str">
        <f>'Ingest Template'!D137</f>
        <v/>
      </c>
      <c r="N138" s="25"/>
      <c r="O138" s="25"/>
      <c r="P138" s="25"/>
      <c r="Q138" s="25"/>
      <c r="R138" s="25" t="str">
        <f>CONCATENATE('Ingest Template'!F137)</f>
        <v/>
      </c>
      <c r="S138" s="43" t="s">
        <v>160</v>
      </c>
      <c r="T138" s="25" t="str">
        <f>'Ingest Template'!W137</f>
        <v/>
      </c>
      <c r="U138" s="25"/>
      <c r="V138" s="25" t="str">
        <f>LOWER(SUBSTITUTE(SUBSTITUTE(SUBSTITUTE(SUBSTITUTE(SUBSTITUTE('Ingest Template'!Y137,"https:",""),"www.",""),"/",""),"?hl=en",""),"instagram.com",""))</f>
        <v/>
      </c>
      <c r="W138" s="34" t="str">
        <f>(IFERROR(vlookup('Ingest Template'!F138,DropDown!D:E,2,false)&amp;'Ingest Template'!C138,""))</f>
        <v/>
      </c>
      <c r="X138" s="25" t="str">
        <f>'Ingest Template'!AA137</f>
        <v/>
      </c>
      <c r="Y138" s="25"/>
      <c r="Z138" s="25"/>
      <c r="AA138" s="25"/>
      <c r="AB138" s="25" t="str">
        <f>'Ingest Template'!T137</f>
        <v/>
      </c>
      <c r="AC138" s="25"/>
      <c r="AD138" s="25" t="str">
        <f>'Ingest Template'!U137</f>
        <v/>
      </c>
      <c r="AE138" s="25" t="str">
        <f>'Ingest Template'!V137</f>
        <v/>
      </c>
      <c r="AF138" s="25"/>
      <c r="AG138" s="25" t="str">
        <f t="array" ref="AG138">IF('Ingest Template'!A137="Standard",(CONCATENATE(IF(ISBLANK('Ingest Template'!O137),"", 'Ingest Template'!O137&amp;"|DAR"),CHAR(10), IF(ISBLANK('Ingest Template'!P137),"", 'Ingest Template'!P137&amp;"|DAR"),CHAR(10), IF(ISBLANK('Ingest Template'!Q137),"", 'Ingest Template'!Q137&amp;"|DAR"))),(CONCATENATE(IF(ISBLANK('Ingest Template'!O137),"", 'Ingest Template'!O137&amp;"|Operations - Core Title"),CHAR(10), IF(ISBLANK('Ingest Template'!P137),"", 'Ingest Template'!P137&amp;"|Operations - Core Title"),CHAR(10), IF(ISBLANK('Ingest Template'!Q137),"", 'Ingest Template'!Q137&amp;"|Operations - Core Title"))))</f>
        <v>#|Operations - Core Title
#videoGame|Operations - Core Title
</v>
      </c>
      <c r="AH138" s="25"/>
      <c r="AI138" s="25"/>
      <c r="AJ138" s="50" t="str">
        <f>if('Ingest Template'!A137="Standard",'Ingest Template'!R137&amp; "|DAR|DAR|2021-01-01",'Ingest Template'!R137&amp; "|Operations - Core Title|Operations - Core Title")</f>
        <v>#N/A</v>
      </c>
      <c r="AK138" s="25"/>
      <c r="AL138" s="25" t="str">
        <f>if('Ingest Template'!A137="Standard",'Ingest Template'!S137&amp; "|2021-01-01",'Ingest Template'!S137)</f>
        <v>#N/A</v>
      </c>
      <c r="AM138" s="25"/>
    </row>
    <row r="139">
      <c r="A139" s="25"/>
      <c r="B139" s="25" t="str">
        <f>'Ingest Template'!C138&amp;IF('Ingest Template'!A138 = "Standard", " - DAR","")</f>
        <v/>
      </c>
      <c r="C139" s="34" t="s">
        <v>92</v>
      </c>
      <c r="D139" s="34" t="str">
        <f>CONCATENATE('Ingest Template'!E139&amp;Char(10)&amp;'Ingest Template'!G139&amp;Char(10)&amp;'Ingest Template'!H139&amp;Char(10)&amp;'Ingest Template'!I139&amp;Char(10)&amp;'Ingest Template'!J139&amp;Char(10)&amp;'Ingest Template'!K139&amp;Char(10)&amp;'Ingest Template'!L139)</f>
        <v>
</v>
      </c>
      <c r="E139" s="25" t="str">
        <f>('Ingest Template'!M139)</f>
        <v/>
      </c>
      <c r="F139" s="40" t="str">
        <f t="array" ref="F139">INDEX(DropDown!$J$2:$J$63,MATCH(1,COUNTIF(E139,DropDown!$I$2:$I$63),0))</f>
        <v>#N/A</v>
      </c>
      <c r="G139" s="25"/>
      <c r="H139" s="25"/>
      <c r="I139" s="25"/>
      <c r="J139" s="25" t="str">
        <f>'Ingest Template'!B139</f>
        <v/>
      </c>
      <c r="K139" s="25" t="str">
        <f>IF('Ingest Template'!A138="Standard",'Ingest Template'!N138,"Competitive View")</f>
        <v>Competitive View</v>
      </c>
      <c r="L139" s="41" t="s">
        <v>145</v>
      </c>
      <c r="M139" s="25" t="str">
        <f>'Ingest Template'!D138</f>
        <v/>
      </c>
      <c r="N139" s="25"/>
      <c r="O139" s="25"/>
      <c r="P139" s="25"/>
      <c r="Q139" s="25"/>
      <c r="R139" s="25" t="str">
        <f>CONCATENATE('Ingest Template'!F138)</f>
        <v/>
      </c>
      <c r="S139" s="43" t="s">
        <v>160</v>
      </c>
      <c r="T139" s="25" t="str">
        <f>'Ingest Template'!W138</f>
        <v/>
      </c>
      <c r="U139" s="25"/>
      <c r="V139" s="25" t="str">
        <f>LOWER(SUBSTITUTE(SUBSTITUTE(SUBSTITUTE(SUBSTITUTE(SUBSTITUTE('Ingest Template'!Y138,"https:",""),"www.",""),"/",""),"?hl=en",""),"instagram.com",""))</f>
        <v/>
      </c>
      <c r="W139" s="34" t="str">
        <f>(IFERROR(vlookup('Ingest Template'!F139,DropDown!D:E,2,false)&amp;'Ingest Template'!C139,""))</f>
        <v/>
      </c>
      <c r="X139" s="25" t="str">
        <f>'Ingest Template'!AA138</f>
        <v/>
      </c>
      <c r="Y139" s="25"/>
      <c r="Z139" s="25"/>
      <c r="AA139" s="25"/>
      <c r="AB139" s="25" t="str">
        <f>'Ingest Template'!T138</f>
        <v/>
      </c>
      <c r="AC139" s="25"/>
      <c r="AD139" s="25" t="str">
        <f>'Ingest Template'!U138</f>
        <v/>
      </c>
      <c r="AE139" s="25" t="str">
        <f>'Ingest Template'!V138</f>
        <v/>
      </c>
      <c r="AF139" s="25"/>
      <c r="AG139" s="25" t="str">
        <f t="array" ref="AG139">IF('Ingest Template'!A138="Standard",(CONCATENATE(IF(ISBLANK('Ingest Template'!O138),"", 'Ingest Template'!O138&amp;"|DAR"),CHAR(10), IF(ISBLANK('Ingest Template'!P138),"", 'Ingest Template'!P138&amp;"|DAR"),CHAR(10), IF(ISBLANK('Ingest Template'!Q138),"", 'Ingest Template'!Q138&amp;"|DAR"))),(CONCATENATE(IF(ISBLANK('Ingest Template'!O138),"", 'Ingest Template'!O138&amp;"|Operations - Core Title"),CHAR(10), IF(ISBLANK('Ingest Template'!P138),"", 'Ingest Template'!P138&amp;"|Operations - Core Title"),CHAR(10), IF(ISBLANK('Ingest Template'!Q138),"", 'Ingest Template'!Q138&amp;"|Operations - Core Title"))))</f>
        <v>#|Operations - Core Title
#videoGame|Operations - Core Title
</v>
      </c>
      <c r="AH139" s="25"/>
      <c r="AI139" s="25"/>
      <c r="AJ139" s="50" t="str">
        <f>if('Ingest Template'!A138="Standard",'Ingest Template'!R138&amp; "|DAR|DAR|2021-01-01",'Ingest Template'!R138&amp; "|Operations - Core Title|Operations - Core Title")</f>
        <v>#N/A</v>
      </c>
      <c r="AK139" s="25"/>
      <c r="AL139" s="25" t="str">
        <f>if('Ingest Template'!A138="Standard",'Ingest Template'!S138&amp; "|2021-01-01",'Ingest Template'!S138)</f>
        <v>#N/A</v>
      </c>
      <c r="AM139" s="25"/>
    </row>
    <row r="140">
      <c r="A140" s="25"/>
      <c r="B140" s="25" t="str">
        <f>'Ingest Template'!C139&amp;IF('Ingest Template'!A139 = "Standard", " - DAR","")</f>
        <v/>
      </c>
      <c r="C140" s="34" t="s">
        <v>92</v>
      </c>
      <c r="D140" s="34" t="str">
        <f>CONCATENATE('Ingest Template'!E140&amp;Char(10)&amp;'Ingest Template'!G140&amp;Char(10)&amp;'Ingest Template'!H140&amp;Char(10)&amp;'Ingest Template'!I140&amp;Char(10)&amp;'Ingest Template'!J140&amp;Char(10)&amp;'Ingest Template'!K140&amp;Char(10)&amp;'Ingest Template'!L140)</f>
        <v>
</v>
      </c>
      <c r="E140" s="25" t="str">
        <f>('Ingest Template'!M140)</f>
        <v/>
      </c>
      <c r="F140" s="40" t="str">
        <f t="array" ref="F140">INDEX(DropDown!$J$2:$J$63,MATCH(1,COUNTIF(E140,DropDown!$I$2:$I$63),0))</f>
        <v>#N/A</v>
      </c>
      <c r="G140" s="25"/>
      <c r="H140" s="25"/>
      <c r="I140" s="25"/>
      <c r="J140" s="25" t="str">
        <f>'Ingest Template'!B140</f>
        <v/>
      </c>
      <c r="K140" s="25" t="str">
        <f>IF('Ingest Template'!A139="Standard",'Ingest Template'!N139,"Competitive View")</f>
        <v>Competitive View</v>
      </c>
      <c r="L140" s="41" t="s">
        <v>145</v>
      </c>
      <c r="M140" s="25" t="str">
        <f>'Ingest Template'!D139</f>
        <v/>
      </c>
      <c r="N140" s="25"/>
      <c r="O140" s="25"/>
      <c r="P140" s="25"/>
      <c r="Q140" s="25"/>
      <c r="R140" s="25" t="str">
        <f>CONCATENATE('Ingest Template'!F139)</f>
        <v/>
      </c>
      <c r="S140" s="43" t="s">
        <v>160</v>
      </c>
      <c r="T140" s="25" t="str">
        <f>'Ingest Template'!W139</f>
        <v/>
      </c>
      <c r="U140" s="25"/>
      <c r="V140" s="25" t="str">
        <f>LOWER(SUBSTITUTE(SUBSTITUTE(SUBSTITUTE(SUBSTITUTE(SUBSTITUTE('Ingest Template'!Y139,"https:",""),"www.",""),"/",""),"?hl=en",""),"instagram.com",""))</f>
        <v/>
      </c>
      <c r="W140" s="34" t="str">
        <f>(IFERROR(vlookup('Ingest Template'!F140,DropDown!D:E,2,false)&amp;'Ingest Template'!C140,""))</f>
        <v/>
      </c>
      <c r="X140" s="25" t="str">
        <f>'Ingest Template'!AA139</f>
        <v/>
      </c>
      <c r="Y140" s="25"/>
      <c r="Z140" s="25"/>
      <c r="AA140" s="25"/>
      <c r="AB140" s="25" t="str">
        <f>'Ingest Template'!T139</f>
        <v/>
      </c>
      <c r="AC140" s="25"/>
      <c r="AD140" s="25" t="str">
        <f>'Ingest Template'!U139</f>
        <v/>
      </c>
      <c r="AE140" s="25" t="str">
        <f>'Ingest Template'!V139</f>
        <v/>
      </c>
      <c r="AF140" s="25"/>
      <c r="AG140" s="25" t="str">
        <f t="array" ref="AG140">IF('Ingest Template'!A139="Standard",(CONCATENATE(IF(ISBLANK('Ingest Template'!O139),"", 'Ingest Template'!O139&amp;"|DAR"),CHAR(10), IF(ISBLANK('Ingest Template'!P139),"", 'Ingest Template'!P139&amp;"|DAR"),CHAR(10), IF(ISBLANK('Ingest Template'!Q139),"", 'Ingest Template'!Q139&amp;"|DAR"))),(CONCATENATE(IF(ISBLANK('Ingest Template'!O139),"", 'Ingest Template'!O139&amp;"|Operations - Core Title"),CHAR(10), IF(ISBLANK('Ingest Template'!P139),"", 'Ingest Template'!P139&amp;"|Operations - Core Title"),CHAR(10), IF(ISBLANK('Ingest Template'!Q139),"", 'Ingest Template'!Q139&amp;"|Operations - Core Title"))))</f>
        <v>#|Operations - Core Title
#videoGame|Operations - Core Title
</v>
      </c>
      <c r="AH140" s="25"/>
      <c r="AI140" s="25"/>
      <c r="AJ140" s="50" t="str">
        <f>if('Ingest Template'!A139="Standard",'Ingest Template'!R139&amp; "|DAR|DAR|2021-01-01",'Ingest Template'!R139&amp; "|Operations - Core Title|Operations - Core Title")</f>
        <v>#N/A</v>
      </c>
      <c r="AK140" s="25"/>
      <c r="AL140" s="25" t="str">
        <f>if('Ingest Template'!A139="Standard",'Ingest Template'!S139&amp; "|2021-01-01",'Ingest Template'!S139)</f>
        <v>#N/A</v>
      </c>
      <c r="AM140" s="25"/>
    </row>
    <row r="141">
      <c r="A141" s="25"/>
      <c r="B141" s="25" t="str">
        <f>'Ingest Template'!C140&amp;IF('Ingest Template'!A140 = "Standard", " - DAR","")</f>
        <v/>
      </c>
      <c r="C141" s="34" t="s">
        <v>92</v>
      </c>
      <c r="D141" s="34" t="str">
        <f>CONCATENATE('Ingest Template'!E141&amp;Char(10)&amp;'Ingest Template'!G141&amp;Char(10)&amp;'Ingest Template'!H141&amp;Char(10)&amp;'Ingest Template'!I141&amp;Char(10)&amp;'Ingest Template'!J141&amp;Char(10)&amp;'Ingest Template'!K141&amp;Char(10)&amp;'Ingest Template'!L141)</f>
        <v>
</v>
      </c>
      <c r="E141" s="25" t="str">
        <f>('Ingest Template'!M141)</f>
        <v/>
      </c>
      <c r="F141" s="40" t="str">
        <f t="array" ref="F141">INDEX(DropDown!$J$2:$J$63,MATCH(1,COUNTIF(E141,DropDown!$I$2:$I$63),0))</f>
        <v>#N/A</v>
      </c>
      <c r="G141" s="25"/>
      <c r="H141" s="25"/>
      <c r="I141" s="25"/>
      <c r="J141" s="25" t="str">
        <f>'Ingest Template'!B141</f>
        <v/>
      </c>
      <c r="K141" s="25" t="str">
        <f>IF('Ingest Template'!A140="Standard",'Ingest Template'!N140,"Competitive View")</f>
        <v>Competitive View</v>
      </c>
      <c r="L141" s="41" t="s">
        <v>145</v>
      </c>
      <c r="M141" s="25" t="str">
        <f>'Ingest Template'!D140</f>
        <v/>
      </c>
      <c r="N141" s="25"/>
      <c r="O141" s="25"/>
      <c r="P141" s="25"/>
      <c r="Q141" s="25"/>
      <c r="R141" s="25" t="str">
        <f>CONCATENATE('Ingest Template'!F140)</f>
        <v/>
      </c>
      <c r="S141" s="43" t="s">
        <v>160</v>
      </c>
      <c r="T141" s="25" t="str">
        <f>'Ingest Template'!W140</f>
        <v/>
      </c>
      <c r="U141" s="25"/>
      <c r="V141" s="25" t="str">
        <f>LOWER(SUBSTITUTE(SUBSTITUTE(SUBSTITUTE(SUBSTITUTE(SUBSTITUTE('Ingest Template'!Y140,"https:",""),"www.",""),"/",""),"?hl=en",""),"instagram.com",""))</f>
        <v/>
      </c>
      <c r="W141" s="34" t="str">
        <f>(IFERROR(vlookup('Ingest Template'!F141,DropDown!D:E,2,false)&amp;'Ingest Template'!C141,""))</f>
        <v/>
      </c>
      <c r="X141" s="25" t="str">
        <f>'Ingest Template'!AA140</f>
        <v/>
      </c>
      <c r="Y141" s="25"/>
      <c r="Z141" s="25"/>
      <c r="AA141" s="25"/>
      <c r="AB141" s="25" t="str">
        <f>'Ingest Template'!T140</f>
        <v/>
      </c>
      <c r="AC141" s="25"/>
      <c r="AD141" s="25" t="str">
        <f>'Ingest Template'!U140</f>
        <v/>
      </c>
      <c r="AE141" s="25" t="str">
        <f>'Ingest Template'!V140</f>
        <v/>
      </c>
      <c r="AF141" s="25"/>
      <c r="AG141" s="25" t="str">
        <f t="array" ref="AG141">IF('Ingest Template'!A140="Standard",(CONCATENATE(IF(ISBLANK('Ingest Template'!O140),"", 'Ingest Template'!O140&amp;"|DAR"),CHAR(10), IF(ISBLANK('Ingest Template'!P140),"", 'Ingest Template'!P140&amp;"|DAR"),CHAR(10), IF(ISBLANK('Ingest Template'!Q140),"", 'Ingest Template'!Q140&amp;"|DAR"))),(CONCATENATE(IF(ISBLANK('Ingest Template'!O140),"", 'Ingest Template'!O140&amp;"|Operations - Core Title"),CHAR(10), IF(ISBLANK('Ingest Template'!P140),"", 'Ingest Template'!P140&amp;"|Operations - Core Title"),CHAR(10), IF(ISBLANK('Ingest Template'!Q140),"", 'Ingest Template'!Q140&amp;"|Operations - Core Title"))))</f>
        <v>#|Operations - Core Title
#videoGame|Operations - Core Title
</v>
      </c>
      <c r="AH141" s="25"/>
      <c r="AI141" s="25"/>
      <c r="AJ141" s="50" t="str">
        <f>if('Ingest Template'!A140="Standard",'Ingest Template'!R140&amp; "|DAR|DAR|2021-01-01",'Ingest Template'!R140&amp; "|Operations - Core Title|Operations - Core Title")</f>
        <v>#N/A</v>
      </c>
      <c r="AK141" s="25"/>
      <c r="AL141" s="25" t="str">
        <f>if('Ingest Template'!A140="Standard",'Ingest Template'!S140&amp; "|2021-01-01",'Ingest Template'!S140)</f>
        <v>#N/A</v>
      </c>
      <c r="AM141" s="25"/>
    </row>
    <row r="142">
      <c r="A142" s="25"/>
      <c r="B142" s="25" t="str">
        <f>'Ingest Template'!C141&amp;IF('Ingest Template'!A141 = "Standard", " - DAR","")</f>
        <v/>
      </c>
      <c r="C142" s="34" t="s">
        <v>92</v>
      </c>
      <c r="D142" s="34" t="str">
        <f>CONCATENATE('Ingest Template'!E142&amp;Char(10)&amp;'Ingest Template'!G142&amp;Char(10)&amp;'Ingest Template'!H142&amp;Char(10)&amp;'Ingest Template'!I142&amp;Char(10)&amp;'Ingest Template'!J142&amp;Char(10)&amp;'Ingest Template'!K142&amp;Char(10)&amp;'Ingest Template'!L142)</f>
        <v>
</v>
      </c>
      <c r="E142" s="25" t="str">
        <f>('Ingest Template'!M142)</f>
        <v/>
      </c>
      <c r="F142" s="40" t="str">
        <f t="array" ref="F142">INDEX(DropDown!$J$2:$J$63,MATCH(1,COUNTIF(E142,DropDown!$I$2:$I$63),0))</f>
        <v>#N/A</v>
      </c>
      <c r="G142" s="25"/>
      <c r="H142" s="25"/>
      <c r="I142" s="25"/>
      <c r="J142" s="25" t="str">
        <f>'Ingest Template'!B142</f>
        <v/>
      </c>
      <c r="K142" s="25" t="str">
        <f>IF('Ingest Template'!A141="Standard",'Ingest Template'!N141,"Competitive View")</f>
        <v>Competitive View</v>
      </c>
      <c r="L142" s="41" t="s">
        <v>145</v>
      </c>
      <c r="M142" s="25" t="str">
        <f>'Ingest Template'!D141</f>
        <v/>
      </c>
      <c r="N142" s="25"/>
      <c r="O142" s="25"/>
      <c r="P142" s="25"/>
      <c r="Q142" s="25"/>
      <c r="R142" s="25" t="str">
        <f>CONCATENATE('Ingest Template'!F141)</f>
        <v/>
      </c>
      <c r="S142" s="43" t="s">
        <v>160</v>
      </c>
      <c r="T142" s="25" t="str">
        <f>'Ingest Template'!W141</f>
        <v/>
      </c>
      <c r="U142" s="25"/>
      <c r="V142" s="25" t="str">
        <f>LOWER(SUBSTITUTE(SUBSTITUTE(SUBSTITUTE(SUBSTITUTE(SUBSTITUTE('Ingest Template'!Y141,"https:",""),"www.",""),"/",""),"?hl=en",""),"instagram.com",""))</f>
        <v/>
      </c>
      <c r="W142" s="34" t="str">
        <f>(IFERROR(vlookup('Ingest Template'!F142,DropDown!D:E,2,false)&amp;'Ingest Template'!C142,""))</f>
        <v/>
      </c>
      <c r="X142" s="25" t="str">
        <f>'Ingest Template'!AA141</f>
        <v/>
      </c>
      <c r="Y142" s="25"/>
      <c r="Z142" s="25"/>
      <c r="AA142" s="25"/>
      <c r="AB142" s="25" t="str">
        <f>'Ingest Template'!T141</f>
        <v/>
      </c>
      <c r="AC142" s="25"/>
      <c r="AD142" s="25" t="str">
        <f>'Ingest Template'!U141</f>
        <v/>
      </c>
      <c r="AE142" s="25" t="str">
        <f>'Ingest Template'!V141</f>
        <v/>
      </c>
      <c r="AF142" s="25"/>
      <c r="AG142" s="25" t="str">
        <f t="array" ref="AG142">IF('Ingest Template'!A141="Standard",(CONCATENATE(IF(ISBLANK('Ingest Template'!O141),"", 'Ingest Template'!O141&amp;"|DAR"),CHAR(10), IF(ISBLANK('Ingest Template'!P141),"", 'Ingest Template'!P141&amp;"|DAR"),CHAR(10), IF(ISBLANK('Ingest Template'!Q141),"", 'Ingest Template'!Q141&amp;"|DAR"))),(CONCATENATE(IF(ISBLANK('Ingest Template'!O141),"", 'Ingest Template'!O141&amp;"|Operations - Core Title"),CHAR(10), IF(ISBLANK('Ingest Template'!P141),"", 'Ingest Template'!P141&amp;"|Operations - Core Title"),CHAR(10), IF(ISBLANK('Ingest Template'!Q141),"", 'Ingest Template'!Q141&amp;"|Operations - Core Title"))))</f>
        <v>#|Operations - Core Title
#videoGame|Operations - Core Title
</v>
      </c>
      <c r="AH142" s="25"/>
      <c r="AI142" s="25"/>
      <c r="AJ142" s="50" t="str">
        <f>if('Ingest Template'!A141="Standard",'Ingest Template'!R141&amp; "|DAR|DAR|2021-01-01",'Ingest Template'!R141&amp; "|Operations - Core Title|Operations - Core Title")</f>
        <v>#N/A</v>
      </c>
      <c r="AK142" s="25"/>
      <c r="AL142" s="25" t="str">
        <f>if('Ingest Template'!A141="Standard",'Ingest Template'!S141&amp; "|2021-01-01",'Ingest Template'!S141)</f>
        <v>#N/A</v>
      </c>
      <c r="AM142" s="25"/>
    </row>
    <row r="143">
      <c r="A143" s="25"/>
      <c r="B143" s="25" t="str">
        <f>'Ingest Template'!C142&amp;IF('Ingest Template'!A142 = "Standard", " - DAR","")</f>
        <v/>
      </c>
      <c r="C143" s="34" t="s">
        <v>92</v>
      </c>
      <c r="D143" s="34" t="str">
        <f>CONCATENATE('Ingest Template'!E143&amp;Char(10)&amp;'Ingest Template'!G143&amp;Char(10)&amp;'Ingest Template'!H143&amp;Char(10)&amp;'Ingest Template'!I143&amp;Char(10)&amp;'Ingest Template'!J143&amp;Char(10)&amp;'Ingest Template'!K143&amp;Char(10)&amp;'Ingest Template'!L143)</f>
        <v>
</v>
      </c>
      <c r="E143" s="25" t="str">
        <f>('Ingest Template'!M143)</f>
        <v/>
      </c>
      <c r="F143" s="40" t="str">
        <f t="array" ref="F143">INDEX(DropDown!$J$2:$J$63,MATCH(1,COUNTIF(E143,DropDown!$I$2:$I$63),0))</f>
        <v>#N/A</v>
      </c>
      <c r="G143" s="25"/>
      <c r="H143" s="25"/>
      <c r="I143" s="25"/>
      <c r="J143" s="25" t="str">
        <f>'Ingest Template'!B143</f>
        <v/>
      </c>
      <c r="K143" s="25" t="str">
        <f>IF('Ingest Template'!A142="Standard",'Ingest Template'!N142,"Competitive View")</f>
        <v>Competitive View</v>
      </c>
      <c r="L143" s="41" t="s">
        <v>145</v>
      </c>
      <c r="M143" s="25" t="str">
        <f>'Ingest Template'!D142</f>
        <v/>
      </c>
      <c r="N143" s="25"/>
      <c r="O143" s="25"/>
      <c r="P143" s="25"/>
      <c r="Q143" s="25"/>
      <c r="R143" s="25" t="str">
        <f>CONCATENATE('Ingest Template'!F142)</f>
        <v/>
      </c>
      <c r="S143" s="43" t="s">
        <v>160</v>
      </c>
      <c r="T143" s="25" t="str">
        <f>'Ingest Template'!W142</f>
        <v/>
      </c>
      <c r="U143" s="25"/>
      <c r="V143" s="25" t="str">
        <f>LOWER(SUBSTITUTE(SUBSTITUTE(SUBSTITUTE(SUBSTITUTE(SUBSTITUTE('Ingest Template'!Y142,"https:",""),"www.",""),"/",""),"?hl=en",""),"instagram.com",""))</f>
        <v/>
      </c>
      <c r="W143" s="34" t="str">
        <f>(IFERROR(vlookup('Ingest Template'!F143,DropDown!D:E,2,false)&amp;'Ingest Template'!C143,""))</f>
        <v/>
      </c>
      <c r="X143" s="25" t="str">
        <f>'Ingest Template'!AA142</f>
        <v/>
      </c>
      <c r="Y143" s="25"/>
      <c r="Z143" s="25"/>
      <c r="AA143" s="25"/>
      <c r="AB143" s="25" t="str">
        <f>'Ingest Template'!T142</f>
        <v/>
      </c>
      <c r="AC143" s="25"/>
      <c r="AD143" s="25" t="str">
        <f>'Ingest Template'!U142</f>
        <v/>
      </c>
      <c r="AE143" s="25" t="str">
        <f>'Ingest Template'!V142</f>
        <v/>
      </c>
      <c r="AF143" s="25"/>
      <c r="AG143" s="25" t="str">
        <f t="array" ref="AG143">IF('Ingest Template'!A142="Standard",(CONCATENATE(IF(ISBLANK('Ingest Template'!O142),"", 'Ingest Template'!O142&amp;"|DAR"),CHAR(10), IF(ISBLANK('Ingest Template'!P142),"", 'Ingest Template'!P142&amp;"|DAR"),CHAR(10), IF(ISBLANK('Ingest Template'!Q142),"", 'Ingest Template'!Q142&amp;"|DAR"))),(CONCATENATE(IF(ISBLANK('Ingest Template'!O142),"", 'Ingest Template'!O142&amp;"|Operations - Core Title"),CHAR(10), IF(ISBLANK('Ingest Template'!P142),"", 'Ingest Template'!P142&amp;"|Operations - Core Title"),CHAR(10), IF(ISBLANK('Ingest Template'!Q142),"", 'Ingest Template'!Q142&amp;"|Operations - Core Title"))))</f>
        <v>#|Operations - Core Title
#videoGame|Operations - Core Title
</v>
      </c>
      <c r="AH143" s="25"/>
      <c r="AI143" s="25"/>
      <c r="AJ143" s="50" t="str">
        <f>if('Ingest Template'!A142="Standard",'Ingest Template'!R142&amp; "|DAR|DAR|2021-01-01",'Ingest Template'!R142&amp; "|Operations - Core Title|Operations - Core Title")</f>
        <v>#N/A</v>
      </c>
      <c r="AK143" s="25"/>
      <c r="AL143" s="25" t="str">
        <f>if('Ingest Template'!A142="Standard",'Ingest Template'!S142&amp; "|2021-01-01",'Ingest Template'!S142)</f>
        <v>#N/A</v>
      </c>
      <c r="AM143" s="25"/>
    </row>
    <row r="144">
      <c r="A144" s="25"/>
      <c r="B144" s="25" t="str">
        <f>'Ingest Template'!C143&amp;IF('Ingest Template'!A143 = "Standard", " - DAR","")</f>
        <v/>
      </c>
      <c r="C144" s="34" t="s">
        <v>92</v>
      </c>
      <c r="D144" s="34" t="str">
        <f>CONCATENATE('Ingest Template'!E144&amp;Char(10)&amp;'Ingest Template'!G144&amp;Char(10)&amp;'Ingest Template'!H144&amp;Char(10)&amp;'Ingest Template'!I144&amp;Char(10)&amp;'Ingest Template'!J144&amp;Char(10)&amp;'Ingest Template'!K144&amp;Char(10)&amp;'Ingest Template'!L144)</f>
        <v>
</v>
      </c>
      <c r="E144" s="25" t="str">
        <f>('Ingest Template'!M144)</f>
        <v/>
      </c>
      <c r="F144" s="40" t="str">
        <f t="array" ref="F144">INDEX(DropDown!$J$2:$J$63,MATCH(1,COUNTIF(E144,DropDown!$I$2:$I$63),0))</f>
        <v>#N/A</v>
      </c>
      <c r="G144" s="25"/>
      <c r="H144" s="25"/>
      <c r="I144" s="25"/>
      <c r="J144" s="25" t="str">
        <f>'Ingest Template'!B144</f>
        <v/>
      </c>
      <c r="K144" s="25" t="str">
        <f>IF('Ingest Template'!A143="Standard",'Ingest Template'!N143,"Competitive View")</f>
        <v>Competitive View</v>
      </c>
      <c r="L144" s="41" t="s">
        <v>145</v>
      </c>
      <c r="M144" s="25" t="str">
        <f>'Ingest Template'!D143</f>
        <v/>
      </c>
      <c r="N144" s="25"/>
      <c r="O144" s="25"/>
      <c r="P144" s="25"/>
      <c r="Q144" s="25"/>
      <c r="R144" s="25" t="str">
        <f>CONCATENATE('Ingest Template'!F143)</f>
        <v/>
      </c>
      <c r="S144" s="43" t="s">
        <v>160</v>
      </c>
      <c r="T144" s="25" t="str">
        <f>'Ingest Template'!W143</f>
        <v/>
      </c>
      <c r="U144" s="25"/>
      <c r="V144" s="25" t="str">
        <f>LOWER(SUBSTITUTE(SUBSTITUTE(SUBSTITUTE(SUBSTITUTE(SUBSTITUTE('Ingest Template'!Y143,"https:",""),"www.",""),"/",""),"?hl=en",""),"instagram.com",""))</f>
        <v/>
      </c>
      <c r="W144" s="34" t="str">
        <f>(IFERROR(vlookup('Ingest Template'!F144,DropDown!D:E,2,false)&amp;'Ingest Template'!C144,""))</f>
        <v/>
      </c>
      <c r="X144" s="25" t="str">
        <f>'Ingest Template'!AA143</f>
        <v/>
      </c>
      <c r="Y144" s="25"/>
      <c r="Z144" s="25"/>
      <c r="AA144" s="25"/>
      <c r="AB144" s="25" t="str">
        <f>'Ingest Template'!T143</f>
        <v/>
      </c>
      <c r="AC144" s="25"/>
      <c r="AD144" s="25" t="str">
        <f>'Ingest Template'!U143</f>
        <v/>
      </c>
      <c r="AE144" s="25" t="str">
        <f>'Ingest Template'!V143</f>
        <v/>
      </c>
      <c r="AF144" s="25"/>
      <c r="AG144" s="25" t="str">
        <f t="array" ref="AG144">IF('Ingest Template'!A143="Standard",(CONCATENATE(IF(ISBLANK('Ingest Template'!O143),"", 'Ingest Template'!O143&amp;"|DAR"),CHAR(10), IF(ISBLANK('Ingest Template'!P143),"", 'Ingest Template'!P143&amp;"|DAR"),CHAR(10), IF(ISBLANK('Ingest Template'!Q143),"", 'Ingest Template'!Q143&amp;"|DAR"))),(CONCATENATE(IF(ISBLANK('Ingest Template'!O143),"", 'Ingest Template'!O143&amp;"|Operations - Core Title"),CHAR(10), IF(ISBLANK('Ingest Template'!P143),"", 'Ingest Template'!P143&amp;"|Operations - Core Title"),CHAR(10), IF(ISBLANK('Ingest Template'!Q143),"", 'Ingest Template'!Q143&amp;"|Operations - Core Title"))))</f>
        <v>#|Operations - Core Title
#videoGame|Operations - Core Title
</v>
      </c>
      <c r="AH144" s="25"/>
      <c r="AI144" s="25"/>
      <c r="AJ144" s="50" t="str">
        <f>if('Ingest Template'!A143="Standard",'Ingest Template'!R143&amp; "|DAR|DAR|2021-01-01",'Ingest Template'!R143&amp; "|Operations - Core Title|Operations - Core Title")</f>
        <v>#N/A</v>
      </c>
      <c r="AK144" s="25"/>
      <c r="AL144" s="25" t="str">
        <f>if('Ingest Template'!A143="Standard",'Ingest Template'!S143&amp; "|2021-01-01",'Ingest Template'!S143)</f>
        <v>#N/A</v>
      </c>
      <c r="AM144" s="25"/>
    </row>
    <row r="145">
      <c r="A145" s="25"/>
      <c r="B145" s="25" t="str">
        <f>'Ingest Template'!C144&amp;IF('Ingest Template'!A144 = "Standard", " - DAR","")</f>
        <v/>
      </c>
      <c r="C145" s="34" t="s">
        <v>92</v>
      </c>
      <c r="D145" s="34" t="str">
        <f>CONCATENATE('Ingest Template'!E145&amp;Char(10)&amp;'Ingest Template'!G145&amp;Char(10)&amp;'Ingest Template'!H145&amp;Char(10)&amp;'Ingest Template'!I145&amp;Char(10)&amp;'Ingest Template'!J145&amp;Char(10)&amp;'Ingest Template'!K145&amp;Char(10)&amp;'Ingest Template'!L145)</f>
        <v>
</v>
      </c>
      <c r="E145" s="25" t="str">
        <f>('Ingest Template'!M145)</f>
        <v/>
      </c>
      <c r="F145" s="40" t="str">
        <f t="array" ref="F145">INDEX(DropDown!$J$2:$J$63,MATCH(1,COUNTIF(E145,DropDown!$I$2:$I$63),0))</f>
        <v>#N/A</v>
      </c>
      <c r="G145" s="25"/>
      <c r="H145" s="25"/>
      <c r="I145" s="25"/>
      <c r="J145" s="25" t="str">
        <f>'Ingest Template'!B145</f>
        <v/>
      </c>
      <c r="K145" s="25" t="str">
        <f>IF('Ingest Template'!A144="Standard",'Ingest Template'!N144,"Competitive View")</f>
        <v>Competitive View</v>
      </c>
      <c r="L145" s="41" t="s">
        <v>145</v>
      </c>
      <c r="M145" s="25" t="str">
        <f>'Ingest Template'!D144</f>
        <v/>
      </c>
      <c r="N145" s="25"/>
      <c r="O145" s="25"/>
      <c r="P145" s="25"/>
      <c r="Q145" s="25"/>
      <c r="R145" s="25" t="str">
        <f>CONCATENATE('Ingest Template'!F144)</f>
        <v/>
      </c>
      <c r="S145" s="43" t="s">
        <v>160</v>
      </c>
      <c r="T145" s="25" t="str">
        <f>'Ingest Template'!W144</f>
        <v/>
      </c>
      <c r="U145" s="25"/>
      <c r="V145" s="25" t="str">
        <f>LOWER(SUBSTITUTE(SUBSTITUTE(SUBSTITUTE(SUBSTITUTE(SUBSTITUTE('Ingest Template'!Y144,"https:",""),"www.",""),"/",""),"?hl=en",""),"instagram.com",""))</f>
        <v/>
      </c>
      <c r="W145" s="34" t="str">
        <f>(IFERROR(vlookup('Ingest Template'!F145,DropDown!D:E,2,false)&amp;'Ingest Template'!C145,""))</f>
        <v/>
      </c>
      <c r="X145" s="25" t="str">
        <f>'Ingest Template'!AA144</f>
        <v/>
      </c>
      <c r="Y145" s="25"/>
      <c r="Z145" s="25"/>
      <c r="AA145" s="25"/>
      <c r="AB145" s="25" t="str">
        <f>'Ingest Template'!T144</f>
        <v/>
      </c>
      <c r="AC145" s="25"/>
      <c r="AD145" s="25" t="str">
        <f>'Ingest Template'!U144</f>
        <v/>
      </c>
      <c r="AE145" s="25" t="str">
        <f>'Ingest Template'!V144</f>
        <v/>
      </c>
      <c r="AF145" s="25"/>
      <c r="AG145" s="25" t="str">
        <f t="array" ref="AG145">IF('Ingest Template'!A144="Standard",(CONCATENATE(IF(ISBLANK('Ingest Template'!O144),"", 'Ingest Template'!O144&amp;"|DAR"),CHAR(10), IF(ISBLANK('Ingest Template'!P144),"", 'Ingest Template'!P144&amp;"|DAR"),CHAR(10), IF(ISBLANK('Ingest Template'!Q144),"", 'Ingest Template'!Q144&amp;"|DAR"))),(CONCATENATE(IF(ISBLANK('Ingest Template'!O144),"", 'Ingest Template'!O144&amp;"|Operations - Core Title"),CHAR(10), IF(ISBLANK('Ingest Template'!P144),"", 'Ingest Template'!P144&amp;"|Operations - Core Title"),CHAR(10), IF(ISBLANK('Ingest Template'!Q144),"", 'Ingest Template'!Q144&amp;"|Operations - Core Title"))))</f>
        <v>#|Operations - Core Title
#videoGame|Operations - Core Title
</v>
      </c>
      <c r="AH145" s="25"/>
      <c r="AI145" s="25"/>
      <c r="AJ145" s="50" t="str">
        <f>if('Ingest Template'!A144="Standard",'Ingest Template'!R144&amp; "|DAR|DAR|2021-01-01",'Ingest Template'!R144&amp; "|Operations - Core Title|Operations - Core Title")</f>
        <v>#N/A</v>
      </c>
      <c r="AK145" s="25"/>
      <c r="AL145" s="25" t="str">
        <f>if('Ingest Template'!A144="Standard",'Ingest Template'!S144&amp; "|2021-01-01",'Ingest Template'!S144)</f>
        <v>#N/A</v>
      </c>
      <c r="AM145" s="25"/>
    </row>
    <row r="146">
      <c r="A146" s="25"/>
      <c r="B146" s="25" t="str">
        <f>'Ingest Template'!C145&amp;IF('Ingest Template'!A145 = "Standard", " - DAR","")</f>
        <v/>
      </c>
      <c r="C146" s="34" t="s">
        <v>92</v>
      </c>
      <c r="D146" s="34" t="str">
        <f>CONCATENATE('Ingest Template'!E146&amp;Char(10)&amp;'Ingest Template'!G146&amp;Char(10)&amp;'Ingest Template'!H146&amp;Char(10)&amp;'Ingest Template'!I146&amp;Char(10)&amp;'Ingest Template'!J146&amp;Char(10)&amp;'Ingest Template'!K146&amp;Char(10)&amp;'Ingest Template'!L146)</f>
        <v>
</v>
      </c>
      <c r="E146" s="25" t="str">
        <f>('Ingest Template'!M146)</f>
        <v/>
      </c>
      <c r="F146" s="40" t="str">
        <f t="array" ref="F146">INDEX(DropDown!$J$2:$J$63,MATCH(1,COUNTIF(E146,DropDown!$I$2:$I$63),0))</f>
        <v>#N/A</v>
      </c>
      <c r="G146" s="25"/>
      <c r="H146" s="25"/>
      <c r="I146" s="25"/>
      <c r="J146" s="25" t="str">
        <f>'Ingest Template'!B146</f>
        <v/>
      </c>
      <c r="K146" s="25" t="str">
        <f>IF('Ingest Template'!A145="Standard",'Ingest Template'!N145,"Competitive View")</f>
        <v>Competitive View</v>
      </c>
      <c r="L146" s="41" t="s">
        <v>145</v>
      </c>
      <c r="M146" s="25" t="str">
        <f>'Ingest Template'!D145</f>
        <v/>
      </c>
      <c r="N146" s="25"/>
      <c r="O146" s="25"/>
      <c r="P146" s="25"/>
      <c r="Q146" s="25"/>
      <c r="R146" s="25" t="str">
        <f>CONCATENATE('Ingest Template'!F145)</f>
        <v/>
      </c>
      <c r="S146" s="43" t="s">
        <v>160</v>
      </c>
      <c r="T146" s="25" t="str">
        <f>'Ingest Template'!W145</f>
        <v/>
      </c>
      <c r="U146" s="25"/>
      <c r="V146" s="25" t="str">
        <f>LOWER(SUBSTITUTE(SUBSTITUTE(SUBSTITUTE(SUBSTITUTE(SUBSTITUTE('Ingest Template'!Y145,"https:",""),"www.",""),"/",""),"?hl=en",""),"instagram.com",""))</f>
        <v/>
      </c>
      <c r="W146" s="34" t="str">
        <f>(IFERROR(vlookup('Ingest Template'!F146,DropDown!D:E,2,false)&amp;'Ingest Template'!C146,""))</f>
        <v/>
      </c>
      <c r="X146" s="25" t="str">
        <f>'Ingest Template'!AA145</f>
        <v/>
      </c>
      <c r="Y146" s="25"/>
      <c r="Z146" s="25"/>
      <c r="AA146" s="25"/>
      <c r="AB146" s="25" t="str">
        <f>'Ingest Template'!T145</f>
        <v/>
      </c>
      <c r="AC146" s="25"/>
      <c r="AD146" s="25" t="str">
        <f>'Ingest Template'!U145</f>
        <v/>
      </c>
      <c r="AE146" s="25" t="str">
        <f>'Ingest Template'!V145</f>
        <v/>
      </c>
      <c r="AF146" s="25"/>
      <c r="AG146" s="25" t="str">
        <f t="array" ref="AG146">IF('Ingest Template'!A145="Standard",(CONCATENATE(IF(ISBLANK('Ingest Template'!O145),"", 'Ingest Template'!O145&amp;"|DAR"),CHAR(10), IF(ISBLANK('Ingest Template'!P145),"", 'Ingest Template'!P145&amp;"|DAR"),CHAR(10), IF(ISBLANK('Ingest Template'!Q145),"", 'Ingest Template'!Q145&amp;"|DAR"))),(CONCATENATE(IF(ISBLANK('Ingest Template'!O145),"", 'Ingest Template'!O145&amp;"|Operations - Core Title"),CHAR(10), IF(ISBLANK('Ingest Template'!P145),"", 'Ingest Template'!P145&amp;"|Operations - Core Title"),CHAR(10), IF(ISBLANK('Ingest Template'!Q145),"", 'Ingest Template'!Q145&amp;"|Operations - Core Title"))))</f>
        <v>#|Operations - Core Title
#videoGame|Operations - Core Title
</v>
      </c>
      <c r="AH146" s="25"/>
      <c r="AI146" s="25"/>
      <c r="AJ146" s="50" t="str">
        <f>if('Ingest Template'!A145="Standard",'Ingest Template'!R145&amp; "|DAR|DAR|2021-01-01",'Ingest Template'!R145&amp; "|Operations - Core Title|Operations - Core Title")</f>
        <v>#N/A</v>
      </c>
      <c r="AK146" s="25"/>
      <c r="AL146" s="25" t="str">
        <f>if('Ingest Template'!A145="Standard",'Ingest Template'!S145&amp; "|2021-01-01",'Ingest Template'!S145)</f>
        <v>#N/A</v>
      </c>
      <c r="AM146" s="25"/>
    </row>
    <row r="147">
      <c r="A147" s="25"/>
      <c r="B147" s="25" t="str">
        <f>'Ingest Template'!C146&amp;IF('Ingest Template'!A146 = "Standard", " - DAR","")</f>
        <v/>
      </c>
      <c r="C147" s="34" t="s">
        <v>92</v>
      </c>
      <c r="D147" s="34" t="str">
        <f>CONCATENATE('Ingest Template'!E147&amp;Char(10)&amp;'Ingest Template'!G147&amp;Char(10)&amp;'Ingest Template'!H147&amp;Char(10)&amp;'Ingest Template'!I147&amp;Char(10)&amp;'Ingest Template'!J147&amp;Char(10)&amp;'Ingest Template'!K147&amp;Char(10)&amp;'Ingest Template'!L147)</f>
        <v>
</v>
      </c>
      <c r="E147" s="25" t="str">
        <f>('Ingest Template'!M147)</f>
        <v/>
      </c>
      <c r="F147" s="40" t="str">
        <f t="array" ref="F147">INDEX(DropDown!$J$2:$J$63,MATCH(1,COUNTIF(E147,DropDown!$I$2:$I$63),0))</f>
        <v>#N/A</v>
      </c>
      <c r="G147" s="25"/>
      <c r="H147" s="25"/>
      <c r="I147" s="25"/>
      <c r="J147" s="25" t="str">
        <f>'Ingest Template'!B147</f>
        <v/>
      </c>
      <c r="K147" s="25" t="str">
        <f>IF('Ingest Template'!A146="Standard",'Ingest Template'!N146,"Competitive View")</f>
        <v>Competitive View</v>
      </c>
      <c r="L147" s="41" t="s">
        <v>145</v>
      </c>
      <c r="M147" s="25" t="str">
        <f>'Ingest Template'!D146</f>
        <v/>
      </c>
      <c r="N147" s="25"/>
      <c r="O147" s="25"/>
      <c r="P147" s="25"/>
      <c r="Q147" s="25"/>
      <c r="R147" s="25" t="str">
        <f>CONCATENATE('Ingest Template'!F146)</f>
        <v/>
      </c>
      <c r="S147" s="43" t="s">
        <v>160</v>
      </c>
      <c r="T147" s="25" t="str">
        <f>'Ingest Template'!W146</f>
        <v/>
      </c>
      <c r="U147" s="25"/>
      <c r="V147" s="25" t="str">
        <f>LOWER(SUBSTITUTE(SUBSTITUTE(SUBSTITUTE(SUBSTITUTE(SUBSTITUTE('Ingest Template'!Y146,"https:",""),"www.",""),"/",""),"?hl=en",""),"instagram.com",""))</f>
        <v/>
      </c>
      <c r="W147" s="34" t="str">
        <f>(IFERROR(vlookup('Ingest Template'!F147,DropDown!D:E,2,false)&amp;'Ingest Template'!C147,""))</f>
        <v/>
      </c>
      <c r="X147" s="25" t="str">
        <f>'Ingest Template'!AA146</f>
        <v/>
      </c>
      <c r="Y147" s="25"/>
      <c r="Z147" s="25"/>
      <c r="AA147" s="25"/>
      <c r="AB147" s="25" t="str">
        <f>'Ingest Template'!T146</f>
        <v/>
      </c>
      <c r="AC147" s="25"/>
      <c r="AD147" s="25" t="str">
        <f>'Ingest Template'!U146</f>
        <v/>
      </c>
      <c r="AE147" s="25" t="str">
        <f>'Ingest Template'!V146</f>
        <v/>
      </c>
      <c r="AF147" s="25"/>
      <c r="AG147" s="25" t="str">
        <f t="array" ref="AG147">IF('Ingest Template'!A146="Standard",(CONCATENATE(IF(ISBLANK('Ingest Template'!O146),"", 'Ingest Template'!O146&amp;"|DAR"),CHAR(10), IF(ISBLANK('Ingest Template'!P146),"", 'Ingest Template'!P146&amp;"|DAR"),CHAR(10), IF(ISBLANK('Ingest Template'!Q146),"", 'Ingest Template'!Q146&amp;"|DAR"))),(CONCATENATE(IF(ISBLANK('Ingest Template'!O146),"", 'Ingest Template'!O146&amp;"|Operations - Core Title"),CHAR(10), IF(ISBLANK('Ingest Template'!P146),"", 'Ingest Template'!P146&amp;"|Operations - Core Title"),CHAR(10), IF(ISBLANK('Ingest Template'!Q146),"", 'Ingest Template'!Q146&amp;"|Operations - Core Title"))))</f>
        <v>#|Operations - Core Title
#videoGame|Operations - Core Title
</v>
      </c>
      <c r="AH147" s="25"/>
      <c r="AI147" s="25"/>
      <c r="AJ147" s="50" t="str">
        <f>if('Ingest Template'!A146="Standard",'Ingest Template'!R146&amp; "|DAR|DAR|2021-01-01",'Ingest Template'!R146&amp; "|Operations - Core Title|Operations - Core Title")</f>
        <v>#N/A</v>
      </c>
      <c r="AK147" s="25"/>
      <c r="AL147" s="25" t="str">
        <f>if('Ingest Template'!A146="Standard",'Ingest Template'!S146&amp; "|2021-01-01",'Ingest Template'!S146)</f>
        <v>#N/A</v>
      </c>
      <c r="AM147" s="25"/>
    </row>
    <row r="148">
      <c r="A148" s="25"/>
      <c r="B148" s="25" t="str">
        <f>'Ingest Template'!C147&amp;IF('Ingest Template'!A147 = "Standard", " - DAR","")</f>
        <v/>
      </c>
      <c r="C148" s="34" t="s">
        <v>92</v>
      </c>
      <c r="D148" s="34" t="str">
        <f>CONCATENATE('Ingest Template'!E148&amp;Char(10)&amp;'Ingest Template'!G148&amp;Char(10)&amp;'Ingest Template'!H148&amp;Char(10)&amp;'Ingest Template'!I148&amp;Char(10)&amp;'Ingest Template'!J148&amp;Char(10)&amp;'Ingest Template'!K148&amp;Char(10)&amp;'Ingest Template'!L148)</f>
        <v>
</v>
      </c>
      <c r="E148" s="25" t="str">
        <f>('Ingest Template'!M148)</f>
        <v/>
      </c>
      <c r="F148" s="40" t="str">
        <f t="array" ref="F148">INDEX(DropDown!$J$2:$J$63,MATCH(1,COUNTIF(E148,DropDown!$I$2:$I$63),0))</f>
        <v>#N/A</v>
      </c>
      <c r="G148" s="25"/>
      <c r="H148" s="25"/>
      <c r="I148" s="25"/>
      <c r="J148" s="25" t="str">
        <f>'Ingest Template'!B148</f>
        <v/>
      </c>
      <c r="K148" s="25" t="str">
        <f>IF('Ingest Template'!A147="Standard",'Ingest Template'!N147,"Competitive View")</f>
        <v>Competitive View</v>
      </c>
      <c r="L148" s="41" t="s">
        <v>145</v>
      </c>
      <c r="M148" s="25" t="str">
        <f>'Ingest Template'!D147</f>
        <v/>
      </c>
      <c r="N148" s="25"/>
      <c r="O148" s="25"/>
      <c r="P148" s="25"/>
      <c r="Q148" s="25"/>
      <c r="R148" s="25" t="str">
        <f>CONCATENATE('Ingest Template'!F147)</f>
        <v/>
      </c>
      <c r="S148" s="43" t="s">
        <v>160</v>
      </c>
      <c r="T148" s="25" t="str">
        <f>'Ingest Template'!W147</f>
        <v/>
      </c>
      <c r="U148" s="25"/>
      <c r="V148" s="25" t="str">
        <f>LOWER(SUBSTITUTE(SUBSTITUTE(SUBSTITUTE(SUBSTITUTE(SUBSTITUTE('Ingest Template'!Y147,"https:",""),"www.",""),"/",""),"?hl=en",""),"instagram.com",""))</f>
        <v/>
      </c>
      <c r="W148" s="34" t="str">
        <f>(IFERROR(vlookup('Ingest Template'!F148,DropDown!D:E,2,false)&amp;'Ingest Template'!C148,""))</f>
        <v/>
      </c>
      <c r="X148" s="25" t="str">
        <f>'Ingest Template'!AA147</f>
        <v/>
      </c>
      <c r="Y148" s="25"/>
      <c r="Z148" s="25"/>
      <c r="AA148" s="25"/>
      <c r="AB148" s="25" t="str">
        <f>'Ingest Template'!T147</f>
        <v/>
      </c>
      <c r="AC148" s="25"/>
      <c r="AD148" s="25" t="str">
        <f>'Ingest Template'!U147</f>
        <v/>
      </c>
      <c r="AE148" s="25" t="str">
        <f>'Ingest Template'!V147</f>
        <v/>
      </c>
      <c r="AF148" s="25"/>
      <c r="AG148" s="25" t="str">
        <f t="array" ref="AG148">IF('Ingest Template'!A147="Standard",(CONCATENATE(IF(ISBLANK('Ingest Template'!O147),"", 'Ingest Template'!O147&amp;"|DAR"),CHAR(10), IF(ISBLANK('Ingest Template'!P147),"", 'Ingest Template'!P147&amp;"|DAR"),CHAR(10), IF(ISBLANK('Ingest Template'!Q147),"", 'Ingest Template'!Q147&amp;"|DAR"))),(CONCATENATE(IF(ISBLANK('Ingest Template'!O147),"", 'Ingest Template'!O147&amp;"|Operations - Core Title"),CHAR(10), IF(ISBLANK('Ingest Template'!P147),"", 'Ingest Template'!P147&amp;"|Operations - Core Title"),CHAR(10), IF(ISBLANK('Ingest Template'!Q147),"", 'Ingest Template'!Q147&amp;"|Operations - Core Title"))))</f>
        <v>#|Operations - Core Title
#videoGame|Operations - Core Title
</v>
      </c>
      <c r="AH148" s="25"/>
      <c r="AI148" s="25"/>
      <c r="AJ148" s="50" t="str">
        <f>if('Ingest Template'!A147="Standard",'Ingest Template'!R147&amp; "|DAR|DAR|2021-01-01",'Ingest Template'!R147&amp; "|Operations - Core Title|Operations - Core Title")</f>
        <v>#N/A</v>
      </c>
      <c r="AK148" s="25"/>
      <c r="AL148" s="25" t="str">
        <f>if('Ingest Template'!A147="Standard",'Ingest Template'!S147&amp; "|2021-01-01",'Ingest Template'!S147)</f>
        <v>#N/A</v>
      </c>
      <c r="AM148" s="25"/>
    </row>
    <row r="149">
      <c r="A149" s="25"/>
      <c r="B149" s="25" t="str">
        <f>'Ingest Template'!C148&amp;IF('Ingest Template'!A148 = "Standard", " - DAR","")</f>
        <v/>
      </c>
      <c r="C149" s="34" t="s">
        <v>92</v>
      </c>
      <c r="D149" s="34" t="str">
        <f>CONCATENATE('Ingest Template'!E149&amp;Char(10)&amp;'Ingest Template'!G149&amp;Char(10)&amp;'Ingest Template'!H149&amp;Char(10)&amp;'Ingest Template'!I149&amp;Char(10)&amp;'Ingest Template'!J149&amp;Char(10)&amp;'Ingest Template'!K149&amp;Char(10)&amp;'Ingest Template'!L149)</f>
        <v>
</v>
      </c>
      <c r="E149" s="25" t="str">
        <f>('Ingest Template'!M149)</f>
        <v/>
      </c>
      <c r="F149" s="40" t="str">
        <f t="array" ref="F149">INDEX(DropDown!$J$2:$J$63,MATCH(1,COUNTIF(E149,DropDown!$I$2:$I$63),0))</f>
        <v>#N/A</v>
      </c>
      <c r="G149" s="25"/>
      <c r="H149" s="25"/>
      <c r="I149" s="25"/>
      <c r="J149" s="25" t="str">
        <f>'Ingest Template'!B149</f>
        <v/>
      </c>
      <c r="K149" s="25" t="str">
        <f>IF('Ingest Template'!A148="Standard",'Ingest Template'!N148,"Competitive View")</f>
        <v>Competitive View</v>
      </c>
      <c r="L149" s="41" t="s">
        <v>145</v>
      </c>
      <c r="M149" s="25" t="str">
        <f>'Ingest Template'!D148</f>
        <v/>
      </c>
      <c r="N149" s="25"/>
      <c r="O149" s="25"/>
      <c r="P149" s="25"/>
      <c r="Q149" s="25"/>
      <c r="R149" s="25" t="str">
        <f>CONCATENATE('Ingest Template'!F148)</f>
        <v/>
      </c>
      <c r="S149" s="43" t="s">
        <v>160</v>
      </c>
      <c r="T149" s="25" t="str">
        <f>'Ingest Template'!W148</f>
        <v/>
      </c>
      <c r="U149" s="25"/>
      <c r="V149" s="25" t="str">
        <f>LOWER(SUBSTITUTE(SUBSTITUTE(SUBSTITUTE(SUBSTITUTE(SUBSTITUTE('Ingest Template'!Y148,"https:",""),"www.",""),"/",""),"?hl=en",""),"instagram.com",""))</f>
        <v/>
      </c>
      <c r="W149" s="34" t="str">
        <f>(IFERROR(vlookup('Ingest Template'!F149,DropDown!D:E,2,false)&amp;'Ingest Template'!C149,""))</f>
        <v/>
      </c>
      <c r="X149" s="25" t="str">
        <f>'Ingest Template'!AA148</f>
        <v/>
      </c>
      <c r="Y149" s="25"/>
      <c r="Z149" s="25"/>
      <c r="AA149" s="25"/>
      <c r="AB149" s="25" t="str">
        <f>'Ingest Template'!T148</f>
        <v/>
      </c>
      <c r="AC149" s="25"/>
      <c r="AD149" s="25" t="str">
        <f>'Ingest Template'!U148</f>
        <v/>
      </c>
      <c r="AE149" s="25" t="str">
        <f>'Ingest Template'!V148</f>
        <v/>
      </c>
      <c r="AF149" s="25"/>
      <c r="AG149" s="25" t="str">
        <f t="array" ref="AG149">IF('Ingest Template'!A148="Standard",(CONCATENATE(IF(ISBLANK('Ingest Template'!O148),"", 'Ingest Template'!O148&amp;"|DAR"),CHAR(10), IF(ISBLANK('Ingest Template'!P148),"", 'Ingest Template'!P148&amp;"|DAR"),CHAR(10), IF(ISBLANK('Ingest Template'!Q148),"", 'Ingest Template'!Q148&amp;"|DAR"))),(CONCATENATE(IF(ISBLANK('Ingest Template'!O148),"", 'Ingest Template'!O148&amp;"|Operations - Core Title"),CHAR(10), IF(ISBLANK('Ingest Template'!P148),"", 'Ingest Template'!P148&amp;"|Operations - Core Title"),CHAR(10), IF(ISBLANK('Ingest Template'!Q148),"", 'Ingest Template'!Q148&amp;"|Operations - Core Title"))))</f>
        <v>#|Operations - Core Title
#videoGame|Operations - Core Title
</v>
      </c>
      <c r="AH149" s="25"/>
      <c r="AI149" s="25"/>
      <c r="AJ149" s="50" t="str">
        <f>if('Ingest Template'!A148="Standard",'Ingest Template'!R148&amp; "|DAR|DAR|2021-01-01",'Ingest Template'!R148&amp; "|Operations - Core Title|Operations - Core Title")</f>
        <v>#N/A</v>
      </c>
      <c r="AK149" s="25"/>
      <c r="AL149" s="25" t="str">
        <f>if('Ingest Template'!A148="Standard",'Ingest Template'!S148&amp; "|2021-01-01",'Ingest Template'!S148)</f>
        <v>#N/A</v>
      </c>
      <c r="AM149" s="25"/>
    </row>
    <row r="150">
      <c r="A150" s="25"/>
      <c r="B150" s="25" t="str">
        <f>'Ingest Template'!C149&amp;IF('Ingest Template'!A149 = "Standard", " - DAR","")</f>
        <v/>
      </c>
      <c r="C150" s="34" t="s">
        <v>92</v>
      </c>
      <c r="D150" s="34" t="str">
        <f>CONCATENATE('Ingest Template'!E150&amp;Char(10)&amp;'Ingest Template'!G150&amp;Char(10)&amp;'Ingest Template'!H150&amp;Char(10)&amp;'Ingest Template'!I150&amp;Char(10)&amp;'Ingest Template'!J150&amp;Char(10)&amp;'Ingest Template'!K150&amp;Char(10)&amp;'Ingest Template'!L150)</f>
        <v>
</v>
      </c>
      <c r="E150" s="25" t="str">
        <f>('Ingest Template'!M150)</f>
        <v/>
      </c>
      <c r="F150" s="40" t="str">
        <f t="array" ref="F150">INDEX(DropDown!$J$2:$J$63,MATCH(1,COUNTIF(E150,DropDown!$I$2:$I$63),0))</f>
        <v>#N/A</v>
      </c>
      <c r="G150" s="25"/>
      <c r="H150" s="25"/>
      <c r="I150" s="25"/>
      <c r="J150" s="25" t="str">
        <f>'Ingest Template'!B150</f>
        <v/>
      </c>
      <c r="K150" s="25" t="str">
        <f>IF('Ingest Template'!A149="Standard",'Ingest Template'!N149,"Competitive View")</f>
        <v>Competitive View</v>
      </c>
      <c r="L150" s="41" t="s">
        <v>145</v>
      </c>
      <c r="M150" s="25" t="str">
        <f>'Ingest Template'!D149</f>
        <v/>
      </c>
      <c r="N150" s="25"/>
      <c r="O150" s="25"/>
      <c r="P150" s="25"/>
      <c r="Q150" s="25"/>
      <c r="R150" s="25" t="str">
        <f>CONCATENATE('Ingest Template'!F149)</f>
        <v/>
      </c>
      <c r="S150" s="43" t="s">
        <v>160</v>
      </c>
      <c r="T150" s="25" t="str">
        <f>'Ingest Template'!W149</f>
        <v/>
      </c>
      <c r="U150" s="25"/>
      <c r="V150" s="25" t="str">
        <f>LOWER(SUBSTITUTE(SUBSTITUTE(SUBSTITUTE(SUBSTITUTE(SUBSTITUTE('Ingest Template'!Y149,"https:",""),"www.",""),"/",""),"?hl=en",""),"instagram.com",""))</f>
        <v/>
      </c>
      <c r="W150" s="34" t="str">
        <f>(IFERROR(vlookup('Ingest Template'!F150,DropDown!D:E,2,false)&amp;'Ingest Template'!C150,""))</f>
        <v/>
      </c>
      <c r="X150" s="25" t="str">
        <f>'Ingest Template'!AA149</f>
        <v/>
      </c>
      <c r="Y150" s="25"/>
      <c r="Z150" s="25"/>
      <c r="AA150" s="25"/>
      <c r="AB150" s="25" t="str">
        <f>'Ingest Template'!T149</f>
        <v/>
      </c>
      <c r="AC150" s="25"/>
      <c r="AD150" s="25" t="str">
        <f>'Ingest Template'!U149</f>
        <v/>
      </c>
      <c r="AE150" s="25" t="str">
        <f>'Ingest Template'!V149</f>
        <v/>
      </c>
      <c r="AF150" s="25"/>
      <c r="AG150" s="25" t="str">
        <f t="array" ref="AG150">IF('Ingest Template'!A149="Standard",(CONCATENATE(IF(ISBLANK('Ingest Template'!O149),"", 'Ingest Template'!O149&amp;"|DAR"),CHAR(10), IF(ISBLANK('Ingest Template'!P149),"", 'Ingest Template'!P149&amp;"|DAR"),CHAR(10), IF(ISBLANK('Ingest Template'!Q149),"", 'Ingest Template'!Q149&amp;"|DAR"))),(CONCATENATE(IF(ISBLANK('Ingest Template'!O149),"", 'Ingest Template'!O149&amp;"|Operations - Core Title"),CHAR(10), IF(ISBLANK('Ingest Template'!P149),"", 'Ingest Template'!P149&amp;"|Operations - Core Title"),CHAR(10), IF(ISBLANK('Ingest Template'!Q149),"", 'Ingest Template'!Q149&amp;"|Operations - Core Title"))))</f>
        <v>#|Operations - Core Title
#videoGame|Operations - Core Title
</v>
      </c>
      <c r="AH150" s="25"/>
      <c r="AI150" s="25"/>
      <c r="AJ150" s="50" t="str">
        <f>if('Ingest Template'!A149="Standard",'Ingest Template'!R149&amp; "|DAR|DAR|2021-01-01",'Ingest Template'!R149&amp; "|Operations - Core Title|Operations - Core Title")</f>
        <v>#N/A</v>
      </c>
      <c r="AK150" s="25"/>
      <c r="AL150" s="25" t="str">
        <f>if('Ingest Template'!A149="Standard",'Ingest Template'!S149&amp; "|2021-01-01",'Ingest Template'!S149)</f>
        <v>#N/A</v>
      </c>
      <c r="AM150" s="25"/>
    </row>
    <row r="151">
      <c r="A151" s="25"/>
      <c r="B151" s="25" t="str">
        <f>'Ingest Template'!C150&amp;IF('Ingest Template'!A150 = "Standard", " - DAR","")</f>
        <v/>
      </c>
      <c r="C151" s="34" t="s">
        <v>92</v>
      </c>
      <c r="D151" s="34" t="str">
        <f>CONCATENATE('Ingest Template'!E151&amp;Char(10)&amp;'Ingest Template'!G151&amp;Char(10)&amp;'Ingest Template'!H151&amp;Char(10)&amp;'Ingest Template'!I151&amp;Char(10)&amp;'Ingest Template'!J151&amp;Char(10)&amp;'Ingest Template'!K151&amp;Char(10)&amp;'Ingest Template'!L151)</f>
        <v>
</v>
      </c>
      <c r="E151" s="25" t="str">
        <f>('Ingest Template'!M151)</f>
        <v/>
      </c>
      <c r="F151" s="40" t="str">
        <f t="array" ref="F151">INDEX(DropDown!$J$2:$J$63,MATCH(1,COUNTIF(E151,DropDown!$I$2:$I$63),0))</f>
        <v>#N/A</v>
      </c>
      <c r="G151" s="25"/>
      <c r="H151" s="25"/>
      <c r="I151" s="25"/>
      <c r="J151" s="25" t="str">
        <f>'Ingest Template'!B151</f>
        <v/>
      </c>
      <c r="K151" s="25" t="str">
        <f>IF('Ingest Template'!A150="Standard",'Ingest Template'!N150,"Competitive View")</f>
        <v>Competitive View</v>
      </c>
      <c r="L151" s="41" t="s">
        <v>145</v>
      </c>
      <c r="M151" s="25" t="str">
        <f>'Ingest Template'!D150</f>
        <v/>
      </c>
      <c r="N151" s="25"/>
      <c r="O151" s="25"/>
      <c r="P151" s="25"/>
      <c r="Q151" s="25"/>
      <c r="R151" s="25" t="str">
        <f>CONCATENATE('Ingest Template'!F150)</f>
        <v/>
      </c>
      <c r="S151" s="43" t="s">
        <v>160</v>
      </c>
      <c r="T151" s="25" t="str">
        <f>'Ingest Template'!W150</f>
        <v/>
      </c>
      <c r="U151" s="25"/>
      <c r="V151" s="25" t="str">
        <f>LOWER(SUBSTITUTE(SUBSTITUTE(SUBSTITUTE(SUBSTITUTE(SUBSTITUTE('Ingest Template'!Y150,"https:",""),"www.",""),"/",""),"?hl=en",""),"instagram.com",""))</f>
        <v/>
      </c>
      <c r="W151" s="34" t="str">
        <f>(IFERROR(vlookup('Ingest Template'!F151,DropDown!D:E,2,false)&amp;'Ingest Template'!C151,""))</f>
        <v/>
      </c>
      <c r="X151" s="25" t="str">
        <f>'Ingest Template'!AA150</f>
        <v/>
      </c>
      <c r="Y151" s="25"/>
      <c r="Z151" s="25"/>
      <c r="AA151" s="25"/>
      <c r="AB151" s="25" t="str">
        <f>'Ingest Template'!T150</f>
        <v/>
      </c>
      <c r="AC151" s="25"/>
      <c r="AD151" s="25" t="str">
        <f>'Ingest Template'!U150</f>
        <v/>
      </c>
      <c r="AE151" s="25" t="str">
        <f>'Ingest Template'!V150</f>
        <v/>
      </c>
      <c r="AF151" s="25"/>
      <c r="AG151" s="25" t="str">
        <f t="array" ref="AG151">IF('Ingest Template'!A150="Standard",(CONCATENATE(IF(ISBLANK('Ingest Template'!O150),"", 'Ingest Template'!O150&amp;"|DAR"),CHAR(10), IF(ISBLANK('Ingest Template'!P150),"", 'Ingest Template'!P150&amp;"|DAR"),CHAR(10), IF(ISBLANK('Ingest Template'!Q150),"", 'Ingest Template'!Q150&amp;"|DAR"))),(CONCATENATE(IF(ISBLANK('Ingest Template'!O150),"", 'Ingest Template'!O150&amp;"|Operations - Core Title"),CHAR(10), IF(ISBLANK('Ingest Template'!P150),"", 'Ingest Template'!P150&amp;"|Operations - Core Title"),CHAR(10), IF(ISBLANK('Ingest Template'!Q150),"", 'Ingest Template'!Q150&amp;"|Operations - Core Title"))))</f>
        <v>#|Operations - Core Title
#videoGame|Operations - Core Title
</v>
      </c>
      <c r="AH151" s="25"/>
      <c r="AI151" s="25"/>
      <c r="AJ151" s="50" t="str">
        <f>if('Ingest Template'!A150="Standard",'Ingest Template'!R150&amp; "|DAR|DAR|2021-01-01",'Ingest Template'!R150&amp; "|Operations - Core Title|Operations - Core Title")</f>
        <v>#N/A</v>
      </c>
      <c r="AK151" s="25"/>
      <c r="AL151" s="25" t="str">
        <f>if('Ingest Template'!A150="Standard",'Ingest Template'!S150&amp; "|2021-01-01",'Ingest Template'!S150)</f>
        <v>#N/A</v>
      </c>
      <c r="AM151" s="25"/>
    </row>
    <row r="152">
      <c r="A152" s="25"/>
      <c r="B152" s="25" t="str">
        <f>'Ingest Template'!C151&amp;IF('Ingest Template'!A151 = "Standard", " - DAR","")</f>
        <v/>
      </c>
      <c r="C152" s="34" t="s">
        <v>92</v>
      </c>
      <c r="D152" s="34" t="str">
        <f>CONCATENATE('Ingest Template'!E152&amp;Char(10)&amp;'Ingest Template'!G152&amp;Char(10)&amp;'Ingest Template'!H152&amp;Char(10)&amp;'Ingest Template'!I152&amp;Char(10)&amp;'Ingest Template'!J152&amp;Char(10)&amp;'Ingest Template'!K152&amp;Char(10)&amp;'Ingest Template'!L152)</f>
        <v>
</v>
      </c>
      <c r="E152" s="25" t="str">
        <f>('Ingest Template'!M152)</f>
        <v/>
      </c>
      <c r="F152" s="40" t="str">
        <f t="array" ref="F152">INDEX(DropDown!$J$2:$J$63,MATCH(1,COUNTIF(E152,DropDown!$I$2:$I$63),0))</f>
        <v>#N/A</v>
      </c>
      <c r="G152" s="25"/>
      <c r="H152" s="25"/>
      <c r="I152" s="25"/>
      <c r="J152" s="25" t="str">
        <f>'Ingest Template'!B152</f>
        <v/>
      </c>
      <c r="K152" s="25" t="str">
        <f>IF('Ingest Template'!A151="Standard",'Ingest Template'!N151,"Competitive View")</f>
        <v>Competitive View</v>
      </c>
      <c r="L152" s="41" t="s">
        <v>145</v>
      </c>
      <c r="M152" s="25" t="str">
        <f>'Ingest Template'!D151</f>
        <v/>
      </c>
      <c r="N152" s="25"/>
      <c r="O152" s="25"/>
      <c r="P152" s="25"/>
      <c r="Q152" s="25"/>
      <c r="R152" s="25" t="str">
        <f>CONCATENATE('Ingest Template'!F151)</f>
        <v/>
      </c>
      <c r="S152" s="43" t="s">
        <v>160</v>
      </c>
      <c r="T152" s="25" t="str">
        <f>'Ingest Template'!W151</f>
        <v/>
      </c>
      <c r="U152" s="25"/>
      <c r="V152" s="25" t="str">
        <f>LOWER(SUBSTITUTE(SUBSTITUTE(SUBSTITUTE(SUBSTITUTE(SUBSTITUTE('Ingest Template'!Y151,"https:",""),"www.",""),"/",""),"?hl=en",""),"instagram.com",""))</f>
        <v/>
      </c>
      <c r="W152" s="34" t="str">
        <f>(IFERROR(vlookup('Ingest Template'!F152,DropDown!D:E,2,false)&amp;'Ingest Template'!C152,""))</f>
        <v/>
      </c>
      <c r="X152" s="25" t="str">
        <f>'Ingest Template'!AA151</f>
        <v/>
      </c>
      <c r="Y152" s="25"/>
      <c r="Z152" s="25"/>
      <c r="AA152" s="25"/>
      <c r="AB152" s="25" t="str">
        <f>'Ingest Template'!T151</f>
        <v/>
      </c>
      <c r="AC152" s="25"/>
      <c r="AD152" s="25" t="str">
        <f>'Ingest Template'!U151</f>
        <v/>
      </c>
      <c r="AE152" s="25" t="str">
        <f>'Ingest Template'!V151</f>
        <v/>
      </c>
      <c r="AF152" s="25"/>
      <c r="AG152" s="25" t="str">
        <f t="array" ref="AG152">IF('Ingest Template'!A151="Standard",(CONCATENATE(IF(ISBLANK('Ingest Template'!O151),"", 'Ingest Template'!O151&amp;"|DAR"),CHAR(10), IF(ISBLANK('Ingest Template'!P151),"", 'Ingest Template'!P151&amp;"|DAR"),CHAR(10), IF(ISBLANK('Ingest Template'!Q151),"", 'Ingest Template'!Q151&amp;"|DAR"))),(CONCATENATE(IF(ISBLANK('Ingest Template'!O151),"", 'Ingest Template'!O151&amp;"|Operations - Core Title"),CHAR(10), IF(ISBLANK('Ingest Template'!P151),"", 'Ingest Template'!P151&amp;"|Operations - Core Title"),CHAR(10), IF(ISBLANK('Ingest Template'!Q151),"", 'Ingest Template'!Q151&amp;"|Operations - Core Title"))))</f>
        <v>#|Operations - Core Title
#videoGame|Operations - Core Title
</v>
      </c>
      <c r="AH152" s="25"/>
      <c r="AI152" s="25"/>
      <c r="AJ152" s="50" t="str">
        <f>if('Ingest Template'!A151="Standard",'Ingest Template'!R151&amp; "|DAR|DAR|2021-01-01",'Ingest Template'!R151&amp; "|Operations - Core Title|Operations - Core Title")</f>
        <v>#N/A</v>
      </c>
      <c r="AK152" s="25"/>
      <c r="AL152" s="25" t="str">
        <f>if('Ingest Template'!A151="Standard",'Ingest Template'!S151&amp; "|2021-01-01",'Ingest Template'!S151)</f>
        <v>#N/A</v>
      </c>
      <c r="AM152" s="25"/>
    </row>
    <row r="153">
      <c r="A153" s="25"/>
      <c r="B153" s="25" t="str">
        <f>'Ingest Template'!C152&amp;IF('Ingest Template'!A152 = "Standard", " - DAR","")</f>
        <v/>
      </c>
      <c r="C153" s="34" t="s">
        <v>92</v>
      </c>
      <c r="D153" s="34" t="str">
        <f>CONCATENATE('Ingest Template'!E153&amp;Char(10)&amp;'Ingest Template'!G153&amp;Char(10)&amp;'Ingest Template'!H153&amp;Char(10)&amp;'Ingest Template'!I153&amp;Char(10)&amp;'Ingest Template'!J153&amp;Char(10)&amp;'Ingest Template'!K153&amp;Char(10)&amp;'Ingest Template'!L153)</f>
        <v>
</v>
      </c>
      <c r="E153" s="25" t="str">
        <f>('Ingest Template'!M153)</f>
        <v/>
      </c>
      <c r="F153" s="40" t="str">
        <f t="array" ref="F153">INDEX(DropDown!$J$2:$J$63,MATCH(1,COUNTIF(E153,DropDown!$I$2:$I$63),0))</f>
        <v>#N/A</v>
      </c>
      <c r="G153" s="25"/>
      <c r="H153" s="25"/>
      <c r="I153" s="25"/>
      <c r="J153" s="25" t="str">
        <f>'Ingest Template'!B153</f>
        <v/>
      </c>
      <c r="K153" s="25" t="str">
        <f>IF('Ingest Template'!A152="Standard",'Ingest Template'!N152,"Competitive View")</f>
        <v>Competitive View</v>
      </c>
      <c r="L153" s="41" t="s">
        <v>145</v>
      </c>
      <c r="M153" s="25" t="str">
        <f>'Ingest Template'!D152</f>
        <v/>
      </c>
      <c r="N153" s="25"/>
      <c r="O153" s="25"/>
      <c r="P153" s="25"/>
      <c r="Q153" s="25"/>
      <c r="R153" s="25" t="str">
        <f>CONCATENATE('Ingest Template'!F152)</f>
        <v/>
      </c>
      <c r="S153" s="43" t="s">
        <v>160</v>
      </c>
      <c r="T153" s="25" t="str">
        <f>'Ingest Template'!W152</f>
        <v/>
      </c>
      <c r="U153" s="25"/>
      <c r="V153" s="25" t="str">
        <f>LOWER(SUBSTITUTE(SUBSTITUTE(SUBSTITUTE(SUBSTITUTE(SUBSTITUTE('Ingest Template'!Y152,"https:",""),"www.",""),"/",""),"?hl=en",""),"instagram.com",""))</f>
        <v/>
      </c>
      <c r="W153" s="34" t="str">
        <f>(IFERROR(vlookup('Ingest Template'!F153,DropDown!D:E,2,false)&amp;'Ingest Template'!C153,""))</f>
        <v/>
      </c>
      <c r="X153" s="25" t="str">
        <f>'Ingest Template'!AA152</f>
        <v/>
      </c>
      <c r="Y153" s="25"/>
      <c r="Z153" s="25"/>
      <c r="AA153" s="25"/>
      <c r="AB153" s="25" t="str">
        <f>'Ingest Template'!T152</f>
        <v/>
      </c>
      <c r="AC153" s="25"/>
      <c r="AD153" s="25" t="str">
        <f>'Ingest Template'!U152</f>
        <v/>
      </c>
      <c r="AE153" s="25" t="str">
        <f>'Ingest Template'!V152</f>
        <v/>
      </c>
      <c r="AF153" s="25"/>
      <c r="AG153" s="25" t="str">
        <f t="array" ref="AG153">IF('Ingest Template'!A152="Standard",(CONCATENATE(IF(ISBLANK('Ingest Template'!O152),"", 'Ingest Template'!O152&amp;"|DAR"),CHAR(10), IF(ISBLANK('Ingest Template'!P152),"", 'Ingest Template'!P152&amp;"|DAR"),CHAR(10), IF(ISBLANK('Ingest Template'!Q152),"", 'Ingest Template'!Q152&amp;"|DAR"))),(CONCATENATE(IF(ISBLANK('Ingest Template'!O152),"", 'Ingest Template'!O152&amp;"|Operations - Core Title"),CHAR(10), IF(ISBLANK('Ingest Template'!P152),"", 'Ingest Template'!P152&amp;"|Operations - Core Title"),CHAR(10), IF(ISBLANK('Ingest Template'!Q152),"", 'Ingest Template'!Q152&amp;"|Operations - Core Title"))))</f>
        <v>#|Operations - Core Title
#videoGame|Operations - Core Title
</v>
      </c>
      <c r="AH153" s="25"/>
      <c r="AI153" s="25"/>
      <c r="AJ153" s="50" t="str">
        <f>if('Ingest Template'!A152="Standard",'Ingest Template'!R152&amp; "|DAR|DAR|2021-01-01",'Ingest Template'!R152&amp; "|Operations - Core Title|Operations - Core Title")</f>
        <v>#N/A</v>
      </c>
      <c r="AK153" s="25"/>
      <c r="AL153" s="25" t="str">
        <f>if('Ingest Template'!A152="Standard",'Ingest Template'!S152&amp; "|2021-01-01",'Ingest Template'!S152)</f>
        <v>#N/A</v>
      </c>
      <c r="AM153" s="25"/>
    </row>
    <row r="154">
      <c r="A154" s="25"/>
      <c r="B154" s="25" t="str">
        <f>'Ingest Template'!C153&amp;IF('Ingest Template'!A153 = "Standard", " - DAR","")</f>
        <v/>
      </c>
      <c r="C154" s="34" t="s">
        <v>92</v>
      </c>
      <c r="D154" s="34" t="str">
        <f>CONCATENATE('Ingest Template'!E154&amp;Char(10)&amp;'Ingest Template'!G154&amp;Char(10)&amp;'Ingest Template'!H154&amp;Char(10)&amp;'Ingest Template'!I154&amp;Char(10)&amp;'Ingest Template'!J154&amp;Char(10)&amp;'Ingest Template'!K154&amp;Char(10)&amp;'Ingest Template'!L154)</f>
        <v>
</v>
      </c>
      <c r="E154" s="25" t="str">
        <f>('Ingest Template'!M154)</f>
        <v/>
      </c>
      <c r="F154" s="40" t="str">
        <f t="array" ref="F154">INDEX(DropDown!$J$2:$J$63,MATCH(1,COUNTIF(E154,DropDown!$I$2:$I$63),0))</f>
        <v>#N/A</v>
      </c>
      <c r="G154" s="25"/>
      <c r="H154" s="25"/>
      <c r="I154" s="25"/>
      <c r="J154" s="25" t="str">
        <f>'Ingest Template'!B154</f>
        <v/>
      </c>
      <c r="K154" s="25" t="str">
        <f>IF('Ingest Template'!A153="Standard",'Ingest Template'!N153,"Competitive View")</f>
        <v>Competitive View</v>
      </c>
      <c r="L154" s="41" t="s">
        <v>145</v>
      </c>
      <c r="M154" s="25" t="str">
        <f>'Ingest Template'!D153</f>
        <v/>
      </c>
      <c r="N154" s="25"/>
      <c r="O154" s="25"/>
      <c r="P154" s="25"/>
      <c r="Q154" s="25"/>
      <c r="R154" s="25" t="str">
        <f>CONCATENATE('Ingest Template'!F153)</f>
        <v/>
      </c>
      <c r="S154" s="43" t="s">
        <v>160</v>
      </c>
      <c r="T154" s="25" t="str">
        <f>'Ingest Template'!W153</f>
        <v/>
      </c>
      <c r="U154" s="25"/>
      <c r="V154" s="25" t="str">
        <f>LOWER(SUBSTITUTE(SUBSTITUTE(SUBSTITUTE(SUBSTITUTE(SUBSTITUTE('Ingest Template'!Y153,"https:",""),"www.",""),"/",""),"?hl=en",""),"instagram.com",""))</f>
        <v/>
      </c>
      <c r="W154" s="34" t="str">
        <f>(IFERROR(vlookup('Ingest Template'!F154,DropDown!D:E,2,false)&amp;'Ingest Template'!C154,""))</f>
        <v/>
      </c>
      <c r="X154" s="25" t="str">
        <f>'Ingest Template'!AA153</f>
        <v/>
      </c>
      <c r="Y154" s="25"/>
      <c r="Z154" s="25"/>
      <c r="AA154" s="25"/>
      <c r="AB154" s="25" t="str">
        <f>'Ingest Template'!T153</f>
        <v/>
      </c>
      <c r="AC154" s="25"/>
      <c r="AD154" s="25" t="str">
        <f>'Ingest Template'!U153</f>
        <v/>
      </c>
      <c r="AE154" s="25" t="str">
        <f>'Ingest Template'!V153</f>
        <v/>
      </c>
      <c r="AF154" s="25"/>
      <c r="AG154" s="25" t="str">
        <f t="array" ref="AG154">IF('Ingest Template'!A153="Standard",(CONCATENATE(IF(ISBLANK('Ingest Template'!O153),"", 'Ingest Template'!O153&amp;"|DAR"),CHAR(10), IF(ISBLANK('Ingest Template'!P153),"", 'Ingest Template'!P153&amp;"|DAR"),CHAR(10), IF(ISBLANK('Ingest Template'!Q153),"", 'Ingest Template'!Q153&amp;"|DAR"))),(CONCATENATE(IF(ISBLANK('Ingest Template'!O153),"", 'Ingest Template'!O153&amp;"|Operations - Core Title"),CHAR(10), IF(ISBLANK('Ingest Template'!P153),"", 'Ingest Template'!P153&amp;"|Operations - Core Title"),CHAR(10), IF(ISBLANK('Ingest Template'!Q153),"", 'Ingest Template'!Q153&amp;"|Operations - Core Title"))))</f>
        <v>#|Operations - Core Title
#videoGame|Operations - Core Title
</v>
      </c>
      <c r="AH154" s="25"/>
      <c r="AI154" s="25"/>
      <c r="AJ154" s="50" t="str">
        <f>if('Ingest Template'!A153="Standard",'Ingest Template'!R153&amp; "|DAR|DAR|2021-01-01",'Ingest Template'!R153&amp; "|Operations - Core Title|Operations - Core Title")</f>
        <v>#N/A</v>
      </c>
      <c r="AK154" s="25"/>
      <c r="AL154" s="25" t="str">
        <f>if('Ingest Template'!A153="Standard",'Ingest Template'!S153&amp; "|2021-01-01",'Ingest Template'!S153)</f>
        <v>#N/A</v>
      </c>
      <c r="AM154" s="25"/>
    </row>
    <row r="155">
      <c r="A155" s="25"/>
      <c r="B155" s="25" t="str">
        <f>'Ingest Template'!C154&amp;IF('Ingest Template'!A154 = "Standard", " - DAR","")</f>
        <v/>
      </c>
      <c r="C155" s="34" t="s">
        <v>92</v>
      </c>
      <c r="D155" s="34" t="str">
        <f>CONCATENATE('Ingest Template'!E155&amp;Char(10)&amp;'Ingest Template'!G155&amp;Char(10)&amp;'Ingest Template'!H155&amp;Char(10)&amp;'Ingest Template'!I155&amp;Char(10)&amp;'Ingest Template'!J155&amp;Char(10)&amp;'Ingest Template'!K155&amp;Char(10)&amp;'Ingest Template'!L155)</f>
        <v>
</v>
      </c>
      <c r="E155" s="25" t="str">
        <f>('Ingest Template'!M155)</f>
        <v/>
      </c>
      <c r="F155" s="40" t="str">
        <f t="array" ref="F155">INDEX(DropDown!$J$2:$J$63,MATCH(1,COUNTIF(E155,DropDown!$I$2:$I$63),0))</f>
        <v>#N/A</v>
      </c>
      <c r="G155" s="25"/>
      <c r="H155" s="25"/>
      <c r="I155" s="25"/>
      <c r="J155" s="25" t="str">
        <f>'Ingest Template'!B155</f>
        <v/>
      </c>
      <c r="K155" s="25" t="str">
        <f>IF('Ingest Template'!A154="Standard",'Ingest Template'!N154,"Competitive View")</f>
        <v>Competitive View</v>
      </c>
      <c r="L155" s="41" t="s">
        <v>145</v>
      </c>
      <c r="M155" s="25" t="str">
        <f>'Ingest Template'!D154</f>
        <v/>
      </c>
      <c r="N155" s="25"/>
      <c r="O155" s="25"/>
      <c r="P155" s="25"/>
      <c r="Q155" s="25"/>
      <c r="R155" s="25" t="str">
        <f>CONCATENATE('Ingest Template'!F154)</f>
        <v/>
      </c>
      <c r="S155" s="43" t="s">
        <v>160</v>
      </c>
      <c r="T155" s="25" t="str">
        <f>'Ingest Template'!W154</f>
        <v/>
      </c>
      <c r="U155" s="25"/>
      <c r="V155" s="25" t="str">
        <f>LOWER(SUBSTITUTE(SUBSTITUTE(SUBSTITUTE(SUBSTITUTE(SUBSTITUTE('Ingest Template'!Y154,"https:",""),"www.",""),"/",""),"?hl=en",""),"instagram.com",""))</f>
        <v/>
      </c>
      <c r="W155" s="34" t="str">
        <f>(IFERROR(vlookup('Ingest Template'!F155,DropDown!D:E,2,false)&amp;'Ingest Template'!C155,""))</f>
        <v/>
      </c>
      <c r="X155" s="25" t="str">
        <f>'Ingest Template'!AA154</f>
        <v/>
      </c>
      <c r="Y155" s="25"/>
      <c r="Z155" s="25"/>
      <c r="AA155" s="25"/>
      <c r="AB155" s="25" t="str">
        <f>'Ingest Template'!T154</f>
        <v/>
      </c>
      <c r="AC155" s="25"/>
      <c r="AD155" s="25" t="str">
        <f>'Ingest Template'!U154</f>
        <v/>
      </c>
      <c r="AE155" s="25" t="str">
        <f>'Ingest Template'!V154</f>
        <v/>
      </c>
      <c r="AF155" s="25"/>
      <c r="AG155" s="25" t="str">
        <f t="array" ref="AG155">IF('Ingest Template'!A154="Standard",(CONCATENATE(IF(ISBLANK('Ingest Template'!O154),"", 'Ingest Template'!O154&amp;"|DAR"),CHAR(10), IF(ISBLANK('Ingest Template'!P154),"", 'Ingest Template'!P154&amp;"|DAR"),CHAR(10), IF(ISBLANK('Ingest Template'!Q154),"", 'Ingest Template'!Q154&amp;"|DAR"))),(CONCATENATE(IF(ISBLANK('Ingest Template'!O154),"", 'Ingest Template'!O154&amp;"|Operations - Core Title"),CHAR(10), IF(ISBLANK('Ingest Template'!P154),"", 'Ingest Template'!P154&amp;"|Operations - Core Title"),CHAR(10), IF(ISBLANK('Ingest Template'!Q154),"", 'Ingest Template'!Q154&amp;"|Operations - Core Title"))))</f>
        <v>#|Operations - Core Title
#videoGame|Operations - Core Title
</v>
      </c>
      <c r="AH155" s="25"/>
      <c r="AI155" s="25"/>
      <c r="AJ155" s="50" t="str">
        <f>if('Ingest Template'!A154="Standard",'Ingest Template'!R154&amp; "|DAR|DAR|2021-01-01",'Ingest Template'!R154&amp; "|Operations - Core Title|Operations - Core Title")</f>
        <v>#N/A</v>
      </c>
      <c r="AK155" s="25"/>
      <c r="AL155" s="25" t="str">
        <f>if('Ingest Template'!A154="Standard",'Ingest Template'!S154&amp; "|2021-01-01",'Ingest Template'!S154)</f>
        <v>#N/A</v>
      </c>
      <c r="AM155" s="25"/>
    </row>
    <row r="156">
      <c r="A156" s="25"/>
      <c r="B156" s="25" t="str">
        <f>'Ingest Template'!C155&amp;IF('Ingest Template'!A155 = "Standard", " - DAR","")</f>
        <v/>
      </c>
      <c r="C156" s="34" t="s">
        <v>92</v>
      </c>
      <c r="D156" s="34" t="str">
        <f>CONCATENATE('Ingest Template'!E156&amp;Char(10)&amp;'Ingest Template'!G156&amp;Char(10)&amp;'Ingest Template'!H156&amp;Char(10)&amp;'Ingest Template'!I156&amp;Char(10)&amp;'Ingest Template'!J156&amp;Char(10)&amp;'Ingest Template'!K156&amp;Char(10)&amp;'Ingest Template'!L156)</f>
        <v>
</v>
      </c>
      <c r="E156" s="25" t="str">
        <f>('Ingest Template'!M156)</f>
        <v/>
      </c>
      <c r="F156" s="40" t="str">
        <f t="array" ref="F156">INDEX(DropDown!$J$2:$J$63,MATCH(1,COUNTIF(E156,DropDown!$I$2:$I$63),0))</f>
        <v>#N/A</v>
      </c>
      <c r="G156" s="25"/>
      <c r="H156" s="25"/>
      <c r="I156" s="25"/>
      <c r="J156" s="25" t="str">
        <f>'Ingest Template'!B156</f>
        <v/>
      </c>
      <c r="K156" s="25" t="str">
        <f>IF('Ingest Template'!A155="Standard",'Ingest Template'!N155,"Competitive View")</f>
        <v>Competitive View</v>
      </c>
      <c r="L156" s="41" t="s">
        <v>145</v>
      </c>
      <c r="M156" s="25" t="str">
        <f>'Ingest Template'!D155</f>
        <v/>
      </c>
      <c r="N156" s="25"/>
      <c r="O156" s="25"/>
      <c r="P156" s="25"/>
      <c r="Q156" s="25"/>
      <c r="R156" s="25" t="str">
        <f>CONCATENATE('Ingest Template'!F155)</f>
        <v/>
      </c>
      <c r="S156" s="43" t="s">
        <v>160</v>
      </c>
      <c r="T156" s="25" t="str">
        <f>'Ingest Template'!W155</f>
        <v/>
      </c>
      <c r="U156" s="25"/>
      <c r="V156" s="25" t="str">
        <f>LOWER(SUBSTITUTE(SUBSTITUTE(SUBSTITUTE(SUBSTITUTE(SUBSTITUTE('Ingest Template'!Y155,"https:",""),"www.",""),"/",""),"?hl=en",""),"instagram.com",""))</f>
        <v/>
      </c>
      <c r="W156" s="34" t="str">
        <f>(IFERROR(vlookup('Ingest Template'!F156,DropDown!D:E,2,false)&amp;'Ingest Template'!C156,""))</f>
        <v/>
      </c>
      <c r="X156" s="25" t="str">
        <f>'Ingest Template'!AA155</f>
        <v/>
      </c>
      <c r="Y156" s="25"/>
      <c r="Z156" s="25"/>
      <c r="AA156" s="25"/>
      <c r="AB156" s="25" t="str">
        <f>'Ingest Template'!T155</f>
        <v/>
      </c>
      <c r="AC156" s="25"/>
      <c r="AD156" s="25" t="str">
        <f>'Ingest Template'!U155</f>
        <v/>
      </c>
      <c r="AE156" s="25" t="str">
        <f>'Ingest Template'!V155</f>
        <v/>
      </c>
      <c r="AF156" s="25"/>
      <c r="AG156" s="25" t="str">
        <f t="array" ref="AG156">IF('Ingest Template'!A155="Standard",(CONCATENATE(IF(ISBLANK('Ingest Template'!O155),"", 'Ingest Template'!O155&amp;"|DAR"),CHAR(10), IF(ISBLANK('Ingest Template'!P155),"", 'Ingest Template'!P155&amp;"|DAR"),CHAR(10), IF(ISBLANK('Ingest Template'!Q155),"", 'Ingest Template'!Q155&amp;"|DAR"))),(CONCATENATE(IF(ISBLANK('Ingest Template'!O155),"", 'Ingest Template'!O155&amp;"|Operations - Core Title"),CHAR(10), IF(ISBLANK('Ingest Template'!P155),"", 'Ingest Template'!P155&amp;"|Operations - Core Title"),CHAR(10), IF(ISBLANK('Ingest Template'!Q155),"", 'Ingest Template'!Q155&amp;"|Operations - Core Title"))))</f>
        <v>#|Operations - Core Title
#videoGame|Operations - Core Title
</v>
      </c>
      <c r="AH156" s="25"/>
      <c r="AI156" s="25"/>
      <c r="AJ156" s="50" t="str">
        <f>if('Ingest Template'!A155="Standard",'Ingest Template'!R155&amp; "|DAR|DAR|2021-01-01",'Ingest Template'!R155&amp; "|Operations - Core Title|Operations - Core Title")</f>
        <v>#N/A</v>
      </c>
      <c r="AK156" s="25"/>
      <c r="AL156" s="25" t="str">
        <f>if('Ingest Template'!A155="Standard",'Ingest Template'!S155&amp; "|2021-01-01",'Ingest Template'!S155)</f>
        <v>#N/A</v>
      </c>
      <c r="AM156" s="25"/>
    </row>
    <row r="157">
      <c r="A157" s="25"/>
      <c r="B157" s="25" t="str">
        <f>'Ingest Template'!C156&amp;IF('Ingest Template'!A156 = "Standard", " - DAR","")</f>
        <v/>
      </c>
      <c r="C157" s="34" t="s">
        <v>92</v>
      </c>
      <c r="D157" s="34" t="str">
        <f>CONCATENATE('Ingest Template'!E157&amp;Char(10)&amp;'Ingest Template'!G157&amp;Char(10)&amp;'Ingest Template'!H157&amp;Char(10)&amp;'Ingest Template'!I157&amp;Char(10)&amp;'Ingest Template'!J157&amp;Char(10)&amp;'Ingest Template'!K157&amp;Char(10)&amp;'Ingest Template'!L157)</f>
        <v>
</v>
      </c>
      <c r="E157" s="25" t="str">
        <f>('Ingest Template'!M157)</f>
        <v/>
      </c>
      <c r="F157" s="40" t="str">
        <f t="array" ref="F157">INDEX(DropDown!$J$2:$J$63,MATCH(1,COUNTIF(E157,DropDown!$I$2:$I$63),0))</f>
        <v>#N/A</v>
      </c>
      <c r="G157" s="25"/>
      <c r="H157" s="25"/>
      <c r="I157" s="25"/>
      <c r="J157" s="25" t="str">
        <f>'Ingest Template'!B157</f>
        <v/>
      </c>
      <c r="K157" s="25" t="str">
        <f>IF('Ingest Template'!A156="Standard",'Ingest Template'!N156,"Competitive View")</f>
        <v>Competitive View</v>
      </c>
      <c r="L157" s="41" t="s">
        <v>145</v>
      </c>
      <c r="M157" s="25" t="str">
        <f>'Ingest Template'!D156</f>
        <v/>
      </c>
      <c r="N157" s="25"/>
      <c r="O157" s="25"/>
      <c r="P157" s="25"/>
      <c r="Q157" s="25"/>
      <c r="R157" s="25" t="str">
        <f>CONCATENATE('Ingest Template'!F156)</f>
        <v/>
      </c>
      <c r="S157" s="43" t="s">
        <v>160</v>
      </c>
      <c r="T157" s="25" t="str">
        <f>'Ingest Template'!W156</f>
        <v/>
      </c>
      <c r="U157" s="25"/>
      <c r="V157" s="25" t="str">
        <f>LOWER(SUBSTITUTE(SUBSTITUTE(SUBSTITUTE(SUBSTITUTE(SUBSTITUTE('Ingest Template'!Y156,"https:",""),"www.",""),"/",""),"?hl=en",""),"instagram.com",""))</f>
        <v/>
      </c>
      <c r="W157" s="34" t="str">
        <f>(IFERROR(vlookup('Ingest Template'!F157,DropDown!D:E,2,false)&amp;'Ingest Template'!C157,""))</f>
        <v/>
      </c>
      <c r="X157" s="25" t="str">
        <f>'Ingest Template'!AA156</f>
        <v/>
      </c>
      <c r="Y157" s="25"/>
      <c r="Z157" s="25"/>
      <c r="AA157" s="25"/>
      <c r="AB157" s="25" t="str">
        <f>'Ingest Template'!T156</f>
        <v/>
      </c>
      <c r="AC157" s="25"/>
      <c r="AD157" s="25" t="str">
        <f>'Ingest Template'!U156</f>
        <v/>
      </c>
      <c r="AE157" s="25" t="str">
        <f>'Ingest Template'!V156</f>
        <v/>
      </c>
      <c r="AF157" s="25"/>
      <c r="AG157" s="25" t="str">
        <f t="array" ref="AG157">IF('Ingest Template'!A156="Standard",(CONCATENATE(IF(ISBLANK('Ingest Template'!O156),"", 'Ingest Template'!O156&amp;"|DAR"),CHAR(10), IF(ISBLANK('Ingest Template'!P156),"", 'Ingest Template'!P156&amp;"|DAR"),CHAR(10), IF(ISBLANK('Ingest Template'!Q156),"", 'Ingest Template'!Q156&amp;"|DAR"))),(CONCATENATE(IF(ISBLANK('Ingest Template'!O156),"", 'Ingest Template'!O156&amp;"|Operations - Core Title"),CHAR(10), IF(ISBLANK('Ingest Template'!P156),"", 'Ingest Template'!P156&amp;"|Operations - Core Title"),CHAR(10), IF(ISBLANK('Ingest Template'!Q156),"", 'Ingest Template'!Q156&amp;"|Operations - Core Title"))))</f>
        <v>#|Operations - Core Title
#videoGame|Operations - Core Title
</v>
      </c>
      <c r="AH157" s="25"/>
      <c r="AI157" s="25"/>
      <c r="AJ157" s="50" t="str">
        <f>if('Ingest Template'!A156="Standard",'Ingest Template'!R156&amp; "|DAR|DAR|2021-01-01",'Ingest Template'!R156&amp; "|Operations - Core Title|Operations - Core Title")</f>
        <v>#N/A</v>
      </c>
      <c r="AK157" s="25"/>
      <c r="AL157" s="25" t="str">
        <f>if('Ingest Template'!A156="Standard",'Ingest Template'!S156&amp; "|2021-01-01",'Ingest Template'!S156)</f>
        <v>#N/A</v>
      </c>
      <c r="AM157" s="25"/>
    </row>
    <row r="158">
      <c r="A158" s="25"/>
      <c r="B158" s="25" t="str">
        <f>'Ingest Template'!C157&amp;IF('Ingest Template'!A157 = "Standard", " - DAR","")</f>
        <v/>
      </c>
      <c r="C158" s="34" t="s">
        <v>92</v>
      </c>
      <c r="D158" s="34" t="str">
        <f>CONCATENATE('Ingest Template'!E158&amp;Char(10)&amp;'Ingest Template'!G158&amp;Char(10)&amp;'Ingest Template'!H158&amp;Char(10)&amp;'Ingest Template'!I158&amp;Char(10)&amp;'Ingest Template'!J158&amp;Char(10)&amp;'Ingest Template'!K158&amp;Char(10)&amp;'Ingest Template'!L158)</f>
        <v>
</v>
      </c>
      <c r="E158" s="25" t="str">
        <f>('Ingest Template'!M158)</f>
        <v/>
      </c>
      <c r="F158" s="40" t="str">
        <f t="array" ref="F158">INDEX(DropDown!$J$2:$J$63,MATCH(1,COUNTIF(E158,DropDown!$I$2:$I$63),0))</f>
        <v>#N/A</v>
      </c>
      <c r="G158" s="25"/>
      <c r="H158" s="25"/>
      <c r="I158" s="25"/>
      <c r="J158" s="25" t="str">
        <f>'Ingest Template'!B158</f>
        <v/>
      </c>
      <c r="K158" s="25" t="str">
        <f>IF('Ingest Template'!A157="Standard",'Ingest Template'!N157,"Competitive View")</f>
        <v>Competitive View</v>
      </c>
      <c r="L158" s="41" t="s">
        <v>145</v>
      </c>
      <c r="M158" s="25" t="str">
        <f>'Ingest Template'!D157</f>
        <v/>
      </c>
      <c r="N158" s="25"/>
      <c r="O158" s="25"/>
      <c r="P158" s="25"/>
      <c r="Q158" s="25"/>
      <c r="R158" s="25" t="str">
        <f>CONCATENATE('Ingest Template'!F157)</f>
        <v/>
      </c>
      <c r="S158" s="43" t="s">
        <v>160</v>
      </c>
      <c r="T158" s="25" t="str">
        <f>'Ingest Template'!W157</f>
        <v/>
      </c>
      <c r="U158" s="25"/>
      <c r="V158" s="25" t="str">
        <f>LOWER(SUBSTITUTE(SUBSTITUTE(SUBSTITUTE(SUBSTITUTE(SUBSTITUTE('Ingest Template'!Y157,"https:",""),"www.",""),"/",""),"?hl=en",""),"instagram.com",""))</f>
        <v/>
      </c>
      <c r="W158" s="34" t="str">
        <f>(IFERROR(vlookup('Ingest Template'!F158,DropDown!D:E,2,false)&amp;'Ingest Template'!C158,""))</f>
        <v/>
      </c>
      <c r="X158" s="25" t="str">
        <f>'Ingest Template'!AA157</f>
        <v/>
      </c>
      <c r="Y158" s="25"/>
      <c r="Z158" s="25"/>
      <c r="AA158" s="25"/>
      <c r="AB158" s="25" t="str">
        <f>'Ingest Template'!T157</f>
        <v/>
      </c>
      <c r="AC158" s="25"/>
      <c r="AD158" s="25" t="str">
        <f>'Ingest Template'!U157</f>
        <v/>
      </c>
      <c r="AE158" s="25" t="str">
        <f>'Ingest Template'!V157</f>
        <v/>
      </c>
      <c r="AF158" s="25"/>
      <c r="AG158" s="25" t="str">
        <f t="array" ref="AG158">IF('Ingest Template'!A157="Standard",(CONCATENATE(IF(ISBLANK('Ingest Template'!O157),"", 'Ingest Template'!O157&amp;"|DAR"),CHAR(10), IF(ISBLANK('Ingest Template'!P157),"", 'Ingest Template'!P157&amp;"|DAR"),CHAR(10), IF(ISBLANK('Ingest Template'!Q157),"", 'Ingest Template'!Q157&amp;"|DAR"))),(CONCATENATE(IF(ISBLANK('Ingest Template'!O157),"", 'Ingest Template'!O157&amp;"|Operations - Core Title"),CHAR(10), IF(ISBLANK('Ingest Template'!P157),"", 'Ingest Template'!P157&amp;"|Operations - Core Title"),CHAR(10), IF(ISBLANK('Ingest Template'!Q157),"", 'Ingest Template'!Q157&amp;"|Operations - Core Title"))))</f>
        <v>#|Operations - Core Title
#videoGame|Operations - Core Title
</v>
      </c>
      <c r="AH158" s="25"/>
      <c r="AI158" s="25"/>
      <c r="AJ158" s="50" t="str">
        <f>if('Ingest Template'!A157="Standard",'Ingest Template'!R157&amp; "|DAR|DAR|2021-01-01",'Ingest Template'!R157&amp; "|Operations - Core Title|Operations - Core Title")</f>
        <v>#N/A</v>
      </c>
      <c r="AK158" s="25"/>
      <c r="AL158" s="25" t="str">
        <f>if('Ingest Template'!A157="Standard",'Ingest Template'!S157&amp; "|2021-01-01",'Ingest Template'!S157)</f>
        <v>#N/A</v>
      </c>
      <c r="AM158" s="25"/>
    </row>
    <row r="159">
      <c r="A159" s="25"/>
      <c r="B159" s="25" t="str">
        <f>'Ingest Template'!C158&amp;IF('Ingest Template'!A158 = "Standard", " - DAR","")</f>
        <v/>
      </c>
      <c r="C159" s="34" t="s">
        <v>92</v>
      </c>
      <c r="D159" s="34" t="str">
        <f>CONCATENATE('Ingest Template'!E159&amp;Char(10)&amp;'Ingest Template'!G159&amp;Char(10)&amp;'Ingest Template'!H159&amp;Char(10)&amp;'Ingest Template'!I159&amp;Char(10)&amp;'Ingest Template'!J159&amp;Char(10)&amp;'Ingest Template'!K159&amp;Char(10)&amp;'Ingest Template'!L159)</f>
        <v>
</v>
      </c>
      <c r="E159" s="25" t="str">
        <f>('Ingest Template'!M159)</f>
        <v/>
      </c>
      <c r="F159" s="40" t="str">
        <f t="array" ref="F159">INDEX(DropDown!$J$2:$J$63,MATCH(1,COUNTIF(E159,DropDown!$I$2:$I$63),0))</f>
        <v>#N/A</v>
      </c>
      <c r="G159" s="25"/>
      <c r="H159" s="25"/>
      <c r="I159" s="25"/>
      <c r="J159" s="25" t="str">
        <f>'Ingest Template'!B159</f>
        <v/>
      </c>
      <c r="K159" s="25" t="str">
        <f>IF('Ingest Template'!A158="Standard",'Ingest Template'!N158,"Competitive View")</f>
        <v>Competitive View</v>
      </c>
      <c r="L159" s="41" t="s">
        <v>145</v>
      </c>
      <c r="M159" s="25" t="str">
        <f>'Ingest Template'!D158</f>
        <v/>
      </c>
      <c r="N159" s="25"/>
      <c r="O159" s="25"/>
      <c r="P159" s="25"/>
      <c r="Q159" s="25"/>
      <c r="R159" s="25" t="str">
        <f>CONCATENATE('Ingest Template'!F158)</f>
        <v/>
      </c>
      <c r="S159" s="43" t="s">
        <v>160</v>
      </c>
      <c r="T159" s="25" t="str">
        <f>'Ingest Template'!W158</f>
        <v/>
      </c>
      <c r="U159" s="25"/>
      <c r="V159" s="25" t="str">
        <f>LOWER(SUBSTITUTE(SUBSTITUTE(SUBSTITUTE(SUBSTITUTE(SUBSTITUTE('Ingest Template'!Y158,"https:",""),"www.",""),"/",""),"?hl=en",""),"instagram.com",""))</f>
        <v/>
      </c>
      <c r="W159" s="34" t="str">
        <f>(IFERROR(vlookup('Ingest Template'!F159,DropDown!D:E,2,false)&amp;'Ingest Template'!C159,""))</f>
        <v/>
      </c>
      <c r="X159" s="25" t="str">
        <f>'Ingest Template'!AA158</f>
        <v/>
      </c>
      <c r="Y159" s="25"/>
      <c r="Z159" s="25"/>
      <c r="AA159" s="25"/>
      <c r="AB159" s="25" t="str">
        <f>'Ingest Template'!T158</f>
        <v/>
      </c>
      <c r="AC159" s="25"/>
      <c r="AD159" s="25" t="str">
        <f>'Ingest Template'!U158</f>
        <v/>
      </c>
      <c r="AE159" s="25" t="str">
        <f>'Ingest Template'!V158</f>
        <v/>
      </c>
      <c r="AF159" s="25"/>
      <c r="AG159" s="25" t="str">
        <f t="array" ref="AG159">IF('Ingest Template'!A158="Standard",(CONCATENATE(IF(ISBLANK('Ingest Template'!O158),"", 'Ingest Template'!O158&amp;"|DAR"),CHAR(10), IF(ISBLANK('Ingest Template'!P158),"", 'Ingest Template'!P158&amp;"|DAR"),CHAR(10), IF(ISBLANK('Ingest Template'!Q158),"", 'Ingest Template'!Q158&amp;"|DAR"))),(CONCATENATE(IF(ISBLANK('Ingest Template'!O158),"", 'Ingest Template'!O158&amp;"|Operations - Core Title"),CHAR(10), IF(ISBLANK('Ingest Template'!P158),"", 'Ingest Template'!P158&amp;"|Operations - Core Title"),CHAR(10), IF(ISBLANK('Ingest Template'!Q158),"", 'Ingest Template'!Q158&amp;"|Operations - Core Title"))))</f>
        <v>#|Operations - Core Title
#videoGame|Operations - Core Title
</v>
      </c>
      <c r="AH159" s="25"/>
      <c r="AI159" s="25"/>
      <c r="AJ159" s="50" t="str">
        <f>if('Ingest Template'!A158="Standard",'Ingest Template'!R158&amp; "|DAR|DAR|2021-01-01",'Ingest Template'!R158&amp; "|Operations - Core Title|Operations - Core Title")</f>
        <v>#N/A</v>
      </c>
      <c r="AK159" s="25"/>
      <c r="AL159" s="25" t="str">
        <f>if('Ingest Template'!A158="Standard",'Ingest Template'!S158&amp; "|2021-01-01",'Ingest Template'!S158)</f>
        <v>#N/A</v>
      </c>
      <c r="AM159" s="25"/>
    </row>
    <row r="160">
      <c r="A160" s="25"/>
      <c r="B160" s="25" t="str">
        <f>'Ingest Template'!C159&amp;IF('Ingest Template'!A159 = "Standard", " - DAR","")</f>
        <v/>
      </c>
      <c r="C160" s="34" t="s">
        <v>92</v>
      </c>
      <c r="D160" s="34" t="str">
        <f>CONCATENATE('Ingest Template'!E160&amp;Char(10)&amp;'Ingest Template'!G160&amp;Char(10)&amp;'Ingest Template'!H160&amp;Char(10)&amp;'Ingest Template'!I160&amp;Char(10)&amp;'Ingest Template'!J160&amp;Char(10)&amp;'Ingest Template'!K160&amp;Char(10)&amp;'Ingest Template'!L160)</f>
        <v>
</v>
      </c>
      <c r="E160" s="25" t="str">
        <f>('Ingest Template'!M160)</f>
        <v/>
      </c>
      <c r="F160" s="40" t="str">
        <f t="array" ref="F160">INDEX(DropDown!$J$2:$J$63,MATCH(1,COUNTIF(E160,DropDown!$I$2:$I$63),0))</f>
        <v>#N/A</v>
      </c>
      <c r="G160" s="25"/>
      <c r="H160" s="25"/>
      <c r="I160" s="25"/>
      <c r="J160" s="25" t="str">
        <f>'Ingest Template'!B160</f>
        <v/>
      </c>
      <c r="K160" s="25" t="str">
        <f>IF('Ingest Template'!A159="Standard",'Ingest Template'!N159,"Competitive View")</f>
        <v>Competitive View</v>
      </c>
      <c r="L160" s="41" t="s">
        <v>145</v>
      </c>
      <c r="M160" s="25" t="str">
        <f>'Ingest Template'!D159</f>
        <v/>
      </c>
      <c r="N160" s="25"/>
      <c r="O160" s="25"/>
      <c r="P160" s="25"/>
      <c r="Q160" s="25"/>
      <c r="R160" s="25" t="str">
        <f>CONCATENATE('Ingest Template'!F159)</f>
        <v/>
      </c>
      <c r="S160" s="43" t="s">
        <v>160</v>
      </c>
      <c r="T160" s="25" t="str">
        <f>'Ingest Template'!W159</f>
        <v/>
      </c>
      <c r="U160" s="25"/>
      <c r="V160" s="25" t="str">
        <f>LOWER(SUBSTITUTE(SUBSTITUTE(SUBSTITUTE(SUBSTITUTE(SUBSTITUTE('Ingest Template'!Y159,"https:",""),"www.",""),"/",""),"?hl=en",""),"instagram.com",""))</f>
        <v/>
      </c>
      <c r="W160" s="34" t="str">
        <f>(IFERROR(vlookup('Ingest Template'!F160,DropDown!D:E,2,false)&amp;'Ingest Template'!C160,""))</f>
        <v/>
      </c>
      <c r="X160" s="25" t="str">
        <f>'Ingest Template'!AA159</f>
        <v/>
      </c>
      <c r="Y160" s="25"/>
      <c r="Z160" s="25"/>
      <c r="AA160" s="25"/>
      <c r="AB160" s="25" t="str">
        <f>'Ingest Template'!T159</f>
        <v/>
      </c>
      <c r="AC160" s="25"/>
      <c r="AD160" s="25" t="str">
        <f>'Ingest Template'!U159</f>
        <v/>
      </c>
      <c r="AE160" s="25" t="str">
        <f>'Ingest Template'!V159</f>
        <v/>
      </c>
      <c r="AF160" s="25"/>
      <c r="AG160" s="25" t="str">
        <f t="array" ref="AG160">IF('Ingest Template'!A159="Standard",(CONCATENATE(IF(ISBLANK('Ingest Template'!O159),"", 'Ingest Template'!O159&amp;"|DAR"),CHAR(10), IF(ISBLANK('Ingest Template'!P159),"", 'Ingest Template'!P159&amp;"|DAR"),CHAR(10), IF(ISBLANK('Ingest Template'!Q159),"", 'Ingest Template'!Q159&amp;"|DAR"))),(CONCATENATE(IF(ISBLANK('Ingest Template'!O159),"", 'Ingest Template'!O159&amp;"|Operations - Core Title"),CHAR(10), IF(ISBLANK('Ingest Template'!P159),"", 'Ingest Template'!P159&amp;"|Operations - Core Title"),CHAR(10), IF(ISBLANK('Ingest Template'!Q159),"", 'Ingest Template'!Q159&amp;"|Operations - Core Title"))))</f>
        <v>#|Operations - Core Title
#videoGame|Operations - Core Title
</v>
      </c>
      <c r="AH160" s="25"/>
      <c r="AI160" s="25"/>
      <c r="AJ160" s="50" t="str">
        <f>if('Ingest Template'!A159="Standard",'Ingest Template'!R159&amp; "|DAR|DAR|2021-01-01",'Ingest Template'!R159&amp; "|Operations - Core Title|Operations - Core Title")</f>
        <v>#N/A</v>
      </c>
      <c r="AK160" s="25"/>
      <c r="AL160" s="25" t="str">
        <f>if('Ingest Template'!A159="Standard",'Ingest Template'!S159&amp; "|2021-01-01",'Ingest Template'!S159)</f>
        <v>#N/A</v>
      </c>
      <c r="AM160" s="25"/>
    </row>
    <row r="161">
      <c r="A161" s="25"/>
      <c r="B161" s="25" t="str">
        <f>'Ingest Template'!C160&amp;IF('Ingest Template'!A160 = "Standard", " - DAR","")</f>
        <v/>
      </c>
      <c r="C161" s="34" t="s">
        <v>92</v>
      </c>
      <c r="D161" s="34" t="str">
        <f>CONCATENATE('Ingest Template'!E161&amp;Char(10)&amp;'Ingest Template'!G161&amp;Char(10)&amp;'Ingest Template'!H161&amp;Char(10)&amp;'Ingest Template'!I161&amp;Char(10)&amp;'Ingest Template'!J161&amp;Char(10)&amp;'Ingest Template'!K161&amp;Char(10)&amp;'Ingest Template'!L161)</f>
        <v>
</v>
      </c>
      <c r="E161" s="25" t="str">
        <f>('Ingest Template'!M161)</f>
        <v/>
      </c>
      <c r="F161" s="40" t="str">
        <f t="array" ref="F161">INDEX(DropDown!$J$2:$J$63,MATCH(1,COUNTIF(E161,DropDown!$I$2:$I$63),0))</f>
        <v>#N/A</v>
      </c>
      <c r="G161" s="25"/>
      <c r="H161" s="25"/>
      <c r="I161" s="25"/>
      <c r="J161" s="25" t="str">
        <f>'Ingest Template'!B161</f>
        <v/>
      </c>
      <c r="K161" s="25" t="str">
        <f>IF('Ingest Template'!A160="Standard",'Ingest Template'!N160,"Competitive View")</f>
        <v>Competitive View</v>
      </c>
      <c r="L161" s="41" t="s">
        <v>145</v>
      </c>
      <c r="M161" s="25" t="str">
        <f>'Ingest Template'!D160</f>
        <v/>
      </c>
      <c r="N161" s="25"/>
      <c r="O161" s="25"/>
      <c r="P161" s="25"/>
      <c r="Q161" s="25"/>
      <c r="R161" s="25" t="str">
        <f>CONCATENATE('Ingest Template'!F160)</f>
        <v/>
      </c>
      <c r="S161" s="43" t="s">
        <v>160</v>
      </c>
      <c r="T161" s="25" t="str">
        <f>'Ingest Template'!W160</f>
        <v/>
      </c>
      <c r="U161" s="25"/>
      <c r="V161" s="25" t="str">
        <f>LOWER(SUBSTITUTE(SUBSTITUTE(SUBSTITUTE(SUBSTITUTE(SUBSTITUTE('Ingest Template'!Y160,"https:",""),"www.",""),"/",""),"?hl=en",""),"instagram.com",""))</f>
        <v/>
      </c>
      <c r="W161" s="34" t="str">
        <f>(IFERROR(vlookup('Ingest Template'!F161,DropDown!D:E,2,false)&amp;'Ingest Template'!C161,""))</f>
        <v/>
      </c>
      <c r="X161" s="25" t="str">
        <f>'Ingest Template'!AA160</f>
        <v/>
      </c>
      <c r="Y161" s="25"/>
      <c r="Z161" s="25"/>
      <c r="AA161" s="25"/>
      <c r="AB161" s="25" t="str">
        <f>'Ingest Template'!T160</f>
        <v/>
      </c>
      <c r="AC161" s="25"/>
      <c r="AD161" s="25" t="str">
        <f>'Ingest Template'!U160</f>
        <v/>
      </c>
      <c r="AE161" s="25" t="str">
        <f>'Ingest Template'!V160</f>
        <v/>
      </c>
      <c r="AF161" s="25"/>
      <c r="AG161" s="25" t="str">
        <f t="array" ref="AG161">IF('Ingest Template'!A160="Standard",(CONCATENATE(IF(ISBLANK('Ingest Template'!O160),"", 'Ingest Template'!O160&amp;"|DAR"),CHAR(10), IF(ISBLANK('Ingest Template'!P160),"", 'Ingest Template'!P160&amp;"|DAR"),CHAR(10), IF(ISBLANK('Ingest Template'!Q160),"", 'Ingest Template'!Q160&amp;"|DAR"))),(CONCATENATE(IF(ISBLANK('Ingest Template'!O160),"", 'Ingest Template'!O160&amp;"|Operations - Core Title"),CHAR(10), IF(ISBLANK('Ingest Template'!P160),"", 'Ingest Template'!P160&amp;"|Operations - Core Title"),CHAR(10), IF(ISBLANK('Ingest Template'!Q160),"", 'Ingest Template'!Q160&amp;"|Operations - Core Title"))))</f>
        <v>#|Operations - Core Title
#videoGame|Operations - Core Title
</v>
      </c>
      <c r="AH161" s="25"/>
      <c r="AI161" s="25"/>
      <c r="AJ161" s="50" t="str">
        <f>if('Ingest Template'!A160="Standard",'Ingest Template'!R160&amp; "|DAR|DAR|2021-01-01",'Ingest Template'!R160&amp; "|Operations - Core Title|Operations - Core Title")</f>
        <v>#N/A</v>
      </c>
      <c r="AK161" s="25"/>
      <c r="AL161" s="25" t="str">
        <f>if('Ingest Template'!A160="Standard",'Ingest Template'!S160&amp; "|2021-01-01",'Ingest Template'!S160)</f>
        <v>#N/A</v>
      </c>
      <c r="AM161" s="25"/>
    </row>
    <row r="162">
      <c r="A162" s="25"/>
      <c r="B162" s="25" t="str">
        <f>'Ingest Template'!C161&amp;IF('Ingest Template'!A161 = "Standard", " - DAR","")</f>
        <v/>
      </c>
      <c r="C162" s="34" t="s">
        <v>92</v>
      </c>
      <c r="D162" s="34" t="str">
        <f>CONCATENATE('Ingest Template'!E162&amp;Char(10)&amp;'Ingest Template'!G162&amp;Char(10)&amp;'Ingest Template'!H162&amp;Char(10)&amp;'Ingest Template'!I162&amp;Char(10)&amp;'Ingest Template'!J162&amp;Char(10)&amp;'Ingest Template'!K162&amp;Char(10)&amp;'Ingest Template'!L162)</f>
        <v>
</v>
      </c>
      <c r="E162" s="25" t="str">
        <f>('Ingest Template'!M162)</f>
        <v/>
      </c>
      <c r="F162" s="40" t="str">
        <f t="array" ref="F162">INDEX(DropDown!$J$2:$J$63,MATCH(1,COUNTIF(E162,DropDown!$I$2:$I$63),0))</f>
        <v>#N/A</v>
      </c>
      <c r="G162" s="25"/>
      <c r="H162" s="25"/>
      <c r="I162" s="25"/>
      <c r="J162" s="25" t="str">
        <f>'Ingest Template'!B162</f>
        <v/>
      </c>
      <c r="K162" s="25" t="str">
        <f>IF('Ingest Template'!A161="Standard",'Ingest Template'!N161,"Competitive View")</f>
        <v>Competitive View</v>
      </c>
      <c r="L162" s="41" t="s">
        <v>145</v>
      </c>
      <c r="M162" s="25" t="str">
        <f>'Ingest Template'!D161</f>
        <v/>
      </c>
      <c r="N162" s="25"/>
      <c r="O162" s="25"/>
      <c r="P162" s="25"/>
      <c r="Q162" s="25"/>
      <c r="R162" s="25" t="str">
        <f>CONCATENATE('Ingest Template'!F161)</f>
        <v/>
      </c>
      <c r="S162" s="43" t="s">
        <v>160</v>
      </c>
      <c r="T162" s="25" t="str">
        <f>'Ingest Template'!W161</f>
        <v/>
      </c>
      <c r="U162" s="25"/>
      <c r="V162" s="25" t="str">
        <f>LOWER(SUBSTITUTE(SUBSTITUTE(SUBSTITUTE(SUBSTITUTE(SUBSTITUTE('Ingest Template'!Y161,"https:",""),"www.",""),"/",""),"?hl=en",""),"instagram.com",""))</f>
        <v/>
      </c>
      <c r="W162" s="34" t="str">
        <f>(IFERROR(vlookup('Ingest Template'!F162,DropDown!D:E,2,false)&amp;'Ingest Template'!C162,""))</f>
        <v/>
      </c>
      <c r="X162" s="25" t="str">
        <f>'Ingest Template'!AA161</f>
        <v/>
      </c>
      <c r="Y162" s="25"/>
      <c r="Z162" s="25"/>
      <c r="AA162" s="25"/>
      <c r="AB162" s="25" t="str">
        <f>'Ingest Template'!T161</f>
        <v/>
      </c>
      <c r="AC162" s="25"/>
      <c r="AD162" s="25" t="str">
        <f>'Ingest Template'!U161</f>
        <v/>
      </c>
      <c r="AE162" s="25" t="str">
        <f>'Ingest Template'!V161</f>
        <v/>
      </c>
      <c r="AF162" s="25"/>
      <c r="AG162" s="25" t="str">
        <f t="array" ref="AG162">IF('Ingest Template'!A161="Standard",(CONCATENATE(IF(ISBLANK('Ingest Template'!O161),"", 'Ingest Template'!O161&amp;"|DAR"),CHAR(10), IF(ISBLANK('Ingest Template'!P161),"", 'Ingest Template'!P161&amp;"|DAR"),CHAR(10), IF(ISBLANK('Ingest Template'!Q161),"", 'Ingest Template'!Q161&amp;"|DAR"))),(CONCATENATE(IF(ISBLANK('Ingest Template'!O161),"", 'Ingest Template'!O161&amp;"|Operations - Core Title"),CHAR(10), IF(ISBLANK('Ingest Template'!P161),"", 'Ingest Template'!P161&amp;"|Operations - Core Title"),CHAR(10), IF(ISBLANK('Ingest Template'!Q161),"", 'Ingest Template'!Q161&amp;"|Operations - Core Title"))))</f>
        <v>#|Operations - Core Title
#videoGame|Operations - Core Title
</v>
      </c>
      <c r="AH162" s="25"/>
      <c r="AI162" s="25"/>
      <c r="AJ162" s="50" t="str">
        <f>if('Ingest Template'!A161="Standard",'Ingest Template'!R161&amp; "|DAR|DAR|2021-01-01",'Ingest Template'!R161&amp; "|Operations - Core Title|Operations - Core Title")</f>
        <v>#N/A</v>
      </c>
      <c r="AK162" s="25"/>
      <c r="AL162" s="25" t="str">
        <f>if('Ingest Template'!A161="Standard",'Ingest Template'!S161&amp; "|2021-01-01",'Ingest Template'!S161)</f>
        <v>#N/A</v>
      </c>
      <c r="AM162" s="25"/>
    </row>
    <row r="163">
      <c r="A163" s="25"/>
      <c r="B163" s="25" t="str">
        <f>'Ingest Template'!C162&amp;IF('Ingest Template'!A162 = "Standard", " - DAR","")</f>
        <v/>
      </c>
      <c r="C163" s="34" t="s">
        <v>92</v>
      </c>
      <c r="D163" s="34" t="str">
        <f>CONCATENATE('Ingest Template'!E163&amp;Char(10)&amp;'Ingest Template'!G163&amp;Char(10)&amp;'Ingest Template'!H163&amp;Char(10)&amp;'Ingest Template'!I163&amp;Char(10)&amp;'Ingest Template'!J163&amp;Char(10)&amp;'Ingest Template'!K163&amp;Char(10)&amp;'Ingest Template'!L163)</f>
        <v>
</v>
      </c>
      <c r="E163" s="25" t="str">
        <f>('Ingest Template'!M163)</f>
        <v/>
      </c>
      <c r="F163" s="40" t="str">
        <f t="array" ref="F163">INDEX(DropDown!$J$2:$J$63,MATCH(1,COUNTIF(E163,DropDown!$I$2:$I$63),0))</f>
        <v>#N/A</v>
      </c>
      <c r="G163" s="25"/>
      <c r="H163" s="25"/>
      <c r="I163" s="25"/>
      <c r="J163" s="25" t="str">
        <f>'Ingest Template'!B163</f>
        <v/>
      </c>
      <c r="K163" s="25" t="str">
        <f>IF('Ingest Template'!A162="Standard",'Ingest Template'!N162,"Competitive View")</f>
        <v>Competitive View</v>
      </c>
      <c r="L163" s="41" t="s">
        <v>145</v>
      </c>
      <c r="M163" s="25" t="str">
        <f>'Ingest Template'!D162</f>
        <v/>
      </c>
      <c r="N163" s="25"/>
      <c r="O163" s="25"/>
      <c r="P163" s="25"/>
      <c r="Q163" s="25"/>
      <c r="R163" s="25" t="str">
        <f>CONCATENATE('Ingest Template'!F162)</f>
        <v/>
      </c>
      <c r="S163" s="43" t="s">
        <v>160</v>
      </c>
      <c r="T163" s="25" t="str">
        <f>'Ingest Template'!W162</f>
        <v/>
      </c>
      <c r="U163" s="25"/>
      <c r="V163" s="25" t="str">
        <f>LOWER(SUBSTITUTE(SUBSTITUTE(SUBSTITUTE(SUBSTITUTE(SUBSTITUTE('Ingest Template'!Y162,"https:",""),"www.",""),"/",""),"?hl=en",""),"instagram.com",""))</f>
        <v/>
      </c>
      <c r="W163" s="34" t="str">
        <f>(IFERROR(vlookup('Ingest Template'!F163,DropDown!D:E,2,false)&amp;'Ingest Template'!C163,""))</f>
        <v/>
      </c>
      <c r="X163" s="25" t="str">
        <f>'Ingest Template'!AA162</f>
        <v/>
      </c>
      <c r="Y163" s="25"/>
      <c r="Z163" s="25"/>
      <c r="AA163" s="25"/>
      <c r="AB163" s="25" t="str">
        <f>'Ingest Template'!T162</f>
        <v/>
      </c>
      <c r="AC163" s="25"/>
      <c r="AD163" s="25" t="str">
        <f>'Ingest Template'!U162</f>
        <v/>
      </c>
      <c r="AE163" s="25" t="str">
        <f>'Ingest Template'!V162</f>
        <v/>
      </c>
      <c r="AF163" s="25"/>
      <c r="AG163" s="25" t="str">
        <f t="array" ref="AG163">IF('Ingest Template'!A162="Standard",(CONCATENATE(IF(ISBLANK('Ingest Template'!O162),"", 'Ingest Template'!O162&amp;"|DAR"),CHAR(10), IF(ISBLANK('Ingest Template'!P162),"", 'Ingest Template'!P162&amp;"|DAR"),CHAR(10), IF(ISBLANK('Ingest Template'!Q162),"", 'Ingest Template'!Q162&amp;"|DAR"))),(CONCATENATE(IF(ISBLANK('Ingest Template'!O162),"", 'Ingest Template'!O162&amp;"|Operations - Core Title"),CHAR(10), IF(ISBLANK('Ingest Template'!P162),"", 'Ingest Template'!P162&amp;"|Operations - Core Title"),CHAR(10), IF(ISBLANK('Ingest Template'!Q162),"", 'Ingest Template'!Q162&amp;"|Operations - Core Title"))))</f>
        <v>#|Operations - Core Title
#videoGame|Operations - Core Title
</v>
      </c>
      <c r="AH163" s="25"/>
      <c r="AI163" s="25"/>
      <c r="AJ163" s="50" t="str">
        <f>if('Ingest Template'!A162="Standard",'Ingest Template'!R162&amp; "|DAR|DAR|2021-01-01",'Ingest Template'!R162&amp; "|Operations - Core Title|Operations - Core Title")</f>
        <v>#N/A</v>
      </c>
      <c r="AK163" s="25"/>
      <c r="AL163" s="25" t="str">
        <f>if('Ingest Template'!A162="Standard",'Ingest Template'!S162&amp; "|2021-01-01",'Ingest Template'!S162)</f>
        <v>#N/A</v>
      </c>
      <c r="AM163" s="25"/>
    </row>
    <row r="164">
      <c r="A164" s="25"/>
      <c r="B164" s="25" t="str">
        <f>'Ingest Template'!C163&amp;IF('Ingest Template'!A163 = "Standard", " - DAR","")</f>
        <v/>
      </c>
      <c r="C164" s="34" t="s">
        <v>92</v>
      </c>
      <c r="D164" s="34" t="str">
        <f>CONCATENATE('Ingest Template'!E164&amp;Char(10)&amp;'Ingest Template'!G164&amp;Char(10)&amp;'Ingest Template'!H164&amp;Char(10)&amp;'Ingest Template'!I164&amp;Char(10)&amp;'Ingest Template'!J164&amp;Char(10)&amp;'Ingest Template'!K164&amp;Char(10)&amp;'Ingest Template'!L164)</f>
        <v>
</v>
      </c>
      <c r="E164" s="25" t="str">
        <f>('Ingest Template'!M164)</f>
        <v/>
      </c>
      <c r="F164" s="40" t="str">
        <f t="array" ref="F164">INDEX(DropDown!$J$2:$J$63,MATCH(1,COUNTIF(E164,DropDown!$I$2:$I$63),0))</f>
        <v>#N/A</v>
      </c>
      <c r="G164" s="25"/>
      <c r="H164" s="25"/>
      <c r="I164" s="25"/>
      <c r="J164" s="25" t="str">
        <f>'Ingest Template'!B164</f>
        <v/>
      </c>
      <c r="K164" s="25" t="str">
        <f>IF('Ingest Template'!A163="Standard",'Ingest Template'!N163,"Competitive View")</f>
        <v>Competitive View</v>
      </c>
      <c r="L164" s="41" t="s">
        <v>145</v>
      </c>
      <c r="M164" s="25" t="str">
        <f>'Ingest Template'!D163</f>
        <v/>
      </c>
      <c r="N164" s="25"/>
      <c r="O164" s="25"/>
      <c r="P164" s="25"/>
      <c r="Q164" s="25"/>
      <c r="R164" s="25" t="str">
        <f>CONCATENATE('Ingest Template'!F163)</f>
        <v/>
      </c>
      <c r="S164" s="43" t="s">
        <v>160</v>
      </c>
      <c r="T164" s="25" t="str">
        <f>'Ingest Template'!W163</f>
        <v/>
      </c>
      <c r="U164" s="25"/>
      <c r="V164" s="25" t="str">
        <f>LOWER(SUBSTITUTE(SUBSTITUTE(SUBSTITUTE(SUBSTITUTE(SUBSTITUTE('Ingest Template'!Y163,"https:",""),"www.",""),"/",""),"?hl=en",""),"instagram.com",""))</f>
        <v/>
      </c>
      <c r="W164" s="34" t="str">
        <f>(IFERROR(vlookup('Ingest Template'!F164,DropDown!D:E,2,false)&amp;'Ingest Template'!C164,""))</f>
        <v/>
      </c>
      <c r="X164" s="25" t="str">
        <f>'Ingest Template'!AA163</f>
        <v/>
      </c>
      <c r="Y164" s="25"/>
      <c r="Z164" s="25"/>
      <c r="AA164" s="25"/>
      <c r="AB164" s="25" t="str">
        <f>'Ingest Template'!T163</f>
        <v/>
      </c>
      <c r="AC164" s="25"/>
      <c r="AD164" s="25" t="str">
        <f>'Ingest Template'!U163</f>
        <v/>
      </c>
      <c r="AE164" s="25" t="str">
        <f>'Ingest Template'!V163</f>
        <v/>
      </c>
      <c r="AF164" s="25"/>
      <c r="AG164" s="25" t="str">
        <f t="array" ref="AG164">IF('Ingest Template'!A163="Standard",(CONCATENATE(IF(ISBLANK('Ingest Template'!O163),"", 'Ingest Template'!O163&amp;"|DAR"),CHAR(10), IF(ISBLANK('Ingest Template'!P163),"", 'Ingest Template'!P163&amp;"|DAR"),CHAR(10), IF(ISBLANK('Ingest Template'!Q163),"", 'Ingest Template'!Q163&amp;"|DAR"))),(CONCATENATE(IF(ISBLANK('Ingest Template'!O163),"", 'Ingest Template'!O163&amp;"|Operations - Core Title"),CHAR(10), IF(ISBLANK('Ingest Template'!P163),"", 'Ingest Template'!P163&amp;"|Operations - Core Title"),CHAR(10), IF(ISBLANK('Ingest Template'!Q163),"", 'Ingest Template'!Q163&amp;"|Operations - Core Title"))))</f>
        <v>#|Operations - Core Title
#videoGame|Operations - Core Title
</v>
      </c>
      <c r="AH164" s="25"/>
      <c r="AI164" s="25"/>
      <c r="AJ164" s="50" t="str">
        <f>if('Ingest Template'!A163="Standard",'Ingest Template'!R163&amp; "|DAR|DAR|2021-01-01",'Ingest Template'!R163&amp; "|Operations - Core Title|Operations - Core Title")</f>
        <v>#N/A</v>
      </c>
      <c r="AK164" s="25"/>
      <c r="AL164" s="25" t="str">
        <f>if('Ingest Template'!A163="Standard",'Ingest Template'!S163&amp; "|2021-01-01",'Ingest Template'!S163)</f>
        <v>#N/A</v>
      </c>
      <c r="AM164" s="25"/>
    </row>
    <row r="165">
      <c r="A165" s="25"/>
      <c r="B165" s="25" t="str">
        <f>'Ingest Template'!C164&amp;IF('Ingest Template'!A164 = "Standard", " - DAR","")</f>
        <v/>
      </c>
      <c r="C165" s="34" t="s">
        <v>92</v>
      </c>
      <c r="D165" s="34" t="str">
        <f>CONCATENATE('Ingest Template'!E165&amp;Char(10)&amp;'Ingest Template'!G165&amp;Char(10)&amp;'Ingest Template'!H165&amp;Char(10)&amp;'Ingest Template'!I165&amp;Char(10)&amp;'Ingest Template'!J165&amp;Char(10)&amp;'Ingest Template'!K165&amp;Char(10)&amp;'Ingest Template'!L165)</f>
        <v>
</v>
      </c>
      <c r="E165" s="25" t="str">
        <f>('Ingest Template'!M165)</f>
        <v/>
      </c>
      <c r="F165" s="40" t="str">
        <f t="array" ref="F165">INDEX(DropDown!$J$2:$J$63,MATCH(1,COUNTIF(E165,DropDown!$I$2:$I$63),0))</f>
        <v>#N/A</v>
      </c>
      <c r="G165" s="25"/>
      <c r="H165" s="25"/>
      <c r="I165" s="25"/>
      <c r="J165" s="25" t="str">
        <f>'Ingest Template'!B165</f>
        <v/>
      </c>
      <c r="K165" s="25" t="str">
        <f>IF('Ingest Template'!A164="Standard",'Ingest Template'!N164,"Competitive View")</f>
        <v>Competitive View</v>
      </c>
      <c r="L165" s="41" t="s">
        <v>145</v>
      </c>
      <c r="M165" s="25" t="str">
        <f>'Ingest Template'!D164</f>
        <v/>
      </c>
      <c r="N165" s="25"/>
      <c r="O165" s="25"/>
      <c r="P165" s="25"/>
      <c r="Q165" s="25"/>
      <c r="R165" s="25" t="str">
        <f>CONCATENATE('Ingest Template'!F164)</f>
        <v/>
      </c>
      <c r="S165" s="43" t="s">
        <v>160</v>
      </c>
      <c r="T165" s="25" t="str">
        <f>'Ingest Template'!W164</f>
        <v/>
      </c>
      <c r="U165" s="25"/>
      <c r="V165" s="25" t="str">
        <f>LOWER(SUBSTITUTE(SUBSTITUTE(SUBSTITUTE(SUBSTITUTE(SUBSTITUTE('Ingest Template'!Y164,"https:",""),"www.",""),"/",""),"?hl=en",""),"instagram.com",""))</f>
        <v/>
      </c>
      <c r="W165" s="34" t="str">
        <f>(IFERROR(vlookup('Ingest Template'!F165,DropDown!D:E,2,false)&amp;'Ingest Template'!C165,""))</f>
        <v/>
      </c>
      <c r="X165" s="25" t="str">
        <f>'Ingest Template'!AA164</f>
        <v/>
      </c>
      <c r="Y165" s="25"/>
      <c r="Z165" s="25"/>
      <c r="AA165" s="25"/>
      <c r="AB165" s="25" t="str">
        <f>'Ingest Template'!T164</f>
        <v/>
      </c>
      <c r="AC165" s="25"/>
      <c r="AD165" s="25" t="str">
        <f>'Ingest Template'!U164</f>
        <v/>
      </c>
      <c r="AE165" s="25" t="str">
        <f>'Ingest Template'!V164</f>
        <v/>
      </c>
      <c r="AF165" s="25"/>
      <c r="AG165" s="25" t="str">
        <f t="array" ref="AG165">IF('Ingest Template'!A164="Standard",(CONCATENATE(IF(ISBLANK('Ingest Template'!O164),"", 'Ingest Template'!O164&amp;"|DAR"),CHAR(10), IF(ISBLANK('Ingest Template'!P164),"", 'Ingest Template'!P164&amp;"|DAR"),CHAR(10), IF(ISBLANK('Ingest Template'!Q164),"", 'Ingest Template'!Q164&amp;"|DAR"))),(CONCATENATE(IF(ISBLANK('Ingest Template'!O164),"", 'Ingest Template'!O164&amp;"|Operations - Core Title"),CHAR(10), IF(ISBLANK('Ingest Template'!P164),"", 'Ingest Template'!P164&amp;"|Operations - Core Title"),CHAR(10), IF(ISBLANK('Ingest Template'!Q164),"", 'Ingest Template'!Q164&amp;"|Operations - Core Title"))))</f>
        <v>#|Operations - Core Title
#videoGame|Operations - Core Title
</v>
      </c>
      <c r="AH165" s="25"/>
      <c r="AI165" s="25"/>
      <c r="AJ165" s="50" t="str">
        <f>if('Ingest Template'!A164="Standard",'Ingest Template'!R164&amp; "|DAR|DAR|2021-01-01",'Ingest Template'!R164&amp; "|Operations - Core Title|Operations - Core Title")</f>
        <v>#N/A</v>
      </c>
      <c r="AK165" s="25"/>
      <c r="AL165" s="25" t="str">
        <f>if('Ingest Template'!A164="Standard",'Ingest Template'!S164&amp; "|2021-01-01",'Ingest Template'!S164)</f>
        <v>#N/A</v>
      </c>
      <c r="AM165" s="25"/>
    </row>
    <row r="166">
      <c r="A166" s="25"/>
      <c r="B166" s="25" t="str">
        <f>'Ingest Template'!C165&amp;IF('Ingest Template'!A165 = "Standard", " - DAR","")</f>
        <v/>
      </c>
      <c r="C166" s="34" t="s">
        <v>92</v>
      </c>
      <c r="D166" s="34" t="str">
        <f>CONCATENATE('Ingest Template'!E166&amp;Char(10)&amp;'Ingest Template'!G166&amp;Char(10)&amp;'Ingest Template'!H166&amp;Char(10)&amp;'Ingest Template'!I166&amp;Char(10)&amp;'Ingest Template'!J166&amp;Char(10)&amp;'Ingest Template'!K166&amp;Char(10)&amp;'Ingest Template'!L166)</f>
        <v>
</v>
      </c>
      <c r="E166" s="25" t="str">
        <f>('Ingest Template'!M166)</f>
        <v/>
      </c>
      <c r="F166" s="40" t="str">
        <f t="array" ref="F166">INDEX(DropDown!$J$2:$J$63,MATCH(1,COUNTIF(E166,DropDown!$I$2:$I$63),0))</f>
        <v>#N/A</v>
      </c>
      <c r="G166" s="25"/>
      <c r="H166" s="25"/>
      <c r="I166" s="25"/>
      <c r="J166" s="25" t="str">
        <f>'Ingest Template'!B166</f>
        <v/>
      </c>
      <c r="K166" s="25" t="str">
        <f>IF('Ingest Template'!A165="Standard",'Ingest Template'!N165,"Competitive View")</f>
        <v>Competitive View</v>
      </c>
      <c r="L166" s="41" t="s">
        <v>145</v>
      </c>
      <c r="M166" s="25" t="str">
        <f>'Ingest Template'!D165</f>
        <v/>
      </c>
      <c r="N166" s="25"/>
      <c r="O166" s="25"/>
      <c r="P166" s="25"/>
      <c r="Q166" s="25"/>
      <c r="R166" s="25" t="str">
        <f>CONCATENATE('Ingest Template'!F165)</f>
        <v/>
      </c>
      <c r="S166" s="43" t="s">
        <v>160</v>
      </c>
      <c r="T166" s="25" t="str">
        <f>'Ingest Template'!W165</f>
        <v/>
      </c>
      <c r="U166" s="25"/>
      <c r="V166" s="25" t="str">
        <f>LOWER(SUBSTITUTE(SUBSTITUTE(SUBSTITUTE(SUBSTITUTE(SUBSTITUTE('Ingest Template'!Y165,"https:",""),"www.",""),"/",""),"?hl=en",""),"instagram.com",""))</f>
        <v/>
      </c>
      <c r="W166" s="34" t="str">
        <f>(IFERROR(vlookup('Ingest Template'!F166,DropDown!D:E,2,false)&amp;'Ingest Template'!C166,""))</f>
        <v/>
      </c>
      <c r="X166" s="25" t="str">
        <f>'Ingest Template'!AA165</f>
        <v/>
      </c>
      <c r="Y166" s="25"/>
      <c r="Z166" s="25"/>
      <c r="AA166" s="25"/>
      <c r="AB166" s="25" t="str">
        <f>'Ingest Template'!T165</f>
        <v/>
      </c>
      <c r="AC166" s="25"/>
      <c r="AD166" s="25" t="str">
        <f>'Ingest Template'!U165</f>
        <v/>
      </c>
      <c r="AE166" s="25" t="str">
        <f>'Ingest Template'!V165</f>
        <v/>
      </c>
      <c r="AF166" s="25"/>
      <c r="AG166" s="25" t="str">
        <f t="array" ref="AG166">IF('Ingest Template'!A165="Standard",(CONCATENATE(IF(ISBLANK('Ingest Template'!O165),"", 'Ingest Template'!O165&amp;"|DAR"),CHAR(10), IF(ISBLANK('Ingest Template'!P165),"", 'Ingest Template'!P165&amp;"|DAR"),CHAR(10), IF(ISBLANK('Ingest Template'!Q165),"", 'Ingest Template'!Q165&amp;"|DAR"))),(CONCATENATE(IF(ISBLANK('Ingest Template'!O165),"", 'Ingest Template'!O165&amp;"|Operations - Core Title"),CHAR(10), IF(ISBLANK('Ingest Template'!P165),"", 'Ingest Template'!P165&amp;"|Operations - Core Title"),CHAR(10), IF(ISBLANK('Ingest Template'!Q165),"", 'Ingest Template'!Q165&amp;"|Operations - Core Title"))))</f>
        <v>#|Operations - Core Title
#videoGame|Operations - Core Title
</v>
      </c>
      <c r="AH166" s="25"/>
      <c r="AI166" s="25"/>
      <c r="AJ166" s="50" t="str">
        <f>if('Ingest Template'!A165="Standard",'Ingest Template'!R165&amp; "|DAR|DAR|2021-01-01",'Ingest Template'!R165&amp; "|Operations - Core Title|Operations - Core Title")</f>
        <v>#N/A</v>
      </c>
      <c r="AK166" s="25"/>
      <c r="AL166" s="25" t="str">
        <f>if('Ingest Template'!A165="Standard",'Ingest Template'!S165&amp; "|2021-01-01",'Ingest Template'!S165)</f>
        <v>#N/A</v>
      </c>
      <c r="AM166" s="25"/>
    </row>
    <row r="167">
      <c r="A167" s="25"/>
      <c r="B167" s="25" t="str">
        <f>'Ingest Template'!C166&amp;IF('Ingest Template'!A166 = "Standard", " - DAR","")</f>
        <v/>
      </c>
      <c r="C167" s="34" t="s">
        <v>92</v>
      </c>
      <c r="D167" s="34" t="str">
        <f>CONCATENATE('Ingest Template'!E167&amp;Char(10)&amp;'Ingest Template'!G167&amp;Char(10)&amp;'Ingest Template'!H167&amp;Char(10)&amp;'Ingest Template'!I167&amp;Char(10)&amp;'Ingest Template'!J167&amp;Char(10)&amp;'Ingest Template'!K167&amp;Char(10)&amp;'Ingest Template'!L167)</f>
        <v>
</v>
      </c>
      <c r="E167" s="25" t="str">
        <f>('Ingest Template'!M167)</f>
        <v/>
      </c>
      <c r="F167" s="40" t="str">
        <f t="array" ref="F167">INDEX(DropDown!$J$2:$J$63,MATCH(1,COUNTIF(E167,DropDown!$I$2:$I$63),0))</f>
        <v>#N/A</v>
      </c>
      <c r="G167" s="25"/>
      <c r="H167" s="25"/>
      <c r="I167" s="25"/>
      <c r="J167" s="25" t="str">
        <f>'Ingest Template'!B167</f>
        <v/>
      </c>
      <c r="K167" s="25" t="str">
        <f>IF('Ingest Template'!A166="Standard",'Ingest Template'!N166,"Competitive View")</f>
        <v>Competitive View</v>
      </c>
      <c r="L167" s="41" t="s">
        <v>145</v>
      </c>
      <c r="M167" s="25" t="str">
        <f>'Ingest Template'!D166</f>
        <v/>
      </c>
      <c r="N167" s="25"/>
      <c r="O167" s="25"/>
      <c r="P167" s="25"/>
      <c r="Q167" s="25"/>
      <c r="R167" s="25" t="str">
        <f>CONCATENATE('Ingest Template'!F166)</f>
        <v/>
      </c>
      <c r="S167" s="43" t="s">
        <v>160</v>
      </c>
      <c r="T167" s="25" t="str">
        <f>'Ingest Template'!W166</f>
        <v/>
      </c>
      <c r="U167" s="25"/>
      <c r="V167" s="25" t="str">
        <f>LOWER(SUBSTITUTE(SUBSTITUTE(SUBSTITUTE(SUBSTITUTE(SUBSTITUTE('Ingest Template'!Y166,"https:",""),"www.",""),"/",""),"?hl=en",""),"instagram.com",""))</f>
        <v/>
      </c>
      <c r="W167" s="34" t="str">
        <f>(IFERROR(vlookup('Ingest Template'!F167,DropDown!D:E,2,false)&amp;'Ingest Template'!C167,""))</f>
        <v/>
      </c>
      <c r="X167" s="25" t="str">
        <f>'Ingest Template'!AA166</f>
        <v/>
      </c>
      <c r="Y167" s="25"/>
      <c r="Z167" s="25"/>
      <c r="AA167" s="25"/>
      <c r="AB167" s="25" t="str">
        <f>'Ingest Template'!T166</f>
        <v/>
      </c>
      <c r="AC167" s="25"/>
      <c r="AD167" s="25" t="str">
        <f>'Ingest Template'!U166</f>
        <v/>
      </c>
      <c r="AE167" s="25" t="str">
        <f>'Ingest Template'!V166</f>
        <v/>
      </c>
      <c r="AF167" s="25"/>
      <c r="AG167" s="25" t="str">
        <f t="array" ref="AG167">IF('Ingest Template'!A166="Standard",(CONCATENATE(IF(ISBLANK('Ingest Template'!O166),"", 'Ingest Template'!O166&amp;"|DAR"),CHAR(10), IF(ISBLANK('Ingest Template'!P166),"", 'Ingest Template'!P166&amp;"|DAR"),CHAR(10), IF(ISBLANK('Ingest Template'!Q166),"", 'Ingest Template'!Q166&amp;"|DAR"))),(CONCATENATE(IF(ISBLANK('Ingest Template'!O166),"", 'Ingest Template'!O166&amp;"|Operations - Core Title"),CHAR(10), IF(ISBLANK('Ingest Template'!P166),"", 'Ingest Template'!P166&amp;"|Operations - Core Title"),CHAR(10), IF(ISBLANK('Ingest Template'!Q166),"", 'Ingest Template'!Q166&amp;"|Operations - Core Title"))))</f>
        <v>#|Operations - Core Title
#videoGame|Operations - Core Title
</v>
      </c>
      <c r="AH167" s="25"/>
      <c r="AI167" s="25"/>
      <c r="AJ167" s="50" t="str">
        <f>if('Ingest Template'!A166="Standard",'Ingest Template'!R166&amp; "|DAR|DAR|2021-01-01",'Ingest Template'!R166&amp; "|Operations - Core Title|Operations - Core Title")</f>
        <v>#N/A</v>
      </c>
      <c r="AK167" s="25"/>
      <c r="AL167" s="25" t="str">
        <f>if('Ingest Template'!A166="Standard",'Ingest Template'!S166&amp; "|2021-01-01",'Ingest Template'!S166)</f>
        <v>#N/A</v>
      </c>
      <c r="AM167" s="25"/>
    </row>
    <row r="168">
      <c r="A168" s="25"/>
      <c r="B168" s="25" t="str">
        <f>'Ingest Template'!C167&amp;IF('Ingest Template'!A167 = "Standard", " - DAR","")</f>
        <v/>
      </c>
      <c r="C168" s="34" t="s">
        <v>92</v>
      </c>
      <c r="D168" s="34" t="str">
        <f>CONCATENATE('Ingest Template'!E168&amp;Char(10)&amp;'Ingest Template'!G168&amp;Char(10)&amp;'Ingest Template'!H168&amp;Char(10)&amp;'Ingest Template'!I168&amp;Char(10)&amp;'Ingest Template'!J168&amp;Char(10)&amp;'Ingest Template'!K168&amp;Char(10)&amp;'Ingest Template'!L168)</f>
        <v>
</v>
      </c>
      <c r="E168" s="25" t="str">
        <f>('Ingest Template'!M168)</f>
        <v/>
      </c>
      <c r="F168" s="40" t="str">
        <f t="array" ref="F168">INDEX(DropDown!$J$2:$J$63,MATCH(1,COUNTIF(E168,DropDown!$I$2:$I$63),0))</f>
        <v>#N/A</v>
      </c>
      <c r="G168" s="25"/>
      <c r="H168" s="25"/>
      <c r="I168" s="25"/>
      <c r="J168" s="25" t="str">
        <f>'Ingest Template'!B168</f>
        <v/>
      </c>
      <c r="K168" s="25" t="str">
        <f>IF('Ingest Template'!A167="Standard",'Ingest Template'!N167,"Competitive View")</f>
        <v>Competitive View</v>
      </c>
      <c r="L168" s="41" t="s">
        <v>145</v>
      </c>
      <c r="M168" s="25" t="str">
        <f>'Ingest Template'!D167</f>
        <v/>
      </c>
      <c r="N168" s="25"/>
      <c r="O168" s="25"/>
      <c r="P168" s="25"/>
      <c r="Q168" s="25"/>
      <c r="R168" s="25" t="str">
        <f>CONCATENATE('Ingest Template'!F167)</f>
        <v/>
      </c>
      <c r="S168" s="43" t="s">
        <v>160</v>
      </c>
      <c r="T168" s="25" t="str">
        <f>'Ingest Template'!W167</f>
        <v/>
      </c>
      <c r="U168" s="25"/>
      <c r="V168" s="25" t="str">
        <f>LOWER(SUBSTITUTE(SUBSTITUTE(SUBSTITUTE(SUBSTITUTE(SUBSTITUTE('Ingest Template'!Y167,"https:",""),"www.",""),"/",""),"?hl=en",""),"instagram.com",""))</f>
        <v/>
      </c>
      <c r="W168" s="34" t="str">
        <f>(IFERROR(vlookup('Ingest Template'!F168,DropDown!D:E,2,false)&amp;'Ingest Template'!C168,""))</f>
        <v/>
      </c>
      <c r="X168" s="25" t="str">
        <f>'Ingest Template'!AA167</f>
        <v/>
      </c>
      <c r="Y168" s="25"/>
      <c r="Z168" s="25"/>
      <c r="AA168" s="25"/>
      <c r="AB168" s="25" t="str">
        <f>'Ingest Template'!T167</f>
        <v/>
      </c>
      <c r="AC168" s="25"/>
      <c r="AD168" s="25" t="str">
        <f>'Ingest Template'!U167</f>
        <v/>
      </c>
      <c r="AE168" s="25" t="str">
        <f>'Ingest Template'!V167</f>
        <v/>
      </c>
      <c r="AF168" s="25"/>
      <c r="AG168" s="25" t="str">
        <f t="array" ref="AG168">IF('Ingest Template'!A167="Standard",(CONCATENATE(IF(ISBLANK('Ingest Template'!O167),"", 'Ingest Template'!O167&amp;"|DAR"),CHAR(10), IF(ISBLANK('Ingest Template'!P167),"", 'Ingest Template'!P167&amp;"|DAR"),CHAR(10), IF(ISBLANK('Ingest Template'!Q167),"", 'Ingest Template'!Q167&amp;"|DAR"))),(CONCATENATE(IF(ISBLANK('Ingest Template'!O167),"", 'Ingest Template'!O167&amp;"|Operations - Core Title"),CHAR(10), IF(ISBLANK('Ingest Template'!P167),"", 'Ingest Template'!P167&amp;"|Operations - Core Title"),CHAR(10), IF(ISBLANK('Ingest Template'!Q167),"", 'Ingest Template'!Q167&amp;"|Operations - Core Title"))))</f>
        <v>#|Operations - Core Title
#videoGame|Operations - Core Title
</v>
      </c>
      <c r="AH168" s="25"/>
      <c r="AI168" s="25"/>
      <c r="AJ168" s="50" t="str">
        <f>if('Ingest Template'!A167="Standard",'Ingest Template'!R167&amp; "|DAR|DAR|2021-01-01",'Ingest Template'!R167&amp; "|Operations - Core Title|Operations - Core Title")</f>
        <v>#N/A</v>
      </c>
      <c r="AK168" s="25"/>
      <c r="AL168" s="25" t="str">
        <f>if('Ingest Template'!A167="Standard",'Ingest Template'!S167&amp; "|2021-01-01",'Ingest Template'!S167)</f>
        <v>#N/A</v>
      </c>
      <c r="AM168" s="25"/>
    </row>
    <row r="169">
      <c r="A169" s="25"/>
      <c r="B169" s="25" t="str">
        <f>'Ingest Template'!C168&amp;IF('Ingest Template'!A168 = "Standard", " - DAR","")</f>
        <v/>
      </c>
      <c r="C169" s="34" t="s">
        <v>92</v>
      </c>
      <c r="D169" s="34" t="str">
        <f>CONCATENATE('Ingest Template'!E169&amp;Char(10)&amp;'Ingest Template'!G169&amp;Char(10)&amp;'Ingest Template'!H169&amp;Char(10)&amp;'Ingest Template'!I169&amp;Char(10)&amp;'Ingest Template'!J169&amp;Char(10)&amp;'Ingest Template'!K169&amp;Char(10)&amp;'Ingest Template'!L169)</f>
        <v>
</v>
      </c>
      <c r="E169" s="25" t="str">
        <f>('Ingest Template'!M169)</f>
        <v/>
      </c>
      <c r="F169" s="40" t="str">
        <f t="array" ref="F169">INDEX(DropDown!$J$2:$J$63,MATCH(1,COUNTIF(E169,DropDown!$I$2:$I$63),0))</f>
        <v>#N/A</v>
      </c>
      <c r="G169" s="25"/>
      <c r="H169" s="25"/>
      <c r="I169" s="25"/>
      <c r="J169" s="25" t="str">
        <f>'Ingest Template'!B169</f>
        <v/>
      </c>
      <c r="K169" s="25" t="str">
        <f>IF('Ingest Template'!A168="Standard",'Ingest Template'!N168,"Competitive View")</f>
        <v>Competitive View</v>
      </c>
      <c r="L169" s="41" t="s">
        <v>145</v>
      </c>
      <c r="M169" s="25" t="str">
        <f>'Ingest Template'!D168</f>
        <v/>
      </c>
      <c r="N169" s="25"/>
      <c r="O169" s="25"/>
      <c r="P169" s="25"/>
      <c r="Q169" s="25"/>
      <c r="R169" s="25" t="str">
        <f>CONCATENATE('Ingest Template'!F168)</f>
        <v/>
      </c>
      <c r="S169" s="43" t="s">
        <v>160</v>
      </c>
      <c r="T169" s="25" t="str">
        <f>'Ingest Template'!W168</f>
        <v/>
      </c>
      <c r="U169" s="25"/>
      <c r="V169" s="25" t="str">
        <f>LOWER(SUBSTITUTE(SUBSTITUTE(SUBSTITUTE(SUBSTITUTE(SUBSTITUTE('Ingest Template'!Y168,"https:",""),"www.",""),"/",""),"?hl=en",""),"instagram.com",""))</f>
        <v/>
      </c>
      <c r="W169" s="34" t="str">
        <f>(IFERROR(vlookup('Ingest Template'!F169,DropDown!D:E,2,false)&amp;'Ingest Template'!C169,""))</f>
        <v/>
      </c>
      <c r="X169" s="25" t="str">
        <f>'Ingest Template'!AA168</f>
        <v/>
      </c>
      <c r="Y169" s="25"/>
      <c r="Z169" s="25"/>
      <c r="AA169" s="25"/>
      <c r="AB169" s="25" t="str">
        <f>'Ingest Template'!T168</f>
        <v/>
      </c>
      <c r="AC169" s="25"/>
      <c r="AD169" s="25" t="str">
        <f>'Ingest Template'!U168</f>
        <v/>
      </c>
      <c r="AE169" s="25" t="str">
        <f>'Ingest Template'!V168</f>
        <v/>
      </c>
      <c r="AF169" s="25"/>
      <c r="AG169" s="25" t="str">
        <f t="array" ref="AG169">IF('Ingest Template'!A168="Standard",(CONCATENATE(IF(ISBLANK('Ingest Template'!O168),"", 'Ingest Template'!O168&amp;"|DAR"),CHAR(10), IF(ISBLANK('Ingest Template'!P168),"", 'Ingest Template'!P168&amp;"|DAR"),CHAR(10), IF(ISBLANK('Ingest Template'!Q168),"", 'Ingest Template'!Q168&amp;"|DAR"))),(CONCATENATE(IF(ISBLANK('Ingest Template'!O168),"", 'Ingest Template'!O168&amp;"|Operations - Core Title"),CHAR(10), IF(ISBLANK('Ingest Template'!P168),"", 'Ingest Template'!P168&amp;"|Operations - Core Title"),CHAR(10), IF(ISBLANK('Ingest Template'!Q168),"", 'Ingest Template'!Q168&amp;"|Operations - Core Title"))))</f>
        <v>#|Operations - Core Title
#videoGame|Operations - Core Title
</v>
      </c>
      <c r="AH169" s="25"/>
      <c r="AI169" s="25"/>
      <c r="AJ169" s="50" t="str">
        <f>if('Ingest Template'!A168="Standard",'Ingest Template'!R168&amp; "|DAR|DAR|2021-01-01",'Ingest Template'!R168&amp; "|Operations - Core Title|Operations - Core Title")</f>
        <v>#N/A</v>
      </c>
      <c r="AK169" s="25"/>
      <c r="AL169" s="25" t="str">
        <f>if('Ingest Template'!A168="Standard",'Ingest Template'!S168&amp; "|2021-01-01",'Ingest Template'!S168)</f>
        <v>#N/A</v>
      </c>
      <c r="AM169" s="25"/>
    </row>
    <row r="170">
      <c r="A170" s="25"/>
      <c r="B170" s="25" t="str">
        <f>'Ingest Template'!C169&amp;IF('Ingest Template'!A169 = "Standard", " - DAR","")</f>
        <v/>
      </c>
      <c r="C170" s="34" t="s">
        <v>92</v>
      </c>
      <c r="D170" s="34" t="str">
        <f>CONCATENATE('Ingest Template'!E170&amp;Char(10)&amp;'Ingest Template'!G170&amp;Char(10)&amp;'Ingest Template'!H170&amp;Char(10)&amp;'Ingest Template'!I170&amp;Char(10)&amp;'Ingest Template'!J170&amp;Char(10)&amp;'Ingest Template'!K170&amp;Char(10)&amp;'Ingest Template'!L170)</f>
        <v>
</v>
      </c>
      <c r="E170" s="25" t="str">
        <f>('Ingest Template'!M170)</f>
        <v/>
      </c>
      <c r="F170" s="40" t="str">
        <f t="array" ref="F170">INDEX(DropDown!$J$2:$J$63,MATCH(1,COUNTIF(E170,DropDown!$I$2:$I$63),0))</f>
        <v>#N/A</v>
      </c>
      <c r="G170" s="25"/>
      <c r="H170" s="25"/>
      <c r="I170" s="25"/>
      <c r="J170" s="25" t="str">
        <f>'Ingest Template'!B170</f>
        <v/>
      </c>
      <c r="K170" s="25" t="str">
        <f>IF('Ingest Template'!A169="Standard",'Ingest Template'!N169,"Competitive View")</f>
        <v>Competitive View</v>
      </c>
      <c r="L170" s="41" t="s">
        <v>145</v>
      </c>
      <c r="M170" s="25" t="str">
        <f>'Ingest Template'!D169</f>
        <v/>
      </c>
      <c r="N170" s="25"/>
      <c r="O170" s="25"/>
      <c r="P170" s="25"/>
      <c r="Q170" s="25"/>
      <c r="R170" s="25" t="str">
        <f>CONCATENATE('Ingest Template'!F169)</f>
        <v/>
      </c>
      <c r="S170" s="43" t="s">
        <v>160</v>
      </c>
      <c r="T170" s="25" t="str">
        <f>'Ingest Template'!W169</f>
        <v/>
      </c>
      <c r="U170" s="25"/>
      <c r="V170" s="25" t="str">
        <f>LOWER(SUBSTITUTE(SUBSTITUTE(SUBSTITUTE(SUBSTITUTE(SUBSTITUTE('Ingest Template'!Y169,"https:",""),"www.",""),"/",""),"?hl=en",""),"instagram.com",""))</f>
        <v/>
      </c>
      <c r="W170" s="34" t="str">
        <f>(IFERROR(vlookup('Ingest Template'!F170,DropDown!D:E,2,false)&amp;'Ingest Template'!C170,""))</f>
        <v/>
      </c>
      <c r="X170" s="25" t="str">
        <f>'Ingest Template'!AA169</f>
        <v/>
      </c>
      <c r="Y170" s="25"/>
      <c r="Z170" s="25"/>
      <c r="AA170" s="25"/>
      <c r="AB170" s="25" t="str">
        <f>'Ingest Template'!T169</f>
        <v/>
      </c>
      <c r="AC170" s="25"/>
      <c r="AD170" s="25" t="str">
        <f>'Ingest Template'!U169</f>
        <v/>
      </c>
      <c r="AE170" s="25" t="str">
        <f>'Ingest Template'!V169</f>
        <v/>
      </c>
      <c r="AF170" s="25"/>
      <c r="AG170" s="25" t="str">
        <f t="array" ref="AG170">IF('Ingest Template'!A169="Standard",(CONCATENATE(IF(ISBLANK('Ingest Template'!O169),"", 'Ingest Template'!O169&amp;"|DAR"),CHAR(10), IF(ISBLANK('Ingest Template'!P169),"", 'Ingest Template'!P169&amp;"|DAR"),CHAR(10), IF(ISBLANK('Ingest Template'!Q169),"", 'Ingest Template'!Q169&amp;"|DAR"))),(CONCATENATE(IF(ISBLANK('Ingest Template'!O169),"", 'Ingest Template'!O169&amp;"|Operations - Core Title"),CHAR(10), IF(ISBLANK('Ingest Template'!P169),"", 'Ingest Template'!P169&amp;"|Operations - Core Title"),CHAR(10), IF(ISBLANK('Ingest Template'!Q169),"", 'Ingest Template'!Q169&amp;"|Operations - Core Title"))))</f>
        <v>#|Operations - Core Title
#videoGame|Operations - Core Title
</v>
      </c>
      <c r="AH170" s="25"/>
      <c r="AI170" s="25"/>
      <c r="AJ170" s="50" t="str">
        <f>if('Ingest Template'!A169="Standard",'Ingest Template'!R169&amp; "|DAR|DAR|2021-01-01",'Ingest Template'!R169&amp; "|Operations - Core Title|Operations - Core Title")</f>
        <v>#N/A</v>
      </c>
      <c r="AK170" s="25"/>
      <c r="AL170" s="25" t="str">
        <f>if('Ingest Template'!A169="Standard",'Ingest Template'!S169&amp; "|2021-01-01",'Ingest Template'!S169)</f>
        <v>#N/A</v>
      </c>
      <c r="AM170" s="25"/>
    </row>
    <row r="171">
      <c r="A171" s="25"/>
      <c r="B171" s="25" t="str">
        <f>'Ingest Template'!C170&amp;IF('Ingest Template'!A170 = "Standard", " - DAR","")</f>
        <v/>
      </c>
      <c r="C171" s="34" t="s">
        <v>92</v>
      </c>
      <c r="D171" s="34" t="str">
        <f>CONCATENATE('Ingest Template'!E171&amp;Char(10)&amp;'Ingest Template'!G171&amp;Char(10)&amp;'Ingest Template'!H171&amp;Char(10)&amp;'Ingest Template'!I171&amp;Char(10)&amp;'Ingest Template'!J171&amp;Char(10)&amp;'Ingest Template'!K171&amp;Char(10)&amp;'Ingest Template'!L171)</f>
        <v>
</v>
      </c>
      <c r="E171" s="25" t="str">
        <f>('Ingest Template'!M171)</f>
        <v/>
      </c>
      <c r="F171" s="40" t="str">
        <f t="array" ref="F171">INDEX(DropDown!$J$2:$J$63,MATCH(1,COUNTIF(E171,DropDown!$I$2:$I$63),0))</f>
        <v>#N/A</v>
      </c>
      <c r="G171" s="25"/>
      <c r="H171" s="25"/>
      <c r="I171" s="25"/>
      <c r="J171" s="25" t="str">
        <f>'Ingest Template'!B171</f>
        <v/>
      </c>
      <c r="K171" s="25" t="str">
        <f>IF('Ingest Template'!A170="Standard",'Ingest Template'!N170,"Competitive View")</f>
        <v>Competitive View</v>
      </c>
      <c r="L171" s="41" t="s">
        <v>145</v>
      </c>
      <c r="M171" s="25" t="str">
        <f>'Ingest Template'!D170</f>
        <v/>
      </c>
      <c r="N171" s="25"/>
      <c r="O171" s="25"/>
      <c r="P171" s="25"/>
      <c r="Q171" s="25"/>
      <c r="R171" s="25" t="str">
        <f>CONCATENATE('Ingest Template'!F170)</f>
        <v/>
      </c>
      <c r="S171" s="43" t="s">
        <v>160</v>
      </c>
      <c r="T171" s="25" t="str">
        <f>'Ingest Template'!W170</f>
        <v/>
      </c>
      <c r="U171" s="25"/>
      <c r="V171" s="25" t="str">
        <f>LOWER(SUBSTITUTE(SUBSTITUTE(SUBSTITUTE(SUBSTITUTE(SUBSTITUTE('Ingest Template'!Y170,"https:",""),"www.",""),"/",""),"?hl=en",""),"instagram.com",""))</f>
        <v/>
      </c>
      <c r="W171" s="34" t="str">
        <f>(IFERROR(vlookup('Ingest Template'!F171,DropDown!D:E,2,false)&amp;'Ingest Template'!C171,""))</f>
        <v/>
      </c>
      <c r="X171" s="25" t="str">
        <f>'Ingest Template'!AA170</f>
        <v/>
      </c>
      <c r="Y171" s="25"/>
      <c r="Z171" s="25"/>
      <c r="AA171" s="25"/>
      <c r="AB171" s="25" t="str">
        <f>'Ingest Template'!T170</f>
        <v/>
      </c>
      <c r="AC171" s="25"/>
      <c r="AD171" s="25" t="str">
        <f>'Ingest Template'!U170</f>
        <v/>
      </c>
      <c r="AE171" s="25" t="str">
        <f>'Ingest Template'!V170</f>
        <v/>
      </c>
      <c r="AF171" s="25"/>
      <c r="AG171" s="25" t="str">
        <f t="array" ref="AG171">IF('Ingest Template'!A170="Standard",(CONCATENATE(IF(ISBLANK('Ingest Template'!O170),"", 'Ingest Template'!O170&amp;"|DAR"),CHAR(10), IF(ISBLANK('Ingest Template'!P170),"", 'Ingest Template'!P170&amp;"|DAR"),CHAR(10), IF(ISBLANK('Ingest Template'!Q170),"", 'Ingest Template'!Q170&amp;"|DAR"))),(CONCATENATE(IF(ISBLANK('Ingest Template'!O170),"", 'Ingest Template'!O170&amp;"|Operations - Core Title"),CHAR(10), IF(ISBLANK('Ingest Template'!P170),"", 'Ingest Template'!P170&amp;"|Operations - Core Title"),CHAR(10), IF(ISBLANK('Ingest Template'!Q170),"", 'Ingest Template'!Q170&amp;"|Operations - Core Title"))))</f>
        <v>#|Operations - Core Title
#videoGame|Operations - Core Title
</v>
      </c>
      <c r="AH171" s="25"/>
      <c r="AI171" s="25"/>
      <c r="AJ171" s="50" t="str">
        <f>if('Ingest Template'!A170="Standard",'Ingest Template'!R170&amp; "|DAR|DAR|2021-01-01",'Ingest Template'!R170&amp; "|Operations - Core Title|Operations - Core Title")</f>
        <v>#N/A</v>
      </c>
      <c r="AK171" s="25"/>
      <c r="AL171" s="25" t="str">
        <f>if('Ingest Template'!A170="Standard",'Ingest Template'!S170&amp; "|2021-01-01",'Ingest Template'!S170)</f>
        <v>#N/A</v>
      </c>
      <c r="AM171" s="25"/>
    </row>
    <row r="172">
      <c r="A172" s="25"/>
      <c r="B172" s="25" t="str">
        <f>'Ingest Template'!C171&amp;IF('Ingest Template'!A171 = "Standard", " - DAR","")</f>
        <v/>
      </c>
      <c r="C172" s="34" t="s">
        <v>92</v>
      </c>
      <c r="D172" s="34" t="str">
        <f>CONCATENATE('Ingest Template'!E172&amp;Char(10)&amp;'Ingest Template'!G172&amp;Char(10)&amp;'Ingest Template'!H172&amp;Char(10)&amp;'Ingest Template'!I172&amp;Char(10)&amp;'Ingest Template'!J172&amp;Char(10)&amp;'Ingest Template'!K172&amp;Char(10)&amp;'Ingest Template'!L172)</f>
        <v>
</v>
      </c>
      <c r="E172" s="25" t="str">
        <f>('Ingest Template'!M172)</f>
        <v/>
      </c>
      <c r="F172" s="40" t="str">
        <f t="array" ref="F172">INDEX(DropDown!$J$2:$J$63,MATCH(1,COUNTIF(E172,DropDown!$I$2:$I$63),0))</f>
        <v>#N/A</v>
      </c>
      <c r="G172" s="25"/>
      <c r="H172" s="25"/>
      <c r="I172" s="25"/>
      <c r="J172" s="25" t="str">
        <f>'Ingest Template'!B172</f>
        <v/>
      </c>
      <c r="K172" s="25" t="str">
        <f>IF('Ingest Template'!A171="Standard",'Ingest Template'!N171,"Competitive View")</f>
        <v>Competitive View</v>
      </c>
      <c r="L172" s="41" t="s">
        <v>145</v>
      </c>
      <c r="M172" s="25" t="str">
        <f>'Ingest Template'!D171</f>
        <v/>
      </c>
      <c r="N172" s="25"/>
      <c r="O172" s="25"/>
      <c r="P172" s="25"/>
      <c r="Q172" s="25"/>
      <c r="R172" s="25" t="str">
        <f>CONCATENATE('Ingest Template'!F171)</f>
        <v/>
      </c>
      <c r="S172" s="43" t="s">
        <v>160</v>
      </c>
      <c r="T172" s="25" t="str">
        <f>'Ingest Template'!W171</f>
        <v/>
      </c>
      <c r="U172" s="25"/>
      <c r="V172" s="25" t="str">
        <f>LOWER(SUBSTITUTE(SUBSTITUTE(SUBSTITUTE(SUBSTITUTE(SUBSTITUTE('Ingest Template'!Y171,"https:",""),"www.",""),"/",""),"?hl=en",""),"instagram.com",""))</f>
        <v/>
      </c>
      <c r="W172" s="34" t="str">
        <f>(IFERROR(vlookup('Ingest Template'!F172,DropDown!D:E,2,false)&amp;'Ingest Template'!C172,""))</f>
        <v/>
      </c>
      <c r="X172" s="25" t="str">
        <f>'Ingest Template'!AA171</f>
        <v/>
      </c>
      <c r="Y172" s="25"/>
      <c r="Z172" s="25"/>
      <c r="AA172" s="25"/>
      <c r="AB172" s="25" t="str">
        <f>'Ingest Template'!T171</f>
        <v/>
      </c>
      <c r="AC172" s="25"/>
      <c r="AD172" s="25" t="str">
        <f>'Ingest Template'!U171</f>
        <v/>
      </c>
      <c r="AE172" s="25" t="str">
        <f>'Ingest Template'!V171</f>
        <v/>
      </c>
      <c r="AF172" s="25"/>
      <c r="AG172" s="25" t="str">
        <f t="array" ref="AG172">IF('Ingest Template'!A171="Standard",(CONCATENATE(IF(ISBLANK('Ingest Template'!O171),"", 'Ingest Template'!O171&amp;"|DAR"),CHAR(10), IF(ISBLANK('Ingest Template'!P171),"", 'Ingest Template'!P171&amp;"|DAR"),CHAR(10), IF(ISBLANK('Ingest Template'!Q171),"", 'Ingest Template'!Q171&amp;"|DAR"))),(CONCATENATE(IF(ISBLANK('Ingest Template'!O171),"", 'Ingest Template'!O171&amp;"|Operations - Core Title"),CHAR(10), IF(ISBLANK('Ingest Template'!P171),"", 'Ingest Template'!P171&amp;"|Operations - Core Title"),CHAR(10), IF(ISBLANK('Ingest Template'!Q171),"", 'Ingest Template'!Q171&amp;"|Operations - Core Title"))))</f>
        <v>#|Operations - Core Title
#videoGame|Operations - Core Title
</v>
      </c>
      <c r="AH172" s="25"/>
      <c r="AI172" s="25"/>
      <c r="AJ172" s="50" t="str">
        <f>if('Ingest Template'!A171="Standard",'Ingest Template'!R171&amp; "|DAR|DAR|2021-01-01",'Ingest Template'!R171&amp; "|Operations - Core Title|Operations - Core Title")</f>
        <v>#N/A</v>
      </c>
      <c r="AK172" s="25"/>
      <c r="AL172" s="25" t="str">
        <f>if('Ingest Template'!A171="Standard",'Ingest Template'!S171&amp; "|2021-01-01",'Ingest Template'!S171)</f>
        <v>#N/A</v>
      </c>
      <c r="AM172" s="25"/>
    </row>
    <row r="173">
      <c r="A173" s="25"/>
      <c r="B173" s="25" t="str">
        <f>'Ingest Template'!C172&amp;IF('Ingest Template'!A172 = "Standard", " - DAR","")</f>
        <v/>
      </c>
      <c r="C173" s="34" t="s">
        <v>92</v>
      </c>
      <c r="D173" s="34" t="str">
        <f>CONCATENATE('Ingest Template'!E173&amp;Char(10)&amp;'Ingest Template'!G173&amp;Char(10)&amp;'Ingest Template'!H173&amp;Char(10)&amp;'Ingest Template'!I173&amp;Char(10)&amp;'Ingest Template'!J173&amp;Char(10)&amp;'Ingest Template'!K173&amp;Char(10)&amp;'Ingest Template'!L173)</f>
        <v>
</v>
      </c>
      <c r="E173" s="25" t="str">
        <f>('Ingest Template'!M173)</f>
        <v/>
      </c>
      <c r="F173" s="40" t="str">
        <f t="array" ref="F173">INDEX(DropDown!$J$2:$J$63,MATCH(1,COUNTIF(E173,DropDown!$I$2:$I$63),0))</f>
        <v>#N/A</v>
      </c>
      <c r="G173" s="25"/>
      <c r="H173" s="25"/>
      <c r="I173" s="25"/>
      <c r="J173" s="25" t="str">
        <f>'Ingest Template'!B173</f>
        <v/>
      </c>
      <c r="K173" s="25" t="str">
        <f>IF('Ingest Template'!A172="Standard",'Ingest Template'!N172,"Competitive View")</f>
        <v>Competitive View</v>
      </c>
      <c r="L173" s="41" t="s">
        <v>145</v>
      </c>
      <c r="M173" s="25" t="str">
        <f>'Ingest Template'!D172</f>
        <v/>
      </c>
      <c r="N173" s="25"/>
      <c r="O173" s="25"/>
      <c r="P173" s="25"/>
      <c r="Q173" s="25"/>
      <c r="R173" s="25" t="str">
        <f>CONCATENATE('Ingest Template'!F172)</f>
        <v/>
      </c>
      <c r="S173" s="43" t="s">
        <v>160</v>
      </c>
      <c r="T173" s="25" t="str">
        <f>'Ingest Template'!W172</f>
        <v/>
      </c>
      <c r="U173" s="25"/>
      <c r="V173" s="25" t="str">
        <f>LOWER(SUBSTITUTE(SUBSTITUTE(SUBSTITUTE(SUBSTITUTE(SUBSTITUTE('Ingest Template'!Y172,"https:",""),"www.",""),"/",""),"?hl=en",""),"instagram.com",""))</f>
        <v/>
      </c>
      <c r="W173" s="34" t="str">
        <f>(IFERROR(vlookup('Ingest Template'!F173,DropDown!D:E,2,false)&amp;'Ingest Template'!C173,""))</f>
        <v/>
      </c>
      <c r="X173" s="25" t="str">
        <f>'Ingest Template'!AA172</f>
        <v/>
      </c>
      <c r="Y173" s="25"/>
      <c r="Z173" s="25"/>
      <c r="AA173" s="25"/>
      <c r="AB173" s="25" t="str">
        <f>'Ingest Template'!T172</f>
        <v/>
      </c>
      <c r="AC173" s="25"/>
      <c r="AD173" s="25" t="str">
        <f>'Ingest Template'!U172</f>
        <v/>
      </c>
      <c r="AE173" s="25" t="str">
        <f>'Ingest Template'!V172</f>
        <v/>
      </c>
      <c r="AF173" s="25"/>
      <c r="AG173" s="25" t="str">
        <f t="array" ref="AG173">IF('Ingest Template'!A172="Standard",(CONCATENATE(IF(ISBLANK('Ingest Template'!O172),"", 'Ingest Template'!O172&amp;"|DAR"),CHAR(10), IF(ISBLANK('Ingest Template'!P172),"", 'Ingest Template'!P172&amp;"|DAR"),CHAR(10), IF(ISBLANK('Ingest Template'!Q172),"", 'Ingest Template'!Q172&amp;"|DAR"))),(CONCATENATE(IF(ISBLANK('Ingest Template'!O172),"", 'Ingest Template'!O172&amp;"|Operations - Core Title"),CHAR(10), IF(ISBLANK('Ingest Template'!P172),"", 'Ingest Template'!P172&amp;"|Operations - Core Title"),CHAR(10), IF(ISBLANK('Ingest Template'!Q172),"", 'Ingest Template'!Q172&amp;"|Operations - Core Title"))))</f>
        <v>#|Operations - Core Title
#videoGame|Operations - Core Title
</v>
      </c>
      <c r="AH173" s="25"/>
      <c r="AI173" s="25"/>
      <c r="AJ173" s="50" t="str">
        <f>if('Ingest Template'!A172="Standard",'Ingest Template'!R172&amp; "|DAR|DAR|2021-01-01",'Ingest Template'!R172&amp; "|Operations - Core Title|Operations - Core Title")</f>
        <v>#N/A</v>
      </c>
      <c r="AK173" s="25"/>
      <c r="AL173" s="25" t="str">
        <f>if('Ingest Template'!A172="Standard",'Ingest Template'!S172&amp; "|2021-01-01",'Ingest Template'!S172)</f>
        <v>#N/A</v>
      </c>
      <c r="AM173" s="25"/>
    </row>
    <row r="174">
      <c r="A174" s="25"/>
      <c r="B174" s="25" t="str">
        <f>'Ingest Template'!C173&amp;IF('Ingest Template'!A173 = "Standard", " - DAR","")</f>
        <v/>
      </c>
      <c r="C174" s="34" t="s">
        <v>92</v>
      </c>
      <c r="D174" s="34" t="str">
        <f>CONCATENATE('Ingest Template'!E174&amp;Char(10)&amp;'Ingest Template'!G174&amp;Char(10)&amp;'Ingest Template'!H174&amp;Char(10)&amp;'Ingest Template'!I174&amp;Char(10)&amp;'Ingest Template'!J174&amp;Char(10)&amp;'Ingest Template'!K174&amp;Char(10)&amp;'Ingest Template'!L174)</f>
        <v>
</v>
      </c>
      <c r="E174" s="25" t="str">
        <f>('Ingest Template'!M174)</f>
        <v/>
      </c>
      <c r="F174" s="40" t="str">
        <f t="array" ref="F174">INDEX(DropDown!$J$2:$J$63,MATCH(1,COUNTIF(E174,DropDown!$I$2:$I$63),0))</f>
        <v>#N/A</v>
      </c>
      <c r="G174" s="25"/>
      <c r="H174" s="25"/>
      <c r="I174" s="25"/>
      <c r="J174" s="25" t="str">
        <f>'Ingest Template'!B174</f>
        <v/>
      </c>
      <c r="K174" s="25" t="str">
        <f>IF('Ingest Template'!A173="Standard",'Ingest Template'!N173,"Competitive View")</f>
        <v>Competitive View</v>
      </c>
      <c r="L174" s="41" t="s">
        <v>145</v>
      </c>
      <c r="M174" s="25" t="str">
        <f>'Ingest Template'!D173</f>
        <v/>
      </c>
      <c r="N174" s="25"/>
      <c r="O174" s="25"/>
      <c r="P174" s="25"/>
      <c r="Q174" s="25"/>
      <c r="R174" s="25" t="str">
        <f>CONCATENATE('Ingest Template'!F173)</f>
        <v/>
      </c>
      <c r="S174" s="43" t="s">
        <v>160</v>
      </c>
      <c r="T174" s="25" t="str">
        <f>'Ingest Template'!W173</f>
        <v/>
      </c>
      <c r="U174" s="25"/>
      <c r="V174" s="25" t="str">
        <f>LOWER(SUBSTITUTE(SUBSTITUTE(SUBSTITUTE(SUBSTITUTE(SUBSTITUTE('Ingest Template'!Y173,"https:",""),"www.",""),"/",""),"?hl=en",""),"instagram.com",""))</f>
        <v/>
      </c>
      <c r="W174" s="34" t="str">
        <f>(IFERROR(vlookup('Ingest Template'!F174,DropDown!D:E,2,false)&amp;'Ingest Template'!C174,""))</f>
        <v/>
      </c>
      <c r="X174" s="25" t="str">
        <f>'Ingest Template'!AA173</f>
        <v/>
      </c>
      <c r="Y174" s="25"/>
      <c r="Z174" s="25"/>
      <c r="AA174" s="25"/>
      <c r="AB174" s="25" t="str">
        <f>'Ingest Template'!T173</f>
        <v/>
      </c>
      <c r="AC174" s="25"/>
      <c r="AD174" s="25" t="str">
        <f>'Ingest Template'!U173</f>
        <v/>
      </c>
      <c r="AE174" s="25" t="str">
        <f>'Ingest Template'!V173</f>
        <v/>
      </c>
      <c r="AF174" s="25"/>
      <c r="AG174" s="25" t="str">
        <f t="array" ref="AG174">IF('Ingest Template'!A173="Standard",(CONCATENATE(IF(ISBLANK('Ingest Template'!O173),"", 'Ingest Template'!O173&amp;"|DAR"),CHAR(10), IF(ISBLANK('Ingest Template'!P173),"", 'Ingest Template'!P173&amp;"|DAR"),CHAR(10), IF(ISBLANK('Ingest Template'!Q173),"", 'Ingest Template'!Q173&amp;"|DAR"))),(CONCATENATE(IF(ISBLANK('Ingest Template'!O173),"", 'Ingest Template'!O173&amp;"|Operations - Core Title"),CHAR(10), IF(ISBLANK('Ingest Template'!P173),"", 'Ingest Template'!P173&amp;"|Operations - Core Title"),CHAR(10), IF(ISBLANK('Ingest Template'!Q173),"", 'Ingest Template'!Q173&amp;"|Operations - Core Title"))))</f>
        <v>#|Operations - Core Title
#videoGame|Operations - Core Title
</v>
      </c>
      <c r="AH174" s="25"/>
      <c r="AI174" s="25"/>
      <c r="AJ174" s="50" t="str">
        <f>if('Ingest Template'!A173="Standard",'Ingest Template'!R173&amp; "|DAR|DAR|2021-01-01",'Ingest Template'!R173&amp; "|Operations - Core Title|Operations - Core Title")</f>
        <v>#N/A</v>
      </c>
      <c r="AK174" s="25"/>
      <c r="AL174" s="25" t="str">
        <f>if('Ingest Template'!A173="Standard",'Ingest Template'!S173&amp; "|2021-01-01",'Ingest Template'!S173)</f>
        <v>#N/A</v>
      </c>
      <c r="AM174" s="25"/>
    </row>
    <row r="175">
      <c r="A175" s="25"/>
      <c r="B175" s="25" t="str">
        <f>'Ingest Template'!C174&amp;IF('Ingest Template'!A174 = "Standard", " - DAR","")</f>
        <v/>
      </c>
      <c r="C175" s="34" t="s">
        <v>92</v>
      </c>
      <c r="D175" s="34" t="str">
        <f>CONCATENATE('Ingest Template'!E175&amp;Char(10)&amp;'Ingest Template'!G175&amp;Char(10)&amp;'Ingest Template'!H175&amp;Char(10)&amp;'Ingest Template'!I175&amp;Char(10)&amp;'Ingest Template'!J175&amp;Char(10)&amp;'Ingest Template'!K175&amp;Char(10)&amp;'Ingest Template'!L175)</f>
        <v>
</v>
      </c>
      <c r="E175" s="25" t="str">
        <f>('Ingest Template'!M175)</f>
        <v/>
      </c>
      <c r="F175" s="40" t="str">
        <f t="array" ref="F175">INDEX(DropDown!$J$2:$J$63,MATCH(1,COUNTIF(E175,DropDown!$I$2:$I$63),0))</f>
        <v>#N/A</v>
      </c>
      <c r="G175" s="25"/>
      <c r="H175" s="25"/>
      <c r="I175" s="25"/>
      <c r="J175" s="25" t="str">
        <f>'Ingest Template'!B175</f>
        <v/>
      </c>
      <c r="K175" s="25" t="str">
        <f>IF('Ingest Template'!A174="Standard",'Ingest Template'!N174,"Competitive View")</f>
        <v>Competitive View</v>
      </c>
      <c r="L175" s="41" t="s">
        <v>145</v>
      </c>
      <c r="M175" s="25" t="str">
        <f>'Ingest Template'!D174</f>
        <v/>
      </c>
      <c r="N175" s="25"/>
      <c r="O175" s="25"/>
      <c r="P175" s="25"/>
      <c r="Q175" s="25"/>
      <c r="R175" s="25" t="str">
        <f>CONCATENATE('Ingest Template'!F174)</f>
        <v/>
      </c>
      <c r="S175" s="43" t="s">
        <v>160</v>
      </c>
      <c r="T175" s="25" t="str">
        <f>'Ingest Template'!W174</f>
        <v/>
      </c>
      <c r="U175" s="25"/>
      <c r="V175" s="25" t="str">
        <f>LOWER(SUBSTITUTE(SUBSTITUTE(SUBSTITUTE(SUBSTITUTE(SUBSTITUTE('Ingest Template'!Y174,"https:",""),"www.",""),"/",""),"?hl=en",""),"instagram.com",""))</f>
        <v/>
      </c>
      <c r="W175" s="34" t="str">
        <f>(IFERROR(vlookup('Ingest Template'!F175,DropDown!D:E,2,false)&amp;'Ingest Template'!C175,""))</f>
        <v/>
      </c>
      <c r="X175" s="25" t="str">
        <f>'Ingest Template'!AA174</f>
        <v/>
      </c>
      <c r="Y175" s="25"/>
      <c r="Z175" s="25"/>
      <c r="AA175" s="25"/>
      <c r="AB175" s="25" t="str">
        <f>'Ingest Template'!T174</f>
        <v/>
      </c>
      <c r="AC175" s="25"/>
      <c r="AD175" s="25" t="str">
        <f>'Ingest Template'!U174</f>
        <v/>
      </c>
      <c r="AE175" s="25" t="str">
        <f>'Ingest Template'!V174</f>
        <v/>
      </c>
      <c r="AF175" s="25"/>
      <c r="AG175" s="25" t="str">
        <f t="array" ref="AG175">IF('Ingest Template'!A174="Standard",(CONCATENATE(IF(ISBLANK('Ingest Template'!O174),"", 'Ingest Template'!O174&amp;"|DAR"),CHAR(10), IF(ISBLANK('Ingest Template'!P174),"", 'Ingest Template'!P174&amp;"|DAR"),CHAR(10), IF(ISBLANK('Ingest Template'!Q174),"", 'Ingest Template'!Q174&amp;"|DAR"))),(CONCATENATE(IF(ISBLANK('Ingest Template'!O174),"", 'Ingest Template'!O174&amp;"|Operations - Core Title"),CHAR(10), IF(ISBLANK('Ingest Template'!P174),"", 'Ingest Template'!P174&amp;"|Operations - Core Title"),CHAR(10), IF(ISBLANK('Ingest Template'!Q174),"", 'Ingest Template'!Q174&amp;"|Operations - Core Title"))))</f>
        <v>#|Operations - Core Title
#videoGame|Operations - Core Title
</v>
      </c>
      <c r="AH175" s="25"/>
      <c r="AI175" s="25"/>
      <c r="AJ175" s="50" t="str">
        <f>if('Ingest Template'!A174="Standard",'Ingest Template'!R174&amp; "|DAR|DAR|2021-01-01",'Ingest Template'!R174&amp; "|Operations - Core Title|Operations - Core Title")</f>
        <v>#N/A</v>
      </c>
      <c r="AK175" s="25"/>
      <c r="AL175" s="25" t="str">
        <f>if('Ingest Template'!A174="Standard",'Ingest Template'!S174&amp; "|2021-01-01",'Ingest Template'!S174)</f>
        <v>#N/A</v>
      </c>
      <c r="AM175" s="25"/>
    </row>
    <row r="176">
      <c r="A176" s="25"/>
      <c r="B176" s="25" t="str">
        <f>'Ingest Template'!C175&amp;IF('Ingest Template'!A175 = "Standard", " - DAR","")</f>
        <v/>
      </c>
      <c r="C176" s="34" t="s">
        <v>92</v>
      </c>
      <c r="D176" s="34" t="str">
        <f>CONCATENATE('Ingest Template'!E176&amp;Char(10)&amp;'Ingest Template'!G176&amp;Char(10)&amp;'Ingest Template'!H176&amp;Char(10)&amp;'Ingest Template'!I176&amp;Char(10)&amp;'Ingest Template'!J176&amp;Char(10)&amp;'Ingest Template'!K176&amp;Char(10)&amp;'Ingest Template'!L176)</f>
        <v>
</v>
      </c>
      <c r="E176" s="25" t="str">
        <f>('Ingest Template'!M176)</f>
        <v/>
      </c>
      <c r="F176" s="40" t="str">
        <f t="array" ref="F176">INDEX(DropDown!$J$2:$J$63,MATCH(1,COUNTIF(E176,DropDown!$I$2:$I$63),0))</f>
        <v>#N/A</v>
      </c>
      <c r="G176" s="25"/>
      <c r="H176" s="25"/>
      <c r="I176" s="25"/>
      <c r="J176" s="25" t="str">
        <f>'Ingest Template'!B176</f>
        <v/>
      </c>
      <c r="K176" s="25" t="str">
        <f>IF('Ingest Template'!A175="Standard",'Ingest Template'!N175,"Competitive View")</f>
        <v>Competitive View</v>
      </c>
      <c r="L176" s="41" t="s">
        <v>145</v>
      </c>
      <c r="M176" s="25" t="str">
        <f>'Ingest Template'!D175</f>
        <v/>
      </c>
      <c r="N176" s="25"/>
      <c r="O176" s="25"/>
      <c r="P176" s="25"/>
      <c r="Q176" s="25"/>
      <c r="R176" s="25" t="str">
        <f>CONCATENATE('Ingest Template'!F175)</f>
        <v/>
      </c>
      <c r="S176" s="43" t="s">
        <v>160</v>
      </c>
      <c r="T176" s="25" t="str">
        <f>'Ingest Template'!W175</f>
        <v/>
      </c>
      <c r="U176" s="25"/>
      <c r="V176" s="25" t="str">
        <f>LOWER(SUBSTITUTE(SUBSTITUTE(SUBSTITUTE(SUBSTITUTE(SUBSTITUTE('Ingest Template'!Y175,"https:",""),"www.",""),"/",""),"?hl=en",""),"instagram.com",""))</f>
        <v/>
      </c>
      <c r="W176" s="34" t="str">
        <f>(IFERROR(vlookup('Ingest Template'!F176,DropDown!D:E,2,false)&amp;'Ingest Template'!C176,""))</f>
        <v/>
      </c>
      <c r="X176" s="25" t="str">
        <f>'Ingest Template'!AA175</f>
        <v/>
      </c>
      <c r="Y176" s="25"/>
      <c r="Z176" s="25"/>
      <c r="AA176" s="25"/>
      <c r="AB176" s="25" t="str">
        <f>'Ingest Template'!T175</f>
        <v/>
      </c>
      <c r="AC176" s="25"/>
      <c r="AD176" s="25" t="str">
        <f>'Ingest Template'!U175</f>
        <v/>
      </c>
      <c r="AE176" s="25" t="str">
        <f>'Ingest Template'!V175</f>
        <v/>
      </c>
      <c r="AF176" s="25"/>
      <c r="AG176" s="25" t="str">
        <f t="array" ref="AG176">IF('Ingest Template'!A175="Standard",(CONCATENATE(IF(ISBLANK('Ingest Template'!O175),"", 'Ingest Template'!O175&amp;"|DAR"),CHAR(10), IF(ISBLANK('Ingest Template'!P175),"", 'Ingest Template'!P175&amp;"|DAR"),CHAR(10), IF(ISBLANK('Ingest Template'!Q175),"", 'Ingest Template'!Q175&amp;"|DAR"))),(CONCATENATE(IF(ISBLANK('Ingest Template'!O175),"", 'Ingest Template'!O175&amp;"|Operations - Core Title"),CHAR(10), IF(ISBLANK('Ingest Template'!P175),"", 'Ingest Template'!P175&amp;"|Operations - Core Title"),CHAR(10), IF(ISBLANK('Ingest Template'!Q175),"", 'Ingest Template'!Q175&amp;"|Operations - Core Title"))))</f>
        <v>#|Operations - Core Title
#videoGame|Operations - Core Title
</v>
      </c>
      <c r="AH176" s="25"/>
      <c r="AI176" s="25"/>
      <c r="AJ176" s="50" t="str">
        <f>if('Ingest Template'!A175="Standard",'Ingest Template'!R175&amp; "|DAR|DAR|2021-01-01",'Ingest Template'!R175&amp; "|Operations - Core Title|Operations - Core Title")</f>
        <v>#N/A</v>
      </c>
      <c r="AK176" s="25"/>
      <c r="AL176" s="25" t="str">
        <f>if('Ingest Template'!A175="Standard",'Ingest Template'!S175&amp; "|2021-01-01",'Ingest Template'!S175)</f>
        <v>#N/A</v>
      </c>
      <c r="AM176" s="25"/>
    </row>
    <row r="177">
      <c r="A177" s="25"/>
      <c r="B177" s="25" t="str">
        <f>'Ingest Template'!C176&amp;IF('Ingest Template'!A176 = "Standard", " - DAR","")</f>
        <v/>
      </c>
      <c r="C177" s="34" t="s">
        <v>92</v>
      </c>
      <c r="D177" s="34" t="str">
        <f>CONCATENATE('Ingest Template'!E177&amp;Char(10)&amp;'Ingest Template'!G177&amp;Char(10)&amp;'Ingest Template'!H177&amp;Char(10)&amp;'Ingest Template'!I177&amp;Char(10)&amp;'Ingest Template'!J177&amp;Char(10)&amp;'Ingest Template'!K177&amp;Char(10)&amp;'Ingest Template'!L177)</f>
        <v>
</v>
      </c>
      <c r="E177" s="25" t="str">
        <f>('Ingest Template'!M177)</f>
        <v/>
      </c>
      <c r="F177" s="40" t="str">
        <f t="array" ref="F177">INDEX(DropDown!$J$2:$J$63,MATCH(1,COUNTIF(E177,DropDown!$I$2:$I$63),0))</f>
        <v>#N/A</v>
      </c>
      <c r="G177" s="25"/>
      <c r="H177" s="25"/>
      <c r="I177" s="25"/>
      <c r="J177" s="25" t="str">
        <f>'Ingest Template'!B177</f>
        <v/>
      </c>
      <c r="K177" s="25" t="str">
        <f>IF('Ingest Template'!A176="Standard",'Ingest Template'!N176,"Competitive View")</f>
        <v>Competitive View</v>
      </c>
      <c r="L177" s="41" t="s">
        <v>145</v>
      </c>
      <c r="M177" s="25" t="str">
        <f>'Ingest Template'!D176</f>
        <v/>
      </c>
      <c r="N177" s="25"/>
      <c r="O177" s="25"/>
      <c r="P177" s="25"/>
      <c r="Q177" s="25"/>
      <c r="R177" s="25" t="str">
        <f>CONCATENATE('Ingest Template'!F176)</f>
        <v/>
      </c>
      <c r="S177" s="43" t="s">
        <v>160</v>
      </c>
      <c r="T177" s="25" t="str">
        <f>'Ingest Template'!W176</f>
        <v/>
      </c>
      <c r="U177" s="25"/>
      <c r="V177" s="25" t="str">
        <f>LOWER(SUBSTITUTE(SUBSTITUTE(SUBSTITUTE(SUBSTITUTE(SUBSTITUTE('Ingest Template'!Y176,"https:",""),"www.",""),"/",""),"?hl=en",""),"instagram.com",""))</f>
        <v/>
      </c>
      <c r="W177" s="34" t="str">
        <f>(IFERROR(vlookup('Ingest Template'!F177,DropDown!D:E,2,false)&amp;'Ingest Template'!C177,""))</f>
        <v/>
      </c>
      <c r="X177" s="25" t="str">
        <f>'Ingest Template'!AA176</f>
        <v/>
      </c>
      <c r="Y177" s="25"/>
      <c r="Z177" s="25"/>
      <c r="AA177" s="25"/>
      <c r="AB177" s="25" t="str">
        <f>'Ingest Template'!T176</f>
        <v/>
      </c>
      <c r="AC177" s="25"/>
      <c r="AD177" s="25" t="str">
        <f>'Ingest Template'!U176</f>
        <v/>
      </c>
      <c r="AE177" s="25" t="str">
        <f>'Ingest Template'!V176</f>
        <v/>
      </c>
      <c r="AF177" s="25"/>
      <c r="AG177" s="25" t="str">
        <f t="array" ref="AG177">IF('Ingest Template'!A176="Standard",(CONCATENATE(IF(ISBLANK('Ingest Template'!O176),"", 'Ingest Template'!O176&amp;"|DAR"),CHAR(10), IF(ISBLANK('Ingest Template'!P176),"", 'Ingest Template'!P176&amp;"|DAR"),CHAR(10), IF(ISBLANK('Ingest Template'!Q176),"", 'Ingest Template'!Q176&amp;"|DAR"))),(CONCATENATE(IF(ISBLANK('Ingest Template'!O176),"", 'Ingest Template'!O176&amp;"|Operations - Core Title"),CHAR(10), IF(ISBLANK('Ingest Template'!P176),"", 'Ingest Template'!P176&amp;"|Operations - Core Title"),CHAR(10), IF(ISBLANK('Ingest Template'!Q176),"", 'Ingest Template'!Q176&amp;"|Operations - Core Title"))))</f>
        <v>#|Operations - Core Title
#videoGame|Operations - Core Title
</v>
      </c>
      <c r="AH177" s="25"/>
      <c r="AI177" s="25"/>
      <c r="AJ177" s="50" t="str">
        <f>if('Ingest Template'!A176="Standard",'Ingest Template'!R176&amp; "|DAR|DAR|2021-01-01",'Ingest Template'!R176&amp; "|Operations - Core Title|Operations - Core Title")</f>
        <v>#N/A</v>
      </c>
      <c r="AK177" s="25"/>
      <c r="AL177" s="25" t="str">
        <f>if('Ingest Template'!A176="Standard",'Ingest Template'!S176&amp; "|2021-01-01",'Ingest Template'!S176)</f>
        <v>#N/A</v>
      </c>
      <c r="AM177" s="25"/>
    </row>
    <row r="178">
      <c r="A178" s="25"/>
      <c r="B178" s="25" t="str">
        <f>'Ingest Template'!C177&amp;IF('Ingest Template'!A177 = "Standard", " - DAR","")</f>
        <v/>
      </c>
      <c r="C178" s="34" t="s">
        <v>92</v>
      </c>
      <c r="D178" s="34" t="str">
        <f>CONCATENATE('Ingest Template'!E178&amp;Char(10)&amp;'Ingest Template'!G178&amp;Char(10)&amp;'Ingest Template'!H178&amp;Char(10)&amp;'Ingest Template'!I178&amp;Char(10)&amp;'Ingest Template'!J178&amp;Char(10)&amp;'Ingest Template'!K178&amp;Char(10)&amp;'Ingest Template'!L178)</f>
        <v>
</v>
      </c>
      <c r="E178" s="25" t="str">
        <f>('Ingest Template'!M178)</f>
        <v/>
      </c>
      <c r="F178" s="40" t="str">
        <f t="array" ref="F178">INDEX(DropDown!$J$2:$J$63,MATCH(1,COUNTIF(E178,DropDown!$I$2:$I$63),0))</f>
        <v>#N/A</v>
      </c>
      <c r="G178" s="25"/>
      <c r="H178" s="25"/>
      <c r="I178" s="25"/>
      <c r="J178" s="25" t="str">
        <f>'Ingest Template'!B178</f>
        <v/>
      </c>
      <c r="K178" s="25" t="str">
        <f>IF('Ingest Template'!A177="Standard",'Ingest Template'!N177,"Competitive View")</f>
        <v>Competitive View</v>
      </c>
      <c r="L178" s="41" t="s">
        <v>145</v>
      </c>
      <c r="M178" s="25" t="str">
        <f>'Ingest Template'!D177</f>
        <v/>
      </c>
      <c r="N178" s="25"/>
      <c r="O178" s="25"/>
      <c r="P178" s="25"/>
      <c r="Q178" s="25"/>
      <c r="R178" s="25" t="str">
        <f>CONCATENATE('Ingest Template'!F177)</f>
        <v/>
      </c>
      <c r="S178" s="43" t="s">
        <v>160</v>
      </c>
      <c r="T178" s="25" t="str">
        <f>'Ingest Template'!W177</f>
        <v/>
      </c>
      <c r="U178" s="25"/>
      <c r="V178" s="25" t="str">
        <f>LOWER(SUBSTITUTE(SUBSTITUTE(SUBSTITUTE(SUBSTITUTE(SUBSTITUTE('Ingest Template'!Y177,"https:",""),"www.",""),"/",""),"?hl=en",""),"instagram.com",""))</f>
        <v/>
      </c>
      <c r="W178" s="34" t="str">
        <f>(IFERROR(vlookup('Ingest Template'!F178,DropDown!D:E,2,false)&amp;'Ingest Template'!C178,""))</f>
        <v/>
      </c>
      <c r="X178" s="25" t="str">
        <f>'Ingest Template'!AA177</f>
        <v/>
      </c>
      <c r="Y178" s="25"/>
      <c r="Z178" s="25"/>
      <c r="AA178" s="25"/>
      <c r="AB178" s="25" t="str">
        <f>'Ingest Template'!T177</f>
        <v/>
      </c>
      <c r="AC178" s="25"/>
      <c r="AD178" s="25" t="str">
        <f>'Ingest Template'!U177</f>
        <v/>
      </c>
      <c r="AE178" s="25" t="str">
        <f>'Ingest Template'!V177</f>
        <v/>
      </c>
      <c r="AF178" s="25"/>
      <c r="AG178" s="25" t="str">
        <f t="array" ref="AG178">IF('Ingest Template'!A177="Standard",(CONCATENATE(IF(ISBLANK('Ingest Template'!O177),"", 'Ingest Template'!O177&amp;"|DAR"),CHAR(10), IF(ISBLANK('Ingest Template'!P177),"", 'Ingest Template'!P177&amp;"|DAR"),CHAR(10), IF(ISBLANK('Ingest Template'!Q177),"", 'Ingest Template'!Q177&amp;"|DAR"))),(CONCATENATE(IF(ISBLANK('Ingest Template'!O177),"", 'Ingest Template'!O177&amp;"|Operations - Core Title"),CHAR(10), IF(ISBLANK('Ingest Template'!P177),"", 'Ingest Template'!P177&amp;"|Operations - Core Title"),CHAR(10), IF(ISBLANK('Ingest Template'!Q177),"", 'Ingest Template'!Q177&amp;"|Operations - Core Title"))))</f>
        <v>#|Operations - Core Title
#videoGame|Operations - Core Title
</v>
      </c>
      <c r="AH178" s="25"/>
      <c r="AI178" s="25"/>
      <c r="AJ178" s="50" t="str">
        <f>if('Ingest Template'!A177="Standard",'Ingest Template'!R177&amp; "|DAR|DAR|2021-01-01",'Ingest Template'!R177&amp; "|Operations - Core Title|Operations - Core Title")</f>
        <v>#N/A</v>
      </c>
      <c r="AK178" s="25"/>
      <c r="AL178" s="25" t="str">
        <f>if('Ingest Template'!A177="Standard",'Ingest Template'!S177&amp; "|2021-01-01",'Ingest Template'!S177)</f>
        <v>#N/A</v>
      </c>
      <c r="AM178" s="25"/>
    </row>
    <row r="179">
      <c r="A179" s="25"/>
      <c r="B179" s="25" t="str">
        <f>'Ingest Template'!C178&amp;IF('Ingest Template'!A178 = "Standard", " - DAR","")</f>
        <v/>
      </c>
      <c r="C179" s="34" t="s">
        <v>92</v>
      </c>
      <c r="D179" s="34" t="str">
        <f>CONCATENATE('Ingest Template'!E179&amp;Char(10)&amp;'Ingest Template'!G179&amp;Char(10)&amp;'Ingest Template'!H179&amp;Char(10)&amp;'Ingest Template'!I179&amp;Char(10)&amp;'Ingest Template'!J179&amp;Char(10)&amp;'Ingest Template'!K179&amp;Char(10)&amp;'Ingest Template'!L179)</f>
        <v>
</v>
      </c>
      <c r="E179" s="25" t="str">
        <f>('Ingest Template'!M179)</f>
        <v/>
      </c>
      <c r="F179" s="40" t="str">
        <f t="array" ref="F179">INDEX(DropDown!$J$2:$J$63,MATCH(1,COUNTIF(E179,DropDown!$I$2:$I$63),0))</f>
        <v>#N/A</v>
      </c>
      <c r="G179" s="25"/>
      <c r="H179" s="25"/>
      <c r="I179" s="25"/>
      <c r="J179" s="25" t="str">
        <f>'Ingest Template'!B179</f>
        <v/>
      </c>
      <c r="K179" s="25" t="str">
        <f>IF('Ingest Template'!A178="Standard",'Ingest Template'!N178,"Competitive View")</f>
        <v>Competitive View</v>
      </c>
      <c r="L179" s="41" t="s">
        <v>145</v>
      </c>
      <c r="M179" s="25" t="str">
        <f>'Ingest Template'!D178</f>
        <v/>
      </c>
      <c r="N179" s="25"/>
      <c r="O179" s="25"/>
      <c r="P179" s="25"/>
      <c r="Q179" s="25"/>
      <c r="R179" s="25" t="str">
        <f>CONCATENATE('Ingest Template'!F178)</f>
        <v/>
      </c>
      <c r="S179" s="43" t="s">
        <v>160</v>
      </c>
      <c r="T179" s="25" t="str">
        <f>'Ingest Template'!W178</f>
        <v/>
      </c>
      <c r="U179" s="25"/>
      <c r="V179" s="25" t="str">
        <f>LOWER(SUBSTITUTE(SUBSTITUTE(SUBSTITUTE(SUBSTITUTE(SUBSTITUTE('Ingest Template'!Y178,"https:",""),"www.",""),"/",""),"?hl=en",""),"instagram.com",""))</f>
        <v/>
      </c>
      <c r="W179" s="34" t="str">
        <f>(IFERROR(vlookup('Ingest Template'!F179,DropDown!D:E,2,false)&amp;'Ingest Template'!C179,""))</f>
        <v/>
      </c>
      <c r="X179" s="25" t="str">
        <f>'Ingest Template'!AA178</f>
        <v/>
      </c>
      <c r="Y179" s="25"/>
      <c r="Z179" s="25"/>
      <c r="AA179" s="25"/>
      <c r="AB179" s="25" t="str">
        <f>'Ingest Template'!T178</f>
        <v/>
      </c>
      <c r="AC179" s="25"/>
      <c r="AD179" s="25" t="str">
        <f>'Ingest Template'!U178</f>
        <v/>
      </c>
      <c r="AE179" s="25" t="str">
        <f>'Ingest Template'!V178</f>
        <v/>
      </c>
      <c r="AF179" s="25"/>
      <c r="AG179" s="25" t="str">
        <f t="array" ref="AG179">IF('Ingest Template'!A178="Standard",(CONCATENATE(IF(ISBLANK('Ingest Template'!O178),"", 'Ingest Template'!O178&amp;"|DAR"),CHAR(10), IF(ISBLANK('Ingest Template'!P178),"", 'Ingest Template'!P178&amp;"|DAR"),CHAR(10), IF(ISBLANK('Ingest Template'!Q178),"", 'Ingest Template'!Q178&amp;"|DAR"))),(CONCATENATE(IF(ISBLANK('Ingest Template'!O178),"", 'Ingest Template'!O178&amp;"|Operations - Core Title"),CHAR(10), IF(ISBLANK('Ingest Template'!P178),"", 'Ingest Template'!P178&amp;"|Operations - Core Title"),CHAR(10), IF(ISBLANK('Ingest Template'!Q178),"", 'Ingest Template'!Q178&amp;"|Operations - Core Title"))))</f>
        <v>#|Operations - Core Title
#videoGame|Operations - Core Title
</v>
      </c>
      <c r="AH179" s="25"/>
      <c r="AI179" s="25"/>
      <c r="AJ179" s="50" t="str">
        <f>if('Ingest Template'!A178="Standard",'Ingest Template'!R178&amp; "|DAR|DAR|2021-01-01",'Ingest Template'!R178&amp; "|Operations - Core Title|Operations - Core Title")</f>
        <v>#N/A</v>
      </c>
      <c r="AK179" s="25"/>
      <c r="AL179" s="25" t="str">
        <f>if('Ingest Template'!A178="Standard",'Ingest Template'!S178&amp; "|2021-01-01",'Ingest Template'!S178)</f>
        <v>#N/A</v>
      </c>
      <c r="AM179" s="25"/>
    </row>
    <row r="180">
      <c r="A180" s="25"/>
      <c r="B180" s="25" t="str">
        <f>'Ingest Template'!C179&amp;IF('Ingest Template'!A179 = "Standard", " - DAR","")</f>
        <v/>
      </c>
      <c r="C180" s="34" t="s">
        <v>92</v>
      </c>
      <c r="D180" s="34" t="str">
        <f>CONCATENATE('Ingest Template'!E180&amp;Char(10)&amp;'Ingest Template'!G180&amp;Char(10)&amp;'Ingest Template'!H180&amp;Char(10)&amp;'Ingest Template'!I180&amp;Char(10)&amp;'Ingest Template'!J180&amp;Char(10)&amp;'Ingest Template'!K180&amp;Char(10)&amp;'Ingest Template'!L180)</f>
        <v>
</v>
      </c>
      <c r="E180" s="25" t="str">
        <f>('Ingest Template'!M180)</f>
        <v/>
      </c>
      <c r="F180" s="40" t="str">
        <f t="array" ref="F180">INDEX(DropDown!$J$2:$J$63,MATCH(1,COUNTIF(E180,DropDown!$I$2:$I$63),0))</f>
        <v>#N/A</v>
      </c>
      <c r="G180" s="25"/>
      <c r="H180" s="25"/>
      <c r="I180" s="25"/>
      <c r="J180" s="25" t="str">
        <f>'Ingest Template'!B180</f>
        <v/>
      </c>
      <c r="K180" s="25" t="str">
        <f>IF('Ingest Template'!A179="Standard",'Ingest Template'!N179,"Competitive View")</f>
        <v>Competitive View</v>
      </c>
      <c r="L180" s="41" t="s">
        <v>145</v>
      </c>
      <c r="M180" s="25" t="str">
        <f>'Ingest Template'!D179</f>
        <v/>
      </c>
      <c r="N180" s="25"/>
      <c r="O180" s="25"/>
      <c r="P180" s="25"/>
      <c r="Q180" s="25"/>
      <c r="R180" s="25" t="str">
        <f>CONCATENATE('Ingest Template'!F179)</f>
        <v/>
      </c>
      <c r="S180" s="43" t="s">
        <v>160</v>
      </c>
      <c r="T180" s="25" t="str">
        <f>'Ingest Template'!W179</f>
        <v/>
      </c>
      <c r="U180" s="25"/>
      <c r="V180" s="25" t="str">
        <f>LOWER(SUBSTITUTE(SUBSTITUTE(SUBSTITUTE(SUBSTITUTE(SUBSTITUTE('Ingest Template'!Y179,"https:",""),"www.",""),"/",""),"?hl=en",""),"instagram.com",""))</f>
        <v/>
      </c>
      <c r="W180" s="34" t="str">
        <f>(IFERROR(vlookup('Ingest Template'!F180,DropDown!D:E,2,false)&amp;'Ingest Template'!C180,""))</f>
        <v/>
      </c>
      <c r="X180" s="25" t="str">
        <f>'Ingest Template'!AA179</f>
        <v/>
      </c>
      <c r="Y180" s="25"/>
      <c r="Z180" s="25"/>
      <c r="AA180" s="25"/>
      <c r="AB180" s="25" t="str">
        <f>'Ingest Template'!T179</f>
        <v/>
      </c>
      <c r="AC180" s="25"/>
      <c r="AD180" s="25" t="str">
        <f>'Ingest Template'!U179</f>
        <v/>
      </c>
      <c r="AE180" s="25" t="str">
        <f>'Ingest Template'!V179</f>
        <v/>
      </c>
      <c r="AF180" s="25"/>
      <c r="AG180" s="25" t="str">
        <f t="array" ref="AG180">IF('Ingest Template'!A179="Standard",(CONCATENATE(IF(ISBLANK('Ingest Template'!O179),"", 'Ingest Template'!O179&amp;"|DAR"),CHAR(10), IF(ISBLANK('Ingest Template'!P179),"", 'Ingest Template'!P179&amp;"|DAR"),CHAR(10), IF(ISBLANK('Ingest Template'!Q179),"", 'Ingest Template'!Q179&amp;"|DAR"))),(CONCATENATE(IF(ISBLANK('Ingest Template'!O179),"", 'Ingest Template'!O179&amp;"|Operations - Core Title"),CHAR(10), IF(ISBLANK('Ingest Template'!P179),"", 'Ingest Template'!P179&amp;"|Operations - Core Title"),CHAR(10), IF(ISBLANK('Ingest Template'!Q179),"", 'Ingest Template'!Q179&amp;"|Operations - Core Title"))))</f>
        <v>#|Operations - Core Title
#videoGame|Operations - Core Title
</v>
      </c>
      <c r="AH180" s="25"/>
      <c r="AI180" s="25"/>
      <c r="AJ180" s="50" t="str">
        <f>if('Ingest Template'!A179="Standard",'Ingest Template'!R179&amp; "|DAR|DAR|2021-01-01",'Ingest Template'!R179&amp; "|Operations - Core Title|Operations - Core Title")</f>
        <v>#N/A</v>
      </c>
      <c r="AK180" s="25"/>
      <c r="AL180" s="25" t="str">
        <f>if('Ingest Template'!A179="Standard",'Ingest Template'!S179&amp; "|2021-01-01",'Ingest Template'!S179)</f>
        <v>#N/A</v>
      </c>
      <c r="AM180" s="25"/>
    </row>
    <row r="181">
      <c r="A181" s="25"/>
      <c r="B181" s="25" t="str">
        <f>'Ingest Template'!C180&amp;IF('Ingest Template'!A180 = "Standard", " - DAR","")</f>
        <v/>
      </c>
      <c r="C181" s="34" t="s">
        <v>92</v>
      </c>
      <c r="D181" s="34" t="str">
        <f>CONCATENATE('Ingest Template'!E181&amp;Char(10)&amp;'Ingest Template'!G181&amp;Char(10)&amp;'Ingest Template'!H181&amp;Char(10)&amp;'Ingest Template'!I181&amp;Char(10)&amp;'Ingest Template'!J181&amp;Char(10)&amp;'Ingest Template'!K181&amp;Char(10)&amp;'Ingest Template'!L181)</f>
        <v>
</v>
      </c>
      <c r="E181" s="25" t="str">
        <f>('Ingest Template'!M181)</f>
        <v/>
      </c>
      <c r="F181" s="40" t="str">
        <f t="array" ref="F181">INDEX(DropDown!$J$2:$J$63,MATCH(1,COUNTIF(E181,DropDown!$I$2:$I$63),0))</f>
        <v>#N/A</v>
      </c>
      <c r="G181" s="25"/>
      <c r="H181" s="25"/>
      <c r="I181" s="25"/>
      <c r="J181" s="25" t="str">
        <f>'Ingest Template'!B181</f>
        <v/>
      </c>
      <c r="K181" s="25" t="str">
        <f>IF('Ingest Template'!A180="Standard",'Ingest Template'!N180,"Competitive View")</f>
        <v>Competitive View</v>
      </c>
      <c r="L181" s="41" t="s">
        <v>145</v>
      </c>
      <c r="M181" s="25" t="str">
        <f>'Ingest Template'!D180</f>
        <v/>
      </c>
      <c r="N181" s="25"/>
      <c r="O181" s="25"/>
      <c r="P181" s="25"/>
      <c r="Q181" s="25"/>
      <c r="R181" s="25" t="str">
        <f>CONCATENATE('Ingest Template'!F180)</f>
        <v/>
      </c>
      <c r="S181" s="43" t="s">
        <v>160</v>
      </c>
      <c r="T181" s="25" t="str">
        <f>'Ingest Template'!W180</f>
        <v/>
      </c>
      <c r="U181" s="25"/>
      <c r="V181" s="25" t="str">
        <f>LOWER(SUBSTITUTE(SUBSTITUTE(SUBSTITUTE(SUBSTITUTE(SUBSTITUTE('Ingest Template'!Y180,"https:",""),"www.",""),"/",""),"?hl=en",""),"instagram.com",""))</f>
        <v/>
      </c>
      <c r="W181" s="34" t="str">
        <f>(IFERROR(vlookup('Ingest Template'!F181,DropDown!D:E,2,false)&amp;'Ingest Template'!C181,""))</f>
        <v/>
      </c>
      <c r="X181" s="25" t="str">
        <f>'Ingest Template'!AA180</f>
        <v/>
      </c>
      <c r="Y181" s="25"/>
      <c r="Z181" s="25"/>
      <c r="AA181" s="25"/>
      <c r="AB181" s="25" t="str">
        <f>'Ingest Template'!T180</f>
        <v/>
      </c>
      <c r="AC181" s="25"/>
      <c r="AD181" s="25" t="str">
        <f>'Ingest Template'!U180</f>
        <v/>
      </c>
      <c r="AE181" s="25" t="str">
        <f>'Ingest Template'!V180</f>
        <v/>
      </c>
      <c r="AF181" s="25"/>
      <c r="AG181" s="25" t="str">
        <f t="array" ref="AG181">IF('Ingest Template'!A180="Standard",(CONCATENATE(IF(ISBLANK('Ingest Template'!O180),"", 'Ingest Template'!O180&amp;"|DAR"),CHAR(10), IF(ISBLANK('Ingest Template'!P180),"", 'Ingest Template'!P180&amp;"|DAR"),CHAR(10), IF(ISBLANK('Ingest Template'!Q180),"", 'Ingest Template'!Q180&amp;"|DAR"))),(CONCATENATE(IF(ISBLANK('Ingest Template'!O180),"", 'Ingest Template'!O180&amp;"|Operations - Core Title"),CHAR(10), IF(ISBLANK('Ingest Template'!P180),"", 'Ingest Template'!P180&amp;"|Operations - Core Title"),CHAR(10), IF(ISBLANK('Ingest Template'!Q180),"", 'Ingest Template'!Q180&amp;"|Operations - Core Title"))))</f>
        <v>#|Operations - Core Title
#videoGame|Operations - Core Title
</v>
      </c>
      <c r="AH181" s="25"/>
      <c r="AI181" s="25"/>
      <c r="AJ181" s="50" t="str">
        <f>if('Ingest Template'!A180="Standard",'Ingest Template'!R180&amp; "|DAR|DAR|2021-01-01",'Ingest Template'!R180&amp; "|Operations - Core Title|Operations - Core Title")</f>
        <v>#N/A</v>
      </c>
      <c r="AK181" s="25"/>
      <c r="AL181" s="25" t="str">
        <f>if('Ingest Template'!A180="Standard",'Ingest Template'!S180&amp; "|2021-01-01",'Ingest Template'!S180)</f>
        <v>#N/A</v>
      </c>
      <c r="AM181" s="25"/>
    </row>
    <row r="182">
      <c r="A182" s="25"/>
      <c r="B182" s="25" t="str">
        <f>'Ingest Template'!C181&amp;IF('Ingest Template'!A181 = "Standard", " - DAR","")</f>
        <v/>
      </c>
      <c r="C182" s="34" t="s">
        <v>92</v>
      </c>
      <c r="D182" s="34" t="str">
        <f>CONCATENATE('Ingest Template'!E182&amp;Char(10)&amp;'Ingest Template'!G182&amp;Char(10)&amp;'Ingest Template'!H182&amp;Char(10)&amp;'Ingest Template'!I182&amp;Char(10)&amp;'Ingest Template'!J182&amp;Char(10)&amp;'Ingest Template'!K182&amp;Char(10)&amp;'Ingest Template'!L182)</f>
        <v>
</v>
      </c>
      <c r="E182" s="25" t="str">
        <f>('Ingest Template'!M182)</f>
        <v/>
      </c>
      <c r="F182" s="40" t="str">
        <f t="array" ref="F182">INDEX(DropDown!$J$2:$J$63,MATCH(1,COUNTIF(E182,DropDown!$I$2:$I$63),0))</f>
        <v>#N/A</v>
      </c>
      <c r="G182" s="25"/>
      <c r="H182" s="25"/>
      <c r="I182" s="25"/>
      <c r="J182" s="25" t="str">
        <f>'Ingest Template'!B182</f>
        <v/>
      </c>
      <c r="K182" s="25" t="str">
        <f>IF('Ingest Template'!A181="Standard",'Ingest Template'!N181,"Competitive View")</f>
        <v>Competitive View</v>
      </c>
      <c r="L182" s="41" t="s">
        <v>145</v>
      </c>
      <c r="M182" s="25" t="str">
        <f>'Ingest Template'!D181</f>
        <v/>
      </c>
      <c r="N182" s="25"/>
      <c r="O182" s="25"/>
      <c r="P182" s="25"/>
      <c r="Q182" s="25"/>
      <c r="R182" s="25" t="str">
        <f>CONCATENATE('Ingest Template'!F181)</f>
        <v/>
      </c>
      <c r="S182" s="43" t="s">
        <v>160</v>
      </c>
      <c r="T182" s="25" t="str">
        <f>'Ingest Template'!W181</f>
        <v/>
      </c>
      <c r="U182" s="25"/>
      <c r="V182" s="25" t="str">
        <f>LOWER(SUBSTITUTE(SUBSTITUTE(SUBSTITUTE(SUBSTITUTE(SUBSTITUTE('Ingest Template'!Y181,"https:",""),"www.",""),"/",""),"?hl=en",""),"instagram.com",""))</f>
        <v/>
      </c>
      <c r="W182" s="34" t="str">
        <f>(IFERROR(vlookup('Ingest Template'!F182,DropDown!D:E,2,false)&amp;'Ingest Template'!C182,""))</f>
        <v/>
      </c>
      <c r="X182" s="25" t="str">
        <f>'Ingest Template'!AA181</f>
        <v/>
      </c>
      <c r="Y182" s="25"/>
      <c r="Z182" s="25"/>
      <c r="AA182" s="25"/>
      <c r="AB182" s="25" t="str">
        <f>'Ingest Template'!T181</f>
        <v/>
      </c>
      <c r="AC182" s="25"/>
      <c r="AD182" s="25" t="str">
        <f>'Ingest Template'!U181</f>
        <v/>
      </c>
      <c r="AE182" s="25" t="str">
        <f>'Ingest Template'!V181</f>
        <v/>
      </c>
      <c r="AF182" s="25"/>
      <c r="AG182" s="25" t="str">
        <f t="array" ref="AG182">IF('Ingest Template'!A181="Standard",(CONCATENATE(IF(ISBLANK('Ingest Template'!O181),"", 'Ingest Template'!O181&amp;"|DAR"),CHAR(10), IF(ISBLANK('Ingest Template'!P181),"", 'Ingest Template'!P181&amp;"|DAR"),CHAR(10), IF(ISBLANK('Ingest Template'!Q181),"", 'Ingest Template'!Q181&amp;"|DAR"))),(CONCATENATE(IF(ISBLANK('Ingest Template'!O181),"", 'Ingest Template'!O181&amp;"|Operations - Core Title"),CHAR(10), IF(ISBLANK('Ingest Template'!P181),"", 'Ingest Template'!P181&amp;"|Operations - Core Title"),CHAR(10), IF(ISBLANK('Ingest Template'!Q181),"", 'Ingest Template'!Q181&amp;"|Operations - Core Title"))))</f>
        <v>#|Operations - Core Title
#videoGame|Operations - Core Title
</v>
      </c>
      <c r="AH182" s="25"/>
      <c r="AI182" s="25"/>
      <c r="AJ182" s="50" t="str">
        <f>if('Ingest Template'!A181="Standard",'Ingest Template'!R181&amp; "|DAR|DAR|2021-01-01",'Ingest Template'!R181&amp; "|Operations - Core Title|Operations - Core Title")</f>
        <v>#N/A</v>
      </c>
      <c r="AK182" s="25"/>
      <c r="AL182" s="25" t="str">
        <f>if('Ingest Template'!A181="Standard",'Ingest Template'!S181&amp; "|2021-01-01",'Ingest Template'!S181)</f>
        <v>#N/A</v>
      </c>
      <c r="AM182" s="25"/>
    </row>
    <row r="183">
      <c r="A183" s="25"/>
      <c r="B183" s="25" t="str">
        <f>'Ingest Template'!C182&amp;IF('Ingest Template'!A182 = "Standard", " - DAR","")</f>
        <v/>
      </c>
      <c r="C183" s="34" t="s">
        <v>92</v>
      </c>
      <c r="D183" s="34" t="str">
        <f>CONCATENATE('Ingest Template'!E183&amp;Char(10)&amp;'Ingest Template'!G183&amp;Char(10)&amp;'Ingest Template'!H183&amp;Char(10)&amp;'Ingest Template'!I183&amp;Char(10)&amp;'Ingest Template'!J183&amp;Char(10)&amp;'Ingest Template'!K183&amp;Char(10)&amp;'Ingest Template'!L183)</f>
        <v>
</v>
      </c>
      <c r="E183" s="25" t="str">
        <f>('Ingest Template'!M183)</f>
        <v/>
      </c>
      <c r="F183" s="40" t="str">
        <f t="array" ref="F183">INDEX(DropDown!$J$2:$J$63,MATCH(1,COUNTIF(E183,DropDown!$I$2:$I$63),0))</f>
        <v>#N/A</v>
      </c>
      <c r="G183" s="25"/>
      <c r="H183" s="25"/>
      <c r="I183" s="25"/>
      <c r="J183" s="25" t="str">
        <f>'Ingest Template'!B183</f>
        <v/>
      </c>
      <c r="K183" s="25" t="str">
        <f>IF('Ingest Template'!A182="Standard",'Ingest Template'!N182,"Competitive View")</f>
        <v>Competitive View</v>
      </c>
      <c r="L183" s="41" t="s">
        <v>145</v>
      </c>
      <c r="M183" s="25" t="str">
        <f>'Ingest Template'!D182</f>
        <v/>
      </c>
      <c r="N183" s="25"/>
      <c r="O183" s="25"/>
      <c r="P183" s="25"/>
      <c r="Q183" s="25"/>
      <c r="R183" s="25" t="str">
        <f>CONCATENATE('Ingest Template'!F182)</f>
        <v/>
      </c>
      <c r="S183" s="43" t="s">
        <v>160</v>
      </c>
      <c r="T183" s="25" t="str">
        <f>'Ingest Template'!W182</f>
        <v/>
      </c>
      <c r="U183" s="25"/>
      <c r="V183" s="25" t="str">
        <f>LOWER(SUBSTITUTE(SUBSTITUTE(SUBSTITUTE(SUBSTITUTE(SUBSTITUTE('Ingest Template'!Y182,"https:",""),"www.",""),"/",""),"?hl=en",""),"instagram.com",""))</f>
        <v/>
      </c>
      <c r="W183" s="34" t="str">
        <f>(IFERROR(vlookup('Ingest Template'!F183,DropDown!D:E,2,false)&amp;'Ingest Template'!C183,""))</f>
        <v/>
      </c>
      <c r="X183" s="25" t="str">
        <f>'Ingest Template'!AA182</f>
        <v/>
      </c>
      <c r="Y183" s="25"/>
      <c r="Z183" s="25"/>
      <c r="AA183" s="25"/>
      <c r="AB183" s="25" t="str">
        <f>'Ingest Template'!T182</f>
        <v/>
      </c>
      <c r="AC183" s="25"/>
      <c r="AD183" s="25" t="str">
        <f>'Ingest Template'!U182</f>
        <v/>
      </c>
      <c r="AE183" s="25" t="str">
        <f>'Ingest Template'!V182</f>
        <v/>
      </c>
      <c r="AF183" s="25"/>
      <c r="AG183" s="25" t="str">
        <f t="array" ref="AG183">IF('Ingest Template'!A182="Standard",(CONCATENATE(IF(ISBLANK('Ingest Template'!O182),"", 'Ingest Template'!O182&amp;"|DAR"),CHAR(10), IF(ISBLANK('Ingest Template'!P182),"", 'Ingest Template'!P182&amp;"|DAR"),CHAR(10), IF(ISBLANK('Ingest Template'!Q182),"", 'Ingest Template'!Q182&amp;"|DAR"))),(CONCATENATE(IF(ISBLANK('Ingest Template'!O182),"", 'Ingest Template'!O182&amp;"|Operations - Core Title"),CHAR(10), IF(ISBLANK('Ingest Template'!P182),"", 'Ingest Template'!P182&amp;"|Operations - Core Title"),CHAR(10), IF(ISBLANK('Ingest Template'!Q182),"", 'Ingest Template'!Q182&amp;"|Operations - Core Title"))))</f>
        <v>#|Operations - Core Title
#videoGame|Operations - Core Title
</v>
      </c>
      <c r="AH183" s="25"/>
      <c r="AI183" s="25"/>
      <c r="AJ183" s="50" t="str">
        <f>if('Ingest Template'!A182="Standard",'Ingest Template'!R182&amp; "|DAR|DAR|2021-01-01",'Ingest Template'!R182&amp; "|Operations - Core Title|Operations - Core Title")</f>
        <v>#N/A</v>
      </c>
      <c r="AK183" s="25"/>
      <c r="AL183" s="25" t="str">
        <f>if('Ingest Template'!A182="Standard",'Ingest Template'!S182&amp; "|2021-01-01",'Ingest Template'!S182)</f>
        <v>#N/A</v>
      </c>
      <c r="AM183" s="25"/>
    </row>
    <row r="184">
      <c r="A184" s="25"/>
      <c r="B184" s="25" t="str">
        <f>'Ingest Template'!C183&amp;IF('Ingest Template'!A183 = "Standard", " - DAR","")</f>
        <v/>
      </c>
      <c r="C184" s="34" t="s">
        <v>92</v>
      </c>
      <c r="D184" s="34" t="str">
        <f>CONCATENATE('Ingest Template'!E184&amp;Char(10)&amp;'Ingest Template'!G184&amp;Char(10)&amp;'Ingest Template'!H184&amp;Char(10)&amp;'Ingest Template'!I184&amp;Char(10)&amp;'Ingest Template'!J184&amp;Char(10)&amp;'Ingest Template'!K184&amp;Char(10)&amp;'Ingest Template'!L184)</f>
        <v>
</v>
      </c>
      <c r="E184" s="25" t="str">
        <f>('Ingest Template'!M184)</f>
        <v/>
      </c>
      <c r="F184" s="40" t="str">
        <f t="array" ref="F184">INDEX(DropDown!$J$2:$J$63,MATCH(1,COUNTIF(E184,DropDown!$I$2:$I$63),0))</f>
        <v>#N/A</v>
      </c>
      <c r="G184" s="25"/>
      <c r="H184" s="25"/>
      <c r="I184" s="25"/>
      <c r="J184" s="25" t="str">
        <f>'Ingest Template'!B184</f>
        <v/>
      </c>
      <c r="K184" s="25" t="str">
        <f>IF('Ingest Template'!A183="Standard",'Ingest Template'!N183,"Competitive View")</f>
        <v>Competitive View</v>
      </c>
      <c r="L184" s="41" t="s">
        <v>145</v>
      </c>
      <c r="M184" s="25" t="str">
        <f>'Ingest Template'!D183</f>
        <v/>
      </c>
      <c r="N184" s="25"/>
      <c r="O184" s="25"/>
      <c r="P184" s="25"/>
      <c r="Q184" s="25"/>
      <c r="R184" s="25" t="str">
        <f>CONCATENATE('Ingest Template'!F183)</f>
        <v/>
      </c>
      <c r="S184" s="43" t="s">
        <v>160</v>
      </c>
      <c r="T184" s="25" t="str">
        <f>'Ingest Template'!W183</f>
        <v/>
      </c>
      <c r="U184" s="25"/>
      <c r="V184" s="25" t="str">
        <f>LOWER(SUBSTITUTE(SUBSTITUTE(SUBSTITUTE(SUBSTITUTE(SUBSTITUTE('Ingest Template'!Y183,"https:",""),"www.",""),"/",""),"?hl=en",""),"instagram.com",""))</f>
        <v/>
      </c>
      <c r="W184" s="34" t="str">
        <f>(IFERROR(vlookup('Ingest Template'!F184,DropDown!D:E,2,false)&amp;'Ingest Template'!C184,""))</f>
        <v/>
      </c>
      <c r="X184" s="25" t="str">
        <f>'Ingest Template'!AA183</f>
        <v/>
      </c>
      <c r="Y184" s="25"/>
      <c r="Z184" s="25"/>
      <c r="AA184" s="25"/>
      <c r="AB184" s="25" t="str">
        <f>'Ingest Template'!T183</f>
        <v/>
      </c>
      <c r="AC184" s="25"/>
      <c r="AD184" s="25" t="str">
        <f>'Ingest Template'!U183</f>
        <v/>
      </c>
      <c r="AE184" s="25" t="str">
        <f>'Ingest Template'!V183</f>
        <v/>
      </c>
      <c r="AF184" s="25"/>
      <c r="AG184" s="25" t="str">
        <f t="array" ref="AG184">IF('Ingest Template'!A183="Standard",(CONCATENATE(IF(ISBLANK('Ingest Template'!O183),"", 'Ingest Template'!O183&amp;"|DAR"),CHAR(10), IF(ISBLANK('Ingest Template'!P183),"", 'Ingest Template'!P183&amp;"|DAR"),CHAR(10), IF(ISBLANK('Ingest Template'!Q183),"", 'Ingest Template'!Q183&amp;"|DAR"))),(CONCATENATE(IF(ISBLANK('Ingest Template'!O183),"", 'Ingest Template'!O183&amp;"|Operations - Core Title"),CHAR(10), IF(ISBLANK('Ingest Template'!P183),"", 'Ingest Template'!P183&amp;"|Operations - Core Title"),CHAR(10), IF(ISBLANK('Ingest Template'!Q183),"", 'Ingest Template'!Q183&amp;"|Operations - Core Title"))))</f>
        <v>#|Operations - Core Title
#videoGame|Operations - Core Title
</v>
      </c>
      <c r="AH184" s="25"/>
      <c r="AI184" s="25"/>
      <c r="AJ184" s="50" t="str">
        <f>if('Ingest Template'!A183="Standard",'Ingest Template'!R183&amp; "|DAR|DAR|2021-01-01",'Ingest Template'!R183&amp; "|Operations - Core Title|Operations - Core Title")</f>
        <v>#N/A</v>
      </c>
      <c r="AK184" s="25"/>
      <c r="AL184" s="25" t="str">
        <f>if('Ingest Template'!A183="Standard",'Ingest Template'!S183&amp; "|2021-01-01",'Ingest Template'!S183)</f>
        <v>#N/A</v>
      </c>
      <c r="AM184" s="25"/>
    </row>
    <row r="185">
      <c r="A185" s="25"/>
      <c r="B185" s="25" t="str">
        <f>'Ingest Template'!C184&amp;IF('Ingest Template'!A184 = "Standard", " - DAR","")</f>
        <v/>
      </c>
      <c r="C185" s="34" t="s">
        <v>92</v>
      </c>
      <c r="D185" s="34" t="str">
        <f>CONCATENATE('Ingest Template'!E185&amp;Char(10)&amp;'Ingest Template'!G185&amp;Char(10)&amp;'Ingest Template'!H185&amp;Char(10)&amp;'Ingest Template'!I185&amp;Char(10)&amp;'Ingest Template'!J185&amp;Char(10)&amp;'Ingest Template'!K185&amp;Char(10)&amp;'Ingest Template'!L185)</f>
        <v>
</v>
      </c>
      <c r="E185" s="25" t="str">
        <f>('Ingest Template'!M185)</f>
        <v/>
      </c>
      <c r="F185" s="40" t="str">
        <f t="array" ref="F185">INDEX(DropDown!$J$2:$J$63,MATCH(1,COUNTIF(E185,DropDown!$I$2:$I$63),0))</f>
        <v>#N/A</v>
      </c>
      <c r="G185" s="25"/>
      <c r="H185" s="25"/>
      <c r="I185" s="25"/>
      <c r="J185" s="25" t="str">
        <f>'Ingest Template'!B185</f>
        <v/>
      </c>
      <c r="K185" s="25" t="str">
        <f>IF('Ingest Template'!A184="Standard",'Ingest Template'!N184,"Competitive View")</f>
        <v>Competitive View</v>
      </c>
      <c r="L185" s="41" t="s">
        <v>145</v>
      </c>
      <c r="M185" s="25" t="str">
        <f>'Ingest Template'!D184</f>
        <v/>
      </c>
      <c r="N185" s="25"/>
      <c r="O185" s="25"/>
      <c r="P185" s="25"/>
      <c r="Q185" s="25"/>
      <c r="R185" s="25" t="str">
        <f>CONCATENATE('Ingest Template'!F184)</f>
        <v/>
      </c>
      <c r="S185" s="43" t="s">
        <v>160</v>
      </c>
      <c r="T185" s="25" t="str">
        <f>'Ingest Template'!W184</f>
        <v/>
      </c>
      <c r="U185" s="25"/>
      <c r="V185" s="25" t="str">
        <f>LOWER(SUBSTITUTE(SUBSTITUTE(SUBSTITUTE(SUBSTITUTE(SUBSTITUTE('Ingest Template'!Y184,"https:",""),"www.",""),"/",""),"?hl=en",""),"instagram.com",""))</f>
        <v/>
      </c>
      <c r="W185" s="34" t="str">
        <f>(IFERROR(vlookup('Ingest Template'!F185,DropDown!D:E,2,false)&amp;'Ingest Template'!C185,""))</f>
        <v/>
      </c>
      <c r="X185" s="25" t="str">
        <f>'Ingest Template'!AA184</f>
        <v/>
      </c>
      <c r="Y185" s="25"/>
      <c r="Z185" s="25"/>
      <c r="AA185" s="25"/>
      <c r="AB185" s="25" t="str">
        <f>'Ingest Template'!T184</f>
        <v/>
      </c>
      <c r="AC185" s="25"/>
      <c r="AD185" s="25" t="str">
        <f>'Ingest Template'!U184</f>
        <v/>
      </c>
      <c r="AE185" s="25" t="str">
        <f>'Ingest Template'!V184</f>
        <v/>
      </c>
      <c r="AF185" s="25"/>
      <c r="AG185" s="25" t="str">
        <f t="array" ref="AG185">IF('Ingest Template'!A184="Standard",(CONCATENATE(IF(ISBLANK('Ingest Template'!O184),"", 'Ingest Template'!O184&amp;"|DAR"),CHAR(10), IF(ISBLANK('Ingest Template'!P184),"", 'Ingest Template'!P184&amp;"|DAR"),CHAR(10), IF(ISBLANK('Ingest Template'!Q184),"", 'Ingest Template'!Q184&amp;"|DAR"))),(CONCATENATE(IF(ISBLANK('Ingest Template'!O184),"", 'Ingest Template'!O184&amp;"|Operations - Core Title"),CHAR(10), IF(ISBLANK('Ingest Template'!P184),"", 'Ingest Template'!P184&amp;"|Operations - Core Title"),CHAR(10), IF(ISBLANK('Ingest Template'!Q184),"", 'Ingest Template'!Q184&amp;"|Operations - Core Title"))))</f>
        <v>#|Operations - Core Title
#videoGame|Operations - Core Title
</v>
      </c>
      <c r="AH185" s="25"/>
      <c r="AI185" s="25"/>
      <c r="AJ185" s="50" t="str">
        <f>if('Ingest Template'!A184="Standard",'Ingest Template'!R184&amp; "|DAR|DAR|2021-01-01",'Ingest Template'!R184&amp; "|Operations - Core Title|Operations - Core Title")</f>
        <v>#N/A</v>
      </c>
      <c r="AK185" s="25"/>
      <c r="AL185" s="25" t="str">
        <f>if('Ingest Template'!A184="Standard",'Ingest Template'!S184&amp; "|2021-01-01",'Ingest Template'!S184)</f>
        <v>#N/A</v>
      </c>
      <c r="AM185" s="25"/>
    </row>
    <row r="186">
      <c r="A186" s="25"/>
      <c r="B186" s="25" t="str">
        <f>'Ingest Template'!C185&amp;IF('Ingest Template'!A185 = "Standard", " - DAR","")</f>
        <v/>
      </c>
      <c r="C186" s="34" t="s">
        <v>92</v>
      </c>
      <c r="D186" s="34" t="str">
        <f>CONCATENATE('Ingest Template'!E186&amp;Char(10)&amp;'Ingest Template'!G186&amp;Char(10)&amp;'Ingest Template'!H186&amp;Char(10)&amp;'Ingest Template'!I186&amp;Char(10)&amp;'Ingest Template'!J186&amp;Char(10)&amp;'Ingest Template'!K186&amp;Char(10)&amp;'Ingest Template'!L186)</f>
        <v>
</v>
      </c>
      <c r="E186" s="25" t="str">
        <f>('Ingest Template'!M186)</f>
        <v/>
      </c>
      <c r="F186" s="40" t="str">
        <f t="array" ref="F186">INDEX(DropDown!$J$2:$J$63,MATCH(1,COUNTIF(E186,DropDown!$I$2:$I$63),0))</f>
        <v>#N/A</v>
      </c>
      <c r="G186" s="25"/>
      <c r="H186" s="25"/>
      <c r="I186" s="25"/>
      <c r="J186" s="25" t="str">
        <f>'Ingest Template'!B186</f>
        <v/>
      </c>
      <c r="K186" s="25" t="str">
        <f>IF('Ingest Template'!A185="Standard",'Ingest Template'!N185,"Competitive View")</f>
        <v>Competitive View</v>
      </c>
      <c r="L186" s="41" t="s">
        <v>145</v>
      </c>
      <c r="M186" s="25" t="str">
        <f>'Ingest Template'!D185</f>
        <v/>
      </c>
      <c r="N186" s="25"/>
      <c r="O186" s="25"/>
      <c r="P186" s="25"/>
      <c r="Q186" s="25"/>
      <c r="R186" s="25" t="str">
        <f>CONCATENATE('Ingest Template'!F185)</f>
        <v/>
      </c>
      <c r="S186" s="43" t="s">
        <v>160</v>
      </c>
      <c r="T186" s="25" t="str">
        <f>'Ingest Template'!W185</f>
        <v/>
      </c>
      <c r="U186" s="25"/>
      <c r="V186" s="25" t="str">
        <f>LOWER(SUBSTITUTE(SUBSTITUTE(SUBSTITUTE(SUBSTITUTE(SUBSTITUTE('Ingest Template'!Y185,"https:",""),"www.",""),"/",""),"?hl=en",""),"instagram.com",""))</f>
        <v/>
      </c>
      <c r="W186" s="34" t="str">
        <f>(IFERROR(vlookup('Ingest Template'!F186,DropDown!D:E,2,false)&amp;'Ingest Template'!C186,""))</f>
        <v/>
      </c>
      <c r="X186" s="25" t="str">
        <f>'Ingest Template'!AA185</f>
        <v/>
      </c>
      <c r="Y186" s="25"/>
      <c r="Z186" s="25"/>
      <c r="AA186" s="25"/>
      <c r="AB186" s="25" t="str">
        <f>'Ingest Template'!T185</f>
        <v/>
      </c>
      <c r="AC186" s="25"/>
      <c r="AD186" s="25" t="str">
        <f>'Ingest Template'!U185</f>
        <v/>
      </c>
      <c r="AE186" s="25" t="str">
        <f>'Ingest Template'!V185</f>
        <v/>
      </c>
      <c r="AF186" s="25"/>
      <c r="AG186" s="25" t="str">
        <f t="array" ref="AG186">IF('Ingest Template'!A185="Standard",(CONCATENATE(IF(ISBLANK('Ingest Template'!O185),"", 'Ingest Template'!O185&amp;"|DAR"),CHAR(10), IF(ISBLANK('Ingest Template'!P185),"", 'Ingest Template'!P185&amp;"|DAR"),CHAR(10), IF(ISBLANK('Ingest Template'!Q185),"", 'Ingest Template'!Q185&amp;"|DAR"))),(CONCATENATE(IF(ISBLANK('Ingest Template'!O185),"", 'Ingest Template'!O185&amp;"|Operations - Core Title"),CHAR(10), IF(ISBLANK('Ingest Template'!P185),"", 'Ingest Template'!P185&amp;"|Operations - Core Title"),CHAR(10), IF(ISBLANK('Ingest Template'!Q185),"", 'Ingest Template'!Q185&amp;"|Operations - Core Title"))))</f>
        <v>#|Operations - Core Title
#videoGame|Operations - Core Title
</v>
      </c>
      <c r="AH186" s="25"/>
      <c r="AI186" s="25"/>
      <c r="AJ186" s="50" t="str">
        <f>if('Ingest Template'!A185="Standard",'Ingest Template'!R185&amp; "|DAR|DAR|2021-01-01",'Ingest Template'!R185&amp; "|Operations - Core Title|Operations - Core Title")</f>
        <v>#N/A</v>
      </c>
      <c r="AK186" s="25"/>
      <c r="AL186" s="25" t="str">
        <f>if('Ingest Template'!A185="Standard",'Ingest Template'!S185&amp; "|2021-01-01",'Ingest Template'!S185)</f>
        <v>#N/A</v>
      </c>
      <c r="AM186" s="25"/>
    </row>
    <row r="187">
      <c r="A187" s="25"/>
      <c r="B187" s="25" t="str">
        <f>'Ingest Template'!C186&amp;IF('Ingest Template'!A186 = "Standard", " - DAR","")</f>
        <v/>
      </c>
      <c r="C187" s="34" t="s">
        <v>92</v>
      </c>
      <c r="D187" s="34" t="str">
        <f>CONCATENATE('Ingest Template'!E187&amp;Char(10)&amp;'Ingest Template'!G187&amp;Char(10)&amp;'Ingest Template'!H187&amp;Char(10)&amp;'Ingest Template'!I187&amp;Char(10)&amp;'Ingest Template'!J187&amp;Char(10)&amp;'Ingest Template'!K187&amp;Char(10)&amp;'Ingest Template'!L187)</f>
        <v>
</v>
      </c>
      <c r="E187" s="25" t="str">
        <f>('Ingest Template'!M187)</f>
        <v/>
      </c>
      <c r="F187" s="40" t="str">
        <f t="array" ref="F187">INDEX(DropDown!$J$2:$J$63,MATCH(1,COUNTIF(E187,DropDown!$I$2:$I$63),0))</f>
        <v>#N/A</v>
      </c>
      <c r="G187" s="25"/>
      <c r="H187" s="25"/>
      <c r="I187" s="25"/>
      <c r="J187" s="25" t="str">
        <f>'Ingest Template'!B187</f>
        <v/>
      </c>
      <c r="K187" s="25" t="str">
        <f>IF('Ingest Template'!A186="Standard",'Ingest Template'!N186,"Competitive View")</f>
        <v>Competitive View</v>
      </c>
      <c r="L187" s="41" t="s">
        <v>145</v>
      </c>
      <c r="M187" s="25" t="str">
        <f>'Ingest Template'!D186</f>
        <v/>
      </c>
      <c r="N187" s="25"/>
      <c r="O187" s="25"/>
      <c r="P187" s="25"/>
      <c r="Q187" s="25"/>
      <c r="R187" s="25" t="str">
        <f>CONCATENATE('Ingest Template'!F186)</f>
        <v/>
      </c>
      <c r="S187" s="43" t="s">
        <v>160</v>
      </c>
      <c r="T187" s="25" t="str">
        <f>'Ingest Template'!W186</f>
        <v/>
      </c>
      <c r="U187" s="25"/>
      <c r="V187" s="25" t="str">
        <f>LOWER(SUBSTITUTE(SUBSTITUTE(SUBSTITUTE(SUBSTITUTE(SUBSTITUTE('Ingest Template'!Y186,"https:",""),"www.",""),"/",""),"?hl=en",""),"instagram.com",""))</f>
        <v/>
      </c>
      <c r="W187" s="34" t="str">
        <f>(IFERROR(vlookup('Ingest Template'!F187,DropDown!D:E,2,false)&amp;'Ingest Template'!C187,""))</f>
        <v/>
      </c>
      <c r="X187" s="25" t="str">
        <f>'Ingest Template'!AA186</f>
        <v/>
      </c>
      <c r="Y187" s="25"/>
      <c r="Z187" s="25"/>
      <c r="AA187" s="25"/>
      <c r="AB187" s="25" t="str">
        <f>'Ingest Template'!T186</f>
        <v/>
      </c>
      <c r="AC187" s="25"/>
      <c r="AD187" s="25" t="str">
        <f>'Ingest Template'!U186</f>
        <v/>
      </c>
      <c r="AE187" s="25" t="str">
        <f>'Ingest Template'!V186</f>
        <v/>
      </c>
      <c r="AF187" s="25"/>
      <c r="AG187" s="25" t="str">
        <f t="array" ref="AG187">IF('Ingest Template'!A186="Standard",(CONCATENATE(IF(ISBLANK('Ingest Template'!O186),"", 'Ingest Template'!O186&amp;"|DAR"),CHAR(10), IF(ISBLANK('Ingest Template'!P186),"", 'Ingest Template'!P186&amp;"|DAR"),CHAR(10), IF(ISBLANK('Ingest Template'!Q186),"", 'Ingest Template'!Q186&amp;"|DAR"))),(CONCATENATE(IF(ISBLANK('Ingest Template'!O186),"", 'Ingest Template'!O186&amp;"|Operations - Core Title"),CHAR(10), IF(ISBLANK('Ingest Template'!P186),"", 'Ingest Template'!P186&amp;"|Operations - Core Title"),CHAR(10), IF(ISBLANK('Ingest Template'!Q186),"", 'Ingest Template'!Q186&amp;"|Operations - Core Title"))))</f>
        <v>#|Operations - Core Title
#videoGame|Operations - Core Title
</v>
      </c>
      <c r="AH187" s="25"/>
      <c r="AI187" s="25"/>
      <c r="AJ187" s="50" t="str">
        <f>if('Ingest Template'!A186="Standard",'Ingest Template'!R186&amp; "|DAR|DAR|2021-01-01",'Ingest Template'!R186&amp; "|Operations - Core Title|Operations - Core Title")</f>
        <v>#N/A</v>
      </c>
      <c r="AK187" s="25"/>
      <c r="AL187" s="25" t="str">
        <f>if('Ingest Template'!A186="Standard",'Ingest Template'!S186&amp; "|2021-01-01",'Ingest Template'!S186)</f>
        <v>#N/A</v>
      </c>
      <c r="AM187" s="25"/>
    </row>
    <row r="188">
      <c r="A188" s="25"/>
      <c r="B188" s="25" t="str">
        <f>'Ingest Template'!C187&amp;IF('Ingest Template'!A187 = "Standard", " - DAR","")</f>
        <v/>
      </c>
      <c r="C188" s="34" t="s">
        <v>92</v>
      </c>
      <c r="D188" s="34" t="str">
        <f>CONCATENATE('Ingest Template'!E188&amp;Char(10)&amp;'Ingest Template'!G188&amp;Char(10)&amp;'Ingest Template'!H188&amp;Char(10)&amp;'Ingest Template'!I188&amp;Char(10)&amp;'Ingest Template'!J188&amp;Char(10)&amp;'Ingest Template'!K188&amp;Char(10)&amp;'Ingest Template'!L188)</f>
        <v>
</v>
      </c>
      <c r="E188" s="25" t="str">
        <f>('Ingest Template'!M188)</f>
        <v/>
      </c>
      <c r="F188" s="40" t="str">
        <f t="array" ref="F188">INDEX(DropDown!$J$2:$J$63,MATCH(1,COUNTIF(E188,DropDown!$I$2:$I$63),0))</f>
        <v>#N/A</v>
      </c>
      <c r="G188" s="25"/>
      <c r="H188" s="25"/>
      <c r="I188" s="25"/>
      <c r="J188" s="25" t="str">
        <f>'Ingest Template'!B188</f>
        <v/>
      </c>
      <c r="K188" s="25" t="str">
        <f>IF('Ingest Template'!A187="Standard",'Ingest Template'!N187,"Competitive View")</f>
        <v>Competitive View</v>
      </c>
      <c r="L188" s="41" t="s">
        <v>145</v>
      </c>
      <c r="M188" s="25" t="str">
        <f>'Ingest Template'!D187</f>
        <v/>
      </c>
      <c r="N188" s="25"/>
      <c r="O188" s="25"/>
      <c r="P188" s="25"/>
      <c r="Q188" s="25"/>
      <c r="R188" s="25" t="str">
        <f>CONCATENATE('Ingest Template'!F187)</f>
        <v/>
      </c>
      <c r="S188" s="43" t="s">
        <v>160</v>
      </c>
      <c r="T188" s="25" t="str">
        <f>'Ingest Template'!W187</f>
        <v/>
      </c>
      <c r="U188" s="25"/>
      <c r="V188" s="25" t="str">
        <f>LOWER(SUBSTITUTE(SUBSTITUTE(SUBSTITUTE(SUBSTITUTE(SUBSTITUTE('Ingest Template'!Y187,"https:",""),"www.",""),"/",""),"?hl=en",""),"instagram.com",""))</f>
        <v/>
      </c>
      <c r="W188" s="34" t="str">
        <f>(IFERROR(vlookup('Ingest Template'!F188,DropDown!D:E,2,false)&amp;'Ingest Template'!C188,""))</f>
        <v/>
      </c>
      <c r="X188" s="25" t="str">
        <f>'Ingest Template'!AA187</f>
        <v/>
      </c>
      <c r="Y188" s="25"/>
      <c r="Z188" s="25"/>
      <c r="AA188" s="25"/>
      <c r="AB188" s="25" t="str">
        <f>'Ingest Template'!T187</f>
        <v/>
      </c>
      <c r="AC188" s="25"/>
      <c r="AD188" s="25" t="str">
        <f>'Ingest Template'!U187</f>
        <v/>
      </c>
      <c r="AE188" s="25" t="str">
        <f>'Ingest Template'!V187</f>
        <v/>
      </c>
      <c r="AF188" s="25"/>
      <c r="AG188" s="25" t="str">
        <f t="array" ref="AG188">IF('Ingest Template'!A187="Standard",(CONCATENATE(IF(ISBLANK('Ingest Template'!O187),"", 'Ingest Template'!O187&amp;"|DAR"),CHAR(10), IF(ISBLANK('Ingest Template'!P187),"", 'Ingest Template'!P187&amp;"|DAR"),CHAR(10), IF(ISBLANK('Ingest Template'!Q187),"", 'Ingest Template'!Q187&amp;"|DAR"))),(CONCATENATE(IF(ISBLANK('Ingest Template'!O187),"", 'Ingest Template'!O187&amp;"|Operations - Core Title"),CHAR(10), IF(ISBLANK('Ingest Template'!P187),"", 'Ingest Template'!P187&amp;"|Operations - Core Title"),CHAR(10), IF(ISBLANK('Ingest Template'!Q187),"", 'Ingest Template'!Q187&amp;"|Operations - Core Title"))))</f>
        <v>#|Operations - Core Title
#videoGame|Operations - Core Title
</v>
      </c>
      <c r="AH188" s="25"/>
      <c r="AI188" s="25"/>
      <c r="AJ188" s="50" t="str">
        <f>if('Ingest Template'!A187="Standard",'Ingest Template'!R187&amp; "|DAR|DAR|2021-01-01",'Ingest Template'!R187&amp; "|Operations - Core Title|Operations - Core Title")</f>
        <v>#N/A</v>
      </c>
      <c r="AK188" s="25"/>
      <c r="AL188" s="25" t="str">
        <f>if('Ingest Template'!A187="Standard",'Ingest Template'!S187&amp; "|2021-01-01",'Ingest Template'!S187)</f>
        <v>#N/A</v>
      </c>
      <c r="AM188" s="25"/>
    </row>
    <row r="189">
      <c r="A189" s="25"/>
      <c r="B189" s="25" t="str">
        <f>'Ingest Template'!C188&amp;IF('Ingest Template'!A188 = "Standard", " - DAR","")</f>
        <v/>
      </c>
      <c r="C189" s="34" t="s">
        <v>92</v>
      </c>
      <c r="D189" s="34" t="str">
        <f>CONCATENATE('Ingest Template'!E189&amp;Char(10)&amp;'Ingest Template'!G189&amp;Char(10)&amp;'Ingest Template'!H189&amp;Char(10)&amp;'Ingest Template'!I189&amp;Char(10)&amp;'Ingest Template'!J189&amp;Char(10)&amp;'Ingest Template'!K189&amp;Char(10)&amp;'Ingest Template'!L189)</f>
        <v>
</v>
      </c>
      <c r="E189" s="25" t="str">
        <f>('Ingest Template'!M189)</f>
        <v/>
      </c>
      <c r="F189" s="40" t="str">
        <f t="array" ref="F189">INDEX(DropDown!$J$2:$J$63,MATCH(1,COUNTIF(E189,DropDown!$I$2:$I$63),0))</f>
        <v>#N/A</v>
      </c>
      <c r="G189" s="25"/>
      <c r="H189" s="25"/>
      <c r="I189" s="25"/>
      <c r="J189" s="25" t="str">
        <f>'Ingest Template'!B189</f>
        <v/>
      </c>
      <c r="K189" s="25" t="str">
        <f>IF('Ingest Template'!A188="Standard",'Ingest Template'!N188,"Competitive View")</f>
        <v>Competitive View</v>
      </c>
      <c r="L189" s="41" t="s">
        <v>145</v>
      </c>
      <c r="M189" s="25" t="str">
        <f>'Ingest Template'!D188</f>
        <v/>
      </c>
      <c r="N189" s="25"/>
      <c r="O189" s="25"/>
      <c r="P189" s="25"/>
      <c r="Q189" s="25"/>
      <c r="R189" s="25" t="str">
        <f>CONCATENATE('Ingest Template'!F188)</f>
        <v/>
      </c>
      <c r="S189" s="43" t="s">
        <v>160</v>
      </c>
      <c r="T189" s="25" t="str">
        <f>'Ingest Template'!W188</f>
        <v/>
      </c>
      <c r="U189" s="25"/>
      <c r="V189" s="25" t="str">
        <f>LOWER(SUBSTITUTE(SUBSTITUTE(SUBSTITUTE(SUBSTITUTE(SUBSTITUTE('Ingest Template'!Y188,"https:",""),"www.",""),"/",""),"?hl=en",""),"instagram.com",""))</f>
        <v/>
      </c>
      <c r="W189" s="34" t="str">
        <f>(IFERROR(vlookup('Ingest Template'!F189,DropDown!D:E,2,false)&amp;'Ingest Template'!C189,""))</f>
        <v/>
      </c>
      <c r="X189" s="25" t="str">
        <f>'Ingest Template'!AA188</f>
        <v/>
      </c>
      <c r="Y189" s="25"/>
      <c r="Z189" s="25"/>
      <c r="AA189" s="25"/>
      <c r="AB189" s="25" t="str">
        <f>'Ingest Template'!T188</f>
        <v/>
      </c>
      <c r="AC189" s="25"/>
      <c r="AD189" s="25" t="str">
        <f>'Ingest Template'!U188</f>
        <v/>
      </c>
      <c r="AE189" s="25" t="str">
        <f>'Ingest Template'!V188</f>
        <v/>
      </c>
      <c r="AF189" s="25"/>
      <c r="AG189" s="25" t="str">
        <f t="array" ref="AG189">IF('Ingest Template'!A188="Standard",(CONCATENATE(IF(ISBLANK('Ingest Template'!O188),"", 'Ingest Template'!O188&amp;"|DAR"),CHAR(10), IF(ISBLANK('Ingest Template'!P188),"", 'Ingest Template'!P188&amp;"|DAR"),CHAR(10), IF(ISBLANK('Ingest Template'!Q188),"", 'Ingest Template'!Q188&amp;"|DAR"))),(CONCATENATE(IF(ISBLANK('Ingest Template'!O188),"", 'Ingest Template'!O188&amp;"|Operations - Core Title"),CHAR(10), IF(ISBLANK('Ingest Template'!P188),"", 'Ingest Template'!P188&amp;"|Operations - Core Title"),CHAR(10), IF(ISBLANK('Ingest Template'!Q188),"", 'Ingest Template'!Q188&amp;"|Operations - Core Title"))))</f>
        <v>#|Operations - Core Title
#videoGame|Operations - Core Title
</v>
      </c>
      <c r="AH189" s="25"/>
      <c r="AI189" s="25"/>
      <c r="AJ189" s="50" t="str">
        <f>if('Ingest Template'!A188="Standard",'Ingest Template'!R188&amp; "|DAR|DAR|2021-01-01",'Ingest Template'!R188&amp; "|Operations - Core Title|Operations - Core Title")</f>
        <v>#N/A</v>
      </c>
      <c r="AK189" s="25"/>
      <c r="AL189" s="25" t="str">
        <f>if('Ingest Template'!A188="Standard",'Ingest Template'!S188&amp; "|2021-01-01",'Ingest Template'!S188)</f>
        <v>#N/A</v>
      </c>
      <c r="AM189" s="25"/>
    </row>
    <row r="190">
      <c r="A190" s="25"/>
      <c r="B190" s="25" t="str">
        <f>'Ingest Template'!C189&amp;IF('Ingest Template'!A189 = "Standard", " - DAR","")</f>
        <v/>
      </c>
      <c r="C190" s="34" t="s">
        <v>92</v>
      </c>
      <c r="D190" s="34" t="str">
        <f>CONCATENATE('Ingest Template'!E190&amp;Char(10)&amp;'Ingest Template'!G190&amp;Char(10)&amp;'Ingest Template'!H190&amp;Char(10)&amp;'Ingest Template'!I190&amp;Char(10)&amp;'Ingest Template'!J190&amp;Char(10)&amp;'Ingest Template'!K190&amp;Char(10)&amp;'Ingest Template'!L190)</f>
        <v>
</v>
      </c>
      <c r="E190" s="25" t="str">
        <f>('Ingest Template'!M190)</f>
        <v/>
      </c>
      <c r="F190" s="40" t="str">
        <f t="array" ref="F190">INDEX(DropDown!$J$2:$J$63,MATCH(1,COUNTIF(E190,DropDown!$I$2:$I$63),0))</f>
        <v>#N/A</v>
      </c>
      <c r="G190" s="25"/>
      <c r="H190" s="25"/>
      <c r="I190" s="25"/>
      <c r="J190" s="25" t="str">
        <f>'Ingest Template'!B190</f>
        <v/>
      </c>
      <c r="K190" s="25" t="str">
        <f>IF('Ingest Template'!A189="Standard",'Ingest Template'!N189,"Competitive View")</f>
        <v>Competitive View</v>
      </c>
      <c r="L190" s="41" t="s">
        <v>145</v>
      </c>
      <c r="M190" s="25" t="str">
        <f>'Ingest Template'!D189</f>
        <v/>
      </c>
      <c r="N190" s="25"/>
      <c r="O190" s="25"/>
      <c r="P190" s="25"/>
      <c r="Q190" s="25"/>
      <c r="R190" s="25" t="str">
        <f>CONCATENATE('Ingest Template'!F189)</f>
        <v/>
      </c>
      <c r="S190" s="43" t="s">
        <v>160</v>
      </c>
      <c r="T190" s="25" t="str">
        <f>'Ingest Template'!W189</f>
        <v/>
      </c>
      <c r="U190" s="25"/>
      <c r="V190" s="25" t="str">
        <f>LOWER(SUBSTITUTE(SUBSTITUTE(SUBSTITUTE(SUBSTITUTE(SUBSTITUTE('Ingest Template'!Y189,"https:",""),"www.",""),"/",""),"?hl=en",""),"instagram.com",""))</f>
        <v/>
      </c>
      <c r="W190" s="34" t="str">
        <f>(IFERROR(vlookup('Ingest Template'!F190,DropDown!D:E,2,false)&amp;'Ingest Template'!C190,""))</f>
        <v/>
      </c>
      <c r="X190" s="25" t="str">
        <f>'Ingest Template'!AA189</f>
        <v/>
      </c>
      <c r="Y190" s="25"/>
      <c r="Z190" s="25"/>
      <c r="AA190" s="25"/>
      <c r="AB190" s="25" t="str">
        <f>'Ingest Template'!T189</f>
        <v/>
      </c>
      <c r="AC190" s="25"/>
      <c r="AD190" s="25" t="str">
        <f>'Ingest Template'!U189</f>
        <v/>
      </c>
      <c r="AE190" s="25" t="str">
        <f>'Ingest Template'!V189</f>
        <v/>
      </c>
      <c r="AF190" s="25"/>
      <c r="AG190" s="25" t="str">
        <f t="array" ref="AG190">IF('Ingest Template'!A189="Standard",(CONCATENATE(IF(ISBLANK('Ingest Template'!O189),"", 'Ingest Template'!O189&amp;"|DAR"),CHAR(10), IF(ISBLANK('Ingest Template'!P189),"", 'Ingest Template'!P189&amp;"|DAR"),CHAR(10), IF(ISBLANK('Ingest Template'!Q189),"", 'Ingest Template'!Q189&amp;"|DAR"))),(CONCATENATE(IF(ISBLANK('Ingest Template'!O189),"", 'Ingest Template'!O189&amp;"|Operations - Core Title"),CHAR(10), IF(ISBLANK('Ingest Template'!P189),"", 'Ingest Template'!P189&amp;"|Operations - Core Title"),CHAR(10), IF(ISBLANK('Ingest Template'!Q189),"", 'Ingest Template'!Q189&amp;"|Operations - Core Title"))))</f>
        <v>#|Operations - Core Title
#videoGame|Operations - Core Title
</v>
      </c>
      <c r="AH190" s="25"/>
      <c r="AI190" s="25"/>
      <c r="AJ190" s="50" t="str">
        <f>if('Ingest Template'!A189="Standard",'Ingest Template'!R189&amp; "|DAR|DAR|2021-01-01",'Ingest Template'!R189&amp; "|Operations - Core Title|Operations - Core Title")</f>
        <v>#N/A</v>
      </c>
      <c r="AK190" s="25"/>
      <c r="AL190" s="25" t="str">
        <f>if('Ingest Template'!A189="Standard",'Ingest Template'!S189&amp; "|2021-01-01",'Ingest Template'!S189)</f>
        <v>#N/A</v>
      </c>
      <c r="AM190" s="25"/>
    </row>
    <row r="191">
      <c r="A191" s="25"/>
      <c r="B191" s="25" t="str">
        <f>'Ingest Template'!C190&amp;IF('Ingest Template'!A190 = "Standard", " - DAR","")</f>
        <v/>
      </c>
      <c r="C191" s="34" t="s">
        <v>92</v>
      </c>
      <c r="D191" s="34" t="str">
        <f>CONCATENATE('Ingest Template'!E191&amp;Char(10)&amp;'Ingest Template'!G191&amp;Char(10)&amp;'Ingest Template'!H191&amp;Char(10)&amp;'Ingest Template'!I191&amp;Char(10)&amp;'Ingest Template'!J191&amp;Char(10)&amp;'Ingest Template'!K191&amp;Char(10)&amp;'Ingest Template'!L191)</f>
        <v>
</v>
      </c>
      <c r="E191" s="25" t="str">
        <f>('Ingest Template'!M191)</f>
        <v/>
      </c>
      <c r="F191" s="40" t="str">
        <f t="array" ref="F191">INDEX(DropDown!$J$2:$J$63,MATCH(1,COUNTIF(E191,DropDown!$I$2:$I$63),0))</f>
        <v>#N/A</v>
      </c>
      <c r="G191" s="25"/>
      <c r="H191" s="25"/>
      <c r="I191" s="25"/>
      <c r="J191" s="25" t="str">
        <f>'Ingest Template'!B191</f>
        <v/>
      </c>
      <c r="K191" s="25" t="str">
        <f>IF('Ingest Template'!A190="Standard",'Ingest Template'!N190,"Competitive View")</f>
        <v>Competitive View</v>
      </c>
      <c r="L191" s="41" t="s">
        <v>145</v>
      </c>
      <c r="M191" s="25" t="str">
        <f>'Ingest Template'!D190</f>
        <v/>
      </c>
      <c r="N191" s="25"/>
      <c r="O191" s="25"/>
      <c r="P191" s="25"/>
      <c r="Q191" s="25"/>
      <c r="R191" s="25" t="str">
        <f>CONCATENATE('Ingest Template'!F190)</f>
        <v/>
      </c>
      <c r="S191" s="43" t="s">
        <v>160</v>
      </c>
      <c r="T191" s="25" t="str">
        <f>'Ingest Template'!W190</f>
        <v/>
      </c>
      <c r="U191" s="25"/>
      <c r="V191" s="25" t="str">
        <f>LOWER(SUBSTITUTE(SUBSTITUTE(SUBSTITUTE(SUBSTITUTE(SUBSTITUTE('Ingest Template'!Y190,"https:",""),"www.",""),"/",""),"?hl=en",""),"instagram.com",""))</f>
        <v/>
      </c>
      <c r="W191" s="34" t="str">
        <f>(IFERROR(vlookup('Ingest Template'!F191,DropDown!D:E,2,false)&amp;'Ingest Template'!C191,""))</f>
        <v/>
      </c>
      <c r="X191" s="25" t="str">
        <f>'Ingest Template'!AA190</f>
        <v/>
      </c>
      <c r="Y191" s="25"/>
      <c r="Z191" s="25"/>
      <c r="AA191" s="25"/>
      <c r="AB191" s="25" t="str">
        <f>'Ingest Template'!T190</f>
        <v/>
      </c>
      <c r="AC191" s="25"/>
      <c r="AD191" s="25" t="str">
        <f>'Ingest Template'!U190</f>
        <v/>
      </c>
      <c r="AE191" s="25" t="str">
        <f>'Ingest Template'!V190</f>
        <v/>
      </c>
      <c r="AF191" s="25"/>
      <c r="AG191" s="25" t="str">
        <f t="array" ref="AG191">IF('Ingest Template'!A190="Standard",(CONCATENATE(IF(ISBLANK('Ingest Template'!O190),"", 'Ingest Template'!O190&amp;"|DAR"),CHAR(10), IF(ISBLANK('Ingest Template'!P190),"", 'Ingest Template'!P190&amp;"|DAR"),CHAR(10), IF(ISBLANK('Ingest Template'!Q190),"", 'Ingest Template'!Q190&amp;"|DAR"))),(CONCATENATE(IF(ISBLANK('Ingest Template'!O190),"", 'Ingest Template'!O190&amp;"|Operations - Core Title"),CHAR(10), IF(ISBLANK('Ingest Template'!P190),"", 'Ingest Template'!P190&amp;"|Operations - Core Title"),CHAR(10), IF(ISBLANK('Ingest Template'!Q190),"", 'Ingest Template'!Q190&amp;"|Operations - Core Title"))))</f>
        <v>#|Operations - Core Title
#videoGame|Operations - Core Title
</v>
      </c>
      <c r="AH191" s="25"/>
      <c r="AI191" s="25"/>
      <c r="AJ191" s="50" t="str">
        <f>if('Ingest Template'!A190="Standard",'Ingest Template'!R190&amp; "|DAR|DAR|2021-01-01",'Ingest Template'!R190&amp; "|Operations - Core Title|Operations - Core Title")</f>
        <v>#N/A</v>
      </c>
      <c r="AK191" s="25"/>
      <c r="AL191" s="25" t="str">
        <f>if('Ingest Template'!A190="Standard",'Ingest Template'!S190&amp; "|2021-01-01",'Ingest Template'!S190)</f>
        <v>#N/A</v>
      </c>
      <c r="AM191" s="25"/>
    </row>
    <row r="192">
      <c r="A192" s="25"/>
      <c r="B192" s="25" t="str">
        <f>'Ingest Template'!C191&amp;IF('Ingest Template'!A191 = "Standard", " - DAR","")</f>
        <v/>
      </c>
      <c r="C192" s="34" t="s">
        <v>92</v>
      </c>
      <c r="D192" s="34" t="str">
        <f>CONCATENATE('Ingest Template'!E192&amp;Char(10)&amp;'Ingest Template'!G192&amp;Char(10)&amp;'Ingest Template'!H192&amp;Char(10)&amp;'Ingest Template'!I192&amp;Char(10)&amp;'Ingest Template'!J192&amp;Char(10)&amp;'Ingest Template'!K192&amp;Char(10)&amp;'Ingest Template'!L192)</f>
        <v>
</v>
      </c>
      <c r="E192" s="25" t="str">
        <f>('Ingest Template'!M192)</f>
        <v/>
      </c>
      <c r="F192" s="40" t="str">
        <f t="array" ref="F192">INDEX(DropDown!$J$2:$J$63,MATCH(1,COUNTIF(E192,DropDown!$I$2:$I$63),0))</f>
        <v>#N/A</v>
      </c>
      <c r="G192" s="25"/>
      <c r="H192" s="25"/>
      <c r="I192" s="25"/>
      <c r="J192" s="25" t="str">
        <f>'Ingest Template'!B192</f>
        <v/>
      </c>
      <c r="K192" s="25" t="str">
        <f>IF('Ingest Template'!A191="Standard",'Ingest Template'!N191,"Competitive View")</f>
        <v>Competitive View</v>
      </c>
      <c r="L192" s="41" t="s">
        <v>145</v>
      </c>
      <c r="M192" s="25" t="str">
        <f>'Ingest Template'!D191</f>
        <v/>
      </c>
      <c r="N192" s="25"/>
      <c r="O192" s="25"/>
      <c r="P192" s="25"/>
      <c r="Q192" s="25"/>
      <c r="R192" s="25" t="str">
        <f>CONCATENATE('Ingest Template'!F191)</f>
        <v/>
      </c>
      <c r="S192" s="43" t="s">
        <v>160</v>
      </c>
      <c r="T192" s="25" t="str">
        <f>'Ingest Template'!W191</f>
        <v/>
      </c>
      <c r="U192" s="25"/>
      <c r="V192" s="25" t="str">
        <f>LOWER(SUBSTITUTE(SUBSTITUTE(SUBSTITUTE(SUBSTITUTE(SUBSTITUTE('Ingest Template'!Y191,"https:",""),"www.",""),"/",""),"?hl=en",""),"instagram.com",""))</f>
        <v/>
      </c>
      <c r="W192" s="34" t="str">
        <f>(IFERROR(vlookup('Ingest Template'!F192,DropDown!D:E,2,false)&amp;'Ingest Template'!C192,""))</f>
        <v/>
      </c>
      <c r="X192" s="25" t="str">
        <f>'Ingest Template'!AA191</f>
        <v/>
      </c>
      <c r="Y192" s="25"/>
      <c r="Z192" s="25"/>
      <c r="AA192" s="25"/>
      <c r="AB192" s="25" t="str">
        <f>'Ingest Template'!T191</f>
        <v/>
      </c>
      <c r="AC192" s="25"/>
      <c r="AD192" s="25" t="str">
        <f>'Ingest Template'!U191</f>
        <v/>
      </c>
      <c r="AE192" s="25" t="str">
        <f>'Ingest Template'!V191</f>
        <v/>
      </c>
      <c r="AF192" s="25"/>
      <c r="AG192" s="25" t="str">
        <f t="array" ref="AG192">IF('Ingest Template'!A191="Standard",(CONCATENATE(IF(ISBLANK('Ingest Template'!O191),"", 'Ingest Template'!O191&amp;"|DAR"),CHAR(10), IF(ISBLANK('Ingest Template'!P191),"", 'Ingest Template'!P191&amp;"|DAR"),CHAR(10), IF(ISBLANK('Ingest Template'!Q191),"", 'Ingest Template'!Q191&amp;"|DAR"))),(CONCATENATE(IF(ISBLANK('Ingest Template'!O191),"", 'Ingest Template'!O191&amp;"|Operations - Core Title"),CHAR(10), IF(ISBLANK('Ingest Template'!P191),"", 'Ingest Template'!P191&amp;"|Operations - Core Title"),CHAR(10), IF(ISBLANK('Ingest Template'!Q191),"", 'Ingest Template'!Q191&amp;"|Operations - Core Title"))))</f>
        <v>#|Operations - Core Title
#videoGame|Operations - Core Title
</v>
      </c>
      <c r="AH192" s="25"/>
      <c r="AI192" s="25"/>
      <c r="AJ192" s="50" t="str">
        <f>if('Ingest Template'!A191="Standard",'Ingest Template'!R191&amp; "|DAR|DAR|2021-01-01",'Ingest Template'!R191&amp; "|Operations - Core Title|Operations - Core Title")</f>
        <v>#N/A</v>
      </c>
      <c r="AK192" s="25"/>
      <c r="AL192" s="25" t="str">
        <f>if('Ingest Template'!A191="Standard",'Ingest Template'!S191&amp; "|2021-01-01",'Ingest Template'!S191)</f>
        <v>#N/A</v>
      </c>
      <c r="AM192" s="25"/>
    </row>
    <row r="193">
      <c r="A193" s="25"/>
      <c r="B193" s="25" t="str">
        <f>'Ingest Template'!C192&amp;IF('Ingest Template'!A192 = "Standard", " - DAR","")</f>
        <v/>
      </c>
      <c r="C193" s="34" t="s">
        <v>92</v>
      </c>
      <c r="D193" s="34" t="str">
        <f>CONCATENATE('Ingest Template'!E193&amp;Char(10)&amp;'Ingest Template'!G193&amp;Char(10)&amp;'Ingest Template'!H193&amp;Char(10)&amp;'Ingest Template'!I193&amp;Char(10)&amp;'Ingest Template'!J193&amp;Char(10)&amp;'Ingest Template'!K193&amp;Char(10)&amp;'Ingest Template'!L193)</f>
        <v>
</v>
      </c>
      <c r="E193" s="25" t="str">
        <f>('Ingest Template'!M193)</f>
        <v/>
      </c>
      <c r="F193" s="40" t="str">
        <f t="array" ref="F193">INDEX(DropDown!$J$2:$J$63,MATCH(1,COUNTIF(E193,DropDown!$I$2:$I$63),0))</f>
        <v>#N/A</v>
      </c>
      <c r="G193" s="25"/>
      <c r="H193" s="25"/>
      <c r="I193" s="25"/>
      <c r="J193" s="25" t="str">
        <f>'Ingest Template'!B193</f>
        <v/>
      </c>
      <c r="K193" s="25" t="str">
        <f>IF('Ingest Template'!A192="Standard",'Ingest Template'!N192,"Competitive View")</f>
        <v>Competitive View</v>
      </c>
      <c r="L193" s="41" t="s">
        <v>145</v>
      </c>
      <c r="M193" s="25" t="str">
        <f>'Ingest Template'!D192</f>
        <v/>
      </c>
      <c r="N193" s="25"/>
      <c r="O193" s="25"/>
      <c r="P193" s="25"/>
      <c r="Q193" s="25"/>
      <c r="R193" s="25" t="str">
        <f>CONCATENATE('Ingest Template'!F192)</f>
        <v/>
      </c>
      <c r="S193" s="43" t="s">
        <v>160</v>
      </c>
      <c r="T193" s="25" t="str">
        <f>'Ingest Template'!W192</f>
        <v/>
      </c>
      <c r="U193" s="25"/>
      <c r="V193" s="25" t="str">
        <f>LOWER(SUBSTITUTE(SUBSTITUTE(SUBSTITUTE(SUBSTITUTE(SUBSTITUTE('Ingest Template'!Y192,"https:",""),"www.",""),"/",""),"?hl=en",""),"instagram.com",""))</f>
        <v/>
      </c>
      <c r="W193" s="34" t="str">
        <f>(IFERROR(vlookup('Ingest Template'!F193,DropDown!D:E,2,false)&amp;'Ingest Template'!C193,""))</f>
        <v/>
      </c>
      <c r="X193" s="25" t="str">
        <f>'Ingest Template'!AA192</f>
        <v/>
      </c>
      <c r="Y193" s="25"/>
      <c r="Z193" s="25"/>
      <c r="AA193" s="25"/>
      <c r="AB193" s="25" t="str">
        <f>'Ingest Template'!T192</f>
        <v/>
      </c>
      <c r="AC193" s="25"/>
      <c r="AD193" s="25" t="str">
        <f>'Ingest Template'!U192</f>
        <v/>
      </c>
      <c r="AE193" s="25" t="str">
        <f>'Ingest Template'!V192</f>
        <v/>
      </c>
      <c r="AF193" s="25"/>
      <c r="AG193" s="25" t="str">
        <f t="array" ref="AG193">IF('Ingest Template'!A192="Standard",(CONCATENATE(IF(ISBLANK('Ingest Template'!O192),"", 'Ingest Template'!O192&amp;"|DAR"),CHAR(10), IF(ISBLANK('Ingest Template'!P192),"", 'Ingest Template'!P192&amp;"|DAR"),CHAR(10), IF(ISBLANK('Ingest Template'!Q192),"", 'Ingest Template'!Q192&amp;"|DAR"))),(CONCATENATE(IF(ISBLANK('Ingest Template'!O192),"", 'Ingest Template'!O192&amp;"|Operations - Core Title"),CHAR(10), IF(ISBLANK('Ingest Template'!P192),"", 'Ingest Template'!P192&amp;"|Operations - Core Title"),CHAR(10), IF(ISBLANK('Ingest Template'!Q192),"", 'Ingest Template'!Q192&amp;"|Operations - Core Title"))))</f>
        <v>#|Operations - Core Title
#videoGame|Operations - Core Title
</v>
      </c>
      <c r="AH193" s="25"/>
      <c r="AI193" s="25"/>
      <c r="AJ193" s="50" t="str">
        <f>if('Ingest Template'!A192="Standard",'Ingest Template'!R192&amp; "|DAR|DAR|2021-01-01",'Ingest Template'!R192&amp; "|Operations - Core Title|Operations - Core Title")</f>
        <v>#N/A</v>
      </c>
      <c r="AK193" s="25"/>
      <c r="AL193" s="25" t="str">
        <f>if('Ingest Template'!A192="Standard",'Ingest Template'!S192&amp; "|2021-01-01",'Ingest Template'!S192)</f>
        <v>#N/A</v>
      </c>
      <c r="AM193" s="25"/>
    </row>
    <row r="194">
      <c r="A194" s="25"/>
      <c r="B194" s="25" t="str">
        <f>'Ingest Template'!C193&amp;IF('Ingest Template'!A193 = "Standard", " - DAR","")</f>
        <v/>
      </c>
      <c r="C194" s="34" t="s">
        <v>92</v>
      </c>
      <c r="D194" s="34" t="str">
        <f>CONCATENATE('Ingest Template'!E194&amp;Char(10)&amp;'Ingest Template'!G194&amp;Char(10)&amp;'Ingest Template'!H194&amp;Char(10)&amp;'Ingest Template'!I194&amp;Char(10)&amp;'Ingest Template'!J194&amp;Char(10)&amp;'Ingest Template'!K194&amp;Char(10)&amp;'Ingest Template'!L194)</f>
        <v>
</v>
      </c>
      <c r="E194" s="25" t="str">
        <f>('Ingest Template'!M194)</f>
        <v/>
      </c>
      <c r="F194" s="40" t="str">
        <f t="array" ref="F194">INDEX(DropDown!$J$2:$J$63,MATCH(1,COUNTIF(E194,DropDown!$I$2:$I$63),0))</f>
        <v>#N/A</v>
      </c>
      <c r="G194" s="25"/>
      <c r="H194" s="25"/>
      <c r="I194" s="25"/>
      <c r="J194" s="25" t="str">
        <f>'Ingest Template'!B194</f>
        <v/>
      </c>
      <c r="K194" s="25" t="str">
        <f>IF('Ingest Template'!A193="Standard",'Ingest Template'!N193,"Competitive View")</f>
        <v>Competitive View</v>
      </c>
      <c r="L194" s="41" t="s">
        <v>145</v>
      </c>
      <c r="M194" s="25" t="str">
        <f>'Ingest Template'!D193</f>
        <v/>
      </c>
      <c r="N194" s="25"/>
      <c r="O194" s="25"/>
      <c r="P194" s="25"/>
      <c r="Q194" s="25"/>
      <c r="R194" s="25" t="str">
        <f>CONCATENATE('Ingest Template'!F193)</f>
        <v/>
      </c>
      <c r="S194" s="43" t="s">
        <v>160</v>
      </c>
      <c r="T194" s="25" t="str">
        <f>'Ingest Template'!W193</f>
        <v/>
      </c>
      <c r="U194" s="25"/>
      <c r="V194" s="25" t="str">
        <f>LOWER(SUBSTITUTE(SUBSTITUTE(SUBSTITUTE(SUBSTITUTE(SUBSTITUTE('Ingest Template'!Y193,"https:",""),"www.",""),"/",""),"?hl=en",""),"instagram.com",""))</f>
        <v/>
      </c>
      <c r="W194" s="34" t="str">
        <f>(IFERROR(vlookup('Ingest Template'!F194,DropDown!D:E,2,false)&amp;'Ingest Template'!C194,""))</f>
        <v/>
      </c>
      <c r="X194" s="25" t="str">
        <f>'Ingest Template'!AA193</f>
        <v/>
      </c>
      <c r="Y194" s="25"/>
      <c r="Z194" s="25"/>
      <c r="AA194" s="25"/>
      <c r="AB194" s="25" t="str">
        <f>'Ingest Template'!T193</f>
        <v/>
      </c>
      <c r="AC194" s="25"/>
      <c r="AD194" s="25" t="str">
        <f>'Ingest Template'!U193</f>
        <v/>
      </c>
      <c r="AE194" s="25" t="str">
        <f>'Ingest Template'!V193</f>
        <v/>
      </c>
      <c r="AF194" s="25"/>
      <c r="AG194" s="25" t="str">
        <f t="array" ref="AG194">IF('Ingest Template'!A193="Standard",(CONCATENATE(IF(ISBLANK('Ingest Template'!O193),"", 'Ingest Template'!O193&amp;"|DAR"),CHAR(10), IF(ISBLANK('Ingest Template'!P193),"", 'Ingest Template'!P193&amp;"|DAR"),CHAR(10), IF(ISBLANK('Ingest Template'!Q193),"", 'Ingest Template'!Q193&amp;"|DAR"))),(CONCATENATE(IF(ISBLANK('Ingest Template'!O193),"", 'Ingest Template'!O193&amp;"|Operations - Core Title"),CHAR(10), IF(ISBLANK('Ingest Template'!P193),"", 'Ingest Template'!P193&amp;"|Operations - Core Title"),CHAR(10), IF(ISBLANK('Ingest Template'!Q193),"", 'Ingest Template'!Q193&amp;"|Operations - Core Title"))))</f>
        <v>#|Operations - Core Title
#videoGame|Operations - Core Title
</v>
      </c>
      <c r="AH194" s="25"/>
      <c r="AI194" s="25"/>
      <c r="AJ194" s="50" t="str">
        <f>if('Ingest Template'!A193="Standard",'Ingest Template'!R193&amp; "|DAR|DAR|2021-01-01",'Ingest Template'!R193&amp; "|Operations - Core Title|Operations - Core Title")</f>
        <v>#N/A</v>
      </c>
      <c r="AK194" s="25"/>
      <c r="AL194" s="25" t="str">
        <f>if('Ingest Template'!A193="Standard",'Ingest Template'!S193&amp; "|2021-01-01",'Ingest Template'!S193)</f>
        <v>#N/A</v>
      </c>
      <c r="AM194" s="25"/>
    </row>
    <row r="195">
      <c r="A195" s="25"/>
      <c r="B195" s="25" t="str">
        <f>'Ingest Template'!C194&amp;IF('Ingest Template'!A194 = "Standard", " - DAR","")</f>
        <v/>
      </c>
      <c r="C195" s="34" t="s">
        <v>92</v>
      </c>
      <c r="D195" s="34" t="str">
        <f>CONCATENATE('Ingest Template'!E195&amp;Char(10)&amp;'Ingest Template'!G195&amp;Char(10)&amp;'Ingest Template'!H195&amp;Char(10)&amp;'Ingest Template'!I195&amp;Char(10)&amp;'Ingest Template'!J195&amp;Char(10)&amp;'Ingest Template'!K195&amp;Char(10)&amp;'Ingest Template'!L195)</f>
        <v>
</v>
      </c>
      <c r="E195" s="25" t="str">
        <f>('Ingest Template'!M195)</f>
        <v/>
      </c>
      <c r="F195" s="40" t="str">
        <f t="array" ref="F195">INDEX(DropDown!$J$2:$J$63,MATCH(1,COUNTIF(E195,DropDown!$I$2:$I$63),0))</f>
        <v>#N/A</v>
      </c>
      <c r="G195" s="25"/>
      <c r="H195" s="25"/>
      <c r="I195" s="25"/>
      <c r="J195" s="25" t="str">
        <f>'Ingest Template'!B195</f>
        <v/>
      </c>
      <c r="K195" s="25" t="str">
        <f>IF('Ingest Template'!A194="Standard",'Ingest Template'!N194,"Competitive View")</f>
        <v>Competitive View</v>
      </c>
      <c r="L195" s="41" t="s">
        <v>145</v>
      </c>
      <c r="M195" s="25" t="str">
        <f>'Ingest Template'!D194</f>
        <v/>
      </c>
      <c r="N195" s="25"/>
      <c r="O195" s="25"/>
      <c r="P195" s="25"/>
      <c r="Q195" s="25"/>
      <c r="R195" s="25" t="str">
        <f>CONCATENATE('Ingest Template'!F194)</f>
        <v/>
      </c>
      <c r="S195" s="43" t="s">
        <v>160</v>
      </c>
      <c r="T195" s="25" t="str">
        <f>'Ingest Template'!W194</f>
        <v/>
      </c>
      <c r="U195" s="25"/>
      <c r="V195" s="25" t="str">
        <f>LOWER(SUBSTITUTE(SUBSTITUTE(SUBSTITUTE(SUBSTITUTE(SUBSTITUTE('Ingest Template'!Y194,"https:",""),"www.",""),"/",""),"?hl=en",""),"instagram.com",""))</f>
        <v/>
      </c>
      <c r="W195" s="34" t="str">
        <f>(IFERROR(vlookup('Ingest Template'!F195,DropDown!D:E,2,false)&amp;'Ingest Template'!C195,""))</f>
        <v/>
      </c>
      <c r="X195" s="25" t="str">
        <f>'Ingest Template'!AA194</f>
        <v/>
      </c>
      <c r="Y195" s="25"/>
      <c r="Z195" s="25"/>
      <c r="AA195" s="25"/>
      <c r="AB195" s="25" t="str">
        <f>'Ingest Template'!T194</f>
        <v/>
      </c>
      <c r="AC195" s="25"/>
      <c r="AD195" s="25" t="str">
        <f>'Ingest Template'!U194</f>
        <v/>
      </c>
      <c r="AE195" s="25" t="str">
        <f>'Ingest Template'!V194</f>
        <v/>
      </c>
      <c r="AF195" s="25"/>
      <c r="AG195" s="25" t="str">
        <f t="array" ref="AG195">IF('Ingest Template'!A194="Standard",(CONCATENATE(IF(ISBLANK('Ingest Template'!O194),"", 'Ingest Template'!O194&amp;"|DAR"),CHAR(10), IF(ISBLANK('Ingest Template'!P194),"", 'Ingest Template'!P194&amp;"|DAR"),CHAR(10), IF(ISBLANK('Ingest Template'!Q194),"", 'Ingest Template'!Q194&amp;"|DAR"))),(CONCATENATE(IF(ISBLANK('Ingest Template'!O194),"", 'Ingest Template'!O194&amp;"|Operations - Core Title"),CHAR(10), IF(ISBLANK('Ingest Template'!P194),"", 'Ingest Template'!P194&amp;"|Operations - Core Title"),CHAR(10), IF(ISBLANK('Ingest Template'!Q194),"", 'Ingest Template'!Q194&amp;"|Operations - Core Title"))))</f>
        <v>#|Operations - Core Title
#videoGame|Operations - Core Title
</v>
      </c>
      <c r="AH195" s="25"/>
      <c r="AI195" s="25"/>
      <c r="AJ195" s="50" t="str">
        <f>if('Ingest Template'!A194="Standard",'Ingest Template'!R194&amp; "|DAR|DAR|2021-01-01",'Ingest Template'!R194&amp; "|Operations - Core Title|Operations - Core Title")</f>
        <v>#N/A</v>
      </c>
      <c r="AK195" s="25"/>
      <c r="AL195" s="25" t="str">
        <f>if('Ingest Template'!A194="Standard",'Ingest Template'!S194&amp; "|2021-01-01",'Ingest Template'!S194)</f>
        <v>#N/A</v>
      </c>
      <c r="AM195" s="25"/>
    </row>
    <row r="196">
      <c r="A196" s="25"/>
      <c r="B196" s="25" t="str">
        <f>'Ingest Template'!C195&amp;IF('Ingest Template'!A195 = "Standard", " - DAR","")</f>
        <v/>
      </c>
      <c r="C196" s="34" t="s">
        <v>92</v>
      </c>
      <c r="D196" s="34" t="str">
        <f>CONCATENATE('Ingest Template'!E196&amp;Char(10)&amp;'Ingest Template'!G196&amp;Char(10)&amp;'Ingest Template'!H196&amp;Char(10)&amp;'Ingest Template'!I196&amp;Char(10)&amp;'Ingest Template'!J196&amp;Char(10)&amp;'Ingest Template'!K196&amp;Char(10)&amp;'Ingest Template'!L196)</f>
        <v>
</v>
      </c>
      <c r="E196" s="25" t="str">
        <f>('Ingest Template'!M196)</f>
        <v/>
      </c>
      <c r="F196" s="40" t="str">
        <f t="array" ref="F196">INDEX(DropDown!$J$2:$J$63,MATCH(1,COUNTIF(E196,DropDown!$I$2:$I$63),0))</f>
        <v>#N/A</v>
      </c>
      <c r="G196" s="25"/>
      <c r="H196" s="25"/>
      <c r="I196" s="25"/>
      <c r="J196" s="25" t="str">
        <f>'Ingest Template'!B196</f>
        <v/>
      </c>
      <c r="K196" s="25" t="str">
        <f>IF('Ingest Template'!A195="Standard",'Ingest Template'!N195,"Competitive View")</f>
        <v>Competitive View</v>
      </c>
      <c r="L196" s="41" t="s">
        <v>145</v>
      </c>
      <c r="M196" s="25" t="str">
        <f>'Ingest Template'!D195</f>
        <v/>
      </c>
      <c r="N196" s="25"/>
      <c r="O196" s="25"/>
      <c r="P196" s="25"/>
      <c r="Q196" s="25"/>
      <c r="R196" s="25" t="str">
        <f>CONCATENATE('Ingest Template'!F195)</f>
        <v/>
      </c>
      <c r="S196" s="43" t="s">
        <v>160</v>
      </c>
      <c r="T196" s="25" t="str">
        <f>'Ingest Template'!W195</f>
        <v/>
      </c>
      <c r="U196" s="25"/>
      <c r="V196" s="25" t="str">
        <f>LOWER(SUBSTITUTE(SUBSTITUTE(SUBSTITUTE(SUBSTITUTE(SUBSTITUTE('Ingest Template'!Y195,"https:",""),"www.",""),"/",""),"?hl=en",""),"instagram.com",""))</f>
        <v/>
      </c>
      <c r="W196" s="34" t="str">
        <f>(IFERROR(vlookup('Ingest Template'!F196,DropDown!D:E,2,false)&amp;'Ingest Template'!C196,""))</f>
        <v/>
      </c>
      <c r="X196" s="25" t="str">
        <f>'Ingest Template'!AA195</f>
        <v/>
      </c>
      <c r="Y196" s="25"/>
      <c r="Z196" s="25"/>
      <c r="AA196" s="25"/>
      <c r="AB196" s="25" t="str">
        <f>'Ingest Template'!T195</f>
        <v/>
      </c>
      <c r="AC196" s="25"/>
      <c r="AD196" s="25" t="str">
        <f>'Ingest Template'!U195</f>
        <v/>
      </c>
      <c r="AE196" s="25" t="str">
        <f>'Ingest Template'!V195</f>
        <v/>
      </c>
      <c r="AF196" s="25"/>
      <c r="AG196" s="25" t="str">
        <f t="array" ref="AG196">IF('Ingest Template'!A195="Standard",(CONCATENATE(IF(ISBLANK('Ingest Template'!O195),"", 'Ingest Template'!O195&amp;"|DAR"),CHAR(10), IF(ISBLANK('Ingest Template'!P195),"", 'Ingest Template'!P195&amp;"|DAR"),CHAR(10), IF(ISBLANK('Ingest Template'!Q195),"", 'Ingest Template'!Q195&amp;"|DAR"))),(CONCATENATE(IF(ISBLANK('Ingest Template'!O195),"", 'Ingest Template'!O195&amp;"|Operations - Core Title"),CHAR(10), IF(ISBLANK('Ingest Template'!P195),"", 'Ingest Template'!P195&amp;"|Operations - Core Title"),CHAR(10), IF(ISBLANK('Ingest Template'!Q195),"", 'Ingest Template'!Q195&amp;"|Operations - Core Title"))))</f>
        <v>#|Operations - Core Title
#videoGame|Operations - Core Title
</v>
      </c>
      <c r="AH196" s="25"/>
      <c r="AI196" s="25"/>
      <c r="AJ196" s="50" t="str">
        <f>if('Ingest Template'!A195="Standard",'Ingest Template'!R195&amp; "|DAR|DAR|2021-01-01",'Ingest Template'!R195&amp; "|Operations - Core Title|Operations - Core Title")</f>
        <v>#N/A</v>
      </c>
      <c r="AK196" s="25"/>
      <c r="AL196" s="25" t="str">
        <f>if('Ingest Template'!A195="Standard",'Ingest Template'!S195&amp; "|2021-01-01",'Ingest Template'!S195)</f>
        <v>#N/A</v>
      </c>
      <c r="AM196" s="25"/>
    </row>
    <row r="197">
      <c r="A197" s="25"/>
      <c r="B197" s="25" t="str">
        <f>'Ingest Template'!C196&amp;IF('Ingest Template'!A196 = "Standard", " - DAR","")</f>
        <v/>
      </c>
      <c r="C197" s="34" t="s">
        <v>92</v>
      </c>
      <c r="D197" s="34" t="str">
        <f>CONCATENATE('Ingest Template'!E197&amp;Char(10)&amp;'Ingest Template'!G197&amp;Char(10)&amp;'Ingest Template'!H197&amp;Char(10)&amp;'Ingest Template'!I197&amp;Char(10)&amp;'Ingest Template'!J197&amp;Char(10)&amp;'Ingest Template'!K197&amp;Char(10)&amp;'Ingest Template'!L197)</f>
        <v>
</v>
      </c>
      <c r="E197" s="25" t="str">
        <f>('Ingest Template'!M197)</f>
        <v/>
      </c>
      <c r="F197" s="40" t="str">
        <f t="array" ref="F197">INDEX(DropDown!$J$2:$J$63,MATCH(1,COUNTIF(E197,DropDown!$I$2:$I$63),0))</f>
        <v>#N/A</v>
      </c>
      <c r="G197" s="25"/>
      <c r="H197" s="25"/>
      <c r="I197" s="25"/>
      <c r="J197" s="25" t="str">
        <f>'Ingest Template'!B197</f>
        <v/>
      </c>
      <c r="K197" s="25" t="str">
        <f>IF('Ingest Template'!A196="Standard",'Ingest Template'!N196,"Competitive View")</f>
        <v>Competitive View</v>
      </c>
      <c r="L197" s="41" t="s">
        <v>145</v>
      </c>
      <c r="M197" s="25" t="str">
        <f>'Ingest Template'!D196</f>
        <v/>
      </c>
      <c r="N197" s="25"/>
      <c r="O197" s="25"/>
      <c r="P197" s="25"/>
      <c r="Q197" s="25"/>
      <c r="R197" s="25" t="str">
        <f>CONCATENATE('Ingest Template'!F196)</f>
        <v/>
      </c>
      <c r="S197" s="43" t="s">
        <v>160</v>
      </c>
      <c r="T197" s="25" t="str">
        <f>'Ingest Template'!W196</f>
        <v/>
      </c>
      <c r="U197" s="25"/>
      <c r="V197" s="25" t="str">
        <f>LOWER(SUBSTITUTE(SUBSTITUTE(SUBSTITUTE(SUBSTITUTE(SUBSTITUTE('Ingest Template'!Y196,"https:",""),"www.",""),"/",""),"?hl=en",""),"instagram.com",""))</f>
        <v/>
      </c>
      <c r="W197" s="34" t="str">
        <f>(IFERROR(vlookup('Ingest Template'!F197,DropDown!D:E,2,false)&amp;'Ingest Template'!C197,""))</f>
        <v/>
      </c>
      <c r="X197" s="25" t="str">
        <f>'Ingest Template'!AA196</f>
        <v/>
      </c>
      <c r="Y197" s="25"/>
      <c r="Z197" s="25"/>
      <c r="AA197" s="25"/>
      <c r="AB197" s="25" t="str">
        <f>'Ingest Template'!T196</f>
        <v/>
      </c>
      <c r="AC197" s="25"/>
      <c r="AD197" s="25" t="str">
        <f>'Ingest Template'!U196</f>
        <v/>
      </c>
      <c r="AE197" s="25" t="str">
        <f>'Ingest Template'!V196</f>
        <v/>
      </c>
      <c r="AF197" s="25"/>
      <c r="AG197" s="25" t="str">
        <f t="array" ref="AG197">IF('Ingest Template'!A196="Standard",(CONCATENATE(IF(ISBLANK('Ingest Template'!O196),"", 'Ingest Template'!O196&amp;"|DAR"),CHAR(10), IF(ISBLANK('Ingest Template'!P196),"", 'Ingest Template'!P196&amp;"|DAR"),CHAR(10), IF(ISBLANK('Ingest Template'!Q196),"", 'Ingest Template'!Q196&amp;"|DAR"))),(CONCATENATE(IF(ISBLANK('Ingest Template'!O196),"", 'Ingest Template'!O196&amp;"|Operations - Core Title"),CHAR(10), IF(ISBLANK('Ingest Template'!P196),"", 'Ingest Template'!P196&amp;"|Operations - Core Title"),CHAR(10), IF(ISBLANK('Ingest Template'!Q196),"", 'Ingest Template'!Q196&amp;"|Operations - Core Title"))))</f>
        <v>#|Operations - Core Title
#videoGame|Operations - Core Title
</v>
      </c>
      <c r="AH197" s="25"/>
      <c r="AI197" s="25"/>
      <c r="AJ197" s="50" t="str">
        <f>if('Ingest Template'!A196="Standard",'Ingest Template'!R196&amp; "|DAR|DAR|2021-01-01",'Ingest Template'!R196&amp; "|Operations - Core Title|Operations - Core Title")</f>
        <v>#N/A</v>
      </c>
      <c r="AK197" s="25"/>
      <c r="AL197" s="25" t="str">
        <f>if('Ingest Template'!A196="Standard",'Ingest Template'!S196&amp; "|2021-01-01",'Ingest Template'!S196)</f>
        <v>#N/A</v>
      </c>
      <c r="AM197" s="25"/>
    </row>
    <row r="198">
      <c r="A198" s="25"/>
      <c r="B198" s="25" t="str">
        <f>'Ingest Template'!C197&amp;IF('Ingest Template'!A197 = "Standard", " - DAR","")</f>
        <v/>
      </c>
      <c r="C198" s="34" t="s">
        <v>92</v>
      </c>
      <c r="D198" s="34" t="str">
        <f>CONCATENATE('Ingest Template'!E198&amp;Char(10)&amp;'Ingest Template'!G198&amp;Char(10)&amp;'Ingest Template'!H198&amp;Char(10)&amp;'Ingest Template'!I198&amp;Char(10)&amp;'Ingest Template'!J198&amp;Char(10)&amp;'Ingest Template'!K198&amp;Char(10)&amp;'Ingest Template'!L198)</f>
        <v>
</v>
      </c>
      <c r="E198" s="25" t="str">
        <f>('Ingest Template'!M198)</f>
        <v/>
      </c>
      <c r="F198" s="40" t="str">
        <f t="array" ref="F198">INDEX(DropDown!$J$2:$J$63,MATCH(1,COUNTIF(E198,DropDown!$I$2:$I$63),0))</f>
        <v>#N/A</v>
      </c>
      <c r="G198" s="25"/>
      <c r="H198" s="25"/>
      <c r="I198" s="25"/>
      <c r="J198" s="25" t="str">
        <f>'Ingest Template'!B198</f>
        <v/>
      </c>
      <c r="K198" s="25" t="str">
        <f>IF('Ingest Template'!A197="Standard",'Ingest Template'!N197,"Competitive View")</f>
        <v>Competitive View</v>
      </c>
      <c r="L198" s="41" t="s">
        <v>145</v>
      </c>
      <c r="M198" s="25" t="str">
        <f>'Ingest Template'!D197</f>
        <v/>
      </c>
      <c r="N198" s="25"/>
      <c r="O198" s="25"/>
      <c r="P198" s="25"/>
      <c r="Q198" s="25"/>
      <c r="R198" s="25" t="str">
        <f>CONCATENATE('Ingest Template'!F197)</f>
        <v/>
      </c>
      <c r="S198" s="43" t="s">
        <v>160</v>
      </c>
      <c r="T198" s="25" t="str">
        <f>'Ingest Template'!W197</f>
        <v/>
      </c>
      <c r="U198" s="25"/>
      <c r="V198" s="25" t="str">
        <f>LOWER(SUBSTITUTE(SUBSTITUTE(SUBSTITUTE(SUBSTITUTE(SUBSTITUTE('Ingest Template'!Y197,"https:",""),"www.",""),"/",""),"?hl=en",""),"instagram.com",""))</f>
        <v/>
      </c>
      <c r="W198" s="34" t="str">
        <f>(IFERROR(vlookup('Ingest Template'!F198,DropDown!D:E,2,false)&amp;'Ingest Template'!C198,""))</f>
        <v/>
      </c>
      <c r="X198" s="25" t="str">
        <f>'Ingest Template'!AA197</f>
        <v/>
      </c>
      <c r="Y198" s="25"/>
      <c r="Z198" s="25"/>
      <c r="AA198" s="25"/>
      <c r="AB198" s="25" t="str">
        <f>'Ingest Template'!T197</f>
        <v/>
      </c>
      <c r="AC198" s="25"/>
      <c r="AD198" s="25" t="str">
        <f>'Ingest Template'!U197</f>
        <v/>
      </c>
      <c r="AE198" s="25" t="str">
        <f>'Ingest Template'!V197</f>
        <v/>
      </c>
      <c r="AF198" s="25"/>
      <c r="AG198" s="25" t="str">
        <f t="array" ref="AG198">IF('Ingest Template'!A197="Standard",(CONCATENATE(IF(ISBLANK('Ingest Template'!O197),"", 'Ingest Template'!O197&amp;"|DAR"),CHAR(10), IF(ISBLANK('Ingest Template'!P197),"", 'Ingest Template'!P197&amp;"|DAR"),CHAR(10), IF(ISBLANK('Ingest Template'!Q197),"", 'Ingest Template'!Q197&amp;"|DAR"))),(CONCATENATE(IF(ISBLANK('Ingest Template'!O197),"", 'Ingest Template'!O197&amp;"|Operations - Core Title"),CHAR(10), IF(ISBLANK('Ingest Template'!P197),"", 'Ingest Template'!P197&amp;"|Operations - Core Title"),CHAR(10), IF(ISBLANK('Ingest Template'!Q197),"", 'Ingest Template'!Q197&amp;"|Operations - Core Title"))))</f>
        <v>#|Operations - Core Title
#videoGame|Operations - Core Title
</v>
      </c>
      <c r="AH198" s="25"/>
      <c r="AI198" s="25"/>
      <c r="AJ198" s="50" t="str">
        <f>if('Ingest Template'!A197="Standard",'Ingest Template'!R197&amp; "|DAR|DAR|2021-01-01",'Ingest Template'!R197&amp; "|Operations - Core Title|Operations - Core Title")</f>
        <v>#N/A</v>
      </c>
      <c r="AK198" s="25"/>
      <c r="AL198" s="25" t="str">
        <f>if('Ingest Template'!A197="Standard",'Ingest Template'!S197&amp; "|2021-01-01",'Ingest Template'!S197)</f>
        <v>#N/A</v>
      </c>
      <c r="AM198" s="25"/>
    </row>
    <row r="199">
      <c r="A199" s="25"/>
      <c r="B199" s="25" t="str">
        <f>'Ingest Template'!C198&amp;IF('Ingest Template'!A198 = "Standard", " - DAR","")</f>
        <v/>
      </c>
      <c r="C199" s="34" t="s">
        <v>92</v>
      </c>
      <c r="D199" s="34" t="str">
        <f>CONCATENATE('Ingest Template'!E199&amp;Char(10)&amp;'Ingest Template'!G199&amp;Char(10)&amp;'Ingest Template'!H199&amp;Char(10)&amp;'Ingest Template'!I199&amp;Char(10)&amp;'Ingest Template'!J199&amp;Char(10)&amp;'Ingest Template'!K199&amp;Char(10)&amp;'Ingest Template'!L199)</f>
        <v>
</v>
      </c>
      <c r="E199" s="25" t="str">
        <f>('Ingest Template'!M199)</f>
        <v/>
      </c>
      <c r="F199" s="40" t="str">
        <f t="array" ref="F199">INDEX(DropDown!$J$2:$J$63,MATCH(1,COUNTIF(E199,DropDown!$I$2:$I$63),0))</f>
        <v>#N/A</v>
      </c>
      <c r="G199" s="25"/>
      <c r="H199" s="25"/>
      <c r="I199" s="25"/>
      <c r="J199" s="25" t="str">
        <f>'Ingest Template'!B199</f>
        <v/>
      </c>
      <c r="K199" s="25" t="str">
        <f>IF('Ingest Template'!A198="Standard",'Ingest Template'!N198,"Competitive View")</f>
        <v>Competitive View</v>
      </c>
      <c r="L199" s="41" t="s">
        <v>145</v>
      </c>
      <c r="M199" s="25" t="str">
        <f>'Ingest Template'!D198</f>
        <v/>
      </c>
      <c r="N199" s="25"/>
      <c r="O199" s="25"/>
      <c r="P199" s="25"/>
      <c r="Q199" s="25"/>
      <c r="R199" s="25" t="str">
        <f>CONCATENATE('Ingest Template'!F198)</f>
        <v/>
      </c>
      <c r="S199" s="43" t="s">
        <v>160</v>
      </c>
      <c r="T199" s="25" t="str">
        <f>'Ingest Template'!W198</f>
        <v/>
      </c>
      <c r="U199" s="25"/>
      <c r="V199" s="25" t="str">
        <f>LOWER(SUBSTITUTE(SUBSTITUTE(SUBSTITUTE(SUBSTITUTE(SUBSTITUTE('Ingest Template'!Y198,"https:",""),"www.",""),"/",""),"?hl=en",""),"instagram.com",""))</f>
        <v/>
      </c>
      <c r="W199" s="34" t="str">
        <f>(IFERROR(vlookup('Ingest Template'!F199,DropDown!D:E,2,false)&amp;'Ingest Template'!C199,""))</f>
        <v/>
      </c>
      <c r="X199" s="25" t="str">
        <f>'Ingest Template'!AA198</f>
        <v/>
      </c>
      <c r="Y199" s="25"/>
      <c r="Z199" s="25"/>
      <c r="AA199" s="25"/>
      <c r="AB199" s="25" t="str">
        <f>'Ingest Template'!T198</f>
        <v/>
      </c>
      <c r="AC199" s="25"/>
      <c r="AD199" s="25" t="str">
        <f>'Ingest Template'!U198</f>
        <v/>
      </c>
      <c r="AE199" s="25" t="str">
        <f>'Ingest Template'!V198</f>
        <v/>
      </c>
      <c r="AF199" s="25"/>
      <c r="AG199" s="25" t="str">
        <f t="array" ref="AG199">IF('Ingest Template'!A198="Standard",(CONCATENATE(IF(ISBLANK('Ingest Template'!O198),"", 'Ingest Template'!O198&amp;"|DAR"),CHAR(10), IF(ISBLANK('Ingest Template'!P198),"", 'Ingest Template'!P198&amp;"|DAR"),CHAR(10), IF(ISBLANK('Ingest Template'!Q198),"", 'Ingest Template'!Q198&amp;"|DAR"))),(CONCATENATE(IF(ISBLANK('Ingest Template'!O198),"", 'Ingest Template'!O198&amp;"|Operations - Core Title"),CHAR(10), IF(ISBLANK('Ingest Template'!P198),"", 'Ingest Template'!P198&amp;"|Operations - Core Title"),CHAR(10), IF(ISBLANK('Ingest Template'!Q198),"", 'Ingest Template'!Q198&amp;"|Operations - Core Title"))))</f>
        <v>#|Operations - Core Title
#videoGame|Operations - Core Title
</v>
      </c>
      <c r="AH199" s="25"/>
      <c r="AI199" s="25"/>
      <c r="AJ199" s="50" t="str">
        <f>if('Ingest Template'!A198="Standard",'Ingest Template'!R198&amp; "|DAR|DAR|2021-01-01",'Ingest Template'!R198&amp; "|Operations - Core Title|Operations - Core Title")</f>
        <v>#N/A</v>
      </c>
      <c r="AK199" s="25"/>
      <c r="AL199" s="25" t="str">
        <f>if('Ingest Template'!A198="Standard",'Ingest Template'!S198&amp; "|2021-01-01",'Ingest Template'!S198)</f>
        <v>#N/A</v>
      </c>
      <c r="AM199" s="25"/>
    </row>
    <row r="200">
      <c r="A200" s="25"/>
      <c r="B200" s="25" t="str">
        <f>'Ingest Template'!C199&amp;IF('Ingest Template'!A199 = "Standard", " - DAR","")</f>
        <v/>
      </c>
      <c r="C200" s="34" t="s">
        <v>92</v>
      </c>
      <c r="D200" s="34" t="str">
        <f>CONCATENATE('Ingest Template'!E200&amp;Char(10)&amp;'Ingest Template'!G200&amp;Char(10)&amp;'Ingest Template'!H200&amp;Char(10)&amp;'Ingest Template'!I200&amp;Char(10)&amp;'Ingest Template'!J200&amp;Char(10)&amp;'Ingest Template'!K200&amp;Char(10)&amp;'Ingest Template'!L200)</f>
        <v>
</v>
      </c>
      <c r="E200" s="25" t="str">
        <f>('Ingest Template'!M200)</f>
        <v/>
      </c>
      <c r="F200" s="40" t="str">
        <f t="array" ref="F200">INDEX(DropDown!$J$2:$J$63,MATCH(1,COUNTIF(E200,DropDown!$I$2:$I$63),0))</f>
        <v>#N/A</v>
      </c>
      <c r="G200" s="25"/>
      <c r="H200" s="25"/>
      <c r="I200" s="25"/>
      <c r="J200" s="25" t="str">
        <f>'Ingest Template'!B200</f>
        <v/>
      </c>
      <c r="K200" s="25" t="str">
        <f>IF('Ingest Template'!A199="Standard",'Ingest Template'!N199,"Competitive View")</f>
        <v>Competitive View</v>
      </c>
      <c r="L200" s="41" t="s">
        <v>145</v>
      </c>
      <c r="M200" s="25" t="str">
        <f>'Ingest Template'!D199</f>
        <v/>
      </c>
      <c r="N200" s="25"/>
      <c r="O200" s="25"/>
      <c r="P200" s="25"/>
      <c r="Q200" s="25"/>
      <c r="R200" s="25" t="str">
        <f>CONCATENATE('Ingest Template'!F199)</f>
        <v/>
      </c>
      <c r="S200" s="43" t="s">
        <v>160</v>
      </c>
      <c r="T200" s="25" t="str">
        <f>'Ingest Template'!W199</f>
        <v/>
      </c>
      <c r="U200" s="25"/>
      <c r="V200" s="25" t="str">
        <f>LOWER(SUBSTITUTE(SUBSTITUTE(SUBSTITUTE(SUBSTITUTE(SUBSTITUTE('Ingest Template'!Y199,"https:",""),"www.",""),"/",""),"?hl=en",""),"instagram.com",""))</f>
        <v/>
      </c>
      <c r="W200" s="34" t="str">
        <f>(IFERROR(vlookup('Ingest Template'!F200,DropDown!D:E,2,false)&amp;'Ingest Template'!C200,""))</f>
        <v/>
      </c>
      <c r="X200" s="25" t="str">
        <f>'Ingest Template'!AA199</f>
        <v/>
      </c>
      <c r="Y200" s="25"/>
      <c r="Z200" s="25"/>
      <c r="AA200" s="25"/>
      <c r="AB200" s="25" t="str">
        <f>'Ingest Template'!T199</f>
        <v/>
      </c>
      <c r="AC200" s="25"/>
      <c r="AD200" s="25" t="str">
        <f>'Ingest Template'!U199</f>
        <v/>
      </c>
      <c r="AE200" s="25" t="str">
        <f>'Ingest Template'!V199</f>
        <v/>
      </c>
      <c r="AF200" s="25"/>
      <c r="AG200" s="25" t="str">
        <f t="array" ref="AG200">IF('Ingest Template'!A199="Standard",(CONCATENATE(IF(ISBLANK('Ingest Template'!O199),"", 'Ingest Template'!O199&amp;"|DAR"),CHAR(10), IF(ISBLANK('Ingest Template'!P199),"", 'Ingest Template'!P199&amp;"|DAR"),CHAR(10), IF(ISBLANK('Ingest Template'!Q199),"", 'Ingest Template'!Q199&amp;"|DAR"))),(CONCATENATE(IF(ISBLANK('Ingest Template'!O199),"", 'Ingest Template'!O199&amp;"|Operations - Core Title"),CHAR(10), IF(ISBLANK('Ingest Template'!P199),"", 'Ingest Template'!P199&amp;"|Operations - Core Title"),CHAR(10), IF(ISBLANK('Ingest Template'!Q199),"", 'Ingest Template'!Q199&amp;"|Operations - Core Title"))))</f>
        <v>#|Operations - Core Title
#videoGame|Operations - Core Title
</v>
      </c>
      <c r="AH200" s="25"/>
      <c r="AI200" s="25"/>
      <c r="AJ200" s="50" t="str">
        <f>if('Ingest Template'!A199="Standard",'Ingest Template'!R199&amp; "|DAR|DAR|2021-01-01",'Ingest Template'!R199&amp; "|Operations - Core Title|Operations - Core Title")</f>
        <v>#N/A</v>
      </c>
      <c r="AK200" s="25"/>
      <c r="AL200" s="25" t="str">
        <f>if('Ingest Template'!A199="Standard",'Ingest Template'!S199&amp; "|2021-01-01",'Ingest Template'!S199)</f>
        <v>#N/A</v>
      </c>
      <c r="AM200" s="25"/>
    </row>
    <row r="201">
      <c r="A201" s="25"/>
      <c r="B201" s="25" t="str">
        <f>'Ingest Template'!C200&amp;IF('Ingest Template'!A200 = "Standard", " - DAR","")</f>
        <v/>
      </c>
      <c r="C201" s="34" t="s">
        <v>92</v>
      </c>
      <c r="D201" s="34" t="str">
        <f>CONCATENATE('Ingest Template'!E201&amp;Char(10)&amp;'Ingest Template'!G201&amp;Char(10)&amp;'Ingest Template'!H201&amp;Char(10)&amp;'Ingest Template'!I201&amp;Char(10)&amp;'Ingest Template'!J201&amp;Char(10)&amp;'Ingest Template'!K201&amp;Char(10)&amp;'Ingest Template'!L201)</f>
        <v>
</v>
      </c>
      <c r="E201" s="25" t="str">
        <f>('Ingest Template'!M201)</f>
        <v/>
      </c>
      <c r="F201" s="40" t="str">
        <f t="array" ref="F201">INDEX(DropDown!$J$2:$J$63,MATCH(1,COUNTIF(E201,DropDown!$I$2:$I$63),0))</f>
        <v>#N/A</v>
      </c>
      <c r="G201" s="25"/>
      <c r="H201" s="25"/>
      <c r="I201" s="25"/>
      <c r="J201" s="25" t="str">
        <f>'Ingest Template'!B201</f>
        <v/>
      </c>
      <c r="K201" s="25" t="str">
        <f>IF('Ingest Template'!A200="Standard",'Ingest Template'!N200,"Competitive View")</f>
        <v>Competitive View</v>
      </c>
      <c r="L201" s="41" t="s">
        <v>145</v>
      </c>
      <c r="M201" s="25" t="str">
        <f>'Ingest Template'!D200</f>
        <v/>
      </c>
      <c r="N201" s="25"/>
      <c r="O201" s="25"/>
      <c r="P201" s="25"/>
      <c r="Q201" s="25"/>
      <c r="R201" s="25" t="str">
        <f>CONCATENATE('Ingest Template'!F200)</f>
        <v/>
      </c>
      <c r="S201" s="43" t="s">
        <v>160</v>
      </c>
      <c r="T201" s="25" t="str">
        <f>'Ingest Template'!W200</f>
        <v/>
      </c>
      <c r="U201" s="25"/>
      <c r="V201" s="25" t="str">
        <f>LOWER(SUBSTITUTE(SUBSTITUTE(SUBSTITUTE(SUBSTITUTE(SUBSTITUTE('Ingest Template'!Y200,"https:",""),"www.",""),"/",""),"?hl=en",""),"instagram.com",""))</f>
        <v/>
      </c>
      <c r="W201" s="34" t="str">
        <f>(IFERROR(vlookup('Ingest Template'!F201,DropDown!D:E,2,false)&amp;'Ingest Template'!C201,""))</f>
        <v/>
      </c>
      <c r="X201" s="25" t="str">
        <f>'Ingest Template'!AA200</f>
        <v/>
      </c>
      <c r="Y201" s="25"/>
      <c r="Z201" s="25"/>
      <c r="AA201" s="25"/>
      <c r="AB201" s="25" t="str">
        <f>'Ingest Template'!T200</f>
        <v/>
      </c>
      <c r="AC201" s="25"/>
      <c r="AD201" s="25" t="str">
        <f>'Ingest Template'!U200</f>
        <v/>
      </c>
      <c r="AE201" s="25" t="str">
        <f>'Ingest Template'!V200</f>
        <v/>
      </c>
      <c r="AF201" s="25"/>
      <c r="AG201" s="25" t="str">
        <f t="array" ref="AG201">IF('Ingest Template'!A200="Standard",(CONCATENATE(IF(ISBLANK('Ingest Template'!O200),"", 'Ingest Template'!O200&amp;"|DAR"),CHAR(10), IF(ISBLANK('Ingest Template'!P200),"", 'Ingest Template'!P200&amp;"|DAR"),CHAR(10), IF(ISBLANK('Ingest Template'!Q200),"", 'Ingest Template'!Q200&amp;"|DAR"))),(CONCATENATE(IF(ISBLANK('Ingest Template'!O200),"", 'Ingest Template'!O200&amp;"|Operations - Core Title"),CHAR(10), IF(ISBLANK('Ingest Template'!P200),"", 'Ingest Template'!P200&amp;"|Operations - Core Title"),CHAR(10), IF(ISBLANK('Ingest Template'!Q200),"", 'Ingest Template'!Q200&amp;"|Operations - Core Title"))))</f>
        <v>#|Operations - Core Title
#videoGame|Operations - Core Title
</v>
      </c>
      <c r="AH201" s="25"/>
      <c r="AI201" s="25"/>
      <c r="AJ201" s="50" t="str">
        <f>if('Ingest Template'!A200="Standard",'Ingest Template'!R200&amp; "|DAR|DAR|2021-01-01",'Ingest Template'!R200&amp; "|Operations - Core Title|Operations - Core Title")</f>
        <v>#N/A</v>
      </c>
      <c r="AK201" s="25"/>
      <c r="AL201" s="25" t="str">
        <f>if('Ingest Template'!A200="Standard",'Ingest Template'!S200&amp; "|2021-01-01",'Ingest Template'!S200)</f>
        <v>#N/A</v>
      </c>
      <c r="AM201" s="25"/>
    </row>
    <row r="202">
      <c r="A202" s="25"/>
      <c r="B202" s="25" t="str">
        <f>'Ingest Template'!C201&amp;IF('Ingest Template'!A201 = "Standard", " - DAR","")</f>
        <v/>
      </c>
      <c r="C202" s="34" t="s">
        <v>92</v>
      </c>
      <c r="D202" s="34" t="str">
        <f>CONCATENATE('Ingest Template'!E202&amp;Char(10)&amp;'Ingest Template'!G202&amp;Char(10)&amp;'Ingest Template'!H202&amp;Char(10)&amp;'Ingest Template'!I202&amp;Char(10)&amp;'Ingest Template'!J202&amp;Char(10)&amp;'Ingest Template'!K202&amp;Char(10)&amp;'Ingest Template'!L202)</f>
        <v>
</v>
      </c>
      <c r="E202" s="25" t="str">
        <f>('Ingest Template'!M202)</f>
        <v/>
      </c>
      <c r="F202" s="40" t="str">
        <f t="array" ref="F202">INDEX(DropDown!$J$2:$J$63,MATCH(1,COUNTIF(E202,DropDown!$I$2:$I$63),0))</f>
        <v>#N/A</v>
      </c>
      <c r="G202" s="25"/>
      <c r="H202" s="25"/>
      <c r="I202" s="25"/>
      <c r="J202" s="25" t="str">
        <f>'Ingest Template'!B202</f>
        <v/>
      </c>
      <c r="K202" s="25" t="str">
        <f>IF('Ingest Template'!A201="Standard",'Ingest Template'!N201,"Competitive View")</f>
        <v>Competitive View</v>
      </c>
      <c r="L202" s="41" t="s">
        <v>145</v>
      </c>
      <c r="M202" s="25" t="str">
        <f>'Ingest Template'!D201</f>
        <v/>
      </c>
      <c r="N202" s="25"/>
      <c r="O202" s="25"/>
      <c r="P202" s="25"/>
      <c r="Q202" s="25"/>
      <c r="R202" s="25" t="str">
        <f>CONCATENATE('Ingest Template'!F201)</f>
        <v/>
      </c>
      <c r="S202" s="43" t="s">
        <v>160</v>
      </c>
      <c r="T202" s="25" t="str">
        <f>'Ingest Template'!W201</f>
        <v/>
      </c>
      <c r="U202" s="25"/>
      <c r="V202" s="25" t="str">
        <f>LOWER(SUBSTITUTE(SUBSTITUTE(SUBSTITUTE(SUBSTITUTE(SUBSTITUTE('Ingest Template'!Y201,"https:",""),"www.",""),"/",""),"?hl=en",""),"instagram.com",""))</f>
        <v/>
      </c>
      <c r="W202" s="34" t="str">
        <f>(IFERROR(vlookup('Ingest Template'!F202,DropDown!D:E,2,false)&amp;'Ingest Template'!C202,""))</f>
        <v/>
      </c>
      <c r="X202" s="25" t="str">
        <f>'Ingest Template'!AA201</f>
        <v/>
      </c>
      <c r="Y202" s="25"/>
      <c r="Z202" s="25"/>
      <c r="AA202" s="25"/>
      <c r="AB202" s="25" t="str">
        <f>'Ingest Template'!T201</f>
        <v/>
      </c>
      <c r="AC202" s="25"/>
      <c r="AD202" s="25" t="str">
        <f>'Ingest Template'!U201</f>
        <v/>
      </c>
      <c r="AE202" s="25" t="str">
        <f>'Ingest Template'!V201</f>
        <v/>
      </c>
      <c r="AF202" s="25"/>
      <c r="AG202" s="25" t="str">
        <f t="array" ref="AG202">IF('Ingest Template'!A201="Standard",(CONCATENATE(IF(ISBLANK('Ingest Template'!O201),"", 'Ingest Template'!O201&amp;"|DAR"),CHAR(10), IF(ISBLANK('Ingest Template'!P201),"", 'Ingest Template'!P201&amp;"|DAR"),CHAR(10), IF(ISBLANK('Ingest Template'!Q201),"", 'Ingest Template'!Q201&amp;"|DAR"))),(CONCATENATE(IF(ISBLANK('Ingest Template'!O201),"", 'Ingest Template'!O201&amp;"|Operations - Core Title"),CHAR(10), IF(ISBLANK('Ingest Template'!P201),"", 'Ingest Template'!P201&amp;"|Operations - Core Title"),CHAR(10), IF(ISBLANK('Ingest Template'!Q201),"", 'Ingest Template'!Q201&amp;"|Operations - Core Title"))))</f>
        <v>#|Operations - Core Title
#videoGame|Operations - Core Title
</v>
      </c>
      <c r="AH202" s="25"/>
      <c r="AI202" s="25"/>
      <c r="AJ202" s="50" t="str">
        <f>if('Ingest Template'!A201="Standard",'Ingest Template'!R201&amp; "|DAR|DAR|2021-01-01",'Ingest Template'!R201&amp; "|Operations - Core Title|Operations - Core Title")</f>
        <v>#N/A</v>
      </c>
      <c r="AK202" s="25"/>
      <c r="AL202" s="25" t="str">
        <f>if('Ingest Template'!A201="Standard",'Ingest Template'!S201&amp; "|2021-01-01",'Ingest Template'!S201)</f>
        <v>#N/A</v>
      </c>
      <c r="AM202" s="25"/>
    </row>
    <row r="203">
      <c r="A203" s="25"/>
      <c r="B203" s="25" t="str">
        <f>'Ingest Template'!C202&amp;IF('Ingest Template'!A202 = "Standard", " - DAR","")</f>
        <v/>
      </c>
      <c r="C203" s="34" t="s">
        <v>92</v>
      </c>
      <c r="D203" s="34" t="str">
        <f>CONCATENATE('Ingest Template'!E203&amp;Char(10)&amp;'Ingest Template'!G203&amp;Char(10)&amp;'Ingest Template'!H203&amp;Char(10)&amp;'Ingest Template'!I203&amp;Char(10)&amp;'Ingest Template'!J203&amp;Char(10)&amp;'Ingest Template'!K203&amp;Char(10)&amp;'Ingest Template'!L203)</f>
        <v>
</v>
      </c>
      <c r="E203" s="25" t="str">
        <f>('Ingest Template'!M203)</f>
        <v/>
      </c>
      <c r="F203" s="40" t="str">
        <f t="array" ref="F203">INDEX(DropDown!$J$2:$J$63,MATCH(1,COUNTIF(E203,DropDown!$I$2:$I$63),0))</f>
        <v>#N/A</v>
      </c>
      <c r="G203" s="25"/>
      <c r="H203" s="25"/>
      <c r="I203" s="25"/>
      <c r="J203" s="25" t="str">
        <f>'Ingest Template'!B203</f>
        <v/>
      </c>
      <c r="K203" s="25" t="str">
        <f>IF('Ingest Template'!A202="Standard",'Ingest Template'!N202,"Competitive View")</f>
        <v>Competitive View</v>
      </c>
      <c r="L203" s="41" t="s">
        <v>145</v>
      </c>
      <c r="M203" s="25" t="str">
        <f>'Ingest Template'!D202</f>
        <v/>
      </c>
      <c r="N203" s="25"/>
      <c r="O203" s="25"/>
      <c r="P203" s="25"/>
      <c r="Q203" s="25"/>
      <c r="R203" s="25" t="str">
        <f>CONCATENATE('Ingest Template'!F202)</f>
        <v/>
      </c>
      <c r="S203" s="43" t="s">
        <v>160</v>
      </c>
      <c r="T203" s="25" t="str">
        <f>'Ingest Template'!W202</f>
        <v/>
      </c>
      <c r="U203" s="25"/>
      <c r="V203" s="25" t="str">
        <f>LOWER(SUBSTITUTE(SUBSTITUTE(SUBSTITUTE(SUBSTITUTE(SUBSTITUTE('Ingest Template'!Y202,"https:",""),"www.",""),"/",""),"?hl=en",""),"instagram.com",""))</f>
        <v/>
      </c>
      <c r="W203" s="34" t="str">
        <f>(IFERROR(vlookup('Ingest Template'!F203,DropDown!D:E,2,false)&amp;'Ingest Template'!C203,""))</f>
        <v/>
      </c>
      <c r="X203" s="25" t="str">
        <f>'Ingest Template'!AA202</f>
        <v/>
      </c>
      <c r="Y203" s="25"/>
      <c r="Z203" s="25"/>
      <c r="AA203" s="25"/>
      <c r="AB203" s="25" t="str">
        <f>'Ingest Template'!T202</f>
        <v/>
      </c>
      <c r="AC203" s="25"/>
      <c r="AD203" s="25" t="str">
        <f>'Ingest Template'!U202</f>
        <v/>
      </c>
      <c r="AE203" s="25" t="str">
        <f>'Ingest Template'!V202</f>
        <v/>
      </c>
      <c r="AF203" s="25"/>
      <c r="AG203" s="25" t="str">
        <f t="array" ref="AG203">IF('Ingest Template'!A202="Standard",(CONCATENATE(IF(ISBLANK('Ingest Template'!O202),"", 'Ingest Template'!O202&amp;"|DAR"),CHAR(10), IF(ISBLANK('Ingest Template'!P202),"", 'Ingest Template'!P202&amp;"|DAR"),CHAR(10), IF(ISBLANK('Ingest Template'!Q202),"", 'Ingest Template'!Q202&amp;"|DAR"))),(CONCATENATE(IF(ISBLANK('Ingest Template'!O202),"", 'Ingest Template'!O202&amp;"|Operations - Core Title"),CHAR(10), IF(ISBLANK('Ingest Template'!P202),"", 'Ingest Template'!P202&amp;"|Operations - Core Title"),CHAR(10), IF(ISBLANK('Ingest Template'!Q202),"", 'Ingest Template'!Q202&amp;"|Operations - Core Title"))))</f>
        <v>#|Operations - Core Title
#videoGame|Operations - Core Title
</v>
      </c>
      <c r="AH203" s="25"/>
      <c r="AI203" s="25"/>
      <c r="AJ203" s="50" t="str">
        <f>if('Ingest Template'!A202="Standard",'Ingest Template'!R202&amp; "|DAR|DAR|2021-01-01",'Ingest Template'!R202&amp; "|Operations - Core Title|Operations - Core Title")</f>
        <v>#N/A</v>
      </c>
      <c r="AK203" s="25"/>
      <c r="AL203" s="25" t="str">
        <f>if('Ingest Template'!A202="Standard",'Ingest Template'!S202&amp; "|2021-01-01",'Ingest Template'!S202)</f>
        <v>#N/A</v>
      </c>
      <c r="AM203" s="25"/>
    </row>
    <row r="204">
      <c r="A204" s="25"/>
      <c r="B204" s="25" t="str">
        <f>'Ingest Template'!C203&amp;IF('Ingest Template'!A203 = "Standard", " - DAR","")</f>
        <v/>
      </c>
      <c r="C204" s="34" t="s">
        <v>92</v>
      </c>
      <c r="D204" s="34" t="str">
        <f>CONCATENATE('Ingest Template'!E204&amp;Char(10)&amp;'Ingest Template'!G204&amp;Char(10)&amp;'Ingest Template'!H204&amp;Char(10)&amp;'Ingest Template'!I204&amp;Char(10)&amp;'Ingest Template'!J204&amp;Char(10)&amp;'Ingest Template'!K204&amp;Char(10)&amp;'Ingest Template'!L204)</f>
        <v>
</v>
      </c>
      <c r="E204" s="25" t="str">
        <f>('Ingest Template'!M204)</f>
        <v/>
      </c>
      <c r="F204" s="40" t="str">
        <f t="array" ref="F204">INDEX(DropDown!$J$2:$J$63,MATCH(1,COUNTIF(E204,DropDown!$I$2:$I$63),0))</f>
        <v>#N/A</v>
      </c>
      <c r="G204" s="25"/>
      <c r="H204" s="25"/>
      <c r="I204" s="25"/>
      <c r="J204" s="25" t="str">
        <f>'Ingest Template'!B204</f>
        <v/>
      </c>
      <c r="K204" s="25" t="str">
        <f>IF('Ingest Template'!A203="Standard",'Ingest Template'!N203,"Competitive View")</f>
        <v>Competitive View</v>
      </c>
      <c r="L204" s="41" t="s">
        <v>145</v>
      </c>
      <c r="M204" s="25" t="str">
        <f>'Ingest Template'!D203</f>
        <v/>
      </c>
      <c r="N204" s="25"/>
      <c r="O204" s="25"/>
      <c r="P204" s="25"/>
      <c r="Q204" s="25"/>
      <c r="R204" s="25" t="str">
        <f>CONCATENATE('Ingest Template'!F203)</f>
        <v/>
      </c>
      <c r="S204" s="43" t="s">
        <v>160</v>
      </c>
      <c r="T204" s="25" t="str">
        <f>'Ingest Template'!W203</f>
        <v/>
      </c>
      <c r="U204" s="25"/>
      <c r="V204" s="25" t="str">
        <f>LOWER(SUBSTITUTE(SUBSTITUTE(SUBSTITUTE(SUBSTITUTE(SUBSTITUTE('Ingest Template'!Y203,"https:",""),"www.",""),"/",""),"?hl=en",""),"instagram.com",""))</f>
        <v/>
      </c>
      <c r="W204" s="34" t="str">
        <f>(IFERROR(vlookup('Ingest Template'!F204,DropDown!D:E,2,false)&amp;'Ingest Template'!C204,""))</f>
        <v/>
      </c>
      <c r="X204" s="25" t="str">
        <f>'Ingest Template'!AA203</f>
        <v/>
      </c>
      <c r="Y204" s="25"/>
      <c r="Z204" s="25"/>
      <c r="AA204" s="25"/>
      <c r="AB204" s="25" t="str">
        <f>'Ingest Template'!T203</f>
        <v/>
      </c>
      <c r="AC204" s="25"/>
      <c r="AD204" s="25" t="str">
        <f>'Ingest Template'!U203</f>
        <v/>
      </c>
      <c r="AE204" s="25" t="str">
        <f>'Ingest Template'!V203</f>
        <v/>
      </c>
      <c r="AF204" s="25"/>
      <c r="AG204" s="25" t="str">
        <f t="array" ref="AG204">IF('Ingest Template'!A203="Standard",(CONCATENATE(IF(ISBLANK('Ingest Template'!O203),"", 'Ingest Template'!O203&amp;"|DAR"),CHAR(10), IF(ISBLANK('Ingest Template'!P203),"", 'Ingest Template'!P203&amp;"|DAR"),CHAR(10), IF(ISBLANK('Ingest Template'!Q203),"", 'Ingest Template'!Q203&amp;"|DAR"))),(CONCATENATE(IF(ISBLANK('Ingest Template'!O203),"", 'Ingest Template'!O203&amp;"|Operations - Core Title"),CHAR(10), IF(ISBLANK('Ingest Template'!P203),"", 'Ingest Template'!P203&amp;"|Operations - Core Title"),CHAR(10), IF(ISBLANK('Ingest Template'!Q203),"", 'Ingest Template'!Q203&amp;"|Operations - Core Title"))))</f>
        <v>#|Operations - Core Title
#videoGame|Operations - Core Title
</v>
      </c>
      <c r="AH204" s="25"/>
      <c r="AI204" s="25"/>
      <c r="AJ204" s="50" t="str">
        <f>if('Ingest Template'!A203="Standard",'Ingest Template'!R203&amp; "|DAR|DAR|2021-01-01",'Ingest Template'!R203&amp; "|Operations - Core Title|Operations - Core Title")</f>
        <v>#N/A</v>
      </c>
      <c r="AK204" s="25"/>
      <c r="AL204" s="25" t="str">
        <f>if('Ingest Template'!A203="Standard",'Ingest Template'!S203&amp; "|2021-01-01",'Ingest Template'!S203)</f>
        <v>#N/A</v>
      </c>
      <c r="AM204" s="25"/>
    </row>
    <row r="205">
      <c r="A205" s="25"/>
      <c r="B205" s="25" t="str">
        <f>'Ingest Template'!C204&amp;IF('Ingest Template'!A204 = "Standard", " - DAR","")</f>
        <v/>
      </c>
      <c r="C205" s="34" t="s">
        <v>92</v>
      </c>
      <c r="D205" s="34" t="str">
        <f>CONCATENATE('Ingest Template'!E205&amp;Char(10)&amp;'Ingest Template'!G205&amp;Char(10)&amp;'Ingest Template'!H205&amp;Char(10)&amp;'Ingest Template'!I205&amp;Char(10)&amp;'Ingest Template'!J205&amp;Char(10)&amp;'Ingest Template'!K205&amp;Char(10)&amp;'Ingest Template'!L205)</f>
        <v>
</v>
      </c>
      <c r="E205" s="25" t="str">
        <f>('Ingest Template'!M205)</f>
        <v/>
      </c>
      <c r="F205" s="40" t="str">
        <f t="array" ref="F205">INDEX(DropDown!$J$2:$J$63,MATCH(1,COUNTIF(E205,DropDown!$I$2:$I$63),0))</f>
        <v>#N/A</v>
      </c>
      <c r="G205" s="25"/>
      <c r="H205" s="25"/>
      <c r="I205" s="25"/>
      <c r="J205" s="25" t="str">
        <f>'Ingest Template'!B205</f>
        <v/>
      </c>
      <c r="K205" s="25" t="str">
        <f>IF('Ingest Template'!A204="Standard",'Ingest Template'!N204,"Competitive View")</f>
        <v>Competitive View</v>
      </c>
      <c r="L205" s="41" t="s">
        <v>145</v>
      </c>
      <c r="M205" s="25" t="str">
        <f>'Ingest Template'!D204</f>
        <v/>
      </c>
      <c r="N205" s="25"/>
      <c r="O205" s="25"/>
      <c r="P205" s="25"/>
      <c r="Q205" s="25"/>
      <c r="R205" s="25" t="str">
        <f>CONCATENATE('Ingest Template'!F204)</f>
        <v/>
      </c>
      <c r="S205" s="43" t="s">
        <v>160</v>
      </c>
      <c r="T205" s="25" t="str">
        <f>'Ingest Template'!W204</f>
        <v/>
      </c>
      <c r="U205" s="25"/>
      <c r="V205" s="25" t="str">
        <f>LOWER(SUBSTITUTE(SUBSTITUTE(SUBSTITUTE(SUBSTITUTE(SUBSTITUTE('Ingest Template'!Y204,"https:",""),"www.",""),"/",""),"?hl=en",""),"instagram.com",""))</f>
        <v/>
      </c>
      <c r="W205" s="34" t="str">
        <f>(IFERROR(vlookup('Ingest Template'!F205,DropDown!D:E,2,false)&amp;'Ingest Template'!C205,""))</f>
        <v/>
      </c>
      <c r="X205" s="25" t="str">
        <f>'Ingest Template'!AA204</f>
        <v/>
      </c>
      <c r="Y205" s="25"/>
      <c r="Z205" s="25"/>
      <c r="AA205" s="25"/>
      <c r="AB205" s="25" t="str">
        <f>'Ingest Template'!T204</f>
        <v/>
      </c>
      <c r="AC205" s="25"/>
      <c r="AD205" s="25" t="str">
        <f>'Ingest Template'!U204</f>
        <v/>
      </c>
      <c r="AE205" s="25" t="str">
        <f>'Ingest Template'!V204</f>
        <v/>
      </c>
      <c r="AF205" s="25"/>
      <c r="AG205" s="25" t="str">
        <f t="array" ref="AG205">IF('Ingest Template'!A204="Standard",(CONCATENATE(IF(ISBLANK('Ingest Template'!O204),"", 'Ingest Template'!O204&amp;"|DAR"),CHAR(10), IF(ISBLANK('Ingest Template'!P204),"", 'Ingest Template'!P204&amp;"|DAR"),CHAR(10), IF(ISBLANK('Ingest Template'!Q204),"", 'Ingest Template'!Q204&amp;"|DAR"))),(CONCATENATE(IF(ISBLANK('Ingest Template'!O204),"", 'Ingest Template'!O204&amp;"|Operations - Core Title"),CHAR(10), IF(ISBLANK('Ingest Template'!P204),"", 'Ingest Template'!P204&amp;"|Operations - Core Title"),CHAR(10), IF(ISBLANK('Ingest Template'!Q204),"", 'Ingest Template'!Q204&amp;"|Operations - Core Title"))))</f>
        <v>#|Operations - Core Title
#videoGame|Operations - Core Title
</v>
      </c>
      <c r="AH205" s="25"/>
      <c r="AI205" s="25"/>
      <c r="AJ205" s="50" t="str">
        <f>if('Ingest Template'!A204="Standard",'Ingest Template'!R204&amp; "|DAR|DAR|2021-01-01",'Ingest Template'!R204&amp; "|Operations - Core Title|Operations - Core Title")</f>
        <v>#N/A</v>
      </c>
      <c r="AK205" s="25"/>
      <c r="AL205" s="25" t="str">
        <f>if('Ingest Template'!A204="Standard",'Ingest Template'!S204&amp; "|2021-01-01",'Ingest Template'!S204)</f>
        <v>#N/A</v>
      </c>
      <c r="AM205" s="25"/>
    </row>
    <row r="206">
      <c r="A206" s="25"/>
      <c r="B206" s="25" t="str">
        <f>'Ingest Template'!C205&amp;IF('Ingest Template'!A205 = "Standard", " - DAR","")</f>
        <v/>
      </c>
      <c r="C206" s="34" t="s">
        <v>92</v>
      </c>
      <c r="D206" s="34" t="str">
        <f>CONCATENATE('Ingest Template'!E206&amp;Char(10)&amp;'Ingest Template'!G206&amp;Char(10)&amp;'Ingest Template'!H206&amp;Char(10)&amp;'Ingest Template'!I206&amp;Char(10)&amp;'Ingest Template'!J206&amp;Char(10)&amp;'Ingest Template'!K206&amp;Char(10)&amp;'Ingest Template'!L206)</f>
        <v>
</v>
      </c>
      <c r="E206" s="25" t="str">
        <f>('Ingest Template'!M206)</f>
        <v/>
      </c>
      <c r="F206" s="40" t="str">
        <f t="array" ref="F206">INDEX(DropDown!$J$2:$J$63,MATCH(1,COUNTIF(E206,DropDown!$I$2:$I$63),0))</f>
        <v>#N/A</v>
      </c>
      <c r="G206" s="25"/>
      <c r="H206" s="25"/>
      <c r="I206" s="25"/>
      <c r="J206" s="25" t="str">
        <f>'Ingest Template'!B206</f>
        <v/>
      </c>
      <c r="K206" s="25" t="str">
        <f>IF('Ingest Template'!A205="Standard",'Ingest Template'!N205,"Competitive View")</f>
        <v>Competitive View</v>
      </c>
      <c r="L206" s="41" t="s">
        <v>145</v>
      </c>
      <c r="M206" s="25" t="str">
        <f>'Ingest Template'!D205</f>
        <v/>
      </c>
      <c r="N206" s="25"/>
      <c r="O206" s="25"/>
      <c r="P206" s="25"/>
      <c r="Q206" s="25"/>
      <c r="R206" s="25" t="str">
        <f>CONCATENATE('Ingest Template'!F205)</f>
        <v/>
      </c>
      <c r="S206" s="43" t="s">
        <v>160</v>
      </c>
      <c r="T206" s="25" t="str">
        <f>'Ingest Template'!W205</f>
        <v/>
      </c>
      <c r="U206" s="25"/>
      <c r="V206" s="25" t="str">
        <f>LOWER(SUBSTITUTE(SUBSTITUTE(SUBSTITUTE(SUBSTITUTE(SUBSTITUTE('Ingest Template'!Y205,"https:",""),"www.",""),"/",""),"?hl=en",""),"instagram.com",""))</f>
        <v/>
      </c>
      <c r="W206" s="34" t="str">
        <f>(IFERROR(vlookup('Ingest Template'!F206,DropDown!D:E,2,false)&amp;'Ingest Template'!C206,""))</f>
        <v/>
      </c>
      <c r="X206" s="25" t="str">
        <f>'Ingest Template'!AA205</f>
        <v/>
      </c>
      <c r="Y206" s="25"/>
      <c r="Z206" s="25"/>
      <c r="AA206" s="25"/>
      <c r="AB206" s="25" t="str">
        <f>'Ingest Template'!T205</f>
        <v/>
      </c>
      <c r="AC206" s="25"/>
      <c r="AD206" s="25" t="str">
        <f>'Ingest Template'!U205</f>
        <v/>
      </c>
      <c r="AE206" s="25" t="str">
        <f>'Ingest Template'!V205</f>
        <v/>
      </c>
      <c r="AF206" s="25"/>
      <c r="AG206" s="25" t="str">
        <f t="array" ref="AG206">IF('Ingest Template'!A205="Standard",(CONCATENATE(IF(ISBLANK('Ingest Template'!O205),"", 'Ingest Template'!O205&amp;"|DAR"),CHAR(10), IF(ISBLANK('Ingest Template'!P205),"", 'Ingest Template'!P205&amp;"|DAR"),CHAR(10), IF(ISBLANK('Ingest Template'!Q205),"", 'Ingest Template'!Q205&amp;"|DAR"))),(CONCATENATE(IF(ISBLANK('Ingest Template'!O205),"", 'Ingest Template'!O205&amp;"|Operations - Core Title"),CHAR(10), IF(ISBLANK('Ingest Template'!P205),"", 'Ingest Template'!P205&amp;"|Operations - Core Title"),CHAR(10), IF(ISBLANK('Ingest Template'!Q205),"", 'Ingest Template'!Q205&amp;"|Operations - Core Title"))))</f>
        <v>#|Operations - Core Title
#videoGame|Operations - Core Title
</v>
      </c>
      <c r="AH206" s="25"/>
      <c r="AI206" s="25"/>
      <c r="AJ206" s="50" t="str">
        <f>if('Ingest Template'!A205="Standard",'Ingest Template'!R205&amp; "|DAR|DAR|2021-01-01",'Ingest Template'!R205&amp; "|Operations - Core Title|Operations - Core Title")</f>
        <v>#N/A</v>
      </c>
      <c r="AK206" s="25"/>
      <c r="AL206" s="25" t="str">
        <f>if('Ingest Template'!A205="Standard",'Ingest Template'!S205&amp; "|2021-01-01",'Ingest Template'!S205)</f>
        <v>#N/A</v>
      </c>
      <c r="AM206" s="25"/>
    </row>
    <row r="207">
      <c r="A207" s="25"/>
      <c r="B207" s="25" t="str">
        <f>'Ingest Template'!C206&amp;IF('Ingest Template'!A206 = "Standard", " - DAR","")</f>
        <v/>
      </c>
      <c r="C207" s="34" t="s">
        <v>92</v>
      </c>
      <c r="D207" s="34" t="str">
        <f>CONCATENATE('Ingest Template'!E207&amp;Char(10)&amp;'Ingest Template'!G207&amp;Char(10)&amp;'Ingest Template'!H207&amp;Char(10)&amp;'Ingest Template'!I207&amp;Char(10)&amp;'Ingest Template'!J207&amp;Char(10)&amp;'Ingest Template'!K207&amp;Char(10)&amp;'Ingest Template'!L207)</f>
        <v>
</v>
      </c>
      <c r="E207" s="25" t="str">
        <f>('Ingest Template'!M207)</f>
        <v/>
      </c>
      <c r="F207" s="40" t="str">
        <f t="array" ref="F207">INDEX(DropDown!$J$2:$J$63,MATCH(1,COUNTIF(E207,DropDown!$I$2:$I$63),0))</f>
        <v>#N/A</v>
      </c>
      <c r="G207" s="25"/>
      <c r="H207" s="25"/>
      <c r="I207" s="25"/>
      <c r="J207" s="25" t="str">
        <f>'Ingest Template'!B207</f>
        <v/>
      </c>
      <c r="K207" s="25" t="str">
        <f>IF('Ingest Template'!A206="Standard",'Ingest Template'!N206,"Competitive View")</f>
        <v>Competitive View</v>
      </c>
      <c r="L207" s="41" t="s">
        <v>145</v>
      </c>
      <c r="M207" s="25" t="str">
        <f>'Ingest Template'!D206</f>
        <v/>
      </c>
      <c r="N207" s="25"/>
      <c r="O207" s="25"/>
      <c r="P207" s="25"/>
      <c r="Q207" s="25"/>
      <c r="R207" s="25" t="str">
        <f>CONCATENATE('Ingest Template'!F206)</f>
        <v/>
      </c>
      <c r="S207" s="43" t="s">
        <v>160</v>
      </c>
      <c r="T207" s="25" t="str">
        <f>'Ingest Template'!W206</f>
        <v/>
      </c>
      <c r="U207" s="25"/>
      <c r="V207" s="25" t="str">
        <f>LOWER(SUBSTITUTE(SUBSTITUTE(SUBSTITUTE(SUBSTITUTE(SUBSTITUTE('Ingest Template'!Y206,"https:",""),"www.",""),"/",""),"?hl=en",""),"instagram.com",""))</f>
        <v/>
      </c>
      <c r="W207" s="34" t="str">
        <f>(IFERROR(vlookup('Ingest Template'!F207,DropDown!D:E,2,false)&amp;'Ingest Template'!C207,""))</f>
        <v/>
      </c>
      <c r="X207" s="25" t="str">
        <f>'Ingest Template'!AA206</f>
        <v/>
      </c>
      <c r="Y207" s="25"/>
      <c r="Z207" s="25"/>
      <c r="AA207" s="25"/>
      <c r="AB207" s="25" t="str">
        <f>'Ingest Template'!T206</f>
        <v/>
      </c>
      <c r="AC207" s="25"/>
      <c r="AD207" s="25" t="str">
        <f>'Ingest Template'!U206</f>
        <v/>
      </c>
      <c r="AE207" s="25" t="str">
        <f>'Ingest Template'!V206</f>
        <v/>
      </c>
      <c r="AF207" s="25"/>
      <c r="AG207" s="25" t="str">
        <f t="array" ref="AG207">IF('Ingest Template'!A206="Standard",(CONCATENATE(IF(ISBLANK('Ingest Template'!O206),"", 'Ingest Template'!O206&amp;"|DAR"),CHAR(10), IF(ISBLANK('Ingest Template'!P206),"", 'Ingest Template'!P206&amp;"|DAR"),CHAR(10), IF(ISBLANK('Ingest Template'!Q206),"", 'Ingest Template'!Q206&amp;"|DAR"))),(CONCATENATE(IF(ISBLANK('Ingest Template'!O206),"", 'Ingest Template'!O206&amp;"|Operations - Core Title"),CHAR(10), IF(ISBLANK('Ingest Template'!P206),"", 'Ingest Template'!P206&amp;"|Operations - Core Title"),CHAR(10), IF(ISBLANK('Ingest Template'!Q206),"", 'Ingest Template'!Q206&amp;"|Operations - Core Title"))))</f>
        <v>#|Operations - Core Title
#videoGame|Operations - Core Title
</v>
      </c>
      <c r="AH207" s="25"/>
      <c r="AI207" s="25"/>
      <c r="AJ207" s="50" t="str">
        <f>if('Ingest Template'!A206="Standard",'Ingest Template'!R206&amp; "|DAR|DAR|2021-01-01",'Ingest Template'!R206&amp; "|Operations - Core Title|Operations - Core Title")</f>
        <v>#N/A</v>
      </c>
      <c r="AK207" s="25"/>
      <c r="AL207" s="25" t="str">
        <f>if('Ingest Template'!A206="Standard",'Ingest Template'!S206&amp; "|2021-01-01",'Ingest Template'!S206)</f>
        <v>#N/A</v>
      </c>
      <c r="AM207" s="25"/>
    </row>
    <row r="208">
      <c r="A208" s="25"/>
      <c r="B208" s="25" t="str">
        <f>'Ingest Template'!C207&amp;IF('Ingest Template'!A207 = "Standard", " - DAR","")</f>
        <v/>
      </c>
      <c r="C208" s="34" t="s">
        <v>92</v>
      </c>
      <c r="D208" s="34" t="str">
        <f>CONCATENATE('Ingest Template'!E208&amp;Char(10)&amp;'Ingest Template'!G208&amp;Char(10)&amp;'Ingest Template'!H208&amp;Char(10)&amp;'Ingest Template'!I208&amp;Char(10)&amp;'Ingest Template'!J208&amp;Char(10)&amp;'Ingest Template'!K208&amp;Char(10)&amp;'Ingest Template'!L208)</f>
        <v>
</v>
      </c>
      <c r="E208" s="25" t="str">
        <f>('Ingest Template'!M208)</f>
        <v/>
      </c>
      <c r="F208" s="40" t="str">
        <f t="array" ref="F208">INDEX(DropDown!$J$2:$J$63,MATCH(1,COUNTIF(E208,DropDown!$I$2:$I$63),0))</f>
        <v>#N/A</v>
      </c>
      <c r="G208" s="25"/>
      <c r="H208" s="25"/>
      <c r="I208" s="25"/>
      <c r="J208" s="25" t="str">
        <f>'Ingest Template'!B208</f>
        <v/>
      </c>
      <c r="K208" s="25" t="str">
        <f>IF('Ingest Template'!A207="Standard",'Ingest Template'!N207,"Competitive View")</f>
        <v>Competitive View</v>
      </c>
      <c r="L208" s="41" t="s">
        <v>145</v>
      </c>
      <c r="M208" s="25" t="str">
        <f>'Ingest Template'!D207</f>
        <v/>
      </c>
      <c r="N208" s="25"/>
      <c r="O208" s="25"/>
      <c r="P208" s="25"/>
      <c r="Q208" s="25"/>
      <c r="R208" s="25" t="str">
        <f>CONCATENATE('Ingest Template'!F207)</f>
        <v/>
      </c>
      <c r="S208" s="43" t="s">
        <v>160</v>
      </c>
      <c r="T208" s="25" t="str">
        <f>'Ingest Template'!W207</f>
        <v/>
      </c>
      <c r="U208" s="25"/>
      <c r="V208" s="25" t="str">
        <f>LOWER(SUBSTITUTE(SUBSTITUTE(SUBSTITUTE(SUBSTITUTE(SUBSTITUTE('Ingest Template'!Y207,"https:",""),"www.",""),"/",""),"?hl=en",""),"instagram.com",""))</f>
        <v/>
      </c>
      <c r="W208" s="34" t="str">
        <f>(IFERROR(vlookup('Ingest Template'!F208,DropDown!D:E,2,false)&amp;'Ingest Template'!C208,""))</f>
        <v/>
      </c>
      <c r="X208" s="25" t="str">
        <f>'Ingest Template'!AA207</f>
        <v/>
      </c>
      <c r="Y208" s="25"/>
      <c r="Z208" s="25"/>
      <c r="AA208" s="25"/>
      <c r="AB208" s="25" t="str">
        <f>'Ingest Template'!T207</f>
        <v/>
      </c>
      <c r="AC208" s="25"/>
      <c r="AD208" s="25" t="str">
        <f>'Ingest Template'!U207</f>
        <v/>
      </c>
      <c r="AE208" s="25" t="str">
        <f>'Ingest Template'!V207</f>
        <v/>
      </c>
      <c r="AF208" s="25"/>
      <c r="AG208" s="25" t="str">
        <f t="array" ref="AG208">IF('Ingest Template'!A207="Standard",(CONCATENATE(IF(ISBLANK('Ingest Template'!O207),"", 'Ingest Template'!O207&amp;"|DAR"),CHAR(10), IF(ISBLANK('Ingest Template'!P207),"", 'Ingest Template'!P207&amp;"|DAR"),CHAR(10), IF(ISBLANK('Ingest Template'!Q207),"", 'Ingest Template'!Q207&amp;"|DAR"))),(CONCATENATE(IF(ISBLANK('Ingest Template'!O207),"", 'Ingest Template'!O207&amp;"|Operations - Core Title"),CHAR(10), IF(ISBLANK('Ingest Template'!P207),"", 'Ingest Template'!P207&amp;"|Operations - Core Title"),CHAR(10), IF(ISBLANK('Ingest Template'!Q207),"", 'Ingest Template'!Q207&amp;"|Operations - Core Title"))))</f>
        <v>#|Operations - Core Title
#videoGame|Operations - Core Title
</v>
      </c>
      <c r="AH208" s="25"/>
      <c r="AI208" s="25"/>
      <c r="AJ208" s="50" t="str">
        <f>if('Ingest Template'!A207="Standard",'Ingest Template'!R207&amp; "|DAR|DAR|2021-01-01",'Ingest Template'!R207&amp; "|Operations - Core Title|Operations - Core Title")</f>
        <v>#N/A</v>
      </c>
      <c r="AK208" s="25"/>
      <c r="AL208" s="25" t="str">
        <f>if('Ingest Template'!A207="Standard",'Ingest Template'!S207&amp; "|2021-01-01",'Ingest Template'!S207)</f>
        <v>#N/A</v>
      </c>
      <c r="AM208" s="25"/>
    </row>
    <row r="209">
      <c r="A209" s="25"/>
      <c r="B209" s="25" t="str">
        <f>'Ingest Template'!C208&amp;IF('Ingest Template'!A208 = "Standard", " - DAR","")</f>
        <v/>
      </c>
      <c r="C209" s="34" t="s">
        <v>92</v>
      </c>
      <c r="D209" s="34" t="str">
        <f>CONCATENATE('Ingest Template'!E209&amp;Char(10)&amp;'Ingest Template'!G209&amp;Char(10)&amp;'Ingest Template'!H209&amp;Char(10)&amp;'Ingest Template'!I209&amp;Char(10)&amp;'Ingest Template'!J209&amp;Char(10)&amp;'Ingest Template'!K209&amp;Char(10)&amp;'Ingest Template'!L209)</f>
        <v>
</v>
      </c>
      <c r="E209" s="25" t="str">
        <f>('Ingest Template'!M209)</f>
        <v/>
      </c>
      <c r="F209" s="40" t="str">
        <f t="array" ref="F209">INDEX(DropDown!$J$2:$J$63,MATCH(1,COUNTIF(E209,DropDown!$I$2:$I$63),0))</f>
        <v>#N/A</v>
      </c>
      <c r="G209" s="25"/>
      <c r="H209" s="25"/>
      <c r="I209" s="25"/>
      <c r="J209" s="25" t="str">
        <f>'Ingest Template'!B209</f>
        <v/>
      </c>
      <c r="K209" s="25" t="str">
        <f>IF('Ingest Template'!A208="Standard",'Ingest Template'!N208,"Competitive View")</f>
        <v>Competitive View</v>
      </c>
      <c r="L209" s="41" t="s">
        <v>145</v>
      </c>
      <c r="M209" s="25" t="str">
        <f>'Ingest Template'!D208</f>
        <v/>
      </c>
      <c r="N209" s="25"/>
      <c r="O209" s="25"/>
      <c r="P209" s="25"/>
      <c r="Q209" s="25"/>
      <c r="R209" s="25" t="str">
        <f>CONCATENATE('Ingest Template'!F208)</f>
        <v/>
      </c>
      <c r="S209" s="43" t="s">
        <v>160</v>
      </c>
      <c r="T209" s="25" t="str">
        <f>'Ingest Template'!W208</f>
        <v/>
      </c>
      <c r="U209" s="25"/>
      <c r="V209" s="25" t="str">
        <f>LOWER(SUBSTITUTE(SUBSTITUTE(SUBSTITUTE(SUBSTITUTE(SUBSTITUTE('Ingest Template'!Y208,"https:",""),"www.",""),"/",""),"?hl=en",""),"instagram.com",""))</f>
        <v/>
      </c>
      <c r="W209" s="34" t="str">
        <f>(IFERROR(vlookup('Ingest Template'!F209,DropDown!D:E,2,false)&amp;'Ingest Template'!C209,""))</f>
        <v/>
      </c>
      <c r="X209" s="25" t="str">
        <f>'Ingest Template'!AA208</f>
        <v/>
      </c>
      <c r="Y209" s="25"/>
      <c r="Z209" s="25"/>
      <c r="AA209" s="25"/>
      <c r="AB209" s="25" t="str">
        <f>'Ingest Template'!T208</f>
        <v/>
      </c>
      <c r="AC209" s="25"/>
      <c r="AD209" s="25" t="str">
        <f>'Ingest Template'!U208</f>
        <v/>
      </c>
      <c r="AE209" s="25" t="str">
        <f>'Ingest Template'!V208</f>
        <v/>
      </c>
      <c r="AF209" s="25"/>
      <c r="AG209" s="25" t="str">
        <f t="array" ref="AG209">IF('Ingest Template'!A208="Standard",(CONCATENATE(IF(ISBLANK('Ingest Template'!O208),"", 'Ingest Template'!O208&amp;"|DAR"),CHAR(10), IF(ISBLANK('Ingest Template'!P208),"", 'Ingest Template'!P208&amp;"|DAR"),CHAR(10), IF(ISBLANK('Ingest Template'!Q208),"", 'Ingest Template'!Q208&amp;"|DAR"))),(CONCATENATE(IF(ISBLANK('Ingest Template'!O208),"", 'Ingest Template'!O208&amp;"|Operations - Core Title"),CHAR(10), IF(ISBLANK('Ingest Template'!P208),"", 'Ingest Template'!P208&amp;"|Operations - Core Title"),CHAR(10), IF(ISBLANK('Ingest Template'!Q208),"", 'Ingest Template'!Q208&amp;"|Operations - Core Title"))))</f>
        <v>#|Operations - Core Title
#videoGame|Operations - Core Title
</v>
      </c>
      <c r="AH209" s="25"/>
      <c r="AI209" s="25"/>
      <c r="AJ209" s="50" t="str">
        <f>if('Ingest Template'!A208="Standard",'Ingest Template'!R208&amp; "|DAR|DAR|2021-01-01",'Ingest Template'!R208&amp; "|Operations - Core Title|Operations - Core Title")</f>
        <v>#N/A</v>
      </c>
      <c r="AK209" s="25"/>
      <c r="AL209" s="25" t="str">
        <f>if('Ingest Template'!A208="Standard",'Ingest Template'!S208&amp; "|2021-01-01",'Ingest Template'!S208)</f>
        <v>#N/A</v>
      </c>
      <c r="AM209" s="25"/>
    </row>
    <row r="210">
      <c r="A210" s="25"/>
      <c r="B210" s="25" t="str">
        <f>'Ingest Template'!C209&amp;IF('Ingest Template'!A209 = "Standard", " - DAR","")</f>
        <v/>
      </c>
      <c r="C210" s="34" t="s">
        <v>92</v>
      </c>
      <c r="D210" s="34" t="str">
        <f>CONCATENATE('Ingest Template'!E210&amp;Char(10)&amp;'Ingest Template'!G210&amp;Char(10)&amp;'Ingest Template'!H210&amp;Char(10)&amp;'Ingest Template'!I210&amp;Char(10)&amp;'Ingest Template'!J210&amp;Char(10)&amp;'Ingest Template'!K210&amp;Char(10)&amp;'Ingest Template'!L210)</f>
        <v>
</v>
      </c>
      <c r="E210" s="25" t="str">
        <f>('Ingest Template'!M210)</f>
        <v/>
      </c>
      <c r="F210" s="40" t="str">
        <f t="array" ref="F210">INDEX(DropDown!$J$2:$J$63,MATCH(1,COUNTIF(E210,DropDown!$I$2:$I$63),0))</f>
        <v>#N/A</v>
      </c>
      <c r="G210" s="25"/>
      <c r="H210" s="25"/>
      <c r="I210" s="25"/>
      <c r="J210" s="25" t="str">
        <f>'Ingest Template'!B210</f>
        <v/>
      </c>
      <c r="K210" s="25" t="str">
        <f>IF('Ingest Template'!A209="Standard",'Ingest Template'!N209,"Competitive View")</f>
        <v>Competitive View</v>
      </c>
      <c r="L210" s="41" t="s">
        <v>145</v>
      </c>
      <c r="M210" s="25" t="str">
        <f>'Ingest Template'!D209</f>
        <v/>
      </c>
      <c r="N210" s="25"/>
      <c r="O210" s="25"/>
      <c r="P210" s="25"/>
      <c r="Q210" s="25"/>
      <c r="R210" s="25" t="str">
        <f>CONCATENATE('Ingest Template'!F209)</f>
        <v/>
      </c>
      <c r="S210" s="43" t="s">
        <v>160</v>
      </c>
      <c r="T210" s="25" t="str">
        <f>'Ingest Template'!W209</f>
        <v/>
      </c>
      <c r="U210" s="25"/>
      <c r="V210" s="25" t="str">
        <f>LOWER(SUBSTITUTE(SUBSTITUTE(SUBSTITUTE(SUBSTITUTE(SUBSTITUTE('Ingest Template'!Y209,"https:",""),"www.",""),"/",""),"?hl=en",""),"instagram.com",""))</f>
        <v/>
      </c>
      <c r="W210" s="34" t="str">
        <f>(IFERROR(vlookup('Ingest Template'!F210,DropDown!D:E,2,false)&amp;'Ingest Template'!C210,""))</f>
        <v/>
      </c>
      <c r="X210" s="25" t="str">
        <f>'Ingest Template'!AA209</f>
        <v/>
      </c>
      <c r="Y210" s="25"/>
      <c r="Z210" s="25"/>
      <c r="AA210" s="25"/>
      <c r="AB210" s="25" t="str">
        <f>'Ingest Template'!T209</f>
        <v/>
      </c>
      <c r="AC210" s="25"/>
      <c r="AD210" s="25" t="str">
        <f>'Ingest Template'!U209</f>
        <v/>
      </c>
      <c r="AE210" s="25" t="str">
        <f>'Ingest Template'!V209</f>
        <v/>
      </c>
      <c r="AF210" s="25"/>
      <c r="AG210" s="25" t="str">
        <f t="array" ref="AG210">IF('Ingest Template'!A209="Standard",(CONCATENATE(IF(ISBLANK('Ingest Template'!O209),"", 'Ingest Template'!O209&amp;"|DAR"),CHAR(10), IF(ISBLANK('Ingest Template'!P209),"", 'Ingest Template'!P209&amp;"|DAR"),CHAR(10), IF(ISBLANK('Ingest Template'!Q209),"", 'Ingest Template'!Q209&amp;"|DAR"))),(CONCATENATE(IF(ISBLANK('Ingest Template'!O209),"", 'Ingest Template'!O209&amp;"|Operations - Core Title"),CHAR(10), IF(ISBLANK('Ingest Template'!P209),"", 'Ingest Template'!P209&amp;"|Operations - Core Title"),CHAR(10), IF(ISBLANK('Ingest Template'!Q209),"", 'Ingest Template'!Q209&amp;"|Operations - Core Title"))))</f>
        <v>#|Operations - Core Title
#videoGame|Operations - Core Title
</v>
      </c>
      <c r="AH210" s="25"/>
      <c r="AI210" s="25"/>
      <c r="AJ210" s="50" t="str">
        <f>if('Ingest Template'!A209="Standard",'Ingest Template'!R209&amp; "|DAR|DAR|2021-01-01",'Ingest Template'!R209&amp; "|Operations - Core Title|Operations - Core Title")</f>
        <v>#N/A</v>
      </c>
      <c r="AK210" s="25"/>
      <c r="AL210" s="25" t="str">
        <f>if('Ingest Template'!A209="Standard",'Ingest Template'!S209&amp; "|2021-01-01",'Ingest Template'!S209)</f>
        <v>#N/A</v>
      </c>
      <c r="AM210" s="25"/>
    </row>
    <row r="211">
      <c r="A211" s="25"/>
      <c r="B211" s="25" t="str">
        <f>'Ingest Template'!C210&amp;IF('Ingest Template'!A210 = "Standard", " - DAR","")</f>
        <v/>
      </c>
      <c r="C211" s="34" t="s">
        <v>92</v>
      </c>
      <c r="D211" s="34" t="str">
        <f>CONCATENATE('Ingest Template'!E211&amp;Char(10)&amp;'Ingest Template'!G211&amp;Char(10)&amp;'Ingest Template'!H211&amp;Char(10)&amp;'Ingest Template'!I211&amp;Char(10)&amp;'Ingest Template'!J211&amp;Char(10)&amp;'Ingest Template'!K211&amp;Char(10)&amp;'Ingest Template'!L211)</f>
        <v>
</v>
      </c>
      <c r="E211" s="25" t="str">
        <f>('Ingest Template'!M211)</f>
        <v/>
      </c>
      <c r="F211" s="40" t="str">
        <f t="array" ref="F211">INDEX(DropDown!$J$2:$J$63,MATCH(1,COUNTIF(E211,DropDown!$I$2:$I$63),0))</f>
        <v>#N/A</v>
      </c>
      <c r="G211" s="25"/>
      <c r="H211" s="25"/>
      <c r="I211" s="25"/>
      <c r="J211" s="25" t="str">
        <f>'Ingest Template'!B211</f>
        <v/>
      </c>
      <c r="K211" s="25" t="str">
        <f>IF('Ingest Template'!A210="Standard",'Ingest Template'!N210,"Competitive View")</f>
        <v>Competitive View</v>
      </c>
      <c r="L211" s="41" t="s">
        <v>145</v>
      </c>
      <c r="M211" s="25" t="str">
        <f>'Ingest Template'!D210</f>
        <v/>
      </c>
      <c r="N211" s="25"/>
      <c r="O211" s="25"/>
      <c r="P211" s="25"/>
      <c r="Q211" s="25"/>
      <c r="R211" s="25" t="str">
        <f>CONCATENATE('Ingest Template'!F210)</f>
        <v/>
      </c>
      <c r="S211" s="43" t="s">
        <v>160</v>
      </c>
      <c r="T211" s="25" t="str">
        <f>'Ingest Template'!W210</f>
        <v/>
      </c>
      <c r="U211" s="25"/>
      <c r="V211" s="25" t="str">
        <f>LOWER(SUBSTITUTE(SUBSTITUTE(SUBSTITUTE(SUBSTITUTE(SUBSTITUTE('Ingest Template'!Y210,"https:",""),"www.",""),"/",""),"?hl=en",""),"instagram.com",""))</f>
        <v/>
      </c>
      <c r="W211" s="34" t="str">
        <f>(IFERROR(vlookup('Ingest Template'!F211,DropDown!D:E,2,false)&amp;'Ingest Template'!C211,""))</f>
        <v/>
      </c>
      <c r="X211" s="25" t="str">
        <f>'Ingest Template'!AA210</f>
        <v/>
      </c>
      <c r="Y211" s="25"/>
      <c r="Z211" s="25"/>
      <c r="AA211" s="25"/>
      <c r="AB211" s="25" t="str">
        <f>'Ingest Template'!T210</f>
        <v/>
      </c>
      <c r="AC211" s="25"/>
      <c r="AD211" s="25" t="str">
        <f>'Ingest Template'!U210</f>
        <v/>
      </c>
      <c r="AE211" s="25" t="str">
        <f>'Ingest Template'!V210</f>
        <v/>
      </c>
      <c r="AF211" s="25"/>
      <c r="AG211" s="25" t="str">
        <f t="array" ref="AG211">IF('Ingest Template'!A210="Standard",(CONCATENATE(IF(ISBLANK('Ingest Template'!O210),"", 'Ingest Template'!O210&amp;"|DAR"),CHAR(10), IF(ISBLANK('Ingest Template'!P210),"", 'Ingest Template'!P210&amp;"|DAR"),CHAR(10), IF(ISBLANK('Ingest Template'!Q210),"", 'Ingest Template'!Q210&amp;"|DAR"))),(CONCATENATE(IF(ISBLANK('Ingest Template'!O210),"", 'Ingest Template'!O210&amp;"|Operations - Core Title"),CHAR(10), IF(ISBLANK('Ingest Template'!P210),"", 'Ingest Template'!P210&amp;"|Operations - Core Title"),CHAR(10), IF(ISBLANK('Ingest Template'!Q210),"", 'Ingest Template'!Q210&amp;"|Operations - Core Title"))))</f>
        <v>#|Operations - Core Title
#videoGame|Operations - Core Title
</v>
      </c>
      <c r="AH211" s="25"/>
      <c r="AI211" s="25"/>
      <c r="AJ211" s="50" t="str">
        <f>if('Ingest Template'!A210="Standard",'Ingest Template'!R210&amp; "|DAR|DAR|2021-01-01",'Ingest Template'!R210&amp; "|Operations - Core Title|Operations - Core Title")</f>
        <v>#N/A</v>
      </c>
      <c r="AK211" s="25"/>
      <c r="AL211" s="25" t="str">
        <f>if('Ingest Template'!A210="Standard",'Ingest Template'!S210&amp; "|2021-01-01",'Ingest Template'!S210)</f>
        <v>#N/A</v>
      </c>
      <c r="AM211" s="25"/>
    </row>
    <row r="212">
      <c r="A212" s="25"/>
      <c r="B212" s="25" t="str">
        <f>'Ingest Template'!C211&amp;IF('Ingest Template'!A211 = "Standard", " - DAR","")</f>
        <v/>
      </c>
      <c r="C212" s="34" t="s">
        <v>92</v>
      </c>
      <c r="D212" s="34" t="str">
        <f>CONCATENATE('Ingest Template'!E212&amp;Char(10)&amp;'Ingest Template'!G212&amp;Char(10)&amp;'Ingest Template'!H212&amp;Char(10)&amp;'Ingest Template'!I212&amp;Char(10)&amp;'Ingest Template'!J212&amp;Char(10)&amp;'Ingest Template'!K212&amp;Char(10)&amp;'Ingest Template'!L212)</f>
        <v>
</v>
      </c>
      <c r="E212" s="25" t="str">
        <f>('Ingest Template'!M212)</f>
        <v/>
      </c>
      <c r="F212" s="40" t="str">
        <f t="array" ref="F212">INDEX(DropDown!$J$2:$J$63,MATCH(1,COUNTIF(E212,DropDown!$I$2:$I$63),0))</f>
        <v>#N/A</v>
      </c>
      <c r="G212" s="25"/>
      <c r="H212" s="25"/>
      <c r="I212" s="25"/>
      <c r="J212" s="25" t="str">
        <f>'Ingest Template'!B212</f>
        <v/>
      </c>
      <c r="K212" s="25" t="str">
        <f>IF('Ingest Template'!A211="Standard",'Ingest Template'!N211,"Competitive View")</f>
        <v>Competitive View</v>
      </c>
      <c r="L212" s="41" t="s">
        <v>145</v>
      </c>
      <c r="M212" s="25" t="str">
        <f>'Ingest Template'!D211</f>
        <v/>
      </c>
      <c r="N212" s="25"/>
      <c r="O212" s="25"/>
      <c r="P212" s="25"/>
      <c r="Q212" s="25"/>
      <c r="R212" s="25" t="str">
        <f>CONCATENATE('Ingest Template'!F211)</f>
        <v/>
      </c>
      <c r="S212" s="43" t="s">
        <v>160</v>
      </c>
      <c r="T212" s="25" t="str">
        <f>'Ingest Template'!W211</f>
        <v/>
      </c>
      <c r="U212" s="25"/>
      <c r="V212" s="25" t="str">
        <f>LOWER(SUBSTITUTE(SUBSTITUTE(SUBSTITUTE(SUBSTITUTE(SUBSTITUTE('Ingest Template'!Y211,"https:",""),"www.",""),"/",""),"?hl=en",""),"instagram.com",""))</f>
        <v/>
      </c>
      <c r="W212" s="34" t="str">
        <f>(IFERROR(vlookup('Ingest Template'!F212,DropDown!D:E,2,false)&amp;'Ingest Template'!C212,""))</f>
        <v/>
      </c>
      <c r="X212" s="25" t="str">
        <f>'Ingest Template'!AA211</f>
        <v/>
      </c>
      <c r="Y212" s="25"/>
      <c r="Z212" s="25"/>
      <c r="AA212" s="25"/>
      <c r="AB212" s="25" t="str">
        <f>'Ingest Template'!T211</f>
        <v/>
      </c>
      <c r="AC212" s="25"/>
      <c r="AD212" s="25" t="str">
        <f>'Ingest Template'!U211</f>
        <v/>
      </c>
      <c r="AE212" s="25" t="str">
        <f>'Ingest Template'!V211</f>
        <v/>
      </c>
      <c r="AF212" s="25"/>
      <c r="AG212" s="25" t="str">
        <f t="array" ref="AG212">IF('Ingest Template'!A211="Standard",(CONCATENATE(IF(ISBLANK('Ingest Template'!O211),"", 'Ingest Template'!O211&amp;"|DAR"),CHAR(10), IF(ISBLANK('Ingest Template'!P211),"", 'Ingest Template'!P211&amp;"|DAR"),CHAR(10), IF(ISBLANK('Ingest Template'!Q211),"", 'Ingest Template'!Q211&amp;"|DAR"))),(CONCATENATE(IF(ISBLANK('Ingest Template'!O211),"", 'Ingest Template'!O211&amp;"|Operations - Core Title"),CHAR(10), IF(ISBLANK('Ingest Template'!P211),"", 'Ingest Template'!P211&amp;"|Operations - Core Title"),CHAR(10), IF(ISBLANK('Ingest Template'!Q211),"", 'Ingest Template'!Q211&amp;"|Operations - Core Title"))))</f>
        <v>#|Operations - Core Title
#videoGame|Operations - Core Title
</v>
      </c>
      <c r="AH212" s="25"/>
      <c r="AI212" s="25"/>
      <c r="AJ212" s="50" t="str">
        <f>if('Ingest Template'!A211="Standard",'Ingest Template'!R211&amp; "|DAR|DAR|2021-01-01",'Ingest Template'!R211&amp; "|Operations - Core Title|Operations - Core Title")</f>
        <v>#N/A</v>
      </c>
      <c r="AK212" s="25"/>
      <c r="AL212" s="25" t="str">
        <f>if('Ingest Template'!A211="Standard",'Ingest Template'!S211&amp; "|2021-01-01",'Ingest Template'!S211)</f>
        <v>#N/A</v>
      </c>
      <c r="AM212" s="25"/>
    </row>
    <row r="213">
      <c r="A213" s="25"/>
      <c r="B213" s="25" t="str">
        <f>'Ingest Template'!C212&amp;IF('Ingest Template'!A212 = "Standard", " - DAR","")</f>
        <v/>
      </c>
      <c r="C213" s="34" t="s">
        <v>92</v>
      </c>
      <c r="D213" s="34" t="str">
        <f>CONCATENATE('Ingest Template'!E213&amp;Char(10)&amp;'Ingest Template'!G213&amp;Char(10)&amp;'Ingest Template'!H213&amp;Char(10)&amp;'Ingest Template'!I213&amp;Char(10)&amp;'Ingest Template'!J213&amp;Char(10)&amp;'Ingest Template'!K213&amp;Char(10)&amp;'Ingest Template'!L213)</f>
        <v>
</v>
      </c>
      <c r="E213" s="25" t="str">
        <f>('Ingest Template'!M213)</f>
        <v/>
      </c>
      <c r="F213" s="40" t="str">
        <f t="array" ref="F213">INDEX(DropDown!$J$2:$J$63,MATCH(1,COUNTIF(E213,DropDown!$I$2:$I$63),0))</f>
        <v>#N/A</v>
      </c>
      <c r="G213" s="25"/>
      <c r="H213" s="25"/>
      <c r="I213" s="25"/>
      <c r="J213" s="25" t="str">
        <f>'Ingest Template'!B213</f>
        <v/>
      </c>
      <c r="K213" s="25" t="str">
        <f>IF('Ingest Template'!A212="Standard",'Ingest Template'!N212,"Competitive View")</f>
        <v>Competitive View</v>
      </c>
      <c r="L213" s="41" t="s">
        <v>145</v>
      </c>
      <c r="M213" s="25" t="str">
        <f>'Ingest Template'!D212</f>
        <v/>
      </c>
      <c r="N213" s="25"/>
      <c r="O213" s="25"/>
      <c r="P213" s="25"/>
      <c r="Q213" s="25"/>
      <c r="R213" s="25" t="str">
        <f>CONCATENATE('Ingest Template'!F212)</f>
        <v/>
      </c>
      <c r="S213" s="43" t="s">
        <v>160</v>
      </c>
      <c r="T213" s="25" t="str">
        <f>'Ingest Template'!W212</f>
        <v/>
      </c>
      <c r="U213" s="25"/>
      <c r="V213" s="25" t="str">
        <f>LOWER(SUBSTITUTE(SUBSTITUTE(SUBSTITUTE(SUBSTITUTE(SUBSTITUTE('Ingest Template'!Y212,"https:",""),"www.",""),"/",""),"?hl=en",""),"instagram.com",""))</f>
        <v/>
      </c>
      <c r="W213" s="34" t="str">
        <f>(IFERROR(vlookup('Ingest Template'!F213,DropDown!D:E,2,false)&amp;'Ingest Template'!C213,""))</f>
        <v/>
      </c>
      <c r="X213" s="25" t="str">
        <f>'Ingest Template'!AA212</f>
        <v/>
      </c>
      <c r="Y213" s="25"/>
      <c r="Z213" s="25"/>
      <c r="AA213" s="25"/>
      <c r="AB213" s="25" t="str">
        <f>'Ingest Template'!T212</f>
        <v/>
      </c>
      <c r="AC213" s="25"/>
      <c r="AD213" s="25" t="str">
        <f>'Ingest Template'!U212</f>
        <v/>
      </c>
      <c r="AE213" s="25" t="str">
        <f>'Ingest Template'!V212</f>
        <v/>
      </c>
      <c r="AF213" s="25"/>
      <c r="AG213" s="25" t="str">
        <f t="array" ref="AG213">IF('Ingest Template'!A212="Standard",(CONCATENATE(IF(ISBLANK('Ingest Template'!O212),"", 'Ingest Template'!O212&amp;"|DAR"),CHAR(10), IF(ISBLANK('Ingest Template'!P212),"", 'Ingest Template'!P212&amp;"|DAR"),CHAR(10), IF(ISBLANK('Ingest Template'!Q212),"", 'Ingest Template'!Q212&amp;"|DAR"))),(CONCATENATE(IF(ISBLANK('Ingest Template'!O212),"", 'Ingest Template'!O212&amp;"|Operations - Core Title"),CHAR(10), IF(ISBLANK('Ingest Template'!P212),"", 'Ingest Template'!P212&amp;"|Operations - Core Title"),CHAR(10), IF(ISBLANK('Ingest Template'!Q212),"", 'Ingest Template'!Q212&amp;"|Operations - Core Title"))))</f>
        <v>#|Operations - Core Title
#videoGame|Operations - Core Title
</v>
      </c>
      <c r="AH213" s="25"/>
      <c r="AI213" s="25"/>
      <c r="AJ213" s="50" t="str">
        <f>if('Ingest Template'!A212="Standard",'Ingest Template'!R212&amp; "|DAR|DAR|2021-01-01",'Ingest Template'!R212&amp; "|Operations - Core Title|Operations - Core Title")</f>
        <v>#N/A</v>
      </c>
      <c r="AK213" s="25"/>
      <c r="AL213" s="25" t="str">
        <f>if('Ingest Template'!A212="Standard",'Ingest Template'!S212&amp; "|2021-01-01",'Ingest Template'!S212)</f>
        <v>#N/A</v>
      </c>
      <c r="AM213" s="25"/>
    </row>
    <row r="214">
      <c r="A214" s="25"/>
      <c r="B214" s="25" t="str">
        <f>'Ingest Template'!C213&amp;IF('Ingest Template'!A213 = "Standard", " - DAR","")</f>
        <v/>
      </c>
      <c r="C214" s="34" t="s">
        <v>92</v>
      </c>
      <c r="D214" s="34" t="str">
        <f>CONCATENATE('Ingest Template'!E214&amp;Char(10)&amp;'Ingest Template'!G214&amp;Char(10)&amp;'Ingest Template'!H214&amp;Char(10)&amp;'Ingest Template'!I214&amp;Char(10)&amp;'Ingest Template'!J214&amp;Char(10)&amp;'Ingest Template'!K214&amp;Char(10)&amp;'Ingest Template'!L214)</f>
        <v>
</v>
      </c>
      <c r="E214" s="25" t="str">
        <f>('Ingest Template'!M214)</f>
        <v/>
      </c>
      <c r="F214" s="40" t="str">
        <f t="array" ref="F214">INDEX(DropDown!$J$2:$J$63,MATCH(1,COUNTIF(E214,DropDown!$I$2:$I$63),0))</f>
        <v>#N/A</v>
      </c>
      <c r="G214" s="25"/>
      <c r="H214" s="25"/>
      <c r="I214" s="25"/>
      <c r="J214" s="25" t="str">
        <f>'Ingest Template'!B214</f>
        <v/>
      </c>
      <c r="K214" s="25" t="str">
        <f>IF('Ingest Template'!A213="Standard",'Ingest Template'!N213,"Competitive View")</f>
        <v>Competitive View</v>
      </c>
      <c r="L214" s="41" t="s">
        <v>145</v>
      </c>
      <c r="M214" s="25" t="str">
        <f>'Ingest Template'!D213</f>
        <v/>
      </c>
      <c r="N214" s="25"/>
      <c r="O214" s="25"/>
      <c r="P214" s="25"/>
      <c r="Q214" s="25"/>
      <c r="R214" s="25" t="str">
        <f>CONCATENATE('Ingest Template'!F213)</f>
        <v/>
      </c>
      <c r="S214" s="43" t="s">
        <v>160</v>
      </c>
      <c r="T214" s="25" t="str">
        <f>'Ingest Template'!W213</f>
        <v/>
      </c>
      <c r="U214" s="25"/>
      <c r="V214" s="25" t="str">
        <f>LOWER(SUBSTITUTE(SUBSTITUTE(SUBSTITUTE(SUBSTITUTE(SUBSTITUTE('Ingest Template'!Y213,"https:",""),"www.",""),"/",""),"?hl=en",""),"instagram.com",""))</f>
        <v/>
      </c>
      <c r="W214" s="34" t="str">
        <f>(IFERROR(vlookup('Ingest Template'!F214,DropDown!D:E,2,false)&amp;'Ingest Template'!C214,""))</f>
        <v/>
      </c>
      <c r="X214" s="25" t="str">
        <f>'Ingest Template'!AA213</f>
        <v/>
      </c>
      <c r="Y214" s="25"/>
      <c r="Z214" s="25"/>
      <c r="AA214" s="25"/>
      <c r="AB214" s="25" t="str">
        <f>'Ingest Template'!T213</f>
        <v/>
      </c>
      <c r="AC214" s="25"/>
      <c r="AD214" s="25" t="str">
        <f>'Ingest Template'!U213</f>
        <v/>
      </c>
      <c r="AE214" s="25" t="str">
        <f>'Ingest Template'!V213</f>
        <v/>
      </c>
      <c r="AF214" s="25"/>
      <c r="AG214" s="25" t="str">
        <f t="array" ref="AG214">IF('Ingest Template'!A213="Standard",(CONCATENATE(IF(ISBLANK('Ingest Template'!O213),"", 'Ingest Template'!O213&amp;"|DAR"),CHAR(10), IF(ISBLANK('Ingest Template'!P213),"", 'Ingest Template'!P213&amp;"|DAR"),CHAR(10), IF(ISBLANK('Ingest Template'!Q213),"", 'Ingest Template'!Q213&amp;"|DAR"))),(CONCATENATE(IF(ISBLANK('Ingest Template'!O213),"", 'Ingest Template'!O213&amp;"|Operations - Core Title"),CHAR(10), IF(ISBLANK('Ingest Template'!P213),"", 'Ingest Template'!P213&amp;"|Operations - Core Title"),CHAR(10), IF(ISBLANK('Ingest Template'!Q213),"", 'Ingest Template'!Q213&amp;"|Operations - Core Title"))))</f>
        <v>#|Operations - Core Title
#videoGame|Operations - Core Title
</v>
      </c>
      <c r="AH214" s="25"/>
      <c r="AI214" s="25"/>
      <c r="AJ214" s="50" t="str">
        <f>if('Ingest Template'!A213="Standard",'Ingest Template'!R213&amp; "|DAR|DAR|2021-01-01",'Ingest Template'!R213&amp; "|Operations - Core Title|Operations - Core Title")</f>
        <v>#N/A</v>
      </c>
      <c r="AK214" s="25"/>
      <c r="AL214" s="25" t="str">
        <f>if('Ingest Template'!A213="Standard",'Ingest Template'!S213&amp; "|2021-01-01",'Ingest Template'!S213)</f>
        <v>#N/A</v>
      </c>
      <c r="AM214" s="25"/>
    </row>
    <row r="215">
      <c r="A215" s="25"/>
      <c r="B215" s="25" t="str">
        <f>'Ingest Template'!C214&amp;IF('Ingest Template'!A214 = "Standard", " - DAR","")</f>
        <v/>
      </c>
      <c r="C215" s="34" t="s">
        <v>92</v>
      </c>
      <c r="D215" s="34" t="str">
        <f>CONCATENATE('Ingest Template'!E215&amp;Char(10)&amp;'Ingest Template'!G215&amp;Char(10)&amp;'Ingest Template'!H215&amp;Char(10)&amp;'Ingest Template'!I215&amp;Char(10)&amp;'Ingest Template'!J215&amp;Char(10)&amp;'Ingest Template'!K215&amp;Char(10)&amp;'Ingest Template'!L215)</f>
        <v>
</v>
      </c>
      <c r="E215" s="25" t="str">
        <f>('Ingest Template'!M215)</f>
        <v/>
      </c>
      <c r="F215" s="40" t="str">
        <f t="array" ref="F215">INDEX(DropDown!$J$2:$J$63,MATCH(1,COUNTIF(E215,DropDown!$I$2:$I$63),0))</f>
        <v>#N/A</v>
      </c>
      <c r="G215" s="25"/>
      <c r="H215" s="25"/>
      <c r="I215" s="25"/>
      <c r="J215" s="25" t="str">
        <f>'Ingest Template'!B215</f>
        <v/>
      </c>
      <c r="K215" s="25" t="str">
        <f>IF('Ingest Template'!A214="Standard",'Ingest Template'!N214,"Competitive View")</f>
        <v>Competitive View</v>
      </c>
      <c r="L215" s="41" t="s">
        <v>145</v>
      </c>
      <c r="M215" s="25" t="str">
        <f>'Ingest Template'!D214</f>
        <v/>
      </c>
      <c r="N215" s="25"/>
      <c r="O215" s="25"/>
      <c r="P215" s="25"/>
      <c r="Q215" s="25"/>
      <c r="R215" s="25" t="str">
        <f>CONCATENATE('Ingest Template'!F214)</f>
        <v/>
      </c>
      <c r="S215" s="43" t="s">
        <v>160</v>
      </c>
      <c r="T215" s="25" t="str">
        <f>'Ingest Template'!W214</f>
        <v/>
      </c>
      <c r="U215" s="25"/>
      <c r="V215" s="25" t="str">
        <f>LOWER(SUBSTITUTE(SUBSTITUTE(SUBSTITUTE(SUBSTITUTE(SUBSTITUTE('Ingest Template'!Y214,"https:",""),"www.",""),"/",""),"?hl=en",""),"instagram.com",""))</f>
        <v/>
      </c>
      <c r="W215" s="34" t="str">
        <f>(IFERROR(vlookup('Ingest Template'!F215,DropDown!D:E,2,false)&amp;'Ingest Template'!C215,""))</f>
        <v/>
      </c>
      <c r="X215" s="25" t="str">
        <f>'Ingest Template'!AA214</f>
        <v/>
      </c>
      <c r="Y215" s="25"/>
      <c r="Z215" s="25"/>
      <c r="AA215" s="25"/>
      <c r="AB215" s="25" t="str">
        <f>'Ingest Template'!T214</f>
        <v/>
      </c>
      <c r="AC215" s="25"/>
      <c r="AD215" s="25" t="str">
        <f>'Ingest Template'!U214</f>
        <v/>
      </c>
      <c r="AE215" s="25" t="str">
        <f>'Ingest Template'!V214</f>
        <v/>
      </c>
      <c r="AF215" s="25"/>
      <c r="AG215" s="25" t="str">
        <f t="array" ref="AG215">IF('Ingest Template'!A214="Standard",(CONCATENATE(IF(ISBLANK('Ingest Template'!O214),"", 'Ingest Template'!O214&amp;"|DAR"),CHAR(10), IF(ISBLANK('Ingest Template'!P214),"", 'Ingest Template'!P214&amp;"|DAR"),CHAR(10), IF(ISBLANK('Ingest Template'!Q214),"", 'Ingest Template'!Q214&amp;"|DAR"))),(CONCATENATE(IF(ISBLANK('Ingest Template'!O214),"", 'Ingest Template'!O214&amp;"|Operations - Core Title"),CHAR(10), IF(ISBLANK('Ingest Template'!P214),"", 'Ingest Template'!P214&amp;"|Operations - Core Title"),CHAR(10), IF(ISBLANK('Ingest Template'!Q214),"", 'Ingest Template'!Q214&amp;"|Operations - Core Title"))))</f>
        <v>#|Operations - Core Title
#videoGame|Operations - Core Title
</v>
      </c>
      <c r="AH215" s="25"/>
      <c r="AI215" s="25"/>
      <c r="AJ215" s="50" t="str">
        <f>if('Ingest Template'!A214="Standard",'Ingest Template'!R214&amp; "|DAR|DAR|2021-01-01",'Ingest Template'!R214&amp; "|Operations - Core Title|Operations - Core Title")</f>
        <v>#N/A</v>
      </c>
      <c r="AK215" s="25"/>
      <c r="AL215" s="25" t="str">
        <f>if('Ingest Template'!A214="Standard",'Ingest Template'!S214&amp; "|2021-01-01",'Ingest Template'!S214)</f>
        <v>#N/A</v>
      </c>
      <c r="AM215" s="25"/>
    </row>
    <row r="216">
      <c r="A216" s="25"/>
      <c r="B216" s="25" t="str">
        <f>'Ingest Template'!C215&amp;IF('Ingest Template'!A215 = "Standard", " - DAR","")</f>
        <v/>
      </c>
      <c r="C216" s="34" t="s">
        <v>92</v>
      </c>
      <c r="D216" s="34" t="str">
        <f>CONCATENATE('Ingest Template'!E216&amp;Char(10)&amp;'Ingest Template'!G216&amp;Char(10)&amp;'Ingest Template'!H216&amp;Char(10)&amp;'Ingest Template'!I216&amp;Char(10)&amp;'Ingest Template'!J216&amp;Char(10)&amp;'Ingest Template'!K216&amp;Char(10)&amp;'Ingest Template'!L216)</f>
        <v>
</v>
      </c>
      <c r="E216" s="25" t="str">
        <f>('Ingest Template'!M216)</f>
        <v/>
      </c>
      <c r="F216" s="40" t="str">
        <f t="array" ref="F216">INDEX(DropDown!$J$2:$J$63,MATCH(1,COUNTIF(E216,DropDown!$I$2:$I$63),0))</f>
        <v>#N/A</v>
      </c>
      <c r="G216" s="25"/>
      <c r="H216" s="25"/>
      <c r="I216" s="25"/>
      <c r="J216" s="25" t="str">
        <f>'Ingest Template'!B216</f>
        <v/>
      </c>
      <c r="K216" s="25" t="str">
        <f>IF('Ingest Template'!A215="Standard",'Ingest Template'!N215,"Competitive View")</f>
        <v>Competitive View</v>
      </c>
      <c r="L216" s="41" t="s">
        <v>145</v>
      </c>
      <c r="M216" s="25" t="str">
        <f>'Ingest Template'!D215</f>
        <v/>
      </c>
      <c r="N216" s="25"/>
      <c r="O216" s="25"/>
      <c r="P216" s="25"/>
      <c r="Q216" s="25"/>
      <c r="R216" s="25" t="str">
        <f>CONCATENATE('Ingest Template'!F215)</f>
        <v/>
      </c>
      <c r="S216" s="43" t="s">
        <v>160</v>
      </c>
      <c r="T216" s="25" t="str">
        <f>'Ingest Template'!W215</f>
        <v/>
      </c>
      <c r="U216" s="25"/>
      <c r="V216" s="25" t="str">
        <f>LOWER(SUBSTITUTE(SUBSTITUTE(SUBSTITUTE(SUBSTITUTE(SUBSTITUTE('Ingest Template'!Y215,"https:",""),"www.",""),"/",""),"?hl=en",""),"instagram.com",""))</f>
        <v/>
      </c>
      <c r="W216" s="34" t="str">
        <f>(IFERROR(vlookup('Ingest Template'!F216,DropDown!D:E,2,false)&amp;'Ingest Template'!C216,""))</f>
        <v/>
      </c>
      <c r="X216" s="25" t="str">
        <f>'Ingest Template'!AA215</f>
        <v/>
      </c>
      <c r="Y216" s="25"/>
      <c r="Z216" s="25"/>
      <c r="AA216" s="25"/>
      <c r="AB216" s="25" t="str">
        <f>'Ingest Template'!T215</f>
        <v/>
      </c>
      <c r="AC216" s="25"/>
      <c r="AD216" s="25" t="str">
        <f>'Ingest Template'!U215</f>
        <v/>
      </c>
      <c r="AE216" s="25" t="str">
        <f>'Ingest Template'!V215</f>
        <v/>
      </c>
      <c r="AF216" s="25"/>
      <c r="AG216" s="25" t="str">
        <f t="array" ref="AG216">IF('Ingest Template'!A215="Standard",(CONCATENATE(IF(ISBLANK('Ingest Template'!O215),"", 'Ingest Template'!O215&amp;"|DAR"),CHAR(10), IF(ISBLANK('Ingest Template'!P215),"", 'Ingest Template'!P215&amp;"|DAR"),CHAR(10), IF(ISBLANK('Ingest Template'!Q215),"", 'Ingest Template'!Q215&amp;"|DAR"))),(CONCATENATE(IF(ISBLANK('Ingest Template'!O215),"", 'Ingest Template'!O215&amp;"|Operations - Core Title"),CHAR(10), IF(ISBLANK('Ingest Template'!P215),"", 'Ingest Template'!P215&amp;"|Operations - Core Title"),CHAR(10), IF(ISBLANK('Ingest Template'!Q215),"", 'Ingest Template'!Q215&amp;"|Operations - Core Title"))))</f>
        <v>#|Operations - Core Title
#videoGame|Operations - Core Title
</v>
      </c>
      <c r="AH216" s="25"/>
      <c r="AI216" s="25"/>
      <c r="AJ216" s="50" t="str">
        <f>if('Ingest Template'!A215="Standard",'Ingest Template'!R215&amp; "|DAR|DAR|2021-01-01",'Ingest Template'!R215&amp; "|Operations - Core Title|Operations - Core Title")</f>
        <v>#N/A</v>
      </c>
      <c r="AK216" s="25"/>
      <c r="AL216" s="25" t="str">
        <f>if('Ingest Template'!A215="Standard",'Ingest Template'!S215&amp; "|2021-01-01",'Ingest Template'!S215)</f>
        <v>#N/A</v>
      </c>
      <c r="AM216" s="25"/>
    </row>
    <row r="217">
      <c r="A217" s="25"/>
      <c r="B217" s="25" t="str">
        <f>'Ingest Template'!C216&amp;IF('Ingest Template'!A216 = "Standard", " - DAR","")</f>
        <v/>
      </c>
      <c r="C217" s="34" t="s">
        <v>92</v>
      </c>
      <c r="D217" s="34" t="str">
        <f>CONCATENATE('Ingest Template'!E217&amp;Char(10)&amp;'Ingest Template'!G217&amp;Char(10)&amp;'Ingest Template'!H217&amp;Char(10)&amp;'Ingest Template'!I217&amp;Char(10)&amp;'Ingest Template'!J217&amp;Char(10)&amp;'Ingest Template'!K217&amp;Char(10)&amp;'Ingest Template'!L217)</f>
        <v>
</v>
      </c>
      <c r="E217" s="25" t="str">
        <f>('Ingest Template'!M217)</f>
        <v/>
      </c>
      <c r="F217" s="40" t="str">
        <f t="array" ref="F217">INDEX(DropDown!$J$2:$J$63,MATCH(1,COUNTIF(E217,DropDown!$I$2:$I$63),0))</f>
        <v>#N/A</v>
      </c>
      <c r="G217" s="25"/>
      <c r="H217" s="25"/>
      <c r="I217" s="25"/>
      <c r="J217" s="25" t="str">
        <f>'Ingest Template'!B217</f>
        <v/>
      </c>
      <c r="K217" s="25" t="str">
        <f>IF('Ingest Template'!A216="Standard",'Ingest Template'!N216,"Competitive View")</f>
        <v>Competitive View</v>
      </c>
      <c r="L217" s="41" t="s">
        <v>145</v>
      </c>
      <c r="M217" s="25" t="str">
        <f>'Ingest Template'!D216</f>
        <v/>
      </c>
      <c r="N217" s="25"/>
      <c r="O217" s="25"/>
      <c r="P217" s="25"/>
      <c r="Q217" s="25"/>
      <c r="R217" s="25" t="str">
        <f>CONCATENATE('Ingest Template'!F216)</f>
        <v/>
      </c>
      <c r="S217" s="43" t="s">
        <v>160</v>
      </c>
      <c r="T217" s="25" t="str">
        <f>'Ingest Template'!W216</f>
        <v/>
      </c>
      <c r="U217" s="25"/>
      <c r="V217" s="25" t="str">
        <f>LOWER(SUBSTITUTE(SUBSTITUTE(SUBSTITUTE(SUBSTITUTE(SUBSTITUTE('Ingest Template'!Y216,"https:",""),"www.",""),"/",""),"?hl=en",""),"instagram.com",""))</f>
        <v/>
      </c>
      <c r="W217" s="34" t="str">
        <f>(IFERROR(vlookup('Ingest Template'!F217,DropDown!D:E,2,false)&amp;'Ingest Template'!C217,""))</f>
        <v/>
      </c>
      <c r="X217" s="25" t="str">
        <f>'Ingest Template'!AA216</f>
        <v/>
      </c>
      <c r="Y217" s="25"/>
      <c r="Z217" s="25"/>
      <c r="AA217" s="25"/>
      <c r="AB217" s="25" t="str">
        <f>'Ingest Template'!T216</f>
        <v/>
      </c>
      <c r="AC217" s="25"/>
      <c r="AD217" s="25" t="str">
        <f>'Ingest Template'!U216</f>
        <v/>
      </c>
      <c r="AE217" s="25" t="str">
        <f>'Ingest Template'!V216</f>
        <v/>
      </c>
      <c r="AF217" s="25"/>
      <c r="AG217" s="25" t="str">
        <f t="array" ref="AG217">IF('Ingest Template'!A216="Standard",(CONCATENATE(IF(ISBLANK('Ingest Template'!O216),"", 'Ingest Template'!O216&amp;"|DAR"),CHAR(10), IF(ISBLANK('Ingest Template'!P216),"", 'Ingest Template'!P216&amp;"|DAR"),CHAR(10), IF(ISBLANK('Ingest Template'!Q216),"", 'Ingest Template'!Q216&amp;"|DAR"))),(CONCATENATE(IF(ISBLANK('Ingest Template'!O216),"", 'Ingest Template'!O216&amp;"|Operations - Core Title"),CHAR(10), IF(ISBLANK('Ingest Template'!P216),"", 'Ingest Template'!P216&amp;"|Operations - Core Title"),CHAR(10), IF(ISBLANK('Ingest Template'!Q216),"", 'Ingest Template'!Q216&amp;"|Operations - Core Title"))))</f>
        <v>#|Operations - Core Title
#videoGame|Operations - Core Title
</v>
      </c>
      <c r="AH217" s="25"/>
      <c r="AI217" s="25"/>
      <c r="AJ217" s="50" t="str">
        <f>if('Ingest Template'!A216="Standard",'Ingest Template'!R216&amp; "|DAR|DAR|2021-01-01",'Ingest Template'!R216&amp; "|Operations - Core Title|Operations - Core Title")</f>
        <v>#N/A</v>
      </c>
      <c r="AK217" s="25"/>
      <c r="AL217" s="25" t="str">
        <f>if('Ingest Template'!A216="Standard",'Ingest Template'!S216&amp; "|2021-01-01",'Ingest Template'!S216)</f>
        <v>#N/A</v>
      </c>
      <c r="AM217" s="25"/>
    </row>
    <row r="218">
      <c r="A218" s="25"/>
      <c r="B218" s="25" t="str">
        <f>'Ingest Template'!C217&amp;IF('Ingest Template'!A217 = "Standard", " - DAR","")</f>
        <v/>
      </c>
      <c r="C218" s="34" t="s">
        <v>92</v>
      </c>
      <c r="D218" s="34" t="str">
        <f>CONCATENATE('Ingest Template'!E218&amp;Char(10)&amp;'Ingest Template'!G218&amp;Char(10)&amp;'Ingest Template'!H218&amp;Char(10)&amp;'Ingest Template'!I218&amp;Char(10)&amp;'Ingest Template'!J218&amp;Char(10)&amp;'Ingest Template'!K218&amp;Char(10)&amp;'Ingest Template'!L218)</f>
        <v>
</v>
      </c>
      <c r="E218" s="25" t="str">
        <f>('Ingest Template'!M218)</f>
        <v/>
      </c>
      <c r="F218" s="40" t="str">
        <f t="array" ref="F218">INDEX(DropDown!$J$2:$J$63,MATCH(1,COUNTIF(E218,DropDown!$I$2:$I$63),0))</f>
        <v>#N/A</v>
      </c>
      <c r="G218" s="25"/>
      <c r="H218" s="25"/>
      <c r="I218" s="25"/>
      <c r="J218" s="25" t="str">
        <f>'Ingest Template'!B218</f>
        <v/>
      </c>
      <c r="K218" s="25" t="str">
        <f>IF('Ingest Template'!A217="Standard",'Ingest Template'!N217,"Competitive View")</f>
        <v>Competitive View</v>
      </c>
      <c r="L218" s="41" t="s">
        <v>145</v>
      </c>
      <c r="M218" s="25" t="str">
        <f>'Ingest Template'!D217</f>
        <v/>
      </c>
      <c r="N218" s="25"/>
      <c r="O218" s="25"/>
      <c r="P218" s="25"/>
      <c r="Q218" s="25"/>
      <c r="R218" s="25" t="str">
        <f>CONCATENATE('Ingest Template'!F217)</f>
        <v/>
      </c>
      <c r="S218" s="43" t="s">
        <v>160</v>
      </c>
      <c r="T218" s="25" t="str">
        <f>'Ingest Template'!W217</f>
        <v/>
      </c>
      <c r="U218" s="25"/>
      <c r="V218" s="25" t="str">
        <f>LOWER(SUBSTITUTE(SUBSTITUTE(SUBSTITUTE(SUBSTITUTE(SUBSTITUTE('Ingest Template'!Y217,"https:",""),"www.",""),"/",""),"?hl=en",""),"instagram.com",""))</f>
        <v/>
      </c>
      <c r="W218" s="34" t="str">
        <f>(IFERROR(vlookup('Ingest Template'!F218,DropDown!D:E,2,false)&amp;'Ingest Template'!C218,""))</f>
        <v/>
      </c>
      <c r="X218" s="25" t="str">
        <f>'Ingest Template'!AA217</f>
        <v/>
      </c>
      <c r="Y218" s="25"/>
      <c r="Z218" s="25"/>
      <c r="AA218" s="25"/>
      <c r="AB218" s="25" t="str">
        <f>'Ingest Template'!T217</f>
        <v/>
      </c>
      <c r="AC218" s="25"/>
      <c r="AD218" s="25" t="str">
        <f>'Ingest Template'!U217</f>
        <v/>
      </c>
      <c r="AE218" s="25" t="str">
        <f>'Ingest Template'!V217</f>
        <v/>
      </c>
      <c r="AF218" s="25"/>
      <c r="AG218" s="25" t="str">
        <f t="array" ref="AG218">IF('Ingest Template'!A217="Standard",(CONCATENATE(IF(ISBLANK('Ingest Template'!O217),"", 'Ingest Template'!O217&amp;"|DAR"),CHAR(10), IF(ISBLANK('Ingest Template'!P217),"", 'Ingest Template'!P217&amp;"|DAR"),CHAR(10), IF(ISBLANK('Ingest Template'!Q217),"", 'Ingest Template'!Q217&amp;"|DAR"))),(CONCATENATE(IF(ISBLANK('Ingest Template'!O217),"", 'Ingest Template'!O217&amp;"|Operations - Core Title"),CHAR(10), IF(ISBLANK('Ingest Template'!P217),"", 'Ingest Template'!P217&amp;"|Operations - Core Title"),CHAR(10), IF(ISBLANK('Ingest Template'!Q217),"", 'Ingest Template'!Q217&amp;"|Operations - Core Title"))))</f>
        <v>#|Operations - Core Title
#videoGame|Operations - Core Title
</v>
      </c>
      <c r="AH218" s="25"/>
      <c r="AI218" s="25"/>
      <c r="AJ218" s="50" t="str">
        <f>if('Ingest Template'!A217="Standard",'Ingest Template'!R217&amp; "|DAR|DAR|2021-01-01",'Ingest Template'!R217&amp; "|Operations - Core Title|Operations - Core Title")</f>
        <v>#N/A</v>
      </c>
      <c r="AK218" s="25"/>
      <c r="AL218" s="25" t="str">
        <f>if('Ingest Template'!A217="Standard",'Ingest Template'!S217&amp; "|2021-01-01",'Ingest Template'!S217)</f>
        <v>#N/A</v>
      </c>
      <c r="AM218" s="25"/>
    </row>
    <row r="219">
      <c r="A219" s="25"/>
      <c r="B219" s="25" t="str">
        <f>'Ingest Template'!C218&amp;IF('Ingest Template'!A218 = "Standard", " - DAR","")</f>
        <v/>
      </c>
      <c r="C219" s="34" t="s">
        <v>92</v>
      </c>
      <c r="D219" s="34" t="str">
        <f>CONCATENATE('Ingest Template'!E219&amp;Char(10)&amp;'Ingest Template'!G219&amp;Char(10)&amp;'Ingest Template'!H219&amp;Char(10)&amp;'Ingest Template'!I219&amp;Char(10)&amp;'Ingest Template'!J219&amp;Char(10)&amp;'Ingest Template'!K219&amp;Char(10)&amp;'Ingest Template'!L219)</f>
        <v>
</v>
      </c>
      <c r="E219" s="25" t="str">
        <f>('Ingest Template'!M219)</f>
        <v/>
      </c>
      <c r="F219" s="40" t="str">
        <f t="array" ref="F219">INDEX(DropDown!$J$2:$J$63,MATCH(1,COUNTIF(E219,DropDown!$I$2:$I$63),0))</f>
        <v>#N/A</v>
      </c>
      <c r="G219" s="25"/>
      <c r="H219" s="25"/>
      <c r="I219" s="25"/>
      <c r="J219" s="25" t="str">
        <f>'Ingest Template'!B219</f>
        <v/>
      </c>
      <c r="K219" s="25" t="str">
        <f>IF('Ingest Template'!A218="Standard",'Ingest Template'!N218,"Competitive View")</f>
        <v>Competitive View</v>
      </c>
      <c r="L219" s="41" t="s">
        <v>145</v>
      </c>
      <c r="M219" s="25" t="str">
        <f>'Ingest Template'!D218</f>
        <v/>
      </c>
      <c r="N219" s="25"/>
      <c r="O219" s="25"/>
      <c r="P219" s="25"/>
      <c r="Q219" s="25"/>
      <c r="R219" s="25" t="str">
        <f>CONCATENATE('Ingest Template'!F218)</f>
        <v/>
      </c>
      <c r="S219" s="43" t="s">
        <v>160</v>
      </c>
      <c r="T219" s="25" t="str">
        <f>'Ingest Template'!W218</f>
        <v/>
      </c>
      <c r="U219" s="25"/>
      <c r="V219" s="25" t="str">
        <f>LOWER(SUBSTITUTE(SUBSTITUTE(SUBSTITUTE(SUBSTITUTE(SUBSTITUTE('Ingest Template'!Y218,"https:",""),"www.",""),"/",""),"?hl=en",""),"instagram.com",""))</f>
        <v/>
      </c>
      <c r="W219" s="34" t="str">
        <f>(IFERROR(vlookup('Ingest Template'!F219,DropDown!D:E,2,false)&amp;'Ingest Template'!C219,""))</f>
        <v/>
      </c>
      <c r="X219" s="25" t="str">
        <f>'Ingest Template'!AA218</f>
        <v/>
      </c>
      <c r="Y219" s="25"/>
      <c r="Z219" s="25"/>
      <c r="AA219" s="25"/>
      <c r="AB219" s="25" t="str">
        <f>'Ingest Template'!T218</f>
        <v/>
      </c>
      <c r="AC219" s="25"/>
      <c r="AD219" s="25" t="str">
        <f>'Ingest Template'!U218</f>
        <v/>
      </c>
      <c r="AE219" s="25" t="str">
        <f>'Ingest Template'!V218</f>
        <v/>
      </c>
      <c r="AF219" s="25"/>
      <c r="AG219" s="25" t="str">
        <f t="array" ref="AG219">IF('Ingest Template'!A218="Standard",(CONCATENATE(IF(ISBLANK('Ingest Template'!O218),"", 'Ingest Template'!O218&amp;"|DAR"),CHAR(10), IF(ISBLANK('Ingest Template'!P218),"", 'Ingest Template'!P218&amp;"|DAR"),CHAR(10), IF(ISBLANK('Ingest Template'!Q218),"", 'Ingest Template'!Q218&amp;"|DAR"))),(CONCATENATE(IF(ISBLANK('Ingest Template'!O218),"", 'Ingest Template'!O218&amp;"|Operations - Core Title"),CHAR(10), IF(ISBLANK('Ingest Template'!P218),"", 'Ingest Template'!P218&amp;"|Operations - Core Title"),CHAR(10), IF(ISBLANK('Ingest Template'!Q218),"", 'Ingest Template'!Q218&amp;"|Operations - Core Title"))))</f>
        <v>#|Operations - Core Title
#videoGame|Operations - Core Title
</v>
      </c>
      <c r="AH219" s="25"/>
      <c r="AI219" s="25"/>
      <c r="AJ219" s="50" t="str">
        <f>if('Ingest Template'!A218="Standard",'Ingest Template'!R218&amp; "|DAR|DAR|2021-01-01",'Ingest Template'!R218&amp; "|Operations - Core Title|Operations - Core Title")</f>
        <v>#N/A</v>
      </c>
      <c r="AK219" s="25"/>
      <c r="AL219" s="25" t="str">
        <f>if('Ingest Template'!A218="Standard",'Ingest Template'!S218&amp; "|2021-01-01",'Ingest Template'!S218)</f>
        <v>#N/A</v>
      </c>
      <c r="AM219" s="25"/>
    </row>
    <row r="220">
      <c r="A220" s="25"/>
      <c r="B220" s="25" t="str">
        <f>'Ingest Template'!C219&amp;IF('Ingest Template'!A219 = "Standard", " - DAR","")</f>
        <v/>
      </c>
      <c r="C220" s="34" t="s">
        <v>92</v>
      </c>
      <c r="D220" s="34" t="str">
        <f>CONCATENATE('Ingest Template'!E220&amp;Char(10)&amp;'Ingest Template'!G220&amp;Char(10)&amp;'Ingest Template'!H220&amp;Char(10)&amp;'Ingest Template'!I220&amp;Char(10)&amp;'Ingest Template'!J220&amp;Char(10)&amp;'Ingest Template'!K220&amp;Char(10)&amp;'Ingest Template'!L220)</f>
        <v>
</v>
      </c>
      <c r="E220" s="25" t="str">
        <f>('Ingest Template'!M220)</f>
        <v/>
      </c>
      <c r="F220" s="40" t="str">
        <f t="array" ref="F220">INDEX(DropDown!$J$2:$J$63,MATCH(1,COUNTIF(E220,DropDown!$I$2:$I$63),0))</f>
        <v>#N/A</v>
      </c>
      <c r="G220" s="25"/>
      <c r="H220" s="25"/>
      <c r="I220" s="25"/>
      <c r="J220" s="25" t="str">
        <f>'Ingest Template'!B220</f>
        <v/>
      </c>
      <c r="K220" s="25" t="str">
        <f>IF('Ingest Template'!A219="Standard",'Ingest Template'!N219,"Competitive View")</f>
        <v>Competitive View</v>
      </c>
      <c r="L220" s="41" t="s">
        <v>145</v>
      </c>
      <c r="M220" s="25" t="str">
        <f>'Ingest Template'!D219</f>
        <v/>
      </c>
      <c r="N220" s="25"/>
      <c r="O220" s="25"/>
      <c r="P220" s="25"/>
      <c r="Q220" s="25"/>
      <c r="R220" s="25" t="str">
        <f>CONCATENATE('Ingest Template'!F219)</f>
        <v/>
      </c>
      <c r="S220" s="43" t="s">
        <v>160</v>
      </c>
      <c r="T220" s="25" t="str">
        <f>'Ingest Template'!W219</f>
        <v/>
      </c>
      <c r="U220" s="25"/>
      <c r="V220" s="25" t="str">
        <f>LOWER(SUBSTITUTE(SUBSTITUTE(SUBSTITUTE(SUBSTITUTE(SUBSTITUTE('Ingest Template'!Y219,"https:",""),"www.",""),"/",""),"?hl=en",""),"instagram.com",""))</f>
        <v/>
      </c>
      <c r="W220" s="34" t="str">
        <f>(IFERROR(vlookup('Ingest Template'!F220,DropDown!D:E,2,false)&amp;'Ingest Template'!C220,""))</f>
        <v/>
      </c>
      <c r="X220" s="25" t="str">
        <f>'Ingest Template'!AA219</f>
        <v/>
      </c>
      <c r="Y220" s="25"/>
      <c r="Z220" s="25"/>
      <c r="AA220" s="25"/>
      <c r="AB220" s="25" t="str">
        <f>'Ingest Template'!T219</f>
        <v/>
      </c>
      <c r="AC220" s="25"/>
      <c r="AD220" s="25" t="str">
        <f>'Ingest Template'!U219</f>
        <v/>
      </c>
      <c r="AE220" s="25" t="str">
        <f>'Ingest Template'!V219</f>
        <v/>
      </c>
      <c r="AF220" s="25"/>
      <c r="AG220" s="25" t="str">
        <f t="array" ref="AG220">IF('Ingest Template'!A219="Standard",(CONCATENATE(IF(ISBLANK('Ingest Template'!O219),"", 'Ingest Template'!O219&amp;"|DAR"),CHAR(10), IF(ISBLANK('Ingest Template'!P219),"", 'Ingest Template'!P219&amp;"|DAR"),CHAR(10), IF(ISBLANK('Ingest Template'!Q219),"", 'Ingest Template'!Q219&amp;"|DAR"))),(CONCATENATE(IF(ISBLANK('Ingest Template'!O219),"", 'Ingest Template'!O219&amp;"|Operations - Core Title"),CHAR(10), IF(ISBLANK('Ingest Template'!P219),"", 'Ingest Template'!P219&amp;"|Operations - Core Title"),CHAR(10), IF(ISBLANK('Ingest Template'!Q219),"", 'Ingest Template'!Q219&amp;"|Operations - Core Title"))))</f>
        <v>#|Operations - Core Title
#videoGame|Operations - Core Title
</v>
      </c>
      <c r="AH220" s="25"/>
      <c r="AI220" s="25"/>
      <c r="AJ220" s="50" t="str">
        <f>if('Ingest Template'!A219="Standard",'Ingest Template'!R219&amp; "|DAR|DAR|2021-01-01",'Ingest Template'!R219&amp; "|Operations - Core Title|Operations - Core Title")</f>
        <v>#N/A</v>
      </c>
      <c r="AK220" s="25"/>
      <c r="AL220" s="25" t="str">
        <f>if('Ingest Template'!A219="Standard",'Ingest Template'!S219&amp; "|2021-01-01",'Ingest Template'!S219)</f>
        <v>#N/A</v>
      </c>
      <c r="AM220" s="25"/>
    </row>
    <row r="221">
      <c r="A221" s="25"/>
      <c r="B221" s="25" t="str">
        <f>'Ingest Template'!C220&amp;IF('Ingest Template'!A220 = "Standard", " - DAR","")</f>
        <v/>
      </c>
      <c r="C221" s="34" t="s">
        <v>92</v>
      </c>
      <c r="D221" s="34" t="str">
        <f>CONCATENATE('Ingest Template'!E221&amp;Char(10)&amp;'Ingest Template'!G221&amp;Char(10)&amp;'Ingest Template'!H221&amp;Char(10)&amp;'Ingest Template'!I221&amp;Char(10)&amp;'Ingest Template'!J221&amp;Char(10)&amp;'Ingest Template'!K221&amp;Char(10)&amp;'Ingest Template'!L221)</f>
        <v>
</v>
      </c>
      <c r="E221" s="25" t="str">
        <f>('Ingest Template'!M221)</f>
        <v/>
      </c>
      <c r="F221" s="40" t="str">
        <f t="array" ref="F221">INDEX(DropDown!$J$2:$J$63,MATCH(1,COUNTIF(E221,DropDown!$I$2:$I$63),0))</f>
        <v>#N/A</v>
      </c>
      <c r="G221" s="25"/>
      <c r="H221" s="25"/>
      <c r="I221" s="25"/>
      <c r="J221" s="25" t="str">
        <f>'Ingest Template'!B221</f>
        <v/>
      </c>
      <c r="K221" s="25" t="str">
        <f>IF('Ingest Template'!A220="Standard",'Ingest Template'!N220,"Competitive View")</f>
        <v>Competitive View</v>
      </c>
      <c r="L221" s="41" t="s">
        <v>145</v>
      </c>
      <c r="M221" s="25" t="str">
        <f>'Ingest Template'!D220</f>
        <v/>
      </c>
      <c r="N221" s="25"/>
      <c r="O221" s="25"/>
      <c r="P221" s="25"/>
      <c r="Q221" s="25"/>
      <c r="R221" s="25" t="str">
        <f>CONCATENATE('Ingest Template'!F220)</f>
        <v/>
      </c>
      <c r="S221" s="43" t="s">
        <v>160</v>
      </c>
      <c r="T221" s="25" t="str">
        <f>'Ingest Template'!W220</f>
        <v/>
      </c>
      <c r="U221" s="25"/>
      <c r="V221" s="25" t="str">
        <f>LOWER(SUBSTITUTE(SUBSTITUTE(SUBSTITUTE(SUBSTITUTE(SUBSTITUTE('Ingest Template'!Y220,"https:",""),"www.",""),"/",""),"?hl=en",""),"instagram.com",""))</f>
        <v/>
      </c>
      <c r="W221" s="34" t="str">
        <f>(IFERROR(vlookup('Ingest Template'!F221,DropDown!D:E,2,false)&amp;'Ingest Template'!C221,""))</f>
        <v/>
      </c>
      <c r="X221" s="25" t="str">
        <f>'Ingest Template'!AA220</f>
        <v/>
      </c>
      <c r="Y221" s="25"/>
      <c r="Z221" s="25"/>
      <c r="AA221" s="25"/>
      <c r="AB221" s="25" t="str">
        <f>'Ingest Template'!T220</f>
        <v/>
      </c>
      <c r="AC221" s="25"/>
      <c r="AD221" s="25" t="str">
        <f>'Ingest Template'!U220</f>
        <v/>
      </c>
      <c r="AE221" s="25" t="str">
        <f>'Ingest Template'!V220</f>
        <v/>
      </c>
      <c r="AF221" s="25"/>
      <c r="AG221" s="25" t="str">
        <f t="array" ref="AG221">IF('Ingest Template'!A220="Standard",(CONCATENATE(IF(ISBLANK('Ingest Template'!O220),"", 'Ingest Template'!O220&amp;"|DAR"),CHAR(10), IF(ISBLANK('Ingest Template'!P220),"", 'Ingest Template'!P220&amp;"|DAR"),CHAR(10), IF(ISBLANK('Ingest Template'!Q220),"", 'Ingest Template'!Q220&amp;"|DAR"))),(CONCATENATE(IF(ISBLANK('Ingest Template'!O220),"", 'Ingest Template'!O220&amp;"|Operations - Core Title"),CHAR(10), IF(ISBLANK('Ingest Template'!P220),"", 'Ingest Template'!P220&amp;"|Operations - Core Title"),CHAR(10), IF(ISBLANK('Ingest Template'!Q220),"", 'Ingest Template'!Q220&amp;"|Operations - Core Title"))))</f>
        <v>#|Operations - Core Title
#videoGame|Operations - Core Title
</v>
      </c>
      <c r="AH221" s="25"/>
      <c r="AI221" s="25"/>
      <c r="AJ221" s="50" t="str">
        <f>if('Ingest Template'!A220="Standard",'Ingest Template'!R220&amp; "|DAR|DAR|2021-01-01",'Ingest Template'!R220&amp; "|Operations - Core Title|Operations - Core Title")</f>
        <v>#N/A</v>
      </c>
      <c r="AK221" s="25"/>
      <c r="AL221" s="25" t="str">
        <f>if('Ingest Template'!A220="Standard",'Ingest Template'!S220&amp; "|2021-01-01",'Ingest Template'!S220)</f>
        <v>#N/A</v>
      </c>
      <c r="AM221" s="25"/>
    </row>
    <row r="222">
      <c r="A222" s="25"/>
      <c r="B222" s="25" t="str">
        <f>'Ingest Template'!C221&amp;IF('Ingest Template'!A221 = "Standard", " - DAR","")</f>
        <v/>
      </c>
      <c r="C222" s="34" t="s">
        <v>92</v>
      </c>
      <c r="D222" s="34" t="str">
        <f>CONCATENATE('Ingest Template'!E222&amp;Char(10)&amp;'Ingest Template'!G222&amp;Char(10)&amp;'Ingest Template'!H222&amp;Char(10)&amp;'Ingest Template'!I222&amp;Char(10)&amp;'Ingest Template'!J222&amp;Char(10)&amp;'Ingest Template'!K222&amp;Char(10)&amp;'Ingest Template'!L222)</f>
        <v>
</v>
      </c>
      <c r="E222" s="25" t="str">
        <f>('Ingest Template'!M222)</f>
        <v/>
      </c>
      <c r="F222" s="40" t="str">
        <f t="array" ref="F222">INDEX(DropDown!$J$2:$J$63,MATCH(1,COUNTIF(E222,DropDown!$I$2:$I$63),0))</f>
        <v>#N/A</v>
      </c>
      <c r="G222" s="25"/>
      <c r="H222" s="25"/>
      <c r="I222" s="25"/>
      <c r="J222" s="25" t="str">
        <f>'Ingest Template'!B222</f>
        <v/>
      </c>
      <c r="K222" s="25" t="str">
        <f>IF('Ingest Template'!A221="Standard",'Ingest Template'!N221,"Competitive View")</f>
        <v>Competitive View</v>
      </c>
      <c r="L222" s="41" t="s">
        <v>145</v>
      </c>
      <c r="M222" s="25" t="str">
        <f>'Ingest Template'!D221</f>
        <v/>
      </c>
      <c r="N222" s="25"/>
      <c r="O222" s="25"/>
      <c r="P222" s="25"/>
      <c r="Q222" s="25"/>
      <c r="R222" s="25" t="str">
        <f>CONCATENATE('Ingest Template'!F221)</f>
        <v/>
      </c>
      <c r="S222" s="43" t="s">
        <v>160</v>
      </c>
      <c r="T222" s="25" t="str">
        <f>'Ingest Template'!W221</f>
        <v/>
      </c>
      <c r="U222" s="25"/>
      <c r="V222" s="25" t="str">
        <f>LOWER(SUBSTITUTE(SUBSTITUTE(SUBSTITUTE(SUBSTITUTE(SUBSTITUTE('Ingest Template'!Y221,"https:",""),"www.",""),"/",""),"?hl=en",""),"instagram.com",""))</f>
        <v/>
      </c>
      <c r="W222" s="34" t="str">
        <f>(IFERROR(vlookup('Ingest Template'!F222,DropDown!D:E,2,false)&amp;'Ingest Template'!C222,""))</f>
        <v/>
      </c>
      <c r="X222" s="25" t="str">
        <f>'Ingest Template'!AA221</f>
        <v/>
      </c>
      <c r="Y222" s="25"/>
      <c r="Z222" s="25"/>
      <c r="AA222" s="25"/>
      <c r="AB222" s="25" t="str">
        <f>'Ingest Template'!T221</f>
        <v/>
      </c>
      <c r="AC222" s="25"/>
      <c r="AD222" s="25" t="str">
        <f>'Ingest Template'!U221</f>
        <v/>
      </c>
      <c r="AE222" s="25" t="str">
        <f>'Ingest Template'!V221</f>
        <v/>
      </c>
      <c r="AF222" s="25"/>
      <c r="AG222" s="25" t="str">
        <f t="array" ref="AG222">IF('Ingest Template'!A221="Standard",(CONCATENATE(IF(ISBLANK('Ingest Template'!O221),"", 'Ingest Template'!O221&amp;"|DAR"),CHAR(10), IF(ISBLANK('Ingest Template'!P221),"", 'Ingest Template'!P221&amp;"|DAR"),CHAR(10), IF(ISBLANK('Ingest Template'!Q221),"", 'Ingest Template'!Q221&amp;"|DAR"))),(CONCATENATE(IF(ISBLANK('Ingest Template'!O221),"", 'Ingest Template'!O221&amp;"|Operations - Core Title"),CHAR(10), IF(ISBLANK('Ingest Template'!P221),"", 'Ingest Template'!P221&amp;"|Operations - Core Title"),CHAR(10), IF(ISBLANK('Ingest Template'!Q221),"", 'Ingest Template'!Q221&amp;"|Operations - Core Title"))))</f>
        <v>#|Operations - Core Title
#videoGame|Operations - Core Title
</v>
      </c>
      <c r="AH222" s="25"/>
      <c r="AI222" s="25"/>
      <c r="AJ222" s="50" t="str">
        <f>if('Ingest Template'!A221="Standard",'Ingest Template'!R221&amp; "|DAR|DAR|2021-01-01",'Ingest Template'!R221&amp; "|Operations - Core Title|Operations - Core Title")</f>
        <v>#N/A</v>
      </c>
      <c r="AK222" s="25"/>
      <c r="AL222" s="25" t="str">
        <f>if('Ingest Template'!A221="Standard",'Ingest Template'!S221&amp; "|2021-01-01",'Ingest Template'!S221)</f>
        <v>#N/A</v>
      </c>
      <c r="AM222" s="25"/>
    </row>
    <row r="223">
      <c r="A223" s="25"/>
      <c r="B223" s="25" t="str">
        <f>'Ingest Template'!C222&amp;IF('Ingest Template'!A222 = "Standard", " - DAR","")</f>
        <v/>
      </c>
      <c r="C223" s="34" t="s">
        <v>92</v>
      </c>
      <c r="D223" s="34" t="str">
        <f>CONCATENATE('Ingest Template'!E223&amp;Char(10)&amp;'Ingest Template'!G223&amp;Char(10)&amp;'Ingest Template'!H223&amp;Char(10)&amp;'Ingest Template'!I223&amp;Char(10)&amp;'Ingest Template'!J223&amp;Char(10)&amp;'Ingest Template'!K223&amp;Char(10)&amp;'Ingest Template'!L223)</f>
        <v>
</v>
      </c>
      <c r="E223" s="25" t="str">
        <f>('Ingest Template'!M223)</f>
        <v/>
      </c>
      <c r="F223" s="40" t="str">
        <f t="array" ref="F223">INDEX(DropDown!$J$2:$J$63,MATCH(1,COUNTIF(E223,DropDown!$I$2:$I$63),0))</f>
        <v>#N/A</v>
      </c>
      <c r="G223" s="25"/>
      <c r="H223" s="25"/>
      <c r="I223" s="25"/>
      <c r="J223" s="25" t="str">
        <f>'Ingest Template'!B223</f>
        <v/>
      </c>
      <c r="K223" s="25" t="str">
        <f>IF('Ingest Template'!A222="Standard",'Ingest Template'!N222,"Competitive View")</f>
        <v>Competitive View</v>
      </c>
      <c r="L223" s="41" t="s">
        <v>145</v>
      </c>
      <c r="M223" s="25" t="str">
        <f>'Ingest Template'!D222</f>
        <v/>
      </c>
      <c r="N223" s="25"/>
      <c r="O223" s="25"/>
      <c r="P223" s="25"/>
      <c r="Q223" s="25"/>
      <c r="R223" s="25" t="str">
        <f>CONCATENATE('Ingest Template'!F222)</f>
        <v/>
      </c>
      <c r="S223" s="43" t="s">
        <v>160</v>
      </c>
      <c r="T223" s="25" t="str">
        <f>'Ingest Template'!W222</f>
        <v/>
      </c>
      <c r="U223" s="25"/>
      <c r="V223" s="25" t="str">
        <f>LOWER(SUBSTITUTE(SUBSTITUTE(SUBSTITUTE(SUBSTITUTE(SUBSTITUTE('Ingest Template'!Y222,"https:",""),"www.",""),"/",""),"?hl=en",""),"instagram.com",""))</f>
        <v/>
      </c>
      <c r="W223" s="34" t="str">
        <f>(IFERROR(vlookup('Ingest Template'!F223,DropDown!D:E,2,false)&amp;'Ingest Template'!C223,""))</f>
        <v/>
      </c>
      <c r="X223" s="25" t="str">
        <f>'Ingest Template'!AA222</f>
        <v/>
      </c>
      <c r="Y223" s="25"/>
      <c r="Z223" s="25"/>
      <c r="AA223" s="25"/>
      <c r="AB223" s="25" t="str">
        <f>'Ingest Template'!T222</f>
        <v/>
      </c>
      <c r="AC223" s="25"/>
      <c r="AD223" s="25" t="str">
        <f>'Ingest Template'!U222</f>
        <v/>
      </c>
      <c r="AE223" s="25" t="str">
        <f>'Ingest Template'!V222</f>
        <v/>
      </c>
      <c r="AF223" s="25"/>
      <c r="AG223" s="25" t="str">
        <f t="array" ref="AG223">IF('Ingest Template'!A222="Standard",(CONCATENATE(IF(ISBLANK('Ingest Template'!O222),"", 'Ingest Template'!O222&amp;"|DAR"),CHAR(10), IF(ISBLANK('Ingest Template'!P222),"", 'Ingest Template'!P222&amp;"|DAR"),CHAR(10), IF(ISBLANK('Ingest Template'!Q222),"", 'Ingest Template'!Q222&amp;"|DAR"))),(CONCATENATE(IF(ISBLANK('Ingest Template'!O222),"", 'Ingest Template'!O222&amp;"|Operations - Core Title"),CHAR(10), IF(ISBLANK('Ingest Template'!P222),"", 'Ingest Template'!P222&amp;"|Operations - Core Title"),CHAR(10), IF(ISBLANK('Ingest Template'!Q222),"", 'Ingest Template'!Q222&amp;"|Operations - Core Title"))))</f>
        <v>#|Operations - Core Title
#videoGame|Operations - Core Title
</v>
      </c>
      <c r="AH223" s="25"/>
      <c r="AI223" s="25"/>
      <c r="AJ223" s="50" t="str">
        <f>if('Ingest Template'!A222="Standard",'Ingest Template'!R222&amp; "|DAR|DAR|2021-01-01",'Ingest Template'!R222&amp; "|Operations - Core Title|Operations - Core Title")</f>
        <v>#N/A</v>
      </c>
      <c r="AK223" s="25"/>
      <c r="AL223" s="25" t="str">
        <f>if('Ingest Template'!A222="Standard",'Ingest Template'!S222&amp; "|2021-01-01",'Ingest Template'!S222)</f>
        <v>#N/A</v>
      </c>
      <c r="AM223" s="25"/>
    </row>
    <row r="224">
      <c r="A224" s="25"/>
      <c r="B224" s="25" t="str">
        <f>'Ingest Template'!C223&amp;IF('Ingest Template'!A223 = "Standard", " - DAR","")</f>
        <v/>
      </c>
      <c r="C224" s="34" t="s">
        <v>92</v>
      </c>
      <c r="D224" s="34" t="str">
        <f>CONCATENATE('Ingest Template'!E224&amp;Char(10)&amp;'Ingest Template'!G224&amp;Char(10)&amp;'Ingest Template'!H224&amp;Char(10)&amp;'Ingest Template'!I224&amp;Char(10)&amp;'Ingest Template'!J224&amp;Char(10)&amp;'Ingest Template'!K224&amp;Char(10)&amp;'Ingest Template'!L224)</f>
        <v>
</v>
      </c>
      <c r="E224" s="25" t="str">
        <f>('Ingest Template'!M224)</f>
        <v/>
      </c>
      <c r="F224" s="40" t="str">
        <f t="array" ref="F224">INDEX(DropDown!$J$2:$J$63,MATCH(1,COUNTIF(E224,DropDown!$I$2:$I$63),0))</f>
        <v>#N/A</v>
      </c>
      <c r="G224" s="25"/>
      <c r="H224" s="25"/>
      <c r="I224" s="25"/>
      <c r="J224" s="25" t="str">
        <f>'Ingest Template'!B224</f>
        <v/>
      </c>
      <c r="K224" s="25" t="str">
        <f>IF('Ingest Template'!A223="Standard",'Ingest Template'!N223,"Competitive View")</f>
        <v>Competitive View</v>
      </c>
      <c r="L224" s="41" t="s">
        <v>145</v>
      </c>
      <c r="M224" s="25" t="str">
        <f>'Ingest Template'!D223</f>
        <v/>
      </c>
      <c r="N224" s="25"/>
      <c r="O224" s="25"/>
      <c r="P224" s="25"/>
      <c r="Q224" s="25"/>
      <c r="R224" s="25" t="str">
        <f>CONCATENATE('Ingest Template'!F223)</f>
        <v/>
      </c>
      <c r="S224" s="43" t="s">
        <v>160</v>
      </c>
      <c r="T224" s="25" t="str">
        <f>'Ingest Template'!W223</f>
        <v/>
      </c>
      <c r="U224" s="25"/>
      <c r="V224" s="25" t="str">
        <f>LOWER(SUBSTITUTE(SUBSTITUTE(SUBSTITUTE(SUBSTITUTE(SUBSTITUTE('Ingest Template'!Y223,"https:",""),"www.",""),"/",""),"?hl=en",""),"instagram.com",""))</f>
        <v/>
      </c>
      <c r="W224" s="34" t="str">
        <f>(IFERROR(vlookup('Ingest Template'!F224,DropDown!D:E,2,false)&amp;'Ingest Template'!C224,""))</f>
        <v/>
      </c>
      <c r="X224" s="25" t="str">
        <f>'Ingest Template'!AA223</f>
        <v/>
      </c>
      <c r="Y224" s="25"/>
      <c r="Z224" s="25"/>
      <c r="AA224" s="25"/>
      <c r="AB224" s="25" t="str">
        <f>'Ingest Template'!T223</f>
        <v/>
      </c>
      <c r="AC224" s="25"/>
      <c r="AD224" s="25" t="str">
        <f>'Ingest Template'!U223</f>
        <v/>
      </c>
      <c r="AE224" s="25" t="str">
        <f>'Ingest Template'!V223</f>
        <v/>
      </c>
      <c r="AF224" s="25"/>
      <c r="AG224" s="25" t="str">
        <f t="array" ref="AG224">IF('Ingest Template'!A223="Standard",(CONCATENATE(IF(ISBLANK('Ingest Template'!O223),"", 'Ingest Template'!O223&amp;"|DAR"),CHAR(10), IF(ISBLANK('Ingest Template'!P223),"", 'Ingest Template'!P223&amp;"|DAR"),CHAR(10), IF(ISBLANK('Ingest Template'!Q223),"", 'Ingest Template'!Q223&amp;"|DAR"))),(CONCATENATE(IF(ISBLANK('Ingest Template'!O223),"", 'Ingest Template'!O223&amp;"|Operations - Core Title"),CHAR(10), IF(ISBLANK('Ingest Template'!P223),"", 'Ingest Template'!P223&amp;"|Operations - Core Title"),CHAR(10), IF(ISBLANK('Ingest Template'!Q223),"", 'Ingest Template'!Q223&amp;"|Operations - Core Title"))))</f>
        <v>#|Operations - Core Title
#videoGame|Operations - Core Title
</v>
      </c>
      <c r="AH224" s="25"/>
      <c r="AI224" s="25"/>
      <c r="AJ224" s="50" t="str">
        <f>if('Ingest Template'!A223="Standard",'Ingest Template'!R223&amp; "|DAR|DAR|2021-01-01",'Ingest Template'!R223&amp; "|Operations - Core Title|Operations - Core Title")</f>
        <v>#N/A</v>
      </c>
      <c r="AK224" s="25"/>
      <c r="AL224" s="25" t="str">
        <f>if('Ingest Template'!A223="Standard",'Ingest Template'!S223&amp; "|2021-01-01",'Ingest Template'!S223)</f>
        <v>#N/A</v>
      </c>
      <c r="AM224" s="25"/>
    </row>
    <row r="225">
      <c r="A225" s="25"/>
      <c r="B225" s="25" t="str">
        <f>'Ingest Template'!C224&amp;IF('Ingest Template'!A224 = "Standard", " - DAR","")</f>
        <v/>
      </c>
      <c r="C225" s="34" t="s">
        <v>92</v>
      </c>
      <c r="D225" s="34" t="str">
        <f>CONCATENATE('Ingest Template'!E225&amp;Char(10)&amp;'Ingest Template'!G225&amp;Char(10)&amp;'Ingest Template'!H225&amp;Char(10)&amp;'Ingest Template'!I225&amp;Char(10)&amp;'Ingest Template'!J225&amp;Char(10)&amp;'Ingest Template'!K225&amp;Char(10)&amp;'Ingest Template'!L225)</f>
        <v>
</v>
      </c>
      <c r="E225" s="25" t="str">
        <f>('Ingest Template'!M225)</f>
        <v/>
      </c>
      <c r="F225" s="40" t="str">
        <f t="array" ref="F225">INDEX(DropDown!$J$2:$J$63,MATCH(1,COUNTIF(E225,DropDown!$I$2:$I$63),0))</f>
        <v>#N/A</v>
      </c>
      <c r="G225" s="25"/>
      <c r="H225" s="25"/>
      <c r="I225" s="25"/>
      <c r="J225" s="25" t="str">
        <f>'Ingest Template'!B225</f>
        <v/>
      </c>
      <c r="K225" s="25" t="str">
        <f>IF('Ingest Template'!A224="Standard",'Ingest Template'!N224,"Competitive View")</f>
        <v>Competitive View</v>
      </c>
      <c r="L225" s="41" t="s">
        <v>145</v>
      </c>
      <c r="M225" s="25" t="str">
        <f>'Ingest Template'!D224</f>
        <v/>
      </c>
      <c r="N225" s="25"/>
      <c r="O225" s="25"/>
      <c r="P225" s="25"/>
      <c r="Q225" s="25"/>
      <c r="R225" s="25" t="str">
        <f>CONCATENATE('Ingest Template'!F224)</f>
        <v/>
      </c>
      <c r="S225" s="43" t="s">
        <v>160</v>
      </c>
      <c r="T225" s="25" t="str">
        <f>'Ingest Template'!W224</f>
        <v/>
      </c>
      <c r="U225" s="25"/>
      <c r="V225" s="25" t="str">
        <f>LOWER(SUBSTITUTE(SUBSTITUTE(SUBSTITUTE(SUBSTITUTE(SUBSTITUTE('Ingest Template'!Y224,"https:",""),"www.",""),"/",""),"?hl=en",""),"instagram.com",""))</f>
        <v/>
      </c>
      <c r="W225" s="34" t="str">
        <f>(IFERROR(vlookup('Ingest Template'!F225,DropDown!D:E,2,false)&amp;'Ingest Template'!C225,""))</f>
        <v/>
      </c>
      <c r="X225" s="25" t="str">
        <f>'Ingest Template'!AA224</f>
        <v/>
      </c>
      <c r="Y225" s="25"/>
      <c r="Z225" s="25"/>
      <c r="AA225" s="25"/>
      <c r="AB225" s="25" t="str">
        <f>'Ingest Template'!T224</f>
        <v/>
      </c>
      <c r="AC225" s="25"/>
      <c r="AD225" s="25" t="str">
        <f>'Ingest Template'!U224</f>
        <v/>
      </c>
      <c r="AE225" s="25" t="str">
        <f>'Ingest Template'!V224</f>
        <v/>
      </c>
      <c r="AF225" s="25"/>
      <c r="AG225" s="25" t="str">
        <f t="array" ref="AG225">IF('Ingest Template'!A224="Standard",(CONCATENATE(IF(ISBLANK('Ingest Template'!O224),"", 'Ingest Template'!O224&amp;"|DAR"),CHAR(10), IF(ISBLANK('Ingest Template'!P224),"", 'Ingest Template'!P224&amp;"|DAR"),CHAR(10), IF(ISBLANK('Ingest Template'!Q224),"", 'Ingest Template'!Q224&amp;"|DAR"))),(CONCATENATE(IF(ISBLANK('Ingest Template'!O224),"", 'Ingest Template'!O224&amp;"|Operations - Core Title"),CHAR(10), IF(ISBLANK('Ingest Template'!P224),"", 'Ingest Template'!P224&amp;"|Operations - Core Title"),CHAR(10), IF(ISBLANK('Ingest Template'!Q224),"", 'Ingest Template'!Q224&amp;"|Operations - Core Title"))))</f>
        <v>#|Operations - Core Title
#videoGame|Operations - Core Title
</v>
      </c>
      <c r="AH225" s="25"/>
      <c r="AI225" s="25"/>
      <c r="AJ225" s="50" t="str">
        <f>if('Ingest Template'!A224="Standard",'Ingest Template'!R224&amp; "|DAR|DAR|2021-01-01",'Ingest Template'!R224&amp; "|Operations - Core Title|Operations - Core Title")</f>
        <v>#N/A</v>
      </c>
      <c r="AK225" s="25"/>
      <c r="AL225" s="25" t="str">
        <f>if('Ingest Template'!A224="Standard",'Ingest Template'!S224&amp; "|2021-01-01",'Ingest Template'!S224)</f>
        <v>#N/A</v>
      </c>
      <c r="AM225" s="25"/>
    </row>
    <row r="226">
      <c r="A226" s="25"/>
      <c r="B226" s="25" t="str">
        <f>'Ingest Template'!C225&amp;IF('Ingest Template'!A225 = "Standard", " - DAR","")</f>
        <v/>
      </c>
      <c r="C226" s="34" t="s">
        <v>92</v>
      </c>
      <c r="D226" s="34" t="str">
        <f>CONCATENATE('Ingest Template'!E226&amp;Char(10)&amp;'Ingest Template'!G226&amp;Char(10)&amp;'Ingest Template'!H226&amp;Char(10)&amp;'Ingest Template'!I226&amp;Char(10)&amp;'Ingest Template'!J226&amp;Char(10)&amp;'Ingest Template'!K226&amp;Char(10)&amp;'Ingest Template'!L226)</f>
        <v>
</v>
      </c>
      <c r="E226" s="25" t="str">
        <f>('Ingest Template'!M226)</f>
        <v/>
      </c>
      <c r="F226" s="40" t="str">
        <f t="array" ref="F226">INDEX(DropDown!$J$2:$J$63,MATCH(1,COUNTIF(E226,DropDown!$I$2:$I$63),0))</f>
        <v>#N/A</v>
      </c>
      <c r="G226" s="25"/>
      <c r="H226" s="25"/>
      <c r="I226" s="25"/>
      <c r="J226" s="25" t="str">
        <f>'Ingest Template'!B226</f>
        <v/>
      </c>
      <c r="K226" s="25" t="str">
        <f>IF('Ingest Template'!A225="Standard",'Ingest Template'!N225,"Competitive View")</f>
        <v>Competitive View</v>
      </c>
      <c r="L226" s="41" t="s">
        <v>145</v>
      </c>
      <c r="M226" s="25" t="str">
        <f>'Ingest Template'!D225</f>
        <v/>
      </c>
      <c r="N226" s="25"/>
      <c r="O226" s="25"/>
      <c r="P226" s="25"/>
      <c r="Q226" s="25"/>
      <c r="R226" s="25" t="str">
        <f>CONCATENATE('Ingest Template'!F225)</f>
        <v/>
      </c>
      <c r="S226" s="43" t="s">
        <v>160</v>
      </c>
      <c r="T226" s="25" t="str">
        <f>'Ingest Template'!W225</f>
        <v/>
      </c>
      <c r="U226" s="25"/>
      <c r="V226" s="25" t="str">
        <f>LOWER(SUBSTITUTE(SUBSTITUTE(SUBSTITUTE(SUBSTITUTE(SUBSTITUTE('Ingest Template'!Y225,"https:",""),"www.",""),"/",""),"?hl=en",""),"instagram.com",""))</f>
        <v/>
      </c>
      <c r="W226" s="34" t="str">
        <f>(IFERROR(vlookup('Ingest Template'!F226,DropDown!D:E,2,false)&amp;'Ingest Template'!C226,""))</f>
        <v/>
      </c>
      <c r="X226" s="25" t="str">
        <f>'Ingest Template'!AA225</f>
        <v/>
      </c>
      <c r="Y226" s="25"/>
      <c r="Z226" s="25"/>
      <c r="AA226" s="25"/>
      <c r="AB226" s="25" t="str">
        <f>'Ingest Template'!T225</f>
        <v/>
      </c>
      <c r="AC226" s="25"/>
      <c r="AD226" s="25" t="str">
        <f>'Ingest Template'!U225</f>
        <v/>
      </c>
      <c r="AE226" s="25" t="str">
        <f>'Ingest Template'!V225</f>
        <v/>
      </c>
      <c r="AF226" s="25"/>
      <c r="AG226" s="25" t="str">
        <f t="array" ref="AG226">IF('Ingest Template'!A225="Standard",(CONCATENATE(IF(ISBLANK('Ingest Template'!O225),"", 'Ingest Template'!O225&amp;"|DAR"),CHAR(10), IF(ISBLANK('Ingest Template'!P225),"", 'Ingest Template'!P225&amp;"|DAR"),CHAR(10), IF(ISBLANK('Ingest Template'!Q225),"", 'Ingest Template'!Q225&amp;"|DAR"))),(CONCATENATE(IF(ISBLANK('Ingest Template'!O225),"", 'Ingest Template'!O225&amp;"|Operations - Core Title"),CHAR(10), IF(ISBLANK('Ingest Template'!P225),"", 'Ingest Template'!P225&amp;"|Operations - Core Title"),CHAR(10), IF(ISBLANK('Ingest Template'!Q225),"", 'Ingest Template'!Q225&amp;"|Operations - Core Title"))))</f>
        <v>#|Operations - Core Title
#videoGame|Operations - Core Title
</v>
      </c>
      <c r="AH226" s="25"/>
      <c r="AI226" s="25"/>
      <c r="AJ226" s="50" t="str">
        <f>if('Ingest Template'!A225="Standard",'Ingest Template'!R225&amp; "|DAR|DAR|2021-01-01",'Ingest Template'!R225&amp; "|Operations - Core Title|Operations - Core Title")</f>
        <v>#N/A</v>
      </c>
      <c r="AK226" s="25"/>
      <c r="AL226" s="25" t="str">
        <f>if('Ingest Template'!A225="Standard",'Ingest Template'!S225&amp; "|2021-01-01",'Ingest Template'!S225)</f>
        <v>#N/A</v>
      </c>
      <c r="AM226" s="25"/>
    </row>
    <row r="227">
      <c r="A227" s="25"/>
      <c r="B227" s="25" t="str">
        <f>'Ingest Template'!C226&amp;IF('Ingest Template'!A226 = "Standard", " - DAR","")</f>
        <v/>
      </c>
      <c r="C227" s="34" t="s">
        <v>92</v>
      </c>
      <c r="D227" s="34" t="str">
        <f>CONCATENATE('Ingest Template'!E227&amp;Char(10)&amp;'Ingest Template'!G227&amp;Char(10)&amp;'Ingest Template'!H227&amp;Char(10)&amp;'Ingest Template'!I227&amp;Char(10)&amp;'Ingest Template'!J227&amp;Char(10)&amp;'Ingest Template'!K227&amp;Char(10)&amp;'Ingest Template'!L227)</f>
        <v>
</v>
      </c>
      <c r="E227" s="25" t="str">
        <f>('Ingest Template'!M227)</f>
        <v/>
      </c>
      <c r="F227" s="40" t="str">
        <f t="array" ref="F227">INDEX(DropDown!$J$2:$J$63,MATCH(1,COUNTIF(E227,DropDown!$I$2:$I$63),0))</f>
        <v>#N/A</v>
      </c>
      <c r="G227" s="25"/>
      <c r="H227" s="25"/>
      <c r="I227" s="25"/>
      <c r="J227" s="25" t="str">
        <f>'Ingest Template'!B227</f>
        <v/>
      </c>
      <c r="K227" s="25" t="str">
        <f>IF('Ingest Template'!A226="Standard",'Ingest Template'!N226,"Competitive View")</f>
        <v>Competitive View</v>
      </c>
      <c r="L227" s="41" t="s">
        <v>145</v>
      </c>
      <c r="M227" s="25" t="str">
        <f>'Ingest Template'!D226</f>
        <v/>
      </c>
      <c r="N227" s="25"/>
      <c r="O227" s="25"/>
      <c r="P227" s="25"/>
      <c r="Q227" s="25"/>
      <c r="R227" s="25" t="str">
        <f>CONCATENATE('Ingest Template'!F226)</f>
        <v/>
      </c>
      <c r="S227" s="43" t="s">
        <v>160</v>
      </c>
      <c r="T227" s="25" t="str">
        <f>'Ingest Template'!W226</f>
        <v/>
      </c>
      <c r="U227" s="25"/>
      <c r="V227" s="25" t="str">
        <f>LOWER(SUBSTITUTE(SUBSTITUTE(SUBSTITUTE(SUBSTITUTE(SUBSTITUTE('Ingest Template'!Y226,"https:",""),"www.",""),"/",""),"?hl=en",""),"instagram.com",""))</f>
        <v/>
      </c>
      <c r="W227" s="34" t="str">
        <f>(IFERROR(vlookup('Ingest Template'!F227,DropDown!D:E,2,false)&amp;'Ingest Template'!C227,""))</f>
        <v/>
      </c>
      <c r="X227" s="25" t="str">
        <f>'Ingest Template'!AA226</f>
        <v/>
      </c>
      <c r="Y227" s="25"/>
      <c r="Z227" s="25"/>
      <c r="AA227" s="25"/>
      <c r="AB227" s="25" t="str">
        <f>'Ingest Template'!T226</f>
        <v/>
      </c>
      <c r="AC227" s="25"/>
      <c r="AD227" s="25" t="str">
        <f>'Ingest Template'!U226</f>
        <v/>
      </c>
      <c r="AE227" s="25" t="str">
        <f>'Ingest Template'!V226</f>
        <v/>
      </c>
      <c r="AF227" s="25"/>
      <c r="AG227" s="25" t="str">
        <f t="array" ref="AG227">IF('Ingest Template'!A226="Standard",(CONCATENATE(IF(ISBLANK('Ingest Template'!O226),"", 'Ingest Template'!O226&amp;"|DAR"),CHAR(10), IF(ISBLANK('Ingest Template'!P226),"", 'Ingest Template'!P226&amp;"|DAR"),CHAR(10), IF(ISBLANK('Ingest Template'!Q226),"", 'Ingest Template'!Q226&amp;"|DAR"))),(CONCATENATE(IF(ISBLANK('Ingest Template'!O226),"", 'Ingest Template'!O226&amp;"|Operations - Core Title"),CHAR(10), IF(ISBLANK('Ingest Template'!P226),"", 'Ingest Template'!P226&amp;"|Operations - Core Title"),CHAR(10), IF(ISBLANK('Ingest Template'!Q226),"", 'Ingest Template'!Q226&amp;"|Operations - Core Title"))))</f>
        <v>#|Operations - Core Title
#videoGame|Operations - Core Title
</v>
      </c>
      <c r="AH227" s="25"/>
      <c r="AI227" s="25"/>
      <c r="AJ227" s="50" t="str">
        <f>if('Ingest Template'!A226="Standard",'Ingest Template'!R226&amp; "|DAR|DAR|2021-01-01",'Ingest Template'!R226&amp; "|Operations - Core Title|Operations - Core Title")</f>
        <v>#N/A</v>
      </c>
      <c r="AK227" s="25"/>
      <c r="AL227" s="25" t="str">
        <f>if('Ingest Template'!A226="Standard",'Ingest Template'!S226&amp; "|2021-01-01",'Ingest Template'!S226)</f>
        <v>#N/A</v>
      </c>
      <c r="AM227" s="25"/>
    </row>
    <row r="228">
      <c r="A228" s="25"/>
      <c r="B228" s="25" t="str">
        <f>'Ingest Template'!C227&amp;IF('Ingest Template'!A227 = "Standard", " - DAR","")</f>
        <v/>
      </c>
      <c r="C228" s="34" t="s">
        <v>92</v>
      </c>
      <c r="D228" s="34" t="str">
        <f>CONCATENATE('Ingest Template'!E228&amp;Char(10)&amp;'Ingest Template'!G228&amp;Char(10)&amp;'Ingest Template'!H228&amp;Char(10)&amp;'Ingest Template'!I228&amp;Char(10)&amp;'Ingest Template'!J228&amp;Char(10)&amp;'Ingest Template'!K228&amp;Char(10)&amp;'Ingest Template'!L228)</f>
        <v>
</v>
      </c>
      <c r="E228" s="25" t="str">
        <f>('Ingest Template'!M228)</f>
        <v/>
      </c>
      <c r="F228" s="40" t="str">
        <f t="array" ref="F228">INDEX(DropDown!$J$2:$J$63,MATCH(1,COUNTIF(E228,DropDown!$I$2:$I$63),0))</f>
        <v>#N/A</v>
      </c>
      <c r="G228" s="25"/>
      <c r="H228" s="25"/>
      <c r="I228" s="25"/>
      <c r="J228" s="25" t="str">
        <f>'Ingest Template'!B228</f>
        <v/>
      </c>
      <c r="K228" s="25" t="str">
        <f>IF('Ingest Template'!A227="Standard",'Ingest Template'!N227,"Competitive View")</f>
        <v>Competitive View</v>
      </c>
      <c r="L228" s="41" t="s">
        <v>145</v>
      </c>
      <c r="M228" s="25" t="str">
        <f>'Ingest Template'!D227</f>
        <v/>
      </c>
      <c r="N228" s="25"/>
      <c r="O228" s="25"/>
      <c r="P228" s="25"/>
      <c r="Q228" s="25"/>
      <c r="R228" s="25" t="str">
        <f>CONCATENATE('Ingest Template'!F227)</f>
        <v/>
      </c>
      <c r="S228" s="43" t="s">
        <v>160</v>
      </c>
      <c r="T228" s="25" t="str">
        <f>'Ingest Template'!W227</f>
        <v/>
      </c>
      <c r="U228" s="25"/>
      <c r="V228" s="25" t="str">
        <f>LOWER(SUBSTITUTE(SUBSTITUTE(SUBSTITUTE(SUBSTITUTE(SUBSTITUTE('Ingest Template'!Y227,"https:",""),"www.",""),"/",""),"?hl=en",""),"instagram.com",""))</f>
        <v/>
      </c>
      <c r="W228" s="34" t="str">
        <f>(IFERROR(vlookup('Ingest Template'!F228,DropDown!D:E,2,false)&amp;'Ingest Template'!C228,""))</f>
        <v/>
      </c>
      <c r="X228" s="25" t="str">
        <f>'Ingest Template'!AA227</f>
        <v/>
      </c>
      <c r="Y228" s="25"/>
      <c r="Z228" s="25"/>
      <c r="AA228" s="25"/>
      <c r="AB228" s="25" t="str">
        <f>'Ingest Template'!T227</f>
        <v/>
      </c>
      <c r="AC228" s="25"/>
      <c r="AD228" s="25" t="str">
        <f>'Ingest Template'!U227</f>
        <v/>
      </c>
      <c r="AE228" s="25" t="str">
        <f>'Ingest Template'!V227</f>
        <v/>
      </c>
      <c r="AF228" s="25"/>
      <c r="AG228" s="25" t="str">
        <f t="array" ref="AG228">IF('Ingest Template'!A227="Standard",(CONCATENATE(IF(ISBLANK('Ingest Template'!O227),"", 'Ingest Template'!O227&amp;"|DAR"),CHAR(10), IF(ISBLANK('Ingest Template'!P227),"", 'Ingest Template'!P227&amp;"|DAR"),CHAR(10), IF(ISBLANK('Ingest Template'!Q227),"", 'Ingest Template'!Q227&amp;"|DAR"))),(CONCATENATE(IF(ISBLANK('Ingest Template'!O227),"", 'Ingest Template'!O227&amp;"|Operations - Core Title"),CHAR(10), IF(ISBLANK('Ingest Template'!P227),"", 'Ingest Template'!P227&amp;"|Operations - Core Title"),CHAR(10), IF(ISBLANK('Ingest Template'!Q227),"", 'Ingest Template'!Q227&amp;"|Operations - Core Title"))))</f>
        <v>#|Operations - Core Title
#videoGame|Operations - Core Title
</v>
      </c>
      <c r="AH228" s="25"/>
      <c r="AI228" s="25"/>
      <c r="AJ228" s="50" t="str">
        <f>if('Ingest Template'!A227="Standard",'Ingest Template'!R227&amp; "|DAR|DAR|2021-01-01",'Ingest Template'!R227&amp; "|Operations - Core Title|Operations - Core Title")</f>
        <v>#N/A</v>
      </c>
      <c r="AK228" s="25"/>
      <c r="AL228" s="25" t="str">
        <f>if('Ingest Template'!A227="Standard",'Ingest Template'!S227&amp; "|2021-01-01",'Ingest Template'!S227)</f>
        <v>#N/A</v>
      </c>
      <c r="AM228" s="25"/>
    </row>
    <row r="229">
      <c r="A229" s="25"/>
      <c r="B229" s="25" t="str">
        <f>'Ingest Template'!C228&amp;IF('Ingest Template'!A228 = "Standard", " - DAR","")</f>
        <v/>
      </c>
      <c r="C229" s="34" t="s">
        <v>92</v>
      </c>
      <c r="D229" s="34" t="str">
        <f>CONCATENATE('Ingest Template'!E229&amp;Char(10)&amp;'Ingest Template'!G229&amp;Char(10)&amp;'Ingest Template'!H229&amp;Char(10)&amp;'Ingest Template'!I229&amp;Char(10)&amp;'Ingest Template'!J229&amp;Char(10)&amp;'Ingest Template'!K229&amp;Char(10)&amp;'Ingest Template'!L229)</f>
        <v>
</v>
      </c>
      <c r="E229" s="25" t="str">
        <f>('Ingest Template'!M229)</f>
        <v/>
      </c>
      <c r="F229" s="40" t="str">
        <f t="array" ref="F229">INDEX(DropDown!$J$2:$J$63,MATCH(1,COUNTIF(E229,DropDown!$I$2:$I$63),0))</f>
        <v>#N/A</v>
      </c>
      <c r="G229" s="25"/>
      <c r="H229" s="25"/>
      <c r="I229" s="25"/>
      <c r="J229" s="25" t="str">
        <f>'Ingest Template'!B229</f>
        <v/>
      </c>
      <c r="K229" s="25" t="str">
        <f>IF('Ingest Template'!A228="Standard",'Ingest Template'!N228,"Competitive View")</f>
        <v>Competitive View</v>
      </c>
      <c r="L229" s="41" t="s">
        <v>145</v>
      </c>
      <c r="M229" s="25" t="str">
        <f>'Ingest Template'!D228</f>
        <v/>
      </c>
      <c r="N229" s="25"/>
      <c r="O229" s="25"/>
      <c r="P229" s="25"/>
      <c r="Q229" s="25"/>
      <c r="R229" s="25" t="str">
        <f>CONCATENATE('Ingest Template'!F228)</f>
        <v/>
      </c>
      <c r="S229" s="43" t="s">
        <v>160</v>
      </c>
      <c r="T229" s="25" t="str">
        <f>'Ingest Template'!W228</f>
        <v/>
      </c>
      <c r="U229" s="25"/>
      <c r="V229" s="25" t="str">
        <f>LOWER(SUBSTITUTE(SUBSTITUTE(SUBSTITUTE(SUBSTITUTE(SUBSTITUTE('Ingest Template'!Y228,"https:",""),"www.",""),"/",""),"?hl=en",""),"instagram.com",""))</f>
        <v/>
      </c>
      <c r="W229" s="34" t="str">
        <f>(IFERROR(vlookup('Ingest Template'!F229,DropDown!D:E,2,false)&amp;'Ingest Template'!C229,""))</f>
        <v/>
      </c>
      <c r="X229" s="25" t="str">
        <f>'Ingest Template'!AA228</f>
        <v/>
      </c>
      <c r="Y229" s="25"/>
      <c r="Z229" s="25"/>
      <c r="AA229" s="25"/>
      <c r="AB229" s="25" t="str">
        <f>'Ingest Template'!T228</f>
        <v/>
      </c>
      <c r="AC229" s="25"/>
      <c r="AD229" s="25" t="str">
        <f>'Ingest Template'!U228</f>
        <v/>
      </c>
      <c r="AE229" s="25" t="str">
        <f>'Ingest Template'!V228</f>
        <v/>
      </c>
      <c r="AF229" s="25"/>
      <c r="AG229" s="25" t="str">
        <f t="array" ref="AG229">IF('Ingest Template'!A228="Standard",(CONCATENATE(IF(ISBLANK('Ingest Template'!O228),"", 'Ingest Template'!O228&amp;"|DAR"),CHAR(10), IF(ISBLANK('Ingest Template'!P228),"", 'Ingest Template'!P228&amp;"|DAR"),CHAR(10), IF(ISBLANK('Ingest Template'!Q228),"", 'Ingest Template'!Q228&amp;"|DAR"))),(CONCATENATE(IF(ISBLANK('Ingest Template'!O228),"", 'Ingest Template'!O228&amp;"|Operations - Core Title"),CHAR(10), IF(ISBLANK('Ingest Template'!P228),"", 'Ingest Template'!P228&amp;"|Operations - Core Title"),CHAR(10), IF(ISBLANK('Ingest Template'!Q228),"", 'Ingest Template'!Q228&amp;"|Operations - Core Title"))))</f>
        <v>#|Operations - Core Title
#videoGame|Operations - Core Title
</v>
      </c>
      <c r="AH229" s="25"/>
      <c r="AI229" s="25"/>
      <c r="AJ229" s="50" t="str">
        <f>if('Ingest Template'!A228="Standard",'Ingest Template'!R228&amp; "|DAR|DAR|2021-01-01",'Ingest Template'!R228&amp; "|Operations - Core Title|Operations - Core Title")</f>
        <v>#N/A</v>
      </c>
      <c r="AK229" s="25"/>
      <c r="AL229" s="25" t="str">
        <f>if('Ingest Template'!A228="Standard",'Ingest Template'!S228&amp; "|2021-01-01",'Ingest Template'!S228)</f>
        <v>#N/A</v>
      </c>
      <c r="AM229" s="25"/>
    </row>
    <row r="230">
      <c r="A230" s="25"/>
      <c r="B230" s="25" t="str">
        <f>'Ingest Template'!C229&amp;IF('Ingest Template'!A229 = "Standard", " - DAR","")</f>
        <v/>
      </c>
      <c r="C230" s="34" t="s">
        <v>92</v>
      </c>
      <c r="D230" s="34" t="str">
        <f>CONCATENATE('Ingest Template'!E230&amp;Char(10)&amp;'Ingest Template'!G230&amp;Char(10)&amp;'Ingest Template'!H230&amp;Char(10)&amp;'Ingest Template'!I230&amp;Char(10)&amp;'Ingest Template'!J230&amp;Char(10)&amp;'Ingest Template'!K230&amp;Char(10)&amp;'Ingest Template'!L230)</f>
        <v>
</v>
      </c>
      <c r="E230" s="25" t="str">
        <f>('Ingest Template'!M230)</f>
        <v/>
      </c>
      <c r="F230" s="40" t="str">
        <f t="array" ref="F230">INDEX(DropDown!$J$2:$J$63,MATCH(1,COUNTIF(E230,DropDown!$I$2:$I$63),0))</f>
        <v>#N/A</v>
      </c>
      <c r="G230" s="25"/>
      <c r="H230" s="25"/>
      <c r="I230" s="25"/>
      <c r="J230" s="25" t="str">
        <f>'Ingest Template'!B230</f>
        <v/>
      </c>
      <c r="K230" s="25" t="str">
        <f>IF('Ingest Template'!A229="Standard",'Ingest Template'!N229,"Competitive View")</f>
        <v>Competitive View</v>
      </c>
      <c r="L230" s="41" t="s">
        <v>145</v>
      </c>
      <c r="M230" s="25" t="str">
        <f>'Ingest Template'!D229</f>
        <v/>
      </c>
      <c r="N230" s="25"/>
      <c r="O230" s="25"/>
      <c r="P230" s="25"/>
      <c r="Q230" s="25"/>
      <c r="R230" s="25" t="str">
        <f>CONCATENATE('Ingest Template'!F229)</f>
        <v/>
      </c>
      <c r="S230" s="43" t="s">
        <v>160</v>
      </c>
      <c r="T230" s="25" t="str">
        <f>'Ingest Template'!W229</f>
        <v/>
      </c>
      <c r="U230" s="25"/>
      <c r="V230" s="25" t="str">
        <f>LOWER(SUBSTITUTE(SUBSTITUTE(SUBSTITUTE(SUBSTITUTE(SUBSTITUTE('Ingest Template'!Y229,"https:",""),"www.",""),"/",""),"?hl=en",""),"instagram.com",""))</f>
        <v/>
      </c>
      <c r="W230" s="34" t="str">
        <f>(IFERROR(vlookup('Ingest Template'!F230,DropDown!D:E,2,false)&amp;'Ingest Template'!C230,""))</f>
        <v/>
      </c>
      <c r="X230" s="25" t="str">
        <f>'Ingest Template'!AA229</f>
        <v/>
      </c>
      <c r="Y230" s="25"/>
      <c r="Z230" s="25"/>
      <c r="AA230" s="25"/>
      <c r="AB230" s="25" t="str">
        <f>'Ingest Template'!T229</f>
        <v/>
      </c>
      <c r="AC230" s="25"/>
      <c r="AD230" s="25" t="str">
        <f>'Ingest Template'!U229</f>
        <v/>
      </c>
      <c r="AE230" s="25" t="str">
        <f>'Ingest Template'!V229</f>
        <v/>
      </c>
      <c r="AF230" s="25"/>
      <c r="AG230" s="25" t="str">
        <f t="array" ref="AG230">IF('Ingest Template'!A229="Standard",(CONCATENATE(IF(ISBLANK('Ingest Template'!O229),"", 'Ingest Template'!O229&amp;"|DAR"),CHAR(10), IF(ISBLANK('Ingest Template'!P229),"", 'Ingest Template'!P229&amp;"|DAR"),CHAR(10), IF(ISBLANK('Ingest Template'!Q229),"", 'Ingest Template'!Q229&amp;"|DAR"))),(CONCATENATE(IF(ISBLANK('Ingest Template'!O229),"", 'Ingest Template'!O229&amp;"|Operations - Core Title"),CHAR(10), IF(ISBLANK('Ingest Template'!P229),"", 'Ingest Template'!P229&amp;"|Operations - Core Title"),CHAR(10), IF(ISBLANK('Ingest Template'!Q229),"", 'Ingest Template'!Q229&amp;"|Operations - Core Title"))))</f>
        <v>#|Operations - Core Title
#videoGame|Operations - Core Title
</v>
      </c>
      <c r="AH230" s="25"/>
      <c r="AI230" s="25"/>
      <c r="AJ230" s="50" t="str">
        <f>if('Ingest Template'!A229="Standard",'Ingest Template'!R229&amp; "|DAR|DAR|2021-01-01",'Ingest Template'!R229&amp; "|Operations - Core Title|Operations - Core Title")</f>
        <v>#N/A</v>
      </c>
      <c r="AK230" s="25"/>
      <c r="AL230" s="25" t="str">
        <f>if('Ingest Template'!A229="Standard",'Ingest Template'!S229&amp; "|2021-01-01",'Ingest Template'!S229)</f>
        <v>#N/A</v>
      </c>
      <c r="AM230" s="25"/>
    </row>
    <row r="231">
      <c r="A231" s="25"/>
      <c r="B231" s="25" t="str">
        <f>'Ingest Template'!C230&amp;IF('Ingest Template'!A230 = "Standard", " - DAR","")</f>
        <v/>
      </c>
      <c r="C231" s="34" t="s">
        <v>92</v>
      </c>
      <c r="D231" s="34" t="str">
        <f>CONCATENATE('Ingest Template'!E231&amp;Char(10)&amp;'Ingest Template'!G231&amp;Char(10)&amp;'Ingest Template'!H231&amp;Char(10)&amp;'Ingest Template'!I231&amp;Char(10)&amp;'Ingest Template'!J231&amp;Char(10)&amp;'Ingest Template'!K231&amp;Char(10)&amp;'Ingest Template'!L231)</f>
        <v>
</v>
      </c>
      <c r="E231" s="25" t="str">
        <f>('Ingest Template'!M231)</f>
        <v/>
      </c>
      <c r="F231" s="40" t="str">
        <f t="array" ref="F231">INDEX(DropDown!$J$2:$J$63,MATCH(1,COUNTIF(E231,DropDown!$I$2:$I$63),0))</f>
        <v>#N/A</v>
      </c>
      <c r="G231" s="25"/>
      <c r="H231" s="25"/>
      <c r="I231" s="25"/>
      <c r="J231" s="25" t="str">
        <f>'Ingest Template'!B231</f>
        <v/>
      </c>
      <c r="K231" s="25" t="str">
        <f>IF('Ingest Template'!A230="Standard",'Ingest Template'!N230,"Competitive View")</f>
        <v>Competitive View</v>
      </c>
      <c r="L231" s="41" t="s">
        <v>145</v>
      </c>
      <c r="M231" s="25" t="str">
        <f>'Ingest Template'!D230</f>
        <v/>
      </c>
      <c r="N231" s="25"/>
      <c r="O231" s="25"/>
      <c r="P231" s="25"/>
      <c r="Q231" s="25"/>
      <c r="R231" s="25" t="str">
        <f>CONCATENATE('Ingest Template'!F230)</f>
        <v/>
      </c>
      <c r="S231" s="43" t="s">
        <v>160</v>
      </c>
      <c r="T231" s="25" t="str">
        <f>'Ingest Template'!W230</f>
        <v/>
      </c>
      <c r="U231" s="25"/>
      <c r="V231" s="25" t="str">
        <f>LOWER(SUBSTITUTE(SUBSTITUTE(SUBSTITUTE(SUBSTITUTE(SUBSTITUTE('Ingest Template'!Y230,"https:",""),"www.",""),"/",""),"?hl=en",""),"instagram.com",""))</f>
        <v/>
      </c>
      <c r="W231" s="34" t="str">
        <f>(IFERROR(vlookup('Ingest Template'!F231,DropDown!D:E,2,false)&amp;'Ingest Template'!C231,""))</f>
        <v/>
      </c>
      <c r="X231" s="25" t="str">
        <f>'Ingest Template'!AA230</f>
        <v/>
      </c>
      <c r="Y231" s="25"/>
      <c r="Z231" s="25"/>
      <c r="AA231" s="25"/>
      <c r="AB231" s="25" t="str">
        <f>'Ingest Template'!T230</f>
        <v/>
      </c>
      <c r="AC231" s="25"/>
      <c r="AD231" s="25" t="str">
        <f>'Ingest Template'!U230</f>
        <v/>
      </c>
      <c r="AE231" s="25" t="str">
        <f>'Ingest Template'!V230</f>
        <v/>
      </c>
      <c r="AF231" s="25"/>
      <c r="AG231" s="25" t="str">
        <f t="array" ref="AG231">IF('Ingest Template'!A230="Standard",(CONCATENATE(IF(ISBLANK('Ingest Template'!O230),"", 'Ingest Template'!O230&amp;"|DAR"),CHAR(10), IF(ISBLANK('Ingest Template'!P230),"", 'Ingest Template'!P230&amp;"|DAR"),CHAR(10), IF(ISBLANK('Ingest Template'!Q230),"", 'Ingest Template'!Q230&amp;"|DAR"))),(CONCATENATE(IF(ISBLANK('Ingest Template'!O230),"", 'Ingest Template'!O230&amp;"|Operations - Core Title"),CHAR(10), IF(ISBLANK('Ingest Template'!P230),"", 'Ingest Template'!P230&amp;"|Operations - Core Title"),CHAR(10), IF(ISBLANK('Ingest Template'!Q230),"", 'Ingest Template'!Q230&amp;"|Operations - Core Title"))))</f>
        <v>#|Operations - Core Title
#videoGame|Operations - Core Title
</v>
      </c>
      <c r="AH231" s="25"/>
      <c r="AI231" s="25"/>
      <c r="AJ231" s="50" t="str">
        <f>if('Ingest Template'!A230="Standard",'Ingest Template'!R230&amp; "|DAR|DAR|2021-01-01",'Ingest Template'!R230&amp; "|Operations - Core Title|Operations - Core Title")</f>
        <v>#N/A</v>
      </c>
      <c r="AK231" s="25"/>
      <c r="AL231" s="25" t="str">
        <f>if('Ingest Template'!A230="Standard",'Ingest Template'!S230&amp; "|2021-01-01",'Ingest Template'!S230)</f>
        <v>#N/A</v>
      </c>
      <c r="AM231" s="25"/>
    </row>
    <row r="232">
      <c r="A232" s="25"/>
      <c r="B232" s="25" t="str">
        <f>'Ingest Template'!C231&amp;IF('Ingest Template'!A231 = "Standard", " - DAR","")</f>
        <v/>
      </c>
      <c r="C232" s="34" t="s">
        <v>92</v>
      </c>
      <c r="D232" s="34" t="str">
        <f>CONCATENATE('Ingest Template'!E232&amp;Char(10)&amp;'Ingest Template'!G232&amp;Char(10)&amp;'Ingest Template'!H232&amp;Char(10)&amp;'Ingest Template'!I232&amp;Char(10)&amp;'Ingest Template'!J232&amp;Char(10)&amp;'Ingest Template'!K232&amp;Char(10)&amp;'Ingest Template'!L232)</f>
        <v>
</v>
      </c>
      <c r="E232" s="25" t="str">
        <f>('Ingest Template'!M232)</f>
        <v/>
      </c>
      <c r="F232" s="40" t="str">
        <f t="array" ref="F232">INDEX(DropDown!$J$2:$J$63,MATCH(1,COUNTIF(E232,DropDown!$I$2:$I$63),0))</f>
        <v>#N/A</v>
      </c>
      <c r="G232" s="25"/>
      <c r="H232" s="25"/>
      <c r="I232" s="25"/>
      <c r="J232" s="25" t="str">
        <f>'Ingest Template'!B232</f>
        <v/>
      </c>
      <c r="K232" s="25" t="str">
        <f>IF('Ingest Template'!A231="Standard",'Ingest Template'!N231,"Competitive View")</f>
        <v>Competitive View</v>
      </c>
      <c r="L232" s="41" t="s">
        <v>145</v>
      </c>
      <c r="M232" s="25" t="str">
        <f>'Ingest Template'!D231</f>
        <v/>
      </c>
      <c r="N232" s="25"/>
      <c r="O232" s="25"/>
      <c r="P232" s="25"/>
      <c r="Q232" s="25"/>
      <c r="R232" s="25" t="str">
        <f>CONCATENATE('Ingest Template'!F231)</f>
        <v/>
      </c>
      <c r="S232" s="43" t="s">
        <v>160</v>
      </c>
      <c r="T232" s="25" t="str">
        <f>'Ingest Template'!W231</f>
        <v/>
      </c>
      <c r="U232" s="25"/>
      <c r="V232" s="25" t="str">
        <f>LOWER(SUBSTITUTE(SUBSTITUTE(SUBSTITUTE(SUBSTITUTE(SUBSTITUTE('Ingest Template'!Y231,"https:",""),"www.",""),"/",""),"?hl=en",""),"instagram.com",""))</f>
        <v/>
      </c>
      <c r="W232" s="34" t="str">
        <f>(IFERROR(vlookup('Ingest Template'!F232,DropDown!D:E,2,false)&amp;'Ingest Template'!C232,""))</f>
        <v/>
      </c>
      <c r="X232" s="25" t="str">
        <f>'Ingest Template'!AA231</f>
        <v/>
      </c>
      <c r="Y232" s="25"/>
      <c r="Z232" s="25"/>
      <c r="AA232" s="25"/>
      <c r="AB232" s="25" t="str">
        <f>'Ingest Template'!T231</f>
        <v/>
      </c>
      <c r="AC232" s="25"/>
      <c r="AD232" s="25" t="str">
        <f>'Ingest Template'!U231</f>
        <v/>
      </c>
      <c r="AE232" s="25" t="str">
        <f>'Ingest Template'!V231</f>
        <v/>
      </c>
      <c r="AF232" s="25"/>
      <c r="AG232" s="25" t="str">
        <f t="array" ref="AG232">IF('Ingest Template'!A231="Standard",(CONCATENATE(IF(ISBLANK('Ingest Template'!O231),"", 'Ingest Template'!O231&amp;"|DAR"),CHAR(10), IF(ISBLANK('Ingest Template'!P231),"", 'Ingest Template'!P231&amp;"|DAR"),CHAR(10), IF(ISBLANK('Ingest Template'!Q231),"", 'Ingest Template'!Q231&amp;"|DAR"))),(CONCATENATE(IF(ISBLANK('Ingest Template'!O231),"", 'Ingest Template'!O231&amp;"|Operations - Core Title"),CHAR(10), IF(ISBLANK('Ingest Template'!P231),"", 'Ingest Template'!P231&amp;"|Operations - Core Title"),CHAR(10), IF(ISBLANK('Ingest Template'!Q231),"", 'Ingest Template'!Q231&amp;"|Operations - Core Title"))))</f>
        <v>#|Operations - Core Title
#videoGame|Operations - Core Title
</v>
      </c>
      <c r="AH232" s="25"/>
      <c r="AI232" s="25"/>
      <c r="AJ232" s="50" t="str">
        <f>if('Ingest Template'!A231="Standard",'Ingest Template'!R231&amp; "|DAR|DAR|2021-01-01",'Ingest Template'!R231&amp; "|Operations - Core Title|Operations - Core Title")</f>
        <v>#N/A</v>
      </c>
      <c r="AK232" s="25"/>
      <c r="AL232" s="25" t="str">
        <f>if('Ingest Template'!A231="Standard",'Ingest Template'!S231&amp; "|2021-01-01",'Ingest Template'!S231)</f>
        <v>#N/A</v>
      </c>
      <c r="AM232" s="25"/>
    </row>
    <row r="233">
      <c r="A233" s="25"/>
      <c r="B233" s="25" t="str">
        <f>'Ingest Template'!C232&amp;IF('Ingest Template'!A232 = "Standard", " - DAR","")</f>
        <v/>
      </c>
      <c r="C233" s="34" t="s">
        <v>92</v>
      </c>
      <c r="D233" s="34" t="str">
        <f>CONCATENATE('Ingest Template'!E233&amp;Char(10)&amp;'Ingest Template'!G233&amp;Char(10)&amp;'Ingest Template'!H233&amp;Char(10)&amp;'Ingest Template'!I233&amp;Char(10)&amp;'Ingest Template'!J233&amp;Char(10)&amp;'Ingest Template'!K233&amp;Char(10)&amp;'Ingest Template'!L233)</f>
        <v>
</v>
      </c>
      <c r="E233" s="25" t="str">
        <f>('Ingest Template'!M233)</f>
        <v/>
      </c>
      <c r="F233" s="40" t="str">
        <f t="array" ref="F233">INDEX(DropDown!$J$2:$J$63,MATCH(1,COUNTIF(E233,DropDown!$I$2:$I$63),0))</f>
        <v>#N/A</v>
      </c>
      <c r="G233" s="25"/>
      <c r="H233" s="25"/>
      <c r="I233" s="25"/>
      <c r="J233" s="25" t="str">
        <f>'Ingest Template'!B233</f>
        <v/>
      </c>
      <c r="K233" s="25" t="str">
        <f>IF('Ingest Template'!A232="Standard",'Ingest Template'!N232,"Competitive View")</f>
        <v>Competitive View</v>
      </c>
      <c r="L233" s="41" t="s">
        <v>145</v>
      </c>
      <c r="M233" s="25" t="str">
        <f>'Ingest Template'!D232</f>
        <v/>
      </c>
      <c r="N233" s="25"/>
      <c r="O233" s="25"/>
      <c r="P233" s="25"/>
      <c r="Q233" s="25"/>
      <c r="R233" s="25" t="str">
        <f>CONCATENATE('Ingest Template'!F232)</f>
        <v/>
      </c>
      <c r="S233" s="43" t="s">
        <v>160</v>
      </c>
      <c r="T233" s="25" t="str">
        <f>'Ingest Template'!W232</f>
        <v/>
      </c>
      <c r="U233" s="25"/>
      <c r="V233" s="25" t="str">
        <f>LOWER(SUBSTITUTE(SUBSTITUTE(SUBSTITUTE(SUBSTITUTE(SUBSTITUTE('Ingest Template'!Y232,"https:",""),"www.",""),"/",""),"?hl=en",""),"instagram.com",""))</f>
        <v/>
      </c>
      <c r="W233" s="34" t="str">
        <f>(IFERROR(vlookup('Ingest Template'!F233,DropDown!D:E,2,false)&amp;'Ingest Template'!C233,""))</f>
        <v/>
      </c>
      <c r="X233" s="25" t="str">
        <f>'Ingest Template'!AA232</f>
        <v/>
      </c>
      <c r="Y233" s="25"/>
      <c r="Z233" s="25"/>
      <c r="AA233" s="25"/>
      <c r="AB233" s="25" t="str">
        <f>'Ingest Template'!T232</f>
        <v/>
      </c>
      <c r="AC233" s="25"/>
      <c r="AD233" s="25" t="str">
        <f>'Ingest Template'!U232</f>
        <v/>
      </c>
      <c r="AE233" s="25" t="str">
        <f>'Ingest Template'!V232</f>
        <v/>
      </c>
      <c r="AF233" s="25"/>
      <c r="AG233" s="25" t="str">
        <f t="array" ref="AG233">IF('Ingest Template'!A232="Standard",(CONCATENATE(IF(ISBLANK('Ingest Template'!O232),"", 'Ingest Template'!O232&amp;"|DAR"),CHAR(10), IF(ISBLANK('Ingest Template'!P232),"", 'Ingest Template'!P232&amp;"|DAR"),CHAR(10), IF(ISBLANK('Ingest Template'!Q232),"", 'Ingest Template'!Q232&amp;"|DAR"))),(CONCATENATE(IF(ISBLANK('Ingest Template'!O232),"", 'Ingest Template'!O232&amp;"|Operations - Core Title"),CHAR(10), IF(ISBLANK('Ingest Template'!P232),"", 'Ingest Template'!P232&amp;"|Operations - Core Title"),CHAR(10), IF(ISBLANK('Ingest Template'!Q232),"", 'Ingest Template'!Q232&amp;"|Operations - Core Title"))))</f>
        <v>#|Operations - Core Title
#videoGame|Operations - Core Title
</v>
      </c>
      <c r="AH233" s="25"/>
      <c r="AI233" s="25"/>
      <c r="AJ233" s="50" t="str">
        <f>if('Ingest Template'!A232="Standard",'Ingest Template'!R232&amp; "|DAR|DAR|2021-01-01",'Ingest Template'!R232&amp; "|Operations - Core Title|Operations - Core Title")</f>
        <v>#N/A</v>
      </c>
      <c r="AK233" s="25"/>
      <c r="AL233" s="25" t="str">
        <f>if('Ingest Template'!A232="Standard",'Ingest Template'!S232&amp; "|2021-01-01",'Ingest Template'!S232)</f>
        <v>#N/A</v>
      </c>
      <c r="AM233" s="25"/>
    </row>
    <row r="234">
      <c r="A234" s="25"/>
      <c r="B234" s="25" t="str">
        <f>'Ingest Template'!C233&amp;IF('Ingest Template'!A233 = "Standard", " - DAR","")</f>
        <v/>
      </c>
      <c r="C234" s="34" t="s">
        <v>92</v>
      </c>
      <c r="D234" s="34" t="str">
        <f>CONCATENATE('Ingest Template'!E234&amp;Char(10)&amp;'Ingest Template'!G234&amp;Char(10)&amp;'Ingest Template'!H234&amp;Char(10)&amp;'Ingest Template'!I234&amp;Char(10)&amp;'Ingest Template'!J234&amp;Char(10)&amp;'Ingest Template'!K234&amp;Char(10)&amp;'Ingest Template'!L234)</f>
        <v>
</v>
      </c>
      <c r="E234" s="25" t="str">
        <f>('Ingest Template'!M234)</f>
        <v/>
      </c>
      <c r="F234" s="40" t="str">
        <f t="array" ref="F234">INDEX(DropDown!$J$2:$J$63,MATCH(1,COUNTIF(E234,DropDown!$I$2:$I$63),0))</f>
        <v>#N/A</v>
      </c>
      <c r="G234" s="25"/>
      <c r="H234" s="25"/>
      <c r="I234" s="25"/>
      <c r="J234" s="25" t="str">
        <f>'Ingest Template'!B234</f>
        <v/>
      </c>
      <c r="K234" s="25" t="str">
        <f>IF('Ingest Template'!A233="Standard",'Ingest Template'!N233,"Competitive View")</f>
        <v>Competitive View</v>
      </c>
      <c r="L234" s="41" t="s">
        <v>145</v>
      </c>
      <c r="M234" s="25" t="str">
        <f>'Ingest Template'!D233</f>
        <v/>
      </c>
      <c r="N234" s="25"/>
      <c r="O234" s="25"/>
      <c r="P234" s="25"/>
      <c r="Q234" s="25"/>
      <c r="R234" s="25" t="str">
        <f>CONCATENATE('Ingest Template'!F233)</f>
        <v/>
      </c>
      <c r="S234" s="43" t="s">
        <v>160</v>
      </c>
      <c r="T234" s="25" t="str">
        <f>'Ingest Template'!W233</f>
        <v/>
      </c>
      <c r="U234" s="25"/>
      <c r="V234" s="25" t="str">
        <f>LOWER(SUBSTITUTE(SUBSTITUTE(SUBSTITUTE(SUBSTITUTE(SUBSTITUTE('Ingest Template'!Y233,"https:",""),"www.",""),"/",""),"?hl=en",""),"instagram.com",""))</f>
        <v/>
      </c>
      <c r="W234" s="34" t="str">
        <f>(IFERROR(vlookup('Ingest Template'!F234,DropDown!D:E,2,false)&amp;'Ingest Template'!C234,""))</f>
        <v/>
      </c>
      <c r="X234" s="25" t="str">
        <f>'Ingest Template'!AA233</f>
        <v/>
      </c>
      <c r="Y234" s="25"/>
      <c r="Z234" s="25"/>
      <c r="AA234" s="25"/>
      <c r="AB234" s="25" t="str">
        <f>'Ingest Template'!T233</f>
        <v/>
      </c>
      <c r="AC234" s="25"/>
      <c r="AD234" s="25" t="str">
        <f>'Ingest Template'!U233</f>
        <v/>
      </c>
      <c r="AE234" s="25" t="str">
        <f>'Ingest Template'!V233</f>
        <v/>
      </c>
      <c r="AF234" s="25"/>
      <c r="AG234" s="25" t="str">
        <f t="array" ref="AG234">IF('Ingest Template'!A233="Standard",(CONCATENATE(IF(ISBLANK('Ingest Template'!O233),"", 'Ingest Template'!O233&amp;"|DAR"),CHAR(10), IF(ISBLANK('Ingest Template'!P233),"", 'Ingest Template'!P233&amp;"|DAR"),CHAR(10), IF(ISBLANK('Ingest Template'!Q233),"", 'Ingest Template'!Q233&amp;"|DAR"))),(CONCATENATE(IF(ISBLANK('Ingest Template'!O233),"", 'Ingest Template'!O233&amp;"|Operations - Core Title"),CHAR(10), IF(ISBLANK('Ingest Template'!P233),"", 'Ingest Template'!P233&amp;"|Operations - Core Title"),CHAR(10), IF(ISBLANK('Ingest Template'!Q233),"", 'Ingest Template'!Q233&amp;"|Operations - Core Title"))))</f>
        <v>#|Operations - Core Title
#videoGame|Operations - Core Title
</v>
      </c>
      <c r="AH234" s="25"/>
      <c r="AI234" s="25"/>
      <c r="AJ234" s="50" t="str">
        <f>if('Ingest Template'!A233="Standard",'Ingest Template'!R233&amp; "|DAR|DAR|2021-01-01",'Ingest Template'!R233&amp; "|Operations - Core Title|Operations - Core Title")</f>
        <v>#N/A</v>
      </c>
      <c r="AK234" s="25"/>
      <c r="AL234" s="25" t="str">
        <f>if('Ingest Template'!A233="Standard",'Ingest Template'!S233&amp; "|2021-01-01",'Ingest Template'!S233)</f>
        <v>#N/A</v>
      </c>
      <c r="AM234" s="25"/>
    </row>
    <row r="235">
      <c r="A235" s="25"/>
      <c r="B235" s="25" t="str">
        <f>'Ingest Template'!C234&amp;IF('Ingest Template'!A234 = "Standard", " - DAR","")</f>
        <v/>
      </c>
      <c r="C235" s="34" t="s">
        <v>92</v>
      </c>
      <c r="D235" s="34" t="str">
        <f>CONCATENATE('Ingest Template'!E235&amp;Char(10)&amp;'Ingest Template'!G235&amp;Char(10)&amp;'Ingest Template'!H235&amp;Char(10)&amp;'Ingest Template'!I235&amp;Char(10)&amp;'Ingest Template'!J235&amp;Char(10)&amp;'Ingest Template'!K235&amp;Char(10)&amp;'Ingest Template'!L235)</f>
        <v>
</v>
      </c>
      <c r="E235" s="25" t="str">
        <f>('Ingest Template'!M235)</f>
        <v/>
      </c>
      <c r="F235" s="40" t="str">
        <f t="array" ref="F235">INDEX(DropDown!$J$2:$J$63,MATCH(1,COUNTIF(E235,DropDown!$I$2:$I$63),0))</f>
        <v>#N/A</v>
      </c>
      <c r="G235" s="25"/>
      <c r="H235" s="25"/>
      <c r="I235" s="25"/>
      <c r="J235" s="25" t="str">
        <f>'Ingest Template'!B235</f>
        <v/>
      </c>
      <c r="K235" s="25" t="str">
        <f>IF('Ingest Template'!A234="Standard",'Ingest Template'!N234,"Competitive View")</f>
        <v>Competitive View</v>
      </c>
      <c r="L235" s="41" t="s">
        <v>145</v>
      </c>
      <c r="M235" s="25" t="str">
        <f>'Ingest Template'!D234</f>
        <v/>
      </c>
      <c r="N235" s="25"/>
      <c r="O235" s="25"/>
      <c r="P235" s="25"/>
      <c r="Q235" s="25"/>
      <c r="R235" s="25" t="str">
        <f>CONCATENATE('Ingest Template'!F234)</f>
        <v/>
      </c>
      <c r="S235" s="43" t="s">
        <v>160</v>
      </c>
      <c r="T235" s="25" t="str">
        <f>'Ingest Template'!W234</f>
        <v/>
      </c>
      <c r="U235" s="25"/>
      <c r="V235" s="25" t="str">
        <f>LOWER(SUBSTITUTE(SUBSTITUTE(SUBSTITUTE(SUBSTITUTE(SUBSTITUTE('Ingest Template'!Y234,"https:",""),"www.",""),"/",""),"?hl=en",""),"instagram.com",""))</f>
        <v/>
      </c>
      <c r="W235" s="34" t="str">
        <f>(IFERROR(vlookup('Ingest Template'!F235,DropDown!D:E,2,false)&amp;'Ingest Template'!C235,""))</f>
        <v/>
      </c>
      <c r="X235" s="25" t="str">
        <f>'Ingest Template'!AA234</f>
        <v/>
      </c>
      <c r="Y235" s="25"/>
      <c r="Z235" s="25"/>
      <c r="AA235" s="25"/>
      <c r="AB235" s="25" t="str">
        <f>'Ingest Template'!T234</f>
        <v/>
      </c>
      <c r="AC235" s="25"/>
      <c r="AD235" s="25" t="str">
        <f>'Ingest Template'!U234</f>
        <v/>
      </c>
      <c r="AE235" s="25" t="str">
        <f>'Ingest Template'!V234</f>
        <v/>
      </c>
      <c r="AF235" s="25"/>
      <c r="AG235" s="25" t="str">
        <f t="array" ref="AG235">IF('Ingest Template'!A234="Standard",(CONCATENATE(IF(ISBLANK('Ingest Template'!O234),"", 'Ingest Template'!O234&amp;"|DAR"),CHAR(10), IF(ISBLANK('Ingest Template'!P234),"", 'Ingest Template'!P234&amp;"|DAR"),CHAR(10), IF(ISBLANK('Ingest Template'!Q234),"", 'Ingest Template'!Q234&amp;"|DAR"))),(CONCATENATE(IF(ISBLANK('Ingest Template'!O234),"", 'Ingest Template'!O234&amp;"|Operations - Core Title"),CHAR(10), IF(ISBLANK('Ingest Template'!P234),"", 'Ingest Template'!P234&amp;"|Operations - Core Title"),CHAR(10), IF(ISBLANK('Ingest Template'!Q234),"", 'Ingest Template'!Q234&amp;"|Operations - Core Title"))))</f>
        <v>#|Operations - Core Title
#videoGame|Operations - Core Title
</v>
      </c>
      <c r="AH235" s="25"/>
      <c r="AI235" s="25"/>
      <c r="AJ235" s="50" t="str">
        <f>if('Ingest Template'!A234="Standard",'Ingest Template'!R234&amp; "|DAR|DAR|2021-01-01",'Ingest Template'!R234&amp; "|Operations - Core Title|Operations - Core Title")</f>
        <v>#N/A</v>
      </c>
      <c r="AK235" s="25"/>
      <c r="AL235" s="25" t="str">
        <f>if('Ingest Template'!A234="Standard",'Ingest Template'!S234&amp; "|2021-01-01",'Ingest Template'!S234)</f>
        <v>#N/A</v>
      </c>
      <c r="AM235" s="25"/>
    </row>
    <row r="236">
      <c r="A236" s="25"/>
      <c r="B236" s="25" t="str">
        <f>'Ingest Template'!C235&amp;IF('Ingest Template'!A235 = "Standard", " - DAR","")</f>
        <v/>
      </c>
      <c r="C236" s="34" t="s">
        <v>92</v>
      </c>
      <c r="D236" s="34" t="str">
        <f>CONCATENATE('Ingest Template'!E236&amp;Char(10)&amp;'Ingest Template'!G236&amp;Char(10)&amp;'Ingest Template'!H236&amp;Char(10)&amp;'Ingest Template'!I236&amp;Char(10)&amp;'Ingest Template'!J236&amp;Char(10)&amp;'Ingest Template'!K236&amp;Char(10)&amp;'Ingest Template'!L236)</f>
        <v>
</v>
      </c>
      <c r="E236" s="25" t="str">
        <f>('Ingest Template'!M236)</f>
        <v/>
      </c>
      <c r="F236" s="40" t="str">
        <f t="array" ref="F236">INDEX(DropDown!$J$2:$J$63,MATCH(1,COUNTIF(E236,DropDown!$I$2:$I$63),0))</f>
        <v>#N/A</v>
      </c>
      <c r="G236" s="25"/>
      <c r="H236" s="25"/>
      <c r="I236" s="25"/>
      <c r="J236" s="25" t="str">
        <f>'Ingest Template'!B236</f>
        <v/>
      </c>
      <c r="K236" s="25" t="str">
        <f>IF('Ingest Template'!A235="Standard",'Ingest Template'!N235,"Competitive View")</f>
        <v>Competitive View</v>
      </c>
      <c r="L236" s="41" t="s">
        <v>145</v>
      </c>
      <c r="M236" s="25" t="str">
        <f>'Ingest Template'!D235</f>
        <v/>
      </c>
      <c r="N236" s="25"/>
      <c r="O236" s="25"/>
      <c r="P236" s="25"/>
      <c r="Q236" s="25"/>
      <c r="R236" s="25" t="str">
        <f>CONCATENATE('Ingest Template'!F235)</f>
        <v/>
      </c>
      <c r="S236" s="43" t="s">
        <v>160</v>
      </c>
      <c r="T236" s="25" t="str">
        <f>'Ingest Template'!W235</f>
        <v/>
      </c>
      <c r="U236" s="25"/>
      <c r="V236" s="25" t="str">
        <f>LOWER(SUBSTITUTE(SUBSTITUTE(SUBSTITUTE(SUBSTITUTE(SUBSTITUTE('Ingest Template'!Y235,"https:",""),"www.",""),"/",""),"?hl=en",""),"instagram.com",""))</f>
        <v/>
      </c>
      <c r="W236" s="34" t="str">
        <f>(IFERROR(vlookup('Ingest Template'!F236,DropDown!D:E,2,false)&amp;'Ingest Template'!C236,""))</f>
        <v/>
      </c>
      <c r="X236" s="25" t="str">
        <f>'Ingest Template'!AA235</f>
        <v/>
      </c>
      <c r="Y236" s="25"/>
      <c r="Z236" s="25"/>
      <c r="AA236" s="25"/>
      <c r="AB236" s="25" t="str">
        <f>'Ingest Template'!T235</f>
        <v/>
      </c>
      <c r="AC236" s="25"/>
      <c r="AD236" s="25" t="str">
        <f>'Ingest Template'!U235</f>
        <v/>
      </c>
      <c r="AE236" s="25" t="str">
        <f>'Ingest Template'!V235</f>
        <v/>
      </c>
      <c r="AF236" s="25"/>
      <c r="AG236" s="25" t="str">
        <f t="array" ref="AG236">IF('Ingest Template'!A235="Standard",(CONCATENATE(IF(ISBLANK('Ingest Template'!O235),"", 'Ingest Template'!O235&amp;"|DAR"),CHAR(10), IF(ISBLANK('Ingest Template'!P235),"", 'Ingest Template'!P235&amp;"|DAR"),CHAR(10), IF(ISBLANK('Ingest Template'!Q235),"", 'Ingest Template'!Q235&amp;"|DAR"))),(CONCATENATE(IF(ISBLANK('Ingest Template'!O235),"", 'Ingest Template'!O235&amp;"|Operations - Core Title"),CHAR(10), IF(ISBLANK('Ingest Template'!P235),"", 'Ingest Template'!P235&amp;"|Operations - Core Title"),CHAR(10), IF(ISBLANK('Ingest Template'!Q235),"", 'Ingest Template'!Q235&amp;"|Operations - Core Title"))))</f>
        <v>#|Operations - Core Title
#videoGame|Operations - Core Title
</v>
      </c>
      <c r="AH236" s="25"/>
      <c r="AI236" s="25"/>
      <c r="AJ236" s="50" t="str">
        <f>if('Ingest Template'!A235="Standard",'Ingest Template'!R235&amp; "|DAR|DAR|2021-01-01",'Ingest Template'!R235&amp; "|Operations - Core Title|Operations - Core Title")</f>
        <v>#N/A</v>
      </c>
      <c r="AK236" s="25"/>
      <c r="AL236" s="25" t="str">
        <f>if('Ingest Template'!A235="Standard",'Ingest Template'!S235&amp; "|2021-01-01",'Ingest Template'!S235)</f>
        <v>#N/A</v>
      </c>
      <c r="AM236" s="25"/>
    </row>
    <row r="237">
      <c r="A237" s="25"/>
      <c r="B237" s="25" t="str">
        <f>'Ingest Template'!C236&amp;IF('Ingest Template'!A236 = "Standard", " - DAR","")</f>
        <v/>
      </c>
      <c r="C237" s="34" t="s">
        <v>92</v>
      </c>
      <c r="D237" s="34" t="str">
        <f>CONCATENATE('Ingest Template'!E237&amp;Char(10)&amp;'Ingest Template'!G237&amp;Char(10)&amp;'Ingest Template'!H237&amp;Char(10)&amp;'Ingest Template'!I237&amp;Char(10)&amp;'Ingest Template'!J237&amp;Char(10)&amp;'Ingest Template'!K237&amp;Char(10)&amp;'Ingest Template'!L237)</f>
        <v>
</v>
      </c>
      <c r="E237" s="25" t="str">
        <f>('Ingest Template'!M237)</f>
        <v/>
      </c>
      <c r="F237" s="40" t="str">
        <f t="array" ref="F237">INDEX(DropDown!$J$2:$J$63,MATCH(1,COUNTIF(E237,DropDown!$I$2:$I$63),0))</f>
        <v>#N/A</v>
      </c>
      <c r="G237" s="25"/>
      <c r="H237" s="25"/>
      <c r="I237" s="25"/>
      <c r="J237" s="25" t="str">
        <f>'Ingest Template'!B237</f>
        <v/>
      </c>
      <c r="K237" s="25" t="str">
        <f>IF('Ingest Template'!A236="Standard",'Ingest Template'!N236,"Competitive View")</f>
        <v>Competitive View</v>
      </c>
      <c r="L237" s="41" t="s">
        <v>145</v>
      </c>
      <c r="M237" s="25" t="str">
        <f>'Ingest Template'!D236</f>
        <v/>
      </c>
      <c r="N237" s="25"/>
      <c r="O237" s="25"/>
      <c r="P237" s="25"/>
      <c r="Q237" s="25"/>
      <c r="R237" s="25" t="str">
        <f>CONCATENATE('Ingest Template'!F236)</f>
        <v/>
      </c>
      <c r="S237" s="43" t="s">
        <v>160</v>
      </c>
      <c r="T237" s="25" t="str">
        <f>'Ingest Template'!W236</f>
        <v/>
      </c>
      <c r="U237" s="25"/>
      <c r="V237" s="25" t="str">
        <f>LOWER(SUBSTITUTE(SUBSTITUTE(SUBSTITUTE(SUBSTITUTE(SUBSTITUTE('Ingest Template'!Y236,"https:",""),"www.",""),"/",""),"?hl=en",""),"instagram.com",""))</f>
        <v/>
      </c>
      <c r="W237" s="34" t="str">
        <f>(IFERROR(vlookup('Ingest Template'!F237,DropDown!D:E,2,false)&amp;'Ingest Template'!C237,""))</f>
        <v/>
      </c>
      <c r="X237" s="25" t="str">
        <f>'Ingest Template'!AA236</f>
        <v/>
      </c>
      <c r="Y237" s="25"/>
      <c r="Z237" s="25"/>
      <c r="AA237" s="25"/>
      <c r="AB237" s="25" t="str">
        <f>'Ingest Template'!T236</f>
        <v/>
      </c>
      <c r="AC237" s="25"/>
      <c r="AD237" s="25" t="str">
        <f>'Ingest Template'!U236</f>
        <v/>
      </c>
      <c r="AE237" s="25" t="str">
        <f>'Ingest Template'!V236</f>
        <v/>
      </c>
      <c r="AF237" s="25"/>
      <c r="AG237" s="25" t="str">
        <f t="array" ref="AG237">IF('Ingest Template'!A236="Standard",(CONCATENATE(IF(ISBLANK('Ingest Template'!O236),"", 'Ingest Template'!O236&amp;"|DAR"),CHAR(10), IF(ISBLANK('Ingest Template'!P236),"", 'Ingest Template'!P236&amp;"|DAR"),CHAR(10), IF(ISBLANK('Ingest Template'!Q236),"", 'Ingest Template'!Q236&amp;"|DAR"))),(CONCATENATE(IF(ISBLANK('Ingest Template'!O236),"", 'Ingest Template'!O236&amp;"|Operations - Core Title"),CHAR(10), IF(ISBLANK('Ingest Template'!P236),"", 'Ingest Template'!P236&amp;"|Operations - Core Title"),CHAR(10), IF(ISBLANK('Ingest Template'!Q236),"", 'Ingest Template'!Q236&amp;"|Operations - Core Title"))))</f>
        <v>#|Operations - Core Title
#videoGame|Operations - Core Title
</v>
      </c>
      <c r="AH237" s="25"/>
      <c r="AI237" s="25"/>
      <c r="AJ237" s="50" t="str">
        <f>if('Ingest Template'!A236="Standard",'Ingest Template'!R236&amp; "|DAR|DAR|2021-01-01",'Ingest Template'!R236&amp; "|Operations - Core Title|Operations - Core Title")</f>
        <v>#N/A</v>
      </c>
      <c r="AK237" s="25"/>
      <c r="AL237" s="25" t="str">
        <f>if('Ingest Template'!A236="Standard",'Ingest Template'!S236&amp; "|2021-01-01",'Ingest Template'!S236)</f>
        <v>#N/A</v>
      </c>
      <c r="AM237" s="25"/>
    </row>
    <row r="238">
      <c r="A238" s="25"/>
      <c r="B238" s="25" t="str">
        <f>'Ingest Template'!C237&amp;IF('Ingest Template'!A237 = "Standard", " - DAR","")</f>
        <v/>
      </c>
      <c r="C238" s="34" t="s">
        <v>92</v>
      </c>
      <c r="D238" s="34" t="str">
        <f>CONCATENATE('Ingest Template'!E238&amp;Char(10)&amp;'Ingest Template'!G238&amp;Char(10)&amp;'Ingest Template'!H238&amp;Char(10)&amp;'Ingest Template'!I238&amp;Char(10)&amp;'Ingest Template'!J238&amp;Char(10)&amp;'Ingest Template'!K238&amp;Char(10)&amp;'Ingest Template'!L238)</f>
        <v>
</v>
      </c>
      <c r="E238" s="25" t="str">
        <f>('Ingest Template'!M238)</f>
        <v/>
      </c>
      <c r="F238" s="40" t="str">
        <f t="array" ref="F238">INDEX(DropDown!$J$2:$J$63,MATCH(1,COUNTIF(E238,DropDown!$I$2:$I$63),0))</f>
        <v>#N/A</v>
      </c>
      <c r="G238" s="25"/>
      <c r="H238" s="25"/>
      <c r="I238" s="25"/>
      <c r="J238" s="25" t="str">
        <f>'Ingest Template'!B238</f>
        <v/>
      </c>
      <c r="K238" s="25" t="str">
        <f>IF('Ingest Template'!A237="Standard",'Ingest Template'!N237,"Competitive View")</f>
        <v>Competitive View</v>
      </c>
      <c r="L238" s="41" t="s">
        <v>145</v>
      </c>
      <c r="M238" s="25" t="str">
        <f>'Ingest Template'!D237</f>
        <v/>
      </c>
      <c r="N238" s="25"/>
      <c r="O238" s="25"/>
      <c r="P238" s="25"/>
      <c r="Q238" s="25"/>
      <c r="R238" s="25" t="str">
        <f>CONCATENATE('Ingest Template'!F237)</f>
        <v/>
      </c>
      <c r="S238" s="43" t="s">
        <v>160</v>
      </c>
      <c r="T238" s="25" t="str">
        <f>'Ingest Template'!W237</f>
        <v/>
      </c>
      <c r="U238" s="25"/>
      <c r="V238" s="25" t="str">
        <f>LOWER(SUBSTITUTE(SUBSTITUTE(SUBSTITUTE(SUBSTITUTE(SUBSTITUTE('Ingest Template'!Y237,"https:",""),"www.",""),"/",""),"?hl=en",""),"instagram.com",""))</f>
        <v/>
      </c>
      <c r="W238" s="34" t="str">
        <f>(IFERROR(vlookup('Ingest Template'!F238,DropDown!D:E,2,false)&amp;'Ingest Template'!C238,""))</f>
        <v/>
      </c>
      <c r="X238" s="25" t="str">
        <f>'Ingest Template'!AA237</f>
        <v/>
      </c>
      <c r="Y238" s="25"/>
      <c r="Z238" s="25"/>
      <c r="AA238" s="25"/>
      <c r="AB238" s="25" t="str">
        <f>'Ingest Template'!T237</f>
        <v/>
      </c>
      <c r="AC238" s="25"/>
      <c r="AD238" s="25" t="str">
        <f>'Ingest Template'!U237</f>
        <v/>
      </c>
      <c r="AE238" s="25" t="str">
        <f>'Ingest Template'!V237</f>
        <v/>
      </c>
      <c r="AF238" s="25"/>
      <c r="AG238" s="25" t="str">
        <f t="array" ref="AG238">IF('Ingest Template'!A237="Standard",(CONCATENATE(IF(ISBLANK('Ingest Template'!O237),"", 'Ingest Template'!O237&amp;"|DAR"),CHAR(10), IF(ISBLANK('Ingest Template'!P237),"", 'Ingest Template'!P237&amp;"|DAR"),CHAR(10), IF(ISBLANK('Ingest Template'!Q237),"", 'Ingest Template'!Q237&amp;"|DAR"))),(CONCATENATE(IF(ISBLANK('Ingest Template'!O237),"", 'Ingest Template'!O237&amp;"|Operations - Core Title"),CHAR(10), IF(ISBLANK('Ingest Template'!P237),"", 'Ingest Template'!P237&amp;"|Operations - Core Title"),CHAR(10), IF(ISBLANK('Ingest Template'!Q237),"", 'Ingest Template'!Q237&amp;"|Operations - Core Title"))))</f>
        <v>#|Operations - Core Title
#videoGame|Operations - Core Title
</v>
      </c>
      <c r="AH238" s="25"/>
      <c r="AI238" s="25"/>
      <c r="AJ238" s="50" t="str">
        <f>if('Ingest Template'!A237="Standard",'Ingest Template'!R237&amp; "|DAR|DAR|2021-01-01",'Ingest Template'!R237&amp; "|Operations - Core Title|Operations - Core Title")</f>
        <v>#N/A</v>
      </c>
      <c r="AK238" s="25"/>
      <c r="AL238" s="25" t="str">
        <f>if('Ingest Template'!A237="Standard",'Ingest Template'!S237&amp; "|2021-01-01",'Ingest Template'!S237)</f>
        <v>#N/A</v>
      </c>
      <c r="AM238" s="25"/>
    </row>
    <row r="239">
      <c r="A239" s="25"/>
      <c r="B239" s="25" t="str">
        <f>'Ingest Template'!C238&amp;IF('Ingest Template'!A238 = "Standard", " - DAR","")</f>
        <v/>
      </c>
      <c r="C239" s="34" t="s">
        <v>92</v>
      </c>
      <c r="D239" s="34" t="str">
        <f>CONCATENATE('Ingest Template'!E239&amp;Char(10)&amp;'Ingest Template'!G239&amp;Char(10)&amp;'Ingest Template'!H239&amp;Char(10)&amp;'Ingest Template'!I239&amp;Char(10)&amp;'Ingest Template'!J239&amp;Char(10)&amp;'Ingest Template'!K239&amp;Char(10)&amp;'Ingest Template'!L239)</f>
        <v>
</v>
      </c>
      <c r="E239" s="25" t="str">
        <f>('Ingest Template'!M239)</f>
        <v/>
      </c>
      <c r="F239" s="40" t="str">
        <f t="array" ref="F239">INDEX(DropDown!$J$2:$J$63,MATCH(1,COUNTIF(E239,DropDown!$I$2:$I$63),0))</f>
        <v>#N/A</v>
      </c>
      <c r="G239" s="25"/>
      <c r="H239" s="25"/>
      <c r="I239" s="25"/>
      <c r="J239" s="25" t="str">
        <f>'Ingest Template'!B239</f>
        <v/>
      </c>
      <c r="K239" s="25" t="str">
        <f>IF('Ingest Template'!A238="Standard",'Ingest Template'!N238,"Competitive View")</f>
        <v>Competitive View</v>
      </c>
      <c r="L239" s="41" t="s">
        <v>145</v>
      </c>
      <c r="M239" s="25" t="str">
        <f>'Ingest Template'!D238</f>
        <v/>
      </c>
      <c r="N239" s="25"/>
      <c r="O239" s="25"/>
      <c r="P239" s="25"/>
      <c r="Q239" s="25"/>
      <c r="R239" s="25" t="str">
        <f>CONCATENATE('Ingest Template'!F238)</f>
        <v/>
      </c>
      <c r="S239" s="43" t="s">
        <v>160</v>
      </c>
      <c r="T239" s="25" t="str">
        <f>'Ingest Template'!W238</f>
        <v/>
      </c>
      <c r="U239" s="25"/>
      <c r="V239" s="25" t="str">
        <f>LOWER(SUBSTITUTE(SUBSTITUTE(SUBSTITUTE(SUBSTITUTE(SUBSTITUTE('Ingest Template'!Y238,"https:",""),"www.",""),"/",""),"?hl=en",""),"instagram.com",""))</f>
        <v/>
      </c>
      <c r="W239" s="34" t="str">
        <f>(IFERROR(vlookup('Ingest Template'!F239,DropDown!D:E,2,false)&amp;'Ingest Template'!C239,""))</f>
        <v/>
      </c>
      <c r="X239" s="25" t="str">
        <f>'Ingest Template'!AA238</f>
        <v/>
      </c>
      <c r="Y239" s="25"/>
      <c r="Z239" s="25"/>
      <c r="AA239" s="25"/>
      <c r="AB239" s="25" t="str">
        <f>'Ingest Template'!T238</f>
        <v/>
      </c>
      <c r="AC239" s="25"/>
      <c r="AD239" s="25" t="str">
        <f>'Ingest Template'!U238</f>
        <v/>
      </c>
      <c r="AE239" s="25" t="str">
        <f>'Ingest Template'!V238</f>
        <v/>
      </c>
      <c r="AF239" s="25"/>
      <c r="AG239" s="25" t="str">
        <f t="array" ref="AG239">IF('Ingest Template'!A238="Standard",(CONCATENATE(IF(ISBLANK('Ingest Template'!O238),"", 'Ingest Template'!O238&amp;"|DAR"),CHAR(10), IF(ISBLANK('Ingest Template'!P238),"", 'Ingest Template'!P238&amp;"|DAR"),CHAR(10), IF(ISBLANK('Ingest Template'!Q238),"", 'Ingest Template'!Q238&amp;"|DAR"))),(CONCATENATE(IF(ISBLANK('Ingest Template'!O238),"", 'Ingest Template'!O238&amp;"|Operations - Core Title"),CHAR(10), IF(ISBLANK('Ingest Template'!P238),"", 'Ingest Template'!P238&amp;"|Operations - Core Title"),CHAR(10), IF(ISBLANK('Ingest Template'!Q238),"", 'Ingest Template'!Q238&amp;"|Operations - Core Title"))))</f>
        <v>#|Operations - Core Title
#videoGame|Operations - Core Title
</v>
      </c>
      <c r="AH239" s="25"/>
      <c r="AI239" s="25"/>
      <c r="AJ239" s="50" t="str">
        <f>if('Ingest Template'!A238="Standard",'Ingest Template'!R238&amp; "|DAR|DAR|2021-01-01",'Ingest Template'!R238&amp; "|Operations - Core Title|Operations - Core Title")</f>
        <v>#N/A</v>
      </c>
      <c r="AK239" s="25"/>
      <c r="AL239" s="25" t="str">
        <f>if('Ingest Template'!A238="Standard",'Ingest Template'!S238&amp; "|2021-01-01",'Ingest Template'!S238)</f>
        <v>#N/A</v>
      </c>
      <c r="AM239" s="25"/>
    </row>
    <row r="240">
      <c r="A240" s="25"/>
      <c r="B240" s="25" t="str">
        <f>'Ingest Template'!C239&amp;IF('Ingest Template'!A239 = "Standard", " - DAR","")</f>
        <v/>
      </c>
      <c r="C240" s="34" t="s">
        <v>92</v>
      </c>
      <c r="D240" s="34" t="str">
        <f>CONCATENATE('Ingest Template'!E240&amp;Char(10)&amp;'Ingest Template'!G240&amp;Char(10)&amp;'Ingest Template'!H240&amp;Char(10)&amp;'Ingest Template'!I240&amp;Char(10)&amp;'Ingest Template'!J240&amp;Char(10)&amp;'Ingest Template'!K240&amp;Char(10)&amp;'Ingest Template'!L240)</f>
        <v>
</v>
      </c>
      <c r="E240" s="25" t="str">
        <f>('Ingest Template'!M240)</f>
        <v/>
      </c>
      <c r="F240" s="40" t="str">
        <f t="array" ref="F240">INDEX(DropDown!$J$2:$J$63,MATCH(1,COUNTIF(E240,DropDown!$I$2:$I$63),0))</f>
        <v>#N/A</v>
      </c>
      <c r="G240" s="25"/>
      <c r="H240" s="25"/>
      <c r="I240" s="25"/>
      <c r="J240" s="25" t="str">
        <f>'Ingest Template'!B240</f>
        <v/>
      </c>
      <c r="K240" s="25" t="str">
        <f>IF('Ingest Template'!A239="Standard",'Ingest Template'!N239,"Competitive View")</f>
        <v>Competitive View</v>
      </c>
      <c r="L240" s="41" t="s">
        <v>145</v>
      </c>
      <c r="M240" s="25" t="str">
        <f>'Ingest Template'!D239</f>
        <v/>
      </c>
      <c r="N240" s="25"/>
      <c r="O240" s="25"/>
      <c r="P240" s="25"/>
      <c r="Q240" s="25"/>
      <c r="R240" s="25" t="str">
        <f>CONCATENATE('Ingest Template'!F239)</f>
        <v/>
      </c>
      <c r="S240" s="43" t="s">
        <v>160</v>
      </c>
      <c r="T240" s="25" t="str">
        <f>'Ingest Template'!W239</f>
        <v/>
      </c>
      <c r="U240" s="25"/>
      <c r="V240" s="25" t="str">
        <f>LOWER(SUBSTITUTE(SUBSTITUTE(SUBSTITUTE(SUBSTITUTE(SUBSTITUTE('Ingest Template'!Y239,"https:",""),"www.",""),"/",""),"?hl=en",""),"instagram.com",""))</f>
        <v/>
      </c>
      <c r="W240" s="34" t="str">
        <f>(IFERROR(vlookup('Ingest Template'!F240,DropDown!D:E,2,false)&amp;'Ingest Template'!C240,""))</f>
        <v/>
      </c>
      <c r="X240" s="25" t="str">
        <f>'Ingest Template'!AA239</f>
        <v/>
      </c>
      <c r="Y240" s="25"/>
      <c r="Z240" s="25"/>
      <c r="AA240" s="25"/>
      <c r="AB240" s="25" t="str">
        <f>'Ingest Template'!T239</f>
        <v/>
      </c>
      <c r="AC240" s="25"/>
      <c r="AD240" s="25" t="str">
        <f>'Ingest Template'!U239</f>
        <v/>
      </c>
      <c r="AE240" s="25" t="str">
        <f>'Ingest Template'!V239</f>
        <v/>
      </c>
      <c r="AF240" s="25"/>
      <c r="AG240" s="25" t="str">
        <f t="array" ref="AG240">IF('Ingest Template'!A239="Standard",(CONCATENATE(IF(ISBLANK('Ingest Template'!O239),"", 'Ingest Template'!O239&amp;"|DAR"),CHAR(10), IF(ISBLANK('Ingest Template'!P239),"", 'Ingest Template'!P239&amp;"|DAR"),CHAR(10), IF(ISBLANK('Ingest Template'!Q239),"", 'Ingest Template'!Q239&amp;"|DAR"))),(CONCATENATE(IF(ISBLANK('Ingest Template'!O239),"", 'Ingest Template'!O239&amp;"|Operations - Core Title"),CHAR(10), IF(ISBLANK('Ingest Template'!P239),"", 'Ingest Template'!P239&amp;"|Operations - Core Title"),CHAR(10), IF(ISBLANK('Ingest Template'!Q239),"", 'Ingest Template'!Q239&amp;"|Operations - Core Title"))))</f>
        <v>#|Operations - Core Title
#videoGame|Operations - Core Title
</v>
      </c>
      <c r="AH240" s="25"/>
      <c r="AI240" s="25"/>
      <c r="AJ240" s="50" t="str">
        <f>if('Ingest Template'!A239="Standard",'Ingest Template'!R239&amp; "|DAR|DAR|2021-01-01",'Ingest Template'!R239&amp; "|Operations - Core Title|Operations - Core Title")</f>
        <v>#N/A</v>
      </c>
      <c r="AK240" s="25"/>
      <c r="AL240" s="25" t="str">
        <f>if('Ingest Template'!A239="Standard",'Ingest Template'!S239&amp; "|2021-01-01",'Ingest Template'!S239)</f>
        <v>#N/A</v>
      </c>
      <c r="AM240" s="25"/>
    </row>
    <row r="241">
      <c r="A241" s="25"/>
      <c r="B241" s="25" t="str">
        <f>'Ingest Template'!C240&amp;IF('Ingest Template'!A240 = "Standard", " - DAR","")</f>
        <v/>
      </c>
      <c r="C241" s="34" t="s">
        <v>92</v>
      </c>
      <c r="D241" s="34" t="str">
        <f>CONCATENATE('Ingest Template'!E241&amp;Char(10)&amp;'Ingest Template'!G241&amp;Char(10)&amp;'Ingest Template'!H241&amp;Char(10)&amp;'Ingest Template'!I241&amp;Char(10)&amp;'Ingest Template'!J241&amp;Char(10)&amp;'Ingest Template'!K241&amp;Char(10)&amp;'Ingest Template'!L241)</f>
        <v>
</v>
      </c>
      <c r="E241" s="25" t="str">
        <f>('Ingest Template'!M241)</f>
        <v/>
      </c>
      <c r="F241" s="40" t="str">
        <f t="array" ref="F241">INDEX(DropDown!$J$2:$J$63,MATCH(1,COUNTIF(E241,DropDown!$I$2:$I$63),0))</f>
        <v>#N/A</v>
      </c>
      <c r="G241" s="25"/>
      <c r="H241" s="25"/>
      <c r="I241" s="25"/>
      <c r="J241" s="25" t="str">
        <f>'Ingest Template'!B241</f>
        <v/>
      </c>
      <c r="K241" s="25" t="str">
        <f>IF('Ingest Template'!A240="Standard",'Ingest Template'!N240,"Competitive View")</f>
        <v>Competitive View</v>
      </c>
      <c r="L241" s="41" t="s">
        <v>145</v>
      </c>
      <c r="M241" s="25" t="str">
        <f>'Ingest Template'!D240</f>
        <v/>
      </c>
      <c r="N241" s="25"/>
      <c r="O241" s="25"/>
      <c r="P241" s="25"/>
      <c r="Q241" s="25"/>
      <c r="R241" s="25" t="str">
        <f>CONCATENATE('Ingest Template'!F240)</f>
        <v/>
      </c>
      <c r="S241" s="43" t="s">
        <v>160</v>
      </c>
      <c r="T241" s="25" t="str">
        <f>'Ingest Template'!W240</f>
        <v/>
      </c>
      <c r="U241" s="25"/>
      <c r="V241" s="25" t="str">
        <f>LOWER(SUBSTITUTE(SUBSTITUTE(SUBSTITUTE(SUBSTITUTE(SUBSTITUTE('Ingest Template'!Y240,"https:",""),"www.",""),"/",""),"?hl=en",""),"instagram.com",""))</f>
        <v/>
      </c>
      <c r="W241" s="34" t="str">
        <f>(IFERROR(vlookup('Ingest Template'!F241,DropDown!D:E,2,false)&amp;'Ingest Template'!C241,""))</f>
        <v/>
      </c>
      <c r="X241" s="25" t="str">
        <f>'Ingest Template'!AA240</f>
        <v/>
      </c>
      <c r="Y241" s="25"/>
      <c r="Z241" s="25"/>
      <c r="AA241" s="25"/>
      <c r="AB241" s="25" t="str">
        <f>'Ingest Template'!T240</f>
        <v/>
      </c>
      <c r="AC241" s="25"/>
      <c r="AD241" s="25" t="str">
        <f>'Ingest Template'!U240</f>
        <v/>
      </c>
      <c r="AE241" s="25" t="str">
        <f>'Ingest Template'!V240</f>
        <v/>
      </c>
      <c r="AF241" s="25"/>
      <c r="AG241" s="25" t="str">
        <f t="array" ref="AG241">IF('Ingest Template'!A240="Standard",(CONCATENATE(IF(ISBLANK('Ingest Template'!O240),"", 'Ingest Template'!O240&amp;"|DAR"),CHAR(10), IF(ISBLANK('Ingest Template'!P240),"", 'Ingest Template'!P240&amp;"|DAR"),CHAR(10), IF(ISBLANK('Ingest Template'!Q240),"", 'Ingest Template'!Q240&amp;"|DAR"))),(CONCATENATE(IF(ISBLANK('Ingest Template'!O240),"", 'Ingest Template'!O240&amp;"|Operations - Core Title"),CHAR(10), IF(ISBLANK('Ingest Template'!P240),"", 'Ingest Template'!P240&amp;"|Operations - Core Title"),CHAR(10), IF(ISBLANK('Ingest Template'!Q240),"", 'Ingest Template'!Q240&amp;"|Operations - Core Title"))))</f>
        <v>#|Operations - Core Title
#videoGame|Operations - Core Title
</v>
      </c>
      <c r="AH241" s="25"/>
      <c r="AI241" s="25"/>
      <c r="AJ241" s="50" t="str">
        <f>if('Ingest Template'!A240="Standard",'Ingest Template'!R240&amp; "|DAR|DAR|2021-01-01",'Ingest Template'!R240&amp; "|Operations - Core Title|Operations - Core Title")</f>
        <v>#N/A</v>
      </c>
      <c r="AK241" s="25"/>
      <c r="AL241" s="25" t="str">
        <f>if('Ingest Template'!A240="Standard",'Ingest Template'!S240&amp; "|2021-01-01",'Ingest Template'!S240)</f>
        <v>#N/A</v>
      </c>
      <c r="AM241" s="25"/>
    </row>
    <row r="242">
      <c r="A242" s="25"/>
      <c r="B242" s="25" t="str">
        <f>'Ingest Template'!C241&amp;IF('Ingest Template'!A241 = "Standard", " - DAR","")</f>
        <v/>
      </c>
      <c r="C242" s="34" t="s">
        <v>92</v>
      </c>
      <c r="D242" s="34" t="str">
        <f>CONCATENATE('Ingest Template'!E242&amp;Char(10)&amp;'Ingest Template'!G242&amp;Char(10)&amp;'Ingest Template'!H242&amp;Char(10)&amp;'Ingest Template'!I242&amp;Char(10)&amp;'Ingest Template'!J242&amp;Char(10)&amp;'Ingest Template'!K242&amp;Char(10)&amp;'Ingest Template'!L242)</f>
        <v>
</v>
      </c>
      <c r="E242" s="25" t="str">
        <f>('Ingest Template'!M242)</f>
        <v/>
      </c>
      <c r="F242" s="40" t="str">
        <f t="array" ref="F242">INDEX(DropDown!$J$2:$J$63,MATCH(1,COUNTIF(E242,DropDown!$I$2:$I$63),0))</f>
        <v>#N/A</v>
      </c>
      <c r="G242" s="25"/>
      <c r="H242" s="25"/>
      <c r="I242" s="25"/>
      <c r="J242" s="25" t="str">
        <f>'Ingest Template'!B242</f>
        <v/>
      </c>
      <c r="K242" s="25" t="str">
        <f>IF('Ingest Template'!A241="Standard",'Ingest Template'!N241,"Competitive View")</f>
        <v>Competitive View</v>
      </c>
      <c r="L242" s="41" t="s">
        <v>145</v>
      </c>
      <c r="M242" s="25" t="str">
        <f>'Ingest Template'!D241</f>
        <v/>
      </c>
      <c r="N242" s="25"/>
      <c r="O242" s="25"/>
      <c r="P242" s="25"/>
      <c r="Q242" s="25"/>
      <c r="R242" s="25" t="str">
        <f>CONCATENATE('Ingest Template'!F241)</f>
        <v/>
      </c>
      <c r="S242" s="43" t="s">
        <v>160</v>
      </c>
      <c r="T242" s="25" t="str">
        <f>'Ingest Template'!W241</f>
        <v/>
      </c>
      <c r="U242" s="25"/>
      <c r="V242" s="25" t="str">
        <f>LOWER(SUBSTITUTE(SUBSTITUTE(SUBSTITUTE(SUBSTITUTE(SUBSTITUTE('Ingest Template'!Y241,"https:",""),"www.",""),"/",""),"?hl=en",""),"instagram.com",""))</f>
        <v/>
      </c>
      <c r="W242" s="34" t="str">
        <f>(IFERROR(vlookup('Ingest Template'!F242,DropDown!D:E,2,false)&amp;'Ingest Template'!C242,""))</f>
        <v/>
      </c>
      <c r="X242" s="25" t="str">
        <f>'Ingest Template'!AA241</f>
        <v/>
      </c>
      <c r="Y242" s="25"/>
      <c r="Z242" s="25"/>
      <c r="AA242" s="25"/>
      <c r="AB242" s="25" t="str">
        <f>'Ingest Template'!T241</f>
        <v/>
      </c>
      <c r="AC242" s="25"/>
      <c r="AD242" s="25" t="str">
        <f>'Ingest Template'!U241</f>
        <v/>
      </c>
      <c r="AE242" s="25" t="str">
        <f>'Ingest Template'!V241</f>
        <v/>
      </c>
      <c r="AF242" s="25"/>
      <c r="AG242" s="25" t="str">
        <f t="array" ref="AG242">IF('Ingest Template'!A241="Standard",(CONCATENATE(IF(ISBLANK('Ingest Template'!O241),"", 'Ingest Template'!O241&amp;"|DAR"),CHAR(10), IF(ISBLANK('Ingest Template'!P241),"", 'Ingest Template'!P241&amp;"|DAR"),CHAR(10), IF(ISBLANK('Ingest Template'!Q241),"", 'Ingest Template'!Q241&amp;"|DAR"))),(CONCATENATE(IF(ISBLANK('Ingest Template'!O241),"", 'Ingest Template'!O241&amp;"|Operations - Core Title"),CHAR(10), IF(ISBLANK('Ingest Template'!P241),"", 'Ingest Template'!P241&amp;"|Operations - Core Title"),CHAR(10), IF(ISBLANK('Ingest Template'!Q241),"", 'Ingest Template'!Q241&amp;"|Operations - Core Title"))))</f>
        <v>#|Operations - Core Title
#videoGame|Operations - Core Title
</v>
      </c>
      <c r="AH242" s="25"/>
      <c r="AI242" s="25"/>
      <c r="AJ242" s="50" t="str">
        <f>if('Ingest Template'!A241="Standard",'Ingest Template'!R241&amp; "|DAR|DAR|2021-01-01",'Ingest Template'!R241&amp; "|Operations - Core Title|Operations - Core Title")</f>
        <v>#N/A</v>
      </c>
      <c r="AK242" s="25"/>
      <c r="AL242" s="25" t="str">
        <f>if('Ingest Template'!A241="Standard",'Ingest Template'!S241&amp; "|2021-01-01",'Ingest Template'!S241)</f>
        <v>#N/A</v>
      </c>
      <c r="AM242" s="25"/>
    </row>
    <row r="243">
      <c r="A243" s="25"/>
      <c r="B243" s="25" t="str">
        <f>'Ingest Template'!C242&amp;IF('Ingest Template'!A242 = "Standard", " - DAR","")</f>
        <v/>
      </c>
      <c r="C243" s="34" t="s">
        <v>92</v>
      </c>
      <c r="D243" s="34" t="str">
        <f>CONCATENATE('Ingest Template'!E243&amp;Char(10)&amp;'Ingest Template'!G243&amp;Char(10)&amp;'Ingest Template'!H243&amp;Char(10)&amp;'Ingest Template'!I243&amp;Char(10)&amp;'Ingest Template'!J243&amp;Char(10)&amp;'Ingest Template'!K243&amp;Char(10)&amp;'Ingest Template'!L243)</f>
        <v>
</v>
      </c>
      <c r="E243" s="25" t="str">
        <f>('Ingest Template'!M243)</f>
        <v/>
      </c>
      <c r="F243" s="40" t="str">
        <f t="array" ref="F243">INDEX(DropDown!$J$2:$J$63,MATCH(1,COUNTIF(E243,DropDown!$I$2:$I$63),0))</f>
        <v>#N/A</v>
      </c>
      <c r="G243" s="25"/>
      <c r="H243" s="25"/>
      <c r="I243" s="25"/>
      <c r="J243" s="25" t="str">
        <f>'Ingest Template'!B243</f>
        <v/>
      </c>
      <c r="K243" s="25" t="str">
        <f>IF('Ingest Template'!A242="Standard",'Ingest Template'!N242,"Competitive View")</f>
        <v>Competitive View</v>
      </c>
      <c r="L243" s="41" t="s">
        <v>145</v>
      </c>
      <c r="M243" s="25" t="str">
        <f>'Ingest Template'!D242</f>
        <v/>
      </c>
      <c r="N243" s="25"/>
      <c r="O243" s="25"/>
      <c r="P243" s="25"/>
      <c r="Q243" s="25"/>
      <c r="R243" s="25" t="str">
        <f>CONCATENATE('Ingest Template'!F242)</f>
        <v/>
      </c>
      <c r="S243" s="43" t="s">
        <v>160</v>
      </c>
      <c r="T243" s="25" t="str">
        <f>'Ingest Template'!W242</f>
        <v/>
      </c>
      <c r="U243" s="25"/>
      <c r="V243" s="25" t="str">
        <f>LOWER(SUBSTITUTE(SUBSTITUTE(SUBSTITUTE(SUBSTITUTE(SUBSTITUTE('Ingest Template'!Y242,"https:",""),"www.",""),"/",""),"?hl=en",""),"instagram.com",""))</f>
        <v/>
      </c>
      <c r="W243" s="34" t="str">
        <f>(IFERROR(vlookup('Ingest Template'!F243,DropDown!D:E,2,false)&amp;'Ingest Template'!C243,""))</f>
        <v/>
      </c>
      <c r="X243" s="25" t="str">
        <f>'Ingest Template'!AA242</f>
        <v/>
      </c>
      <c r="Y243" s="25"/>
      <c r="Z243" s="25"/>
      <c r="AA243" s="25"/>
      <c r="AB243" s="25" t="str">
        <f>'Ingest Template'!T242</f>
        <v/>
      </c>
      <c r="AC243" s="25"/>
      <c r="AD243" s="25" t="str">
        <f>'Ingest Template'!U242</f>
        <v/>
      </c>
      <c r="AE243" s="25" t="str">
        <f>'Ingest Template'!V242</f>
        <v/>
      </c>
      <c r="AF243" s="25"/>
      <c r="AG243" s="25" t="str">
        <f t="array" ref="AG243">IF('Ingest Template'!A242="Standard",(CONCATENATE(IF(ISBLANK('Ingest Template'!O242),"", 'Ingest Template'!O242&amp;"|DAR"),CHAR(10), IF(ISBLANK('Ingest Template'!P242),"", 'Ingest Template'!P242&amp;"|DAR"),CHAR(10), IF(ISBLANK('Ingest Template'!Q242),"", 'Ingest Template'!Q242&amp;"|DAR"))),(CONCATENATE(IF(ISBLANK('Ingest Template'!O242),"", 'Ingest Template'!O242&amp;"|Operations - Core Title"),CHAR(10), IF(ISBLANK('Ingest Template'!P242),"", 'Ingest Template'!P242&amp;"|Operations - Core Title"),CHAR(10), IF(ISBLANK('Ingest Template'!Q242),"", 'Ingest Template'!Q242&amp;"|Operations - Core Title"))))</f>
        <v>#|Operations - Core Title
#videoGame|Operations - Core Title
</v>
      </c>
      <c r="AH243" s="25"/>
      <c r="AI243" s="25"/>
      <c r="AJ243" s="50" t="str">
        <f>if('Ingest Template'!A242="Standard",'Ingest Template'!R242&amp; "|DAR|DAR|2021-01-01",'Ingest Template'!R242&amp; "|Operations - Core Title|Operations - Core Title")</f>
        <v>#N/A</v>
      </c>
      <c r="AK243" s="25"/>
      <c r="AL243" s="25" t="str">
        <f>if('Ingest Template'!A242="Standard",'Ingest Template'!S242&amp; "|2021-01-01",'Ingest Template'!S242)</f>
        <v>#N/A</v>
      </c>
      <c r="AM243" s="25"/>
    </row>
    <row r="244">
      <c r="A244" s="25"/>
      <c r="B244" s="25" t="str">
        <f>'Ingest Template'!C243&amp;IF('Ingest Template'!A243 = "Standard", " - DAR","")</f>
        <v/>
      </c>
      <c r="C244" s="34" t="s">
        <v>92</v>
      </c>
      <c r="D244" s="34" t="str">
        <f>CONCATENATE('Ingest Template'!E244&amp;Char(10)&amp;'Ingest Template'!G244&amp;Char(10)&amp;'Ingest Template'!H244&amp;Char(10)&amp;'Ingest Template'!I244&amp;Char(10)&amp;'Ingest Template'!J244&amp;Char(10)&amp;'Ingest Template'!K244&amp;Char(10)&amp;'Ingest Template'!L244)</f>
        <v>
</v>
      </c>
      <c r="E244" s="25" t="str">
        <f>('Ingest Template'!M244)</f>
        <v/>
      </c>
      <c r="F244" s="40" t="str">
        <f t="array" ref="F244">INDEX(DropDown!$J$2:$J$63,MATCH(1,COUNTIF(E244,DropDown!$I$2:$I$63),0))</f>
        <v>#N/A</v>
      </c>
      <c r="G244" s="25"/>
      <c r="H244" s="25"/>
      <c r="I244" s="25"/>
      <c r="J244" s="25" t="str">
        <f>'Ingest Template'!B244</f>
        <v/>
      </c>
      <c r="K244" s="25" t="str">
        <f>IF('Ingest Template'!A243="Standard",'Ingest Template'!N243,"Competitive View")</f>
        <v>Competitive View</v>
      </c>
      <c r="L244" s="41" t="s">
        <v>145</v>
      </c>
      <c r="M244" s="25" t="str">
        <f>'Ingest Template'!D243</f>
        <v/>
      </c>
      <c r="N244" s="25"/>
      <c r="O244" s="25"/>
      <c r="P244" s="25"/>
      <c r="Q244" s="25"/>
      <c r="R244" s="25" t="str">
        <f>CONCATENATE('Ingest Template'!F243)</f>
        <v/>
      </c>
      <c r="S244" s="43" t="s">
        <v>160</v>
      </c>
      <c r="T244" s="25" t="str">
        <f>'Ingest Template'!W243</f>
        <v/>
      </c>
      <c r="U244" s="25"/>
      <c r="V244" s="25" t="str">
        <f>LOWER(SUBSTITUTE(SUBSTITUTE(SUBSTITUTE(SUBSTITUTE(SUBSTITUTE('Ingest Template'!Y243,"https:",""),"www.",""),"/",""),"?hl=en",""),"instagram.com",""))</f>
        <v/>
      </c>
      <c r="W244" s="34" t="str">
        <f>(IFERROR(vlookup('Ingest Template'!F244,DropDown!D:E,2,false)&amp;'Ingest Template'!C244,""))</f>
        <v/>
      </c>
      <c r="X244" s="25" t="str">
        <f>'Ingest Template'!AA243</f>
        <v/>
      </c>
      <c r="Y244" s="25"/>
      <c r="Z244" s="25"/>
      <c r="AA244" s="25"/>
      <c r="AB244" s="25" t="str">
        <f>'Ingest Template'!T243</f>
        <v/>
      </c>
      <c r="AC244" s="25"/>
      <c r="AD244" s="25" t="str">
        <f>'Ingest Template'!U243</f>
        <v/>
      </c>
      <c r="AE244" s="25" t="str">
        <f>'Ingest Template'!V243</f>
        <v/>
      </c>
      <c r="AF244" s="25"/>
      <c r="AG244" s="25" t="str">
        <f t="array" ref="AG244">IF('Ingest Template'!A243="Standard",(CONCATENATE(IF(ISBLANK('Ingest Template'!O243),"", 'Ingest Template'!O243&amp;"|DAR"),CHAR(10), IF(ISBLANK('Ingest Template'!P243),"", 'Ingest Template'!P243&amp;"|DAR"),CHAR(10), IF(ISBLANK('Ingest Template'!Q243),"", 'Ingest Template'!Q243&amp;"|DAR"))),(CONCATENATE(IF(ISBLANK('Ingest Template'!O243),"", 'Ingest Template'!O243&amp;"|Operations - Core Title"),CHAR(10), IF(ISBLANK('Ingest Template'!P243),"", 'Ingest Template'!P243&amp;"|Operations - Core Title"),CHAR(10), IF(ISBLANK('Ingest Template'!Q243),"", 'Ingest Template'!Q243&amp;"|Operations - Core Title"))))</f>
        <v>#|Operations - Core Title
#videoGame|Operations - Core Title
</v>
      </c>
      <c r="AH244" s="25"/>
      <c r="AI244" s="25"/>
      <c r="AJ244" s="50" t="str">
        <f>if('Ingest Template'!A243="Standard",'Ingest Template'!R243&amp; "|DAR|DAR|2021-01-01",'Ingest Template'!R243&amp; "|Operations - Core Title|Operations - Core Title")</f>
        <v>#N/A</v>
      </c>
      <c r="AK244" s="25"/>
      <c r="AL244" s="25" t="str">
        <f>if('Ingest Template'!A243="Standard",'Ingest Template'!S243&amp; "|2021-01-01",'Ingest Template'!S243)</f>
        <v>#N/A</v>
      </c>
      <c r="AM244" s="25"/>
    </row>
    <row r="245">
      <c r="A245" s="25"/>
      <c r="B245" s="25" t="str">
        <f>'Ingest Template'!C244&amp;IF('Ingest Template'!A244 = "Standard", " - DAR","")</f>
        <v/>
      </c>
      <c r="C245" s="34" t="s">
        <v>92</v>
      </c>
      <c r="D245" s="34" t="str">
        <f>CONCATENATE('Ingest Template'!E245&amp;Char(10)&amp;'Ingest Template'!G245&amp;Char(10)&amp;'Ingest Template'!H245&amp;Char(10)&amp;'Ingest Template'!I245&amp;Char(10)&amp;'Ingest Template'!J245&amp;Char(10)&amp;'Ingest Template'!K245&amp;Char(10)&amp;'Ingest Template'!L245)</f>
        <v>
</v>
      </c>
      <c r="E245" s="25" t="str">
        <f>('Ingest Template'!M245)</f>
        <v/>
      </c>
      <c r="F245" s="40" t="str">
        <f t="array" ref="F245">INDEX(DropDown!$J$2:$J$63,MATCH(1,COUNTIF(E245,DropDown!$I$2:$I$63),0))</f>
        <v>#N/A</v>
      </c>
      <c r="G245" s="25"/>
      <c r="H245" s="25"/>
      <c r="I245" s="25"/>
      <c r="J245" s="25" t="str">
        <f>'Ingest Template'!B245</f>
        <v/>
      </c>
      <c r="K245" s="25" t="str">
        <f>IF('Ingest Template'!A244="Standard",'Ingest Template'!N244,"Competitive View")</f>
        <v>Competitive View</v>
      </c>
      <c r="L245" s="41" t="s">
        <v>145</v>
      </c>
      <c r="M245" s="25" t="str">
        <f>'Ingest Template'!D244</f>
        <v/>
      </c>
      <c r="N245" s="25"/>
      <c r="O245" s="25"/>
      <c r="P245" s="25"/>
      <c r="Q245" s="25"/>
      <c r="R245" s="25" t="str">
        <f>CONCATENATE('Ingest Template'!F244)</f>
        <v/>
      </c>
      <c r="S245" s="43" t="s">
        <v>160</v>
      </c>
      <c r="T245" s="25" t="str">
        <f>'Ingest Template'!W244</f>
        <v/>
      </c>
      <c r="U245" s="25"/>
      <c r="V245" s="25" t="str">
        <f>LOWER(SUBSTITUTE(SUBSTITUTE(SUBSTITUTE(SUBSTITUTE(SUBSTITUTE('Ingest Template'!Y244,"https:",""),"www.",""),"/",""),"?hl=en",""),"instagram.com",""))</f>
        <v/>
      </c>
      <c r="W245" s="34" t="str">
        <f>(IFERROR(vlookup('Ingest Template'!F245,DropDown!D:E,2,false)&amp;'Ingest Template'!C245,""))</f>
        <v/>
      </c>
      <c r="X245" s="25" t="str">
        <f>'Ingest Template'!AA244</f>
        <v/>
      </c>
      <c r="Y245" s="25"/>
      <c r="Z245" s="25"/>
      <c r="AA245" s="25"/>
      <c r="AB245" s="25" t="str">
        <f>'Ingest Template'!T244</f>
        <v/>
      </c>
      <c r="AC245" s="25"/>
      <c r="AD245" s="25" t="str">
        <f>'Ingest Template'!U244</f>
        <v/>
      </c>
      <c r="AE245" s="25" t="str">
        <f>'Ingest Template'!V244</f>
        <v/>
      </c>
      <c r="AF245" s="25"/>
      <c r="AG245" s="25" t="str">
        <f t="array" ref="AG245">IF('Ingest Template'!A244="Standard",(CONCATENATE(IF(ISBLANK('Ingest Template'!O244),"", 'Ingest Template'!O244&amp;"|DAR"),CHAR(10), IF(ISBLANK('Ingest Template'!P244),"", 'Ingest Template'!P244&amp;"|DAR"),CHAR(10), IF(ISBLANK('Ingest Template'!Q244),"", 'Ingest Template'!Q244&amp;"|DAR"))),(CONCATENATE(IF(ISBLANK('Ingest Template'!O244),"", 'Ingest Template'!O244&amp;"|Operations - Core Title"),CHAR(10), IF(ISBLANK('Ingest Template'!P244),"", 'Ingest Template'!P244&amp;"|Operations - Core Title"),CHAR(10), IF(ISBLANK('Ingest Template'!Q244),"", 'Ingest Template'!Q244&amp;"|Operations - Core Title"))))</f>
        <v>#|Operations - Core Title
#videoGame|Operations - Core Title
</v>
      </c>
      <c r="AH245" s="25"/>
      <c r="AI245" s="25"/>
      <c r="AJ245" s="50" t="str">
        <f>if('Ingest Template'!A244="Standard",'Ingest Template'!R244&amp; "|DAR|DAR|2021-01-01",'Ingest Template'!R244&amp; "|Operations - Core Title|Operations - Core Title")</f>
        <v>#N/A</v>
      </c>
      <c r="AK245" s="25"/>
      <c r="AL245" s="25" t="str">
        <f>if('Ingest Template'!A244="Standard",'Ingest Template'!S244&amp; "|2021-01-01",'Ingest Template'!S244)</f>
        <v>#N/A</v>
      </c>
      <c r="AM245" s="25"/>
    </row>
    <row r="246">
      <c r="A246" s="25"/>
      <c r="B246" s="25" t="str">
        <f>'Ingest Template'!C245&amp;IF('Ingest Template'!A245 = "Standard", " - DAR","")</f>
        <v/>
      </c>
      <c r="C246" s="34" t="s">
        <v>92</v>
      </c>
      <c r="D246" s="34" t="str">
        <f>CONCATENATE('Ingest Template'!E246&amp;Char(10)&amp;'Ingest Template'!G246&amp;Char(10)&amp;'Ingest Template'!H246&amp;Char(10)&amp;'Ingest Template'!I246&amp;Char(10)&amp;'Ingest Template'!J246&amp;Char(10)&amp;'Ingest Template'!K246&amp;Char(10)&amp;'Ingest Template'!L246)</f>
        <v>
</v>
      </c>
      <c r="E246" s="25" t="str">
        <f>('Ingest Template'!M246)</f>
        <v/>
      </c>
      <c r="F246" s="40" t="str">
        <f t="array" ref="F246">INDEX(DropDown!$J$2:$J$63,MATCH(1,COUNTIF(E246,DropDown!$I$2:$I$63),0))</f>
        <v>#N/A</v>
      </c>
      <c r="G246" s="25"/>
      <c r="H246" s="25"/>
      <c r="I246" s="25"/>
      <c r="J246" s="25" t="str">
        <f>'Ingest Template'!B246</f>
        <v/>
      </c>
      <c r="K246" s="25" t="str">
        <f>IF('Ingest Template'!A245="Standard",'Ingest Template'!N245,"Competitive View")</f>
        <v>Competitive View</v>
      </c>
      <c r="L246" s="41" t="s">
        <v>145</v>
      </c>
      <c r="M246" s="25" t="str">
        <f>'Ingest Template'!D245</f>
        <v/>
      </c>
      <c r="N246" s="25"/>
      <c r="O246" s="25"/>
      <c r="P246" s="25"/>
      <c r="Q246" s="25"/>
      <c r="R246" s="25" t="str">
        <f>CONCATENATE('Ingest Template'!F245)</f>
        <v/>
      </c>
      <c r="S246" s="43" t="s">
        <v>160</v>
      </c>
      <c r="T246" s="25" t="str">
        <f>'Ingest Template'!W245</f>
        <v/>
      </c>
      <c r="U246" s="25"/>
      <c r="V246" s="25" t="str">
        <f>LOWER(SUBSTITUTE(SUBSTITUTE(SUBSTITUTE(SUBSTITUTE(SUBSTITUTE('Ingest Template'!Y245,"https:",""),"www.",""),"/",""),"?hl=en",""),"instagram.com",""))</f>
        <v/>
      </c>
      <c r="W246" s="34" t="str">
        <f>(IFERROR(vlookup('Ingest Template'!F246,DropDown!D:E,2,false)&amp;'Ingest Template'!C246,""))</f>
        <v/>
      </c>
      <c r="X246" s="25" t="str">
        <f>'Ingest Template'!AA245</f>
        <v/>
      </c>
      <c r="Y246" s="25"/>
      <c r="Z246" s="25"/>
      <c r="AA246" s="25"/>
      <c r="AB246" s="25" t="str">
        <f>'Ingest Template'!T245</f>
        <v/>
      </c>
      <c r="AC246" s="25"/>
      <c r="AD246" s="25" t="str">
        <f>'Ingest Template'!U245</f>
        <v/>
      </c>
      <c r="AE246" s="25" t="str">
        <f>'Ingest Template'!V245</f>
        <v/>
      </c>
      <c r="AF246" s="25"/>
      <c r="AG246" s="25" t="str">
        <f t="array" ref="AG246">IF('Ingest Template'!A245="Standard",(CONCATENATE(IF(ISBLANK('Ingest Template'!O245),"", 'Ingest Template'!O245&amp;"|DAR"),CHAR(10), IF(ISBLANK('Ingest Template'!P245),"", 'Ingest Template'!P245&amp;"|DAR"),CHAR(10), IF(ISBLANK('Ingest Template'!Q245),"", 'Ingest Template'!Q245&amp;"|DAR"))),(CONCATENATE(IF(ISBLANK('Ingest Template'!O245),"", 'Ingest Template'!O245&amp;"|Operations - Core Title"),CHAR(10), IF(ISBLANK('Ingest Template'!P245),"", 'Ingest Template'!P245&amp;"|Operations - Core Title"),CHAR(10), IF(ISBLANK('Ingest Template'!Q245),"", 'Ingest Template'!Q245&amp;"|Operations - Core Title"))))</f>
        <v>#|Operations - Core Title
#videoGame|Operations - Core Title
</v>
      </c>
      <c r="AH246" s="25"/>
      <c r="AI246" s="25"/>
      <c r="AJ246" s="50" t="str">
        <f>if('Ingest Template'!A245="Standard",'Ingest Template'!R245&amp; "|DAR|DAR|2021-01-01",'Ingest Template'!R245&amp; "|Operations - Core Title|Operations - Core Title")</f>
        <v>#N/A</v>
      </c>
      <c r="AK246" s="25"/>
      <c r="AL246" s="25" t="str">
        <f>if('Ingest Template'!A245="Standard",'Ingest Template'!S245&amp; "|2021-01-01",'Ingest Template'!S245)</f>
        <v>#N/A</v>
      </c>
      <c r="AM246" s="25"/>
    </row>
    <row r="247">
      <c r="A247" s="25"/>
      <c r="B247" s="25" t="str">
        <f>'Ingest Template'!C246&amp;IF('Ingest Template'!A246 = "Standard", " - DAR","")</f>
        <v/>
      </c>
      <c r="C247" s="34" t="s">
        <v>92</v>
      </c>
      <c r="D247" s="34" t="str">
        <f>CONCATENATE('Ingest Template'!E247&amp;Char(10)&amp;'Ingest Template'!G247&amp;Char(10)&amp;'Ingest Template'!H247&amp;Char(10)&amp;'Ingest Template'!I247&amp;Char(10)&amp;'Ingest Template'!J247&amp;Char(10)&amp;'Ingest Template'!K247&amp;Char(10)&amp;'Ingest Template'!L247)</f>
        <v>
</v>
      </c>
      <c r="E247" s="25" t="str">
        <f>('Ingest Template'!M247)</f>
        <v/>
      </c>
      <c r="F247" s="40" t="str">
        <f t="array" ref="F247">INDEX(DropDown!$J$2:$J$63,MATCH(1,COUNTIF(E247,DropDown!$I$2:$I$63),0))</f>
        <v>#N/A</v>
      </c>
      <c r="G247" s="25"/>
      <c r="H247" s="25"/>
      <c r="I247" s="25"/>
      <c r="J247" s="25" t="str">
        <f>'Ingest Template'!B247</f>
        <v/>
      </c>
      <c r="K247" s="25" t="str">
        <f>IF('Ingest Template'!A246="Standard",'Ingest Template'!N246,"Competitive View")</f>
        <v>Competitive View</v>
      </c>
      <c r="L247" s="41" t="s">
        <v>145</v>
      </c>
      <c r="M247" s="25" t="str">
        <f>'Ingest Template'!D246</f>
        <v/>
      </c>
      <c r="N247" s="25"/>
      <c r="O247" s="25"/>
      <c r="P247" s="25"/>
      <c r="Q247" s="25"/>
      <c r="R247" s="25" t="str">
        <f>CONCATENATE('Ingest Template'!F246)</f>
        <v/>
      </c>
      <c r="S247" s="43" t="s">
        <v>160</v>
      </c>
      <c r="T247" s="25" t="str">
        <f>'Ingest Template'!W246</f>
        <v/>
      </c>
      <c r="U247" s="25"/>
      <c r="V247" s="25" t="str">
        <f>LOWER(SUBSTITUTE(SUBSTITUTE(SUBSTITUTE(SUBSTITUTE(SUBSTITUTE('Ingest Template'!Y246,"https:",""),"www.",""),"/",""),"?hl=en",""),"instagram.com",""))</f>
        <v/>
      </c>
      <c r="W247" s="34" t="str">
        <f>(IFERROR(vlookup('Ingest Template'!F247,DropDown!D:E,2,false)&amp;'Ingest Template'!C247,""))</f>
        <v/>
      </c>
      <c r="X247" s="25" t="str">
        <f>'Ingest Template'!AA246</f>
        <v/>
      </c>
      <c r="Y247" s="25"/>
      <c r="Z247" s="25"/>
      <c r="AA247" s="25"/>
      <c r="AB247" s="25" t="str">
        <f>'Ingest Template'!T246</f>
        <v/>
      </c>
      <c r="AC247" s="25"/>
      <c r="AD247" s="25" t="str">
        <f>'Ingest Template'!U246</f>
        <v/>
      </c>
      <c r="AE247" s="25" t="str">
        <f>'Ingest Template'!V246</f>
        <v/>
      </c>
      <c r="AF247" s="25"/>
      <c r="AG247" s="25" t="str">
        <f t="array" ref="AG247">IF('Ingest Template'!A246="Standard",(CONCATENATE(IF(ISBLANK('Ingest Template'!O246),"", 'Ingest Template'!O246&amp;"|DAR"),CHAR(10), IF(ISBLANK('Ingest Template'!P246),"", 'Ingest Template'!P246&amp;"|DAR"),CHAR(10), IF(ISBLANK('Ingest Template'!Q246),"", 'Ingest Template'!Q246&amp;"|DAR"))),(CONCATENATE(IF(ISBLANK('Ingest Template'!O246),"", 'Ingest Template'!O246&amp;"|Operations - Core Title"),CHAR(10), IF(ISBLANK('Ingest Template'!P246),"", 'Ingest Template'!P246&amp;"|Operations - Core Title"),CHAR(10), IF(ISBLANK('Ingest Template'!Q246),"", 'Ingest Template'!Q246&amp;"|Operations - Core Title"))))</f>
        <v>#|Operations - Core Title
#videoGame|Operations - Core Title
</v>
      </c>
      <c r="AH247" s="25"/>
      <c r="AI247" s="25"/>
      <c r="AJ247" s="50" t="str">
        <f>if('Ingest Template'!A246="Standard",'Ingest Template'!R246&amp; "|DAR|DAR|2021-01-01",'Ingest Template'!R246&amp; "|Operations - Core Title|Operations - Core Title")</f>
        <v>#N/A</v>
      </c>
      <c r="AK247" s="25"/>
      <c r="AL247" s="25" t="str">
        <f>if('Ingest Template'!A246="Standard",'Ingest Template'!S246&amp; "|2021-01-01",'Ingest Template'!S246)</f>
        <v>#N/A</v>
      </c>
      <c r="AM247" s="25"/>
    </row>
    <row r="248">
      <c r="A248" s="25"/>
      <c r="B248" s="25" t="str">
        <f>'Ingest Template'!C247&amp;IF('Ingest Template'!A247 = "Standard", " - DAR","")</f>
        <v/>
      </c>
      <c r="C248" s="34" t="s">
        <v>92</v>
      </c>
      <c r="D248" s="34" t="str">
        <f>CONCATENATE('Ingest Template'!E248&amp;Char(10)&amp;'Ingest Template'!G248&amp;Char(10)&amp;'Ingest Template'!H248&amp;Char(10)&amp;'Ingest Template'!I248&amp;Char(10)&amp;'Ingest Template'!J248&amp;Char(10)&amp;'Ingest Template'!K248&amp;Char(10)&amp;'Ingest Template'!L248)</f>
        <v>
</v>
      </c>
      <c r="E248" s="25" t="str">
        <f>('Ingest Template'!M248)</f>
        <v/>
      </c>
      <c r="F248" s="40" t="str">
        <f t="array" ref="F248">INDEX(DropDown!$J$2:$J$63,MATCH(1,COUNTIF(E248,DropDown!$I$2:$I$63),0))</f>
        <v>#N/A</v>
      </c>
      <c r="G248" s="25"/>
      <c r="H248" s="25"/>
      <c r="I248" s="25"/>
      <c r="J248" s="25" t="str">
        <f>'Ingest Template'!B248</f>
        <v/>
      </c>
      <c r="K248" s="25" t="str">
        <f>IF('Ingest Template'!A247="Standard",'Ingest Template'!N247,"Competitive View")</f>
        <v>Competitive View</v>
      </c>
      <c r="L248" s="41" t="s">
        <v>145</v>
      </c>
      <c r="M248" s="25" t="str">
        <f>'Ingest Template'!D247</f>
        <v/>
      </c>
      <c r="N248" s="25"/>
      <c r="O248" s="25"/>
      <c r="P248" s="25"/>
      <c r="Q248" s="25"/>
      <c r="R248" s="25" t="str">
        <f>CONCATENATE('Ingest Template'!F247)</f>
        <v/>
      </c>
      <c r="S248" s="43" t="s">
        <v>160</v>
      </c>
      <c r="T248" s="25" t="str">
        <f>'Ingest Template'!W247</f>
        <v/>
      </c>
      <c r="U248" s="25"/>
      <c r="V248" s="25" t="str">
        <f>LOWER(SUBSTITUTE(SUBSTITUTE(SUBSTITUTE(SUBSTITUTE(SUBSTITUTE('Ingest Template'!Y247,"https:",""),"www.",""),"/",""),"?hl=en",""),"instagram.com",""))</f>
        <v/>
      </c>
      <c r="W248" s="34" t="str">
        <f>(IFERROR(vlookup('Ingest Template'!F248,DropDown!D:E,2,false)&amp;'Ingest Template'!C248,""))</f>
        <v/>
      </c>
      <c r="X248" s="25" t="str">
        <f>'Ingest Template'!AA247</f>
        <v/>
      </c>
      <c r="Y248" s="25"/>
      <c r="Z248" s="25"/>
      <c r="AA248" s="25"/>
      <c r="AB248" s="25" t="str">
        <f>'Ingest Template'!T247</f>
        <v/>
      </c>
      <c r="AC248" s="25"/>
      <c r="AD248" s="25" t="str">
        <f>'Ingest Template'!U247</f>
        <v/>
      </c>
      <c r="AE248" s="25" t="str">
        <f>'Ingest Template'!V247</f>
        <v/>
      </c>
      <c r="AF248" s="25"/>
      <c r="AG248" s="25" t="str">
        <f t="array" ref="AG248">IF('Ingest Template'!A247="Standard",(CONCATENATE(IF(ISBLANK('Ingest Template'!O247),"", 'Ingest Template'!O247&amp;"|DAR"),CHAR(10), IF(ISBLANK('Ingest Template'!P247),"", 'Ingest Template'!P247&amp;"|DAR"),CHAR(10), IF(ISBLANK('Ingest Template'!Q247),"", 'Ingest Template'!Q247&amp;"|DAR"))),(CONCATENATE(IF(ISBLANK('Ingest Template'!O247),"", 'Ingest Template'!O247&amp;"|Operations - Core Title"),CHAR(10), IF(ISBLANK('Ingest Template'!P247),"", 'Ingest Template'!P247&amp;"|Operations - Core Title"),CHAR(10), IF(ISBLANK('Ingest Template'!Q247),"", 'Ingest Template'!Q247&amp;"|Operations - Core Title"))))</f>
        <v>#|Operations - Core Title
#videoGame|Operations - Core Title
</v>
      </c>
      <c r="AH248" s="25"/>
      <c r="AI248" s="25"/>
      <c r="AJ248" s="50" t="str">
        <f>if('Ingest Template'!A247="Standard",'Ingest Template'!R247&amp; "|DAR|DAR|2021-01-01",'Ingest Template'!R247&amp; "|Operations - Core Title|Operations - Core Title")</f>
        <v>#N/A</v>
      </c>
      <c r="AK248" s="25"/>
      <c r="AL248" s="25" t="str">
        <f>if('Ingest Template'!A247="Standard",'Ingest Template'!S247&amp; "|2021-01-01",'Ingest Template'!S247)</f>
        <v>#N/A</v>
      </c>
      <c r="AM248" s="25"/>
    </row>
    <row r="249">
      <c r="A249" s="25"/>
      <c r="B249" s="25" t="str">
        <f>'Ingest Template'!C248&amp;IF('Ingest Template'!A248 = "Standard", " - DAR","")</f>
        <v/>
      </c>
      <c r="C249" s="34" t="s">
        <v>92</v>
      </c>
      <c r="D249" s="34" t="str">
        <f>CONCATENATE('Ingest Template'!E249&amp;Char(10)&amp;'Ingest Template'!G249&amp;Char(10)&amp;'Ingest Template'!H249&amp;Char(10)&amp;'Ingest Template'!I249&amp;Char(10)&amp;'Ingest Template'!J249&amp;Char(10)&amp;'Ingest Template'!K249&amp;Char(10)&amp;'Ingest Template'!L249)</f>
        <v>
</v>
      </c>
      <c r="E249" s="25" t="str">
        <f>('Ingest Template'!M249)</f>
        <v/>
      </c>
      <c r="F249" s="40" t="str">
        <f t="array" ref="F249">INDEX(DropDown!$J$2:$J$63,MATCH(1,COUNTIF(E249,DropDown!$I$2:$I$63),0))</f>
        <v>#N/A</v>
      </c>
      <c r="G249" s="25"/>
      <c r="H249" s="25"/>
      <c r="I249" s="25"/>
      <c r="J249" s="25" t="str">
        <f>'Ingest Template'!B249</f>
        <v/>
      </c>
      <c r="K249" s="25" t="str">
        <f>IF('Ingest Template'!A248="Standard",'Ingest Template'!N248,"Competitive View")</f>
        <v>Competitive View</v>
      </c>
      <c r="L249" s="41" t="s">
        <v>145</v>
      </c>
      <c r="M249" s="25" t="str">
        <f>'Ingest Template'!D248</f>
        <v/>
      </c>
      <c r="N249" s="25"/>
      <c r="O249" s="25"/>
      <c r="P249" s="25"/>
      <c r="Q249" s="25"/>
      <c r="R249" s="25" t="str">
        <f>CONCATENATE('Ingest Template'!F248)</f>
        <v/>
      </c>
      <c r="S249" s="43" t="s">
        <v>160</v>
      </c>
      <c r="T249" s="25" t="str">
        <f>'Ingest Template'!W248</f>
        <v/>
      </c>
      <c r="U249" s="25"/>
      <c r="V249" s="25" t="str">
        <f>LOWER(SUBSTITUTE(SUBSTITUTE(SUBSTITUTE(SUBSTITUTE(SUBSTITUTE('Ingest Template'!Y248,"https:",""),"www.",""),"/",""),"?hl=en",""),"instagram.com",""))</f>
        <v/>
      </c>
      <c r="W249" s="34" t="str">
        <f>(IFERROR(vlookup('Ingest Template'!F249,DropDown!D:E,2,false)&amp;'Ingest Template'!C249,""))</f>
        <v/>
      </c>
      <c r="X249" s="25" t="str">
        <f>'Ingest Template'!AA248</f>
        <v/>
      </c>
      <c r="Y249" s="25"/>
      <c r="Z249" s="25"/>
      <c r="AA249" s="25"/>
      <c r="AB249" s="25" t="str">
        <f>'Ingest Template'!T248</f>
        <v/>
      </c>
      <c r="AC249" s="25"/>
      <c r="AD249" s="25" t="str">
        <f>'Ingest Template'!U248</f>
        <v/>
      </c>
      <c r="AE249" s="25" t="str">
        <f>'Ingest Template'!V248</f>
        <v/>
      </c>
      <c r="AF249" s="25"/>
      <c r="AG249" s="25" t="str">
        <f t="array" ref="AG249">IF('Ingest Template'!A248="Standard",(CONCATENATE(IF(ISBLANK('Ingest Template'!O248),"", 'Ingest Template'!O248&amp;"|DAR"),CHAR(10), IF(ISBLANK('Ingest Template'!P248),"", 'Ingest Template'!P248&amp;"|DAR"),CHAR(10), IF(ISBLANK('Ingest Template'!Q248),"", 'Ingest Template'!Q248&amp;"|DAR"))),(CONCATENATE(IF(ISBLANK('Ingest Template'!O248),"", 'Ingest Template'!O248&amp;"|Operations - Core Title"),CHAR(10), IF(ISBLANK('Ingest Template'!P248),"", 'Ingest Template'!P248&amp;"|Operations - Core Title"),CHAR(10), IF(ISBLANK('Ingest Template'!Q248),"", 'Ingest Template'!Q248&amp;"|Operations - Core Title"))))</f>
        <v>#|Operations - Core Title
#videoGame|Operations - Core Title
</v>
      </c>
      <c r="AH249" s="25"/>
      <c r="AI249" s="25"/>
      <c r="AJ249" s="50" t="str">
        <f>if('Ingest Template'!A248="Standard",'Ingest Template'!R248&amp; "|DAR|DAR|2021-01-01",'Ingest Template'!R248&amp; "|Operations - Core Title|Operations - Core Title")</f>
        <v>#N/A</v>
      </c>
      <c r="AK249" s="25"/>
      <c r="AL249" s="25" t="str">
        <f>if('Ingest Template'!A248="Standard",'Ingest Template'!S248&amp; "|2021-01-01",'Ingest Template'!S248)</f>
        <v>#N/A</v>
      </c>
      <c r="AM249" s="25"/>
    </row>
    <row r="250">
      <c r="A250" s="25"/>
      <c r="B250" s="25" t="str">
        <f>'Ingest Template'!C249&amp;IF('Ingest Template'!A249 = "Standard", " - DAR","")</f>
        <v/>
      </c>
      <c r="C250" s="34" t="s">
        <v>92</v>
      </c>
      <c r="D250" s="34" t="str">
        <f>CONCATENATE('Ingest Template'!E250&amp;Char(10)&amp;'Ingest Template'!G250&amp;Char(10)&amp;'Ingest Template'!H250&amp;Char(10)&amp;'Ingest Template'!I250&amp;Char(10)&amp;'Ingest Template'!J250&amp;Char(10)&amp;'Ingest Template'!K250&amp;Char(10)&amp;'Ingest Template'!L250)</f>
        <v>
</v>
      </c>
      <c r="E250" s="25" t="str">
        <f>('Ingest Template'!M250)</f>
        <v/>
      </c>
      <c r="F250" s="40" t="str">
        <f t="array" ref="F250">INDEX(DropDown!$J$2:$J$63,MATCH(1,COUNTIF(E250,DropDown!$I$2:$I$63),0))</f>
        <v>#N/A</v>
      </c>
      <c r="G250" s="25"/>
      <c r="H250" s="25"/>
      <c r="I250" s="25"/>
      <c r="J250" s="25" t="str">
        <f>'Ingest Template'!B250</f>
        <v/>
      </c>
      <c r="K250" s="25" t="str">
        <f>IF('Ingest Template'!A249="Standard",'Ingest Template'!N249,"Competitive View")</f>
        <v>Competitive View</v>
      </c>
      <c r="L250" s="41" t="s">
        <v>145</v>
      </c>
      <c r="M250" s="25" t="str">
        <f>'Ingest Template'!D249</f>
        <v/>
      </c>
      <c r="N250" s="25"/>
      <c r="O250" s="25"/>
      <c r="P250" s="25"/>
      <c r="Q250" s="25"/>
      <c r="R250" s="25" t="str">
        <f>CONCATENATE('Ingest Template'!F249)</f>
        <v/>
      </c>
      <c r="S250" s="43" t="s">
        <v>160</v>
      </c>
      <c r="T250" s="25" t="str">
        <f>'Ingest Template'!W249</f>
        <v/>
      </c>
      <c r="U250" s="25"/>
      <c r="V250" s="25" t="str">
        <f>LOWER(SUBSTITUTE(SUBSTITUTE(SUBSTITUTE(SUBSTITUTE(SUBSTITUTE('Ingest Template'!Y249,"https:",""),"www.",""),"/",""),"?hl=en",""),"instagram.com",""))</f>
        <v/>
      </c>
      <c r="W250" s="34" t="str">
        <f>(IFERROR(vlookup('Ingest Template'!F250,DropDown!D:E,2,false)&amp;'Ingest Template'!C250,""))</f>
        <v/>
      </c>
      <c r="X250" s="25" t="str">
        <f>'Ingest Template'!AA249</f>
        <v/>
      </c>
      <c r="Y250" s="25"/>
      <c r="Z250" s="25"/>
      <c r="AA250" s="25"/>
      <c r="AB250" s="25" t="str">
        <f>'Ingest Template'!T249</f>
        <v/>
      </c>
      <c r="AC250" s="25"/>
      <c r="AD250" s="25" t="str">
        <f>'Ingest Template'!U249</f>
        <v/>
      </c>
      <c r="AE250" s="25" t="str">
        <f>'Ingest Template'!V249</f>
        <v/>
      </c>
      <c r="AF250" s="25"/>
      <c r="AG250" s="25" t="str">
        <f t="array" ref="AG250">IF('Ingest Template'!A249="Standard",(CONCATENATE(IF(ISBLANK('Ingest Template'!O249),"", 'Ingest Template'!O249&amp;"|DAR"),CHAR(10), IF(ISBLANK('Ingest Template'!P249),"", 'Ingest Template'!P249&amp;"|DAR"),CHAR(10), IF(ISBLANK('Ingest Template'!Q249),"", 'Ingest Template'!Q249&amp;"|DAR"))),(CONCATENATE(IF(ISBLANK('Ingest Template'!O249),"", 'Ingest Template'!O249&amp;"|Operations - Core Title"),CHAR(10), IF(ISBLANK('Ingest Template'!P249),"", 'Ingest Template'!P249&amp;"|Operations - Core Title"),CHAR(10), IF(ISBLANK('Ingest Template'!Q249),"", 'Ingest Template'!Q249&amp;"|Operations - Core Title"))))</f>
        <v>#|Operations - Core Title
#videoGame|Operations - Core Title
</v>
      </c>
      <c r="AH250" s="25"/>
      <c r="AI250" s="25"/>
      <c r="AJ250" s="50" t="str">
        <f>if('Ingest Template'!A249="Standard",'Ingest Template'!R249&amp; "|DAR|DAR|2021-01-01",'Ingest Template'!R249&amp; "|Operations - Core Title|Operations - Core Title")</f>
        <v>#N/A</v>
      </c>
      <c r="AK250" s="25"/>
      <c r="AL250" s="25" t="str">
        <f>if('Ingest Template'!A249="Standard",'Ingest Template'!S249&amp; "|2021-01-01",'Ingest Template'!S249)</f>
        <v>#N/A</v>
      </c>
      <c r="AM250" s="25"/>
    </row>
    <row r="251">
      <c r="A251" s="25"/>
      <c r="B251" s="25" t="str">
        <f>'Ingest Template'!C250&amp;IF('Ingest Template'!A250 = "Standard", " - DAR","")</f>
        <v/>
      </c>
      <c r="C251" s="34" t="s">
        <v>92</v>
      </c>
      <c r="D251" s="34" t="str">
        <f>CONCATENATE('Ingest Template'!E251&amp;Char(10)&amp;'Ingest Template'!G251&amp;Char(10)&amp;'Ingest Template'!H251&amp;Char(10)&amp;'Ingest Template'!I251&amp;Char(10)&amp;'Ingest Template'!J251&amp;Char(10)&amp;'Ingest Template'!K251&amp;Char(10)&amp;'Ingest Template'!L251)</f>
        <v>
</v>
      </c>
      <c r="E251" s="25" t="str">
        <f>('Ingest Template'!M251)</f>
        <v/>
      </c>
      <c r="F251" s="40" t="str">
        <f t="array" ref="F251">INDEX(DropDown!$J$2:$J$63,MATCH(1,COUNTIF(E251,DropDown!$I$2:$I$63),0))</f>
        <v>#N/A</v>
      </c>
      <c r="G251" s="25"/>
      <c r="H251" s="25"/>
      <c r="I251" s="25"/>
      <c r="J251" s="25" t="str">
        <f>'Ingest Template'!B251</f>
        <v/>
      </c>
      <c r="K251" s="25" t="str">
        <f>IF('Ingest Template'!A250="Standard",'Ingest Template'!N250,"Competitive View")</f>
        <v>Competitive View</v>
      </c>
      <c r="L251" s="41" t="s">
        <v>145</v>
      </c>
      <c r="M251" s="25" t="str">
        <f>'Ingest Template'!D250</f>
        <v/>
      </c>
      <c r="N251" s="25"/>
      <c r="O251" s="25"/>
      <c r="P251" s="25"/>
      <c r="Q251" s="25"/>
      <c r="R251" s="25" t="str">
        <f>CONCATENATE('Ingest Template'!F250)</f>
        <v/>
      </c>
      <c r="S251" s="43" t="s">
        <v>160</v>
      </c>
      <c r="T251" s="25" t="str">
        <f>'Ingest Template'!W250</f>
        <v/>
      </c>
      <c r="U251" s="25"/>
      <c r="V251" s="25" t="str">
        <f>LOWER(SUBSTITUTE(SUBSTITUTE(SUBSTITUTE(SUBSTITUTE(SUBSTITUTE('Ingest Template'!Y250,"https:",""),"www.",""),"/",""),"?hl=en",""),"instagram.com",""))</f>
        <v/>
      </c>
      <c r="W251" s="34" t="str">
        <f>(IFERROR(vlookup('Ingest Template'!F251,DropDown!D:E,2,false)&amp;'Ingest Template'!C251,""))</f>
        <v/>
      </c>
      <c r="X251" s="25" t="str">
        <f>'Ingest Template'!AA250</f>
        <v/>
      </c>
      <c r="Y251" s="25"/>
      <c r="Z251" s="25"/>
      <c r="AA251" s="25"/>
      <c r="AB251" s="25" t="str">
        <f>'Ingest Template'!T250</f>
        <v/>
      </c>
      <c r="AC251" s="25"/>
      <c r="AD251" s="25" t="str">
        <f>'Ingest Template'!U250</f>
        <v/>
      </c>
      <c r="AE251" s="25" t="str">
        <f>'Ingest Template'!V250</f>
        <v/>
      </c>
      <c r="AF251" s="25"/>
      <c r="AG251" s="25" t="str">
        <f t="array" ref="AG251">IF('Ingest Template'!A250="Standard",(CONCATENATE(IF(ISBLANK('Ingest Template'!O250),"", 'Ingest Template'!O250&amp;"|DAR"),CHAR(10), IF(ISBLANK('Ingest Template'!P250),"", 'Ingest Template'!P250&amp;"|DAR"),CHAR(10), IF(ISBLANK('Ingest Template'!Q250),"", 'Ingest Template'!Q250&amp;"|DAR"))),(CONCATENATE(IF(ISBLANK('Ingest Template'!O250),"", 'Ingest Template'!O250&amp;"|Operations - Core Title"),CHAR(10), IF(ISBLANK('Ingest Template'!P250),"", 'Ingest Template'!P250&amp;"|Operations - Core Title"),CHAR(10), IF(ISBLANK('Ingest Template'!Q250),"", 'Ingest Template'!Q250&amp;"|Operations - Core Title"))))</f>
        <v>#|Operations - Core Title
#videoGame|Operations - Core Title
</v>
      </c>
      <c r="AH251" s="25"/>
      <c r="AI251" s="25"/>
      <c r="AJ251" s="50" t="str">
        <f>if('Ingest Template'!A250="Standard",'Ingest Template'!R250&amp; "|DAR|DAR|2021-01-01",'Ingest Template'!R250&amp; "|Operations - Core Title|Operations - Core Title")</f>
        <v>#N/A</v>
      </c>
      <c r="AK251" s="25"/>
      <c r="AL251" s="25" t="str">
        <f>if('Ingest Template'!A250="Standard",'Ingest Template'!S250&amp; "|2021-01-01",'Ingest Template'!S250)</f>
        <v>#N/A</v>
      </c>
      <c r="AM251" s="25"/>
    </row>
    <row r="252">
      <c r="A252" s="25"/>
      <c r="B252" s="25" t="str">
        <f>'Ingest Template'!C251&amp;IF('Ingest Template'!A251 = "Standard", " - DAR","")</f>
        <v/>
      </c>
      <c r="C252" s="34" t="s">
        <v>92</v>
      </c>
      <c r="D252" s="34" t="str">
        <f>CONCATENATE('Ingest Template'!E252&amp;Char(10)&amp;'Ingest Template'!G252&amp;Char(10)&amp;'Ingest Template'!H252&amp;Char(10)&amp;'Ingest Template'!I252&amp;Char(10)&amp;'Ingest Template'!J252&amp;Char(10)&amp;'Ingest Template'!K252&amp;Char(10)&amp;'Ingest Template'!L252)</f>
        <v>
</v>
      </c>
      <c r="E252" s="25" t="str">
        <f>('Ingest Template'!M252)</f>
        <v/>
      </c>
      <c r="F252" s="40" t="str">
        <f t="array" ref="F252">INDEX(DropDown!$J$2:$J$63,MATCH(1,COUNTIF(E252,DropDown!$I$2:$I$63),0))</f>
        <v>#N/A</v>
      </c>
      <c r="G252" s="25"/>
      <c r="H252" s="25"/>
      <c r="I252" s="25"/>
      <c r="J252" s="25" t="str">
        <f>'Ingest Template'!B252</f>
        <v/>
      </c>
      <c r="K252" s="25" t="str">
        <f>IF('Ingest Template'!A251="Standard",'Ingest Template'!N251,"Competitive View")</f>
        <v>Competitive View</v>
      </c>
      <c r="L252" s="41" t="s">
        <v>145</v>
      </c>
      <c r="M252" s="25" t="str">
        <f>'Ingest Template'!D251</f>
        <v/>
      </c>
      <c r="N252" s="25"/>
      <c r="O252" s="25"/>
      <c r="P252" s="25"/>
      <c r="Q252" s="25"/>
      <c r="R252" s="25" t="str">
        <f>CONCATENATE('Ingest Template'!F251)</f>
        <v/>
      </c>
      <c r="S252" s="43" t="s">
        <v>160</v>
      </c>
      <c r="T252" s="25" t="str">
        <f>'Ingest Template'!W251</f>
        <v/>
      </c>
      <c r="U252" s="25"/>
      <c r="V252" s="25" t="str">
        <f>LOWER(SUBSTITUTE(SUBSTITUTE(SUBSTITUTE(SUBSTITUTE(SUBSTITUTE('Ingest Template'!Y251,"https:",""),"www.",""),"/",""),"?hl=en",""),"instagram.com",""))</f>
        <v/>
      </c>
      <c r="W252" s="34" t="str">
        <f>(IFERROR(vlookup('Ingest Template'!F252,DropDown!D:E,2,false)&amp;'Ingest Template'!C252,""))</f>
        <v/>
      </c>
      <c r="X252" s="25" t="str">
        <f>'Ingest Template'!AA251</f>
        <v/>
      </c>
      <c r="Y252" s="25"/>
      <c r="Z252" s="25"/>
      <c r="AA252" s="25"/>
      <c r="AB252" s="25" t="str">
        <f>'Ingest Template'!T251</f>
        <v/>
      </c>
      <c r="AC252" s="25"/>
      <c r="AD252" s="25" t="str">
        <f>'Ingest Template'!U251</f>
        <v/>
      </c>
      <c r="AE252" s="25" t="str">
        <f>'Ingest Template'!V251</f>
        <v/>
      </c>
      <c r="AF252" s="25"/>
      <c r="AG252" s="25" t="str">
        <f t="array" ref="AG252">IF('Ingest Template'!A251="Standard",(CONCATENATE(IF(ISBLANK('Ingest Template'!O251),"", 'Ingest Template'!O251&amp;"|DAR"),CHAR(10), IF(ISBLANK('Ingest Template'!P251),"", 'Ingest Template'!P251&amp;"|DAR"),CHAR(10), IF(ISBLANK('Ingest Template'!Q251),"", 'Ingest Template'!Q251&amp;"|DAR"))),(CONCATENATE(IF(ISBLANK('Ingest Template'!O251),"", 'Ingest Template'!O251&amp;"|Operations - Core Title"),CHAR(10), IF(ISBLANK('Ingest Template'!P251),"", 'Ingest Template'!P251&amp;"|Operations - Core Title"),CHAR(10), IF(ISBLANK('Ingest Template'!Q251),"", 'Ingest Template'!Q251&amp;"|Operations - Core Title"))))</f>
        <v>#|Operations - Core Title
#videoGame|Operations - Core Title
</v>
      </c>
      <c r="AH252" s="25"/>
      <c r="AI252" s="25"/>
      <c r="AJ252" s="50" t="str">
        <f>if('Ingest Template'!A251="Standard",'Ingest Template'!R251&amp; "|DAR|DAR|2021-01-01",'Ingest Template'!R251&amp; "|Operations - Core Title|Operations - Core Title")</f>
        <v>#N/A</v>
      </c>
      <c r="AK252" s="25"/>
      <c r="AL252" s="25" t="str">
        <f>if('Ingest Template'!A251="Standard",'Ingest Template'!S251&amp; "|2021-01-01",'Ingest Template'!S251)</f>
        <v>#N/A</v>
      </c>
      <c r="AM252" s="25"/>
    </row>
    <row r="253">
      <c r="A253" s="25"/>
      <c r="B253" s="25" t="str">
        <f>'Ingest Template'!C252&amp;IF('Ingest Template'!A252 = "Standard", " - DAR","")</f>
        <v/>
      </c>
      <c r="C253" s="34" t="s">
        <v>92</v>
      </c>
      <c r="D253" s="34" t="str">
        <f>CONCATENATE('Ingest Template'!E253&amp;Char(10)&amp;'Ingest Template'!G253&amp;Char(10)&amp;'Ingest Template'!H253&amp;Char(10)&amp;'Ingest Template'!I253&amp;Char(10)&amp;'Ingest Template'!J253&amp;Char(10)&amp;'Ingest Template'!K253&amp;Char(10)&amp;'Ingest Template'!L253)</f>
        <v>
</v>
      </c>
      <c r="E253" s="25" t="str">
        <f>('Ingest Template'!M253)</f>
        <v/>
      </c>
      <c r="F253" s="40" t="str">
        <f t="array" ref="F253">INDEX(DropDown!$J$2:$J$63,MATCH(1,COUNTIF(E253,DropDown!$I$2:$I$63),0))</f>
        <v>#N/A</v>
      </c>
      <c r="G253" s="25"/>
      <c r="H253" s="25"/>
      <c r="I253" s="25"/>
      <c r="J253" s="25" t="str">
        <f>'Ingest Template'!B253</f>
        <v/>
      </c>
      <c r="K253" s="25" t="str">
        <f>IF('Ingest Template'!A252="Standard",'Ingest Template'!N252,"Competitive View")</f>
        <v>Competitive View</v>
      </c>
      <c r="L253" s="41" t="s">
        <v>145</v>
      </c>
      <c r="M253" s="25" t="str">
        <f>'Ingest Template'!D252</f>
        <v/>
      </c>
      <c r="N253" s="25"/>
      <c r="O253" s="25"/>
      <c r="P253" s="25"/>
      <c r="Q253" s="25"/>
      <c r="R253" s="25" t="str">
        <f>CONCATENATE('Ingest Template'!F252)</f>
        <v/>
      </c>
      <c r="S253" s="43" t="s">
        <v>160</v>
      </c>
      <c r="T253" s="25" t="str">
        <f>'Ingest Template'!W252</f>
        <v/>
      </c>
      <c r="U253" s="25"/>
      <c r="V253" s="25" t="str">
        <f>LOWER(SUBSTITUTE(SUBSTITUTE(SUBSTITUTE(SUBSTITUTE(SUBSTITUTE('Ingest Template'!Y252,"https:",""),"www.",""),"/",""),"?hl=en",""),"instagram.com",""))</f>
        <v/>
      </c>
      <c r="W253" s="34" t="str">
        <f>(IFERROR(vlookup('Ingest Template'!F253,DropDown!D:E,2,false)&amp;'Ingest Template'!C253,""))</f>
        <v/>
      </c>
      <c r="X253" s="25" t="str">
        <f>'Ingest Template'!AA252</f>
        <v/>
      </c>
      <c r="Y253" s="25"/>
      <c r="Z253" s="25"/>
      <c r="AA253" s="25"/>
      <c r="AB253" s="25" t="str">
        <f>'Ingest Template'!T252</f>
        <v/>
      </c>
      <c r="AC253" s="25"/>
      <c r="AD253" s="25" t="str">
        <f>'Ingest Template'!U252</f>
        <v/>
      </c>
      <c r="AE253" s="25" t="str">
        <f>'Ingest Template'!V252</f>
        <v/>
      </c>
      <c r="AF253" s="25"/>
      <c r="AG253" s="25" t="str">
        <f t="array" ref="AG253">IF('Ingest Template'!A252="Standard",(CONCATENATE(IF(ISBLANK('Ingest Template'!O252),"", 'Ingest Template'!O252&amp;"|DAR"),CHAR(10), IF(ISBLANK('Ingest Template'!P252),"", 'Ingest Template'!P252&amp;"|DAR"),CHAR(10), IF(ISBLANK('Ingest Template'!Q252),"", 'Ingest Template'!Q252&amp;"|DAR"))),(CONCATENATE(IF(ISBLANK('Ingest Template'!O252),"", 'Ingest Template'!O252&amp;"|Operations - Core Title"),CHAR(10), IF(ISBLANK('Ingest Template'!P252),"", 'Ingest Template'!P252&amp;"|Operations - Core Title"),CHAR(10), IF(ISBLANK('Ingest Template'!Q252),"", 'Ingest Template'!Q252&amp;"|Operations - Core Title"))))</f>
        <v>#|Operations - Core Title
#videoGame|Operations - Core Title
</v>
      </c>
      <c r="AH253" s="25"/>
      <c r="AI253" s="25"/>
      <c r="AJ253" s="50" t="str">
        <f>if('Ingest Template'!A252="Standard",'Ingest Template'!R252&amp; "|DAR|DAR|2021-01-01",'Ingest Template'!R252&amp; "|Operations - Core Title|Operations - Core Title")</f>
        <v>#N/A</v>
      </c>
      <c r="AK253" s="25"/>
      <c r="AL253" s="25" t="str">
        <f>if('Ingest Template'!A252="Standard",'Ingest Template'!S252&amp; "|2021-01-01",'Ingest Template'!S252)</f>
        <v>#N/A</v>
      </c>
      <c r="AM253" s="25"/>
    </row>
    <row r="254">
      <c r="A254" s="25"/>
      <c r="B254" s="25" t="str">
        <f>'Ingest Template'!C253&amp;IF('Ingest Template'!A253 = "Standard", " - DAR","")</f>
        <v/>
      </c>
      <c r="C254" s="34" t="s">
        <v>92</v>
      </c>
      <c r="D254" s="34" t="str">
        <f>CONCATENATE('Ingest Template'!E254&amp;Char(10)&amp;'Ingest Template'!G254&amp;Char(10)&amp;'Ingest Template'!H254&amp;Char(10)&amp;'Ingest Template'!I254&amp;Char(10)&amp;'Ingest Template'!J254&amp;Char(10)&amp;'Ingest Template'!K254&amp;Char(10)&amp;'Ingest Template'!L254)</f>
        <v>
</v>
      </c>
      <c r="E254" s="25" t="str">
        <f>('Ingest Template'!M254)</f>
        <v/>
      </c>
      <c r="F254" s="40" t="str">
        <f t="array" ref="F254">INDEX(DropDown!$J$2:$J$63,MATCH(1,COUNTIF(E254,DropDown!$I$2:$I$63),0))</f>
        <v>#N/A</v>
      </c>
      <c r="G254" s="25"/>
      <c r="H254" s="25"/>
      <c r="I254" s="25"/>
      <c r="J254" s="25" t="str">
        <f>'Ingest Template'!B254</f>
        <v/>
      </c>
      <c r="K254" s="25" t="str">
        <f>IF('Ingest Template'!A253="Standard",'Ingest Template'!N253,"Competitive View")</f>
        <v>Competitive View</v>
      </c>
      <c r="L254" s="41" t="s">
        <v>145</v>
      </c>
      <c r="M254" s="25" t="str">
        <f>'Ingest Template'!D253</f>
        <v/>
      </c>
      <c r="N254" s="25"/>
      <c r="O254" s="25"/>
      <c r="P254" s="25"/>
      <c r="Q254" s="25"/>
      <c r="R254" s="25" t="str">
        <f>CONCATENATE('Ingest Template'!F253)</f>
        <v/>
      </c>
      <c r="S254" s="43" t="s">
        <v>160</v>
      </c>
      <c r="T254" s="25" t="str">
        <f>'Ingest Template'!W253</f>
        <v/>
      </c>
      <c r="U254" s="25"/>
      <c r="V254" s="25" t="str">
        <f>LOWER(SUBSTITUTE(SUBSTITUTE(SUBSTITUTE(SUBSTITUTE(SUBSTITUTE('Ingest Template'!Y253,"https:",""),"www.",""),"/",""),"?hl=en",""),"instagram.com",""))</f>
        <v/>
      </c>
      <c r="W254" s="34" t="str">
        <f>(IFERROR(vlookup('Ingest Template'!F254,DropDown!D:E,2,false)&amp;'Ingest Template'!C254,""))</f>
        <v/>
      </c>
      <c r="X254" s="25" t="str">
        <f>'Ingest Template'!AA253</f>
        <v/>
      </c>
      <c r="Y254" s="25"/>
      <c r="Z254" s="25"/>
      <c r="AA254" s="25"/>
      <c r="AB254" s="25" t="str">
        <f>'Ingest Template'!T253</f>
        <v/>
      </c>
      <c r="AC254" s="25"/>
      <c r="AD254" s="25" t="str">
        <f>'Ingest Template'!U253</f>
        <v/>
      </c>
      <c r="AE254" s="25" t="str">
        <f>'Ingest Template'!V253</f>
        <v/>
      </c>
      <c r="AF254" s="25"/>
      <c r="AG254" s="25" t="str">
        <f t="array" ref="AG254">IF('Ingest Template'!A253="Standard",(CONCATENATE(IF(ISBLANK('Ingest Template'!O253),"", 'Ingest Template'!O253&amp;"|DAR"),CHAR(10), IF(ISBLANK('Ingest Template'!P253),"", 'Ingest Template'!P253&amp;"|DAR"),CHAR(10), IF(ISBLANK('Ingest Template'!Q253),"", 'Ingest Template'!Q253&amp;"|DAR"))),(CONCATENATE(IF(ISBLANK('Ingest Template'!O253),"", 'Ingest Template'!O253&amp;"|Operations - Core Title"),CHAR(10), IF(ISBLANK('Ingest Template'!P253),"", 'Ingest Template'!P253&amp;"|Operations - Core Title"),CHAR(10), IF(ISBLANK('Ingest Template'!Q253),"", 'Ingest Template'!Q253&amp;"|Operations - Core Title"))))</f>
        <v>#|Operations - Core Title
#videoGame|Operations - Core Title
</v>
      </c>
      <c r="AH254" s="25"/>
      <c r="AI254" s="25"/>
      <c r="AJ254" s="50" t="str">
        <f>if('Ingest Template'!A253="Standard",'Ingest Template'!R253&amp; "|DAR|DAR|2021-01-01",'Ingest Template'!R253&amp; "|Operations - Core Title|Operations - Core Title")</f>
        <v>#N/A</v>
      </c>
      <c r="AK254" s="25"/>
      <c r="AL254" s="25" t="str">
        <f>if('Ingest Template'!A253="Standard",'Ingest Template'!S253&amp; "|2021-01-01",'Ingest Template'!S253)</f>
        <v>#N/A</v>
      </c>
      <c r="AM254" s="25"/>
    </row>
    <row r="255">
      <c r="A255" s="25"/>
      <c r="B255" s="25" t="str">
        <f>'Ingest Template'!C254&amp;IF('Ingest Template'!A254 = "Standard", " - DAR","")</f>
        <v/>
      </c>
      <c r="C255" s="34" t="s">
        <v>92</v>
      </c>
      <c r="D255" s="34" t="str">
        <f>CONCATENATE('Ingest Template'!E255&amp;Char(10)&amp;'Ingest Template'!G255&amp;Char(10)&amp;'Ingest Template'!H255&amp;Char(10)&amp;'Ingest Template'!I255&amp;Char(10)&amp;'Ingest Template'!J255&amp;Char(10)&amp;'Ingest Template'!K255&amp;Char(10)&amp;'Ingest Template'!L255)</f>
        <v>
</v>
      </c>
      <c r="E255" s="25" t="str">
        <f>('Ingest Template'!M255)</f>
        <v/>
      </c>
      <c r="F255" s="40" t="str">
        <f t="array" ref="F255">INDEX(DropDown!$J$2:$J$63,MATCH(1,COUNTIF(E255,DropDown!$I$2:$I$63),0))</f>
        <v>#N/A</v>
      </c>
      <c r="G255" s="25"/>
      <c r="H255" s="25"/>
      <c r="I255" s="25"/>
      <c r="J255" s="25" t="str">
        <f>'Ingest Template'!B255</f>
        <v/>
      </c>
      <c r="K255" s="25" t="str">
        <f>IF('Ingest Template'!A254="Standard",'Ingest Template'!N254,"Competitive View")</f>
        <v>Competitive View</v>
      </c>
      <c r="L255" s="41" t="s">
        <v>145</v>
      </c>
      <c r="M255" s="25" t="str">
        <f>'Ingest Template'!D254</f>
        <v/>
      </c>
      <c r="N255" s="25"/>
      <c r="O255" s="25"/>
      <c r="P255" s="25"/>
      <c r="Q255" s="25"/>
      <c r="R255" s="25" t="str">
        <f>CONCATENATE('Ingest Template'!F254)</f>
        <v/>
      </c>
      <c r="S255" s="43" t="s">
        <v>160</v>
      </c>
      <c r="T255" s="25" t="str">
        <f>'Ingest Template'!W254</f>
        <v/>
      </c>
      <c r="U255" s="25"/>
      <c r="V255" s="25" t="str">
        <f>LOWER(SUBSTITUTE(SUBSTITUTE(SUBSTITUTE(SUBSTITUTE(SUBSTITUTE('Ingest Template'!Y254,"https:",""),"www.",""),"/",""),"?hl=en",""),"instagram.com",""))</f>
        <v/>
      </c>
      <c r="W255" s="34" t="str">
        <f>(IFERROR(vlookup('Ingest Template'!F255,DropDown!D:E,2,false)&amp;'Ingest Template'!C255,""))</f>
        <v/>
      </c>
      <c r="X255" s="25" t="str">
        <f>'Ingest Template'!AA254</f>
        <v/>
      </c>
      <c r="Y255" s="25"/>
      <c r="Z255" s="25"/>
      <c r="AA255" s="25"/>
      <c r="AB255" s="25" t="str">
        <f>'Ingest Template'!T254</f>
        <v/>
      </c>
      <c r="AC255" s="25"/>
      <c r="AD255" s="25" t="str">
        <f>'Ingest Template'!U254</f>
        <v/>
      </c>
      <c r="AE255" s="25" t="str">
        <f>'Ingest Template'!V254</f>
        <v/>
      </c>
      <c r="AF255" s="25"/>
      <c r="AG255" s="25" t="str">
        <f t="array" ref="AG255">IF('Ingest Template'!A254="Standard",(CONCATENATE(IF(ISBLANK('Ingest Template'!O254),"", 'Ingest Template'!O254&amp;"|DAR"),CHAR(10), IF(ISBLANK('Ingest Template'!P254),"", 'Ingest Template'!P254&amp;"|DAR"),CHAR(10), IF(ISBLANK('Ingest Template'!Q254),"", 'Ingest Template'!Q254&amp;"|DAR"))),(CONCATENATE(IF(ISBLANK('Ingest Template'!O254),"", 'Ingest Template'!O254&amp;"|Operations - Core Title"),CHAR(10), IF(ISBLANK('Ingest Template'!P254),"", 'Ingest Template'!P254&amp;"|Operations - Core Title"),CHAR(10), IF(ISBLANK('Ingest Template'!Q254),"", 'Ingest Template'!Q254&amp;"|Operations - Core Title"))))</f>
        <v>#|Operations - Core Title
#videoGame|Operations - Core Title
</v>
      </c>
      <c r="AH255" s="25"/>
      <c r="AI255" s="25"/>
      <c r="AJ255" s="50" t="str">
        <f>if('Ingest Template'!A254="Standard",'Ingest Template'!R254&amp; "|DAR|DAR|2021-01-01",'Ingest Template'!R254&amp; "|Operations - Core Title|Operations - Core Title")</f>
        <v>#N/A</v>
      </c>
      <c r="AK255" s="25"/>
      <c r="AL255" s="25" t="str">
        <f>if('Ingest Template'!A254="Standard",'Ingest Template'!S254&amp; "|2021-01-01",'Ingest Template'!S254)</f>
        <v>#N/A</v>
      </c>
      <c r="AM255" s="25"/>
    </row>
    <row r="256">
      <c r="A256" s="25"/>
      <c r="B256" s="25" t="str">
        <f>'Ingest Template'!C255&amp;IF('Ingest Template'!A255 = "Standard", " - DAR","")</f>
        <v/>
      </c>
      <c r="C256" s="34" t="s">
        <v>92</v>
      </c>
      <c r="D256" s="34" t="str">
        <f>CONCATENATE('Ingest Template'!E256&amp;Char(10)&amp;'Ingest Template'!G256&amp;Char(10)&amp;'Ingest Template'!H256&amp;Char(10)&amp;'Ingest Template'!I256&amp;Char(10)&amp;'Ingest Template'!J256&amp;Char(10)&amp;'Ingest Template'!K256&amp;Char(10)&amp;'Ingest Template'!L256)</f>
        <v>
</v>
      </c>
      <c r="E256" s="25" t="str">
        <f>('Ingest Template'!M256)</f>
        <v/>
      </c>
      <c r="F256" s="40" t="str">
        <f t="array" ref="F256">INDEX(DropDown!$J$2:$J$63,MATCH(1,COUNTIF(E256,DropDown!$I$2:$I$63),0))</f>
        <v>#N/A</v>
      </c>
      <c r="G256" s="25"/>
      <c r="H256" s="25"/>
      <c r="I256" s="25"/>
      <c r="J256" s="25" t="str">
        <f>'Ingest Template'!B256</f>
        <v/>
      </c>
      <c r="K256" s="25" t="str">
        <f>IF('Ingest Template'!A255="Standard",'Ingest Template'!N255,"Competitive View")</f>
        <v>Competitive View</v>
      </c>
      <c r="L256" s="41" t="s">
        <v>145</v>
      </c>
      <c r="M256" s="25" t="str">
        <f>'Ingest Template'!D255</f>
        <v/>
      </c>
      <c r="N256" s="25"/>
      <c r="O256" s="25"/>
      <c r="P256" s="25"/>
      <c r="Q256" s="25"/>
      <c r="R256" s="25" t="str">
        <f>CONCATENATE('Ingest Template'!F255)</f>
        <v/>
      </c>
      <c r="S256" s="43" t="s">
        <v>160</v>
      </c>
      <c r="T256" s="25" t="str">
        <f>'Ingest Template'!W255</f>
        <v/>
      </c>
      <c r="U256" s="25"/>
      <c r="V256" s="25" t="str">
        <f>LOWER(SUBSTITUTE(SUBSTITUTE(SUBSTITUTE(SUBSTITUTE(SUBSTITUTE('Ingest Template'!Y255,"https:",""),"www.",""),"/",""),"?hl=en",""),"instagram.com",""))</f>
        <v/>
      </c>
      <c r="W256" s="34" t="str">
        <f>(IFERROR(vlookup('Ingest Template'!F256,DropDown!D:E,2,false)&amp;'Ingest Template'!C256,""))</f>
        <v/>
      </c>
      <c r="X256" s="25" t="str">
        <f>'Ingest Template'!AA255</f>
        <v/>
      </c>
      <c r="Y256" s="25"/>
      <c r="Z256" s="25"/>
      <c r="AA256" s="25"/>
      <c r="AB256" s="25" t="str">
        <f>'Ingest Template'!T255</f>
        <v/>
      </c>
      <c r="AC256" s="25"/>
      <c r="AD256" s="25" t="str">
        <f>'Ingest Template'!U255</f>
        <v/>
      </c>
      <c r="AE256" s="25" t="str">
        <f>'Ingest Template'!V255</f>
        <v/>
      </c>
      <c r="AF256" s="25"/>
      <c r="AG256" s="25" t="str">
        <f t="array" ref="AG256">IF('Ingest Template'!A255="Standard",(CONCATENATE(IF(ISBLANK('Ingest Template'!O255),"", 'Ingest Template'!O255&amp;"|DAR"),CHAR(10), IF(ISBLANK('Ingest Template'!P255),"", 'Ingest Template'!P255&amp;"|DAR"),CHAR(10), IF(ISBLANK('Ingest Template'!Q255),"", 'Ingest Template'!Q255&amp;"|DAR"))),(CONCATENATE(IF(ISBLANK('Ingest Template'!O255),"", 'Ingest Template'!O255&amp;"|Operations - Core Title"),CHAR(10), IF(ISBLANK('Ingest Template'!P255),"", 'Ingest Template'!P255&amp;"|Operations - Core Title"),CHAR(10), IF(ISBLANK('Ingest Template'!Q255),"", 'Ingest Template'!Q255&amp;"|Operations - Core Title"))))</f>
        <v>#|Operations - Core Title
#videoGame|Operations - Core Title
</v>
      </c>
      <c r="AH256" s="25"/>
      <c r="AI256" s="25"/>
      <c r="AJ256" s="50" t="str">
        <f>if('Ingest Template'!A255="Standard",'Ingest Template'!R255&amp; "|DAR|DAR|2021-01-01",'Ingest Template'!R255&amp; "|Operations - Core Title|Operations - Core Title")</f>
        <v>#N/A</v>
      </c>
      <c r="AK256" s="25"/>
      <c r="AL256" s="25" t="str">
        <f>if('Ingest Template'!A255="Standard",'Ingest Template'!S255&amp; "|2021-01-01",'Ingest Template'!S255)</f>
        <v>#N/A</v>
      </c>
      <c r="AM256" s="25"/>
    </row>
    <row r="257">
      <c r="A257" s="25"/>
      <c r="B257" s="25" t="str">
        <f>'Ingest Template'!C256&amp;IF('Ingest Template'!A256 = "Standard", " - DAR","")</f>
        <v/>
      </c>
      <c r="C257" s="34" t="s">
        <v>92</v>
      </c>
      <c r="D257" s="34" t="str">
        <f>CONCATENATE('Ingest Template'!E257&amp;Char(10)&amp;'Ingest Template'!G257&amp;Char(10)&amp;'Ingest Template'!H257&amp;Char(10)&amp;'Ingest Template'!I257&amp;Char(10)&amp;'Ingest Template'!J257&amp;Char(10)&amp;'Ingest Template'!K257&amp;Char(10)&amp;'Ingest Template'!L257)</f>
        <v>
</v>
      </c>
      <c r="E257" s="25" t="str">
        <f>('Ingest Template'!M257)</f>
        <v/>
      </c>
      <c r="F257" s="40" t="str">
        <f t="array" ref="F257">INDEX(DropDown!$J$2:$J$63,MATCH(1,COUNTIF(E257,DropDown!$I$2:$I$63),0))</f>
        <v>#N/A</v>
      </c>
      <c r="G257" s="25"/>
      <c r="H257" s="25"/>
      <c r="I257" s="25"/>
      <c r="J257" s="25" t="str">
        <f>'Ingest Template'!B257</f>
        <v/>
      </c>
      <c r="K257" s="25" t="str">
        <f>IF('Ingest Template'!A256="Standard",'Ingest Template'!N256,"Competitive View")</f>
        <v>Competitive View</v>
      </c>
      <c r="L257" s="41" t="s">
        <v>145</v>
      </c>
      <c r="M257" s="25" t="str">
        <f>'Ingest Template'!D256</f>
        <v/>
      </c>
      <c r="N257" s="25"/>
      <c r="O257" s="25"/>
      <c r="P257" s="25"/>
      <c r="Q257" s="25"/>
      <c r="R257" s="25" t="str">
        <f>CONCATENATE('Ingest Template'!F256)</f>
        <v/>
      </c>
      <c r="S257" s="43" t="s">
        <v>160</v>
      </c>
      <c r="T257" s="25" t="str">
        <f>'Ingest Template'!W256</f>
        <v/>
      </c>
      <c r="U257" s="25"/>
      <c r="V257" s="25" t="str">
        <f>LOWER(SUBSTITUTE(SUBSTITUTE(SUBSTITUTE(SUBSTITUTE(SUBSTITUTE('Ingest Template'!Y256,"https:",""),"www.",""),"/",""),"?hl=en",""),"instagram.com",""))</f>
        <v/>
      </c>
      <c r="W257" s="34" t="str">
        <f>(IFERROR(vlookup('Ingest Template'!F257,DropDown!D:E,2,false)&amp;'Ingest Template'!C257,""))</f>
        <v/>
      </c>
      <c r="X257" s="25" t="str">
        <f>'Ingest Template'!AA256</f>
        <v/>
      </c>
      <c r="Y257" s="25"/>
      <c r="Z257" s="25"/>
      <c r="AA257" s="25"/>
      <c r="AB257" s="25" t="str">
        <f>'Ingest Template'!T256</f>
        <v/>
      </c>
      <c r="AC257" s="25"/>
      <c r="AD257" s="25" t="str">
        <f>'Ingest Template'!U256</f>
        <v/>
      </c>
      <c r="AE257" s="25" t="str">
        <f>'Ingest Template'!V256</f>
        <v/>
      </c>
      <c r="AF257" s="25"/>
      <c r="AG257" s="25" t="str">
        <f t="array" ref="AG257">IF('Ingest Template'!A256="Standard",(CONCATENATE(IF(ISBLANK('Ingest Template'!O256),"", 'Ingest Template'!O256&amp;"|DAR"),CHAR(10), IF(ISBLANK('Ingest Template'!P256),"", 'Ingest Template'!P256&amp;"|DAR"),CHAR(10), IF(ISBLANK('Ingest Template'!Q256),"", 'Ingest Template'!Q256&amp;"|DAR"))),(CONCATENATE(IF(ISBLANK('Ingest Template'!O256),"", 'Ingest Template'!O256&amp;"|Operations - Core Title"),CHAR(10), IF(ISBLANK('Ingest Template'!P256),"", 'Ingest Template'!P256&amp;"|Operations - Core Title"),CHAR(10), IF(ISBLANK('Ingest Template'!Q256),"", 'Ingest Template'!Q256&amp;"|Operations - Core Title"))))</f>
        <v>#|Operations - Core Title
#videoGame|Operations - Core Title
</v>
      </c>
      <c r="AH257" s="25"/>
      <c r="AI257" s="25"/>
      <c r="AJ257" s="50" t="str">
        <f>if('Ingest Template'!A256="Standard",'Ingest Template'!R256&amp; "|DAR|DAR|2021-01-01",'Ingest Template'!R256&amp; "|Operations - Core Title|Operations - Core Title")</f>
        <v>#N/A</v>
      </c>
      <c r="AK257" s="25"/>
      <c r="AL257" s="25" t="str">
        <f>if('Ingest Template'!A256="Standard",'Ingest Template'!S256&amp; "|2021-01-01",'Ingest Template'!S256)</f>
        <v>#N/A</v>
      </c>
      <c r="AM257" s="25"/>
    </row>
    <row r="258">
      <c r="A258" s="25"/>
      <c r="B258" s="25" t="str">
        <f>'Ingest Template'!C257&amp;IF('Ingest Template'!A257 = "Standard", " - DAR","")</f>
        <v/>
      </c>
      <c r="C258" s="34" t="s">
        <v>92</v>
      </c>
      <c r="D258" s="34" t="str">
        <f>CONCATENATE('Ingest Template'!E258&amp;Char(10)&amp;'Ingest Template'!G258&amp;Char(10)&amp;'Ingest Template'!H258&amp;Char(10)&amp;'Ingest Template'!I258&amp;Char(10)&amp;'Ingest Template'!J258&amp;Char(10)&amp;'Ingest Template'!K258&amp;Char(10)&amp;'Ingest Template'!L258)</f>
        <v>
</v>
      </c>
      <c r="E258" s="25" t="str">
        <f>('Ingest Template'!M258)</f>
        <v/>
      </c>
      <c r="F258" s="40" t="str">
        <f t="array" ref="F258">INDEX(DropDown!$J$2:$J$63,MATCH(1,COUNTIF(E258,DropDown!$I$2:$I$63),0))</f>
        <v>#N/A</v>
      </c>
      <c r="G258" s="25"/>
      <c r="H258" s="25"/>
      <c r="I258" s="25"/>
      <c r="J258" s="25" t="str">
        <f>'Ingest Template'!B258</f>
        <v/>
      </c>
      <c r="K258" s="25" t="str">
        <f>IF('Ingest Template'!A257="Standard",'Ingest Template'!N257,"Competitive View")</f>
        <v>Competitive View</v>
      </c>
      <c r="L258" s="41" t="s">
        <v>145</v>
      </c>
      <c r="M258" s="25" t="str">
        <f>'Ingest Template'!D257</f>
        <v/>
      </c>
      <c r="N258" s="25"/>
      <c r="O258" s="25"/>
      <c r="P258" s="25"/>
      <c r="Q258" s="25"/>
      <c r="R258" s="25" t="str">
        <f>CONCATENATE('Ingest Template'!F257)</f>
        <v/>
      </c>
      <c r="S258" s="43" t="s">
        <v>160</v>
      </c>
      <c r="T258" s="25" t="str">
        <f>'Ingest Template'!W257</f>
        <v/>
      </c>
      <c r="U258" s="25"/>
      <c r="V258" s="25" t="str">
        <f>LOWER(SUBSTITUTE(SUBSTITUTE(SUBSTITUTE(SUBSTITUTE(SUBSTITUTE('Ingest Template'!Y257,"https:",""),"www.",""),"/",""),"?hl=en",""),"instagram.com",""))</f>
        <v/>
      </c>
      <c r="W258" s="34" t="str">
        <f>(IFERROR(vlookup('Ingest Template'!F258,DropDown!D:E,2,false)&amp;'Ingest Template'!C258,""))</f>
        <v/>
      </c>
      <c r="X258" s="25" t="str">
        <f>'Ingest Template'!AA257</f>
        <v/>
      </c>
      <c r="Y258" s="25"/>
      <c r="Z258" s="25"/>
      <c r="AA258" s="25"/>
      <c r="AB258" s="25" t="str">
        <f>'Ingest Template'!T257</f>
        <v/>
      </c>
      <c r="AC258" s="25"/>
      <c r="AD258" s="25" t="str">
        <f>'Ingest Template'!U257</f>
        <v/>
      </c>
      <c r="AE258" s="25" t="str">
        <f>'Ingest Template'!V257</f>
        <v/>
      </c>
      <c r="AF258" s="25"/>
      <c r="AG258" s="25" t="str">
        <f t="array" ref="AG258">IF('Ingest Template'!A257="Standard",(CONCATENATE(IF(ISBLANK('Ingest Template'!O257),"", 'Ingest Template'!O257&amp;"|DAR"),CHAR(10), IF(ISBLANK('Ingest Template'!P257),"", 'Ingest Template'!P257&amp;"|DAR"),CHAR(10), IF(ISBLANK('Ingest Template'!Q257),"", 'Ingest Template'!Q257&amp;"|DAR"))),(CONCATENATE(IF(ISBLANK('Ingest Template'!O257),"", 'Ingest Template'!O257&amp;"|Operations - Core Title"),CHAR(10), IF(ISBLANK('Ingest Template'!P257),"", 'Ingest Template'!P257&amp;"|Operations - Core Title"),CHAR(10), IF(ISBLANK('Ingest Template'!Q257),"", 'Ingest Template'!Q257&amp;"|Operations - Core Title"))))</f>
        <v>#|Operations - Core Title
#videoGame|Operations - Core Title
</v>
      </c>
      <c r="AH258" s="25"/>
      <c r="AI258" s="25"/>
      <c r="AJ258" s="50" t="str">
        <f>if('Ingest Template'!A257="Standard",'Ingest Template'!R257&amp; "|DAR|DAR|2021-01-01",'Ingest Template'!R257&amp; "|Operations - Core Title|Operations - Core Title")</f>
        <v>#N/A</v>
      </c>
      <c r="AK258" s="25"/>
      <c r="AL258" s="25" t="str">
        <f>if('Ingest Template'!A257="Standard",'Ingest Template'!S257&amp; "|2021-01-01",'Ingest Template'!S257)</f>
        <v>#N/A</v>
      </c>
      <c r="AM258" s="25"/>
    </row>
    <row r="259">
      <c r="A259" s="25"/>
      <c r="B259" s="25" t="str">
        <f>'Ingest Template'!C258&amp;IF('Ingest Template'!A258 = "Standard", " - DAR","")</f>
        <v/>
      </c>
      <c r="C259" s="34" t="s">
        <v>92</v>
      </c>
      <c r="D259" s="34" t="str">
        <f>CONCATENATE('Ingest Template'!E259&amp;Char(10)&amp;'Ingest Template'!G259&amp;Char(10)&amp;'Ingest Template'!H259&amp;Char(10)&amp;'Ingest Template'!I259&amp;Char(10)&amp;'Ingest Template'!J259&amp;Char(10)&amp;'Ingest Template'!K259&amp;Char(10)&amp;'Ingest Template'!L259)</f>
        <v>
</v>
      </c>
      <c r="E259" s="25" t="str">
        <f>('Ingest Template'!M259)</f>
        <v/>
      </c>
      <c r="F259" s="40" t="str">
        <f t="array" ref="F259">INDEX(DropDown!$J$2:$J$63,MATCH(1,COUNTIF(E259,DropDown!$I$2:$I$63),0))</f>
        <v>#N/A</v>
      </c>
      <c r="G259" s="25"/>
      <c r="H259" s="25"/>
      <c r="I259" s="25"/>
      <c r="J259" s="25" t="str">
        <f>'Ingest Template'!B259</f>
        <v/>
      </c>
      <c r="K259" s="25" t="str">
        <f>IF('Ingest Template'!A258="Standard",'Ingest Template'!N258,"Competitive View")</f>
        <v>Competitive View</v>
      </c>
      <c r="L259" s="41" t="s">
        <v>145</v>
      </c>
      <c r="M259" s="25" t="str">
        <f>'Ingest Template'!D258</f>
        <v/>
      </c>
      <c r="N259" s="25"/>
      <c r="O259" s="25"/>
      <c r="P259" s="25"/>
      <c r="Q259" s="25"/>
      <c r="R259" s="25" t="str">
        <f>CONCATENATE('Ingest Template'!F258)</f>
        <v/>
      </c>
      <c r="S259" s="43" t="s">
        <v>160</v>
      </c>
      <c r="T259" s="25" t="str">
        <f>'Ingest Template'!W258</f>
        <v/>
      </c>
      <c r="U259" s="25"/>
      <c r="V259" s="25" t="str">
        <f>LOWER(SUBSTITUTE(SUBSTITUTE(SUBSTITUTE(SUBSTITUTE(SUBSTITUTE('Ingest Template'!Y258,"https:",""),"www.",""),"/",""),"?hl=en",""),"instagram.com",""))</f>
        <v/>
      </c>
      <c r="W259" s="34" t="str">
        <f>(IFERROR(vlookup('Ingest Template'!F259,DropDown!D:E,2,false)&amp;'Ingest Template'!C259,""))</f>
        <v/>
      </c>
      <c r="X259" s="25" t="str">
        <f>'Ingest Template'!AA258</f>
        <v/>
      </c>
      <c r="Y259" s="25"/>
      <c r="Z259" s="25"/>
      <c r="AA259" s="25"/>
      <c r="AB259" s="25" t="str">
        <f>'Ingest Template'!T258</f>
        <v/>
      </c>
      <c r="AC259" s="25"/>
      <c r="AD259" s="25" t="str">
        <f>'Ingest Template'!U258</f>
        <v/>
      </c>
      <c r="AE259" s="25" t="str">
        <f>'Ingest Template'!V258</f>
        <v/>
      </c>
      <c r="AF259" s="25"/>
      <c r="AG259" s="25" t="str">
        <f t="array" ref="AG259">IF('Ingest Template'!A258="Standard",(CONCATENATE(IF(ISBLANK('Ingest Template'!O258),"", 'Ingest Template'!O258&amp;"|DAR"),CHAR(10), IF(ISBLANK('Ingest Template'!P258),"", 'Ingest Template'!P258&amp;"|DAR"),CHAR(10), IF(ISBLANK('Ingest Template'!Q258),"", 'Ingest Template'!Q258&amp;"|DAR"))),(CONCATENATE(IF(ISBLANK('Ingest Template'!O258),"", 'Ingest Template'!O258&amp;"|Operations - Core Title"),CHAR(10), IF(ISBLANK('Ingest Template'!P258),"", 'Ingest Template'!P258&amp;"|Operations - Core Title"),CHAR(10), IF(ISBLANK('Ingest Template'!Q258),"", 'Ingest Template'!Q258&amp;"|Operations - Core Title"))))</f>
        <v>#|Operations - Core Title
#videoGame|Operations - Core Title
</v>
      </c>
      <c r="AH259" s="25"/>
      <c r="AI259" s="25"/>
      <c r="AJ259" s="50" t="str">
        <f>if('Ingest Template'!A258="Standard",'Ingest Template'!R258&amp; "|DAR|DAR|2021-01-01",'Ingest Template'!R258&amp; "|Operations - Core Title|Operations - Core Title")</f>
        <v>#N/A</v>
      </c>
      <c r="AK259" s="25"/>
      <c r="AL259" s="25" t="str">
        <f>if('Ingest Template'!A258="Standard",'Ingest Template'!S258&amp; "|2021-01-01",'Ingest Template'!S258)</f>
        <v>#N/A</v>
      </c>
      <c r="AM259" s="25"/>
    </row>
    <row r="260">
      <c r="A260" s="25"/>
      <c r="B260" s="25" t="str">
        <f>'Ingest Template'!C259&amp;IF('Ingest Template'!A259 = "Standard", " - DAR","")</f>
        <v/>
      </c>
      <c r="C260" s="34" t="s">
        <v>92</v>
      </c>
      <c r="D260" s="34" t="str">
        <f>CONCATENATE('Ingest Template'!E260&amp;Char(10)&amp;'Ingest Template'!G260&amp;Char(10)&amp;'Ingest Template'!H260&amp;Char(10)&amp;'Ingest Template'!I260&amp;Char(10)&amp;'Ingest Template'!J260&amp;Char(10)&amp;'Ingest Template'!K260&amp;Char(10)&amp;'Ingest Template'!L260)</f>
        <v>
</v>
      </c>
      <c r="E260" s="25" t="str">
        <f>('Ingest Template'!M260)</f>
        <v/>
      </c>
      <c r="F260" s="40" t="str">
        <f t="array" ref="F260">INDEX(DropDown!$J$2:$J$63,MATCH(1,COUNTIF(E260,DropDown!$I$2:$I$63),0))</f>
        <v>#N/A</v>
      </c>
      <c r="G260" s="25"/>
      <c r="H260" s="25"/>
      <c r="I260" s="25"/>
      <c r="J260" s="25" t="str">
        <f>'Ingest Template'!B260</f>
        <v/>
      </c>
      <c r="K260" s="25" t="str">
        <f>IF('Ingest Template'!A259="Standard",'Ingest Template'!N259,"Competitive View")</f>
        <v>Competitive View</v>
      </c>
      <c r="L260" s="41" t="s">
        <v>145</v>
      </c>
      <c r="M260" s="25" t="str">
        <f>'Ingest Template'!D259</f>
        <v/>
      </c>
      <c r="N260" s="25"/>
      <c r="O260" s="25"/>
      <c r="P260" s="25"/>
      <c r="Q260" s="25"/>
      <c r="R260" s="25" t="str">
        <f>CONCATENATE('Ingest Template'!F259)</f>
        <v/>
      </c>
      <c r="S260" s="43" t="s">
        <v>160</v>
      </c>
      <c r="T260" s="25" t="str">
        <f>'Ingest Template'!W259</f>
        <v/>
      </c>
      <c r="U260" s="25"/>
      <c r="V260" s="25" t="str">
        <f>LOWER(SUBSTITUTE(SUBSTITUTE(SUBSTITUTE(SUBSTITUTE(SUBSTITUTE('Ingest Template'!Y259,"https:",""),"www.",""),"/",""),"?hl=en",""),"instagram.com",""))</f>
        <v/>
      </c>
      <c r="W260" s="34" t="str">
        <f>(IFERROR(vlookup('Ingest Template'!F260,DropDown!D:E,2,false)&amp;'Ingest Template'!C260,""))</f>
        <v/>
      </c>
      <c r="X260" s="25" t="str">
        <f>'Ingest Template'!AA259</f>
        <v/>
      </c>
      <c r="Y260" s="25"/>
      <c r="Z260" s="25"/>
      <c r="AA260" s="25"/>
      <c r="AB260" s="25" t="str">
        <f>'Ingest Template'!T259</f>
        <v/>
      </c>
      <c r="AC260" s="25"/>
      <c r="AD260" s="25" t="str">
        <f>'Ingest Template'!U259</f>
        <v/>
      </c>
      <c r="AE260" s="25" t="str">
        <f>'Ingest Template'!V259</f>
        <v/>
      </c>
      <c r="AF260" s="25"/>
      <c r="AG260" s="25" t="str">
        <f t="array" ref="AG260">IF('Ingest Template'!A259="Standard",(CONCATENATE(IF(ISBLANK('Ingest Template'!O259),"", 'Ingest Template'!O259&amp;"|DAR"),CHAR(10), IF(ISBLANK('Ingest Template'!P259),"", 'Ingest Template'!P259&amp;"|DAR"),CHAR(10), IF(ISBLANK('Ingest Template'!Q259),"", 'Ingest Template'!Q259&amp;"|DAR"))),(CONCATENATE(IF(ISBLANK('Ingest Template'!O259),"", 'Ingest Template'!O259&amp;"|Operations - Core Title"),CHAR(10), IF(ISBLANK('Ingest Template'!P259),"", 'Ingest Template'!P259&amp;"|Operations - Core Title"),CHAR(10), IF(ISBLANK('Ingest Template'!Q259),"", 'Ingest Template'!Q259&amp;"|Operations - Core Title"))))</f>
        <v>#|Operations - Core Title
#videoGame|Operations - Core Title
</v>
      </c>
      <c r="AH260" s="25"/>
      <c r="AI260" s="25"/>
      <c r="AJ260" s="50" t="str">
        <f>if('Ingest Template'!A259="Standard",'Ingest Template'!R259&amp; "|DAR|DAR|2021-01-01",'Ingest Template'!R259&amp; "|Operations - Core Title|Operations - Core Title")</f>
        <v>#N/A</v>
      </c>
      <c r="AK260" s="25"/>
      <c r="AL260" s="25" t="str">
        <f>if('Ingest Template'!A259="Standard",'Ingest Template'!S259&amp; "|2021-01-01",'Ingest Template'!S259)</f>
        <v>#N/A</v>
      </c>
      <c r="AM260" s="25"/>
    </row>
    <row r="261">
      <c r="A261" s="25"/>
      <c r="B261" s="25" t="str">
        <f>'Ingest Template'!C260&amp;IF('Ingest Template'!A260 = "Standard", " - DAR","")</f>
        <v/>
      </c>
      <c r="C261" s="34" t="s">
        <v>92</v>
      </c>
      <c r="D261" s="34" t="str">
        <f>CONCATENATE('Ingest Template'!E261&amp;Char(10)&amp;'Ingest Template'!G261&amp;Char(10)&amp;'Ingest Template'!H261&amp;Char(10)&amp;'Ingest Template'!I261&amp;Char(10)&amp;'Ingest Template'!J261&amp;Char(10)&amp;'Ingest Template'!K261&amp;Char(10)&amp;'Ingest Template'!L261)</f>
        <v>
</v>
      </c>
      <c r="E261" s="25" t="str">
        <f>('Ingest Template'!M261)</f>
        <v/>
      </c>
      <c r="F261" s="40" t="str">
        <f t="array" ref="F261">INDEX(DropDown!$J$2:$J$63,MATCH(1,COUNTIF(E261,DropDown!$I$2:$I$63),0))</f>
        <v>#N/A</v>
      </c>
      <c r="G261" s="25"/>
      <c r="H261" s="25"/>
      <c r="I261" s="25"/>
      <c r="J261" s="25" t="str">
        <f>'Ingest Template'!B261</f>
        <v/>
      </c>
      <c r="K261" s="25" t="str">
        <f>IF('Ingest Template'!A260="Standard",'Ingest Template'!N260,"Competitive View")</f>
        <v>Competitive View</v>
      </c>
      <c r="L261" s="41" t="s">
        <v>145</v>
      </c>
      <c r="M261" s="25" t="str">
        <f>'Ingest Template'!D260</f>
        <v/>
      </c>
      <c r="N261" s="25"/>
      <c r="O261" s="25"/>
      <c r="P261" s="25"/>
      <c r="Q261" s="25"/>
      <c r="R261" s="25" t="str">
        <f>CONCATENATE('Ingest Template'!F260)</f>
        <v/>
      </c>
      <c r="S261" s="43" t="s">
        <v>160</v>
      </c>
      <c r="T261" s="25" t="str">
        <f>'Ingest Template'!W260</f>
        <v/>
      </c>
      <c r="U261" s="25"/>
      <c r="V261" s="25" t="str">
        <f>LOWER(SUBSTITUTE(SUBSTITUTE(SUBSTITUTE(SUBSTITUTE(SUBSTITUTE('Ingest Template'!Y260,"https:",""),"www.",""),"/",""),"?hl=en",""),"instagram.com",""))</f>
        <v/>
      </c>
      <c r="W261" s="34" t="str">
        <f>(IFERROR(vlookup('Ingest Template'!F261,DropDown!D:E,2,false)&amp;'Ingest Template'!C261,""))</f>
        <v/>
      </c>
      <c r="X261" s="25" t="str">
        <f>'Ingest Template'!AA260</f>
        <v/>
      </c>
      <c r="Y261" s="25"/>
      <c r="Z261" s="25"/>
      <c r="AA261" s="25"/>
      <c r="AB261" s="25" t="str">
        <f>'Ingest Template'!T260</f>
        <v/>
      </c>
      <c r="AC261" s="25"/>
      <c r="AD261" s="25" t="str">
        <f>'Ingest Template'!U260</f>
        <v/>
      </c>
      <c r="AE261" s="25" t="str">
        <f>'Ingest Template'!V260</f>
        <v/>
      </c>
      <c r="AF261" s="25"/>
      <c r="AG261" s="25" t="str">
        <f t="array" ref="AG261">IF('Ingest Template'!A260="Standard",(CONCATENATE(IF(ISBLANK('Ingest Template'!O260),"", 'Ingest Template'!O260&amp;"|DAR"),CHAR(10), IF(ISBLANK('Ingest Template'!P260),"", 'Ingest Template'!P260&amp;"|DAR"),CHAR(10), IF(ISBLANK('Ingest Template'!Q260),"", 'Ingest Template'!Q260&amp;"|DAR"))),(CONCATENATE(IF(ISBLANK('Ingest Template'!O260),"", 'Ingest Template'!O260&amp;"|Operations - Core Title"),CHAR(10), IF(ISBLANK('Ingest Template'!P260),"", 'Ingest Template'!P260&amp;"|Operations - Core Title"),CHAR(10), IF(ISBLANK('Ingest Template'!Q260),"", 'Ingest Template'!Q260&amp;"|Operations - Core Title"))))</f>
        <v>#|Operations - Core Title
#videoGame|Operations - Core Title
</v>
      </c>
      <c r="AH261" s="25"/>
      <c r="AI261" s="25"/>
      <c r="AJ261" s="50" t="str">
        <f>if('Ingest Template'!A260="Standard",'Ingest Template'!R260&amp; "|DAR|DAR|2021-01-01",'Ingest Template'!R260&amp; "|Operations - Core Title|Operations - Core Title")</f>
        <v>#N/A</v>
      </c>
      <c r="AK261" s="25"/>
      <c r="AL261" s="25" t="str">
        <f>if('Ingest Template'!A260="Standard",'Ingest Template'!S260&amp; "|2021-01-01",'Ingest Template'!S260)</f>
        <v>#N/A</v>
      </c>
      <c r="AM261" s="25"/>
    </row>
    <row r="262">
      <c r="A262" s="25"/>
      <c r="B262" s="25" t="str">
        <f>'Ingest Template'!C261&amp;IF('Ingest Template'!A261 = "Standard", " - DAR","")</f>
        <v/>
      </c>
      <c r="C262" s="34" t="s">
        <v>92</v>
      </c>
      <c r="D262" s="34" t="str">
        <f>CONCATENATE('Ingest Template'!E262&amp;Char(10)&amp;'Ingest Template'!G262&amp;Char(10)&amp;'Ingest Template'!H262&amp;Char(10)&amp;'Ingest Template'!I262&amp;Char(10)&amp;'Ingest Template'!J262&amp;Char(10)&amp;'Ingest Template'!K262&amp;Char(10)&amp;'Ingest Template'!L262)</f>
        <v>
</v>
      </c>
      <c r="E262" s="25" t="str">
        <f>('Ingest Template'!M262)</f>
        <v/>
      </c>
      <c r="F262" s="40" t="str">
        <f t="array" ref="F262">INDEX(DropDown!$J$2:$J$63,MATCH(1,COUNTIF(E262,DropDown!$I$2:$I$63),0))</f>
        <v>#N/A</v>
      </c>
      <c r="G262" s="25"/>
      <c r="H262" s="25"/>
      <c r="I262" s="25"/>
      <c r="J262" s="25" t="str">
        <f>'Ingest Template'!B262</f>
        <v/>
      </c>
      <c r="K262" s="25" t="str">
        <f>IF('Ingest Template'!A261="Standard",'Ingest Template'!N261,"Competitive View")</f>
        <v>Competitive View</v>
      </c>
      <c r="L262" s="41" t="s">
        <v>145</v>
      </c>
      <c r="M262" s="25" t="str">
        <f>'Ingest Template'!D261</f>
        <v/>
      </c>
      <c r="N262" s="25"/>
      <c r="O262" s="25"/>
      <c r="P262" s="25"/>
      <c r="Q262" s="25"/>
      <c r="R262" s="25" t="str">
        <f>CONCATENATE('Ingest Template'!F261)</f>
        <v/>
      </c>
      <c r="S262" s="43" t="s">
        <v>160</v>
      </c>
      <c r="T262" s="25" t="str">
        <f>'Ingest Template'!W261</f>
        <v/>
      </c>
      <c r="U262" s="25"/>
      <c r="V262" s="25" t="str">
        <f>LOWER(SUBSTITUTE(SUBSTITUTE(SUBSTITUTE(SUBSTITUTE(SUBSTITUTE('Ingest Template'!Y261,"https:",""),"www.",""),"/",""),"?hl=en",""),"instagram.com",""))</f>
        <v/>
      </c>
      <c r="W262" s="34" t="str">
        <f>(IFERROR(vlookup('Ingest Template'!F262,DropDown!D:E,2,false)&amp;'Ingest Template'!C262,""))</f>
        <v/>
      </c>
      <c r="X262" s="25" t="str">
        <f>'Ingest Template'!AA261</f>
        <v/>
      </c>
      <c r="Y262" s="25"/>
      <c r="Z262" s="25"/>
      <c r="AA262" s="25"/>
      <c r="AB262" s="25" t="str">
        <f>'Ingest Template'!T261</f>
        <v/>
      </c>
      <c r="AC262" s="25"/>
      <c r="AD262" s="25" t="str">
        <f>'Ingest Template'!U261</f>
        <v/>
      </c>
      <c r="AE262" s="25" t="str">
        <f>'Ingest Template'!V261</f>
        <v/>
      </c>
      <c r="AF262" s="25"/>
      <c r="AG262" s="25" t="str">
        <f t="array" ref="AG262">IF('Ingest Template'!A261="Standard",(CONCATENATE(IF(ISBLANK('Ingest Template'!O261),"", 'Ingest Template'!O261&amp;"|DAR"),CHAR(10), IF(ISBLANK('Ingest Template'!P261),"", 'Ingest Template'!P261&amp;"|DAR"),CHAR(10), IF(ISBLANK('Ingest Template'!Q261),"", 'Ingest Template'!Q261&amp;"|DAR"))),(CONCATENATE(IF(ISBLANK('Ingest Template'!O261),"", 'Ingest Template'!O261&amp;"|Operations - Core Title"),CHAR(10), IF(ISBLANK('Ingest Template'!P261),"", 'Ingest Template'!P261&amp;"|Operations - Core Title"),CHAR(10), IF(ISBLANK('Ingest Template'!Q261),"", 'Ingest Template'!Q261&amp;"|Operations - Core Title"))))</f>
        <v>#|Operations - Core Title
#videoGame|Operations - Core Title
</v>
      </c>
      <c r="AH262" s="25"/>
      <c r="AI262" s="25"/>
      <c r="AJ262" s="50" t="str">
        <f>if('Ingest Template'!A261="Standard",'Ingest Template'!R261&amp; "|DAR|DAR|2021-01-01",'Ingest Template'!R261&amp; "|Operations - Core Title|Operations - Core Title")</f>
        <v>#N/A</v>
      </c>
      <c r="AK262" s="25"/>
      <c r="AL262" s="25" t="str">
        <f>if('Ingest Template'!A261="Standard",'Ingest Template'!S261&amp; "|2021-01-01",'Ingest Template'!S261)</f>
        <v>#N/A</v>
      </c>
      <c r="AM262" s="25"/>
    </row>
    <row r="263">
      <c r="A263" s="25"/>
      <c r="B263" s="25" t="str">
        <f>'Ingest Template'!C262&amp;IF('Ingest Template'!A262 = "Standard", " - DAR","")</f>
        <v/>
      </c>
      <c r="C263" s="34" t="s">
        <v>92</v>
      </c>
      <c r="D263" s="34" t="str">
        <f>CONCATENATE('Ingest Template'!E263&amp;Char(10)&amp;'Ingest Template'!G263&amp;Char(10)&amp;'Ingest Template'!H263&amp;Char(10)&amp;'Ingest Template'!I263&amp;Char(10)&amp;'Ingest Template'!J263&amp;Char(10)&amp;'Ingest Template'!K263&amp;Char(10)&amp;'Ingest Template'!L263)</f>
        <v>
</v>
      </c>
      <c r="E263" s="25" t="str">
        <f>('Ingest Template'!M263)</f>
        <v/>
      </c>
      <c r="F263" s="40" t="str">
        <f t="array" ref="F263">INDEX(DropDown!$J$2:$J$63,MATCH(1,COUNTIF(E263,DropDown!$I$2:$I$63),0))</f>
        <v>#N/A</v>
      </c>
      <c r="G263" s="25"/>
      <c r="H263" s="25"/>
      <c r="I263" s="25"/>
      <c r="J263" s="25" t="str">
        <f>'Ingest Template'!B263</f>
        <v/>
      </c>
      <c r="K263" s="25" t="str">
        <f>IF('Ingest Template'!A262="Standard",'Ingest Template'!N262,"Competitive View")</f>
        <v>Competitive View</v>
      </c>
      <c r="L263" s="41" t="s">
        <v>145</v>
      </c>
      <c r="M263" s="25" t="str">
        <f>'Ingest Template'!D262</f>
        <v/>
      </c>
      <c r="N263" s="25"/>
      <c r="O263" s="25"/>
      <c r="P263" s="25"/>
      <c r="Q263" s="25"/>
      <c r="R263" s="25" t="str">
        <f>CONCATENATE('Ingest Template'!F262)</f>
        <v/>
      </c>
      <c r="S263" s="43" t="s">
        <v>160</v>
      </c>
      <c r="T263" s="25" t="str">
        <f>'Ingest Template'!W262</f>
        <v/>
      </c>
      <c r="U263" s="25"/>
      <c r="V263" s="25" t="str">
        <f>LOWER(SUBSTITUTE(SUBSTITUTE(SUBSTITUTE(SUBSTITUTE(SUBSTITUTE('Ingest Template'!Y262,"https:",""),"www.",""),"/",""),"?hl=en",""),"instagram.com",""))</f>
        <v/>
      </c>
      <c r="W263" s="34" t="str">
        <f>(IFERROR(vlookup('Ingest Template'!F263,DropDown!D:E,2,false)&amp;'Ingest Template'!C263,""))</f>
        <v/>
      </c>
      <c r="X263" s="25" t="str">
        <f>'Ingest Template'!AA262</f>
        <v/>
      </c>
      <c r="Y263" s="25"/>
      <c r="Z263" s="25"/>
      <c r="AA263" s="25"/>
      <c r="AB263" s="25" t="str">
        <f>'Ingest Template'!T262</f>
        <v/>
      </c>
      <c r="AC263" s="25"/>
      <c r="AD263" s="25" t="str">
        <f>'Ingest Template'!U262</f>
        <v/>
      </c>
      <c r="AE263" s="25" t="str">
        <f>'Ingest Template'!V262</f>
        <v/>
      </c>
      <c r="AF263" s="25"/>
      <c r="AG263" s="25" t="str">
        <f t="array" ref="AG263">IF('Ingest Template'!A262="Standard",(CONCATENATE(IF(ISBLANK('Ingest Template'!O262),"", 'Ingest Template'!O262&amp;"|DAR"),CHAR(10), IF(ISBLANK('Ingest Template'!P262),"", 'Ingest Template'!P262&amp;"|DAR"),CHAR(10), IF(ISBLANK('Ingest Template'!Q262),"", 'Ingest Template'!Q262&amp;"|DAR"))),(CONCATENATE(IF(ISBLANK('Ingest Template'!O262),"", 'Ingest Template'!O262&amp;"|Operations - Core Title"),CHAR(10), IF(ISBLANK('Ingest Template'!P262),"", 'Ingest Template'!P262&amp;"|Operations - Core Title"),CHAR(10), IF(ISBLANK('Ingest Template'!Q262),"", 'Ingest Template'!Q262&amp;"|Operations - Core Title"))))</f>
        <v>#|Operations - Core Title
#videoGame|Operations - Core Title
</v>
      </c>
      <c r="AH263" s="25"/>
      <c r="AI263" s="25"/>
      <c r="AJ263" s="50" t="str">
        <f>if('Ingest Template'!A262="Standard",'Ingest Template'!R262&amp; "|DAR|DAR|2021-01-01",'Ingest Template'!R262&amp; "|Operations - Core Title|Operations - Core Title")</f>
        <v>#N/A</v>
      </c>
      <c r="AK263" s="25"/>
      <c r="AL263" s="25" t="str">
        <f>if('Ingest Template'!A262="Standard",'Ingest Template'!S262&amp; "|2021-01-01",'Ingest Template'!S262)</f>
        <v>#N/A</v>
      </c>
      <c r="AM263" s="25"/>
    </row>
    <row r="264">
      <c r="A264" s="25"/>
      <c r="B264" s="25" t="str">
        <f>'Ingest Template'!C263&amp;IF('Ingest Template'!A263 = "Standard", " - DAR","")</f>
        <v/>
      </c>
      <c r="C264" s="34" t="s">
        <v>92</v>
      </c>
      <c r="D264" s="34" t="str">
        <f>CONCATENATE('Ingest Template'!E264&amp;Char(10)&amp;'Ingest Template'!G264&amp;Char(10)&amp;'Ingest Template'!H264&amp;Char(10)&amp;'Ingest Template'!I264&amp;Char(10)&amp;'Ingest Template'!J264&amp;Char(10)&amp;'Ingest Template'!K264&amp;Char(10)&amp;'Ingest Template'!L264)</f>
        <v>
</v>
      </c>
      <c r="E264" s="25" t="str">
        <f>('Ingest Template'!M264)</f>
        <v/>
      </c>
      <c r="F264" s="40" t="str">
        <f t="array" ref="F264">INDEX(DropDown!$J$2:$J$63,MATCH(1,COUNTIF(E264,DropDown!$I$2:$I$63),0))</f>
        <v>#N/A</v>
      </c>
      <c r="G264" s="25"/>
      <c r="H264" s="25"/>
      <c r="I264" s="25"/>
      <c r="J264" s="25" t="str">
        <f>'Ingest Template'!B264</f>
        <v/>
      </c>
      <c r="K264" s="25" t="str">
        <f>IF('Ingest Template'!A263="Standard",'Ingest Template'!N263,"Competitive View")</f>
        <v>Competitive View</v>
      </c>
      <c r="L264" s="41" t="s">
        <v>145</v>
      </c>
      <c r="M264" s="25" t="str">
        <f>'Ingest Template'!D263</f>
        <v/>
      </c>
      <c r="N264" s="25"/>
      <c r="O264" s="25"/>
      <c r="P264" s="25"/>
      <c r="Q264" s="25"/>
      <c r="R264" s="25" t="str">
        <f>CONCATENATE('Ingest Template'!F263)</f>
        <v/>
      </c>
      <c r="S264" s="43" t="s">
        <v>160</v>
      </c>
      <c r="T264" s="25" t="str">
        <f>'Ingest Template'!W263</f>
        <v/>
      </c>
      <c r="U264" s="25"/>
      <c r="V264" s="25" t="str">
        <f>LOWER(SUBSTITUTE(SUBSTITUTE(SUBSTITUTE(SUBSTITUTE(SUBSTITUTE('Ingest Template'!Y263,"https:",""),"www.",""),"/",""),"?hl=en",""),"instagram.com",""))</f>
        <v/>
      </c>
      <c r="W264" s="34" t="str">
        <f>(IFERROR(vlookup('Ingest Template'!F264,DropDown!D:E,2,false)&amp;'Ingest Template'!C264,""))</f>
        <v/>
      </c>
      <c r="X264" s="25" t="str">
        <f>'Ingest Template'!AA263</f>
        <v/>
      </c>
      <c r="Y264" s="25"/>
      <c r="Z264" s="25"/>
      <c r="AA264" s="25"/>
      <c r="AB264" s="25" t="str">
        <f>'Ingest Template'!T263</f>
        <v/>
      </c>
      <c r="AC264" s="25"/>
      <c r="AD264" s="25" t="str">
        <f>'Ingest Template'!U263</f>
        <v/>
      </c>
      <c r="AE264" s="25" t="str">
        <f>'Ingest Template'!V263</f>
        <v/>
      </c>
      <c r="AF264" s="25"/>
      <c r="AG264" s="25" t="str">
        <f t="array" ref="AG264">IF('Ingest Template'!A263="Standard",(CONCATENATE(IF(ISBLANK('Ingest Template'!O263),"", 'Ingest Template'!O263&amp;"|DAR"),CHAR(10), IF(ISBLANK('Ingest Template'!P263),"", 'Ingest Template'!P263&amp;"|DAR"),CHAR(10), IF(ISBLANK('Ingest Template'!Q263),"", 'Ingest Template'!Q263&amp;"|DAR"))),(CONCATENATE(IF(ISBLANK('Ingest Template'!O263),"", 'Ingest Template'!O263&amp;"|Operations - Core Title"),CHAR(10), IF(ISBLANK('Ingest Template'!P263),"", 'Ingest Template'!P263&amp;"|Operations - Core Title"),CHAR(10), IF(ISBLANK('Ingest Template'!Q263),"", 'Ingest Template'!Q263&amp;"|Operations - Core Title"))))</f>
        <v>#|Operations - Core Title
#videoGame|Operations - Core Title
</v>
      </c>
      <c r="AH264" s="25"/>
      <c r="AI264" s="25"/>
      <c r="AJ264" s="50" t="str">
        <f>if('Ingest Template'!A263="Standard",'Ingest Template'!R263&amp; "|DAR|DAR|2021-01-01",'Ingest Template'!R263&amp; "|Operations - Core Title|Operations - Core Title")</f>
        <v>#N/A</v>
      </c>
      <c r="AK264" s="25"/>
      <c r="AL264" s="25" t="str">
        <f>if('Ingest Template'!A263="Standard",'Ingest Template'!S263&amp; "|2021-01-01",'Ingest Template'!S263)</f>
        <v>#N/A</v>
      </c>
      <c r="AM264" s="25"/>
    </row>
    <row r="265">
      <c r="A265" s="25"/>
      <c r="B265" s="25" t="str">
        <f>'Ingest Template'!C264&amp;IF('Ingest Template'!A264 = "Standard", " - DAR","")</f>
        <v/>
      </c>
      <c r="C265" s="34" t="s">
        <v>92</v>
      </c>
      <c r="D265" s="34" t="str">
        <f>CONCATENATE('Ingest Template'!E265&amp;Char(10)&amp;'Ingest Template'!G265&amp;Char(10)&amp;'Ingest Template'!H265&amp;Char(10)&amp;'Ingest Template'!I265&amp;Char(10)&amp;'Ingest Template'!J265&amp;Char(10)&amp;'Ingest Template'!K265&amp;Char(10)&amp;'Ingest Template'!L265)</f>
        <v>
</v>
      </c>
      <c r="E265" s="25" t="str">
        <f>('Ingest Template'!M265)</f>
        <v/>
      </c>
      <c r="F265" s="40" t="str">
        <f t="array" ref="F265">INDEX(DropDown!$J$2:$J$63,MATCH(1,COUNTIF(E265,DropDown!$I$2:$I$63),0))</f>
        <v>#N/A</v>
      </c>
      <c r="G265" s="25"/>
      <c r="H265" s="25"/>
      <c r="I265" s="25"/>
      <c r="J265" s="25" t="str">
        <f>'Ingest Template'!B265</f>
        <v/>
      </c>
      <c r="K265" s="25" t="str">
        <f>IF('Ingest Template'!A264="Standard",'Ingest Template'!N264,"Competitive View")</f>
        <v>Competitive View</v>
      </c>
      <c r="L265" s="41" t="s">
        <v>145</v>
      </c>
      <c r="M265" s="25" t="str">
        <f>'Ingest Template'!D264</f>
        <v/>
      </c>
      <c r="N265" s="25"/>
      <c r="O265" s="25"/>
      <c r="P265" s="25"/>
      <c r="Q265" s="25"/>
      <c r="R265" s="25" t="str">
        <f>CONCATENATE('Ingest Template'!F264)</f>
        <v/>
      </c>
      <c r="S265" s="43" t="s">
        <v>160</v>
      </c>
      <c r="T265" s="25" t="str">
        <f>'Ingest Template'!W264</f>
        <v/>
      </c>
      <c r="U265" s="25"/>
      <c r="V265" s="25" t="str">
        <f>LOWER(SUBSTITUTE(SUBSTITUTE(SUBSTITUTE(SUBSTITUTE(SUBSTITUTE('Ingest Template'!Y264,"https:",""),"www.",""),"/",""),"?hl=en",""),"instagram.com",""))</f>
        <v/>
      </c>
      <c r="W265" s="34" t="str">
        <f>(IFERROR(vlookup('Ingest Template'!F265,DropDown!D:E,2,false)&amp;'Ingest Template'!C265,""))</f>
        <v/>
      </c>
      <c r="X265" s="25" t="str">
        <f>'Ingest Template'!AA264</f>
        <v/>
      </c>
      <c r="Y265" s="25"/>
      <c r="Z265" s="25"/>
      <c r="AA265" s="25"/>
      <c r="AB265" s="25" t="str">
        <f>'Ingest Template'!T264</f>
        <v/>
      </c>
      <c r="AC265" s="25"/>
      <c r="AD265" s="25" t="str">
        <f>'Ingest Template'!U264</f>
        <v/>
      </c>
      <c r="AE265" s="25" t="str">
        <f>'Ingest Template'!V264</f>
        <v/>
      </c>
      <c r="AF265" s="25"/>
      <c r="AG265" s="25" t="str">
        <f t="array" ref="AG265">IF('Ingest Template'!A264="Standard",(CONCATENATE(IF(ISBLANK('Ingest Template'!O264),"", 'Ingest Template'!O264&amp;"|DAR"),CHAR(10), IF(ISBLANK('Ingest Template'!P264),"", 'Ingest Template'!P264&amp;"|DAR"),CHAR(10), IF(ISBLANK('Ingest Template'!Q264),"", 'Ingest Template'!Q264&amp;"|DAR"))),(CONCATENATE(IF(ISBLANK('Ingest Template'!O264),"", 'Ingest Template'!O264&amp;"|Operations - Core Title"),CHAR(10), IF(ISBLANK('Ingest Template'!P264),"", 'Ingest Template'!P264&amp;"|Operations - Core Title"),CHAR(10), IF(ISBLANK('Ingest Template'!Q264),"", 'Ingest Template'!Q264&amp;"|Operations - Core Title"))))</f>
        <v>#|Operations - Core Title
#videoGame|Operations - Core Title
</v>
      </c>
      <c r="AH265" s="25"/>
      <c r="AI265" s="25"/>
      <c r="AJ265" s="50" t="str">
        <f>if('Ingest Template'!A264="Standard",'Ingest Template'!R264&amp; "|DAR|DAR|2021-01-01",'Ingest Template'!R264&amp; "|Operations - Core Title|Operations - Core Title")</f>
        <v>#N/A</v>
      </c>
      <c r="AK265" s="25"/>
      <c r="AL265" s="25" t="str">
        <f>if('Ingest Template'!A264="Standard",'Ingest Template'!S264&amp; "|2021-01-01",'Ingest Template'!S264)</f>
        <v>#N/A</v>
      </c>
      <c r="AM265" s="25"/>
    </row>
    <row r="266">
      <c r="A266" s="25"/>
      <c r="B266" s="25" t="str">
        <f>'Ingest Template'!C265&amp;IF('Ingest Template'!A265 = "Standard", " - DAR","")</f>
        <v/>
      </c>
      <c r="C266" s="34" t="s">
        <v>92</v>
      </c>
      <c r="D266" s="34" t="str">
        <f>CONCATENATE('Ingest Template'!E266&amp;Char(10)&amp;'Ingest Template'!G266&amp;Char(10)&amp;'Ingest Template'!H266&amp;Char(10)&amp;'Ingest Template'!I266&amp;Char(10)&amp;'Ingest Template'!J266&amp;Char(10)&amp;'Ingest Template'!K266&amp;Char(10)&amp;'Ingest Template'!L266)</f>
        <v>
</v>
      </c>
      <c r="E266" s="25" t="str">
        <f>('Ingest Template'!M266)</f>
        <v/>
      </c>
      <c r="F266" s="40" t="str">
        <f t="array" ref="F266">INDEX(DropDown!$J$2:$J$63,MATCH(1,COUNTIF(E266,DropDown!$I$2:$I$63),0))</f>
        <v>#N/A</v>
      </c>
      <c r="G266" s="25"/>
      <c r="H266" s="25"/>
      <c r="I266" s="25"/>
      <c r="J266" s="25" t="str">
        <f>'Ingest Template'!B266</f>
        <v/>
      </c>
      <c r="K266" s="25" t="str">
        <f>IF('Ingest Template'!A265="Standard",'Ingest Template'!N265,"Competitive View")</f>
        <v>Competitive View</v>
      </c>
      <c r="L266" s="41" t="s">
        <v>145</v>
      </c>
      <c r="M266" s="25" t="str">
        <f>'Ingest Template'!D265</f>
        <v/>
      </c>
      <c r="N266" s="25"/>
      <c r="O266" s="25"/>
      <c r="P266" s="25"/>
      <c r="Q266" s="25"/>
      <c r="R266" s="25" t="str">
        <f>CONCATENATE('Ingest Template'!F265)</f>
        <v/>
      </c>
      <c r="S266" s="43" t="s">
        <v>160</v>
      </c>
      <c r="T266" s="25" t="str">
        <f>'Ingest Template'!W265</f>
        <v/>
      </c>
      <c r="U266" s="25"/>
      <c r="V266" s="25" t="str">
        <f>LOWER(SUBSTITUTE(SUBSTITUTE(SUBSTITUTE(SUBSTITUTE(SUBSTITUTE('Ingest Template'!Y265,"https:",""),"www.",""),"/",""),"?hl=en",""),"instagram.com",""))</f>
        <v/>
      </c>
      <c r="W266" s="34" t="str">
        <f>(IFERROR(vlookup('Ingest Template'!F266,DropDown!D:E,2,false)&amp;'Ingest Template'!C266,""))</f>
        <v/>
      </c>
      <c r="X266" s="25" t="str">
        <f>'Ingest Template'!AA265</f>
        <v/>
      </c>
      <c r="Y266" s="25"/>
      <c r="Z266" s="25"/>
      <c r="AA266" s="25"/>
      <c r="AB266" s="25" t="str">
        <f>'Ingest Template'!T265</f>
        <v/>
      </c>
      <c r="AC266" s="25"/>
      <c r="AD266" s="25" t="str">
        <f>'Ingest Template'!U265</f>
        <v/>
      </c>
      <c r="AE266" s="25" t="str">
        <f>'Ingest Template'!V265</f>
        <v/>
      </c>
      <c r="AF266" s="25"/>
      <c r="AG266" s="25" t="str">
        <f t="array" ref="AG266">IF('Ingest Template'!A265="Standard",(CONCATENATE(IF(ISBLANK('Ingest Template'!O265),"", 'Ingest Template'!O265&amp;"|DAR"),CHAR(10), IF(ISBLANK('Ingest Template'!P265),"", 'Ingest Template'!P265&amp;"|DAR"),CHAR(10), IF(ISBLANK('Ingest Template'!Q265),"", 'Ingest Template'!Q265&amp;"|DAR"))),(CONCATENATE(IF(ISBLANK('Ingest Template'!O265),"", 'Ingest Template'!O265&amp;"|Operations - Core Title"),CHAR(10), IF(ISBLANK('Ingest Template'!P265),"", 'Ingest Template'!P265&amp;"|Operations - Core Title"),CHAR(10), IF(ISBLANK('Ingest Template'!Q265),"", 'Ingest Template'!Q265&amp;"|Operations - Core Title"))))</f>
        <v>#|Operations - Core Title
#videoGame|Operations - Core Title
</v>
      </c>
      <c r="AH266" s="25"/>
      <c r="AI266" s="25"/>
      <c r="AJ266" s="50" t="str">
        <f>if('Ingest Template'!A265="Standard",'Ingest Template'!R265&amp; "|DAR|DAR|2021-01-01",'Ingest Template'!R265&amp; "|Operations - Core Title|Operations - Core Title")</f>
        <v>#N/A</v>
      </c>
      <c r="AK266" s="25"/>
      <c r="AL266" s="25" t="str">
        <f>if('Ingest Template'!A265="Standard",'Ingest Template'!S265&amp; "|2021-01-01",'Ingest Template'!S265)</f>
        <v>#N/A</v>
      </c>
      <c r="AM266" s="25"/>
    </row>
    <row r="267">
      <c r="A267" s="25"/>
      <c r="B267" s="25" t="str">
        <f>'Ingest Template'!C266&amp;IF('Ingest Template'!A266 = "Standard", " - DAR","")</f>
        <v/>
      </c>
      <c r="C267" s="34" t="s">
        <v>92</v>
      </c>
      <c r="D267" s="34" t="str">
        <f>CONCATENATE('Ingest Template'!E267&amp;Char(10)&amp;'Ingest Template'!G267&amp;Char(10)&amp;'Ingest Template'!H267&amp;Char(10)&amp;'Ingest Template'!I267&amp;Char(10)&amp;'Ingest Template'!J267&amp;Char(10)&amp;'Ingest Template'!K267&amp;Char(10)&amp;'Ingest Template'!L267)</f>
        <v>
</v>
      </c>
      <c r="E267" s="25" t="str">
        <f>('Ingest Template'!M267)</f>
        <v/>
      </c>
      <c r="F267" s="40" t="str">
        <f t="array" ref="F267">INDEX(DropDown!$J$2:$J$63,MATCH(1,COUNTIF(E267,DropDown!$I$2:$I$63),0))</f>
        <v>#N/A</v>
      </c>
      <c r="G267" s="25"/>
      <c r="H267" s="25"/>
      <c r="I267" s="25"/>
      <c r="J267" s="25" t="str">
        <f>'Ingest Template'!B267</f>
        <v/>
      </c>
      <c r="K267" s="25" t="str">
        <f>IF('Ingest Template'!A266="Standard",'Ingest Template'!N266,"Competitive View")</f>
        <v>Competitive View</v>
      </c>
      <c r="L267" s="41" t="s">
        <v>145</v>
      </c>
      <c r="M267" s="25" t="str">
        <f>'Ingest Template'!D266</f>
        <v/>
      </c>
      <c r="N267" s="25"/>
      <c r="O267" s="25"/>
      <c r="P267" s="25"/>
      <c r="Q267" s="25"/>
      <c r="R267" s="25" t="str">
        <f>CONCATENATE('Ingest Template'!F266)</f>
        <v/>
      </c>
      <c r="S267" s="43" t="s">
        <v>160</v>
      </c>
      <c r="T267" s="25" t="str">
        <f>'Ingest Template'!W266</f>
        <v/>
      </c>
      <c r="U267" s="25"/>
      <c r="V267" s="25" t="str">
        <f>LOWER(SUBSTITUTE(SUBSTITUTE(SUBSTITUTE(SUBSTITUTE(SUBSTITUTE('Ingest Template'!Y266,"https:",""),"www.",""),"/",""),"?hl=en",""),"instagram.com",""))</f>
        <v/>
      </c>
      <c r="W267" s="34" t="str">
        <f>(IFERROR(vlookup('Ingest Template'!F267,DropDown!D:E,2,false)&amp;'Ingest Template'!C267,""))</f>
        <v/>
      </c>
      <c r="X267" s="25" t="str">
        <f>'Ingest Template'!AA266</f>
        <v/>
      </c>
      <c r="Y267" s="25"/>
      <c r="Z267" s="25"/>
      <c r="AA267" s="25"/>
      <c r="AB267" s="25" t="str">
        <f>'Ingest Template'!T266</f>
        <v/>
      </c>
      <c r="AC267" s="25"/>
      <c r="AD267" s="25" t="str">
        <f>'Ingest Template'!U266</f>
        <v/>
      </c>
      <c r="AE267" s="25" t="str">
        <f>'Ingest Template'!V266</f>
        <v/>
      </c>
      <c r="AF267" s="25"/>
      <c r="AG267" s="25" t="str">
        <f t="array" ref="AG267">IF('Ingest Template'!A266="Standard",(CONCATENATE(IF(ISBLANK('Ingest Template'!O266),"", 'Ingest Template'!O266&amp;"|DAR"),CHAR(10), IF(ISBLANK('Ingest Template'!P266),"", 'Ingest Template'!P266&amp;"|DAR"),CHAR(10), IF(ISBLANK('Ingest Template'!Q266),"", 'Ingest Template'!Q266&amp;"|DAR"))),(CONCATENATE(IF(ISBLANK('Ingest Template'!O266),"", 'Ingest Template'!O266&amp;"|Operations - Core Title"),CHAR(10), IF(ISBLANK('Ingest Template'!P266),"", 'Ingest Template'!P266&amp;"|Operations - Core Title"),CHAR(10), IF(ISBLANK('Ingest Template'!Q266),"", 'Ingest Template'!Q266&amp;"|Operations - Core Title"))))</f>
        <v>#|Operations - Core Title
#videoGame|Operations - Core Title
</v>
      </c>
      <c r="AH267" s="25"/>
      <c r="AI267" s="25"/>
      <c r="AJ267" s="50" t="str">
        <f>if('Ingest Template'!A266="Standard",'Ingest Template'!R266&amp; "|DAR|DAR|2021-01-01",'Ingest Template'!R266&amp; "|Operations - Core Title|Operations - Core Title")</f>
        <v>#N/A</v>
      </c>
      <c r="AK267" s="25"/>
      <c r="AL267" s="25" t="str">
        <f>if('Ingest Template'!A266="Standard",'Ingest Template'!S266&amp; "|2021-01-01",'Ingest Template'!S266)</f>
        <v>#N/A</v>
      </c>
      <c r="AM267" s="25"/>
    </row>
    <row r="268">
      <c r="A268" s="25"/>
      <c r="B268" s="25" t="str">
        <f>'Ingest Template'!C267&amp;IF('Ingest Template'!A267 = "Standard", " - DAR","")</f>
        <v/>
      </c>
      <c r="C268" s="34" t="s">
        <v>92</v>
      </c>
      <c r="D268" s="34" t="str">
        <f>CONCATENATE('Ingest Template'!E268&amp;Char(10)&amp;'Ingest Template'!G268&amp;Char(10)&amp;'Ingest Template'!H268&amp;Char(10)&amp;'Ingest Template'!I268&amp;Char(10)&amp;'Ingest Template'!J268&amp;Char(10)&amp;'Ingest Template'!K268&amp;Char(10)&amp;'Ingest Template'!L268)</f>
        <v>
</v>
      </c>
      <c r="E268" s="25" t="str">
        <f>('Ingest Template'!M268)</f>
        <v/>
      </c>
      <c r="F268" s="40" t="str">
        <f t="array" ref="F268">INDEX(DropDown!$J$2:$J$63,MATCH(1,COUNTIF(E268,DropDown!$I$2:$I$63),0))</f>
        <v>#N/A</v>
      </c>
      <c r="G268" s="25"/>
      <c r="H268" s="25"/>
      <c r="I268" s="25"/>
      <c r="J268" s="25" t="str">
        <f>'Ingest Template'!B268</f>
        <v/>
      </c>
      <c r="K268" s="25" t="str">
        <f>IF('Ingest Template'!A267="Standard",'Ingest Template'!N267,"Competitive View")</f>
        <v>Competitive View</v>
      </c>
      <c r="L268" s="41" t="s">
        <v>145</v>
      </c>
      <c r="M268" s="25" t="str">
        <f>'Ingest Template'!D267</f>
        <v/>
      </c>
      <c r="N268" s="25"/>
      <c r="O268" s="25"/>
      <c r="P268" s="25"/>
      <c r="Q268" s="25"/>
      <c r="R268" s="25" t="str">
        <f>CONCATENATE('Ingest Template'!F267)</f>
        <v/>
      </c>
      <c r="S268" s="43" t="s">
        <v>160</v>
      </c>
      <c r="T268" s="25" t="str">
        <f>'Ingest Template'!W267</f>
        <v/>
      </c>
      <c r="U268" s="25"/>
      <c r="V268" s="25" t="str">
        <f>LOWER(SUBSTITUTE(SUBSTITUTE(SUBSTITUTE(SUBSTITUTE(SUBSTITUTE('Ingest Template'!Y267,"https:",""),"www.",""),"/",""),"?hl=en",""),"instagram.com",""))</f>
        <v/>
      </c>
      <c r="W268" s="34" t="str">
        <f>(IFERROR(vlookup('Ingest Template'!F268,DropDown!D:E,2,false)&amp;'Ingest Template'!C268,""))</f>
        <v/>
      </c>
      <c r="X268" s="25" t="str">
        <f>'Ingest Template'!AA267</f>
        <v/>
      </c>
      <c r="Y268" s="25"/>
      <c r="Z268" s="25"/>
      <c r="AA268" s="25"/>
      <c r="AB268" s="25" t="str">
        <f>'Ingest Template'!T267</f>
        <v/>
      </c>
      <c r="AC268" s="25"/>
      <c r="AD268" s="25" t="str">
        <f>'Ingest Template'!U267</f>
        <v/>
      </c>
      <c r="AE268" s="25" t="str">
        <f>'Ingest Template'!V267</f>
        <v/>
      </c>
      <c r="AF268" s="25"/>
      <c r="AG268" s="25" t="str">
        <f t="array" ref="AG268">IF('Ingest Template'!A267="Standard",(CONCATENATE(IF(ISBLANK('Ingest Template'!O267),"", 'Ingest Template'!O267&amp;"|DAR"),CHAR(10), IF(ISBLANK('Ingest Template'!P267),"", 'Ingest Template'!P267&amp;"|DAR"),CHAR(10), IF(ISBLANK('Ingest Template'!Q267),"", 'Ingest Template'!Q267&amp;"|DAR"))),(CONCATENATE(IF(ISBLANK('Ingest Template'!O267),"", 'Ingest Template'!O267&amp;"|Operations - Core Title"),CHAR(10), IF(ISBLANK('Ingest Template'!P267),"", 'Ingest Template'!P267&amp;"|Operations - Core Title"),CHAR(10), IF(ISBLANK('Ingest Template'!Q267),"", 'Ingest Template'!Q267&amp;"|Operations - Core Title"))))</f>
        <v>#|Operations - Core Title
#videoGame|Operations - Core Title
</v>
      </c>
      <c r="AH268" s="25"/>
      <c r="AI268" s="25"/>
      <c r="AJ268" s="50" t="str">
        <f>if('Ingest Template'!A267="Standard",'Ingest Template'!R267&amp; "|DAR|DAR|2021-01-01",'Ingest Template'!R267&amp; "|Operations - Core Title|Operations - Core Title")</f>
        <v>#N/A</v>
      </c>
      <c r="AK268" s="25"/>
      <c r="AL268" s="25" t="str">
        <f>if('Ingest Template'!A267="Standard",'Ingest Template'!S267&amp; "|2021-01-01",'Ingest Template'!S267)</f>
        <v>#N/A</v>
      </c>
      <c r="AM268" s="25"/>
    </row>
    <row r="269">
      <c r="A269" s="25"/>
      <c r="B269" s="25" t="str">
        <f>'Ingest Template'!C268&amp;IF('Ingest Template'!A268 = "Standard", " - DAR","")</f>
        <v/>
      </c>
      <c r="C269" s="34" t="s">
        <v>92</v>
      </c>
      <c r="D269" s="34" t="str">
        <f>CONCATENATE('Ingest Template'!E269&amp;Char(10)&amp;'Ingest Template'!G269&amp;Char(10)&amp;'Ingest Template'!H269&amp;Char(10)&amp;'Ingest Template'!I269&amp;Char(10)&amp;'Ingest Template'!J269&amp;Char(10)&amp;'Ingest Template'!K269&amp;Char(10)&amp;'Ingest Template'!L269)</f>
        <v>
</v>
      </c>
      <c r="E269" s="25" t="str">
        <f>('Ingest Template'!M269)</f>
        <v/>
      </c>
      <c r="F269" s="40" t="str">
        <f t="array" ref="F269">INDEX(DropDown!$J$2:$J$63,MATCH(1,COUNTIF(E269,DropDown!$I$2:$I$63),0))</f>
        <v>#N/A</v>
      </c>
      <c r="G269" s="25"/>
      <c r="H269" s="25"/>
      <c r="I269" s="25"/>
      <c r="J269" s="25" t="str">
        <f>'Ingest Template'!B269</f>
        <v/>
      </c>
      <c r="K269" s="25" t="str">
        <f>IF('Ingest Template'!A268="Standard",'Ingest Template'!N268,"Competitive View")</f>
        <v>Competitive View</v>
      </c>
      <c r="L269" s="41" t="s">
        <v>145</v>
      </c>
      <c r="M269" s="25" t="str">
        <f>'Ingest Template'!D268</f>
        <v/>
      </c>
      <c r="N269" s="25"/>
      <c r="O269" s="25"/>
      <c r="P269" s="25"/>
      <c r="Q269" s="25"/>
      <c r="R269" s="25" t="str">
        <f>CONCATENATE('Ingest Template'!F268)</f>
        <v/>
      </c>
      <c r="S269" s="43" t="s">
        <v>160</v>
      </c>
      <c r="T269" s="25" t="str">
        <f>'Ingest Template'!W268</f>
        <v/>
      </c>
      <c r="U269" s="25"/>
      <c r="V269" s="25" t="str">
        <f>LOWER(SUBSTITUTE(SUBSTITUTE(SUBSTITUTE(SUBSTITUTE(SUBSTITUTE('Ingest Template'!Y268,"https:",""),"www.",""),"/",""),"?hl=en",""),"instagram.com",""))</f>
        <v/>
      </c>
      <c r="W269" s="34" t="str">
        <f>(IFERROR(vlookup('Ingest Template'!F269,DropDown!D:E,2,false)&amp;'Ingest Template'!C269,""))</f>
        <v/>
      </c>
      <c r="X269" s="25" t="str">
        <f>'Ingest Template'!AA268</f>
        <v/>
      </c>
      <c r="Y269" s="25"/>
      <c r="Z269" s="25"/>
      <c r="AA269" s="25"/>
      <c r="AB269" s="25" t="str">
        <f>'Ingest Template'!T268</f>
        <v/>
      </c>
      <c r="AC269" s="25"/>
      <c r="AD269" s="25" t="str">
        <f>'Ingest Template'!U268</f>
        <v/>
      </c>
      <c r="AE269" s="25" t="str">
        <f>'Ingest Template'!V268</f>
        <v/>
      </c>
      <c r="AF269" s="25"/>
      <c r="AG269" s="25" t="str">
        <f t="array" ref="AG269">IF('Ingest Template'!A268="Standard",(CONCATENATE(IF(ISBLANK('Ingest Template'!O268),"", 'Ingest Template'!O268&amp;"|DAR"),CHAR(10), IF(ISBLANK('Ingest Template'!P268),"", 'Ingest Template'!P268&amp;"|DAR"),CHAR(10), IF(ISBLANK('Ingest Template'!Q268),"", 'Ingest Template'!Q268&amp;"|DAR"))),(CONCATENATE(IF(ISBLANK('Ingest Template'!O268),"", 'Ingest Template'!O268&amp;"|Operations - Core Title"),CHAR(10), IF(ISBLANK('Ingest Template'!P268),"", 'Ingest Template'!P268&amp;"|Operations - Core Title"),CHAR(10), IF(ISBLANK('Ingest Template'!Q268),"", 'Ingest Template'!Q268&amp;"|Operations - Core Title"))))</f>
        <v>#|Operations - Core Title
#videoGame|Operations - Core Title
</v>
      </c>
      <c r="AH269" s="25"/>
      <c r="AI269" s="25"/>
      <c r="AJ269" s="50" t="str">
        <f>if('Ingest Template'!A268="Standard",'Ingest Template'!R268&amp; "|DAR|DAR|2021-01-01",'Ingest Template'!R268&amp; "|Operations - Core Title|Operations - Core Title")</f>
        <v>#N/A</v>
      </c>
      <c r="AK269" s="25"/>
      <c r="AL269" s="25" t="str">
        <f>if('Ingest Template'!A268="Standard",'Ingest Template'!S268&amp; "|2021-01-01",'Ingest Template'!S268)</f>
        <v>#N/A</v>
      </c>
      <c r="AM269" s="25"/>
    </row>
    <row r="270">
      <c r="A270" s="25"/>
      <c r="B270" s="25" t="str">
        <f>'Ingest Template'!C269&amp;IF('Ingest Template'!A269 = "Standard", " - DAR","")</f>
        <v/>
      </c>
      <c r="C270" s="34" t="s">
        <v>92</v>
      </c>
      <c r="D270" s="34" t="str">
        <f>CONCATENATE('Ingest Template'!E270&amp;Char(10)&amp;'Ingest Template'!G270&amp;Char(10)&amp;'Ingest Template'!H270&amp;Char(10)&amp;'Ingest Template'!I270&amp;Char(10)&amp;'Ingest Template'!J270&amp;Char(10)&amp;'Ingest Template'!K270&amp;Char(10)&amp;'Ingest Template'!L270)</f>
        <v>
</v>
      </c>
      <c r="E270" s="25" t="str">
        <f>('Ingest Template'!M270)</f>
        <v/>
      </c>
      <c r="F270" s="40" t="str">
        <f t="array" ref="F270">INDEX(DropDown!$J$2:$J$63,MATCH(1,COUNTIF(E270,DropDown!$I$2:$I$63),0))</f>
        <v>#N/A</v>
      </c>
      <c r="G270" s="25"/>
      <c r="H270" s="25"/>
      <c r="I270" s="25"/>
      <c r="J270" s="25" t="str">
        <f>'Ingest Template'!B270</f>
        <v/>
      </c>
      <c r="K270" s="25" t="str">
        <f>IF('Ingest Template'!A269="Standard",'Ingest Template'!N269,"Competitive View")</f>
        <v>Competitive View</v>
      </c>
      <c r="L270" s="41" t="s">
        <v>145</v>
      </c>
      <c r="M270" s="25" t="str">
        <f>'Ingest Template'!D269</f>
        <v/>
      </c>
      <c r="N270" s="25"/>
      <c r="O270" s="25"/>
      <c r="P270" s="25"/>
      <c r="Q270" s="25"/>
      <c r="R270" s="25" t="str">
        <f>CONCATENATE('Ingest Template'!F269)</f>
        <v/>
      </c>
      <c r="S270" s="43" t="s">
        <v>160</v>
      </c>
      <c r="T270" s="25" t="str">
        <f>'Ingest Template'!W269</f>
        <v/>
      </c>
      <c r="U270" s="25"/>
      <c r="V270" s="25" t="str">
        <f>LOWER(SUBSTITUTE(SUBSTITUTE(SUBSTITUTE(SUBSTITUTE(SUBSTITUTE('Ingest Template'!Y269,"https:",""),"www.",""),"/",""),"?hl=en",""),"instagram.com",""))</f>
        <v/>
      </c>
      <c r="W270" s="34" t="str">
        <f>(IFERROR(vlookup('Ingest Template'!F270,DropDown!D:E,2,false)&amp;'Ingest Template'!C270,""))</f>
        <v/>
      </c>
      <c r="X270" s="25" t="str">
        <f>'Ingest Template'!AA269</f>
        <v/>
      </c>
      <c r="Y270" s="25"/>
      <c r="Z270" s="25"/>
      <c r="AA270" s="25"/>
      <c r="AB270" s="25" t="str">
        <f>'Ingest Template'!T269</f>
        <v/>
      </c>
      <c r="AC270" s="25"/>
      <c r="AD270" s="25" t="str">
        <f>'Ingest Template'!U269</f>
        <v/>
      </c>
      <c r="AE270" s="25" t="str">
        <f>'Ingest Template'!V269</f>
        <v/>
      </c>
      <c r="AF270" s="25"/>
      <c r="AG270" s="25" t="str">
        <f t="array" ref="AG270">IF('Ingest Template'!A269="Standard",(CONCATENATE(IF(ISBLANK('Ingest Template'!O269),"", 'Ingest Template'!O269&amp;"|DAR"),CHAR(10), IF(ISBLANK('Ingest Template'!P269),"", 'Ingest Template'!P269&amp;"|DAR"),CHAR(10), IF(ISBLANK('Ingest Template'!Q269),"", 'Ingest Template'!Q269&amp;"|DAR"))),(CONCATENATE(IF(ISBLANK('Ingest Template'!O269),"", 'Ingest Template'!O269&amp;"|Operations - Core Title"),CHAR(10), IF(ISBLANK('Ingest Template'!P269),"", 'Ingest Template'!P269&amp;"|Operations - Core Title"),CHAR(10), IF(ISBLANK('Ingest Template'!Q269),"", 'Ingest Template'!Q269&amp;"|Operations - Core Title"))))</f>
        <v>#|Operations - Core Title
#videoGame|Operations - Core Title
</v>
      </c>
      <c r="AH270" s="25"/>
      <c r="AI270" s="25"/>
      <c r="AJ270" s="50" t="str">
        <f>if('Ingest Template'!A269="Standard",'Ingest Template'!R269&amp; "|DAR|DAR|2021-01-01",'Ingest Template'!R269&amp; "|Operations - Core Title|Operations - Core Title")</f>
        <v>#N/A</v>
      </c>
      <c r="AK270" s="25"/>
      <c r="AL270" s="25" t="str">
        <f>if('Ingest Template'!A269="Standard",'Ingest Template'!S269&amp; "|2021-01-01",'Ingest Template'!S269)</f>
        <v>#N/A</v>
      </c>
      <c r="AM270" s="25"/>
    </row>
    <row r="271">
      <c r="A271" s="25"/>
      <c r="B271" s="25" t="str">
        <f>'Ingest Template'!C270&amp;IF('Ingest Template'!A270 = "Standard", " - DAR","")</f>
        <v/>
      </c>
      <c r="C271" s="34" t="s">
        <v>92</v>
      </c>
      <c r="D271" s="34" t="str">
        <f>CONCATENATE('Ingest Template'!E271&amp;Char(10)&amp;'Ingest Template'!G271&amp;Char(10)&amp;'Ingest Template'!H271&amp;Char(10)&amp;'Ingest Template'!I271&amp;Char(10)&amp;'Ingest Template'!J271&amp;Char(10)&amp;'Ingest Template'!K271&amp;Char(10)&amp;'Ingest Template'!L271)</f>
        <v>
</v>
      </c>
      <c r="E271" s="25" t="str">
        <f>('Ingest Template'!M271)</f>
        <v/>
      </c>
      <c r="F271" s="40" t="str">
        <f t="array" ref="F271">INDEX(DropDown!$J$2:$J$63,MATCH(1,COUNTIF(E271,DropDown!$I$2:$I$63),0))</f>
        <v>#N/A</v>
      </c>
      <c r="G271" s="25"/>
      <c r="H271" s="25"/>
      <c r="I271" s="25"/>
      <c r="J271" s="25" t="str">
        <f>'Ingest Template'!B271</f>
        <v/>
      </c>
      <c r="K271" s="25" t="str">
        <f>IF('Ingest Template'!A270="Standard",'Ingest Template'!N270,"Competitive View")</f>
        <v>Competitive View</v>
      </c>
      <c r="L271" s="41" t="s">
        <v>145</v>
      </c>
      <c r="M271" s="25" t="str">
        <f>'Ingest Template'!D270</f>
        <v/>
      </c>
      <c r="N271" s="25"/>
      <c r="O271" s="25"/>
      <c r="P271" s="25"/>
      <c r="Q271" s="25"/>
      <c r="R271" s="25" t="str">
        <f>CONCATENATE('Ingest Template'!F270)</f>
        <v/>
      </c>
      <c r="S271" s="43" t="s">
        <v>160</v>
      </c>
      <c r="T271" s="25" t="str">
        <f>'Ingest Template'!W270</f>
        <v/>
      </c>
      <c r="U271" s="25"/>
      <c r="V271" s="25" t="str">
        <f>LOWER(SUBSTITUTE(SUBSTITUTE(SUBSTITUTE(SUBSTITUTE(SUBSTITUTE('Ingest Template'!Y270,"https:",""),"www.",""),"/",""),"?hl=en",""),"instagram.com",""))</f>
        <v/>
      </c>
      <c r="W271" s="34" t="str">
        <f>(IFERROR(vlookup('Ingest Template'!F271,DropDown!D:E,2,false)&amp;'Ingest Template'!C271,""))</f>
        <v/>
      </c>
      <c r="X271" s="25" t="str">
        <f>'Ingest Template'!AA270</f>
        <v/>
      </c>
      <c r="Y271" s="25"/>
      <c r="Z271" s="25"/>
      <c r="AA271" s="25"/>
      <c r="AB271" s="25" t="str">
        <f>'Ingest Template'!T270</f>
        <v/>
      </c>
      <c r="AC271" s="25"/>
      <c r="AD271" s="25" t="str">
        <f>'Ingest Template'!U270</f>
        <v/>
      </c>
      <c r="AE271" s="25" t="str">
        <f>'Ingest Template'!V270</f>
        <v/>
      </c>
      <c r="AF271" s="25"/>
      <c r="AG271" s="25" t="str">
        <f t="array" ref="AG271">IF('Ingest Template'!A270="Standard",(CONCATENATE(IF(ISBLANK('Ingest Template'!O270),"", 'Ingest Template'!O270&amp;"|DAR"),CHAR(10), IF(ISBLANK('Ingest Template'!P270),"", 'Ingest Template'!P270&amp;"|DAR"),CHAR(10), IF(ISBLANK('Ingest Template'!Q270),"", 'Ingest Template'!Q270&amp;"|DAR"))),(CONCATENATE(IF(ISBLANK('Ingest Template'!O270),"", 'Ingest Template'!O270&amp;"|Operations - Core Title"),CHAR(10), IF(ISBLANK('Ingest Template'!P270),"", 'Ingest Template'!P270&amp;"|Operations - Core Title"),CHAR(10), IF(ISBLANK('Ingest Template'!Q270),"", 'Ingest Template'!Q270&amp;"|Operations - Core Title"))))</f>
        <v>#|Operations - Core Title
#videoGame|Operations - Core Title
</v>
      </c>
      <c r="AH271" s="25"/>
      <c r="AI271" s="25"/>
      <c r="AJ271" s="50" t="str">
        <f>if('Ingest Template'!A270="Standard",'Ingest Template'!R270&amp; "|DAR|DAR|2021-01-01",'Ingest Template'!R270&amp; "|Operations - Core Title|Operations - Core Title")</f>
        <v>#N/A</v>
      </c>
      <c r="AK271" s="25"/>
      <c r="AL271" s="25" t="str">
        <f>if('Ingest Template'!A270="Standard",'Ingest Template'!S270&amp; "|2021-01-01",'Ingest Template'!S270)</f>
        <v>#N/A</v>
      </c>
      <c r="AM271" s="25"/>
    </row>
    <row r="272">
      <c r="A272" s="25"/>
      <c r="B272" s="25" t="str">
        <f>'Ingest Template'!C271&amp;IF('Ingest Template'!A271 = "Standard", " - DAR","")</f>
        <v/>
      </c>
      <c r="C272" s="34" t="s">
        <v>92</v>
      </c>
      <c r="D272" s="34" t="str">
        <f>CONCATENATE('Ingest Template'!E272&amp;Char(10)&amp;'Ingest Template'!G272&amp;Char(10)&amp;'Ingest Template'!H272&amp;Char(10)&amp;'Ingest Template'!I272&amp;Char(10)&amp;'Ingest Template'!J272&amp;Char(10)&amp;'Ingest Template'!K272&amp;Char(10)&amp;'Ingest Template'!L272)</f>
        <v>
</v>
      </c>
      <c r="E272" s="25" t="str">
        <f>('Ingest Template'!M272)</f>
        <v/>
      </c>
      <c r="F272" s="40" t="str">
        <f t="array" ref="F272">INDEX(DropDown!$J$2:$J$63,MATCH(1,COUNTIF(E272,DropDown!$I$2:$I$63),0))</f>
        <v>#N/A</v>
      </c>
      <c r="G272" s="25"/>
      <c r="H272" s="25"/>
      <c r="I272" s="25"/>
      <c r="J272" s="25" t="str">
        <f>'Ingest Template'!B272</f>
        <v/>
      </c>
      <c r="K272" s="25" t="str">
        <f>IF('Ingest Template'!A271="Standard",'Ingest Template'!N271,"Competitive View")</f>
        <v>Competitive View</v>
      </c>
      <c r="L272" s="41" t="s">
        <v>145</v>
      </c>
      <c r="M272" s="25" t="str">
        <f>'Ingest Template'!D271</f>
        <v/>
      </c>
      <c r="N272" s="25"/>
      <c r="O272" s="25"/>
      <c r="P272" s="25"/>
      <c r="Q272" s="25"/>
      <c r="R272" s="25" t="str">
        <f>CONCATENATE('Ingest Template'!F271)</f>
        <v/>
      </c>
      <c r="S272" s="43" t="s">
        <v>160</v>
      </c>
      <c r="T272" s="25" t="str">
        <f>'Ingest Template'!W271</f>
        <v/>
      </c>
      <c r="U272" s="25"/>
      <c r="V272" s="25" t="str">
        <f>LOWER(SUBSTITUTE(SUBSTITUTE(SUBSTITUTE(SUBSTITUTE(SUBSTITUTE('Ingest Template'!Y271,"https:",""),"www.",""),"/",""),"?hl=en",""),"instagram.com",""))</f>
        <v/>
      </c>
      <c r="W272" s="34" t="str">
        <f>(IFERROR(vlookup('Ingest Template'!F272,DropDown!D:E,2,false)&amp;'Ingest Template'!C272,""))</f>
        <v/>
      </c>
      <c r="X272" s="25" t="str">
        <f>'Ingest Template'!AA271</f>
        <v/>
      </c>
      <c r="Y272" s="25"/>
      <c r="Z272" s="25"/>
      <c r="AA272" s="25"/>
      <c r="AB272" s="25" t="str">
        <f>'Ingest Template'!T271</f>
        <v/>
      </c>
      <c r="AC272" s="25"/>
      <c r="AD272" s="25" t="str">
        <f>'Ingest Template'!U271</f>
        <v/>
      </c>
      <c r="AE272" s="25" t="str">
        <f>'Ingest Template'!V271</f>
        <v/>
      </c>
      <c r="AF272" s="25"/>
      <c r="AG272" s="25" t="str">
        <f t="array" ref="AG272">IF('Ingest Template'!A271="Standard",(CONCATENATE(IF(ISBLANK('Ingest Template'!O271),"", 'Ingest Template'!O271&amp;"|DAR"),CHAR(10), IF(ISBLANK('Ingest Template'!P271),"", 'Ingest Template'!P271&amp;"|DAR"),CHAR(10), IF(ISBLANK('Ingest Template'!Q271),"", 'Ingest Template'!Q271&amp;"|DAR"))),(CONCATENATE(IF(ISBLANK('Ingest Template'!O271),"", 'Ingest Template'!O271&amp;"|Operations - Core Title"),CHAR(10), IF(ISBLANK('Ingest Template'!P271),"", 'Ingest Template'!P271&amp;"|Operations - Core Title"),CHAR(10), IF(ISBLANK('Ingest Template'!Q271),"", 'Ingest Template'!Q271&amp;"|Operations - Core Title"))))</f>
        <v>#|Operations - Core Title
#videoGame|Operations - Core Title
</v>
      </c>
      <c r="AH272" s="25"/>
      <c r="AI272" s="25"/>
      <c r="AJ272" s="50" t="str">
        <f>if('Ingest Template'!A271="Standard",'Ingest Template'!R271&amp; "|DAR|DAR|2021-01-01",'Ingest Template'!R271&amp; "|Operations - Core Title|Operations - Core Title")</f>
        <v>#N/A</v>
      </c>
      <c r="AK272" s="25"/>
      <c r="AL272" s="25" t="str">
        <f>if('Ingest Template'!A271="Standard",'Ingest Template'!S271&amp; "|2021-01-01",'Ingest Template'!S271)</f>
        <v>#N/A</v>
      </c>
      <c r="AM272" s="25"/>
    </row>
    <row r="273">
      <c r="A273" s="25"/>
      <c r="B273" s="25" t="str">
        <f>'Ingest Template'!C272&amp;IF('Ingest Template'!A272 = "Standard", " - DAR","")</f>
        <v/>
      </c>
      <c r="C273" s="34" t="s">
        <v>92</v>
      </c>
      <c r="D273" s="34" t="str">
        <f>CONCATENATE('Ingest Template'!E273&amp;Char(10)&amp;'Ingest Template'!G273&amp;Char(10)&amp;'Ingest Template'!H273&amp;Char(10)&amp;'Ingest Template'!I273&amp;Char(10)&amp;'Ingest Template'!J273&amp;Char(10)&amp;'Ingest Template'!K273&amp;Char(10)&amp;'Ingest Template'!L273)</f>
        <v>
</v>
      </c>
      <c r="E273" s="25" t="str">
        <f>('Ingest Template'!M273)</f>
        <v/>
      </c>
      <c r="F273" s="40" t="str">
        <f t="array" ref="F273">INDEX(DropDown!$J$2:$J$63,MATCH(1,COUNTIF(E273,DropDown!$I$2:$I$63),0))</f>
        <v>#N/A</v>
      </c>
      <c r="G273" s="25"/>
      <c r="H273" s="25"/>
      <c r="I273" s="25"/>
      <c r="J273" s="25" t="str">
        <f>'Ingest Template'!B273</f>
        <v/>
      </c>
      <c r="K273" s="25" t="str">
        <f>IF('Ingest Template'!A272="Standard",'Ingest Template'!N272,"Competitive View")</f>
        <v>Competitive View</v>
      </c>
      <c r="L273" s="41" t="s">
        <v>145</v>
      </c>
      <c r="M273" s="25" t="str">
        <f>'Ingest Template'!D272</f>
        <v/>
      </c>
      <c r="N273" s="25"/>
      <c r="O273" s="25"/>
      <c r="P273" s="25"/>
      <c r="Q273" s="25"/>
      <c r="R273" s="25" t="str">
        <f>CONCATENATE('Ingest Template'!F272)</f>
        <v/>
      </c>
      <c r="S273" s="43" t="s">
        <v>160</v>
      </c>
      <c r="T273" s="25" t="str">
        <f>'Ingest Template'!W272</f>
        <v/>
      </c>
      <c r="U273" s="25"/>
      <c r="V273" s="25" t="str">
        <f>LOWER(SUBSTITUTE(SUBSTITUTE(SUBSTITUTE(SUBSTITUTE(SUBSTITUTE('Ingest Template'!Y272,"https:",""),"www.",""),"/",""),"?hl=en",""),"instagram.com",""))</f>
        <v/>
      </c>
      <c r="W273" s="34" t="str">
        <f>(IFERROR(vlookup('Ingest Template'!F273,DropDown!D:E,2,false)&amp;'Ingest Template'!C273,""))</f>
        <v/>
      </c>
      <c r="X273" s="25" t="str">
        <f>'Ingest Template'!AA272</f>
        <v/>
      </c>
      <c r="Y273" s="25"/>
      <c r="Z273" s="25"/>
      <c r="AA273" s="25"/>
      <c r="AB273" s="25" t="str">
        <f>'Ingest Template'!T272</f>
        <v/>
      </c>
      <c r="AC273" s="25"/>
      <c r="AD273" s="25" t="str">
        <f>'Ingest Template'!U272</f>
        <v/>
      </c>
      <c r="AE273" s="25" t="str">
        <f>'Ingest Template'!V272</f>
        <v/>
      </c>
      <c r="AF273" s="25"/>
      <c r="AG273" s="25" t="str">
        <f t="array" ref="AG273">IF('Ingest Template'!A272="Standard",(CONCATENATE(IF(ISBLANK('Ingest Template'!O272),"", 'Ingest Template'!O272&amp;"|DAR"),CHAR(10), IF(ISBLANK('Ingest Template'!P272),"", 'Ingest Template'!P272&amp;"|DAR"),CHAR(10), IF(ISBLANK('Ingest Template'!Q272),"", 'Ingest Template'!Q272&amp;"|DAR"))),(CONCATENATE(IF(ISBLANK('Ingest Template'!O272),"", 'Ingest Template'!O272&amp;"|Operations - Core Title"),CHAR(10), IF(ISBLANK('Ingest Template'!P272),"", 'Ingest Template'!P272&amp;"|Operations - Core Title"),CHAR(10), IF(ISBLANK('Ingest Template'!Q272),"", 'Ingest Template'!Q272&amp;"|Operations - Core Title"))))</f>
        <v>#|Operations - Core Title
#videoGame|Operations - Core Title
</v>
      </c>
      <c r="AH273" s="25"/>
      <c r="AI273" s="25"/>
      <c r="AJ273" s="50" t="str">
        <f>if('Ingest Template'!A272="Standard",'Ingest Template'!R272&amp; "|DAR|DAR|2021-01-01",'Ingest Template'!R272&amp; "|Operations - Core Title|Operations - Core Title")</f>
        <v>#N/A</v>
      </c>
      <c r="AK273" s="25"/>
      <c r="AL273" s="25" t="str">
        <f>if('Ingest Template'!A272="Standard",'Ingest Template'!S272&amp; "|2021-01-01",'Ingest Template'!S272)</f>
        <v>#N/A</v>
      </c>
      <c r="AM273" s="25"/>
    </row>
    <row r="274">
      <c r="A274" s="25"/>
      <c r="B274" s="25" t="str">
        <f>'Ingest Template'!C273&amp;IF('Ingest Template'!A273 = "Standard", " - DAR","")</f>
        <v/>
      </c>
      <c r="C274" s="34" t="s">
        <v>92</v>
      </c>
      <c r="D274" s="34" t="str">
        <f>CONCATENATE('Ingest Template'!E274&amp;Char(10)&amp;'Ingest Template'!G274&amp;Char(10)&amp;'Ingest Template'!H274&amp;Char(10)&amp;'Ingest Template'!I274&amp;Char(10)&amp;'Ingest Template'!J274&amp;Char(10)&amp;'Ingest Template'!K274&amp;Char(10)&amp;'Ingest Template'!L274)</f>
        <v>
</v>
      </c>
      <c r="E274" s="25" t="str">
        <f>('Ingest Template'!M274)</f>
        <v/>
      </c>
      <c r="F274" s="40" t="str">
        <f t="array" ref="F274">INDEX(DropDown!$J$2:$J$63,MATCH(1,COUNTIF(E274,DropDown!$I$2:$I$63),0))</f>
        <v>#N/A</v>
      </c>
      <c r="G274" s="25"/>
      <c r="H274" s="25"/>
      <c r="I274" s="25"/>
      <c r="J274" s="25" t="str">
        <f>'Ingest Template'!B274</f>
        <v/>
      </c>
      <c r="K274" s="25" t="str">
        <f>IF('Ingest Template'!A273="Standard",'Ingest Template'!N273,"Competitive View")</f>
        <v>Competitive View</v>
      </c>
      <c r="L274" s="41" t="s">
        <v>145</v>
      </c>
      <c r="M274" s="25" t="str">
        <f>'Ingest Template'!D273</f>
        <v/>
      </c>
      <c r="N274" s="25"/>
      <c r="O274" s="25"/>
      <c r="P274" s="25"/>
      <c r="Q274" s="25"/>
      <c r="R274" s="25" t="str">
        <f>CONCATENATE('Ingest Template'!F273)</f>
        <v/>
      </c>
      <c r="S274" s="43" t="s">
        <v>160</v>
      </c>
      <c r="T274" s="25" t="str">
        <f>'Ingest Template'!W273</f>
        <v/>
      </c>
      <c r="U274" s="25"/>
      <c r="V274" s="25" t="str">
        <f>LOWER(SUBSTITUTE(SUBSTITUTE(SUBSTITUTE(SUBSTITUTE(SUBSTITUTE('Ingest Template'!Y273,"https:",""),"www.",""),"/",""),"?hl=en",""),"instagram.com",""))</f>
        <v/>
      </c>
      <c r="W274" s="34" t="str">
        <f>(IFERROR(vlookup('Ingest Template'!F274,DropDown!D:E,2,false)&amp;'Ingest Template'!C274,""))</f>
        <v/>
      </c>
      <c r="X274" s="25" t="str">
        <f>'Ingest Template'!AA273</f>
        <v/>
      </c>
      <c r="Y274" s="25"/>
      <c r="Z274" s="25"/>
      <c r="AA274" s="25"/>
      <c r="AB274" s="25" t="str">
        <f>'Ingest Template'!T273</f>
        <v/>
      </c>
      <c r="AC274" s="25"/>
      <c r="AD274" s="25" t="str">
        <f>'Ingest Template'!U273</f>
        <v/>
      </c>
      <c r="AE274" s="25" t="str">
        <f>'Ingest Template'!V273</f>
        <v/>
      </c>
      <c r="AF274" s="25"/>
      <c r="AG274" s="25" t="str">
        <f t="array" ref="AG274">IF('Ingest Template'!A273="Standard",(CONCATENATE(IF(ISBLANK('Ingest Template'!O273),"", 'Ingest Template'!O273&amp;"|DAR"),CHAR(10), IF(ISBLANK('Ingest Template'!P273),"", 'Ingest Template'!P273&amp;"|DAR"),CHAR(10), IF(ISBLANK('Ingest Template'!Q273),"", 'Ingest Template'!Q273&amp;"|DAR"))),(CONCATENATE(IF(ISBLANK('Ingest Template'!O273),"", 'Ingest Template'!O273&amp;"|Operations - Core Title"),CHAR(10), IF(ISBLANK('Ingest Template'!P273),"", 'Ingest Template'!P273&amp;"|Operations - Core Title"),CHAR(10), IF(ISBLANK('Ingest Template'!Q273),"", 'Ingest Template'!Q273&amp;"|Operations - Core Title"))))</f>
        <v>#|Operations - Core Title
#videoGame|Operations - Core Title
</v>
      </c>
      <c r="AH274" s="25"/>
      <c r="AI274" s="25"/>
      <c r="AJ274" s="50" t="str">
        <f>if('Ingest Template'!A273="Standard",'Ingest Template'!R273&amp; "|DAR|DAR|2021-01-01",'Ingest Template'!R273&amp; "|Operations - Core Title|Operations - Core Title")</f>
        <v>#N/A</v>
      </c>
      <c r="AK274" s="25"/>
      <c r="AL274" s="25" t="str">
        <f>if('Ingest Template'!A273="Standard",'Ingest Template'!S273&amp; "|2021-01-01",'Ingest Template'!S273)</f>
        <v>#N/A</v>
      </c>
      <c r="AM274" s="25"/>
    </row>
    <row r="275">
      <c r="A275" s="25"/>
      <c r="B275" s="25" t="str">
        <f>'Ingest Template'!C274&amp;IF('Ingest Template'!A274 = "Standard", " - DAR","")</f>
        <v/>
      </c>
      <c r="C275" s="34" t="s">
        <v>92</v>
      </c>
      <c r="D275" s="34" t="str">
        <f>CONCATENATE('Ingest Template'!E275&amp;Char(10)&amp;'Ingest Template'!G275&amp;Char(10)&amp;'Ingest Template'!H275&amp;Char(10)&amp;'Ingest Template'!I275&amp;Char(10)&amp;'Ingest Template'!J275&amp;Char(10)&amp;'Ingest Template'!K275&amp;Char(10)&amp;'Ingest Template'!L275)</f>
        <v>
</v>
      </c>
      <c r="E275" s="25" t="str">
        <f>('Ingest Template'!M275)</f>
        <v/>
      </c>
      <c r="F275" s="40" t="str">
        <f t="array" ref="F275">INDEX(DropDown!$J$2:$J$63,MATCH(1,COUNTIF(E275,DropDown!$I$2:$I$63),0))</f>
        <v>#N/A</v>
      </c>
      <c r="G275" s="25"/>
      <c r="H275" s="25"/>
      <c r="I275" s="25"/>
      <c r="J275" s="25" t="str">
        <f>'Ingest Template'!B275</f>
        <v/>
      </c>
      <c r="K275" s="25" t="str">
        <f>IF('Ingest Template'!A274="Standard",'Ingest Template'!N274,"Competitive View")</f>
        <v>Competitive View</v>
      </c>
      <c r="L275" s="41" t="s">
        <v>145</v>
      </c>
      <c r="M275" s="25" t="str">
        <f>'Ingest Template'!D274</f>
        <v/>
      </c>
      <c r="N275" s="25"/>
      <c r="O275" s="25"/>
      <c r="P275" s="25"/>
      <c r="Q275" s="25"/>
      <c r="R275" s="25" t="str">
        <f>CONCATENATE('Ingest Template'!F274)</f>
        <v/>
      </c>
      <c r="S275" s="43" t="s">
        <v>160</v>
      </c>
      <c r="T275" s="25" t="str">
        <f>'Ingest Template'!W274</f>
        <v/>
      </c>
      <c r="U275" s="25"/>
      <c r="V275" s="25" t="str">
        <f>LOWER(SUBSTITUTE(SUBSTITUTE(SUBSTITUTE(SUBSTITUTE(SUBSTITUTE('Ingest Template'!Y274,"https:",""),"www.",""),"/",""),"?hl=en",""),"instagram.com",""))</f>
        <v/>
      </c>
      <c r="W275" s="34" t="str">
        <f>(IFERROR(vlookup('Ingest Template'!F275,DropDown!D:E,2,false)&amp;'Ingest Template'!C275,""))</f>
        <v/>
      </c>
      <c r="X275" s="25" t="str">
        <f>'Ingest Template'!AA274</f>
        <v/>
      </c>
      <c r="Y275" s="25"/>
      <c r="Z275" s="25"/>
      <c r="AA275" s="25"/>
      <c r="AB275" s="25" t="str">
        <f>'Ingest Template'!T274</f>
        <v/>
      </c>
      <c r="AC275" s="25"/>
      <c r="AD275" s="25" t="str">
        <f>'Ingest Template'!U274</f>
        <v/>
      </c>
      <c r="AE275" s="25" t="str">
        <f>'Ingest Template'!V274</f>
        <v/>
      </c>
      <c r="AF275" s="25"/>
      <c r="AG275" s="25" t="str">
        <f t="array" ref="AG275">IF('Ingest Template'!A274="Standard",(CONCATENATE(IF(ISBLANK('Ingest Template'!O274),"", 'Ingest Template'!O274&amp;"|DAR"),CHAR(10), IF(ISBLANK('Ingest Template'!P274),"", 'Ingest Template'!P274&amp;"|DAR"),CHAR(10), IF(ISBLANK('Ingest Template'!Q274),"", 'Ingest Template'!Q274&amp;"|DAR"))),(CONCATENATE(IF(ISBLANK('Ingest Template'!O274),"", 'Ingest Template'!O274&amp;"|Operations - Core Title"),CHAR(10), IF(ISBLANK('Ingest Template'!P274),"", 'Ingest Template'!P274&amp;"|Operations - Core Title"),CHAR(10), IF(ISBLANK('Ingest Template'!Q274),"", 'Ingest Template'!Q274&amp;"|Operations - Core Title"))))</f>
        <v>#|Operations - Core Title
#videoGame|Operations - Core Title
</v>
      </c>
      <c r="AH275" s="25"/>
      <c r="AI275" s="25"/>
      <c r="AJ275" s="50" t="str">
        <f>if('Ingest Template'!A274="Standard",'Ingest Template'!R274&amp; "|DAR|DAR|2021-01-01",'Ingest Template'!R274&amp; "|Operations - Core Title|Operations - Core Title")</f>
        <v>#N/A</v>
      </c>
      <c r="AK275" s="25"/>
      <c r="AL275" s="25" t="str">
        <f>if('Ingest Template'!A274="Standard",'Ingest Template'!S274&amp; "|2021-01-01",'Ingest Template'!S274)</f>
        <v>#N/A</v>
      </c>
      <c r="AM275" s="25"/>
    </row>
    <row r="276">
      <c r="A276" s="25"/>
      <c r="B276" s="25" t="str">
        <f>'Ingest Template'!C275&amp;IF('Ingest Template'!A275 = "Standard", " - DAR","")</f>
        <v/>
      </c>
      <c r="C276" s="34" t="s">
        <v>92</v>
      </c>
      <c r="D276" s="34" t="str">
        <f>CONCATENATE('Ingest Template'!E276&amp;Char(10)&amp;'Ingest Template'!G276&amp;Char(10)&amp;'Ingest Template'!H276&amp;Char(10)&amp;'Ingest Template'!I276&amp;Char(10)&amp;'Ingest Template'!J276&amp;Char(10)&amp;'Ingest Template'!K276&amp;Char(10)&amp;'Ingest Template'!L276)</f>
        <v>
</v>
      </c>
      <c r="E276" s="25" t="str">
        <f>('Ingest Template'!M276)</f>
        <v/>
      </c>
      <c r="F276" s="40" t="str">
        <f t="array" ref="F276">INDEX(DropDown!$J$2:$J$63,MATCH(1,COUNTIF(E276,DropDown!$I$2:$I$63),0))</f>
        <v>#N/A</v>
      </c>
      <c r="G276" s="25"/>
      <c r="H276" s="25"/>
      <c r="I276" s="25"/>
      <c r="J276" s="25" t="str">
        <f>'Ingest Template'!B276</f>
        <v/>
      </c>
      <c r="K276" s="25" t="str">
        <f>IF('Ingest Template'!A275="Standard",'Ingest Template'!N275,"Competitive View")</f>
        <v>Competitive View</v>
      </c>
      <c r="L276" s="41" t="s">
        <v>145</v>
      </c>
      <c r="M276" s="25" t="str">
        <f>'Ingest Template'!D275</f>
        <v/>
      </c>
      <c r="N276" s="25"/>
      <c r="O276" s="25"/>
      <c r="P276" s="25"/>
      <c r="Q276" s="25"/>
      <c r="R276" s="25" t="str">
        <f>CONCATENATE('Ingest Template'!F275)</f>
        <v/>
      </c>
      <c r="S276" s="43" t="s">
        <v>160</v>
      </c>
      <c r="T276" s="25" t="str">
        <f>'Ingest Template'!W275</f>
        <v/>
      </c>
      <c r="U276" s="25"/>
      <c r="V276" s="25" t="str">
        <f>LOWER(SUBSTITUTE(SUBSTITUTE(SUBSTITUTE(SUBSTITUTE(SUBSTITUTE('Ingest Template'!Y275,"https:",""),"www.",""),"/",""),"?hl=en",""),"instagram.com",""))</f>
        <v/>
      </c>
      <c r="W276" s="34" t="str">
        <f>(IFERROR(vlookup('Ingest Template'!F276,DropDown!D:E,2,false)&amp;'Ingest Template'!C276,""))</f>
        <v/>
      </c>
      <c r="X276" s="25" t="str">
        <f>'Ingest Template'!AA275</f>
        <v/>
      </c>
      <c r="Y276" s="25"/>
      <c r="Z276" s="25"/>
      <c r="AA276" s="25"/>
      <c r="AB276" s="25" t="str">
        <f>'Ingest Template'!T275</f>
        <v/>
      </c>
      <c r="AC276" s="25"/>
      <c r="AD276" s="25" t="str">
        <f>'Ingest Template'!U275</f>
        <v/>
      </c>
      <c r="AE276" s="25" t="str">
        <f>'Ingest Template'!V275</f>
        <v/>
      </c>
      <c r="AF276" s="25"/>
      <c r="AG276" s="25" t="str">
        <f t="array" ref="AG276">IF('Ingest Template'!A275="Standard",(CONCATENATE(IF(ISBLANK('Ingest Template'!O275),"", 'Ingest Template'!O275&amp;"|DAR"),CHAR(10), IF(ISBLANK('Ingest Template'!P275),"", 'Ingest Template'!P275&amp;"|DAR"),CHAR(10), IF(ISBLANK('Ingest Template'!Q275),"", 'Ingest Template'!Q275&amp;"|DAR"))),(CONCATENATE(IF(ISBLANK('Ingest Template'!O275),"", 'Ingest Template'!O275&amp;"|Operations - Core Title"),CHAR(10), IF(ISBLANK('Ingest Template'!P275),"", 'Ingest Template'!P275&amp;"|Operations - Core Title"),CHAR(10), IF(ISBLANK('Ingest Template'!Q275),"", 'Ingest Template'!Q275&amp;"|Operations - Core Title"))))</f>
        <v>#|Operations - Core Title
#videoGame|Operations - Core Title
</v>
      </c>
      <c r="AH276" s="25"/>
      <c r="AI276" s="25"/>
      <c r="AJ276" s="50" t="str">
        <f>if('Ingest Template'!A275="Standard",'Ingest Template'!R275&amp; "|DAR|DAR|2021-01-01",'Ingest Template'!R275&amp; "|Operations - Core Title|Operations - Core Title")</f>
        <v>#N/A</v>
      </c>
      <c r="AK276" s="25"/>
      <c r="AL276" s="25" t="str">
        <f>if('Ingest Template'!A275="Standard",'Ingest Template'!S275&amp; "|2021-01-01",'Ingest Template'!S275)</f>
        <v>#N/A</v>
      </c>
      <c r="AM276" s="25"/>
    </row>
    <row r="277">
      <c r="A277" s="25"/>
      <c r="B277" s="25" t="str">
        <f>'Ingest Template'!C276&amp;IF('Ingest Template'!A276 = "Standard", " - DAR","")</f>
        <v/>
      </c>
      <c r="C277" s="34" t="s">
        <v>92</v>
      </c>
      <c r="D277" s="34" t="str">
        <f>CONCATENATE('Ingest Template'!E277&amp;Char(10)&amp;'Ingest Template'!G277&amp;Char(10)&amp;'Ingest Template'!H277&amp;Char(10)&amp;'Ingest Template'!I277&amp;Char(10)&amp;'Ingest Template'!J277&amp;Char(10)&amp;'Ingest Template'!K277&amp;Char(10)&amp;'Ingest Template'!L277)</f>
        <v>
</v>
      </c>
      <c r="E277" s="25" t="str">
        <f>('Ingest Template'!M277)</f>
        <v/>
      </c>
      <c r="F277" s="40" t="str">
        <f t="array" ref="F277">INDEX(DropDown!$J$2:$J$63,MATCH(1,COUNTIF(E277,DropDown!$I$2:$I$63),0))</f>
        <v>#N/A</v>
      </c>
      <c r="G277" s="25"/>
      <c r="H277" s="25"/>
      <c r="I277" s="25"/>
      <c r="J277" s="25" t="str">
        <f>'Ingest Template'!B277</f>
        <v/>
      </c>
      <c r="K277" s="25" t="str">
        <f>IF('Ingest Template'!A276="Standard",'Ingest Template'!N276,"Competitive View")</f>
        <v>Competitive View</v>
      </c>
      <c r="L277" s="41" t="s">
        <v>145</v>
      </c>
      <c r="M277" s="25" t="str">
        <f>'Ingest Template'!D276</f>
        <v/>
      </c>
      <c r="N277" s="25"/>
      <c r="O277" s="25"/>
      <c r="P277" s="25"/>
      <c r="Q277" s="25"/>
      <c r="R277" s="25" t="str">
        <f>CONCATENATE('Ingest Template'!F276)</f>
        <v/>
      </c>
      <c r="S277" s="43" t="s">
        <v>160</v>
      </c>
      <c r="T277" s="25" t="str">
        <f>'Ingest Template'!W276</f>
        <v/>
      </c>
      <c r="U277" s="25"/>
      <c r="V277" s="25" t="str">
        <f>LOWER(SUBSTITUTE(SUBSTITUTE(SUBSTITUTE(SUBSTITUTE(SUBSTITUTE('Ingest Template'!Y276,"https:",""),"www.",""),"/",""),"?hl=en",""),"instagram.com",""))</f>
        <v/>
      </c>
      <c r="W277" s="34" t="str">
        <f>(IFERROR(vlookup('Ingest Template'!F277,DropDown!D:E,2,false)&amp;'Ingest Template'!C277,""))</f>
        <v/>
      </c>
      <c r="X277" s="25" t="str">
        <f>'Ingest Template'!AA276</f>
        <v/>
      </c>
      <c r="Y277" s="25"/>
      <c r="Z277" s="25"/>
      <c r="AA277" s="25"/>
      <c r="AB277" s="25" t="str">
        <f>'Ingest Template'!T276</f>
        <v/>
      </c>
      <c r="AC277" s="25"/>
      <c r="AD277" s="25" t="str">
        <f>'Ingest Template'!U276</f>
        <v/>
      </c>
      <c r="AE277" s="25" t="str">
        <f>'Ingest Template'!V276</f>
        <v/>
      </c>
      <c r="AF277" s="25"/>
      <c r="AG277" s="25" t="str">
        <f t="array" ref="AG277">IF('Ingest Template'!A276="Standard",(CONCATENATE(IF(ISBLANK('Ingest Template'!O276),"", 'Ingest Template'!O276&amp;"|DAR"),CHAR(10), IF(ISBLANK('Ingest Template'!P276),"", 'Ingest Template'!P276&amp;"|DAR"),CHAR(10), IF(ISBLANK('Ingest Template'!Q276),"", 'Ingest Template'!Q276&amp;"|DAR"))),(CONCATENATE(IF(ISBLANK('Ingest Template'!O276),"", 'Ingest Template'!O276&amp;"|Operations - Core Title"),CHAR(10), IF(ISBLANK('Ingest Template'!P276),"", 'Ingest Template'!P276&amp;"|Operations - Core Title"),CHAR(10), IF(ISBLANK('Ingest Template'!Q276),"", 'Ingest Template'!Q276&amp;"|Operations - Core Title"))))</f>
        <v>#|Operations - Core Title
#videoGame|Operations - Core Title
</v>
      </c>
      <c r="AH277" s="25"/>
      <c r="AI277" s="25"/>
      <c r="AJ277" s="50" t="str">
        <f>if('Ingest Template'!A276="Standard",'Ingest Template'!R276&amp; "|DAR|DAR|2021-01-01",'Ingest Template'!R276&amp; "|Operations - Core Title|Operations - Core Title")</f>
        <v>#N/A</v>
      </c>
      <c r="AK277" s="25"/>
      <c r="AL277" s="25" t="str">
        <f>if('Ingest Template'!A276="Standard",'Ingest Template'!S276&amp; "|2021-01-01",'Ingest Template'!S276)</f>
        <v>#N/A</v>
      </c>
      <c r="AM277" s="25"/>
    </row>
    <row r="278">
      <c r="A278" s="25"/>
      <c r="B278" s="25" t="str">
        <f>'Ingest Template'!C277&amp;IF('Ingest Template'!A277 = "Standard", " - DAR","")</f>
        <v/>
      </c>
      <c r="C278" s="34" t="s">
        <v>92</v>
      </c>
      <c r="D278" s="34" t="str">
        <f>CONCATENATE('Ingest Template'!E278&amp;Char(10)&amp;'Ingest Template'!G278&amp;Char(10)&amp;'Ingest Template'!H278&amp;Char(10)&amp;'Ingest Template'!I278&amp;Char(10)&amp;'Ingest Template'!J278&amp;Char(10)&amp;'Ingest Template'!K278&amp;Char(10)&amp;'Ingest Template'!L278)</f>
        <v>
</v>
      </c>
      <c r="E278" s="25" t="str">
        <f>('Ingest Template'!M278)</f>
        <v/>
      </c>
      <c r="F278" s="40" t="str">
        <f t="array" ref="F278">INDEX(DropDown!$J$2:$J$63,MATCH(1,COUNTIF(E278,DropDown!$I$2:$I$63),0))</f>
        <v>#N/A</v>
      </c>
      <c r="G278" s="25"/>
      <c r="H278" s="25"/>
      <c r="I278" s="25"/>
      <c r="J278" s="25" t="str">
        <f>'Ingest Template'!B278</f>
        <v/>
      </c>
      <c r="K278" s="25" t="str">
        <f>IF('Ingest Template'!A277="Standard",'Ingest Template'!N277,"Competitive View")</f>
        <v>Competitive View</v>
      </c>
      <c r="L278" s="41" t="s">
        <v>145</v>
      </c>
      <c r="M278" s="25" t="str">
        <f>'Ingest Template'!D277</f>
        <v/>
      </c>
      <c r="N278" s="25"/>
      <c r="O278" s="25"/>
      <c r="P278" s="25"/>
      <c r="Q278" s="25"/>
      <c r="R278" s="25" t="str">
        <f>CONCATENATE('Ingest Template'!F277)</f>
        <v/>
      </c>
      <c r="S278" s="43" t="s">
        <v>160</v>
      </c>
      <c r="T278" s="25" t="str">
        <f>'Ingest Template'!W277</f>
        <v/>
      </c>
      <c r="U278" s="25"/>
      <c r="V278" s="25" t="str">
        <f>LOWER(SUBSTITUTE(SUBSTITUTE(SUBSTITUTE(SUBSTITUTE(SUBSTITUTE('Ingest Template'!Y277,"https:",""),"www.",""),"/",""),"?hl=en",""),"instagram.com",""))</f>
        <v/>
      </c>
      <c r="W278" s="34" t="str">
        <f>(IFERROR(vlookup('Ingest Template'!F278,DropDown!D:E,2,false)&amp;'Ingest Template'!C278,""))</f>
        <v/>
      </c>
      <c r="X278" s="25" t="str">
        <f>'Ingest Template'!AA277</f>
        <v/>
      </c>
      <c r="Y278" s="25"/>
      <c r="Z278" s="25"/>
      <c r="AA278" s="25"/>
      <c r="AB278" s="25" t="str">
        <f>'Ingest Template'!T277</f>
        <v/>
      </c>
      <c r="AC278" s="25"/>
      <c r="AD278" s="25" t="str">
        <f>'Ingest Template'!U277</f>
        <v/>
      </c>
      <c r="AE278" s="25" t="str">
        <f>'Ingest Template'!V277</f>
        <v/>
      </c>
      <c r="AF278" s="25"/>
      <c r="AG278" s="25" t="str">
        <f t="array" ref="AG278">IF('Ingest Template'!A277="Standard",(CONCATENATE(IF(ISBLANK('Ingest Template'!O277),"", 'Ingest Template'!O277&amp;"|DAR"),CHAR(10), IF(ISBLANK('Ingest Template'!P277),"", 'Ingest Template'!P277&amp;"|DAR"),CHAR(10), IF(ISBLANK('Ingest Template'!Q277),"", 'Ingest Template'!Q277&amp;"|DAR"))),(CONCATENATE(IF(ISBLANK('Ingest Template'!O277),"", 'Ingest Template'!O277&amp;"|Operations - Core Title"),CHAR(10), IF(ISBLANK('Ingest Template'!P277),"", 'Ingest Template'!P277&amp;"|Operations - Core Title"),CHAR(10), IF(ISBLANK('Ingest Template'!Q277),"", 'Ingest Template'!Q277&amp;"|Operations - Core Title"))))</f>
        <v>#|Operations - Core Title
#videoGame|Operations - Core Title
</v>
      </c>
      <c r="AH278" s="25"/>
      <c r="AI278" s="25"/>
      <c r="AJ278" s="50" t="str">
        <f>if('Ingest Template'!A277="Standard",'Ingest Template'!R277&amp; "|DAR|DAR|2021-01-01",'Ingest Template'!R277&amp; "|Operations - Core Title|Operations - Core Title")</f>
        <v>#N/A</v>
      </c>
      <c r="AK278" s="25"/>
      <c r="AL278" s="25" t="str">
        <f>if('Ingest Template'!A277="Standard",'Ingest Template'!S277&amp; "|2021-01-01",'Ingest Template'!S277)</f>
        <v>#N/A</v>
      </c>
      <c r="AM278" s="25"/>
    </row>
    <row r="279">
      <c r="A279" s="25"/>
      <c r="B279" s="25" t="str">
        <f>'Ingest Template'!C278&amp;IF('Ingest Template'!A278 = "Standard", " - DAR","")</f>
        <v/>
      </c>
      <c r="C279" s="34" t="s">
        <v>92</v>
      </c>
      <c r="D279" s="34" t="str">
        <f>CONCATENATE('Ingest Template'!E279&amp;Char(10)&amp;'Ingest Template'!G279&amp;Char(10)&amp;'Ingest Template'!H279&amp;Char(10)&amp;'Ingest Template'!I279&amp;Char(10)&amp;'Ingest Template'!J279&amp;Char(10)&amp;'Ingest Template'!K279&amp;Char(10)&amp;'Ingest Template'!L279)</f>
        <v>
</v>
      </c>
      <c r="E279" s="25" t="str">
        <f>('Ingest Template'!M279)</f>
        <v/>
      </c>
      <c r="F279" s="40" t="str">
        <f t="array" ref="F279">INDEX(DropDown!$J$2:$J$63,MATCH(1,COUNTIF(E279,DropDown!$I$2:$I$63),0))</f>
        <v>#N/A</v>
      </c>
      <c r="G279" s="25"/>
      <c r="H279" s="25"/>
      <c r="I279" s="25"/>
      <c r="J279" s="25" t="str">
        <f>'Ingest Template'!B279</f>
        <v/>
      </c>
      <c r="K279" s="25" t="str">
        <f>IF('Ingest Template'!A278="Standard",'Ingest Template'!N278,"Competitive View")</f>
        <v>Competitive View</v>
      </c>
      <c r="L279" s="41" t="s">
        <v>145</v>
      </c>
      <c r="M279" s="25" t="str">
        <f>'Ingest Template'!D278</f>
        <v/>
      </c>
      <c r="N279" s="25"/>
      <c r="O279" s="25"/>
      <c r="P279" s="25"/>
      <c r="Q279" s="25"/>
      <c r="R279" s="25" t="str">
        <f>CONCATENATE('Ingest Template'!F278)</f>
        <v/>
      </c>
      <c r="S279" s="43" t="s">
        <v>160</v>
      </c>
      <c r="T279" s="25" t="str">
        <f>'Ingest Template'!W278</f>
        <v/>
      </c>
      <c r="U279" s="25"/>
      <c r="V279" s="25" t="str">
        <f>LOWER(SUBSTITUTE(SUBSTITUTE(SUBSTITUTE(SUBSTITUTE(SUBSTITUTE('Ingest Template'!Y278,"https:",""),"www.",""),"/",""),"?hl=en",""),"instagram.com",""))</f>
        <v/>
      </c>
      <c r="W279" s="34" t="str">
        <f>(IFERROR(vlookup('Ingest Template'!F279,DropDown!D:E,2,false)&amp;'Ingest Template'!C279,""))</f>
        <v/>
      </c>
      <c r="X279" s="25" t="str">
        <f>'Ingest Template'!AA278</f>
        <v/>
      </c>
      <c r="Y279" s="25"/>
      <c r="Z279" s="25"/>
      <c r="AA279" s="25"/>
      <c r="AB279" s="25" t="str">
        <f>'Ingest Template'!T278</f>
        <v/>
      </c>
      <c r="AC279" s="25"/>
      <c r="AD279" s="25" t="str">
        <f>'Ingest Template'!U278</f>
        <v/>
      </c>
      <c r="AE279" s="25" t="str">
        <f>'Ingest Template'!V278</f>
        <v/>
      </c>
      <c r="AF279" s="25"/>
      <c r="AG279" s="25" t="str">
        <f t="array" ref="AG279">IF('Ingest Template'!A278="Standard",(CONCATENATE(IF(ISBLANK('Ingest Template'!O278),"", 'Ingest Template'!O278&amp;"|DAR"),CHAR(10), IF(ISBLANK('Ingest Template'!P278),"", 'Ingest Template'!P278&amp;"|DAR"),CHAR(10), IF(ISBLANK('Ingest Template'!Q278),"", 'Ingest Template'!Q278&amp;"|DAR"))),(CONCATENATE(IF(ISBLANK('Ingest Template'!O278),"", 'Ingest Template'!O278&amp;"|Operations - Core Title"),CHAR(10), IF(ISBLANK('Ingest Template'!P278),"", 'Ingest Template'!P278&amp;"|Operations - Core Title"),CHAR(10), IF(ISBLANK('Ingest Template'!Q278),"", 'Ingest Template'!Q278&amp;"|Operations - Core Title"))))</f>
        <v>#|Operations - Core Title
#videoGame|Operations - Core Title
</v>
      </c>
      <c r="AH279" s="25"/>
      <c r="AI279" s="25"/>
      <c r="AJ279" s="50" t="str">
        <f>if('Ingest Template'!A278="Standard",'Ingest Template'!R278&amp; "|DAR|DAR|2021-01-01",'Ingest Template'!R278&amp; "|Operations - Core Title|Operations - Core Title")</f>
        <v>#N/A</v>
      </c>
      <c r="AK279" s="25"/>
      <c r="AL279" s="25" t="str">
        <f>if('Ingest Template'!A278="Standard",'Ingest Template'!S278&amp; "|2021-01-01",'Ingest Template'!S278)</f>
        <v>#N/A</v>
      </c>
      <c r="AM279" s="25"/>
    </row>
    <row r="280">
      <c r="A280" s="25"/>
      <c r="B280" s="25" t="str">
        <f>'Ingest Template'!C279&amp;IF('Ingest Template'!A279 = "Standard", " - DAR","")</f>
        <v/>
      </c>
      <c r="C280" s="34" t="s">
        <v>92</v>
      </c>
      <c r="D280" s="34" t="str">
        <f>CONCATENATE('Ingest Template'!E280&amp;Char(10)&amp;'Ingest Template'!G280&amp;Char(10)&amp;'Ingest Template'!H280&amp;Char(10)&amp;'Ingest Template'!I280&amp;Char(10)&amp;'Ingest Template'!J280&amp;Char(10)&amp;'Ingest Template'!K280&amp;Char(10)&amp;'Ingest Template'!L280)</f>
        <v>
</v>
      </c>
      <c r="E280" s="25" t="str">
        <f>('Ingest Template'!M280)</f>
        <v/>
      </c>
      <c r="F280" s="40" t="str">
        <f t="array" ref="F280">INDEX(DropDown!$J$2:$J$63,MATCH(1,COUNTIF(E280,DropDown!$I$2:$I$63),0))</f>
        <v>#N/A</v>
      </c>
      <c r="G280" s="25"/>
      <c r="H280" s="25"/>
      <c r="I280" s="25"/>
      <c r="J280" s="25" t="str">
        <f>'Ingest Template'!B280</f>
        <v/>
      </c>
      <c r="K280" s="25" t="str">
        <f>IF('Ingest Template'!A279="Standard",'Ingest Template'!N279,"Competitive View")</f>
        <v>Competitive View</v>
      </c>
      <c r="L280" s="41" t="s">
        <v>145</v>
      </c>
      <c r="M280" s="25" t="str">
        <f>'Ingest Template'!D279</f>
        <v/>
      </c>
      <c r="N280" s="25"/>
      <c r="O280" s="25"/>
      <c r="P280" s="25"/>
      <c r="Q280" s="25"/>
      <c r="R280" s="25" t="str">
        <f>CONCATENATE('Ingest Template'!F279)</f>
        <v/>
      </c>
      <c r="S280" s="43" t="s">
        <v>160</v>
      </c>
      <c r="T280" s="25" t="str">
        <f>'Ingest Template'!W279</f>
        <v/>
      </c>
      <c r="U280" s="25"/>
      <c r="V280" s="25" t="str">
        <f>LOWER(SUBSTITUTE(SUBSTITUTE(SUBSTITUTE(SUBSTITUTE(SUBSTITUTE('Ingest Template'!Y279,"https:",""),"www.",""),"/",""),"?hl=en",""),"instagram.com",""))</f>
        <v/>
      </c>
      <c r="W280" s="34" t="str">
        <f>(IFERROR(vlookup('Ingest Template'!F280,DropDown!D:E,2,false)&amp;'Ingest Template'!C280,""))</f>
        <v/>
      </c>
      <c r="X280" s="25" t="str">
        <f>'Ingest Template'!AA279</f>
        <v/>
      </c>
      <c r="Y280" s="25"/>
      <c r="Z280" s="25"/>
      <c r="AA280" s="25"/>
      <c r="AB280" s="25" t="str">
        <f>'Ingest Template'!T279</f>
        <v/>
      </c>
      <c r="AC280" s="25"/>
      <c r="AD280" s="25" t="str">
        <f>'Ingest Template'!U279</f>
        <v/>
      </c>
      <c r="AE280" s="25" t="str">
        <f>'Ingest Template'!V279</f>
        <v/>
      </c>
      <c r="AF280" s="25"/>
      <c r="AG280" s="25" t="str">
        <f t="array" ref="AG280">IF('Ingest Template'!A279="Standard",(CONCATENATE(IF(ISBLANK('Ingest Template'!O279),"", 'Ingest Template'!O279&amp;"|DAR"),CHAR(10), IF(ISBLANK('Ingest Template'!P279),"", 'Ingest Template'!P279&amp;"|DAR"),CHAR(10), IF(ISBLANK('Ingest Template'!Q279),"", 'Ingest Template'!Q279&amp;"|DAR"))),(CONCATENATE(IF(ISBLANK('Ingest Template'!O279),"", 'Ingest Template'!O279&amp;"|Operations - Core Title"),CHAR(10), IF(ISBLANK('Ingest Template'!P279),"", 'Ingest Template'!P279&amp;"|Operations - Core Title"),CHAR(10), IF(ISBLANK('Ingest Template'!Q279),"", 'Ingest Template'!Q279&amp;"|Operations - Core Title"))))</f>
        <v>#|Operations - Core Title
#videoGame|Operations - Core Title
</v>
      </c>
      <c r="AH280" s="25"/>
      <c r="AI280" s="25"/>
      <c r="AJ280" s="50" t="str">
        <f>if('Ingest Template'!A279="Standard",'Ingest Template'!R279&amp; "|DAR|DAR|2021-01-01",'Ingest Template'!R279&amp; "|Operations - Core Title|Operations - Core Title")</f>
        <v>#N/A</v>
      </c>
      <c r="AK280" s="25"/>
      <c r="AL280" s="25" t="str">
        <f>if('Ingest Template'!A279="Standard",'Ingest Template'!S279&amp; "|2021-01-01",'Ingest Template'!S279)</f>
        <v>#N/A</v>
      </c>
      <c r="AM280" s="25"/>
    </row>
    <row r="281">
      <c r="A281" s="25"/>
      <c r="B281" s="25" t="str">
        <f>'Ingest Template'!C280&amp;IF('Ingest Template'!A280 = "Standard", " - DAR","")</f>
        <v/>
      </c>
      <c r="C281" s="34" t="s">
        <v>92</v>
      </c>
      <c r="D281" s="34" t="str">
        <f>CONCATENATE('Ingest Template'!E281&amp;Char(10)&amp;'Ingest Template'!G281&amp;Char(10)&amp;'Ingest Template'!H281&amp;Char(10)&amp;'Ingest Template'!I281&amp;Char(10)&amp;'Ingest Template'!J281&amp;Char(10)&amp;'Ingest Template'!K281&amp;Char(10)&amp;'Ingest Template'!L281)</f>
        <v>
</v>
      </c>
      <c r="E281" s="25" t="str">
        <f>('Ingest Template'!M281)</f>
        <v/>
      </c>
      <c r="F281" s="40" t="str">
        <f t="array" ref="F281">INDEX(DropDown!$J$2:$J$63,MATCH(1,COUNTIF(E281,DropDown!$I$2:$I$63),0))</f>
        <v>#N/A</v>
      </c>
      <c r="G281" s="25"/>
      <c r="H281" s="25"/>
      <c r="I281" s="25"/>
      <c r="J281" s="25" t="str">
        <f>'Ingest Template'!B281</f>
        <v/>
      </c>
      <c r="K281" s="25" t="str">
        <f>IF('Ingest Template'!A280="Standard",'Ingest Template'!N280,"Competitive View")</f>
        <v>Competitive View</v>
      </c>
      <c r="L281" s="41" t="s">
        <v>145</v>
      </c>
      <c r="M281" s="25" t="str">
        <f>'Ingest Template'!D280</f>
        <v/>
      </c>
      <c r="N281" s="25"/>
      <c r="O281" s="25"/>
      <c r="P281" s="25"/>
      <c r="Q281" s="25"/>
      <c r="R281" s="25" t="str">
        <f>CONCATENATE('Ingest Template'!F280)</f>
        <v/>
      </c>
      <c r="S281" s="43" t="s">
        <v>160</v>
      </c>
      <c r="T281" s="25" t="str">
        <f>'Ingest Template'!W280</f>
        <v/>
      </c>
      <c r="U281" s="25"/>
      <c r="V281" s="25" t="str">
        <f>LOWER(SUBSTITUTE(SUBSTITUTE(SUBSTITUTE(SUBSTITUTE(SUBSTITUTE('Ingest Template'!Y280,"https:",""),"www.",""),"/",""),"?hl=en",""),"instagram.com",""))</f>
        <v/>
      </c>
      <c r="W281" s="34" t="str">
        <f>(IFERROR(vlookup('Ingest Template'!F281,DropDown!D:E,2,false)&amp;'Ingest Template'!C281,""))</f>
        <v/>
      </c>
      <c r="X281" s="25" t="str">
        <f>'Ingest Template'!AA280</f>
        <v/>
      </c>
      <c r="Y281" s="25"/>
      <c r="Z281" s="25"/>
      <c r="AA281" s="25"/>
      <c r="AB281" s="25" t="str">
        <f>'Ingest Template'!T280</f>
        <v/>
      </c>
      <c r="AC281" s="25"/>
      <c r="AD281" s="25" t="str">
        <f>'Ingest Template'!U280</f>
        <v/>
      </c>
      <c r="AE281" s="25" t="str">
        <f>'Ingest Template'!V280</f>
        <v/>
      </c>
      <c r="AF281" s="25"/>
      <c r="AG281" s="25" t="str">
        <f t="array" ref="AG281">IF('Ingest Template'!A280="Standard",(CONCATENATE(IF(ISBLANK('Ingest Template'!O280),"", 'Ingest Template'!O280&amp;"|DAR"),CHAR(10), IF(ISBLANK('Ingest Template'!P280),"", 'Ingest Template'!P280&amp;"|DAR"),CHAR(10), IF(ISBLANK('Ingest Template'!Q280),"", 'Ingest Template'!Q280&amp;"|DAR"))),(CONCATENATE(IF(ISBLANK('Ingest Template'!O280),"", 'Ingest Template'!O280&amp;"|Operations - Core Title"),CHAR(10), IF(ISBLANK('Ingest Template'!P280),"", 'Ingest Template'!P280&amp;"|Operations - Core Title"),CHAR(10), IF(ISBLANK('Ingest Template'!Q280),"", 'Ingest Template'!Q280&amp;"|Operations - Core Title"))))</f>
        <v>#|Operations - Core Title
#videoGame|Operations - Core Title
</v>
      </c>
      <c r="AH281" s="25"/>
      <c r="AI281" s="25"/>
      <c r="AJ281" s="50" t="str">
        <f>if('Ingest Template'!A280="Standard",'Ingest Template'!R280&amp; "|DAR|DAR|2021-01-01",'Ingest Template'!R280&amp; "|Operations - Core Title|Operations - Core Title")</f>
        <v>#N/A</v>
      </c>
      <c r="AK281" s="25"/>
      <c r="AL281" s="25" t="str">
        <f>if('Ingest Template'!A280="Standard",'Ingest Template'!S280&amp; "|2021-01-01",'Ingest Template'!S280)</f>
        <v>#N/A</v>
      </c>
      <c r="AM281" s="25"/>
    </row>
    <row r="282">
      <c r="A282" s="25"/>
      <c r="B282" s="25" t="str">
        <f>'Ingest Template'!C281&amp;IF('Ingest Template'!A281 = "Standard", " - DAR","")</f>
        <v/>
      </c>
      <c r="C282" s="34" t="s">
        <v>92</v>
      </c>
      <c r="D282" s="34" t="str">
        <f>CONCATENATE('Ingest Template'!E282&amp;Char(10)&amp;'Ingest Template'!G282&amp;Char(10)&amp;'Ingest Template'!H282&amp;Char(10)&amp;'Ingest Template'!I282&amp;Char(10)&amp;'Ingest Template'!J282&amp;Char(10)&amp;'Ingest Template'!K282&amp;Char(10)&amp;'Ingest Template'!L282)</f>
        <v>
</v>
      </c>
      <c r="E282" s="25" t="str">
        <f>('Ingest Template'!M282)</f>
        <v/>
      </c>
      <c r="F282" s="40" t="str">
        <f t="array" ref="F282">INDEX(DropDown!$J$2:$J$63,MATCH(1,COUNTIF(E282,DropDown!$I$2:$I$63),0))</f>
        <v>#N/A</v>
      </c>
      <c r="G282" s="25"/>
      <c r="H282" s="25"/>
      <c r="I282" s="25"/>
      <c r="J282" s="25" t="str">
        <f>'Ingest Template'!B282</f>
        <v/>
      </c>
      <c r="K282" s="25" t="str">
        <f>IF('Ingest Template'!A281="Standard",'Ingest Template'!N281,"Competitive View")</f>
        <v>Competitive View</v>
      </c>
      <c r="L282" s="41" t="s">
        <v>145</v>
      </c>
      <c r="M282" s="25" t="str">
        <f>'Ingest Template'!D281</f>
        <v/>
      </c>
      <c r="N282" s="25"/>
      <c r="O282" s="25"/>
      <c r="P282" s="25"/>
      <c r="Q282" s="25"/>
      <c r="R282" s="25" t="str">
        <f>CONCATENATE('Ingest Template'!F281)</f>
        <v/>
      </c>
      <c r="S282" s="43" t="s">
        <v>160</v>
      </c>
      <c r="T282" s="25" t="str">
        <f>'Ingest Template'!W281</f>
        <v/>
      </c>
      <c r="U282" s="25"/>
      <c r="V282" s="25" t="str">
        <f>LOWER(SUBSTITUTE(SUBSTITUTE(SUBSTITUTE(SUBSTITUTE(SUBSTITUTE('Ingest Template'!Y281,"https:",""),"www.",""),"/",""),"?hl=en",""),"instagram.com",""))</f>
        <v/>
      </c>
      <c r="W282" s="34" t="str">
        <f>(IFERROR(vlookup('Ingest Template'!F282,DropDown!D:E,2,false)&amp;'Ingest Template'!C282,""))</f>
        <v/>
      </c>
      <c r="X282" s="25" t="str">
        <f>'Ingest Template'!AA281</f>
        <v/>
      </c>
      <c r="Y282" s="25"/>
      <c r="Z282" s="25"/>
      <c r="AA282" s="25"/>
      <c r="AB282" s="25" t="str">
        <f>'Ingest Template'!T281</f>
        <v/>
      </c>
      <c r="AC282" s="25"/>
      <c r="AD282" s="25" t="str">
        <f>'Ingest Template'!U281</f>
        <v/>
      </c>
      <c r="AE282" s="25" t="str">
        <f>'Ingest Template'!V281</f>
        <v/>
      </c>
      <c r="AF282" s="25"/>
      <c r="AG282" s="25" t="str">
        <f t="array" ref="AG282">IF('Ingest Template'!A281="Standard",(CONCATENATE(IF(ISBLANK('Ingest Template'!O281),"", 'Ingest Template'!O281&amp;"|DAR"),CHAR(10), IF(ISBLANK('Ingest Template'!P281),"", 'Ingest Template'!P281&amp;"|DAR"),CHAR(10), IF(ISBLANK('Ingest Template'!Q281),"", 'Ingest Template'!Q281&amp;"|DAR"))),(CONCATENATE(IF(ISBLANK('Ingest Template'!O281),"", 'Ingest Template'!O281&amp;"|Operations - Core Title"),CHAR(10), IF(ISBLANK('Ingest Template'!P281),"", 'Ingest Template'!P281&amp;"|Operations - Core Title"),CHAR(10), IF(ISBLANK('Ingest Template'!Q281),"", 'Ingest Template'!Q281&amp;"|Operations - Core Title"))))</f>
        <v>#|Operations - Core Title
#videoGame|Operations - Core Title
</v>
      </c>
      <c r="AH282" s="25"/>
      <c r="AI282" s="25"/>
      <c r="AJ282" s="50" t="str">
        <f>if('Ingest Template'!A281="Standard",'Ingest Template'!R281&amp; "|DAR|DAR|2021-01-01",'Ingest Template'!R281&amp; "|Operations - Core Title|Operations - Core Title")</f>
        <v>#N/A</v>
      </c>
      <c r="AK282" s="25"/>
      <c r="AL282" s="25" t="str">
        <f>if('Ingest Template'!A281="Standard",'Ingest Template'!S281&amp; "|2021-01-01",'Ingest Template'!S281)</f>
        <v>#N/A</v>
      </c>
      <c r="AM282" s="25"/>
    </row>
    <row r="283">
      <c r="A283" s="25"/>
      <c r="B283" s="25" t="str">
        <f>'Ingest Template'!C282&amp;IF('Ingest Template'!A282 = "Standard", " - DAR","")</f>
        <v/>
      </c>
      <c r="C283" s="34" t="s">
        <v>92</v>
      </c>
      <c r="D283" s="34" t="str">
        <f>CONCATENATE('Ingest Template'!E283&amp;Char(10)&amp;'Ingest Template'!G283&amp;Char(10)&amp;'Ingest Template'!H283&amp;Char(10)&amp;'Ingest Template'!I283&amp;Char(10)&amp;'Ingest Template'!J283&amp;Char(10)&amp;'Ingest Template'!K283&amp;Char(10)&amp;'Ingest Template'!L283)</f>
        <v>
</v>
      </c>
      <c r="E283" s="25" t="str">
        <f>('Ingest Template'!M283)</f>
        <v/>
      </c>
      <c r="F283" s="40" t="str">
        <f t="array" ref="F283">INDEX(DropDown!$J$2:$J$63,MATCH(1,COUNTIF(E283,DropDown!$I$2:$I$63),0))</f>
        <v>#N/A</v>
      </c>
      <c r="G283" s="25"/>
      <c r="H283" s="25"/>
      <c r="I283" s="25"/>
      <c r="J283" s="25" t="str">
        <f>'Ingest Template'!B283</f>
        <v/>
      </c>
      <c r="K283" s="25" t="str">
        <f>IF('Ingest Template'!A282="Standard",'Ingest Template'!N282,"Competitive View")</f>
        <v>Competitive View</v>
      </c>
      <c r="L283" s="41" t="s">
        <v>145</v>
      </c>
      <c r="M283" s="25" t="str">
        <f>'Ingest Template'!D282</f>
        <v/>
      </c>
      <c r="N283" s="25"/>
      <c r="O283" s="25"/>
      <c r="P283" s="25"/>
      <c r="Q283" s="25"/>
      <c r="R283" s="25" t="str">
        <f>CONCATENATE('Ingest Template'!F282)</f>
        <v/>
      </c>
      <c r="S283" s="43" t="s">
        <v>160</v>
      </c>
      <c r="T283" s="25" t="str">
        <f>'Ingest Template'!W282</f>
        <v/>
      </c>
      <c r="U283" s="25"/>
      <c r="V283" s="25" t="str">
        <f>LOWER(SUBSTITUTE(SUBSTITUTE(SUBSTITUTE(SUBSTITUTE(SUBSTITUTE('Ingest Template'!Y282,"https:",""),"www.",""),"/",""),"?hl=en",""),"instagram.com",""))</f>
        <v/>
      </c>
      <c r="W283" s="34" t="str">
        <f>(IFERROR(vlookup('Ingest Template'!F283,DropDown!D:E,2,false)&amp;'Ingest Template'!C283,""))</f>
        <v/>
      </c>
      <c r="X283" s="25" t="str">
        <f>'Ingest Template'!AA282</f>
        <v/>
      </c>
      <c r="Y283" s="25"/>
      <c r="Z283" s="25"/>
      <c r="AA283" s="25"/>
      <c r="AB283" s="25" t="str">
        <f>'Ingest Template'!T282</f>
        <v/>
      </c>
      <c r="AC283" s="25"/>
      <c r="AD283" s="25" t="str">
        <f>'Ingest Template'!U282</f>
        <v/>
      </c>
      <c r="AE283" s="25" t="str">
        <f>'Ingest Template'!V282</f>
        <v/>
      </c>
      <c r="AF283" s="25"/>
      <c r="AG283" s="25" t="str">
        <f t="array" ref="AG283">IF('Ingest Template'!A282="Standard",(CONCATENATE(IF(ISBLANK('Ingest Template'!O282),"", 'Ingest Template'!O282&amp;"|DAR"),CHAR(10), IF(ISBLANK('Ingest Template'!P282),"", 'Ingest Template'!P282&amp;"|DAR"),CHAR(10), IF(ISBLANK('Ingest Template'!Q282),"", 'Ingest Template'!Q282&amp;"|DAR"))),(CONCATENATE(IF(ISBLANK('Ingest Template'!O282),"", 'Ingest Template'!O282&amp;"|Operations - Core Title"),CHAR(10), IF(ISBLANK('Ingest Template'!P282),"", 'Ingest Template'!P282&amp;"|Operations - Core Title"),CHAR(10), IF(ISBLANK('Ingest Template'!Q282),"", 'Ingest Template'!Q282&amp;"|Operations - Core Title"))))</f>
        <v>#|Operations - Core Title
#videoGame|Operations - Core Title
</v>
      </c>
      <c r="AH283" s="25"/>
      <c r="AI283" s="25"/>
      <c r="AJ283" s="50" t="str">
        <f>if('Ingest Template'!A282="Standard",'Ingest Template'!R282&amp; "|DAR|DAR|2021-01-01",'Ingest Template'!R282&amp; "|Operations - Core Title|Operations - Core Title")</f>
        <v>#N/A</v>
      </c>
      <c r="AK283" s="25"/>
      <c r="AL283" s="25" t="str">
        <f>if('Ingest Template'!A282="Standard",'Ingest Template'!S282&amp; "|2021-01-01",'Ingest Template'!S282)</f>
        <v>#N/A</v>
      </c>
      <c r="AM283" s="25"/>
    </row>
    <row r="284">
      <c r="A284" s="25"/>
      <c r="B284" s="25" t="str">
        <f>'Ingest Template'!C283&amp;IF('Ingest Template'!A283 = "Standard", " - DAR","")</f>
        <v/>
      </c>
      <c r="C284" s="34" t="s">
        <v>92</v>
      </c>
      <c r="D284" s="34" t="str">
        <f>CONCATENATE('Ingest Template'!E284&amp;Char(10)&amp;'Ingest Template'!G284&amp;Char(10)&amp;'Ingest Template'!H284&amp;Char(10)&amp;'Ingest Template'!I284&amp;Char(10)&amp;'Ingest Template'!J284&amp;Char(10)&amp;'Ingest Template'!K284&amp;Char(10)&amp;'Ingest Template'!L284)</f>
        <v>
</v>
      </c>
      <c r="E284" s="25" t="str">
        <f>('Ingest Template'!M284)</f>
        <v/>
      </c>
      <c r="F284" s="40" t="str">
        <f t="array" ref="F284">INDEX(DropDown!$J$2:$J$63,MATCH(1,COUNTIF(E284,DropDown!$I$2:$I$63),0))</f>
        <v>#N/A</v>
      </c>
      <c r="G284" s="25"/>
      <c r="H284" s="25"/>
      <c r="I284" s="25"/>
      <c r="J284" s="25" t="str">
        <f>'Ingest Template'!B284</f>
        <v/>
      </c>
      <c r="K284" s="25" t="str">
        <f>IF('Ingest Template'!A283="Standard",'Ingest Template'!N283,"Competitive View")</f>
        <v>Competitive View</v>
      </c>
      <c r="L284" s="41" t="s">
        <v>145</v>
      </c>
      <c r="M284" s="25" t="str">
        <f>'Ingest Template'!D283</f>
        <v/>
      </c>
      <c r="N284" s="25"/>
      <c r="O284" s="25"/>
      <c r="P284" s="25"/>
      <c r="Q284" s="25"/>
      <c r="R284" s="25" t="str">
        <f>CONCATENATE('Ingest Template'!F283)</f>
        <v/>
      </c>
      <c r="S284" s="43" t="s">
        <v>160</v>
      </c>
      <c r="T284" s="25" t="str">
        <f>'Ingest Template'!W283</f>
        <v/>
      </c>
      <c r="U284" s="25"/>
      <c r="V284" s="25" t="str">
        <f>LOWER(SUBSTITUTE(SUBSTITUTE(SUBSTITUTE(SUBSTITUTE(SUBSTITUTE('Ingest Template'!Y283,"https:",""),"www.",""),"/",""),"?hl=en",""),"instagram.com",""))</f>
        <v/>
      </c>
      <c r="W284" s="34" t="str">
        <f>(IFERROR(vlookup('Ingest Template'!F284,DropDown!D:E,2,false)&amp;'Ingest Template'!C284,""))</f>
        <v/>
      </c>
      <c r="X284" s="25" t="str">
        <f>'Ingest Template'!AA283</f>
        <v/>
      </c>
      <c r="Y284" s="25"/>
      <c r="Z284" s="25"/>
      <c r="AA284" s="25"/>
      <c r="AB284" s="25" t="str">
        <f>'Ingest Template'!T283</f>
        <v/>
      </c>
      <c r="AC284" s="25"/>
      <c r="AD284" s="25" t="str">
        <f>'Ingest Template'!U283</f>
        <v/>
      </c>
      <c r="AE284" s="25" t="str">
        <f>'Ingest Template'!V283</f>
        <v/>
      </c>
      <c r="AF284" s="25"/>
      <c r="AG284" s="25" t="str">
        <f t="array" ref="AG284">IF('Ingest Template'!A283="Standard",(CONCATENATE(IF(ISBLANK('Ingest Template'!O283),"", 'Ingest Template'!O283&amp;"|DAR"),CHAR(10), IF(ISBLANK('Ingest Template'!P283),"", 'Ingest Template'!P283&amp;"|DAR"),CHAR(10), IF(ISBLANK('Ingest Template'!Q283),"", 'Ingest Template'!Q283&amp;"|DAR"))),(CONCATENATE(IF(ISBLANK('Ingest Template'!O283),"", 'Ingest Template'!O283&amp;"|Operations - Core Title"),CHAR(10), IF(ISBLANK('Ingest Template'!P283),"", 'Ingest Template'!P283&amp;"|Operations - Core Title"),CHAR(10), IF(ISBLANK('Ingest Template'!Q283),"", 'Ingest Template'!Q283&amp;"|Operations - Core Title"))))</f>
        <v>#|Operations - Core Title
#videoGame|Operations - Core Title
</v>
      </c>
      <c r="AH284" s="25"/>
      <c r="AI284" s="25"/>
      <c r="AJ284" s="50" t="str">
        <f>if('Ingest Template'!A283="Standard",'Ingest Template'!R283&amp; "|DAR|DAR|2021-01-01",'Ingest Template'!R283&amp; "|Operations - Core Title|Operations - Core Title")</f>
        <v>#N/A</v>
      </c>
      <c r="AK284" s="25"/>
      <c r="AL284" s="25" t="str">
        <f>if('Ingest Template'!A283="Standard",'Ingest Template'!S283&amp; "|2021-01-01",'Ingest Template'!S283)</f>
        <v>#N/A</v>
      </c>
      <c r="AM284" s="25"/>
    </row>
    <row r="285">
      <c r="A285" s="25"/>
      <c r="B285" s="25" t="str">
        <f>'Ingest Template'!C284&amp;IF('Ingest Template'!A284 = "Standard", " - DAR","")</f>
        <v/>
      </c>
      <c r="C285" s="34" t="s">
        <v>92</v>
      </c>
      <c r="D285" s="34" t="str">
        <f>CONCATENATE('Ingest Template'!E285&amp;Char(10)&amp;'Ingest Template'!G285&amp;Char(10)&amp;'Ingest Template'!H285&amp;Char(10)&amp;'Ingest Template'!I285&amp;Char(10)&amp;'Ingest Template'!J285&amp;Char(10)&amp;'Ingest Template'!K285&amp;Char(10)&amp;'Ingest Template'!L285)</f>
        <v>
</v>
      </c>
      <c r="E285" s="25" t="str">
        <f>('Ingest Template'!M285)</f>
        <v/>
      </c>
      <c r="F285" s="40" t="str">
        <f t="array" ref="F285">INDEX(DropDown!$J$2:$J$63,MATCH(1,COUNTIF(E285,DropDown!$I$2:$I$63),0))</f>
        <v>#N/A</v>
      </c>
      <c r="G285" s="25"/>
      <c r="H285" s="25"/>
      <c r="I285" s="25"/>
      <c r="J285" s="25" t="str">
        <f>'Ingest Template'!B285</f>
        <v/>
      </c>
      <c r="K285" s="25" t="str">
        <f>IF('Ingest Template'!A284="Standard",'Ingest Template'!N284,"Competitive View")</f>
        <v>Competitive View</v>
      </c>
      <c r="L285" s="41" t="s">
        <v>145</v>
      </c>
      <c r="M285" s="25" t="str">
        <f>'Ingest Template'!D284</f>
        <v/>
      </c>
      <c r="N285" s="25"/>
      <c r="O285" s="25"/>
      <c r="P285" s="25"/>
      <c r="Q285" s="25"/>
      <c r="R285" s="25" t="str">
        <f>CONCATENATE('Ingest Template'!F284)</f>
        <v/>
      </c>
      <c r="S285" s="43" t="s">
        <v>160</v>
      </c>
      <c r="T285" s="25" t="str">
        <f>'Ingest Template'!W284</f>
        <v/>
      </c>
      <c r="U285" s="25"/>
      <c r="V285" s="25" t="str">
        <f>LOWER(SUBSTITUTE(SUBSTITUTE(SUBSTITUTE(SUBSTITUTE(SUBSTITUTE('Ingest Template'!Y284,"https:",""),"www.",""),"/",""),"?hl=en",""),"instagram.com",""))</f>
        <v/>
      </c>
      <c r="W285" s="34" t="str">
        <f>(IFERROR(vlookup('Ingest Template'!F285,DropDown!D:E,2,false)&amp;'Ingest Template'!C285,""))</f>
        <v/>
      </c>
      <c r="X285" s="25" t="str">
        <f>'Ingest Template'!AA284</f>
        <v/>
      </c>
      <c r="Y285" s="25"/>
      <c r="Z285" s="25"/>
      <c r="AA285" s="25"/>
      <c r="AB285" s="25" t="str">
        <f>'Ingest Template'!T284</f>
        <v/>
      </c>
      <c r="AC285" s="25"/>
      <c r="AD285" s="25" t="str">
        <f>'Ingest Template'!U284</f>
        <v/>
      </c>
      <c r="AE285" s="25" t="str">
        <f>'Ingest Template'!V284</f>
        <v/>
      </c>
      <c r="AF285" s="25"/>
      <c r="AG285" s="25" t="str">
        <f t="array" ref="AG285">IF('Ingest Template'!A284="Standard",(CONCATENATE(IF(ISBLANK('Ingest Template'!O284),"", 'Ingest Template'!O284&amp;"|DAR"),CHAR(10), IF(ISBLANK('Ingest Template'!P284),"", 'Ingest Template'!P284&amp;"|DAR"),CHAR(10), IF(ISBLANK('Ingest Template'!Q284),"", 'Ingest Template'!Q284&amp;"|DAR"))),(CONCATENATE(IF(ISBLANK('Ingest Template'!O284),"", 'Ingest Template'!O284&amp;"|Operations - Core Title"),CHAR(10), IF(ISBLANK('Ingest Template'!P284),"", 'Ingest Template'!P284&amp;"|Operations - Core Title"),CHAR(10), IF(ISBLANK('Ingest Template'!Q284),"", 'Ingest Template'!Q284&amp;"|Operations - Core Title"))))</f>
        <v>#|Operations - Core Title
#videoGame|Operations - Core Title
</v>
      </c>
      <c r="AH285" s="25"/>
      <c r="AI285" s="25"/>
      <c r="AJ285" s="50" t="str">
        <f>if('Ingest Template'!A284="Standard",'Ingest Template'!R284&amp; "|DAR|DAR|2021-01-01",'Ingest Template'!R284&amp; "|Operations - Core Title|Operations - Core Title")</f>
        <v>#N/A</v>
      </c>
      <c r="AK285" s="25"/>
      <c r="AL285" s="25" t="str">
        <f>if('Ingest Template'!A284="Standard",'Ingest Template'!S284&amp; "|2021-01-01",'Ingest Template'!S284)</f>
        <v>#N/A</v>
      </c>
      <c r="AM285" s="25"/>
    </row>
    <row r="286">
      <c r="A286" s="25"/>
      <c r="B286" s="25" t="str">
        <f>'Ingest Template'!C285&amp;IF('Ingest Template'!A285 = "Standard", " - DAR","")</f>
        <v/>
      </c>
      <c r="C286" s="34" t="s">
        <v>92</v>
      </c>
      <c r="D286" s="34" t="str">
        <f>CONCATENATE('Ingest Template'!E286&amp;Char(10)&amp;'Ingest Template'!G286&amp;Char(10)&amp;'Ingest Template'!H286&amp;Char(10)&amp;'Ingest Template'!I286&amp;Char(10)&amp;'Ingest Template'!J286&amp;Char(10)&amp;'Ingest Template'!K286&amp;Char(10)&amp;'Ingest Template'!L286)</f>
        <v>
</v>
      </c>
      <c r="E286" s="25" t="str">
        <f>('Ingest Template'!M286)</f>
        <v/>
      </c>
      <c r="F286" s="40" t="str">
        <f t="array" ref="F286">INDEX(DropDown!$J$2:$J$63,MATCH(1,COUNTIF(E286,DropDown!$I$2:$I$63),0))</f>
        <v>#N/A</v>
      </c>
      <c r="G286" s="25"/>
      <c r="H286" s="25"/>
      <c r="I286" s="25"/>
      <c r="J286" s="25" t="str">
        <f>'Ingest Template'!B286</f>
        <v/>
      </c>
      <c r="K286" s="25" t="str">
        <f>IF('Ingest Template'!A285="Standard",'Ingest Template'!N285,"Competitive View")</f>
        <v>Competitive View</v>
      </c>
      <c r="L286" s="41" t="s">
        <v>145</v>
      </c>
      <c r="M286" s="25" t="str">
        <f>'Ingest Template'!D285</f>
        <v/>
      </c>
      <c r="N286" s="25"/>
      <c r="O286" s="25"/>
      <c r="P286" s="25"/>
      <c r="Q286" s="25"/>
      <c r="R286" s="25" t="str">
        <f>CONCATENATE('Ingest Template'!F285)</f>
        <v/>
      </c>
      <c r="S286" s="43" t="s">
        <v>160</v>
      </c>
      <c r="T286" s="25" t="str">
        <f>'Ingest Template'!W285</f>
        <v/>
      </c>
      <c r="U286" s="25"/>
      <c r="V286" s="25" t="str">
        <f>LOWER(SUBSTITUTE(SUBSTITUTE(SUBSTITUTE(SUBSTITUTE(SUBSTITUTE('Ingest Template'!Y285,"https:",""),"www.",""),"/",""),"?hl=en",""),"instagram.com",""))</f>
        <v/>
      </c>
      <c r="W286" s="34" t="str">
        <f>(IFERROR(vlookup('Ingest Template'!F286,DropDown!D:E,2,false)&amp;'Ingest Template'!C286,""))</f>
        <v/>
      </c>
      <c r="X286" s="25" t="str">
        <f>'Ingest Template'!AA285</f>
        <v/>
      </c>
      <c r="Y286" s="25"/>
      <c r="Z286" s="25"/>
      <c r="AA286" s="25"/>
      <c r="AB286" s="25" t="str">
        <f>'Ingest Template'!T285</f>
        <v/>
      </c>
      <c r="AC286" s="25"/>
      <c r="AD286" s="25" t="str">
        <f>'Ingest Template'!U285</f>
        <v/>
      </c>
      <c r="AE286" s="25" t="str">
        <f>'Ingest Template'!V285</f>
        <v/>
      </c>
      <c r="AF286" s="25"/>
      <c r="AG286" s="25" t="str">
        <f t="array" ref="AG286">IF('Ingest Template'!A285="Standard",(CONCATENATE(IF(ISBLANK('Ingest Template'!O285),"", 'Ingest Template'!O285&amp;"|DAR"),CHAR(10), IF(ISBLANK('Ingest Template'!P285),"", 'Ingest Template'!P285&amp;"|DAR"),CHAR(10), IF(ISBLANK('Ingest Template'!Q285),"", 'Ingest Template'!Q285&amp;"|DAR"))),(CONCATENATE(IF(ISBLANK('Ingest Template'!O285),"", 'Ingest Template'!O285&amp;"|Operations - Core Title"),CHAR(10), IF(ISBLANK('Ingest Template'!P285),"", 'Ingest Template'!P285&amp;"|Operations - Core Title"),CHAR(10), IF(ISBLANK('Ingest Template'!Q285),"", 'Ingest Template'!Q285&amp;"|Operations - Core Title"))))</f>
        <v>#|Operations - Core Title
#videoGame|Operations - Core Title
</v>
      </c>
      <c r="AH286" s="25"/>
      <c r="AI286" s="25"/>
      <c r="AJ286" s="50" t="str">
        <f>if('Ingest Template'!A285="Standard",'Ingest Template'!R285&amp; "|DAR|DAR|2021-01-01",'Ingest Template'!R285&amp; "|Operations - Core Title|Operations - Core Title")</f>
        <v>#N/A</v>
      </c>
      <c r="AK286" s="25"/>
      <c r="AL286" s="25" t="str">
        <f>if('Ingest Template'!A285="Standard",'Ingest Template'!S285&amp; "|2021-01-01",'Ingest Template'!S285)</f>
        <v>#N/A</v>
      </c>
      <c r="AM286" s="25"/>
    </row>
    <row r="287">
      <c r="A287" s="25"/>
      <c r="B287" s="25" t="str">
        <f>'Ingest Template'!C286&amp;IF('Ingest Template'!A286 = "Standard", " - DAR","")</f>
        <v/>
      </c>
      <c r="C287" s="34" t="s">
        <v>92</v>
      </c>
      <c r="D287" s="34" t="str">
        <f>CONCATENATE('Ingest Template'!E287&amp;Char(10)&amp;'Ingest Template'!G287&amp;Char(10)&amp;'Ingest Template'!H287&amp;Char(10)&amp;'Ingest Template'!I287&amp;Char(10)&amp;'Ingest Template'!J287&amp;Char(10)&amp;'Ingest Template'!K287&amp;Char(10)&amp;'Ingest Template'!L287)</f>
        <v>
</v>
      </c>
      <c r="E287" s="25" t="str">
        <f>('Ingest Template'!M287)</f>
        <v/>
      </c>
      <c r="F287" s="40" t="str">
        <f t="array" ref="F287">INDEX(DropDown!$J$2:$J$63,MATCH(1,COUNTIF(E287,DropDown!$I$2:$I$63),0))</f>
        <v>#N/A</v>
      </c>
      <c r="G287" s="25"/>
      <c r="H287" s="25"/>
      <c r="I287" s="25"/>
      <c r="J287" s="25" t="str">
        <f>'Ingest Template'!B287</f>
        <v/>
      </c>
      <c r="K287" s="25" t="str">
        <f>IF('Ingest Template'!A286="Standard",'Ingest Template'!N286,"Competitive View")</f>
        <v>Competitive View</v>
      </c>
      <c r="L287" s="41" t="s">
        <v>145</v>
      </c>
      <c r="M287" s="25" t="str">
        <f>'Ingest Template'!D286</f>
        <v/>
      </c>
      <c r="N287" s="25"/>
      <c r="O287" s="25"/>
      <c r="P287" s="25"/>
      <c r="Q287" s="25"/>
      <c r="R287" s="25" t="str">
        <f>CONCATENATE('Ingest Template'!F286)</f>
        <v/>
      </c>
      <c r="S287" s="43" t="s">
        <v>160</v>
      </c>
      <c r="T287" s="25" t="str">
        <f>'Ingest Template'!W286</f>
        <v/>
      </c>
      <c r="U287" s="25"/>
      <c r="V287" s="25" t="str">
        <f>LOWER(SUBSTITUTE(SUBSTITUTE(SUBSTITUTE(SUBSTITUTE(SUBSTITUTE('Ingest Template'!Y286,"https:",""),"www.",""),"/",""),"?hl=en",""),"instagram.com",""))</f>
        <v/>
      </c>
      <c r="W287" s="34" t="str">
        <f>(IFERROR(vlookup('Ingest Template'!F287,DropDown!D:E,2,false)&amp;'Ingest Template'!C287,""))</f>
        <v/>
      </c>
      <c r="X287" s="25" t="str">
        <f>'Ingest Template'!AA286</f>
        <v/>
      </c>
      <c r="Y287" s="25"/>
      <c r="Z287" s="25"/>
      <c r="AA287" s="25"/>
      <c r="AB287" s="25" t="str">
        <f>'Ingest Template'!T286</f>
        <v/>
      </c>
      <c r="AC287" s="25"/>
      <c r="AD287" s="25" t="str">
        <f>'Ingest Template'!U286</f>
        <v/>
      </c>
      <c r="AE287" s="25" t="str">
        <f>'Ingest Template'!V286</f>
        <v/>
      </c>
      <c r="AF287" s="25"/>
      <c r="AG287" s="25" t="str">
        <f t="array" ref="AG287">IF('Ingest Template'!A286="Standard",(CONCATENATE(IF(ISBLANK('Ingest Template'!O286),"", 'Ingest Template'!O286&amp;"|DAR"),CHAR(10), IF(ISBLANK('Ingest Template'!P286),"", 'Ingest Template'!P286&amp;"|DAR"),CHAR(10), IF(ISBLANK('Ingest Template'!Q286),"", 'Ingest Template'!Q286&amp;"|DAR"))),(CONCATENATE(IF(ISBLANK('Ingest Template'!O286),"", 'Ingest Template'!O286&amp;"|Operations - Core Title"),CHAR(10), IF(ISBLANK('Ingest Template'!P286),"", 'Ingest Template'!P286&amp;"|Operations - Core Title"),CHAR(10), IF(ISBLANK('Ingest Template'!Q286),"", 'Ingest Template'!Q286&amp;"|Operations - Core Title"))))</f>
        <v>#|Operations - Core Title
#videoGame|Operations - Core Title
</v>
      </c>
      <c r="AH287" s="25"/>
      <c r="AI287" s="25"/>
      <c r="AJ287" s="50" t="str">
        <f>if('Ingest Template'!A286="Standard",'Ingest Template'!R286&amp; "|DAR|DAR|2021-01-01",'Ingest Template'!R286&amp; "|Operations - Core Title|Operations - Core Title")</f>
        <v>#N/A</v>
      </c>
      <c r="AK287" s="25"/>
      <c r="AL287" s="25" t="str">
        <f>if('Ingest Template'!A286="Standard",'Ingest Template'!S286&amp; "|2021-01-01",'Ingest Template'!S286)</f>
        <v>#N/A</v>
      </c>
      <c r="AM287" s="25"/>
    </row>
    <row r="288">
      <c r="A288" s="25"/>
      <c r="B288" s="25" t="str">
        <f>'Ingest Template'!C287&amp;IF('Ingest Template'!A287 = "Standard", " - DAR","")</f>
        <v/>
      </c>
      <c r="C288" s="34" t="s">
        <v>92</v>
      </c>
      <c r="D288" s="34" t="str">
        <f>CONCATENATE('Ingest Template'!E288&amp;Char(10)&amp;'Ingest Template'!G288&amp;Char(10)&amp;'Ingest Template'!H288&amp;Char(10)&amp;'Ingest Template'!I288&amp;Char(10)&amp;'Ingest Template'!J288&amp;Char(10)&amp;'Ingest Template'!K288&amp;Char(10)&amp;'Ingest Template'!L288)</f>
        <v>
</v>
      </c>
      <c r="E288" s="25" t="str">
        <f>('Ingest Template'!M288)</f>
        <v/>
      </c>
      <c r="F288" s="40" t="str">
        <f t="array" ref="F288">INDEX(DropDown!$J$2:$J$63,MATCH(1,COUNTIF(E288,DropDown!$I$2:$I$63),0))</f>
        <v>#N/A</v>
      </c>
      <c r="G288" s="25"/>
      <c r="H288" s="25"/>
      <c r="I288" s="25"/>
      <c r="J288" s="25" t="str">
        <f>'Ingest Template'!B288</f>
        <v/>
      </c>
      <c r="K288" s="25" t="str">
        <f>IF('Ingest Template'!A287="Standard",'Ingest Template'!N287,"Competitive View")</f>
        <v>Competitive View</v>
      </c>
      <c r="L288" s="41" t="s">
        <v>145</v>
      </c>
      <c r="M288" s="25" t="str">
        <f>'Ingest Template'!D287</f>
        <v/>
      </c>
      <c r="N288" s="25"/>
      <c r="O288" s="25"/>
      <c r="P288" s="25"/>
      <c r="Q288" s="25"/>
      <c r="R288" s="25" t="str">
        <f>CONCATENATE('Ingest Template'!F287)</f>
        <v/>
      </c>
      <c r="S288" s="43" t="s">
        <v>160</v>
      </c>
      <c r="T288" s="25" t="str">
        <f>'Ingest Template'!W287</f>
        <v/>
      </c>
      <c r="U288" s="25"/>
      <c r="V288" s="25" t="str">
        <f>LOWER(SUBSTITUTE(SUBSTITUTE(SUBSTITUTE(SUBSTITUTE(SUBSTITUTE('Ingest Template'!Y287,"https:",""),"www.",""),"/",""),"?hl=en",""),"instagram.com",""))</f>
        <v/>
      </c>
      <c r="W288" s="34" t="str">
        <f>(IFERROR(vlookup('Ingest Template'!F288,DropDown!D:E,2,false)&amp;'Ingest Template'!C288,""))</f>
        <v/>
      </c>
      <c r="X288" s="25" t="str">
        <f>'Ingest Template'!AA287</f>
        <v/>
      </c>
      <c r="Y288" s="25"/>
      <c r="Z288" s="25"/>
      <c r="AA288" s="25"/>
      <c r="AB288" s="25" t="str">
        <f>'Ingest Template'!T287</f>
        <v/>
      </c>
      <c r="AC288" s="25"/>
      <c r="AD288" s="25" t="str">
        <f>'Ingest Template'!U287</f>
        <v/>
      </c>
      <c r="AE288" s="25" t="str">
        <f>'Ingest Template'!V287</f>
        <v/>
      </c>
      <c r="AF288" s="25"/>
      <c r="AG288" s="25" t="str">
        <f t="array" ref="AG288">IF('Ingest Template'!A287="Standard",(CONCATENATE(IF(ISBLANK('Ingest Template'!O287),"", 'Ingest Template'!O287&amp;"|DAR"),CHAR(10), IF(ISBLANK('Ingest Template'!P287),"", 'Ingest Template'!P287&amp;"|DAR"),CHAR(10), IF(ISBLANK('Ingest Template'!Q287),"", 'Ingest Template'!Q287&amp;"|DAR"))),(CONCATENATE(IF(ISBLANK('Ingest Template'!O287),"", 'Ingest Template'!O287&amp;"|Operations - Core Title"),CHAR(10), IF(ISBLANK('Ingest Template'!P287),"", 'Ingest Template'!P287&amp;"|Operations - Core Title"),CHAR(10), IF(ISBLANK('Ingest Template'!Q287),"", 'Ingest Template'!Q287&amp;"|Operations - Core Title"))))</f>
        <v>#|Operations - Core Title
#videoGame|Operations - Core Title
</v>
      </c>
      <c r="AH288" s="25"/>
      <c r="AI288" s="25"/>
      <c r="AJ288" s="50" t="str">
        <f>if('Ingest Template'!A287="Standard",'Ingest Template'!R287&amp; "|DAR|DAR|2021-01-01",'Ingest Template'!R287&amp; "|Operations - Core Title|Operations - Core Title")</f>
        <v>#N/A</v>
      </c>
      <c r="AK288" s="25"/>
      <c r="AL288" s="25" t="str">
        <f>if('Ingest Template'!A287="Standard",'Ingest Template'!S287&amp; "|2021-01-01",'Ingest Template'!S287)</f>
        <v>#N/A</v>
      </c>
      <c r="AM288" s="25"/>
    </row>
    <row r="289">
      <c r="A289" s="25"/>
      <c r="B289" s="25" t="str">
        <f>'Ingest Template'!C288&amp;IF('Ingest Template'!A288 = "Standard", " - DAR","")</f>
        <v/>
      </c>
      <c r="C289" s="34" t="s">
        <v>92</v>
      </c>
      <c r="D289" s="34" t="str">
        <f>CONCATENATE('Ingest Template'!E289&amp;Char(10)&amp;'Ingest Template'!G289&amp;Char(10)&amp;'Ingest Template'!H289&amp;Char(10)&amp;'Ingest Template'!I289&amp;Char(10)&amp;'Ingest Template'!J289&amp;Char(10)&amp;'Ingest Template'!K289&amp;Char(10)&amp;'Ingest Template'!L289)</f>
        <v>
</v>
      </c>
      <c r="E289" s="25" t="str">
        <f>('Ingest Template'!M289)</f>
        <v/>
      </c>
      <c r="F289" s="40" t="str">
        <f t="array" ref="F289">INDEX(DropDown!$J$2:$J$63,MATCH(1,COUNTIF(E289,DropDown!$I$2:$I$63),0))</f>
        <v>#N/A</v>
      </c>
      <c r="G289" s="25"/>
      <c r="H289" s="25"/>
      <c r="I289" s="25"/>
      <c r="J289" s="25" t="str">
        <f>'Ingest Template'!B289</f>
        <v/>
      </c>
      <c r="K289" s="25" t="str">
        <f>IF('Ingest Template'!A288="Standard",'Ingest Template'!N288,"Competitive View")</f>
        <v>Competitive View</v>
      </c>
      <c r="L289" s="41" t="s">
        <v>145</v>
      </c>
      <c r="M289" s="25" t="str">
        <f>'Ingest Template'!D288</f>
        <v/>
      </c>
      <c r="N289" s="25"/>
      <c r="O289" s="25"/>
      <c r="P289" s="25"/>
      <c r="Q289" s="25"/>
      <c r="R289" s="25" t="str">
        <f>CONCATENATE('Ingest Template'!F288)</f>
        <v/>
      </c>
      <c r="S289" s="43" t="s">
        <v>160</v>
      </c>
      <c r="T289" s="25" t="str">
        <f>'Ingest Template'!W288</f>
        <v/>
      </c>
      <c r="U289" s="25"/>
      <c r="V289" s="25" t="str">
        <f>LOWER(SUBSTITUTE(SUBSTITUTE(SUBSTITUTE(SUBSTITUTE(SUBSTITUTE('Ingest Template'!Y288,"https:",""),"www.",""),"/",""),"?hl=en",""),"instagram.com",""))</f>
        <v/>
      </c>
      <c r="W289" s="34" t="str">
        <f>(IFERROR(vlookup('Ingest Template'!F289,DropDown!D:E,2,false)&amp;'Ingest Template'!C289,""))</f>
        <v/>
      </c>
      <c r="X289" s="25" t="str">
        <f>'Ingest Template'!AA288</f>
        <v/>
      </c>
      <c r="Y289" s="25"/>
      <c r="Z289" s="25"/>
      <c r="AA289" s="25"/>
      <c r="AB289" s="25" t="str">
        <f>'Ingest Template'!T288</f>
        <v/>
      </c>
      <c r="AC289" s="25"/>
      <c r="AD289" s="25" t="str">
        <f>'Ingest Template'!U288</f>
        <v/>
      </c>
      <c r="AE289" s="25" t="str">
        <f>'Ingest Template'!V288</f>
        <v/>
      </c>
      <c r="AF289" s="25"/>
      <c r="AG289" s="25" t="str">
        <f t="array" ref="AG289">IF('Ingest Template'!A288="Standard",(CONCATENATE(IF(ISBLANK('Ingest Template'!O288),"", 'Ingest Template'!O288&amp;"|DAR"),CHAR(10), IF(ISBLANK('Ingest Template'!P288),"", 'Ingest Template'!P288&amp;"|DAR"),CHAR(10), IF(ISBLANK('Ingest Template'!Q288),"", 'Ingest Template'!Q288&amp;"|DAR"))),(CONCATENATE(IF(ISBLANK('Ingest Template'!O288),"", 'Ingest Template'!O288&amp;"|Operations - Core Title"),CHAR(10), IF(ISBLANK('Ingest Template'!P288),"", 'Ingest Template'!P288&amp;"|Operations - Core Title"),CHAR(10), IF(ISBLANK('Ingest Template'!Q288),"", 'Ingest Template'!Q288&amp;"|Operations - Core Title"))))</f>
        <v>#|Operations - Core Title
#videoGame|Operations - Core Title
</v>
      </c>
      <c r="AH289" s="25"/>
      <c r="AI289" s="25"/>
      <c r="AJ289" s="50" t="str">
        <f>if('Ingest Template'!A288="Standard",'Ingest Template'!R288&amp; "|DAR|DAR|2021-01-01",'Ingest Template'!R288&amp; "|Operations - Core Title|Operations - Core Title")</f>
        <v>#N/A</v>
      </c>
      <c r="AK289" s="25"/>
      <c r="AL289" s="25" t="str">
        <f>if('Ingest Template'!A288="Standard",'Ingest Template'!S288&amp; "|2021-01-01",'Ingest Template'!S288)</f>
        <v>#N/A</v>
      </c>
      <c r="AM289" s="25"/>
    </row>
    <row r="290">
      <c r="A290" s="25"/>
      <c r="B290" s="25" t="str">
        <f>'Ingest Template'!C289&amp;IF('Ingest Template'!A289 = "Standard", " - DAR","")</f>
        <v/>
      </c>
      <c r="C290" s="34" t="s">
        <v>92</v>
      </c>
      <c r="D290" s="34" t="str">
        <f>CONCATENATE('Ingest Template'!E290&amp;Char(10)&amp;'Ingest Template'!G290&amp;Char(10)&amp;'Ingest Template'!H290&amp;Char(10)&amp;'Ingest Template'!I290&amp;Char(10)&amp;'Ingest Template'!J290&amp;Char(10)&amp;'Ingest Template'!K290&amp;Char(10)&amp;'Ingest Template'!L290)</f>
        <v>
</v>
      </c>
      <c r="E290" s="25" t="str">
        <f>('Ingest Template'!M290)</f>
        <v/>
      </c>
      <c r="F290" s="40" t="str">
        <f t="array" ref="F290">INDEX(DropDown!$J$2:$J$63,MATCH(1,COUNTIF(E290,DropDown!$I$2:$I$63),0))</f>
        <v>#N/A</v>
      </c>
      <c r="G290" s="25"/>
      <c r="H290" s="25"/>
      <c r="I290" s="25"/>
      <c r="J290" s="25" t="str">
        <f>'Ingest Template'!B290</f>
        <v/>
      </c>
      <c r="K290" s="25" t="str">
        <f>IF('Ingest Template'!A289="Standard",'Ingest Template'!N289,"Competitive View")</f>
        <v>Competitive View</v>
      </c>
      <c r="L290" s="41" t="s">
        <v>145</v>
      </c>
      <c r="M290" s="25" t="str">
        <f>'Ingest Template'!D289</f>
        <v/>
      </c>
      <c r="N290" s="25"/>
      <c r="O290" s="25"/>
      <c r="P290" s="25"/>
      <c r="Q290" s="25"/>
      <c r="R290" s="25" t="str">
        <f>CONCATENATE('Ingest Template'!F289)</f>
        <v/>
      </c>
      <c r="S290" s="43" t="s">
        <v>160</v>
      </c>
      <c r="T290" s="25" t="str">
        <f>'Ingest Template'!W289</f>
        <v/>
      </c>
      <c r="U290" s="25"/>
      <c r="V290" s="25" t="str">
        <f>LOWER(SUBSTITUTE(SUBSTITUTE(SUBSTITUTE(SUBSTITUTE(SUBSTITUTE('Ingest Template'!Y289,"https:",""),"www.",""),"/",""),"?hl=en",""),"instagram.com",""))</f>
        <v/>
      </c>
      <c r="W290" s="34" t="str">
        <f>(IFERROR(vlookup('Ingest Template'!F290,DropDown!D:E,2,false)&amp;'Ingest Template'!C290,""))</f>
        <v/>
      </c>
      <c r="X290" s="25" t="str">
        <f>'Ingest Template'!AA289</f>
        <v/>
      </c>
      <c r="Y290" s="25"/>
      <c r="Z290" s="25"/>
      <c r="AA290" s="25"/>
      <c r="AB290" s="25" t="str">
        <f>'Ingest Template'!T289</f>
        <v/>
      </c>
      <c r="AC290" s="25"/>
      <c r="AD290" s="25" t="str">
        <f>'Ingest Template'!U289</f>
        <v/>
      </c>
      <c r="AE290" s="25" t="str">
        <f>'Ingest Template'!V289</f>
        <v/>
      </c>
      <c r="AF290" s="25"/>
      <c r="AG290" s="25" t="str">
        <f t="array" ref="AG290">IF('Ingest Template'!A289="Standard",(CONCATENATE(IF(ISBLANK('Ingest Template'!O289),"", 'Ingest Template'!O289&amp;"|DAR"),CHAR(10), IF(ISBLANK('Ingest Template'!P289),"", 'Ingest Template'!P289&amp;"|DAR"),CHAR(10), IF(ISBLANK('Ingest Template'!Q289),"", 'Ingest Template'!Q289&amp;"|DAR"))),(CONCATENATE(IF(ISBLANK('Ingest Template'!O289),"", 'Ingest Template'!O289&amp;"|Operations - Core Title"),CHAR(10), IF(ISBLANK('Ingest Template'!P289),"", 'Ingest Template'!P289&amp;"|Operations - Core Title"),CHAR(10), IF(ISBLANK('Ingest Template'!Q289),"", 'Ingest Template'!Q289&amp;"|Operations - Core Title"))))</f>
        <v>#|Operations - Core Title
#videoGame|Operations - Core Title
</v>
      </c>
      <c r="AH290" s="25"/>
      <c r="AI290" s="25"/>
      <c r="AJ290" s="50" t="str">
        <f>if('Ingest Template'!A289="Standard",'Ingest Template'!R289&amp; "|DAR|DAR|2021-01-01",'Ingest Template'!R289&amp; "|Operations - Core Title|Operations - Core Title")</f>
        <v>#N/A</v>
      </c>
      <c r="AK290" s="25"/>
      <c r="AL290" s="25" t="str">
        <f>if('Ingest Template'!A289="Standard",'Ingest Template'!S289&amp; "|2021-01-01",'Ingest Template'!S289)</f>
        <v>#N/A</v>
      </c>
      <c r="AM290" s="25"/>
    </row>
    <row r="291">
      <c r="A291" s="25"/>
      <c r="B291" s="25" t="str">
        <f>'Ingest Template'!C290&amp;IF('Ingest Template'!A290 = "Standard", " - DAR","")</f>
        <v/>
      </c>
      <c r="C291" s="34" t="s">
        <v>92</v>
      </c>
      <c r="D291" s="34" t="str">
        <f>CONCATENATE('Ingest Template'!E291&amp;Char(10)&amp;'Ingest Template'!G291&amp;Char(10)&amp;'Ingest Template'!H291&amp;Char(10)&amp;'Ingest Template'!I291&amp;Char(10)&amp;'Ingest Template'!J291&amp;Char(10)&amp;'Ingest Template'!K291&amp;Char(10)&amp;'Ingest Template'!L291)</f>
        <v>
</v>
      </c>
      <c r="E291" s="25" t="str">
        <f>('Ingest Template'!M291)</f>
        <v/>
      </c>
      <c r="F291" s="40" t="str">
        <f t="array" ref="F291">INDEX(DropDown!$J$2:$J$63,MATCH(1,COUNTIF(E291,DropDown!$I$2:$I$63),0))</f>
        <v>#N/A</v>
      </c>
      <c r="G291" s="25"/>
      <c r="H291" s="25"/>
      <c r="I291" s="25"/>
      <c r="J291" s="25" t="str">
        <f>'Ingest Template'!B291</f>
        <v/>
      </c>
      <c r="K291" s="25" t="str">
        <f>IF('Ingest Template'!A290="Standard",'Ingest Template'!N290,"Competitive View")</f>
        <v>Competitive View</v>
      </c>
      <c r="L291" s="41" t="s">
        <v>145</v>
      </c>
      <c r="M291" s="25" t="str">
        <f>'Ingest Template'!D290</f>
        <v/>
      </c>
      <c r="N291" s="25"/>
      <c r="O291" s="25"/>
      <c r="P291" s="25"/>
      <c r="Q291" s="25"/>
      <c r="R291" s="25" t="str">
        <f>CONCATENATE('Ingest Template'!F290)</f>
        <v/>
      </c>
      <c r="S291" s="43" t="s">
        <v>160</v>
      </c>
      <c r="T291" s="25" t="str">
        <f>'Ingest Template'!W290</f>
        <v/>
      </c>
      <c r="U291" s="25"/>
      <c r="V291" s="25" t="str">
        <f>LOWER(SUBSTITUTE(SUBSTITUTE(SUBSTITUTE(SUBSTITUTE(SUBSTITUTE('Ingest Template'!Y290,"https:",""),"www.",""),"/",""),"?hl=en",""),"instagram.com",""))</f>
        <v/>
      </c>
      <c r="W291" s="34" t="str">
        <f>(IFERROR(vlookup('Ingest Template'!F291,DropDown!D:E,2,false)&amp;'Ingest Template'!C291,""))</f>
        <v/>
      </c>
      <c r="X291" s="25" t="str">
        <f>'Ingest Template'!AA290</f>
        <v/>
      </c>
      <c r="Y291" s="25"/>
      <c r="Z291" s="25"/>
      <c r="AA291" s="25"/>
      <c r="AB291" s="25" t="str">
        <f>'Ingest Template'!T290</f>
        <v/>
      </c>
      <c r="AC291" s="25"/>
      <c r="AD291" s="25" t="str">
        <f>'Ingest Template'!U290</f>
        <v/>
      </c>
      <c r="AE291" s="25" t="str">
        <f>'Ingest Template'!V290</f>
        <v/>
      </c>
      <c r="AF291" s="25"/>
      <c r="AG291" s="25" t="str">
        <f t="array" ref="AG291">IF('Ingest Template'!A290="Standard",(CONCATENATE(IF(ISBLANK('Ingest Template'!O290),"", 'Ingest Template'!O290&amp;"|DAR"),CHAR(10), IF(ISBLANK('Ingest Template'!P290),"", 'Ingest Template'!P290&amp;"|DAR"),CHAR(10), IF(ISBLANK('Ingest Template'!Q290),"", 'Ingest Template'!Q290&amp;"|DAR"))),(CONCATENATE(IF(ISBLANK('Ingest Template'!O290),"", 'Ingest Template'!O290&amp;"|Operations - Core Title"),CHAR(10), IF(ISBLANK('Ingest Template'!P290),"", 'Ingest Template'!P290&amp;"|Operations - Core Title"),CHAR(10), IF(ISBLANK('Ingest Template'!Q290),"", 'Ingest Template'!Q290&amp;"|Operations - Core Title"))))</f>
        <v>#|Operations - Core Title
#videoGame|Operations - Core Title
</v>
      </c>
      <c r="AH291" s="25"/>
      <c r="AI291" s="25"/>
      <c r="AJ291" s="50" t="str">
        <f>if('Ingest Template'!A290="Standard",'Ingest Template'!R290&amp; "|DAR|DAR|2021-01-01",'Ingest Template'!R290&amp; "|Operations - Core Title|Operations - Core Title")</f>
        <v>#N/A</v>
      </c>
      <c r="AK291" s="25"/>
      <c r="AL291" s="25" t="str">
        <f>if('Ingest Template'!A290="Standard",'Ingest Template'!S290&amp; "|2021-01-01",'Ingest Template'!S290)</f>
        <v>#N/A</v>
      </c>
      <c r="AM291" s="25"/>
    </row>
    <row r="292">
      <c r="A292" s="25"/>
      <c r="B292" s="25" t="str">
        <f>'Ingest Template'!C291&amp;IF('Ingest Template'!A291 = "Standard", " - DAR","")</f>
        <v/>
      </c>
      <c r="C292" s="34" t="s">
        <v>92</v>
      </c>
      <c r="D292" s="34" t="str">
        <f>CONCATENATE('Ingest Template'!E292&amp;Char(10)&amp;'Ingest Template'!G292&amp;Char(10)&amp;'Ingest Template'!H292&amp;Char(10)&amp;'Ingest Template'!I292&amp;Char(10)&amp;'Ingest Template'!J292&amp;Char(10)&amp;'Ingest Template'!K292&amp;Char(10)&amp;'Ingest Template'!L292)</f>
        <v>
</v>
      </c>
      <c r="E292" s="25" t="str">
        <f>('Ingest Template'!M292)</f>
        <v/>
      </c>
      <c r="F292" s="40" t="str">
        <f t="array" ref="F292">INDEX(DropDown!$J$2:$J$63,MATCH(1,COUNTIF(E292,DropDown!$I$2:$I$63),0))</f>
        <v>#N/A</v>
      </c>
      <c r="G292" s="25"/>
      <c r="H292" s="25"/>
      <c r="I292" s="25"/>
      <c r="J292" s="25" t="str">
        <f>'Ingest Template'!B292</f>
        <v/>
      </c>
      <c r="K292" s="25" t="str">
        <f>IF('Ingest Template'!A291="Standard",'Ingest Template'!N291,"Competitive View")</f>
        <v>Competitive View</v>
      </c>
      <c r="L292" s="41" t="s">
        <v>145</v>
      </c>
      <c r="M292" s="25" t="str">
        <f>'Ingest Template'!D291</f>
        <v/>
      </c>
      <c r="N292" s="25"/>
      <c r="O292" s="25"/>
      <c r="P292" s="25"/>
      <c r="Q292" s="25"/>
      <c r="R292" s="25" t="str">
        <f>CONCATENATE('Ingest Template'!F291)</f>
        <v/>
      </c>
      <c r="S292" s="43" t="s">
        <v>160</v>
      </c>
      <c r="T292" s="25" t="str">
        <f>'Ingest Template'!W291</f>
        <v/>
      </c>
      <c r="U292" s="25"/>
      <c r="V292" s="25" t="str">
        <f>LOWER(SUBSTITUTE(SUBSTITUTE(SUBSTITUTE(SUBSTITUTE(SUBSTITUTE('Ingest Template'!Y291,"https:",""),"www.",""),"/",""),"?hl=en",""),"instagram.com",""))</f>
        <v/>
      </c>
      <c r="W292" s="34" t="str">
        <f>(IFERROR(vlookup('Ingest Template'!F292,DropDown!D:E,2,false)&amp;'Ingest Template'!C292,""))</f>
        <v/>
      </c>
      <c r="X292" s="25" t="str">
        <f>'Ingest Template'!AA291</f>
        <v/>
      </c>
      <c r="Y292" s="25"/>
      <c r="Z292" s="25"/>
      <c r="AA292" s="25"/>
      <c r="AB292" s="25" t="str">
        <f>'Ingest Template'!T291</f>
        <v/>
      </c>
      <c r="AC292" s="25"/>
      <c r="AD292" s="25" t="str">
        <f>'Ingest Template'!U291</f>
        <v/>
      </c>
      <c r="AE292" s="25" t="str">
        <f>'Ingest Template'!V291</f>
        <v/>
      </c>
      <c r="AF292" s="25"/>
      <c r="AG292" s="25" t="str">
        <f t="array" ref="AG292">IF('Ingest Template'!A291="Standard",(CONCATENATE(IF(ISBLANK('Ingest Template'!O291),"", 'Ingest Template'!O291&amp;"|DAR"),CHAR(10), IF(ISBLANK('Ingest Template'!P291),"", 'Ingest Template'!P291&amp;"|DAR"),CHAR(10), IF(ISBLANK('Ingest Template'!Q291),"", 'Ingest Template'!Q291&amp;"|DAR"))),(CONCATENATE(IF(ISBLANK('Ingest Template'!O291),"", 'Ingest Template'!O291&amp;"|Operations - Core Title"),CHAR(10), IF(ISBLANK('Ingest Template'!P291),"", 'Ingest Template'!P291&amp;"|Operations - Core Title"),CHAR(10), IF(ISBLANK('Ingest Template'!Q291),"", 'Ingest Template'!Q291&amp;"|Operations - Core Title"))))</f>
        <v>#|Operations - Core Title
#videoGame|Operations - Core Title
</v>
      </c>
      <c r="AH292" s="25"/>
      <c r="AI292" s="25"/>
      <c r="AJ292" s="50" t="str">
        <f>if('Ingest Template'!A291="Standard",'Ingest Template'!R291&amp; "|DAR|DAR|2021-01-01",'Ingest Template'!R291&amp; "|Operations - Core Title|Operations - Core Title")</f>
        <v>#N/A</v>
      </c>
      <c r="AK292" s="25"/>
      <c r="AL292" s="25" t="str">
        <f>if('Ingest Template'!A291="Standard",'Ingest Template'!S291&amp; "|2021-01-01",'Ingest Template'!S291)</f>
        <v>#N/A</v>
      </c>
      <c r="AM292" s="25"/>
    </row>
    <row r="293">
      <c r="A293" s="25"/>
      <c r="B293" s="25" t="str">
        <f>'Ingest Template'!C292&amp;IF('Ingest Template'!A292 = "Standard", " - DAR","")</f>
        <v/>
      </c>
      <c r="C293" s="34" t="s">
        <v>92</v>
      </c>
      <c r="D293" s="34" t="str">
        <f>CONCATENATE('Ingest Template'!E293&amp;Char(10)&amp;'Ingest Template'!G293&amp;Char(10)&amp;'Ingest Template'!H293&amp;Char(10)&amp;'Ingest Template'!I293&amp;Char(10)&amp;'Ingest Template'!J293&amp;Char(10)&amp;'Ingest Template'!K293&amp;Char(10)&amp;'Ingest Template'!L293)</f>
        <v>
</v>
      </c>
      <c r="E293" s="25" t="str">
        <f>('Ingest Template'!M293)</f>
        <v/>
      </c>
      <c r="F293" s="40" t="str">
        <f t="array" ref="F293">INDEX(DropDown!$J$2:$J$63,MATCH(1,COUNTIF(E293,DropDown!$I$2:$I$63),0))</f>
        <v>#N/A</v>
      </c>
      <c r="G293" s="25"/>
      <c r="H293" s="25"/>
      <c r="I293" s="25"/>
      <c r="J293" s="25" t="str">
        <f>'Ingest Template'!B293</f>
        <v/>
      </c>
      <c r="K293" s="25" t="str">
        <f>IF('Ingest Template'!A292="Standard",'Ingest Template'!N292,"Competitive View")</f>
        <v>Competitive View</v>
      </c>
      <c r="L293" s="41" t="s">
        <v>145</v>
      </c>
      <c r="M293" s="25" t="str">
        <f>'Ingest Template'!D292</f>
        <v/>
      </c>
      <c r="N293" s="25"/>
      <c r="O293" s="25"/>
      <c r="P293" s="25"/>
      <c r="Q293" s="25"/>
      <c r="R293" s="25" t="str">
        <f>CONCATENATE('Ingest Template'!F292)</f>
        <v/>
      </c>
      <c r="S293" s="43" t="s">
        <v>160</v>
      </c>
      <c r="T293" s="25" t="str">
        <f>'Ingest Template'!W292</f>
        <v/>
      </c>
      <c r="U293" s="25"/>
      <c r="V293" s="25" t="str">
        <f>LOWER(SUBSTITUTE(SUBSTITUTE(SUBSTITUTE(SUBSTITUTE(SUBSTITUTE('Ingest Template'!Y292,"https:",""),"www.",""),"/",""),"?hl=en",""),"instagram.com",""))</f>
        <v/>
      </c>
      <c r="W293" s="34" t="str">
        <f>(IFERROR(vlookup('Ingest Template'!F293,DropDown!D:E,2,false)&amp;'Ingest Template'!C293,""))</f>
        <v/>
      </c>
      <c r="X293" s="25" t="str">
        <f>'Ingest Template'!AA292</f>
        <v/>
      </c>
      <c r="Y293" s="25"/>
      <c r="Z293" s="25"/>
      <c r="AA293" s="25"/>
      <c r="AB293" s="25" t="str">
        <f>'Ingest Template'!T292</f>
        <v/>
      </c>
      <c r="AC293" s="25"/>
      <c r="AD293" s="25" t="str">
        <f>'Ingest Template'!U292</f>
        <v/>
      </c>
      <c r="AE293" s="25" t="str">
        <f>'Ingest Template'!V292</f>
        <v/>
      </c>
      <c r="AF293" s="25"/>
      <c r="AG293" s="25" t="str">
        <f t="array" ref="AG293">IF('Ingest Template'!A292="Standard",(CONCATENATE(IF(ISBLANK('Ingest Template'!O292),"", 'Ingest Template'!O292&amp;"|DAR"),CHAR(10), IF(ISBLANK('Ingest Template'!P292),"", 'Ingest Template'!P292&amp;"|DAR"),CHAR(10), IF(ISBLANK('Ingest Template'!Q292),"", 'Ingest Template'!Q292&amp;"|DAR"))),(CONCATENATE(IF(ISBLANK('Ingest Template'!O292),"", 'Ingest Template'!O292&amp;"|Operations - Core Title"),CHAR(10), IF(ISBLANK('Ingest Template'!P292),"", 'Ingest Template'!P292&amp;"|Operations - Core Title"),CHAR(10), IF(ISBLANK('Ingest Template'!Q292),"", 'Ingest Template'!Q292&amp;"|Operations - Core Title"))))</f>
        <v>#|Operations - Core Title
#videoGame|Operations - Core Title
</v>
      </c>
      <c r="AH293" s="25"/>
      <c r="AI293" s="25"/>
      <c r="AJ293" s="50" t="str">
        <f>if('Ingest Template'!A292="Standard",'Ingest Template'!R292&amp; "|DAR|DAR|2021-01-01",'Ingest Template'!R292&amp; "|Operations - Core Title|Operations - Core Title")</f>
        <v>#N/A</v>
      </c>
      <c r="AK293" s="25"/>
      <c r="AL293" s="25" t="str">
        <f>if('Ingest Template'!A292="Standard",'Ingest Template'!S292&amp; "|2021-01-01",'Ingest Template'!S292)</f>
        <v>#N/A</v>
      </c>
      <c r="AM293" s="25"/>
    </row>
    <row r="294">
      <c r="A294" s="25"/>
      <c r="B294" s="25" t="str">
        <f>'Ingest Template'!C293&amp;IF('Ingest Template'!A293 = "Standard", " - DAR","")</f>
        <v/>
      </c>
      <c r="C294" s="34" t="s">
        <v>92</v>
      </c>
      <c r="D294" s="34" t="str">
        <f>CONCATENATE('Ingest Template'!E294&amp;Char(10)&amp;'Ingest Template'!G294&amp;Char(10)&amp;'Ingest Template'!H294&amp;Char(10)&amp;'Ingest Template'!I294&amp;Char(10)&amp;'Ingest Template'!J294&amp;Char(10)&amp;'Ingest Template'!K294&amp;Char(10)&amp;'Ingest Template'!L294)</f>
        <v>
</v>
      </c>
      <c r="E294" s="25" t="str">
        <f>('Ingest Template'!M294)</f>
        <v/>
      </c>
      <c r="F294" s="40" t="str">
        <f t="array" ref="F294">INDEX(DropDown!$J$2:$J$63,MATCH(1,COUNTIF(E294,DropDown!$I$2:$I$63),0))</f>
        <v>#N/A</v>
      </c>
      <c r="G294" s="25"/>
      <c r="H294" s="25"/>
      <c r="I294" s="25"/>
      <c r="J294" s="25" t="str">
        <f>'Ingest Template'!B294</f>
        <v/>
      </c>
      <c r="K294" s="25" t="str">
        <f>IF('Ingest Template'!A293="Standard",'Ingest Template'!N293,"Competitive View")</f>
        <v>Competitive View</v>
      </c>
      <c r="L294" s="41" t="s">
        <v>145</v>
      </c>
      <c r="M294" s="25" t="str">
        <f>'Ingest Template'!D293</f>
        <v/>
      </c>
      <c r="N294" s="25"/>
      <c r="O294" s="25"/>
      <c r="P294" s="25"/>
      <c r="Q294" s="25"/>
      <c r="R294" s="25" t="str">
        <f>CONCATENATE('Ingest Template'!F293)</f>
        <v/>
      </c>
      <c r="S294" s="43" t="s">
        <v>160</v>
      </c>
      <c r="T294" s="25" t="str">
        <f>'Ingest Template'!W293</f>
        <v/>
      </c>
      <c r="U294" s="25"/>
      <c r="V294" s="25" t="str">
        <f>LOWER(SUBSTITUTE(SUBSTITUTE(SUBSTITUTE(SUBSTITUTE(SUBSTITUTE('Ingest Template'!Y293,"https:",""),"www.",""),"/",""),"?hl=en",""),"instagram.com",""))</f>
        <v/>
      </c>
      <c r="W294" s="34" t="str">
        <f>(IFERROR(vlookup('Ingest Template'!F294,DropDown!D:E,2,false)&amp;'Ingest Template'!C294,""))</f>
        <v/>
      </c>
      <c r="X294" s="25" t="str">
        <f>'Ingest Template'!AA293</f>
        <v/>
      </c>
      <c r="Y294" s="25"/>
      <c r="Z294" s="25"/>
      <c r="AA294" s="25"/>
      <c r="AB294" s="25" t="str">
        <f>'Ingest Template'!T293</f>
        <v/>
      </c>
      <c r="AC294" s="25"/>
      <c r="AD294" s="25" t="str">
        <f>'Ingest Template'!U293</f>
        <v/>
      </c>
      <c r="AE294" s="25" t="str">
        <f>'Ingest Template'!V293</f>
        <v/>
      </c>
      <c r="AF294" s="25"/>
      <c r="AG294" s="25" t="str">
        <f t="array" ref="AG294">IF('Ingest Template'!A293="Standard",(CONCATENATE(IF(ISBLANK('Ingest Template'!O293),"", 'Ingest Template'!O293&amp;"|DAR"),CHAR(10), IF(ISBLANK('Ingest Template'!P293),"", 'Ingest Template'!P293&amp;"|DAR"),CHAR(10), IF(ISBLANK('Ingest Template'!Q293),"", 'Ingest Template'!Q293&amp;"|DAR"))),(CONCATENATE(IF(ISBLANK('Ingest Template'!O293),"", 'Ingest Template'!O293&amp;"|Operations - Core Title"),CHAR(10), IF(ISBLANK('Ingest Template'!P293),"", 'Ingest Template'!P293&amp;"|Operations - Core Title"),CHAR(10), IF(ISBLANK('Ingest Template'!Q293),"", 'Ingest Template'!Q293&amp;"|Operations - Core Title"))))</f>
        <v>#|Operations - Core Title
#videoGame|Operations - Core Title
</v>
      </c>
      <c r="AH294" s="25"/>
      <c r="AI294" s="25"/>
      <c r="AJ294" s="50" t="str">
        <f>if('Ingest Template'!A293="Standard",'Ingest Template'!R293&amp; "|DAR|DAR|2021-01-01",'Ingest Template'!R293&amp; "|Operations - Core Title|Operations - Core Title")</f>
        <v>#N/A</v>
      </c>
      <c r="AK294" s="25"/>
      <c r="AL294" s="25" t="str">
        <f>if('Ingest Template'!A293="Standard",'Ingest Template'!S293&amp; "|2021-01-01",'Ingest Template'!S293)</f>
        <v>#N/A</v>
      </c>
      <c r="AM294" s="25"/>
    </row>
    <row r="295">
      <c r="A295" s="25"/>
      <c r="B295" s="25" t="str">
        <f>'Ingest Template'!C294&amp;IF('Ingest Template'!A294 = "Standard", " - DAR","")</f>
        <v/>
      </c>
      <c r="C295" s="34" t="s">
        <v>92</v>
      </c>
      <c r="D295" s="34" t="str">
        <f>CONCATENATE('Ingest Template'!E295&amp;Char(10)&amp;'Ingest Template'!G295&amp;Char(10)&amp;'Ingest Template'!H295&amp;Char(10)&amp;'Ingest Template'!I295&amp;Char(10)&amp;'Ingest Template'!J295&amp;Char(10)&amp;'Ingest Template'!K295&amp;Char(10)&amp;'Ingest Template'!L295)</f>
        <v>
</v>
      </c>
      <c r="E295" s="25" t="str">
        <f>('Ingest Template'!M295)</f>
        <v/>
      </c>
      <c r="F295" s="40" t="str">
        <f t="array" ref="F295">INDEX(DropDown!$J$2:$J$63,MATCH(1,COUNTIF(E295,DropDown!$I$2:$I$63),0))</f>
        <v>#N/A</v>
      </c>
      <c r="G295" s="25"/>
      <c r="H295" s="25"/>
      <c r="I295" s="25"/>
      <c r="J295" s="25" t="str">
        <f>'Ingest Template'!B295</f>
        <v/>
      </c>
      <c r="K295" s="25" t="str">
        <f>IF('Ingest Template'!A294="Standard",'Ingest Template'!N294,"Competitive View")</f>
        <v>Competitive View</v>
      </c>
      <c r="L295" s="41" t="s">
        <v>145</v>
      </c>
      <c r="M295" s="25" t="str">
        <f>'Ingest Template'!D294</f>
        <v/>
      </c>
      <c r="N295" s="25"/>
      <c r="O295" s="25"/>
      <c r="P295" s="25"/>
      <c r="Q295" s="25"/>
      <c r="R295" s="25" t="str">
        <f>CONCATENATE('Ingest Template'!F294)</f>
        <v/>
      </c>
      <c r="S295" s="43" t="s">
        <v>160</v>
      </c>
      <c r="T295" s="25" t="str">
        <f>'Ingest Template'!W294</f>
        <v/>
      </c>
      <c r="U295" s="25"/>
      <c r="V295" s="25" t="str">
        <f>LOWER(SUBSTITUTE(SUBSTITUTE(SUBSTITUTE(SUBSTITUTE(SUBSTITUTE('Ingest Template'!Y294,"https:",""),"www.",""),"/",""),"?hl=en",""),"instagram.com",""))</f>
        <v/>
      </c>
      <c r="W295" s="34" t="str">
        <f>(IFERROR(vlookup('Ingest Template'!F295,DropDown!D:E,2,false)&amp;'Ingest Template'!C295,""))</f>
        <v/>
      </c>
      <c r="X295" s="25" t="str">
        <f>'Ingest Template'!AA294</f>
        <v/>
      </c>
      <c r="Y295" s="25"/>
      <c r="Z295" s="25"/>
      <c r="AA295" s="25"/>
      <c r="AB295" s="25" t="str">
        <f>'Ingest Template'!T294</f>
        <v/>
      </c>
      <c r="AC295" s="25"/>
      <c r="AD295" s="25" t="str">
        <f>'Ingest Template'!U294</f>
        <v/>
      </c>
      <c r="AE295" s="25" t="str">
        <f>'Ingest Template'!V294</f>
        <v/>
      </c>
      <c r="AF295" s="25"/>
      <c r="AG295" s="25" t="str">
        <f t="array" ref="AG295">IF('Ingest Template'!A294="Standard",(CONCATENATE(IF(ISBLANK('Ingest Template'!O294),"", 'Ingest Template'!O294&amp;"|DAR"),CHAR(10), IF(ISBLANK('Ingest Template'!P294),"", 'Ingest Template'!P294&amp;"|DAR"),CHAR(10), IF(ISBLANK('Ingest Template'!Q294),"", 'Ingest Template'!Q294&amp;"|DAR"))),(CONCATENATE(IF(ISBLANK('Ingest Template'!O294),"", 'Ingest Template'!O294&amp;"|Operations - Core Title"),CHAR(10), IF(ISBLANK('Ingest Template'!P294),"", 'Ingest Template'!P294&amp;"|Operations - Core Title"),CHAR(10), IF(ISBLANK('Ingest Template'!Q294),"", 'Ingest Template'!Q294&amp;"|Operations - Core Title"))))</f>
        <v>#|Operations - Core Title
#videoGame|Operations - Core Title
</v>
      </c>
      <c r="AH295" s="25"/>
      <c r="AI295" s="25"/>
      <c r="AJ295" s="50" t="str">
        <f>if('Ingest Template'!A294="Standard",'Ingest Template'!R294&amp; "|DAR|DAR|2021-01-01",'Ingest Template'!R294&amp; "|Operations - Core Title|Operations - Core Title")</f>
        <v>#N/A</v>
      </c>
      <c r="AK295" s="25"/>
      <c r="AL295" s="25" t="str">
        <f>if('Ingest Template'!A294="Standard",'Ingest Template'!S294&amp; "|2021-01-01",'Ingest Template'!S294)</f>
        <v>#N/A</v>
      </c>
      <c r="AM295" s="25"/>
    </row>
    <row r="296">
      <c r="A296" s="25"/>
      <c r="B296" s="25" t="str">
        <f>'Ingest Template'!C295&amp;IF('Ingest Template'!A295 = "Standard", " - DAR","")</f>
        <v/>
      </c>
      <c r="C296" s="34" t="s">
        <v>92</v>
      </c>
      <c r="D296" s="34" t="str">
        <f>CONCATENATE('Ingest Template'!E296&amp;Char(10)&amp;'Ingest Template'!G296&amp;Char(10)&amp;'Ingest Template'!H296&amp;Char(10)&amp;'Ingest Template'!I296&amp;Char(10)&amp;'Ingest Template'!J296&amp;Char(10)&amp;'Ingest Template'!K296&amp;Char(10)&amp;'Ingest Template'!L296)</f>
        <v>
</v>
      </c>
      <c r="E296" s="25" t="str">
        <f>('Ingest Template'!M296)</f>
        <v/>
      </c>
      <c r="F296" s="40" t="str">
        <f t="array" ref="F296">INDEX(DropDown!$J$2:$J$63,MATCH(1,COUNTIF(E296,DropDown!$I$2:$I$63),0))</f>
        <v>#N/A</v>
      </c>
      <c r="G296" s="25"/>
      <c r="H296" s="25"/>
      <c r="I296" s="25"/>
      <c r="J296" s="25" t="str">
        <f>'Ingest Template'!B296</f>
        <v/>
      </c>
      <c r="K296" s="25" t="str">
        <f>IF('Ingest Template'!A295="Standard",'Ingest Template'!N295,"Competitive View")</f>
        <v>Competitive View</v>
      </c>
      <c r="L296" s="41" t="s">
        <v>145</v>
      </c>
      <c r="M296" s="25" t="str">
        <f>'Ingest Template'!D295</f>
        <v/>
      </c>
      <c r="N296" s="25"/>
      <c r="O296" s="25"/>
      <c r="P296" s="25"/>
      <c r="Q296" s="25"/>
      <c r="R296" s="25" t="str">
        <f>CONCATENATE('Ingest Template'!F295)</f>
        <v/>
      </c>
      <c r="S296" s="43" t="s">
        <v>160</v>
      </c>
      <c r="T296" s="25" t="str">
        <f>'Ingest Template'!W295</f>
        <v/>
      </c>
      <c r="U296" s="25"/>
      <c r="V296" s="25" t="str">
        <f>LOWER(SUBSTITUTE(SUBSTITUTE(SUBSTITUTE(SUBSTITUTE(SUBSTITUTE('Ingest Template'!Y295,"https:",""),"www.",""),"/",""),"?hl=en",""),"instagram.com",""))</f>
        <v/>
      </c>
      <c r="W296" s="34" t="str">
        <f>(IFERROR(vlookup('Ingest Template'!F296,DropDown!D:E,2,false)&amp;'Ingest Template'!C296,""))</f>
        <v/>
      </c>
      <c r="X296" s="25" t="str">
        <f>'Ingest Template'!AA295</f>
        <v/>
      </c>
      <c r="Y296" s="25"/>
      <c r="Z296" s="25"/>
      <c r="AA296" s="25"/>
      <c r="AB296" s="25" t="str">
        <f>'Ingest Template'!T295</f>
        <v/>
      </c>
      <c r="AC296" s="25"/>
      <c r="AD296" s="25" t="str">
        <f>'Ingest Template'!U295</f>
        <v/>
      </c>
      <c r="AE296" s="25" t="str">
        <f>'Ingest Template'!V295</f>
        <v/>
      </c>
      <c r="AF296" s="25"/>
      <c r="AG296" s="25" t="str">
        <f t="array" ref="AG296">IF('Ingest Template'!A295="Standard",(CONCATENATE(IF(ISBLANK('Ingest Template'!O295),"", 'Ingest Template'!O295&amp;"|DAR"),CHAR(10), IF(ISBLANK('Ingest Template'!P295),"", 'Ingest Template'!P295&amp;"|DAR"),CHAR(10), IF(ISBLANK('Ingest Template'!Q295),"", 'Ingest Template'!Q295&amp;"|DAR"))),(CONCATENATE(IF(ISBLANK('Ingest Template'!O295),"", 'Ingest Template'!O295&amp;"|Operations - Core Title"),CHAR(10), IF(ISBLANK('Ingest Template'!P295),"", 'Ingest Template'!P295&amp;"|Operations - Core Title"),CHAR(10), IF(ISBLANK('Ingest Template'!Q295),"", 'Ingest Template'!Q295&amp;"|Operations - Core Title"))))</f>
        <v>#|Operations - Core Title
#videoGame|Operations - Core Title
</v>
      </c>
      <c r="AH296" s="25"/>
      <c r="AI296" s="25"/>
      <c r="AJ296" s="50" t="str">
        <f>if('Ingest Template'!A295="Standard",'Ingest Template'!R295&amp; "|DAR|DAR|2021-01-01",'Ingest Template'!R295&amp; "|Operations - Core Title|Operations - Core Title")</f>
        <v>#N/A</v>
      </c>
      <c r="AK296" s="25"/>
      <c r="AL296" s="25" t="str">
        <f>if('Ingest Template'!A295="Standard",'Ingest Template'!S295&amp; "|2021-01-01",'Ingest Template'!S295)</f>
        <v>#N/A</v>
      </c>
      <c r="AM296" s="25"/>
    </row>
    <row r="297">
      <c r="A297" s="25"/>
      <c r="B297" s="25" t="str">
        <f>'Ingest Template'!C296&amp;IF('Ingest Template'!A296 = "Standard", " - DAR","")</f>
        <v/>
      </c>
      <c r="C297" s="34" t="s">
        <v>92</v>
      </c>
      <c r="D297" s="34" t="str">
        <f>CONCATENATE('Ingest Template'!E297&amp;Char(10)&amp;'Ingest Template'!G297&amp;Char(10)&amp;'Ingest Template'!H297&amp;Char(10)&amp;'Ingest Template'!I297&amp;Char(10)&amp;'Ingest Template'!J297&amp;Char(10)&amp;'Ingest Template'!K297&amp;Char(10)&amp;'Ingest Template'!L297)</f>
        <v>
</v>
      </c>
      <c r="E297" s="25" t="str">
        <f>('Ingest Template'!M297)</f>
        <v/>
      </c>
      <c r="F297" s="40" t="str">
        <f t="array" ref="F297">INDEX(DropDown!$J$2:$J$63,MATCH(1,COUNTIF(E297,DropDown!$I$2:$I$63),0))</f>
        <v>#N/A</v>
      </c>
      <c r="G297" s="25"/>
      <c r="H297" s="25"/>
      <c r="I297" s="25"/>
      <c r="J297" s="25" t="str">
        <f>'Ingest Template'!B297</f>
        <v/>
      </c>
      <c r="K297" s="25" t="str">
        <f>IF('Ingest Template'!A296="Standard",'Ingest Template'!N296,"Competitive View")</f>
        <v>Competitive View</v>
      </c>
      <c r="L297" s="41" t="s">
        <v>145</v>
      </c>
      <c r="M297" s="25" t="str">
        <f>'Ingest Template'!D296</f>
        <v/>
      </c>
      <c r="N297" s="25"/>
      <c r="O297" s="25"/>
      <c r="P297" s="25"/>
      <c r="Q297" s="25"/>
      <c r="R297" s="25" t="str">
        <f>CONCATENATE('Ingest Template'!F296)</f>
        <v/>
      </c>
      <c r="S297" s="43" t="s">
        <v>160</v>
      </c>
      <c r="T297" s="25" t="str">
        <f>'Ingest Template'!W296</f>
        <v/>
      </c>
      <c r="U297" s="25"/>
      <c r="V297" s="25" t="str">
        <f>LOWER(SUBSTITUTE(SUBSTITUTE(SUBSTITUTE(SUBSTITUTE(SUBSTITUTE('Ingest Template'!Y296,"https:",""),"www.",""),"/",""),"?hl=en",""),"instagram.com",""))</f>
        <v/>
      </c>
      <c r="W297" s="34" t="str">
        <f>(IFERROR(vlookup('Ingest Template'!F297,DropDown!D:E,2,false)&amp;'Ingest Template'!C297,""))</f>
        <v/>
      </c>
      <c r="X297" s="25" t="str">
        <f>'Ingest Template'!AA296</f>
        <v/>
      </c>
      <c r="Y297" s="25"/>
      <c r="Z297" s="25"/>
      <c r="AA297" s="25"/>
      <c r="AB297" s="25" t="str">
        <f>'Ingest Template'!T296</f>
        <v/>
      </c>
      <c r="AC297" s="25"/>
      <c r="AD297" s="25" t="str">
        <f>'Ingest Template'!U296</f>
        <v/>
      </c>
      <c r="AE297" s="25" t="str">
        <f>'Ingest Template'!V296</f>
        <v/>
      </c>
      <c r="AF297" s="25"/>
      <c r="AG297" s="25" t="str">
        <f t="array" ref="AG297">IF('Ingest Template'!A296="Standard",(CONCATENATE(IF(ISBLANK('Ingest Template'!O296),"", 'Ingest Template'!O296&amp;"|DAR"),CHAR(10), IF(ISBLANK('Ingest Template'!P296),"", 'Ingest Template'!P296&amp;"|DAR"),CHAR(10), IF(ISBLANK('Ingest Template'!Q296),"", 'Ingest Template'!Q296&amp;"|DAR"))),(CONCATENATE(IF(ISBLANK('Ingest Template'!O296),"", 'Ingest Template'!O296&amp;"|Operations - Core Title"),CHAR(10), IF(ISBLANK('Ingest Template'!P296),"", 'Ingest Template'!P296&amp;"|Operations - Core Title"),CHAR(10), IF(ISBLANK('Ingest Template'!Q296),"", 'Ingest Template'!Q296&amp;"|Operations - Core Title"))))</f>
        <v>#|Operations - Core Title
#videoGame|Operations - Core Title
</v>
      </c>
      <c r="AH297" s="25"/>
      <c r="AI297" s="25"/>
      <c r="AJ297" s="50" t="str">
        <f>if('Ingest Template'!A296="Standard",'Ingest Template'!R296&amp; "|DAR|DAR|2021-01-01",'Ingest Template'!R296&amp; "|Operations - Core Title|Operations - Core Title")</f>
        <v>#N/A</v>
      </c>
      <c r="AK297" s="25"/>
      <c r="AL297" s="25" t="str">
        <f>if('Ingest Template'!A296="Standard",'Ingest Template'!S296&amp; "|2021-01-01",'Ingest Template'!S296)</f>
        <v>#N/A</v>
      </c>
      <c r="AM297" s="25"/>
    </row>
    <row r="298">
      <c r="A298" s="25"/>
      <c r="B298" s="25" t="str">
        <f>'Ingest Template'!C297&amp;IF('Ingest Template'!A297 = "Standard", " - DAR","")</f>
        <v/>
      </c>
      <c r="C298" s="34" t="s">
        <v>92</v>
      </c>
      <c r="D298" s="34" t="str">
        <f>CONCATENATE('Ingest Template'!E298&amp;Char(10)&amp;'Ingest Template'!G298&amp;Char(10)&amp;'Ingest Template'!H298&amp;Char(10)&amp;'Ingest Template'!I298&amp;Char(10)&amp;'Ingest Template'!J298&amp;Char(10)&amp;'Ingest Template'!K298&amp;Char(10)&amp;'Ingest Template'!L298)</f>
        <v>
</v>
      </c>
      <c r="E298" s="25" t="str">
        <f>('Ingest Template'!M298)</f>
        <v/>
      </c>
      <c r="F298" s="40" t="str">
        <f t="array" ref="F298">INDEX(DropDown!$J$2:$J$63,MATCH(1,COUNTIF(E298,DropDown!$I$2:$I$63),0))</f>
        <v>#N/A</v>
      </c>
      <c r="G298" s="25"/>
      <c r="H298" s="25"/>
      <c r="I298" s="25"/>
      <c r="J298" s="25" t="str">
        <f>'Ingest Template'!B298</f>
        <v/>
      </c>
      <c r="K298" s="25" t="str">
        <f>IF('Ingest Template'!A297="Standard",'Ingest Template'!N297,"Competitive View")</f>
        <v>Competitive View</v>
      </c>
      <c r="L298" s="41" t="s">
        <v>145</v>
      </c>
      <c r="M298" s="25" t="str">
        <f>'Ingest Template'!D297</f>
        <v/>
      </c>
      <c r="N298" s="25"/>
      <c r="O298" s="25"/>
      <c r="P298" s="25"/>
      <c r="Q298" s="25"/>
      <c r="R298" s="25" t="str">
        <f>CONCATENATE('Ingest Template'!F297)</f>
        <v/>
      </c>
      <c r="S298" s="43" t="s">
        <v>160</v>
      </c>
      <c r="T298" s="25" t="str">
        <f>'Ingest Template'!W297</f>
        <v/>
      </c>
      <c r="U298" s="25"/>
      <c r="V298" s="25" t="str">
        <f>LOWER(SUBSTITUTE(SUBSTITUTE(SUBSTITUTE(SUBSTITUTE(SUBSTITUTE('Ingest Template'!Y297,"https:",""),"www.",""),"/",""),"?hl=en",""),"instagram.com",""))</f>
        <v/>
      </c>
      <c r="W298" s="34" t="str">
        <f>(IFERROR(vlookup('Ingest Template'!F298,DropDown!D:E,2,false)&amp;'Ingest Template'!C298,""))</f>
        <v/>
      </c>
      <c r="X298" s="25" t="str">
        <f>'Ingest Template'!AA297</f>
        <v/>
      </c>
      <c r="Y298" s="25"/>
      <c r="Z298" s="25"/>
      <c r="AA298" s="25"/>
      <c r="AB298" s="25" t="str">
        <f>'Ingest Template'!T297</f>
        <v/>
      </c>
      <c r="AC298" s="25"/>
      <c r="AD298" s="25" t="str">
        <f>'Ingest Template'!U297</f>
        <v/>
      </c>
      <c r="AE298" s="25" t="str">
        <f>'Ingest Template'!V297</f>
        <v/>
      </c>
      <c r="AF298" s="25"/>
      <c r="AG298" s="25" t="str">
        <f t="array" ref="AG298">IF('Ingest Template'!A297="Standard",(CONCATENATE(IF(ISBLANK('Ingest Template'!O297),"", 'Ingest Template'!O297&amp;"|DAR"),CHAR(10), IF(ISBLANK('Ingest Template'!P297),"", 'Ingest Template'!P297&amp;"|DAR"),CHAR(10), IF(ISBLANK('Ingest Template'!Q297),"", 'Ingest Template'!Q297&amp;"|DAR"))),(CONCATENATE(IF(ISBLANK('Ingest Template'!O297),"", 'Ingest Template'!O297&amp;"|Operations - Core Title"),CHAR(10), IF(ISBLANK('Ingest Template'!P297),"", 'Ingest Template'!P297&amp;"|Operations - Core Title"),CHAR(10), IF(ISBLANK('Ingest Template'!Q297),"", 'Ingest Template'!Q297&amp;"|Operations - Core Title"))))</f>
        <v>#|Operations - Core Title
#videoGame|Operations - Core Title
</v>
      </c>
      <c r="AH298" s="25"/>
      <c r="AI298" s="25"/>
      <c r="AJ298" s="50" t="str">
        <f>if('Ingest Template'!A297="Standard",'Ingest Template'!R297&amp; "|DAR|DAR|2021-01-01",'Ingest Template'!R297&amp; "|Operations - Core Title|Operations - Core Title")</f>
        <v>#N/A</v>
      </c>
      <c r="AK298" s="25"/>
      <c r="AL298" s="25" t="str">
        <f>if('Ingest Template'!A297="Standard",'Ingest Template'!S297&amp; "|2021-01-01",'Ingest Template'!S297)</f>
        <v>#N/A</v>
      </c>
      <c r="AM298" s="25"/>
    </row>
    <row r="299">
      <c r="A299" s="25"/>
      <c r="B299" s="25" t="str">
        <f>'Ingest Template'!C298&amp;IF('Ingest Template'!A298 = "Standard", " - DAR","")</f>
        <v/>
      </c>
      <c r="C299" s="34" t="s">
        <v>92</v>
      </c>
      <c r="D299" s="34" t="str">
        <f>CONCATENATE('Ingest Template'!E299&amp;Char(10)&amp;'Ingest Template'!G299&amp;Char(10)&amp;'Ingest Template'!H299&amp;Char(10)&amp;'Ingest Template'!I299&amp;Char(10)&amp;'Ingest Template'!J299&amp;Char(10)&amp;'Ingest Template'!K299&amp;Char(10)&amp;'Ingest Template'!L299)</f>
        <v>
</v>
      </c>
      <c r="E299" s="25" t="str">
        <f>('Ingest Template'!M299)</f>
        <v/>
      </c>
      <c r="F299" s="40" t="str">
        <f t="array" ref="F299">INDEX(DropDown!$J$2:$J$63,MATCH(1,COUNTIF(E299,DropDown!$I$2:$I$63),0))</f>
        <v>#N/A</v>
      </c>
      <c r="G299" s="25"/>
      <c r="H299" s="25"/>
      <c r="I299" s="25"/>
      <c r="J299" s="25" t="str">
        <f>'Ingest Template'!B299</f>
        <v/>
      </c>
      <c r="K299" s="25" t="str">
        <f>IF('Ingest Template'!A298="Standard",'Ingest Template'!N298,"Competitive View")</f>
        <v>Competitive View</v>
      </c>
      <c r="L299" s="41" t="s">
        <v>145</v>
      </c>
      <c r="M299" s="25" t="str">
        <f>'Ingest Template'!D298</f>
        <v/>
      </c>
      <c r="N299" s="25"/>
      <c r="O299" s="25"/>
      <c r="P299" s="25"/>
      <c r="Q299" s="25"/>
      <c r="R299" s="25" t="str">
        <f>CONCATENATE('Ingest Template'!F298)</f>
        <v/>
      </c>
      <c r="S299" s="43" t="s">
        <v>160</v>
      </c>
      <c r="T299" s="25" t="str">
        <f>'Ingest Template'!W298</f>
        <v/>
      </c>
      <c r="U299" s="25"/>
      <c r="V299" s="25" t="str">
        <f>LOWER(SUBSTITUTE(SUBSTITUTE(SUBSTITUTE(SUBSTITUTE(SUBSTITUTE('Ingest Template'!Y298,"https:",""),"www.",""),"/",""),"?hl=en",""),"instagram.com",""))</f>
        <v/>
      </c>
      <c r="W299" s="34" t="str">
        <f>(IFERROR(vlookup('Ingest Template'!F299,DropDown!D:E,2,false)&amp;'Ingest Template'!C299,""))</f>
        <v/>
      </c>
      <c r="X299" s="25" t="str">
        <f>'Ingest Template'!AA298</f>
        <v/>
      </c>
      <c r="Y299" s="25"/>
      <c r="Z299" s="25"/>
      <c r="AA299" s="25"/>
      <c r="AB299" s="25" t="str">
        <f>'Ingest Template'!T298</f>
        <v/>
      </c>
      <c r="AC299" s="25"/>
      <c r="AD299" s="25" t="str">
        <f>'Ingest Template'!U298</f>
        <v/>
      </c>
      <c r="AE299" s="25" t="str">
        <f>'Ingest Template'!V298</f>
        <v/>
      </c>
      <c r="AF299" s="25"/>
      <c r="AG299" s="25" t="str">
        <f t="array" ref="AG299">IF('Ingest Template'!A298="Standard",(CONCATENATE(IF(ISBLANK('Ingest Template'!O298),"", 'Ingest Template'!O298&amp;"|DAR"),CHAR(10), IF(ISBLANK('Ingest Template'!P298),"", 'Ingest Template'!P298&amp;"|DAR"),CHAR(10), IF(ISBLANK('Ingest Template'!Q298),"", 'Ingest Template'!Q298&amp;"|DAR"))),(CONCATENATE(IF(ISBLANK('Ingest Template'!O298),"", 'Ingest Template'!O298&amp;"|Operations - Core Title"),CHAR(10), IF(ISBLANK('Ingest Template'!P298),"", 'Ingest Template'!P298&amp;"|Operations - Core Title"),CHAR(10), IF(ISBLANK('Ingest Template'!Q298),"", 'Ingest Template'!Q298&amp;"|Operations - Core Title"))))</f>
        <v>#|Operations - Core Title
#videoGame|Operations - Core Title
</v>
      </c>
      <c r="AH299" s="25"/>
      <c r="AI299" s="25"/>
      <c r="AJ299" s="50" t="str">
        <f>if('Ingest Template'!A298="Standard",'Ingest Template'!R298&amp; "|DAR|DAR|2021-01-01",'Ingest Template'!R298&amp; "|Operations - Core Title|Operations - Core Title")</f>
        <v>#N/A</v>
      </c>
      <c r="AK299" s="25"/>
      <c r="AL299" s="25" t="str">
        <f>if('Ingest Template'!A298="Standard",'Ingest Template'!S298&amp; "|2021-01-01",'Ingest Template'!S298)</f>
        <v>#N/A</v>
      </c>
      <c r="AM299" s="25"/>
    </row>
    <row r="300">
      <c r="A300" s="25"/>
      <c r="B300" s="25" t="str">
        <f>'Ingest Template'!C299&amp;IF('Ingest Template'!A299 = "Standard", " - DAR","")</f>
        <v/>
      </c>
      <c r="C300" s="34" t="s">
        <v>92</v>
      </c>
      <c r="D300" s="34" t="str">
        <f>CONCATENATE('Ingest Template'!E300&amp;Char(10)&amp;'Ingest Template'!G300&amp;Char(10)&amp;'Ingest Template'!H300&amp;Char(10)&amp;'Ingest Template'!I300&amp;Char(10)&amp;'Ingest Template'!J300&amp;Char(10)&amp;'Ingest Template'!K300&amp;Char(10)&amp;'Ingest Template'!L300)</f>
        <v>
</v>
      </c>
      <c r="E300" s="25" t="str">
        <f>('Ingest Template'!M300)</f>
        <v/>
      </c>
      <c r="F300" s="40" t="str">
        <f t="array" ref="F300">INDEX(DropDown!$J$2:$J$63,MATCH(1,COUNTIF(E300,DropDown!$I$2:$I$63),0))</f>
        <v>#N/A</v>
      </c>
      <c r="G300" s="25"/>
      <c r="H300" s="25"/>
      <c r="I300" s="25"/>
      <c r="J300" s="25" t="str">
        <f>'Ingest Template'!B300</f>
        <v/>
      </c>
      <c r="K300" s="25" t="str">
        <f>IF('Ingest Template'!A299="Standard",'Ingest Template'!N299,"Competitive View")</f>
        <v>Competitive View</v>
      </c>
      <c r="L300" s="41" t="s">
        <v>145</v>
      </c>
      <c r="M300" s="25" t="str">
        <f>'Ingest Template'!D299</f>
        <v/>
      </c>
      <c r="N300" s="25"/>
      <c r="O300" s="25"/>
      <c r="P300" s="25"/>
      <c r="Q300" s="25"/>
      <c r="R300" s="25" t="str">
        <f>CONCATENATE('Ingest Template'!F299)</f>
        <v/>
      </c>
      <c r="S300" s="43" t="s">
        <v>160</v>
      </c>
      <c r="T300" s="25" t="str">
        <f>'Ingest Template'!W299</f>
        <v/>
      </c>
      <c r="U300" s="25"/>
      <c r="V300" s="25" t="str">
        <f>LOWER(SUBSTITUTE(SUBSTITUTE(SUBSTITUTE(SUBSTITUTE(SUBSTITUTE('Ingest Template'!Y299,"https:",""),"www.",""),"/",""),"?hl=en",""),"instagram.com",""))</f>
        <v/>
      </c>
      <c r="W300" s="34" t="str">
        <f>(IFERROR(vlookup('Ingest Template'!F300,DropDown!D:E,2,false)&amp;'Ingest Template'!C300,""))</f>
        <v/>
      </c>
      <c r="X300" s="25" t="str">
        <f>'Ingest Template'!AA299</f>
        <v/>
      </c>
      <c r="Y300" s="25"/>
      <c r="Z300" s="25"/>
      <c r="AA300" s="25"/>
      <c r="AB300" s="25" t="str">
        <f>'Ingest Template'!T299</f>
        <v/>
      </c>
      <c r="AC300" s="25"/>
      <c r="AD300" s="25" t="str">
        <f>'Ingest Template'!U299</f>
        <v/>
      </c>
      <c r="AE300" s="25" t="str">
        <f>'Ingest Template'!V299</f>
        <v/>
      </c>
      <c r="AF300" s="25"/>
      <c r="AG300" s="25" t="str">
        <f t="array" ref="AG300">IF('Ingest Template'!A299="Standard",(CONCATENATE(IF(ISBLANK('Ingest Template'!O299),"", 'Ingest Template'!O299&amp;"|DAR"),CHAR(10), IF(ISBLANK('Ingest Template'!P299),"", 'Ingest Template'!P299&amp;"|DAR"),CHAR(10), IF(ISBLANK('Ingest Template'!Q299),"", 'Ingest Template'!Q299&amp;"|DAR"))),(CONCATENATE(IF(ISBLANK('Ingest Template'!O299),"", 'Ingest Template'!O299&amp;"|Operations - Core Title"),CHAR(10), IF(ISBLANK('Ingest Template'!P299),"", 'Ingest Template'!P299&amp;"|Operations - Core Title"),CHAR(10), IF(ISBLANK('Ingest Template'!Q299),"", 'Ingest Template'!Q299&amp;"|Operations - Core Title"))))</f>
        <v>#|Operations - Core Title
#videoGame|Operations - Core Title
</v>
      </c>
      <c r="AH300" s="25"/>
      <c r="AI300" s="25"/>
      <c r="AJ300" s="50" t="str">
        <f>if('Ingest Template'!A299="Standard",'Ingest Template'!R299&amp; "|DAR|DAR|2021-01-01",'Ingest Template'!R299&amp; "|Operations - Core Title|Operations - Core Title")</f>
        <v>#N/A</v>
      </c>
      <c r="AK300" s="25"/>
      <c r="AL300" s="25" t="str">
        <f>if('Ingest Template'!A299="Standard",'Ingest Template'!S299&amp; "|2021-01-01",'Ingest Template'!S299)</f>
        <v>#N/A</v>
      </c>
      <c r="AM300" s="25"/>
    </row>
    <row r="301">
      <c r="A301" s="25"/>
      <c r="B301" s="25" t="str">
        <f>'Ingest Template'!C300&amp;IF('Ingest Template'!A300 = "Standard", " - DAR","")</f>
        <v/>
      </c>
      <c r="C301" s="34" t="s">
        <v>92</v>
      </c>
      <c r="D301" s="34" t="str">
        <f>CONCATENATE('Ingest Template'!E301&amp;Char(10)&amp;'Ingest Template'!G301&amp;Char(10)&amp;'Ingest Template'!H301&amp;Char(10)&amp;'Ingest Template'!I301&amp;Char(10)&amp;'Ingest Template'!J301&amp;Char(10)&amp;'Ingest Template'!K301&amp;Char(10)&amp;'Ingest Template'!L301)</f>
        <v>
</v>
      </c>
      <c r="E301" s="25" t="str">
        <f>('Ingest Template'!M301)</f>
        <v/>
      </c>
      <c r="F301" s="40" t="str">
        <f t="array" ref="F301">INDEX(DropDown!$J$2:$J$63,MATCH(1,COUNTIF(E301,DropDown!$I$2:$I$63),0))</f>
        <v>#N/A</v>
      </c>
      <c r="G301" s="25"/>
      <c r="H301" s="25"/>
      <c r="I301" s="25"/>
      <c r="J301" s="25" t="str">
        <f>'Ingest Template'!B301</f>
        <v/>
      </c>
      <c r="K301" s="25" t="str">
        <f>IF('Ingest Template'!A300="Standard",'Ingest Template'!N300,"Competitive View")</f>
        <v>Competitive View</v>
      </c>
      <c r="L301" s="41" t="s">
        <v>145</v>
      </c>
      <c r="M301" s="25" t="str">
        <f>'Ingest Template'!D300</f>
        <v/>
      </c>
      <c r="N301" s="25"/>
      <c r="O301" s="25"/>
      <c r="P301" s="25"/>
      <c r="Q301" s="25"/>
      <c r="R301" s="25" t="str">
        <f>CONCATENATE('Ingest Template'!F300)</f>
        <v/>
      </c>
      <c r="S301" s="43" t="s">
        <v>160</v>
      </c>
      <c r="T301" s="25" t="str">
        <f>'Ingest Template'!W300</f>
        <v/>
      </c>
      <c r="U301" s="25"/>
      <c r="V301" s="25" t="str">
        <f>LOWER(SUBSTITUTE(SUBSTITUTE(SUBSTITUTE(SUBSTITUTE(SUBSTITUTE('Ingest Template'!Y300,"https:",""),"www.",""),"/",""),"?hl=en",""),"instagram.com",""))</f>
        <v/>
      </c>
      <c r="W301" s="34" t="str">
        <f>(IFERROR(vlookup('Ingest Template'!F301,DropDown!D:E,2,false)&amp;'Ingest Template'!C301,""))</f>
        <v/>
      </c>
      <c r="X301" s="25" t="str">
        <f>'Ingest Template'!AA300</f>
        <v/>
      </c>
      <c r="Y301" s="25"/>
      <c r="Z301" s="25"/>
      <c r="AA301" s="25"/>
      <c r="AB301" s="25" t="str">
        <f>'Ingest Template'!T300</f>
        <v/>
      </c>
      <c r="AC301" s="25"/>
      <c r="AD301" s="25" t="str">
        <f>'Ingest Template'!U300</f>
        <v/>
      </c>
      <c r="AE301" s="25" t="str">
        <f>'Ingest Template'!V300</f>
        <v/>
      </c>
      <c r="AF301" s="25"/>
      <c r="AG301" s="25" t="str">
        <f t="array" ref="AG301">IF('Ingest Template'!A300="Standard",(CONCATENATE(IF(ISBLANK('Ingest Template'!O300),"", 'Ingest Template'!O300&amp;"|DAR"),CHAR(10), IF(ISBLANK('Ingest Template'!P300),"", 'Ingest Template'!P300&amp;"|DAR"),CHAR(10), IF(ISBLANK('Ingest Template'!Q300),"", 'Ingest Template'!Q300&amp;"|DAR"))),(CONCATENATE(IF(ISBLANK('Ingest Template'!O300),"", 'Ingest Template'!O300&amp;"|Operations - Core Title"),CHAR(10), IF(ISBLANK('Ingest Template'!P300),"", 'Ingest Template'!P300&amp;"|Operations - Core Title"),CHAR(10), IF(ISBLANK('Ingest Template'!Q300),"", 'Ingest Template'!Q300&amp;"|Operations - Core Title"))))</f>
        <v>#|Operations - Core Title
#videoGame|Operations - Core Title
</v>
      </c>
      <c r="AH301" s="25"/>
      <c r="AI301" s="25"/>
      <c r="AJ301" s="50" t="str">
        <f>if('Ingest Template'!A300="Standard",'Ingest Template'!R300&amp; "|DAR|DAR|2021-01-01",'Ingest Template'!R300&amp; "|Operations - Core Title|Operations - Core Title")</f>
        <v>#N/A</v>
      </c>
      <c r="AK301" s="25"/>
      <c r="AL301" s="25" t="str">
        <f>if('Ingest Template'!A300="Standard",'Ingest Template'!S300&amp; "|2021-01-01",'Ingest Template'!S300)</f>
        <v>#N/A</v>
      </c>
      <c r="AM301" s="25"/>
    </row>
    <row r="302">
      <c r="A302" s="25"/>
      <c r="B302" s="25" t="str">
        <f>'Ingest Template'!C301&amp;IF('Ingest Template'!A301 = "Standard", " - DAR","")</f>
        <v/>
      </c>
      <c r="C302" s="34" t="s">
        <v>92</v>
      </c>
      <c r="D302" s="34" t="str">
        <f>CONCATENATE('Ingest Template'!E302&amp;Char(10)&amp;'Ingest Template'!G302&amp;Char(10)&amp;'Ingest Template'!H302&amp;Char(10)&amp;'Ingest Template'!I302&amp;Char(10)&amp;'Ingest Template'!J302&amp;Char(10)&amp;'Ingest Template'!K302&amp;Char(10)&amp;'Ingest Template'!L302)</f>
        <v>
</v>
      </c>
      <c r="E302" s="25" t="str">
        <f>('Ingest Template'!M302)</f>
        <v/>
      </c>
      <c r="F302" s="40" t="str">
        <f t="array" ref="F302">INDEX(DropDown!$J$2:$J$63,MATCH(1,COUNTIF(E302,DropDown!$I$2:$I$63),0))</f>
        <v>#N/A</v>
      </c>
      <c r="G302" s="25"/>
      <c r="H302" s="25"/>
      <c r="I302" s="25"/>
      <c r="J302" s="25" t="str">
        <f>'Ingest Template'!B302</f>
        <v/>
      </c>
      <c r="K302" s="25" t="str">
        <f>IF('Ingest Template'!A301="Standard",'Ingest Template'!N301,"Competitive View")</f>
        <v>Competitive View</v>
      </c>
      <c r="L302" s="41" t="s">
        <v>145</v>
      </c>
      <c r="M302" s="25" t="str">
        <f>'Ingest Template'!D301</f>
        <v/>
      </c>
      <c r="N302" s="25"/>
      <c r="O302" s="25"/>
      <c r="P302" s="25"/>
      <c r="Q302" s="25"/>
      <c r="R302" s="25" t="str">
        <f>CONCATENATE('Ingest Template'!F301)</f>
        <v/>
      </c>
      <c r="S302" s="43" t="s">
        <v>160</v>
      </c>
      <c r="T302" s="25" t="str">
        <f>'Ingest Template'!W301</f>
        <v/>
      </c>
      <c r="U302" s="25"/>
      <c r="V302" s="25" t="str">
        <f>LOWER(SUBSTITUTE(SUBSTITUTE(SUBSTITUTE(SUBSTITUTE(SUBSTITUTE('Ingest Template'!Y301,"https:",""),"www.",""),"/",""),"?hl=en",""),"instagram.com",""))</f>
        <v/>
      </c>
      <c r="W302" s="34" t="str">
        <f>(IFERROR(vlookup('Ingest Template'!F302,DropDown!D:E,2,false)&amp;'Ingest Template'!C302,""))</f>
        <v/>
      </c>
      <c r="X302" s="25" t="str">
        <f>'Ingest Template'!AA301</f>
        <v/>
      </c>
      <c r="Y302" s="25"/>
      <c r="Z302" s="25"/>
      <c r="AA302" s="25"/>
      <c r="AB302" s="25" t="str">
        <f>'Ingest Template'!T301</f>
        <v/>
      </c>
      <c r="AC302" s="25"/>
      <c r="AD302" s="25" t="str">
        <f>'Ingest Template'!U301</f>
        <v/>
      </c>
      <c r="AE302" s="25" t="str">
        <f>'Ingest Template'!V301</f>
        <v/>
      </c>
      <c r="AF302" s="25"/>
      <c r="AG302" s="25" t="str">
        <f t="array" ref="AG302">IF('Ingest Template'!A301="Standard",(CONCATENATE(IF(ISBLANK('Ingest Template'!O301),"", 'Ingest Template'!O301&amp;"|DAR"),CHAR(10), IF(ISBLANK('Ingest Template'!P301),"", 'Ingest Template'!P301&amp;"|DAR"),CHAR(10), IF(ISBLANK('Ingest Template'!Q301),"", 'Ingest Template'!Q301&amp;"|DAR"))),(CONCATENATE(IF(ISBLANK('Ingest Template'!O301),"", 'Ingest Template'!O301&amp;"|Operations - Core Title"),CHAR(10), IF(ISBLANK('Ingest Template'!P301),"", 'Ingest Template'!P301&amp;"|Operations - Core Title"),CHAR(10), IF(ISBLANK('Ingest Template'!Q301),"", 'Ingest Template'!Q301&amp;"|Operations - Core Title"))))</f>
        <v>#|Operations - Core Title
#videoGame|Operations - Core Title
</v>
      </c>
      <c r="AH302" s="25"/>
      <c r="AI302" s="25"/>
      <c r="AJ302" s="50" t="str">
        <f>if('Ingest Template'!A301="Standard",'Ingest Template'!R301&amp; "|DAR|DAR|2021-01-01",'Ingest Template'!R301&amp; "|Operations - Core Title|Operations - Core Title")</f>
        <v>#N/A</v>
      </c>
      <c r="AK302" s="25"/>
      <c r="AL302" s="25" t="str">
        <f>if('Ingest Template'!A301="Standard",'Ingest Template'!S301&amp; "|2021-01-01",'Ingest Template'!S301)</f>
        <v>#N/A</v>
      </c>
      <c r="AM302" s="25"/>
    </row>
    <row r="303">
      <c r="A303" s="25"/>
      <c r="B303" s="25" t="str">
        <f>'Ingest Template'!C302&amp;IF('Ingest Template'!A302 = "Standard", " - DAR","")</f>
        <v/>
      </c>
      <c r="C303" s="34" t="s">
        <v>92</v>
      </c>
      <c r="D303" s="34" t="str">
        <f>CONCATENATE('Ingest Template'!E303&amp;Char(10)&amp;'Ingest Template'!G303&amp;Char(10)&amp;'Ingest Template'!H303&amp;Char(10)&amp;'Ingest Template'!I303&amp;Char(10)&amp;'Ingest Template'!J303&amp;Char(10)&amp;'Ingest Template'!K303&amp;Char(10)&amp;'Ingest Template'!L303)</f>
        <v>
</v>
      </c>
      <c r="E303" s="25" t="str">
        <f>('Ingest Template'!M303)</f>
        <v/>
      </c>
      <c r="F303" s="40" t="str">
        <f t="array" ref="F303">INDEX(DropDown!$J$2:$J$63,MATCH(1,COUNTIF(E303,DropDown!$I$2:$I$63),0))</f>
        <v>#N/A</v>
      </c>
      <c r="G303" s="25"/>
      <c r="H303" s="25"/>
      <c r="I303" s="25"/>
      <c r="J303" s="25" t="str">
        <f>'Ingest Template'!B303</f>
        <v/>
      </c>
      <c r="K303" s="25" t="str">
        <f>IF('Ingest Template'!A302="Standard",'Ingest Template'!N302,"Competitive View")</f>
        <v>Competitive View</v>
      </c>
      <c r="L303" s="41" t="s">
        <v>145</v>
      </c>
      <c r="M303" s="25" t="str">
        <f>'Ingest Template'!D302</f>
        <v/>
      </c>
      <c r="N303" s="25"/>
      <c r="O303" s="25"/>
      <c r="P303" s="25"/>
      <c r="Q303" s="25"/>
      <c r="R303" s="25" t="str">
        <f>CONCATENATE('Ingest Template'!F302)</f>
        <v/>
      </c>
      <c r="S303" s="43" t="s">
        <v>160</v>
      </c>
      <c r="T303" s="25" t="str">
        <f>'Ingest Template'!W302</f>
        <v/>
      </c>
      <c r="U303" s="25"/>
      <c r="V303" s="25" t="str">
        <f>LOWER(SUBSTITUTE(SUBSTITUTE(SUBSTITUTE(SUBSTITUTE(SUBSTITUTE('Ingest Template'!Y302,"https:",""),"www.",""),"/",""),"?hl=en",""),"instagram.com",""))</f>
        <v/>
      </c>
      <c r="W303" s="34" t="str">
        <f>(IFERROR(vlookup('Ingest Template'!F303,DropDown!D:E,2,false)&amp;'Ingest Template'!C303,""))</f>
        <v/>
      </c>
      <c r="X303" s="25" t="str">
        <f>'Ingest Template'!AA302</f>
        <v/>
      </c>
      <c r="Y303" s="25"/>
      <c r="Z303" s="25"/>
      <c r="AA303" s="25"/>
      <c r="AB303" s="25" t="str">
        <f>'Ingest Template'!T302</f>
        <v/>
      </c>
      <c r="AC303" s="25"/>
      <c r="AD303" s="25" t="str">
        <f>'Ingest Template'!U302</f>
        <v/>
      </c>
      <c r="AE303" s="25" t="str">
        <f>'Ingest Template'!V302</f>
        <v/>
      </c>
      <c r="AF303" s="25"/>
      <c r="AG303" s="25" t="str">
        <f t="array" ref="AG303">IF('Ingest Template'!A302="Standard",(CONCATENATE(IF(ISBLANK('Ingest Template'!O302),"", 'Ingest Template'!O302&amp;"|DAR"),CHAR(10), IF(ISBLANK('Ingest Template'!P302),"", 'Ingest Template'!P302&amp;"|DAR"),CHAR(10), IF(ISBLANK('Ingest Template'!Q302),"", 'Ingest Template'!Q302&amp;"|DAR"))),(CONCATENATE(IF(ISBLANK('Ingest Template'!O302),"", 'Ingest Template'!O302&amp;"|Operations - Core Title"),CHAR(10), IF(ISBLANK('Ingest Template'!P302),"", 'Ingest Template'!P302&amp;"|Operations - Core Title"),CHAR(10), IF(ISBLANK('Ingest Template'!Q302),"", 'Ingest Template'!Q302&amp;"|Operations - Core Title"))))</f>
        <v>#|Operations - Core Title
#videoGame|Operations - Core Title
</v>
      </c>
      <c r="AH303" s="25"/>
      <c r="AI303" s="25"/>
      <c r="AJ303" s="50" t="str">
        <f>if('Ingest Template'!A302="Standard",'Ingest Template'!R302&amp; "|DAR|DAR|2021-01-01",'Ingest Template'!R302&amp; "|Operations - Core Title|Operations - Core Title")</f>
        <v>#N/A</v>
      </c>
      <c r="AK303" s="25"/>
      <c r="AL303" s="25" t="str">
        <f>if('Ingest Template'!A302="Standard",'Ingest Template'!S302&amp; "|2021-01-01",'Ingest Template'!S302)</f>
        <v>#N/A</v>
      </c>
      <c r="AM303" s="25"/>
    </row>
    <row r="304">
      <c r="A304" s="25"/>
      <c r="B304" s="25" t="str">
        <f>'Ingest Template'!C303&amp;IF('Ingest Template'!A303 = "Standard", " - DAR","")</f>
        <v/>
      </c>
      <c r="C304" s="34" t="s">
        <v>92</v>
      </c>
      <c r="D304" s="34" t="str">
        <f>CONCATENATE('Ingest Template'!E304&amp;Char(10)&amp;'Ingest Template'!G304&amp;Char(10)&amp;'Ingest Template'!H304&amp;Char(10)&amp;'Ingest Template'!I304&amp;Char(10)&amp;'Ingest Template'!J304&amp;Char(10)&amp;'Ingest Template'!K304&amp;Char(10)&amp;'Ingest Template'!L304)</f>
        <v>
</v>
      </c>
      <c r="E304" s="25" t="str">
        <f>('Ingest Template'!M304)</f>
        <v/>
      </c>
      <c r="F304" s="40" t="str">
        <f t="array" ref="F304">INDEX(DropDown!$J$2:$J$63,MATCH(1,COUNTIF(E304,DropDown!$I$2:$I$63),0))</f>
        <v>#N/A</v>
      </c>
      <c r="G304" s="25"/>
      <c r="H304" s="25"/>
      <c r="I304" s="25"/>
      <c r="J304" s="25" t="str">
        <f>'Ingest Template'!B304</f>
        <v/>
      </c>
      <c r="K304" s="25" t="str">
        <f>IF('Ingest Template'!A303="Standard",'Ingest Template'!N303,"Competitive View")</f>
        <v>Competitive View</v>
      </c>
      <c r="L304" s="41" t="s">
        <v>145</v>
      </c>
      <c r="M304" s="25" t="str">
        <f>'Ingest Template'!D303</f>
        <v/>
      </c>
      <c r="N304" s="25"/>
      <c r="O304" s="25"/>
      <c r="P304" s="25"/>
      <c r="Q304" s="25"/>
      <c r="R304" s="25" t="str">
        <f>CONCATENATE('Ingest Template'!F303)</f>
        <v/>
      </c>
      <c r="S304" s="43" t="s">
        <v>160</v>
      </c>
      <c r="T304" s="25" t="str">
        <f>'Ingest Template'!W303</f>
        <v/>
      </c>
      <c r="U304" s="25"/>
      <c r="V304" s="25" t="str">
        <f>LOWER(SUBSTITUTE(SUBSTITUTE(SUBSTITUTE(SUBSTITUTE(SUBSTITUTE('Ingest Template'!Y303,"https:",""),"www.",""),"/",""),"?hl=en",""),"instagram.com",""))</f>
        <v/>
      </c>
      <c r="W304" s="34" t="str">
        <f>(IFERROR(vlookup('Ingest Template'!F304,DropDown!D:E,2,false)&amp;'Ingest Template'!C304,""))</f>
        <v/>
      </c>
      <c r="X304" s="25" t="str">
        <f>'Ingest Template'!AA303</f>
        <v/>
      </c>
      <c r="Y304" s="25"/>
      <c r="Z304" s="25"/>
      <c r="AA304" s="25"/>
      <c r="AB304" s="25" t="str">
        <f>'Ingest Template'!T303</f>
        <v/>
      </c>
      <c r="AC304" s="25"/>
      <c r="AD304" s="25" t="str">
        <f>'Ingest Template'!U303</f>
        <v/>
      </c>
      <c r="AE304" s="25" t="str">
        <f>'Ingest Template'!V303</f>
        <v/>
      </c>
      <c r="AF304" s="25"/>
      <c r="AG304" s="25" t="str">
        <f t="array" ref="AG304">IF('Ingest Template'!A303="Standard",(CONCATENATE(IF(ISBLANK('Ingest Template'!O303),"", 'Ingest Template'!O303&amp;"|DAR"),CHAR(10), IF(ISBLANK('Ingest Template'!P303),"", 'Ingest Template'!P303&amp;"|DAR"),CHAR(10), IF(ISBLANK('Ingest Template'!Q303),"", 'Ingest Template'!Q303&amp;"|DAR"))),(CONCATENATE(IF(ISBLANK('Ingest Template'!O303),"", 'Ingest Template'!O303&amp;"|Operations - Core Title"),CHAR(10), IF(ISBLANK('Ingest Template'!P303),"", 'Ingest Template'!P303&amp;"|Operations - Core Title"),CHAR(10), IF(ISBLANK('Ingest Template'!Q303),"", 'Ingest Template'!Q303&amp;"|Operations - Core Title"))))</f>
        <v>#|Operations - Core Title
#videoGame|Operations - Core Title
</v>
      </c>
      <c r="AH304" s="25"/>
      <c r="AI304" s="25"/>
      <c r="AJ304" s="50" t="str">
        <f>if('Ingest Template'!A303="Standard",'Ingest Template'!R303&amp; "|DAR|DAR|2021-01-01",'Ingest Template'!R303&amp; "|Operations - Core Title|Operations - Core Title")</f>
        <v>#N/A</v>
      </c>
      <c r="AK304" s="25"/>
      <c r="AL304" s="25" t="str">
        <f>if('Ingest Template'!A303="Standard",'Ingest Template'!S303&amp; "|2021-01-01",'Ingest Template'!S303)</f>
        <v>#N/A</v>
      </c>
      <c r="AM304" s="25"/>
    </row>
    <row r="305">
      <c r="A305" s="25"/>
      <c r="B305" s="25" t="str">
        <f>'Ingest Template'!C304&amp;IF('Ingest Template'!A304 = "Standard", " - DAR","")</f>
        <v/>
      </c>
      <c r="C305" s="34" t="s">
        <v>92</v>
      </c>
      <c r="D305" s="34" t="str">
        <f>CONCATENATE('Ingest Template'!E305&amp;Char(10)&amp;'Ingest Template'!G305&amp;Char(10)&amp;'Ingest Template'!H305&amp;Char(10)&amp;'Ingest Template'!I305&amp;Char(10)&amp;'Ingest Template'!J305&amp;Char(10)&amp;'Ingest Template'!K305&amp;Char(10)&amp;'Ingest Template'!L305)</f>
        <v>
</v>
      </c>
      <c r="E305" s="25" t="str">
        <f>('Ingest Template'!M305)</f>
        <v/>
      </c>
      <c r="F305" s="40" t="str">
        <f t="array" ref="F305">INDEX(DropDown!$J$2:$J$63,MATCH(1,COUNTIF(E305,DropDown!$I$2:$I$63),0))</f>
        <v>#N/A</v>
      </c>
      <c r="G305" s="25"/>
      <c r="H305" s="25"/>
      <c r="I305" s="25"/>
      <c r="J305" s="25" t="str">
        <f>'Ingest Template'!B305</f>
        <v/>
      </c>
      <c r="K305" s="25" t="str">
        <f>IF('Ingest Template'!A304="Standard",'Ingest Template'!N304,"Competitive View")</f>
        <v>Competitive View</v>
      </c>
      <c r="L305" s="41" t="s">
        <v>145</v>
      </c>
      <c r="M305" s="25" t="str">
        <f>'Ingest Template'!D304</f>
        <v/>
      </c>
      <c r="N305" s="25"/>
      <c r="O305" s="25"/>
      <c r="P305" s="25"/>
      <c r="Q305" s="25"/>
      <c r="R305" s="25" t="str">
        <f>CONCATENATE('Ingest Template'!F304)</f>
        <v/>
      </c>
      <c r="S305" s="43" t="s">
        <v>160</v>
      </c>
      <c r="T305" s="25" t="str">
        <f>'Ingest Template'!W304</f>
        <v/>
      </c>
      <c r="U305" s="25"/>
      <c r="V305" s="25" t="str">
        <f>LOWER(SUBSTITUTE(SUBSTITUTE(SUBSTITUTE(SUBSTITUTE(SUBSTITUTE('Ingest Template'!Y304,"https:",""),"www.",""),"/",""),"?hl=en",""),"instagram.com",""))</f>
        <v/>
      </c>
      <c r="W305" s="34" t="str">
        <f>(IFERROR(vlookup('Ingest Template'!F305,DropDown!D:E,2,false)&amp;'Ingest Template'!C305,""))</f>
        <v/>
      </c>
      <c r="X305" s="25" t="str">
        <f>'Ingest Template'!AA304</f>
        <v/>
      </c>
      <c r="Y305" s="25"/>
      <c r="Z305" s="25"/>
      <c r="AA305" s="25"/>
      <c r="AB305" s="25" t="str">
        <f>'Ingest Template'!T304</f>
        <v/>
      </c>
      <c r="AC305" s="25"/>
      <c r="AD305" s="25" t="str">
        <f>'Ingest Template'!U304</f>
        <v/>
      </c>
      <c r="AE305" s="25" t="str">
        <f>'Ingest Template'!V304</f>
        <v/>
      </c>
      <c r="AF305" s="25"/>
      <c r="AG305" s="25" t="str">
        <f t="array" ref="AG305">IF('Ingest Template'!A304="Standard",(CONCATENATE(IF(ISBLANK('Ingest Template'!O304),"", 'Ingest Template'!O304&amp;"|DAR"),CHAR(10), IF(ISBLANK('Ingest Template'!P304),"", 'Ingest Template'!P304&amp;"|DAR"),CHAR(10), IF(ISBLANK('Ingest Template'!Q304),"", 'Ingest Template'!Q304&amp;"|DAR"))),(CONCATENATE(IF(ISBLANK('Ingest Template'!O304),"", 'Ingest Template'!O304&amp;"|Operations - Core Title"),CHAR(10), IF(ISBLANK('Ingest Template'!P304),"", 'Ingest Template'!P304&amp;"|Operations - Core Title"),CHAR(10), IF(ISBLANK('Ingest Template'!Q304),"", 'Ingest Template'!Q304&amp;"|Operations - Core Title"))))</f>
        <v>#|Operations - Core Title
#videoGame|Operations - Core Title
</v>
      </c>
      <c r="AH305" s="25"/>
      <c r="AI305" s="25"/>
      <c r="AJ305" s="50" t="str">
        <f>if('Ingest Template'!A304="Standard",'Ingest Template'!R304&amp; "|DAR|DAR|2021-01-01",'Ingest Template'!R304&amp; "|Operations - Core Title|Operations - Core Title")</f>
        <v>#N/A</v>
      </c>
      <c r="AK305" s="25"/>
      <c r="AL305" s="25" t="str">
        <f>if('Ingest Template'!A304="Standard",'Ingest Template'!S304&amp; "|2021-01-01",'Ingest Template'!S304)</f>
        <v>#N/A</v>
      </c>
      <c r="AM305" s="25"/>
    </row>
    <row r="306">
      <c r="A306" s="25"/>
      <c r="B306" s="25" t="str">
        <f>'Ingest Template'!C305&amp;IF('Ingest Template'!A305 = "Standard", " - DAR","")</f>
        <v/>
      </c>
      <c r="C306" s="34" t="s">
        <v>92</v>
      </c>
      <c r="D306" s="34" t="str">
        <f>CONCATENATE('Ingest Template'!E306&amp;Char(10)&amp;'Ingest Template'!G306&amp;Char(10)&amp;'Ingest Template'!H306&amp;Char(10)&amp;'Ingest Template'!I306&amp;Char(10)&amp;'Ingest Template'!J306&amp;Char(10)&amp;'Ingest Template'!K306&amp;Char(10)&amp;'Ingest Template'!L306)</f>
        <v>
</v>
      </c>
      <c r="E306" s="25" t="str">
        <f>('Ingest Template'!M306)</f>
        <v/>
      </c>
      <c r="F306" s="40" t="str">
        <f t="array" ref="F306">INDEX(DropDown!$J$2:$J$63,MATCH(1,COUNTIF(E306,DropDown!$I$2:$I$63),0))</f>
        <v>#N/A</v>
      </c>
      <c r="G306" s="25"/>
      <c r="H306" s="25"/>
      <c r="I306" s="25"/>
      <c r="J306" s="25" t="str">
        <f>'Ingest Template'!B306</f>
        <v/>
      </c>
      <c r="K306" s="25" t="str">
        <f>IF('Ingest Template'!A305="Standard",'Ingest Template'!N305,"Competitive View")</f>
        <v>Competitive View</v>
      </c>
      <c r="L306" s="41" t="s">
        <v>145</v>
      </c>
      <c r="M306" s="25" t="str">
        <f>'Ingest Template'!D305</f>
        <v/>
      </c>
      <c r="N306" s="25"/>
      <c r="O306" s="25"/>
      <c r="P306" s="25"/>
      <c r="Q306" s="25"/>
      <c r="R306" s="25" t="str">
        <f>CONCATENATE('Ingest Template'!F305)</f>
        <v/>
      </c>
      <c r="S306" s="43" t="s">
        <v>160</v>
      </c>
      <c r="T306" s="25" t="str">
        <f>'Ingest Template'!W305</f>
        <v/>
      </c>
      <c r="U306" s="25"/>
      <c r="V306" s="25" t="str">
        <f>LOWER(SUBSTITUTE(SUBSTITUTE(SUBSTITUTE(SUBSTITUTE(SUBSTITUTE('Ingest Template'!Y305,"https:",""),"www.",""),"/",""),"?hl=en",""),"instagram.com",""))</f>
        <v/>
      </c>
      <c r="W306" s="34" t="str">
        <f>(IFERROR(vlookup('Ingest Template'!F306,DropDown!D:E,2,false)&amp;'Ingest Template'!C306,""))</f>
        <v/>
      </c>
      <c r="X306" s="25" t="str">
        <f>'Ingest Template'!AA305</f>
        <v/>
      </c>
      <c r="Y306" s="25"/>
      <c r="Z306" s="25"/>
      <c r="AA306" s="25"/>
      <c r="AB306" s="25" t="str">
        <f>'Ingest Template'!T305</f>
        <v/>
      </c>
      <c r="AC306" s="25"/>
      <c r="AD306" s="25" t="str">
        <f>'Ingest Template'!U305</f>
        <v/>
      </c>
      <c r="AE306" s="25" t="str">
        <f>'Ingest Template'!V305</f>
        <v/>
      </c>
      <c r="AF306" s="25"/>
      <c r="AG306" s="25" t="str">
        <f t="array" ref="AG306">IF('Ingest Template'!A305="Standard",(CONCATENATE(IF(ISBLANK('Ingest Template'!O305),"", 'Ingest Template'!O305&amp;"|DAR"),CHAR(10), IF(ISBLANK('Ingest Template'!P305),"", 'Ingest Template'!P305&amp;"|DAR"),CHAR(10), IF(ISBLANK('Ingest Template'!Q305),"", 'Ingest Template'!Q305&amp;"|DAR"))),(CONCATENATE(IF(ISBLANK('Ingest Template'!O305),"", 'Ingest Template'!O305&amp;"|Operations - Core Title"),CHAR(10), IF(ISBLANK('Ingest Template'!P305),"", 'Ingest Template'!P305&amp;"|Operations - Core Title"),CHAR(10), IF(ISBLANK('Ingest Template'!Q305),"", 'Ingest Template'!Q305&amp;"|Operations - Core Title"))))</f>
        <v>#|Operations - Core Title
#videoGame|Operations - Core Title
</v>
      </c>
      <c r="AH306" s="25"/>
      <c r="AI306" s="25"/>
      <c r="AJ306" s="50" t="str">
        <f>if('Ingest Template'!A305="Standard",'Ingest Template'!R305&amp; "|DAR|DAR|2021-01-01",'Ingest Template'!R305&amp; "|Operations - Core Title|Operations - Core Title")</f>
        <v>#N/A</v>
      </c>
      <c r="AK306" s="25"/>
      <c r="AL306" s="25" t="str">
        <f>if('Ingest Template'!A305="Standard",'Ingest Template'!S305&amp; "|2021-01-01",'Ingest Template'!S305)</f>
        <v>#N/A</v>
      </c>
      <c r="AM306" s="25"/>
    </row>
    <row r="307">
      <c r="A307" s="25"/>
      <c r="B307" s="25" t="str">
        <f>'Ingest Template'!C306&amp;IF('Ingest Template'!A306 = "Standard", " - DAR","")</f>
        <v/>
      </c>
      <c r="C307" s="34" t="s">
        <v>92</v>
      </c>
      <c r="D307" s="34" t="str">
        <f>CONCATENATE('Ingest Template'!E307&amp;Char(10)&amp;'Ingest Template'!G307&amp;Char(10)&amp;'Ingest Template'!H307&amp;Char(10)&amp;'Ingest Template'!I307&amp;Char(10)&amp;'Ingest Template'!J307&amp;Char(10)&amp;'Ingest Template'!K307&amp;Char(10)&amp;'Ingest Template'!L307)</f>
        <v>
</v>
      </c>
      <c r="E307" s="25" t="str">
        <f>('Ingest Template'!M307)</f>
        <v/>
      </c>
      <c r="F307" s="40" t="str">
        <f t="array" ref="F307">INDEX(DropDown!$J$2:$J$63,MATCH(1,COUNTIF(E307,DropDown!$I$2:$I$63),0))</f>
        <v>#N/A</v>
      </c>
      <c r="G307" s="25"/>
      <c r="H307" s="25"/>
      <c r="I307" s="25"/>
      <c r="J307" s="25" t="str">
        <f>'Ingest Template'!B307</f>
        <v/>
      </c>
      <c r="K307" s="25" t="str">
        <f>IF('Ingest Template'!A306="Standard",'Ingest Template'!N306,"Competitive View")</f>
        <v>Competitive View</v>
      </c>
      <c r="L307" s="41" t="s">
        <v>145</v>
      </c>
      <c r="M307" s="25" t="str">
        <f>'Ingest Template'!D306</f>
        <v/>
      </c>
      <c r="N307" s="25"/>
      <c r="O307" s="25"/>
      <c r="P307" s="25"/>
      <c r="Q307" s="25"/>
      <c r="R307" s="25" t="str">
        <f>CONCATENATE('Ingest Template'!F306)</f>
        <v/>
      </c>
      <c r="S307" s="43" t="s">
        <v>160</v>
      </c>
      <c r="T307" s="25" t="str">
        <f>'Ingest Template'!W306</f>
        <v/>
      </c>
      <c r="U307" s="25"/>
      <c r="V307" s="25" t="str">
        <f>LOWER(SUBSTITUTE(SUBSTITUTE(SUBSTITUTE(SUBSTITUTE(SUBSTITUTE('Ingest Template'!Y306,"https:",""),"www.",""),"/",""),"?hl=en",""),"instagram.com",""))</f>
        <v/>
      </c>
      <c r="W307" s="34" t="str">
        <f>(IFERROR(vlookup('Ingest Template'!F307,DropDown!D:E,2,false)&amp;'Ingest Template'!C307,""))</f>
        <v/>
      </c>
      <c r="X307" s="25" t="str">
        <f>'Ingest Template'!AA306</f>
        <v/>
      </c>
      <c r="Y307" s="25"/>
      <c r="Z307" s="25"/>
      <c r="AA307" s="25"/>
      <c r="AB307" s="25" t="str">
        <f>'Ingest Template'!T306</f>
        <v/>
      </c>
      <c r="AC307" s="25"/>
      <c r="AD307" s="25" t="str">
        <f>'Ingest Template'!U306</f>
        <v/>
      </c>
      <c r="AE307" s="25" t="str">
        <f>'Ingest Template'!V306</f>
        <v/>
      </c>
      <c r="AF307" s="25"/>
      <c r="AG307" s="25" t="str">
        <f t="array" ref="AG307">IF('Ingest Template'!A306="Standard",(CONCATENATE(IF(ISBLANK('Ingest Template'!O306),"", 'Ingest Template'!O306&amp;"|DAR"),CHAR(10), IF(ISBLANK('Ingest Template'!P306),"", 'Ingest Template'!P306&amp;"|DAR"),CHAR(10), IF(ISBLANK('Ingest Template'!Q306),"", 'Ingest Template'!Q306&amp;"|DAR"))),(CONCATENATE(IF(ISBLANK('Ingest Template'!O306),"", 'Ingest Template'!O306&amp;"|Operations - Core Title"),CHAR(10), IF(ISBLANK('Ingest Template'!P306),"", 'Ingest Template'!P306&amp;"|Operations - Core Title"),CHAR(10), IF(ISBLANK('Ingest Template'!Q306),"", 'Ingest Template'!Q306&amp;"|Operations - Core Title"))))</f>
        <v>#|Operations - Core Title
#videoGame|Operations - Core Title
</v>
      </c>
      <c r="AH307" s="25"/>
      <c r="AI307" s="25"/>
      <c r="AJ307" s="50" t="str">
        <f>if('Ingest Template'!A306="Standard",'Ingest Template'!R306&amp; "|DAR|DAR|2021-01-01",'Ingest Template'!R306&amp; "|Operations - Core Title|Operations - Core Title")</f>
        <v>#N/A</v>
      </c>
      <c r="AK307" s="25"/>
      <c r="AL307" s="25" t="str">
        <f>if('Ingest Template'!A306="Standard",'Ingest Template'!S306&amp; "|2021-01-01",'Ingest Template'!S306)</f>
        <v>#N/A</v>
      </c>
      <c r="AM307" s="25"/>
    </row>
    <row r="308">
      <c r="A308" s="25"/>
      <c r="B308" s="25" t="str">
        <f>'Ingest Template'!C307&amp;IF('Ingest Template'!A307 = "Standard", " - DAR","")</f>
        <v/>
      </c>
      <c r="C308" s="34" t="s">
        <v>92</v>
      </c>
      <c r="D308" s="34" t="str">
        <f>CONCATENATE('Ingest Template'!E308&amp;Char(10)&amp;'Ingest Template'!G308&amp;Char(10)&amp;'Ingest Template'!H308&amp;Char(10)&amp;'Ingest Template'!I308&amp;Char(10)&amp;'Ingest Template'!J308&amp;Char(10)&amp;'Ingest Template'!K308&amp;Char(10)&amp;'Ingest Template'!L308)</f>
        <v>
</v>
      </c>
      <c r="E308" s="25" t="str">
        <f>('Ingest Template'!M308)</f>
        <v/>
      </c>
      <c r="F308" s="40" t="str">
        <f t="array" ref="F308">INDEX(DropDown!$J$2:$J$63,MATCH(1,COUNTIF(E308,DropDown!$I$2:$I$63),0))</f>
        <v>#N/A</v>
      </c>
      <c r="G308" s="25"/>
      <c r="H308" s="25"/>
      <c r="I308" s="25"/>
      <c r="J308" s="25" t="str">
        <f>'Ingest Template'!B308</f>
        <v/>
      </c>
      <c r="K308" s="25" t="str">
        <f>IF('Ingest Template'!A307="Standard",'Ingest Template'!N307,"Competitive View")</f>
        <v>Competitive View</v>
      </c>
      <c r="L308" s="41" t="s">
        <v>145</v>
      </c>
      <c r="M308" s="25" t="str">
        <f>'Ingest Template'!D307</f>
        <v/>
      </c>
      <c r="N308" s="25"/>
      <c r="O308" s="25"/>
      <c r="P308" s="25"/>
      <c r="Q308" s="25"/>
      <c r="R308" s="25" t="str">
        <f>CONCATENATE('Ingest Template'!F307)</f>
        <v/>
      </c>
      <c r="S308" s="43" t="s">
        <v>160</v>
      </c>
      <c r="T308" s="25" t="str">
        <f>'Ingest Template'!W307</f>
        <v/>
      </c>
      <c r="U308" s="25"/>
      <c r="V308" s="25" t="str">
        <f>LOWER(SUBSTITUTE(SUBSTITUTE(SUBSTITUTE(SUBSTITUTE(SUBSTITUTE('Ingest Template'!Y307,"https:",""),"www.",""),"/",""),"?hl=en",""),"instagram.com",""))</f>
        <v/>
      </c>
      <c r="W308" s="34" t="str">
        <f>(IFERROR(vlookup('Ingest Template'!F308,DropDown!D:E,2,false)&amp;'Ingest Template'!C308,""))</f>
        <v/>
      </c>
      <c r="X308" s="25" t="str">
        <f>'Ingest Template'!AA307</f>
        <v/>
      </c>
      <c r="Y308" s="25"/>
      <c r="Z308" s="25"/>
      <c r="AA308" s="25"/>
      <c r="AB308" s="25" t="str">
        <f>'Ingest Template'!T307</f>
        <v/>
      </c>
      <c r="AC308" s="25"/>
      <c r="AD308" s="25" t="str">
        <f>'Ingest Template'!U307</f>
        <v/>
      </c>
      <c r="AE308" s="25" t="str">
        <f>'Ingest Template'!V307</f>
        <v/>
      </c>
      <c r="AF308" s="25"/>
      <c r="AG308" s="25" t="str">
        <f t="array" ref="AG308">IF('Ingest Template'!A307="Standard",(CONCATENATE(IF(ISBLANK('Ingest Template'!O307),"", 'Ingest Template'!O307&amp;"|DAR"),CHAR(10), IF(ISBLANK('Ingest Template'!P307),"", 'Ingest Template'!P307&amp;"|DAR"),CHAR(10), IF(ISBLANK('Ingest Template'!Q307),"", 'Ingest Template'!Q307&amp;"|DAR"))),(CONCATENATE(IF(ISBLANK('Ingest Template'!O307),"", 'Ingest Template'!O307&amp;"|Operations - Core Title"),CHAR(10), IF(ISBLANK('Ingest Template'!P307),"", 'Ingest Template'!P307&amp;"|Operations - Core Title"),CHAR(10), IF(ISBLANK('Ingest Template'!Q307),"", 'Ingest Template'!Q307&amp;"|Operations - Core Title"))))</f>
        <v>#|Operations - Core Title
#videoGame|Operations - Core Title
</v>
      </c>
      <c r="AH308" s="25"/>
      <c r="AI308" s="25"/>
      <c r="AJ308" s="50" t="str">
        <f>if('Ingest Template'!A307="Standard",'Ingest Template'!R307&amp; "|DAR|DAR|2021-01-01",'Ingest Template'!R307&amp; "|Operations - Core Title|Operations - Core Title")</f>
        <v>#N/A</v>
      </c>
      <c r="AK308" s="25"/>
      <c r="AL308" s="25" t="str">
        <f>if('Ingest Template'!A307="Standard",'Ingest Template'!S307&amp; "|2021-01-01",'Ingest Template'!S307)</f>
        <v>#N/A</v>
      </c>
      <c r="AM308" s="25"/>
    </row>
    <row r="309">
      <c r="A309" s="25"/>
      <c r="B309" s="25" t="str">
        <f>'Ingest Template'!C308&amp;IF('Ingest Template'!A308 = "Standard", " - DAR","")</f>
        <v/>
      </c>
      <c r="C309" s="34" t="s">
        <v>92</v>
      </c>
      <c r="D309" s="34" t="str">
        <f>CONCATENATE('Ingest Template'!E309&amp;Char(10)&amp;'Ingest Template'!G309&amp;Char(10)&amp;'Ingest Template'!H309&amp;Char(10)&amp;'Ingest Template'!I309&amp;Char(10)&amp;'Ingest Template'!J309&amp;Char(10)&amp;'Ingest Template'!K309&amp;Char(10)&amp;'Ingest Template'!L309)</f>
        <v>
</v>
      </c>
      <c r="E309" s="25" t="str">
        <f>('Ingest Template'!M309)</f>
        <v/>
      </c>
      <c r="F309" s="40" t="str">
        <f t="array" ref="F309">INDEX(DropDown!$J$2:$J$63,MATCH(1,COUNTIF(E309,DropDown!$I$2:$I$63),0))</f>
        <v>#N/A</v>
      </c>
      <c r="G309" s="25"/>
      <c r="H309" s="25"/>
      <c r="I309" s="25"/>
      <c r="J309" s="25" t="str">
        <f>'Ingest Template'!B309</f>
        <v/>
      </c>
      <c r="K309" s="25" t="str">
        <f>IF('Ingest Template'!A308="Standard",'Ingest Template'!N308,"Competitive View")</f>
        <v>Competitive View</v>
      </c>
      <c r="L309" s="41" t="s">
        <v>145</v>
      </c>
      <c r="M309" s="25" t="str">
        <f>'Ingest Template'!D308</f>
        <v/>
      </c>
      <c r="N309" s="25"/>
      <c r="O309" s="25"/>
      <c r="P309" s="25"/>
      <c r="Q309" s="25"/>
      <c r="R309" s="25" t="str">
        <f>CONCATENATE('Ingest Template'!F308)</f>
        <v/>
      </c>
      <c r="S309" s="43" t="s">
        <v>160</v>
      </c>
      <c r="T309" s="25" t="str">
        <f>'Ingest Template'!W308</f>
        <v/>
      </c>
      <c r="U309" s="25"/>
      <c r="V309" s="25" t="str">
        <f>LOWER(SUBSTITUTE(SUBSTITUTE(SUBSTITUTE(SUBSTITUTE(SUBSTITUTE('Ingest Template'!Y308,"https:",""),"www.",""),"/",""),"?hl=en",""),"instagram.com",""))</f>
        <v/>
      </c>
      <c r="W309" s="34" t="str">
        <f>(IFERROR(vlookup('Ingest Template'!F309,DropDown!D:E,2,false)&amp;'Ingest Template'!C309,""))</f>
        <v/>
      </c>
      <c r="X309" s="25" t="str">
        <f>'Ingest Template'!AA308</f>
        <v/>
      </c>
      <c r="Y309" s="25"/>
      <c r="Z309" s="25"/>
      <c r="AA309" s="25"/>
      <c r="AB309" s="25" t="str">
        <f>'Ingest Template'!T308</f>
        <v/>
      </c>
      <c r="AC309" s="25"/>
      <c r="AD309" s="25" t="str">
        <f>'Ingest Template'!U308</f>
        <v/>
      </c>
      <c r="AE309" s="25" t="str">
        <f>'Ingest Template'!V308</f>
        <v/>
      </c>
      <c r="AF309" s="25"/>
      <c r="AG309" s="25" t="str">
        <f t="array" ref="AG309">IF('Ingest Template'!A308="Standard",(CONCATENATE(IF(ISBLANK('Ingest Template'!O308),"", 'Ingest Template'!O308&amp;"|DAR"),CHAR(10), IF(ISBLANK('Ingest Template'!P308),"", 'Ingest Template'!P308&amp;"|DAR"),CHAR(10), IF(ISBLANK('Ingest Template'!Q308),"", 'Ingest Template'!Q308&amp;"|DAR"))),(CONCATENATE(IF(ISBLANK('Ingest Template'!O308),"", 'Ingest Template'!O308&amp;"|Operations - Core Title"),CHAR(10), IF(ISBLANK('Ingest Template'!P308),"", 'Ingest Template'!P308&amp;"|Operations - Core Title"),CHAR(10), IF(ISBLANK('Ingest Template'!Q308),"", 'Ingest Template'!Q308&amp;"|Operations - Core Title"))))</f>
        <v>#|Operations - Core Title
#videoGame|Operations - Core Title
</v>
      </c>
      <c r="AH309" s="25"/>
      <c r="AI309" s="25"/>
      <c r="AJ309" s="50" t="str">
        <f>if('Ingest Template'!A308="Standard",'Ingest Template'!R308&amp; "|DAR|DAR|2021-01-01",'Ingest Template'!R308&amp; "|Operations - Core Title|Operations - Core Title")</f>
        <v>#N/A</v>
      </c>
      <c r="AK309" s="25"/>
      <c r="AL309" s="25" t="str">
        <f>if('Ingest Template'!A308="Standard",'Ingest Template'!S308&amp; "|2021-01-01",'Ingest Template'!S308)</f>
        <v>#N/A</v>
      </c>
      <c r="AM309" s="25"/>
    </row>
    <row r="310">
      <c r="A310" s="25"/>
      <c r="B310" s="25" t="str">
        <f>'Ingest Template'!C309&amp;IF('Ingest Template'!A309 = "Standard", " - DAR","")</f>
        <v/>
      </c>
      <c r="C310" s="34" t="s">
        <v>92</v>
      </c>
      <c r="D310" s="34" t="str">
        <f>CONCATENATE('Ingest Template'!E310&amp;Char(10)&amp;'Ingest Template'!G310&amp;Char(10)&amp;'Ingest Template'!H310&amp;Char(10)&amp;'Ingest Template'!I310&amp;Char(10)&amp;'Ingest Template'!J310&amp;Char(10)&amp;'Ingest Template'!K310&amp;Char(10)&amp;'Ingest Template'!L310)</f>
        <v>
</v>
      </c>
      <c r="E310" s="25" t="str">
        <f>('Ingest Template'!M310)</f>
        <v/>
      </c>
      <c r="F310" s="40" t="str">
        <f t="array" ref="F310">INDEX(DropDown!$J$2:$J$63,MATCH(1,COUNTIF(E310,DropDown!$I$2:$I$63),0))</f>
        <v>#N/A</v>
      </c>
      <c r="G310" s="25"/>
      <c r="H310" s="25"/>
      <c r="I310" s="25"/>
      <c r="J310" s="25" t="str">
        <f>'Ingest Template'!B310</f>
        <v/>
      </c>
      <c r="K310" s="25" t="str">
        <f>IF('Ingest Template'!A309="Standard",'Ingest Template'!N309,"Competitive View")</f>
        <v>Competitive View</v>
      </c>
      <c r="L310" s="41" t="s">
        <v>145</v>
      </c>
      <c r="M310" s="25" t="str">
        <f>'Ingest Template'!D309</f>
        <v/>
      </c>
      <c r="N310" s="25"/>
      <c r="O310" s="25"/>
      <c r="P310" s="25"/>
      <c r="Q310" s="25"/>
      <c r="R310" s="25" t="str">
        <f>CONCATENATE('Ingest Template'!F309)</f>
        <v/>
      </c>
      <c r="S310" s="43" t="s">
        <v>160</v>
      </c>
      <c r="T310" s="25" t="str">
        <f>'Ingest Template'!W309</f>
        <v/>
      </c>
      <c r="U310" s="25"/>
      <c r="V310" s="25" t="str">
        <f>LOWER(SUBSTITUTE(SUBSTITUTE(SUBSTITUTE(SUBSTITUTE(SUBSTITUTE('Ingest Template'!Y309,"https:",""),"www.",""),"/",""),"?hl=en",""),"instagram.com",""))</f>
        <v/>
      </c>
      <c r="W310" s="34" t="str">
        <f>(IFERROR(vlookup('Ingest Template'!F310,DropDown!D:E,2,false)&amp;'Ingest Template'!C310,""))</f>
        <v/>
      </c>
      <c r="X310" s="25" t="str">
        <f>'Ingest Template'!AA309</f>
        <v/>
      </c>
      <c r="Y310" s="25"/>
      <c r="Z310" s="25"/>
      <c r="AA310" s="25"/>
      <c r="AB310" s="25" t="str">
        <f>'Ingest Template'!T309</f>
        <v/>
      </c>
      <c r="AC310" s="25"/>
      <c r="AD310" s="25" t="str">
        <f>'Ingest Template'!U309</f>
        <v/>
      </c>
      <c r="AE310" s="25" t="str">
        <f>'Ingest Template'!V309</f>
        <v/>
      </c>
      <c r="AF310" s="25"/>
      <c r="AG310" s="25" t="str">
        <f t="array" ref="AG310">IF('Ingest Template'!A309="Standard",(CONCATENATE(IF(ISBLANK('Ingest Template'!O309),"", 'Ingest Template'!O309&amp;"|DAR"),CHAR(10), IF(ISBLANK('Ingest Template'!P309),"", 'Ingest Template'!P309&amp;"|DAR"),CHAR(10), IF(ISBLANK('Ingest Template'!Q309),"", 'Ingest Template'!Q309&amp;"|DAR"))),(CONCATENATE(IF(ISBLANK('Ingest Template'!O309),"", 'Ingest Template'!O309&amp;"|Operations - Core Title"),CHAR(10), IF(ISBLANK('Ingest Template'!P309),"", 'Ingest Template'!P309&amp;"|Operations - Core Title"),CHAR(10), IF(ISBLANK('Ingest Template'!Q309),"", 'Ingest Template'!Q309&amp;"|Operations - Core Title"))))</f>
        <v>#|Operations - Core Title
#videoGame|Operations - Core Title
</v>
      </c>
      <c r="AH310" s="25"/>
      <c r="AI310" s="25"/>
      <c r="AJ310" s="50" t="str">
        <f>if('Ingest Template'!A309="Standard",'Ingest Template'!R309&amp; "|DAR|DAR|2021-01-01",'Ingest Template'!R309&amp; "|Operations - Core Title|Operations - Core Title")</f>
        <v>#N/A</v>
      </c>
      <c r="AK310" s="25"/>
      <c r="AL310" s="25" t="str">
        <f>if('Ingest Template'!A309="Standard",'Ingest Template'!S309&amp; "|2021-01-01",'Ingest Template'!S309)</f>
        <v>#N/A</v>
      </c>
      <c r="AM310" s="25"/>
    </row>
    <row r="311">
      <c r="A311" s="25"/>
      <c r="B311" s="25" t="str">
        <f>'Ingest Template'!C310&amp;IF('Ingest Template'!A310 = "Standard", " - DAR","")</f>
        <v/>
      </c>
      <c r="C311" s="34" t="s">
        <v>92</v>
      </c>
      <c r="D311" s="34" t="str">
        <f>CONCATENATE('Ingest Template'!E311&amp;Char(10)&amp;'Ingest Template'!G311&amp;Char(10)&amp;'Ingest Template'!H311&amp;Char(10)&amp;'Ingest Template'!I311&amp;Char(10)&amp;'Ingest Template'!J311&amp;Char(10)&amp;'Ingest Template'!K311&amp;Char(10)&amp;'Ingest Template'!L311)</f>
        <v>
</v>
      </c>
      <c r="E311" s="25" t="str">
        <f>('Ingest Template'!M311)</f>
        <v/>
      </c>
      <c r="F311" s="40" t="str">
        <f t="array" ref="F311">INDEX(DropDown!$J$2:$J$63,MATCH(1,COUNTIF(E311,DropDown!$I$2:$I$63),0))</f>
        <v>#N/A</v>
      </c>
      <c r="G311" s="25"/>
      <c r="H311" s="25"/>
      <c r="I311" s="25"/>
      <c r="J311" s="25" t="str">
        <f>'Ingest Template'!B311</f>
        <v/>
      </c>
      <c r="K311" s="25" t="str">
        <f>IF('Ingest Template'!A310="Standard",'Ingest Template'!N310,"Competitive View")</f>
        <v>Competitive View</v>
      </c>
      <c r="L311" s="41" t="s">
        <v>145</v>
      </c>
      <c r="M311" s="25" t="str">
        <f>'Ingest Template'!D310</f>
        <v/>
      </c>
      <c r="N311" s="25"/>
      <c r="O311" s="25"/>
      <c r="P311" s="25"/>
      <c r="Q311" s="25"/>
      <c r="R311" s="25" t="str">
        <f>CONCATENATE('Ingest Template'!F310)</f>
        <v/>
      </c>
      <c r="S311" s="43" t="s">
        <v>160</v>
      </c>
      <c r="T311" s="25" t="str">
        <f>'Ingest Template'!W310</f>
        <v/>
      </c>
      <c r="U311" s="25"/>
      <c r="V311" s="25" t="str">
        <f>LOWER(SUBSTITUTE(SUBSTITUTE(SUBSTITUTE(SUBSTITUTE(SUBSTITUTE('Ingest Template'!Y310,"https:",""),"www.",""),"/",""),"?hl=en",""),"instagram.com",""))</f>
        <v/>
      </c>
      <c r="W311" s="34" t="str">
        <f>(IFERROR(vlookup('Ingest Template'!F311,DropDown!D:E,2,false)&amp;'Ingest Template'!C311,""))</f>
        <v/>
      </c>
      <c r="X311" s="25" t="str">
        <f>'Ingest Template'!AA310</f>
        <v/>
      </c>
      <c r="Y311" s="25"/>
      <c r="Z311" s="25"/>
      <c r="AA311" s="25"/>
      <c r="AB311" s="25" t="str">
        <f>'Ingest Template'!T310</f>
        <v/>
      </c>
      <c r="AC311" s="25"/>
      <c r="AD311" s="25" t="str">
        <f>'Ingest Template'!U310</f>
        <v/>
      </c>
      <c r="AE311" s="25" t="str">
        <f>'Ingest Template'!V310</f>
        <v/>
      </c>
      <c r="AF311" s="25"/>
      <c r="AG311" s="25" t="str">
        <f t="array" ref="AG311">IF('Ingest Template'!A310="Standard",(CONCATENATE(IF(ISBLANK('Ingest Template'!O310),"", 'Ingest Template'!O310&amp;"|DAR"),CHAR(10), IF(ISBLANK('Ingest Template'!P310),"", 'Ingest Template'!P310&amp;"|DAR"),CHAR(10), IF(ISBLANK('Ingest Template'!Q310),"", 'Ingest Template'!Q310&amp;"|DAR"))),(CONCATENATE(IF(ISBLANK('Ingest Template'!O310),"", 'Ingest Template'!O310&amp;"|Operations - Core Title"),CHAR(10), IF(ISBLANK('Ingest Template'!P310),"", 'Ingest Template'!P310&amp;"|Operations - Core Title"),CHAR(10), IF(ISBLANK('Ingest Template'!Q310),"", 'Ingest Template'!Q310&amp;"|Operations - Core Title"))))</f>
        <v>#|Operations - Core Title
#videoGame|Operations - Core Title
</v>
      </c>
      <c r="AH311" s="25"/>
      <c r="AI311" s="25"/>
      <c r="AJ311" s="50" t="str">
        <f>if('Ingest Template'!A310="Standard",'Ingest Template'!R310&amp; "|DAR|DAR|2021-01-01",'Ingest Template'!R310&amp; "|Operations - Core Title|Operations - Core Title")</f>
        <v>#N/A</v>
      </c>
      <c r="AK311" s="25"/>
      <c r="AL311" s="25" t="str">
        <f>if('Ingest Template'!A310="Standard",'Ingest Template'!S310&amp; "|2021-01-01",'Ingest Template'!S310)</f>
        <v>#N/A</v>
      </c>
      <c r="AM311" s="25"/>
    </row>
    <row r="312">
      <c r="A312" s="25"/>
      <c r="B312" s="25" t="str">
        <f>'Ingest Template'!C311&amp;IF('Ingest Template'!A311 = "Standard", " - DAR","")</f>
        <v/>
      </c>
      <c r="C312" s="34" t="s">
        <v>92</v>
      </c>
      <c r="D312" s="34" t="str">
        <f>CONCATENATE('Ingest Template'!E312&amp;Char(10)&amp;'Ingest Template'!G312&amp;Char(10)&amp;'Ingest Template'!H312&amp;Char(10)&amp;'Ingest Template'!I312&amp;Char(10)&amp;'Ingest Template'!J312&amp;Char(10)&amp;'Ingest Template'!K312&amp;Char(10)&amp;'Ingest Template'!L312)</f>
        <v>
</v>
      </c>
      <c r="E312" s="25" t="str">
        <f>('Ingest Template'!M312)</f>
        <v/>
      </c>
      <c r="F312" s="40" t="str">
        <f t="array" ref="F312">INDEX(DropDown!$J$2:$J$63,MATCH(1,COUNTIF(E312,DropDown!$I$2:$I$63),0))</f>
        <v>#N/A</v>
      </c>
      <c r="G312" s="25"/>
      <c r="H312" s="25"/>
      <c r="I312" s="25"/>
      <c r="J312" s="25" t="str">
        <f>'Ingest Template'!B312</f>
        <v/>
      </c>
      <c r="K312" s="25" t="str">
        <f>IF('Ingest Template'!A311="Standard",'Ingest Template'!N311,"Competitive View")</f>
        <v>Competitive View</v>
      </c>
      <c r="L312" s="41" t="s">
        <v>145</v>
      </c>
      <c r="M312" s="25" t="str">
        <f>'Ingest Template'!D311</f>
        <v/>
      </c>
      <c r="N312" s="25"/>
      <c r="O312" s="25"/>
      <c r="P312" s="25"/>
      <c r="Q312" s="25"/>
      <c r="R312" s="25" t="str">
        <f>CONCATENATE('Ingest Template'!F311)</f>
        <v/>
      </c>
      <c r="S312" s="43" t="s">
        <v>160</v>
      </c>
      <c r="T312" s="25" t="str">
        <f>'Ingest Template'!W311</f>
        <v/>
      </c>
      <c r="U312" s="25"/>
      <c r="V312" s="25" t="str">
        <f>LOWER(SUBSTITUTE(SUBSTITUTE(SUBSTITUTE(SUBSTITUTE(SUBSTITUTE('Ingest Template'!Y311,"https:",""),"www.",""),"/",""),"?hl=en",""),"instagram.com",""))</f>
        <v/>
      </c>
      <c r="W312" s="34" t="str">
        <f>(IFERROR(vlookup('Ingest Template'!F312,DropDown!D:E,2,false)&amp;'Ingest Template'!C312,""))</f>
        <v/>
      </c>
      <c r="X312" s="25" t="str">
        <f>'Ingest Template'!AA311</f>
        <v/>
      </c>
      <c r="Y312" s="25"/>
      <c r="Z312" s="25"/>
      <c r="AA312" s="25"/>
      <c r="AB312" s="25" t="str">
        <f>'Ingest Template'!T311</f>
        <v/>
      </c>
      <c r="AC312" s="25"/>
      <c r="AD312" s="25" t="str">
        <f>'Ingest Template'!U311</f>
        <v/>
      </c>
      <c r="AE312" s="25" t="str">
        <f>'Ingest Template'!V311</f>
        <v/>
      </c>
      <c r="AF312" s="25"/>
      <c r="AG312" s="25" t="str">
        <f t="array" ref="AG312">IF('Ingest Template'!A311="Standard",(CONCATENATE(IF(ISBLANK('Ingest Template'!O311),"", 'Ingest Template'!O311&amp;"|DAR"),CHAR(10), IF(ISBLANK('Ingest Template'!P311),"", 'Ingest Template'!P311&amp;"|DAR"),CHAR(10), IF(ISBLANK('Ingest Template'!Q311),"", 'Ingest Template'!Q311&amp;"|DAR"))),(CONCATENATE(IF(ISBLANK('Ingest Template'!O311),"", 'Ingest Template'!O311&amp;"|Operations - Core Title"),CHAR(10), IF(ISBLANK('Ingest Template'!P311),"", 'Ingest Template'!P311&amp;"|Operations - Core Title"),CHAR(10), IF(ISBLANK('Ingest Template'!Q311),"", 'Ingest Template'!Q311&amp;"|Operations - Core Title"))))</f>
        <v>#|Operations - Core Title
#videoGame|Operations - Core Title
</v>
      </c>
      <c r="AH312" s="25"/>
      <c r="AI312" s="25"/>
      <c r="AJ312" s="50" t="str">
        <f>if('Ingest Template'!A311="Standard",'Ingest Template'!R311&amp; "|DAR|DAR|2021-01-01",'Ingest Template'!R311&amp; "|Operations - Core Title|Operations - Core Title")</f>
        <v>#N/A</v>
      </c>
      <c r="AK312" s="25"/>
      <c r="AL312" s="25" t="str">
        <f>if('Ingest Template'!A311="Standard",'Ingest Template'!S311&amp; "|2021-01-01",'Ingest Template'!S311)</f>
        <v>#N/A</v>
      </c>
      <c r="AM312" s="25"/>
    </row>
    <row r="313">
      <c r="A313" s="25"/>
      <c r="B313" s="25" t="str">
        <f>'Ingest Template'!C312&amp;IF('Ingest Template'!A312 = "Standard", " - DAR","")</f>
        <v/>
      </c>
      <c r="C313" s="34" t="s">
        <v>92</v>
      </c>
      <c r="D313" s="34" t="str">
        <f>CONCATENATE('Ingest Template'!E313&amp;Char(10)&amp;'Ingest Template'!G313&amp;Char(10)&amp;'Ingest Template'!H313&amp;Char(10)&amp;'Ingest Template'!I313&amp;Char(10)&amp;'Ingest Template'!J313&amp;Char(10)&amp;'Ingest Template'!K313&amp;Char(10)&amp;'Ingest Template'!L313)</f>
        <v>
</v>
      </c>
      <c r="E313" s="25" t="str">
        <f>('Ingest Template'!M313)</f>
        <v/>
      </c>
      <c r="F313" s="40" t="str">
        <f t="array" ref="F313">INDEX(DropDown!$J$2:$J$63,MATCH(1,COUNTIF(E313,DropDown!$I$2:$I$63),0))</f>
        <v>#N/A</v>
      </c>
      <c r="G313" s="25"/>
      <c r="H313" s="25"/>
      <c r="I313" s="25"/>
      <c r="J313" s="25" t="str">
        <f>'Ingest Template'!B313</f>
        <v/>
      </c>
      <c r="K313" s="25" t="str">
        <f>IF('Ingest Template'!A312="Standard",'Ingest Template'!N312,"Competitive View")</f>
        <v>Competitive View</v>
      </c>
      <c r="L313" s="41" t="s">
        <v>145</v>
      </c>
      <c r="M313" s="25" t="str">
        <f>'Ingest Template'!D312</f>
        <v/>
      </c>
      <c r="N313" s="25"/>
      <c r="O313" s="25"/>
      <c r="P313" s="25"/>
      <c r="Q313" s="25"/>
      <c r="R313" s="25" t="str">
        <f>CONCATENATE('Ingest Template'!F312)</f>
        <v/>
      </c>
      <c r="S313" s="43" t="s">
        <v>160</v>
      </c>
      <c r="T313" s="25" t="str">
        <f>'Ingest Template'!W312</f>
        <v/>
      </c>
      <c r="U313" s="25"/>
      <c r="V313" s="25" t="str">
        <f>LOWER(SUBSTITUTE(SUBSTITUTE(SUBSTITUTE(SUBSTITUTE(SUBSTITUTE('Ingest Template'!Y312,"https:",""),"www.",""),"/",""),"?hl=en",""),"instagram.com",""))</f>
        <v/>
      </c>
      <c r="W313" s="34" t="str">
        <f>(IFERROR(vlookup('Ingest Template'!F313,DropDown!D:E,2,false)&amp;'Ingest Template'!C313,""))</f>
        <v/>
      </c>
      <c r="X313" s="25" t="str">
        <f>'Ingest Template'!AA312</f>
        <v/>
      </c>
      <c r="Y313" s="25"/>
      <c r="Z313" s="25"/>
      <c r="AA313" s="25"/>
      <c r="AB313" s="25" t="str">
        <f>'Ingest Template'!T312</f>
        <v/>
      </c>
      <c r="AC313" s="25"/>
      <c r="AD313" s="25" t="str">
        <f>'Ingest Template'!U312</f>
        <v/>
      </c>
      <c r="AE313" s="25" t="str">
        <f>'Ingest Template'!V312</f>
        <v/>
      </c>
      <c r="AF313" s="25"/>
      <c r="AG313" s="25" t="str">
        <f t="array" ref="AG313">IF('Ingest Template'!A312="Standard",(CONCATENATE(IF(ISBLANK('Ingest Template'!O312),"", 'Ingest Template'!O312&amp;"|DAR"),CHAR(10), IF(ISBLANK('Ingest Template'!P312),"", 'Ingest Template'!P312&amp;"|DAR"),CHAR(10), IF(ISBLANK('Ingest Template'!Q312),"", 'Ingest Template'!Q312&amp;"|DAR"))),(CONCATENATE(IF(ISBLANK('Ingest Template'!O312),"", 'Ingest Template'!O312&amp;"|Operations - Core Title"),CHAR(10), IF(ISBLANK('Ingest Template'!P312),"", 'Ingest Template'!P312&amp;"|Operations - Core Title"),CHAR(10), IF(ISBLANK('Ingest Template'!Q312),"", 'Ingest Template'!Q312&amp;"|Operations - Core Title"))))</f>
        <v>#|Operations - Core Title
#videoGame|Operations - Core Title
</v>
      </c>
      <c r="AH313" s="25"/>
      <c r="AI313" s="25"/>
      <c r="AJ313" s="50" t="str">
        <f>if('Ingest Template'!A312="Standard",'Ingest Template'!R312&amp; "|DAR|DAR|2021-01-01",'Ingest Template'!R312&amp; "|Operations - Core Title|Operations - Core Title")</f>
        <v>#N/A</v>
      </c>
      <c r="AK313" s="25"/>
      <c r="AL313" s="25" t="str">
        <f>if('Ingest Template'!A312="Standard",'Ingest Template'!S312&amp; "|2021-01-01",'Ingest Template'!S312)</f>
        <v>#N/A</v>
      </c>
      <c r="AM313" s="25"/>
    </row>
    <row r="314">
      <c r="A314" s="25"/>
      <c r="B314" s="25" t="str">
        <f>'Ingest Template'!C313&amp;IF('Ingest Template'!A313 = "Standard", " - DAR","")</f>
        <v/>
      </c>
      <c r="C314" s="34" t="s">
        <v>92</v>
      </c>
      <c r="D314" s="34" t="str">
        <f>CONCATENATE('Ingest Template'!E314&amp;Char(10)&amp;'Ingest Template'!G314&amp;Char(10)&amp;'Ingest Template'!H314&amp;Char(10)&amp;'Ingest Template'!I314&amp;Char(10)&amp;'Ingest Template'!J314&amp;Char(10)&amp;'Ingest Template'!K314&amp;Char(10)&amp;'Ingest Template'!L314)</f>
        <v>
</v>
      </c>
      <c r="E314" s="25" t="str">
        <f>('Ingest Template'!M314)</f>
        <v/>
      </c>
      <c r="F314" s="40" t="str">
        <f t="array" ref="F314">INDEX(DropDown!$J$2:$J$63,MATCH(1,COUNTIF(E314,DropDown!$I$2:$I$63),0))</f>
        <v>#N/A</v>
      </c>
      <c r="G314" s="25"/>
      <c r="H314" s="25"/>
      <c r="I314" s="25"/>
      <c r="J314" s="25" t="str">
        <f>'Ingest Template'!B314</f>
        <v/>
      </c>
      <c r="K314" s="25" t="str">
        <f>IF('Ingest Template'!A313="Standard",'Ingest Template'!N313,"Competitive View")</f>
        <v>Competitive View</v>
      </c>
      <c r="L314" s="41" t="s">
        <v>145</v>
      </c>
      <c r="M314" s="25" t="str">
        <f>'Ingest Template'!D313</f>
        <v/>
      </c>
      <c r="N314" s="25"/>
      <c r="O314" s="25"/>
      <c r="P314" s="25"/>
      <c r="Q314" s="25"/>
      <c r="R314" s="25" t="str">
        <f>CONCATENATE('Ingest Template'!F313)</f>
        <v/>
      </c>
      <c r="S314" s="43" t="s">
        <v>160</v>
      </c>
      <c r="T314" s="25" t="str">
        <f>'Ingest Template'!W313</f>
        <v/>
      </c>
      <c r="U314" s="25"/>
      <c r="V314" s="25" t="str">
        <f>LOWER(SUBSTITUTE(SUBSTITUTE(SUBSTITUTE(SUBSTITUTE(SUBSTITUTE('Ingest Template'!Y313,"https:",""),"www.",""),"/",""),"?hl=en",""),"instagram.com",""))</f>
        <v/>
      </c>
      <c r="W314" s="34" t="str">
        <f>(IFERROR(vlookup('Ingest Template'!F314,DropDown!D:E,2,false)&amp;'Ingest Template'!C314,""))</f>
        <v/>
      </c>
      <c r="X314" s="25" t="str">
        <f>'Ingest Template'!AA313</f>
        <v/>
      </c>
      <c r="Y314" s="25"/>
      <c r="Z314" s="25"/>
      <c r="AA314" s="25"/>
      <c r="AB314" s="25" t="str">
        <f>'Ingest Template'!T313</f>
        <v/>
      </c>
      <c r="AC314" s="25"/>
      <c r="AD314" s="25" t="str">
        <f>'Ingest Template'!U313</f>
        <v/>
      </c>
      <c r="AE314" s="25" t="str">
        <f>'Ingest Template'!V313</f>
        <v/>
      </c>
      <c r="AF314" s="25"/>
      <c r="AG314" s="25" t="str">
        <f t="array" ref="AG314">IF('Ingest Template'!A313="Standard",(CONCATENATE(IF(ISBLANK('Ingest Template'!O313),"", 'Ingest Template'!O313&amp;"|DAR"),CHAR(10), IF(ISBLANK('Ingest Template'!P313),"", 'Ingest Template'!P313&amp;"|DAR"),CHAR(10), IF(ISBLANK('Ingest Template'!Q313),"", 'Ingest Template'!Q313&amp;"|DAR"))),(CONCATENATE(IF(ISBLANK('Ingest Template'!O313),"", 'Ingest Template'!O313&amp;"|Operations - Core Title"),CHAR(10), IF(ISBLANK('Ingest Template'!P313),"", 'Ingest Template'!P313&amp;"|Operations - Core Title"),CHAR(10), IF(ISBLANK('Ingest Template'!Q313),"", 'Ingest Template'!Q313&amp;"|Operations - Core Title"))))</f>
        <v>#|Operations - Core Title
#videoGame|Operations - Core Title
</v>
      </c>
      <c r="AH314" s="25"/>
      <c r="AI314" s="25"/>
      <c r="AJ314" s="50" t="str">
        <f>if('Ingest Template'!A313="Standard",'Ingest Template'!R313&amp; "|DAR|DAR|2021-01-01",'Ingest Template'!R313&amp; "|Operations - Core Title|Operations - Core Title")</f>
        <v>#N/A</v>
      </c>
      <c r="AK314" s="25"/>
      <c r="AL314" s="25" t="str">
        <f>if('Ingest Template'!A313="Standard",'Ingest Template'!S313&amp; "|2021-01-01",'Ingest Template'!S313)</f>
        <v>#N/A</v>
      </c>
      <c r="AM314" s="25"/>
    </row>
    <row r="315">
      <c r="A315" s="25"/>
      <c r="B315" s="25" t="str">
        <f>'Ingest Template'!C314&amp;IF('Ingest Template'!A314 = "Standard", " - DAR","")</f>
        <v/>
      </c>
      <c r="C315" s="34" t="s">
        <v>92</v>
      </c>
      <c r="D315" s="34" t="str">
        <f>CONCATENATE('Ingest Template'!E315&amp;Char(10)&amp;'Ingest Template'!G315&amp;Char(10)&amp;'Ingest Template'!H315&amp;Char(10)&amp;'Ingest Template'!I315&amp;Char(10)&amp;'Ingest Template'!J315&amp;Char(10)&amp;'Ingest Template'!K315&amp;Char(10)&amp;'Ingest Template'!L315)</f>
        <v>
</v>
      </c>
      <c r="E315" s="25" t="str">
        <f>('Ingest Template'!M315)</f>
        <v/>
      </c>
      <c r="F315" s="40" t="str">
        <f t="array" ref="F315">INDEX(DropDown!$J$2:$J$63,MATCH(1,COUNTIF(E315,DropDown!$I$2:$I$63),0))</f>
        <v>#N/A</v>
      </c>
      <c r="G315" s="25"/>
      <c r="H315" s="25"/>
      <c r="I315" s="25"/>
      <c r="J315" s="25" t="str">
        <f>'Ingest Template'!B315</f>
        <v/>
      </c>
      <c r="K315" s="25" t="str">
        <f>IF('Ingest Template'!A314="Standard",'Ingest Template'!N314,"Competitive View")</f>
        <v>Competitive View</v>
      </c>
      <c r="L315" s="41" t="s">
        <v>145</v>
      </c>
      <c r="M315" s="25" t="str">
        <f>'Ingest Template'!D314</f>
        <v/>
      </c>
      <c r="N315" s="25"/>
      <c r="O315" s="25"/>
      <c r="P315" s="25"/>
      <c r="Q315" s="25"/>
      <c r="R315" s="25" t="str">
        <f>CONCATENATE('Ingest Template'!F314)</f>
        <v/>
      </c>
      <c r="S315" s="43" t="s">
        <v>160</v>
      </c>
      <c r="T315" s="25" t="str">
        <f>'Ingest Template'!W314</f>
        <v/>
      </c>
      <c r="U315" s="25"/>
      <c r="V315" s="25" t="str">
        <f>LOWER(SUBSTITUTE(SUBSTITUTE(SUBSTITUTE(SUBSTITUTE(SUBSTITUTE('Ingest Template'!Y314,"https:",""),"www.",""),"/",""),"?hl=en",""),"instagram.com",""))</f>
        <v/>
      </c>
      <c r="W315" s="34" t="str">
        <f>(IFERROR(vlookup('Ingest Template'!F315,DropDown!D:E,2,false)&amp;'Ingest Template'!C315,""))</f>
        <v/>
      </c>
      <c r="X315" s="25" t="str">
        <f>'Ingest Template'!AA314</f>
        <v/>
      </c>
      <c r="Y315" s="25"/>
      <c r="Z315" s="25"/>
      <c r="AA315" s="25"/>
      <c r="AB315" s="25" t="str">
        <f>'Ingest Template'!T314</f>
        <v/>
      </c>
      <c r="AC315" s="25"/>
      <c r="AD315" s="25" t="str">
        <f>'Ingest Template'!U314</f>
        <v/>
      </c>
      <c r="AE315" s="25" t="str">
        <f>'Ingest Template'!V314</f>
        <v/>
      </c>
      <c r="AF315" s="25"/>
      <c r="AG315" s="25" t="str">
        <f t="array" ref="AG315">IF('Ingest Template'!A314="Standard",(CONCATENATE(IF(ISBLANK('Ingest Template'!O314),"", 'Ingest Template'!O314&amp;"|DAR"),CHAR(10), IF(ISBLANK('Ingest Template'!P314),"", 'Ingest Template'!P314&amp;"|DAR"),CHAR(10), IF(ISBLANK('Ingest Template'!Q314),"", 'Ingest Template'!Q314&amp;"|DAR"))),(CONCATENATE(IF(ISBLANK('Ingest Template'!O314),"", 'Ingest Template'!O314&amp;"|Operations - Core Title"),CHAR(10), IF(ISBLANK('Ingest Template'!P314),"", 'Ingest Template'!P314&amp;"|Operations - Core Title"),CHAR(10), IF(ISBLANK('Ingest Template'!Q314),"", 'Ingest Template'!Q314&amp;"|Operations - Core Title"))))</f>
        <v>#|Operations - Core Title
#videoGame|Operations - Core Title
</v>
      </c>
      <c r="AH315" s="25"/>
      <c r="AI315" s="25"/>
      <c r="AJ315" s="50" t="str">
        <f>if('Ingest Template'!A314="Standard",'Ingest Template'!R314&amp; "|DAR|DAR|2021-01-01",'Ingest Template'!R314&amp; "|Operations - Core Title|Operations - Core Title")</f>
        <v>#N/A</v>
      </c>
      <c r="AK315" s="25"/>
      <c r="AL315" s="25" t="str">
        <f>if('Ingest Template'!A314="Standard",'Ingest Template'!S314&amp; "|2021-01-01",'Ingest Template'!S314)</f>
        <v>#N/A</v>
      </c>
      <c r="AM315" s="25"/>
    </row>
    <row r="316">
      <c r="A316" s="25"/>
      <c r="B316" s="25" t="str">
        <f>'Ingest Template'!C315&amp;IF('Ingest Template'!A315 = "Standard", " - DAR","")</f>
        <v/>
      </c>
      <c r="C316" s="34" t="s">
        <v>92</v>
      </c>
      <c r="D316" s="34" t="str">
        <f>CONCATENATE('Ingest Template'!E316&amp;Char(10)&amp;'Ingest Template'!G316&amp;Char(10)&amp;'Ingest Template'!H316&amp;Char(10)&amp;'Ingest Template'!I316&amp;Char(10)&amp;'Ingest Template'!J316&amp;Char(10)&amp;'Ingest Template'!K316&amp;Char(10)&amp;'Ingest Template'!L316)</f>
        <v>
</v>
      </c>
      <c r="E316" s="25" t="str">
        <f>('Ingest Template'!M316)</f>
        <v/>
      </c>
      <c r="F316" s="40" t="str">
        <f t="array" ref="F316">INDEX(DropDown!$J$2:$J$63,MATCH(1,COUNTIF(E316,DropDown!$I$2:$I$63),0))</f>
        <v>#N/A</v>
      </c>
      <c r="G316" s="25"/>
      <c r="H316" s="25"/>
      <c r="I316" s="25"/>
      <c r="J316" s="25" t="str">
        <f>'Ingest Template'!B316</f>
        <v/>
      </c>
      <c r="K316" s="25" t="str">
        <f>IF('Ingest Template'!A315="Standard",'Ingest Template'!N315,"Competitive View")</f>
        <v>Competitive View</v>
      </c>
      <c r="L316" s="41" t="s">
        <v>145</v>
      </c>
      <c r="M316" s="25" t="str">
        <f>'Ingest Template'!D315</f>
        <v/>
      </c>
      <c r="N316" s="25"/>
      <c r="O316" s="25"/>
      <c r="P316" s="25"/>
      <c r="Q316" s="25"/>
      <c r="R316" s="25" t="str">
        <f>CONCATENATE('Ingest Template'!F315)</f>
        <v/>
      </c>
      <c r="S316" s="43" t="s">
        <v>160</v>
      </c>
      <c r="T316" s="25" t="str">
        <f>'Ingest Template'!W315</f>
        <v/>
      </c>
      <c r="U316" s="25"/>
      <c r="V316" s="25" t="str">
        <f>LOWER(SUBSTITUTE(SUBSTITUTE(SUBSTITUTE(SUBSTITUTE(SUBSTITUTE('Ingest Template'!Y315,"https:",""),"www.",""),"/",""),"?hl=en",""),"instagram.com",""))</f>
        <v/>
      </c>
      <c r="W316" s="34" t="str">
        <f>(IFERROR(vlookup('Ingest Template'!F316,DropDown!D:E,2,false)&amp;'Ingest Template'!C316,""))</f>
        <v/>
      </c>
      <c r="X316" s="25" t="str">
        <f>'Ingest Template'!AA315</f>
        <v/>
      </c>
      <c r="Y316" s="25"/>
      <c r="Z316" s="25"/>
      <c r="AA316" s="25"/>
      <c r="AB316" s="25" t="str">
        <f>'Ingest Template'!T315</f>
        <v/>
      </c>
      <c r="AC316" s="25"/>
      <c r="AD316" s="25" t="str">
        <f>'Ingest Template'!U315</f>
        <v/>
      </c>
      <c r="AE316" s="25" t="str">
        <f>'Ingest Template'!V315</f>
        <v/>
      </c>
      <c r="AF316" s="25"/>
      <c r="AG316" s="25" t="str">
        <f t="array" ref="AG316">IF('Ingest Template'!A315="Standard",(CONCATENATE(IF(ISBLANK('Ingest Template'!O315),"", 'Ingest Template'!O315&amp;"|DAR"),CHAR(10), IF(ISBLANK('Ingest Template'!P315),"", 'Ingest Template'!P315&amp;"|DAR"),CHAR(10), IF(ISBLANK('Ingest Template'!Q315),"", 'Ingest Template'!Q315&amp;"|DAR"))),(CONCATENATE(IF(ISBLANK('Ingest Template'!O315),"", 'Ingest Template'!O315&amp;"|Operations - Core Title"),CHAR(10), IF(ISBLANK('Ingest Template'!P315),"", 'Ingest Template'!P315&amp;"|Operations - Core Title"),CHAR(10), IF(ISBLANK('Ingest Template'!Q315),"", 'Ingest Template'!Q315&amp;"|Operations - Core Title"))))</f>
        <v>#|Operations - Core Title
#videoGame|Operations - Core Title
</v>
      </c>
      <c r="AH316" s="25"/>
      <c r="AI316" s="25"/>
      <c r="AJ316" s="50" t="str">
        <f>if('Ingest Template'!A315="Standard",'Ingest Template'!R315&amp; "|DAR|DAR|2021-01-01",'Ingest Template'!R315&amp; "|Operations - Core Title|Operations - Core Title")</f>
        <v>#N/A</v>
      </c>
      <c r="AK316" s="25"/>
      <c r="AL316" s="25" t="str">
        <f>if('Ingest Template'!A315="Standard",'Ingest Template'!S315&amp; "|2021-01-01",'Ingest Template'!S315)</f>
        <v>#N/A</v>
      </c>
      <c r="AM316" s="25"/>
    </row>
    <row r="317">
      <c r="A317" s="25"/>
      <c r="B317" s="25" t="str">
        <f>'Ingest Template'!C316&amp;IF('Ingest Template'!A316 = "Standard", " - DAR","")</f>
        <v/>
      </c>
      <c r="C317" s="34" t="s">
        <v>92</v>
      </c>
      <c r="D317" s="34" t="str">
        <f>CONCATENATE('Ingest Template'!E317&amp;Char(10)&amp;'Ingest Template'!G317&amp;Char(10)&amp;'Ingest Template'!H317&amp;Char(10)&amp;'Ingest Template'!I317&amp;Char(10)&amp;'Ingest Template'!J317&amp;Char(10)&amp;'Ingest Template'!K317&amp;Char(10)&amp;'Ingest Template'!L317)</f>
        <v>
</v>
      </c>
      <c r="E317" s="25" t="str">
        <f>('Ingest Template'!M317)</f>
        <v/>
      </c>
      <c r="F317" s="40" t="str">
        <f t="array" ref="F317">INDEX(DropDown!$J$2:$J$63,MATCH(1,COUNTIF(E317,DropDown!$I$2:$I$63),0))</f>
        <v>#N/A</v>
      </c>
      <c r="G317" s="25"/>
      <c r="H317" s="25"/>
      <c r="I317" s="25"/>
      <c r="J317" s="25" t="str">
        <f>'Ingest Template'!B317</f>
        <v/>
      </c>
      <c r="K317" s="25" t="str">
        <f>IF('Ingest Template'!A316="Standard",'Ingest Template'!N316,"Competitive View")</f>
        <v>Competitive View</v>
      </c>
      <c r="L317" s="41" t="s">
        <v>145</v>
      </c>
      <c r="M317" s="25" t="str">
        <f>'Ingest Template'!D316</f>
        <v/>
      </c>
      <c r="N317" s="25"/>
      <c r="O317" s="25"/>
      <c r="P317" s="25"/>
      <c r="Q317" s="25"/>
      <c r="R317" s="25" t="str">
        <f>CONCATENATE('Ingest Template'!F316)</f>
        <v/>
      </c>
      <c r="S317" s="43" t="s">
        <v>160</v>
      </c>
      <c r="T317" s="25" t="str">
        <f>'Ingest Template'!W316</f>
        <v/>
      </c>
      <c r="U317" s="25"/>
      <c r="V317" s="25" t="str">
        <f>LOWER(SUBSTITUTE(SUBSTITUTE(SUBSTITUTE(SUBSTITUTE(SUBSTITUTE('Ingest Template'!Y316,"https:",""),"www.",""),"/",""),"?hl=en",""),"instagram.com",""))</f>
        <v/>
      </c>
      <c r="W317" s="34" t="str">
        <f>(IFERROR(vlookup('Ingest Template'!F317,DropDown!D:E,2,false)&amp;'Ingest Template'!C317,""))</f>
        <v/>
      </c>
      <c r="X317" s="25" t="str">
        <f>'Ingest Template'!AA316</f>
        <v/>
      </c>
      <c r="Y317" s="25"/>
      <c r="Z317" s="25"/>
      <c r="AA317" s="25"/>
      <c r="AB317" s="25" t="str">
        <f>'Ingest Template'!T316</f>
        <v/>
      </c>
      <c r="AC317" s="25"/>
      <c r="AD317" s="25" t="str">
        <f>'Ingest Template'!U316</f>
        <v/>
      </c>
      <c r="AE317" s="25" t="str">
        <f>'Ingest Template'!V316</f>
        <v/>
      </c>
      <c r="AF317" s="25"/>
      <c r="AG317" s="25" t="str">
        <f t="array" ref="AG317">IF('Ingest Template'!A316="Standard",(CONCATENATE(IF(ISBLANK('Ingest Template'!O316),"", 'Ingest Template'!O316&amp;"|DAR"),CHAR(10), IF(ISBLANK('Ingest Template'!P316),"", 'Ingest Template'!P316&amp;"|DAR"),CHAR(10), IF(ISBLANK('Ingest Template'!Q316),"", 'Ingest Template'!Q316&amp;"|DAR"))),(CONCATENATE(IF(ISBLANK('Ingest Template'!O316),"", 'Ingest Template'!O316&amp;"|Operations - Core Title"),CHAR(10), IF(ISBLANK('Ingest Template'!P316),"", 'Ingest Template'!P316&amp;"|Operations - Core Title"),CHAR(10), IF(ISBLANK('Ingest Template'!Q316),"", 'Ingest Template'!Q316&amp;"|Operations - Core Title"))))</f>
        <v>#|Operations - Core Title
#videoGame|Operations - Core Title
</v>
      </c>
      <c r="AH317" s="25"/>
      <c r="AI317" s="25"/>
      <c r="AJ317" s="50" t="str">
        <f>if('Ingest Template'!A316="Standard",'Ingest Template'!R316&amp; "|DAR|DAR|2021-01-01",'Ingest Template'!R316&amp; "|Operations - Core Title|Operations - Core Title")</f>
        <v>#N/A</v>
      </c>
      <c r="AK317" s="25"/>
      <c r="AL317" s="25" t="str">
        <f>if('Ingest Template'!A316="Standard",'Ingest Template'!S316&amp; "|2021-01-01",'Ingest Template'!S316)</f>
        <v>#N/A</v>
      </c>
      <c r="AM317" s="25"/>
    </row>
    <row r="318">
      <c r="A318" s="25"/>
      <c r="B318" s="25" t="str">
        <f>'Ingest Template'!C317&amp;IF('Ingest Template'!A317 = "Standard", " - DAR","")</f>
        <v/>
      </c>
      <c r="C318" s="34" t="s">
        <v>92</v>
      </c>
      <c r="D318" s="34" t="str">
        <f>CONCATENATE('Ingest Template'!E318&amp;Char(10)&amp;'Ingest Template'!G318&amp;Char(10)&amp;'Ingest Template'!H318&amp;Char(10)&amp;'Ingest Template'!I318&amp;Char(10)&amp;'Ingest Template'!J318&amp;Char(10)&amp;'Ingest Template'!K318&amp;Char(10)&amp;'Ingest Template'!L318)</f>
        <v>
</v>
      </c>
      <c r="E318" s="25" t="str">
        <f>('Ingest Template'!M318)</f>
        <v/>
      </c>
      <c r="F318" s="40" t="str">
        <f t="array" ref="F318">INDEX(DropDown!$J$2:$J$63,MATCH(1,COUNTIF(E318,DropDown!$I$2:$I$63),0))</f>
        <v>#N/A</v>
      </c>
      <c r="G318" s="25"/>
      <c r="H318" s="25"/>
      <c r="I318" s="25"/>
      <c r="J318" s="25" t="str">
        <f>'Ingest Template'!B318</f>
        <v/>
      </c>
      <c r="K318" s="25" t="str">
        <f>IF('Ingest Template'!A317="Standard",'Ingest Template'!N317,"Competitive View")</f>
        <v>Competitive View</v>
      </c>
      <c r="L318" s="41" t="s">
        <v>145</v>
      </c>
      <c r="M318" s="25" t="str">
        <f>'Ingest Template'!D317</f>
        <v/>
      </c>
      <c r="N318" s="25"/>
      <c r="O318" s="25"/>
      <c r="P318" s="25"/>
      <c r="Q318" s="25"/>
      <c r="R318" s="25" t="str">
        <f>CONCATENATE('Ingest Template'!F317)</f>
        <v/>
      </c>
      <c r="S318" s="43" t="s">
        <v>160</v>
      </c>
      <c r="T318" s="25" t="str">
        <f>'Ingest Template'!W317</f>
        <v/>
      </c>
      <c r="U318" s="25"/>
      <c r="V318" s="25" t="str">
        <f>LOWER(SUBSTITUTE(SUBSTITUTE(SUBSTITUTE(SUBSTITUTE(SUBSTITUTE('Ingest Template'!Y317,"https:",""),"www.",""),"/",""),"?hl=en",""),"instagram.com",""))</f>
        <v/>
      </c>
      <c r="W318" s="34" t="str">
        <f>(IFERROR(vlookup('Ingest Template'!F318,DropDown!D:E,2,false)&amp;'Ingest Template'!C318,""))</f>
        <v/>
      </c>
      <c r="X318" s="25" t="str">
        <f>'Ingest Template'!AA317</f>
        <v/>
      </c>
      <c r="Y318" s="25"/>
      <c r="Z318" s="25"/>
      <c r="AA318" s="25"/>
      <c r="AB318" s="25" t="str">
        <f>'Ingest Template'!T317</f>
        <v/>
      </c>
      <c r="AC318" s="25"/>
      <c r="AD318" s="25" t="str">
        <f>'Ingest Template'!U317</f>
        <v/>
      </c>
      <c r="AE318" s="25" t="str">
        <f>'Ingest Template'!V317</f>
        <v/>
      </c>
      <c r="AF318" s="25"/>
      <c r="AG318" s="25" t="str">
        <f t="array" ref="AG318">IF('Ingest Template'!A317="Standard",(CONCATENATE(IF(ISBLANK('Ingest Template'!O317),"", 'Ingest Template'!O317&amp;"|DAR"),CHAR(10), IF(ISBLANK('Ingest Template'!P317),"", 'Ingest Template'!P317&amp;"|DAR"),CHAR(10), IF(ISBLANK('Ingest Template'!Q317),"", 'Ingest Template'!Q317&amp;"|DAR"))),(CONCATENATE(IF(ISBLANK('Ingest Template'!O317),"", 'Ingest Template'!O317&amp;"|Operations - Core Title"),CHAR(10), IF(ISBLANK('Ingest Template'!P317),"", 'Ingest Template'!P317&amp;"|Operations - Core Title"),CHAR(10), IF(ISBLANK('Ingest Template'!Q317),"", 'Ingest Template'!Q317&amp;"|Operations - Core Title"))))</f>
        <v>#|Operations - Core Title
#videoGame|Operations - Core Title
</v>
      </c>
      <c r="AH318" s="25"/>
      <c r="AI318" s="25"/>
      <c r="AJ318" s="50" t="str">
        <f>if('Ingest Template'!A317="Standard",'Ingest Template'!R317&amp; "|DAR|DAR|2021-01-01",'Ingest Template'!R317&amp; "|Operations - Core Title|Operations - Core Title")</f>
        <v>#N/A</v>
      </c>
      <c r="AK318" s="25"/>
      <c r="AL318" s="25" t="str">
        <f>if('Ingest Template'!A317="Standard",'Ingest Template'!S317&amp; "|2021-01-01",'Ingest Template'!S317)</f>
        <v>#N/A</v>
      </c>
      <c r="AM318" s="25"/>
    </row>
    <row r="319">
      <c r="A319" s="25"/>
      <c r="B319" s="25" t="str">
        <f>'Ingest Template'!C318&amp;IF('Ingest Template'!A318 = "Standard", " - DAR","")</f>
        <v/>
      </c>
      <c r="C319" s="34" t="s">
        <v>92</v>
      </c>
      <c r="D319" s="34" t="str">
        <f>CONCATENATE('Ingest Template'!E319&amp;Char(10)&amp;'Ingest Template'!G319&amp;Char(10)&amp;'Ingest Template'!H319&amp;Char(10)&amp;'Ingest Template'!I319&amp;Char(10)&amp;'Ingest Template'!J319&amp;Char(10)&amp;'Ingest Template'!K319&amp;Char(10)&amp;'Ingest Template'!L319)</f>
        <v>
</v>
      </c>
      <c r="E319" s="25" t="str">
        <f>('Ingest Template'!M319)</f>
        <v/>
      </c>
      <c r="F319" s="40" t="str">
        <f t="array" ref="F319">INDEX(DropDown!$J$2:$J$63,MATCH(1,COUNTIF(E319,DropDown!$I$2:$I$63),0))</f>
        <v>#N/A</v>
      </c>
      <c r="G319" s="25"/>
      <c r="H319" s="25"/>
      <c r="I319" s="25"/>
      <c r="J319" s="25" t="str">
        <f>'Ingest Template'!B319</f>
        <v/>
      </c>
      <c r="K319" s="25" t="str">
        <f>IF('Ingest Template'!A318="Standard",'Ingest Template'!N318,"Competitive View")</f>
        <v>Competitive View</v>
      </c>
      <c r="L319" s="41" t="s">
        <v>145</v>
      </c>
      <c r="M319" s="25" t="str">
        <f>'Ingest Template'!D318</f>
        <v/>
      </c>
      <c r="N319" s="25"/>
      <c r="O319" s="25"/>
      <c r="P319" s="25"/>
      <c r="Q319" s="25"/>
      <c r="R319" s="25" t="str">
        <f>CONCATENATE('Ingest Template'!F318)</f>
        <v/>
      </c>
      <c r="S319" s="43" t="s">
        <v>160</v>
      </c>
      <c r="T319" s="25" t="str">
        <f>'Ingest Template'!W318</f>
        <v/>
      </c>
      <c r="U319" s="25"/>
      <c r="V319" s="25" t="str">
        <f>LOWER(SUBSTITUTE(SUBSTITUTE(SUBSTITUTE(SUBSTITUTE(SUBSTITUTE('Ingest Template'!Y318,"https:",""),"www.",""),"/",""),"?hl=en",""),"instagram.com",""))</f>
        <v/>
      </c>
      <c r="W319" s="34" t="str">
        <f>(IFERROR(vlookup('Ingest Template'!F319,DropDown!D:E,2,false)&amp;'Ingest Template'!C319,""))</f>
        <v/>
      </c>
      <c r="X319" s="25" t="str">
        <f>'Ingest Template'!AA318</f>
        <v/>
      </c>
      <c r="Y319" s="25"/>
      <c r="Z319" s="25"/>
      <c r="AA319" s="25"/>
      <c r="AB319" s="25" t="str">
        <f>'Ingest Template'!T318</f>
        <v/>
      </c>
      <c r="AC319" s="25"/>
      <c r="AD319" s="25" t="str">
        <f>'Ingest Template'!U318</f>
        <v/>
      </c>
      <c r="AE319" s="25" t="str">
        <f>'Ingest Template'!V318</f>
        <v/>
      </c>
      <c r="AF319" s="25"/>
      <c r="AG319" s="25" t="str">
        <f t="array" ref="AG319">IF('Ingest Template'!A318="Standard",(CONCATENATE(IF(ISBLANK('Ingest Template'!O318),"", 'Ingest Template'!O318&amp;"|DAR"),CHAR(10), IF(ISBLANK('Ingest Template'!P318),"", 'Ingest Template'!P318&amp;"|DAR"),CHAR(10), IF(ISBLANK('Ingest Template'!Q318),"", 'Ingest Template'!Q318&amp;"|DAR"))),(CONCATENATE(IF(ISBLANK('Ingest Template'!O318),"", 'Ingest Template'!O318&amp;"|Operations - Core Title"),CHAR(10), IF(ISBLANK('Ingest Template'!P318),"", 'Ingest Template'!P318&amp;"|Operations - Core Title"),CHAR(10), IF(ISBLANK('Ingest Template'!Q318),"", 'Ingest Template'!Q318&amp;"|Operations - Core Title"))))</f>
        <v>#|Operations - Core Title
#videoGame|Operations - Core Title
</v>
      </c>
      <c r="AH319" s="25"/>
      <c r="AI319" s="25"/>
      <c r="AJ319" s="50" t="str">
        <f>if('Ingest Template'!A318="Standard",'Ingest Template'!R318&amp; "|DAR|DAR|2021-01-01",'Ingest Template'!R318&amp; "|Operations - Core Title|Operations - Core Title")</f>
        <v>#N/A</v>
      </c>
      <c r="AK319" s="25"/>
      <c r="AL319" s="25" t="str">
        <f>if('Ingest Template'!A318="Standard",'Ingest Template'!S318&amp; "|2021-01-01",'Ingest Template'!S318)</f>
        <v>#N/A</v>
      </c>
      <c r="AM319" s="25"/>
    </row>
    <row r="320">
      <c r="A320" s="25"/>
      <c r="B320" s="25" t="str">
        <f>'Ingest Template'!C319&amp;IF('Ingest Template'!A319 = "Standard", " - DAR","")</f>
        <v/>
      </c>
      <c r="C320" s="34" t="s">
        <v>92</v>
      </c>
      <c r="D320" s="34" t="str">
        <f>CONCATENATE('Ingest Template'!E320&amp;Char(10)&amp;'Ingest Template'!G320&amp;Char(10)&amp;'Ingest Template'!H320&amp;Char(10)&amp;'Ingest Template'!I320&amp;Char(10)&amp;'Ingest Template'!J320&amp;Char(10)&amp;'Ingest Template'!K320&amp;Char(10)&amp;'Ingest Template'!L320)</f>
        <v>
</v>
      </c>
      <c r="E320" s="25" t="str">
        <f>('Ingest Template'!M320)</f>
        <v/>
      </c>
      <c r="F320" s="40" t="str">
        <f t="array" ref="F320">INDEX(DropDown!$J$2:$J$63,MATCH(1,COUNTIF(E320,DropDown!$I$2:$I$63),0))</f>
        <v>#N/A</v>
      </c>
      <c r="G320" s="25"/>
      <c r="H320" s="25"/>
      <c r="I320" s="25"/>
      <c r="J320" s="25" t="str">
        <f>'Ingest Template'!B320</f>
        <v/>
      </c>
      <c r="K320" s="25" t="str">
        <f>IF('Ingest Template'!A319="Standard",'Ingest Template'!N319,"Competitive View")</f>
        <v>Competitive View</v>
      </c>
      <c r="L320" s="41" t="s">
        <v>145</v>
      </c>
      <c r="M320" s="25" t="str">
        <f>'Ingest Template'!D319</f>
        <v/>
      </c>
      <c r="N320" s="25"/>
      <c r="O320" s="25"/>
      <c r="P320" s="25"/>
      <c r="Q320" s="25"/>
      <c r="R320" s="25" t="str">
        <f>CONCATENATE('Ingest Template'!F319)</f>
        <v/>
      </c>
      <c r="S320" s="43" t="s">
        <v>160</v>
      </c>
      <c r="T320" s="25" t="str">
        <f>'Ingest Template'!W319</f>
        <v/>
      </c>
      <c r="U320" s="25"/>
      <c r="V320" s="25" t="str">
        <f>LOWER(SUBSTITUTE(SUBSTITUTE(SUBSTITUTE(SUBSTITUTE(SUBSTITUTE('Ingest Template'!Y319,"https:",""),"www.",""),"/",""),"?hl=en",""),"instagram.com",""))</f>
        <v/>
      </c>
      <c r="W320" s="34" t="str">
        <f>(IFERROR(vlookup('Ingest Template'!F320,DropDown!D:E,2,false)&amp;'Ingest Template'!C320,""))</f>
        <v/>
      </c>
      <c r="X320" s="25" t="str">
        <f>'Ingest Template'!AA319</f>
        <v/>
      </c>
      <c r="Y320" s="25"/>
      <c r="Z320" s="25"/>
      <c r="AA320" s="25"/>
      <c r="AB320" s="25" t="str">
        <f>'Ingest Template'!T319</f>
        <v/>
      </c>
      <c r="AC320" s="25"/>
      <c r="AD320" s="25" t="str">
        <f>'Ingest Template'!U319</f>
        <v/>
      </c>
      <c r="AE320" s="25" t="str">
        <f>'Ingest Template'!V319</f>
        <v/>
      </c>
      <c r="AF320" s="25"/>
      <c r="AG320" s="25" t="str">
        <f t="array" ref="AG320">IF('Ingest Template'!A319="Standard",(CONCATENATE(IF(ISBLANK('Ingest Template'!O319),"", 'Ingest Template'!O319&amp;"|DAR"),CHAR(10), IF(ISBLANK('Ingest Template'!P319),"", 'Ingest Template'!P319&amp;"|DAR"),CHAR(10), IF(ISBLANK('Ingest Template'!Q319),"", 'Ingest Template'!Q319&amp;"|DAR"))),(CONCATENATE(IF(ISBLANK('Ingest Template'!O319),"", 'Ingest Template'!O319&amp;"|Operations - Core Title"),CHAR(10), IF(ISBLANK('Ingest Template'!P319),"", 'Ingest Template'!P319&amp;"|Operations - Core Title"),CHAR(10), IF(ISBLANK('Ingest Template'!Q319),"", 'Ingest Template'!Q319&amp;"|Operations - Core Title"))))</f>
        <v>#|Operations - Core Title
#videoGame|Operations - Core Title
</v>
      </c>
      <c r="AH320" s="25"/>
      <c r="AI320" s="25"/>
      <c r="AJ320" s="50" t="str">
        <f>if('Ingest Template'!A319="Standard",'Ingest Template'!R319&amp; "|DAR|DAR|2021-01-01",'Ingest Template'!R319&amp; "|Operations - Core Title|Operations - Core Title")</f>
        <v>#N/A</v>
      </c>
      <c r="AK320" s="25"/>
      <c r="AL320" s="25" t="str">
        <f>if('Ingest Template'!A319="Standard",'Ingest Template'!S319&amp; "|2021-01-01",'Ingest Template'!S319)</f>
        <v>#N/A</v>
      </c>
      <c r="AM320" s="25"/>
    </row>
    <row r="321">
      <c r="A321" s="25"/>
      <c r="B321" s="25" t="str">
        <f>'Ingest Template'!C320&amp;IF('Ingest Template'!A320 = "Standard", " - DAR","")</f>
        <v/>
      </c>
      <c r="C321" s="34" t="s">
        <v>92</v>
      </c>
      <c r="D321" s="34" t="str">
        <f>CONCATENATE('Ingest Template'!E321&amp;Char(10)&amp;'Ingest Template'!G321&amp;Char(10)&amp;'Ingest Template'!H321&amp;Char(10)&amp;'Ingest Template'!I321&amp;Char(10)&amp;'Ingest Template'!J321&amp;Char(10)&amp;'Ingest Template'!K321&amp;Char(10)&amp;'Ingest Template'!L321)</f>
        <v>
</v>
      </c>
      <c r="E321" s="25" t="str">
        <f>('Ingest Template'!M321)</f>
        <v/>
      </c>
      <c r="F321" s="40" t="str">
        <f t="array" ref="F321">INDEX(DropDown!$J$2:$J$63,MATCH(1,COUNTIF(E321,DropDown!$I$2:$I$63),0))</f>
        <v>#N/A</v>
      </c>
      <c r="G321" s="25"/>
      <c r="H321" s="25"/>
      <c r="I321" s="25"/>
      <c r="J321" s="25" t="str">
        <f>'Ingest Template'!B321</f>
        <v/>
      </c>
      <c r="K321" s="25" t="str">
        <f>IF('Ingest Template'!A320="Standard",'Ingest Template'!N320,"Competitive View")</f>
        <v>Competitive View</v>
      </c>
      <c r="L321" s="41" t="s">
        <v>145</v>
      </c>
      <c r="M321" s="25" t="str">
        <f>'Ingest Template'!D320</f>
        <v/>
      </c>
      <c r="N321" s="25"/>
      <c r="O321" s="25"/>
      <c r="P321" s="25"/>
      <c r="Q321" s="25"/>
      <c r="R321" s="25" t="str">
        <f>CONCATENATE('Ingest Template'!F320)</f>
        <v/>
      </c>
      <c r="S321" s="43" t="s">
        <v>160</v>
      </c>
      <c r="T321" s="25" t="str">
        <f>'Ingest Template'!W320</f>
        <v/>
      </c>
      <c r="U321" s="25"/>
      <c r="V321" s="25" t="str">
        <f>LOWER(SUBSTITUTE(SUBSTITUTE(SUBSTITUTE(SUBSTITUTE(SUBSTITUTE('Ingest Template'!Y320,"https:",""),"www.",""),"/",""),"?hl=en",""),"instagram.com",""))</f>
        <v/>
      </c>
      <c r="W321" s="34" t="str">
        <f>(IFERROR(vlookup('Ingest Template'!F321,DropDown!D:E,2,false)&amp;'Ingest Template'!C321,""))</f>
        <v/>
      </c>
      <c r="X321" s="25" t="str">
        <f>'Ingest Template'!AA320</f>
        <v/>
      </c>
      <c r="Y321" s="25"/>
      <c r="Z321" s="25"/>
      <c r="AA321" s="25"/>
      <c r="AB321" s="25" t="str">
        <f>'Ingest Template'!T320</f>
        <v/>
      </c>
      <c r="AC321" s="25"/>
      <c r="AD321" s="25" t="str">
        <f>'Ingest Template'!U320</f>
        <v/>
      </c>
      <c r="AE321" s="25" t="str">
        <f>'Ingest Template'!V320</f>
        <v/>
      </c>
      <c r="AF321" s="25"/>
      <c r="AG321" s="25" t="str">
        <f t="array" ref="AG321">IF('Ingest Template'!A320="Standard",(CONCATENATE(IF(ISBLANK('Ingest Template'!O320),"", 'Ingest Template'!O320&amp;"|DAR"),CHAR(10), IF(ISBLANK('Ingest Template'!P320),"", 'Ingest Template'!P320&amp;"|DAR"),CHAR(10), IF(ISBLANK('Ingest Template'!Q320),"", 'Ingest Template'!Q320&amp;"|DAR"))),(CONCATENATE(IF(ISBLANK('Ingest Template'!O320),"", 'Ingest Template'!O320&amp;"|Operations - Core Title"),CHAR(10), IF(ISBLANK('Ingest Template'!P320),"", 'Ingest Template'!P320&amp;"|Operations - Core Title"),CHAR(10), IF(ISBLANK('Ingest Template'!Q320),"", 'Ingest Template'!Q320&amp;"|Operations - Core Title"))))</f>
        <v>#|Operations - Core Title
#videoGame|Operations - Core Title
</v>
      </c>
      <c r="AH321" s="25"/>
      <c r="AI321" s="25"/>
      <c r="AJ321" s="50" t="str">
        <f>if('Ingest Template'!A320="Standard",'Ingest Template'!R320&amp; "|DAR|DAR|2021-01-01",'Ingest Template'!R320&amp; "|Operations - Core Title|Operations - Core Title")</f>
        <v>#N/A</v>
      </c>
      <c r="AK321" s="25"/>
      <c r="AL321" s="25" t="str">
        <f>if('Ingest Template'!A320="Standard",'Ingest Template'!S320&amp; "|2021-01-01",'Ingest Template'!S320)</f>
        <v>#N/A</v>
      </c>
      <c r="AM321" s="25"/>
    </row>
    <row r="322">
      <c r="A322" s="25"/>
      <c r="B322" s="25" t="str">
        <f>'Ingest Template'!C321&amp;IF('Ingest Template'!A321 = "Standard", " - DAR","")</f>
        <v/>
      </c>
      <c r="C322" s="34" t="s">
        <v>92</v>
      </c>
      <c r="D322" s="34" t="str">
        <f>CONCATENATE('Ingest Template'!E322&amp;Char(10)&amp;'Ingest Template'!G322&amp;Char(10)&amp;'Ingest Template'!H322&amp;Char(10)&amp;'Ingest Template'!I322&amp;Char(10)&amp;'Ingest Template'!J322&amp;Char(10)&amp;'Ingest Template'!K322&amp;Char(10)&amp;'Ingest Template'!L322)</f>
        <v>
</v>
      </c>
      <c r="E322" s="25" t="str">
        <f>('Ingest Template'!M322)</f>
        <v/>
      </c>
      <c r="F322" s="40" t="str">
        <f t="array" ref="F322">INDEX(DropDown!$J$2:$J$63,MATCH(1,COUNTIF(E322,DropDown!$I$2:$I$63),0))</f>
        <v>#N/A</v>
      </c>
      <c r="G322" s="25"/>
      <c r="H322" s="25"/>
      <c r="I322" s="25"/>
      <c r="J322" s="25" t="str">
        <f>'Ingest Template'!B322</f>
        <v/>
      </c>
      <c r="K322" s="25" t="str">
        <f>IF('Ingest Template'!A321="Standard",'Ingest Template'!N321,"Competitive View")</f>
        <v>Competitive View</v>
      </c>
      <c r="L322" s="41" t="s">
        <v>145</v>
      </c>
      <c r="M322" s="25" t="str">
        <f>'Ingest Template'!D321</f>
        <v/>
      </c>
      <c r="N322" s="25"/>
      <c r="O322" s="25"/>
      <c r="P322" s="25"/>
      <c r="Q322" s="25"/>
      <c r="R322" s="25" t="str">
        <f>CONCATENATE('Ingest Template'!F321)</f>
        <v/>
      </c>
      <c r="S322" s="43" t="s">
        <v>160</v>
      </c>
      <c r="T322" s="25" t="str">
        <f>'Ingest Template'!W321</f>
        <v/>
      </c>
      <c r="U322" s="25"/>
      <c r="V322" s="25" t="str">
        <f>LOWER(SUBSTITUTE(SUBSTITUTE(SUBSTITUTE(SUBSTITUTE(SUBSTITUTE('Ingest Template'!Y321,"https:",""),"www.",""),"/",""),"?hl=en",""),"instagram.com",""))</f>
        <v/>
      </c>
      <c r="W322" s="34" t="str">
        <f>(IFERROR(vlookup('Ingest Template'!F322,DropDown!D:E,2,false)&amp;'Ingest Template'!C322,""))</f>
        <v/>
      </c>
      <c r="X322" s="25" t="str">
        <f>'Ingest Template'!AA321</f>
        <v/>
      </c>
      <c r="Y322" s="25"/>
      <c r="Z322" s="25"/>
      <c r="AA322" s="25"/>
      <c r="AB322" s="25" t="str">
        <f>'Ingest Template'!T321</f>
        <v/>
      </c>
      <c r="AC322" s="25"/>
      <c r="AD322" s="25" t="str">
        <f>'Ingest Template'!U321</f>
        <v/>
      </c>
      <c r="AE322" s="25" t="str">
        <f>'Ingest Template'!V321</f>
        <v/>
      </c>
      <c r="AF322" s="25"/>
      <c r="AG322" s="25" t="str">
        <f t="array" ref="AG322">IF('Ingest Template'!A321="Standard",(CONCATENATE(IF(ISBLANK('Ingest Template'!O321),"", 'Ingest Template'!O321&amp;"|DAR"),CHAR(10), IF(ISBLANK('Ingest Template'!P321),"", 'Ingest Template'!P321&amp;"|DAR"),CHAR(10), IF(ISBLANK('Ingest Template'!Q321),"", 'Ingest Template'!Q321&amp;"|DAR"))),(CONCATENATE(IF(ISBLANK('Ingest Template'!O321),"", 'Ingest Template'!O321&amp;"|Operations - Core Title"),CHAR(10), IF(ISBLANK('Ingest Template'!P321),"", 'Ingest Template'!P321&amp;"|Operations - Core Title"),CHAR(10), IF(ISBLANK('Ingest Template'!Q321),"", 'Ingest Template'!Q321&amp;"|Operations - Core Title"))))</f>
        <v>#|Operations - Core Title
#videoGame|Operations - Core Title
</v>
      </c>
      <c r="AH322" s="25"/>
      <c r="AI322" s="25"/>
      <c r="AJ322" s="50" t="str">
        <f>if('Ingest Template'!A321="Standard",'Ingest Template'!R321&amp; "|DAR|DAR|2021-01-01",'Ingest Template'!R321&amp; "|Operations - Core Title|Operations - Core Title")</f>
        <v>#N/A</v>
      </c>
      <c r="AK322" s="25"/>
      <c r="AL322" s="25" t="str">
        <f>if('Ingest Template'!A321="Standard",'Ingest Template'!S321&amp; "|2021-01-01",'Ingest Template'!S321)</f>
        <v>#N/A</v>
      </c>
      <c r="AM322" s="25"/>
    </row>
    <row r="323">
      <c r="A323" s="25"/>
      <c r="B323" s="25" t="str">
        <f>'Ingest Template'!C322&amp;IF('Ingest Template'!A322 = "Standard", " - DAR","")</f>
        <v/>
      </c>
      <c r="C323" s="34" t="s">
        <v>92</v>
      </c>
      <c r="D323" s="34" t="str">
        <f>CONCATENATE('Ingest Template'!E323&amp;Char(10)&amp;'Ingest Template'!G323&amp;Char(10)&amp;'Ingest Template'!H323&amp;Char(10)&amp;'Ingest Template'!I323&amp;Char(10)&amp;'Ingest Template'!J323&amp;Char(10)&amp;'Ingest Template'!K323&amp;Char(10)&amp;'Ingest Template'!L323)</f>
        <v>
</v>
      </c>
      <c r="E323" s="25" t="str">
        <f>('Ingest Template'!M323)</f>
        <v/>
      </c>
      <c r="F323" s="40" t="str">
        <f t="array" ref="F323">INDEX(DropDown!$J$2:$J$63,MATCH(1,COUNTIF(E323,DropDown!$I$2:$I$63),0))</f>
        <v>#N/A</v>
      </c>
      <c r="G323" s="25"/>
      <c r="H323" s="25"/>
      <c r="I323" s="25"/>
      <c r="J323" s="25" t="str">
        <f>'Ingest Template'!B323</f>
        <v/>
      </c>
      <c r="K323" s="25" t="str">
        <f>IF('Ingest Template'!A322="Standard",'Ingest Template'!N322,"Competitive View")</f>
        <v>Competitive View</v>
      </c>
      <c r="L323" s="41" t="s">
        <v>145</v>
      </c>
      <c r="M323" s="25" t="str">
        <f>'Ingest Template'!D322</f>
        <v/>
      </c>
      <c r="N323" s="25"/>
      <c r="O323" s="25"/>
      <c r="P323" s="25"/>
      <c r="Q323" s="25"/>
      <c r="R323" s="25" t="str">
        <f>CONCATENATE('Ingest Template'!F322)</f>
        <v/>
      </c>
      <c r="S323" s="43" t="s">
        <v>160</v>
      </c>
      <c r="T323" s="25" t="str">
        <f>'Ingest Template'!W322</f>
        <v/>
      </c>
      <c r="U323" s="25"/>
      <c r="V323" s="25" t="str">
        <f>LOWER(SUBSTITUTE(SUBSTITUTE(SUBSTITUTE(SUBSTITUTE(SUBSTITUTE('Ingest Template'!Y322,"https:",""),"www.",""),"/",""),"?hl=en",""),"instagram.com",""))</f>
        <v/>
      </c>
      <c r="W323" s="34" t="str">
        <f>(IFERROR(vlookup('Ingest Template'!F323,DropDown!D:E,2,false)&amp;'Ingest Template'!C323,""))</f>
        <v/>
      </c>
      <c r="X323" s="25" t="str">
        <f>'Ingest Template'!AA322</f>
        <v/>
      </c>
      <c r="Y323" s="25"/>
      <c r="Z323" s="25"/>
      <c r="AA323" s="25"/>
      <c r="AB323" s="25" t="str">
        <f>'Ingest Template'!T322</f>
        <v/>
      </c>
      <c r="AC323" s="25"/>
      <c r="AD323" s="25" t="str">
        <f>'Ingest Template'!U322</f>
        <v/>
      </c>
      <c r="AE323" s="25" t="str">
        <f>'Ingest Template'!V322</f>
        <v/>
      </c>
      <c r="AF323" s="25"/>
      <c r="AG323" s="25" t="str">
        <f t="array" ref="AG323">IF('Ingest Template'!A322="Standard",(CONCATENATE(IF(ISBLANK('Ingest Template'!O322),"", 'Ingest Template'!O322&amp;"|DAR"),CHAR(10), IF(ISBLANK('Ingest Template'!P322),"", 'Ingest Template'!P322&amp;"|DAR"),CHAR(10), IF(ISBLANK('Ingest Template'!Q322),"", 'Ingest Template'!Q322&amp;"|DAR"))),(CONCATENATE(IF(ISBLANK('Ingest Template'!O322),"", 'Ingest Template'!O322&amp;"|Operations - Core Title"),CHAR(10), IF(ISBLANK('Ingest Template'!P322),"", 'Ingest Template'!P322&amp;"|Operations - Core Title"),CHAR(10), IF(ISBLANK('Ingest Template'!Q322),"", 'Ingest Template'!Q322&amp;"|Operations - Core Title"))))</f>
        <v>#|Operations - Core Title
#videoGame|Operations - Core Title
</v>
      </c>
      <c r="AH323" s="25"/>
      <c r="AI323" s="25"/>
      <c r="AJ323" s="50" t="str">
        <f>if('Ingest Template'!A322="Standard",'Ingest Template'!R322&amp; "|DAR|DAR|2021-01-01",'Ingest Template'!R322&amp; "|Operations - Core Title|Operations - Core Title")</f>
        <v>#N/A</v>
      </c>
      <c r="AK323" s="25"/>
      <c r="AL323" s="25" t="str">
        <f>if('Ingest Template'!A322="Standard",'Ingest Template'!S322&amp; "|2021-01-01",'Ingest Template'!S322)</f>
        <v>#N/A</v>
      </c>
      <c r="AM323" s="25"/>
    </row>
    <row r="324">
      <c r="A324" s="25"/>
      <c r="B324" s="25" t="str">
        <f>'Ingest Template'!C323&amp;IF('Ingest Template'!A323 = "Standard", " - DAR","")</f>
        <v/>
      </c>
      <c r="C324" s="34" t="s">
        <v>92</v>
      </c>
      <c r="D324" s="34" t="str">
        <f>CONCATENATE('Ingest Template'!E324&amp;Char(10)&amp;'Ingest Template'!G324&amp;Char(10)&amp;'Ingest Template'!H324&amp;Char(10)&amp;'Ingest Template'!I324&amp;Char(10)&amp;'Ingest Template'!J324&amp;Char(10)&amp;'Ingest Template'!K324&amp;Char(10)&amp;'Ingest Template'!L324)</f>
        <v>
</v>
      </c>
      <c r="E324" s="25" t="str">
        <f>('Ingest Template'!M324)</f>
        <v/>
      </c>
      <c r="F324" s="40" t="str">
        <f t="array" ref="F324">INDEX(DropDown!$J$2:$J$63,MATCH(1,COUNTIF(E324,DropDown!$I$2:$I$63),0))</f>
        <v>#N/A</v>
      </c>
      <c r="G324" s="25"/>
      <c r="H324" s="25"/>
      <c r="I324" s="25"/>
      <c r="J324" s="25" t="str">
        <f>'Ingest Template'!B324</f>
        <v/>
      </c>
      <c r="K324" s="25" t="str">
        <f>IF('Ingest Template'!A323="Standard",'Ingest Template'!N323,"Competitive View")</f>
        <v>Competitive View</v>
      </c>
      <c r="L324" s="41" t="s">
        <v>145</v>
      </c>
      <c r="M324" s="25" t="str">
        <f>'Ingest Template'!D323</f>
        <v/>
      </c>
      <c r="N324" s="25"/>
      <c r="O324" s="25"/>
      <c r="P324" s="25"/>
      <c r="Q324" s="25"/>
      <c r="R324" s="25" t="str">
        <f>CONCATENATE('Ingest Template'!F323)</f>
        <v/>
      </c>
      <c r="S324" s="43" t="s">
        <v>160</v>
      </c>
      <c r="T324" s="25" t="str">
        <f>'Ingest Template'!W323</f>
        <v/>
      </c>
      <c r="U324" s="25"/>
      <c r="V324" s="25" t="str">
        <f>LOWER(SUBSTITUTE(SUBSTITUTE(SUBSTITUTE(SUBSTITUTE(SUBSTITUTE('Ingest Template'!Y323,"https:",""),"www.",""),"/",""),"?hl=en",""),"instagram.com",""))</f>
        <v/>
      </c>
      <c r="W324" s="34" t="str">
        <f>(IFERROR(vlookup('Ingest Template'!F324,DropDown!D:E,2,false)&amp;'Ingest Template'!C324,""))</f>
        <v/>
      </c>
      <c r="X324" s="25" t="str">
        <f>'Ingest Template'!AA323</f>
        <v/>
      </c>
      <c r="Y324" s="25"/>
      <c r="Z324" s="25"/>
      <c r="AA324" s="25"/>
      <c r="AB324" s="25" t="str">
        <f>'Ingest Template'!T323</f>
        <v/>
      </c>
      <c r="AC324" s="25"/>
      <c r="AD324" s="25" t="str">
        <f>'Ingest Template'!U323</f>
        <v/>
      </c>
      <c r="AE324" s="25" t="str">
        <f>'Ingest Template'!V323</f>
        <v/>
      </c>
      <c r="AF324" s="25"/>
      <c r="AG324" s="25" t="str">
        <f t="array" ref="AG324">IF('Ingest Template'!A323="Standard",(CONCATENATE(IF(ISBLANK('Ingest Template'!O323),"", 'Ingest Template'!O323&amp;"|DAR"),CHAR(10), IF(ISBLANK('Ingest Template'!P323),"", 'Ingest Template'!P323&amp;"|DAR"),CHAR(10), IF(ISBLANK('Ingest Template'!Q323),"", 'Ingest Template'!Q323&amp;"|DAR"))),(CONCATENATE(IF(ISBLANK('Ingest Template'!O323),"", 'Ingest Template'!O323&amp;"|Operations - Core Title"),CHAR(10), IF(ISBLANK('Ingest Template'!P323),"", 'Ingest Template'!P323&amp;"|Operations - Core Title"),CHAR(10), IF(ISBLANK('Ingest Template'!Q323),"", 'Ingest Template'!Q323&amp;"|Operations - Core Title"))))</f>
        <v>#|Operations - Core Title
#videoGame|Operations - Core Title
</v>
      </c>
      <c r="AH324" s="25"/>
      <c r="AI324" s="25"/>
      <c r="AJ324" s="50" t="str">
        <f>if('Ingest Template'!A323="Standard",'Ingest Template'!R323&amp; "|DAR|DAR|2021-01-01",'Ingest Template'!R323&amp; "|Operations - Core Title|Operations - Core Title")</f>
        <v>#N/A</v>
      </c>
      <c r="AK324" s="25"/>
      <c r="AL324" s="25" t="str">
        <f>if('Ingest Template'!A323="Standard",'Ingest Template'!S323&amp; "|2021-01-01",'Ingest Template'!S323)</f>
        <v>#N/A</v>
      </c>
      <c r="AM324" s="25"/>
    </row>
    <row r="325">
      <c r="A325" s="25"/>
      <c r="B325" s="25" t="str">
        <f>'Ingest Template'!C324&amp;IF('Ingest Template'!A324 = "Standard", " - DAR","")</f>
        <v/>
      </c>
      <c r="C325" s="34" t="s">
        <v>92</v>
      </c>
      <c r="D325" s="34" t="str">
        <f>CONCATENATE('Ingest Template'!E325&amp;Char(10)&amp;'Ingest Template'!G325&amp;Char(10)&amp;'Ingest Template'!H325&amp;Char(10)&amp;'Ingest Template'!I325&amp;Char(10)&amp;'Ingest Template'!J325&amp;Char(10)&amp;'Ingest Template'!K325&amp;Char(10)&amp;'Ingest Template'!L325)</f>
        <v>
</v>
      </c>
      <c r="E325" s="25" t="str">
        <f>('Ingest Template'!M325)</f>
        <v/>
      </c>
      <c r="F325" s="40" t="str">
        <f t="array" ref="F325">INDEX(DropDown!$J$2:$J$63,MATCH(1,COUNTIF(E325,DropDown!$I$2:$I$63),0))</f>
        <v>#N/A</v>
      </c>
      <c r="G325" s="25"/>
      <c r="H325" s="25"/>
      <c r="I325" s="25"/>
      <c r="J325" s="25" t="str">
        <f>'Ingest Template'!B325</f>
        <v/>
      </c>
      <c r="K325" s="25" t="str">
        <f>IF('Ingest Template'!A324="Standard",'Ingest Template'!N324,"Competitive View")</f>
        <v>Competitive View</v>
      </c>
      <c r="L325" s="41" t="s">
        <v>145</v>
      </c>
      <c r="M325" s="25" t="str">
        <f>'Ingest Template'!D324</f>
        <v/>
      </c>
      <c r="N325" s="25"/>
      <c r="O325" s="25"/>
      <c r="P325" s="25"/>
      <c r="Q325" s="25"/>
      <c r="R325" s="25" t="str">
        <f>CONCATENATE('Ingest Template'!F324)</f>
        <v/>
      </c>
      <c r="S325" s="43" t="s">
        <v>160</v>
      </c>
      <c r="T325" s="25" t="str">
        <f>'Ingest Template'!W324</f>
        <v/>
      </c>
      <c r="U325" s="25"/>
      <c r="V325" s="25" t="str">
        <f>LOWER(SUBSTITUTE(SUBSTITUTE(SUBSTITUTE(SUBSTITUTE(SUBSTITUTE('Ingest Template'!Y324,"https:",""),"www.",""),"/",""),"?hl=en",""),"instagram.com",""))</f>
        <v/>
      </c>
      <c r="W325" s="34" t="str">
        <f>(IFERROR(vlookup('Ingest Template'!F325,DropDown!D:E,2,false)&amp;'Ingest Template'!C325,""))</f>
        <v/>
      </c>
      <c r="X325" s="25" t="str">
        <f>'Ingest Template'!AA324</f>
        <v/>
      </c>
      <c r="Y325" s="25"/>
      <c r="Z325" s="25"/>
      <c r="AA325" s="25"/>
      <c r="AB325" s="25" t="str">
        <f>'Ingest Template'!T324</f>
        <v/>
      </c>
      <c r="AC325" s="25"/>
      <c r="AD325" s="25" t="str">
        <f>'Ingest Template'!U324</f>
        <v/>
      </c>
      <c r="AE325" s="25" t="str">
        <f>'Ingest Template'!V324</f>
        <v/>
      </c>
      <c r="AF325" s="25"/>
      <c r="AG325" s="25" t="str">
        <f t="array" ref="AG325">IF('Ingest Template'!A324="Standard",(CONCATENATE(IF(ISBLANK('Ingest Template'!O324),"", 'Ingest Template'!O324&amp;"|DAR"),CHAR(10), IF(ISBLANK('Ingest Template'!P324),"", 'Ingest Template'!P324&amp;"|DAR"),CHAR(10), IF(ISBLANK('Ingest Template'!Q324),"", 'Ingest Template'!Q324&amp;"|DAR"))),(CONCATENATE(IF(ISBLANK('Ingest Template'!O324),"", 'Ingest Template'!O324&amp;"|Operations - Core Title"),CHAR(10), IF(ISBLANK('Ingest Template'!P324),"", 'Ingest Template'!P324&amp;"|Operations - Core Title"),CHAR(10), IF(ISBLANK('Ingest Template'!Q324),"", 'Ingest Template'!Q324&amp;"|Operations - Core Title"))))</f>
        <v>#|Operations - Core Title
#videoGame|Operations - Core Title
</v>
      </c>
      <c r="AH325" s="25"/>
      <c r="AI325" s="25"/>
      <c r="AJ325" s="50" t="str">
        <f>if('Ingest Template'!A324="Standard",'Ingest Template'!R324&amp; "|DAR|DAR|2021-01-01",'Ingest Template'!R324&amp; "|Operations - Core Title|Operations - Core Title")</f>
        <v>#N/A</v>
      </c>
      <c r="AK325" s="25"/>
      <c r="AL325" s="25" t="str">
        <f>if('Ingest Template'!A324="Standard",'Ingest Template'!S324&amp; "|2021-01-01",'Ingest Template'!S324)</f>
        <v>#N/A</v>
      </c>
      <c r="AM325" s="25"/>
    </row>
    <row r="326">
      <c r="A326" s="25"/>
      <c r="B326" s="25" t="str">
        <f>'Ingest Template'!C325&amp;IF('Ingest Template'!A325 = "Standard", " - DAR","")</f>
        <v/>
      </c>
      <c r="C326" s="34" t="s">
        <v>92</v>
      </c>
      <c r="D326" s="34" t="str">
        <f>CONCATENATE('Ingest Template'!E326&amp;Char(10)&amp;'Ingest Template'!G326&amp;Char(10)&amp;'Ingest Template'!H326&amp;Char(10)&amp;'Ingest Template'!I326&amp;Char(10)&amp;'Ingest Template'!J326&amp;Char(10)&amp;'Ingest Template'!K326&amp;Char(10)&amp;'Ingest Template'!L326)</f>
        <v>
</v>
      </c>
      <c r="E326" s="25" t="str">
        <f>('Ingest Template'!M326)</f>
        <v/>
      </c>
      <c r="F326" s="40" t="str">
        <f t="array" ref="F326">INDEX(DropDown!$J$2:$J$63,MATCH(1,COUNTIF(E326,DropDown!$I$2:$I$63),0))</f>
        <v>#N/A</v>
      </c>
      <c r="G326" s="25"/>
      <c r="H326" s="25"/>
      <c r="I326" s="25"/>
      <c r="J326" s="25" t="str">
        <f>'Ingest Template'!B326</f>
        <v/>
      </c>
      <c r="K326" s="25" t="str">
        <f>IF('Ingest Template'!A325="Standard",'Ingest Template'!N325,"Competitive View")</f>
        <v>Competitive View</v>
      </c>
      <c r="L326" s="41" t="s">
        <v>145</v>
      </c>
      <c r="M326" s="25" t="str">
        <f>'Ingest Template'!D325</f>
        <v/>
      </c>
      <c r="N326" s="25"/>
      <c r="O326" s="25"/>
      <c r="P326" s="25"/>
      <c r="Q326" s="25"/>
      <c r="R326" s="25" t="str">
        <f>CONCATENATE('Ingest Template'!F325)</f>
        <v/>
      </c>
      <c r="S326" s="43" t="s">
        <v>160</v>
      </c>
      <c r="T326" s="25" t="str">
        <f>'Ingest Template'!W325</f>
        <v/>
      </c>
      <c r="U326" s="25"/>
      <c r="V326" s="25" t="str">
        <f>LOWER(SUBSTITUTE(SUBSTITUTE(SUBSTITUTE(SUBSTITUTE(SUBSTITUTE('Ingest Template'!Y325,"https:",""),"www.",""),"/",""),"?hl=en",""),"instagram.com",""))</f>
        <v/>
      </c>
      <c r="W326" s="34" t="str">
        <f>(IFERROR(vlookup('Ingest Template'!F326,DropDown!D:E,2,false)&amp;'Ingest Template'!C326,""))</f>
        <v/>
      </c>
      <c r="X326" s="25" t="str">
        <f>'Ingest Template'!AA325</f>
        <v/>
      </c>
      <c r="Y326" s="25"/>
      <c r="Z326" s="25"/>
      <c r="AA326" s="25"/>
      <c r="AB326" s="25" t="str">
        <f>'Ingest Template'!T325</f>
        <v/>
      </c>
      <c r="AC326" s="25"/>
      <c r="AD326" s="25" t="str">
        <f>'Ingest Template'!U325</f>
        <v/>
      </c>
      <c r="AE326" s="25" t="str">
        <f>'Ingest Template'!V325</f>
        <v/>
      </c>
      <c r="AF326" s="25"/>
      <c r="AG326" s="25" t="str">
        <f t="array" ref="AG326">IF('Ingest Template'!A325="Standard",(CONCATENATE(IF(ISBLANK('Ingest Template'!O325),"", 'Ingest Template'!O325&amp;"|DAR"),CHAR(10), IF(ISBLANK('Ingest Template'!P325),"", 'Ingest Template'!P325&amp;"|DAR"),CHAR(10), IF(ISBLANK('Ingest Template'!Q325),"", 'Ingest Template'!Q325&amp;"|DAR"))),(CONCATENATE(IF(ISBLANK('Ingest Template'!O325),"", 'Ingest Template'!O325&amp;"|Operations - Core Title"),CHAR(10), IF(ISBLANK('Ingest Template'!P325),"", 'Ingest Template'!P325&amp;"|Operations - Core Title"),CHAR(10), IF(ISBLANK('Ingest Template'!Q325),"", 'Ingest Template'!Q325&amp;"|Operations - Core Title"))))</f>
        <v>#|Operations - Core Title
#videoGame|Operations - Core Title
</v>
      </c>
      <c r="AH326" s="25"/>
      <c r="AI326" s="25"/>
      <c r="AJ326" s="50" t="str">
        <f>if('Ingest Template'!A325="Standard",'Ingest Template'!R325&amp; "|DAR|DAR|2021-01-01",'Ingest Template'!R325&amp; "|Operations - Core Title|Operations - Core Title")</f>
        <v>#N/A</v>
      </c>
      <c r="AK326" s="25"/>
      <c r="AL326" s="25" t="str">
        <f>if('Ingest Template'!A325="Standard",'Ingest Template'!S325&amp; "|2021-01-01",'Ingest Template'!S325)</f>
        <v>#N/A</v>
      </c>
      <c r="AM326" s="25"/>
    </row>
    <row r="327">
      <c r="A327" s="25"/>
      <c r="B327" s="25" t="str">
        <f>'Ingest Template'!C326&amp;IF('Ingest Template'!A326 = "Standard", " - DAR","")</f>
        <v/>
      </c>
      <c r="C327" s="34" t="s">
        <v>92</v>
      </c>
      <c r="D327" s="34" t="str">
        <f>CONCATENATE('Ingest Template'!E327&amp;Char(10)&amp;'Ingest Template'!G327&amp;Char(10)&amp;'Ingest Template'!H327&amp;Char(10)&amp;'Ingest Template'!I327&amp;Char(10)&amp;'Ingest Template'!J327&amp;Char(10)&amp;'Ingest Template'!K327&amp;Char(10)&amp;'Ingest Template'!L327)</f>
        <v>
</v>
      </c>
      <c r="E327" s="25" t="str">
        <f>('Ingest Template'!M327)</f>
        <v/>
      </c>
      <c r="F327" s="40" t="str">
        <f t="array" ref="F327">INDEX(DropDown!$J$2:$J$63,MATCH(1,COUNTIF(E327,DropDown!$I$2:$I$63),0))</f>
        <v>#N/A</v>
      </c>
      <c r="G327" s="25"/>
      <c r="H327" s="25"/>
      <c r="I327" s="25"/>
      <c r="J327" s="25" t="str">
        <f>'Ingest Template'!B327</f>
        <v/>
      </c>
      <c r="K327" s="25" t="str">
        <f>IF('Ingest Template'!A326="Standard",'Ingest Template'!N326,"Competitive View")</f>
        <v>Competitive View</v>
      </c>
      <c r="L327" s="41" t="s">
        <v>145</v>
      </c>
      <c r="M327" s="25" t="str">
        <f>'Ingest Template'!D326</f>
        <v/>
      </c>
      <c r="N327" s="25"/>
      <c r="O327" s="25"/>
      <c r="P327" s="25"/>
      <c r="Q327" s="25"/>
      <c r="R327" s="25" t="str">
        <f>CONCATENATE('Ingest Template'!F326)</f>
        <v/>
      </c>
      <c r="S327" s="43" t="s">
        <v>160</v>
      </c>
      <c r="T327" s="25" t="str">
        <f>'Ingest Template'!W326</f>
        <v/>
      </c>
      <c r="U327" s="25"/>
      <c r="V327" s="25" t="str">
        <f>LOWER(SUBSTITUTE(SUBSTITUTE(SUBSTITUTE(SUBSTITUTE(SUBSTITUTE('Ingest Template'!Y326,"https:",""),"www.",""),"/",""),"?hl=en",""),"instagram.com",""))</f>
        <v/>
      </c>
      <c r="W327" s="34" t="str">
        <f>(IFERROR(vlookup('Ingest Template'!F327,DropDown!D:E,2,false)&amp;'Ingest Template'!C327,""))</f>
        <v/>
      </c>
      <c r="X327" s="25" t="str">
        <f>'Ingest Template'!AA326</f>
        <v/>
      </c>
      <c r="Y327" s="25"/>
      <c r="Z327" s="25"/>
      <c r="AA327" s="25"/>
      <c r="AB327" s="25" t="str">
        <f>'Ingest Template'!T326</f>
        <v/>
      </c>
      <c r="AC327" s="25"/>
      <c r="AD327" s="25" t="str">
        <f>'Ingest Template'!U326</f>
        <v/>
      </c>
      <c r="AE327" s="25" t="str">
        <f>'Ingest Template'!V326</f>
        <v/>
      </c>
      <c r="AF327" s="25"/>
      <c r="AG327" s="25" t="str">
        <f t="array" ref="AG327">IF('Ingest Template'!A326="Standard",(CONCATENATE(IF(ISBLANK('Ingest Template'!O326),"", 'Ingest Template'!O326&amp;"|DAR"),CHAR(10), IF(ISBLANK('Ingest Template'!P326),"", 'Ingest Template'!P326&amp;"|DAR"),CHAR(10), IF(ISBLANK('Ingest Template'!Q326),"", 'Ingest Template'!Q326&amp;"|DAR"))),(CONCATENATE(IF(ISBLANK('Ingest Template'!O326),"", 'Ingest Template'!O326&amp;"|Operations - Core Title"),CHAR(10), IF(ISBLANK('Ingest Template'!P326),"", 'Ingest Template'!P326&amp;"|Operations - Core Title"),CHAR(10), IF(ISBLANK('Ingest Template'!Q326),"", 'Ingest Template'!Q326&amp;"|Operations - Core Title"))))</f>
        <v>#|Operations - Core Title
#videoGame|Operations - Core Title
</v>
      </c>
      <c r="AH327" s="25"/>
      <c r="AI327" s="25"/>
      <c r="AJ327" s="50" t="str">
        <f>if('Ingest Template'!A326="Standard",'Ingest Template'!R326&amp; "|DAR|DAR|2021-01-01",'Ingest Template'!R326&amp; "|Operations - Core Title|Operations - Core Title")</f>
        <v>#N/A</v>
      </c>
      <c r="AK327" s="25"/>
      <c r="AL327" s="25" t="str">
        <f>if('Ingest Template'!A326="Standard",'Ingest Template'!S326&amp; "|2021-01-01",'Ingest Template'!S326)</f>
        <v>#N/A</v>
      </c>
      <c r="AM327" s="25"/>
    </row>
    <row r="328">
      <c r="A328" s="25"/>
      <c r="B328" s="25" t="str">
        <f>'Ingest Template'!C327&amp;IF('Ingest Template'!A327 = "Standard", " - DAR","")</f>
        <v/>
      </c>
      <c r="C328" s="34" t="s">
        <v>92</v>
      </c>
      <c r="D328" s="34" t="str">
        <f>CONCATENATE('Ingest Template'!E328&amp;Char(10)&amp;'Ingest Template'!G328&amp;Char(10)&amp;'Ingest Template'!H328&amp;Char(10)&amp;'Ingest Template'!I328&amp;Char(10)&amp;'Ingest Template'!J328&amp;Char(10)&amp;'Ingest Template'!K328&amp;Char(10)&amp;'Ingest Template'!L328)</f>
        <v>
</v>
      </c>
      <c r="E328" s="25" t="str">
        <f>('Ingest Template'!M328)</f>
        <v/>
      </c>
      <c r="F328" s="40" t="str">
        <f t="array" ref="F328">INDEX(DropDown!$J$2:$J$63,MATCH(1,COUNTIF(E328,DropDown!$I$2:$I$63),0))</f>
        <v>#N/A</v>
      </c>
      <c r="G328" s="25"/>
      <c r="H328" s="25"/>
      <c r="I328" s="25"/>
      <c r="J328" s="25" t="str">
        <f>'Ingest Template'!B328</f>
        <v/>
      </c>
      <c r="K328" s="25" t="str">
        <f>IF('Ingest Template'!A327="Standard",'Ingest Template'!N327,"Competitive View")</f>
        <v>Competitive View</v>
      </c>
      <c r="L328" s="41" t="s">
        <v>145</v>
      </c>
      <c r="M328" s="25" t="str">
        <f>'Ingest Template'!D327</f>
        <v/>
      </c>
      <c r="N328" s="25"/>
      <c r="O328" s="25"/>
      <c r="P328" s="25"/>
      <c r="Q328" s="25"/>
      <c r="R328" s="25" t="str">
        <f>CONCATENATE('Ingest Template'!F327)</f>
        <v/>
      </c>
      <c r="S328" s="43" t="s">
        <v>160</v>
      </c>
      <c r="T328" s="25" t="str">
        <f>'Ingest Template'!W327</f>
        <v/>
      </c>
      <c r="U328" s="25"/>
      <c r="V328" s="25" t="str">
        <f>LOWER(SUBSTITUTE(SUBSTITUTE(SUBSTITUTE(SUBSTITUTE(SUBSTITUTE('Ingest Template'!Y327,"https:",""),"www.",""),"/",""),"?hl=en",""),"instagram.com",""))</f>
        <v/>
      </c>
      <c r="W328" s="34" t="str">
        <f>(IFERROR(vlookup('Ingest Template'!F328,DropDown!D:E,2,false)&amp;'Ingest Template'!C328,""))</f>
        <v/>
      </c>
      <c r="X328" s="25" t="str">
        <f>'Ingest Template'!AA327</f>
        <v/>
      </c>
      <c r="Y328" s="25"/>
      <c r="Z328" s="25"/>
      <c r="AA328" s="25"/>
      <c r="AB328" s="25" t="str">
        <f>'Ingest Template'!T327</f>
        <v/>
      </c>
      <c r="AC328" s="25"/>
      <c r="AD328" s="25" t="str">
        <f>'Ingest Template'!U327</f>
        <v/>
      </c>
      <c r="AE328" s="25" t="str">
        <f>'Ingest Template'!V327</f>
        <v/>
      </c>
      <c r="AF328" s="25"/>
      <c r="AG328" s="25" t="str">
        <f t="array" ref="AG328">IF('Ingest Template'!A327="Standard",(CONCATENATE(IF(ISBLANK('Ingest Template'!O327),"", 'Ingest Template'!O327&amp;"|DAR"),CHAR(10), IF(ISBLANK('Ingest Template'!P327),"", 'Ingest Template'!P327&amp;"|DAR"),CHAR(10), IF(ISBLANK('Ingest Template'!Q327),"", 'Ingest Template'!Q327&amp;"|DAR"))),(CONCATENATE(IF(ISBLANK('Ingest Template'!O327),"", 'Ingest Template'!O327&amp;"|Operations - Core Title"),CHAR(10), IF(ISBLANK('Ingest Template'!P327),"", 'Ingest Template'!P327&amp;"|Operations - Core Title"),CHAR(10), IF(ISBLANK('Ingest Template'!Q327),"", 'Ingest Template'!Q327&amp;"|Operations - Core Title"))))</f>
        <v>#|Operations - Core Title
#videoGame|Operations - Core Title
</v>
      </c>
      <c r="AH328" s="25"/>
      <c r="AI328" s="25"/>
      <c r="AJ328" s="50" t="str">
        <f>if('Ingest Template'!A327="Standard",'Ingest Template'!R327&amp; "|DAR|DAR|2021-01-01",'Ingest Template'!R327&amp; "|Operations - Core Title|Operations - Core Title")</f>
        <v>#N/A</v>
      </c>
      <c r="AK328" s="25"/>
      <c r="AL328" s="25" t="str">
        <f>if('Ingest Template'!A327="Standard",'Ingest Template'!S327&amp; "|2021-01-01",'Ingest Template'!S327)</f>
        <v>#N/A</v>
      </c>
      <c r="AM328" s="25"/>
    </row>
    <row r="329">
      <c r="A329" s="25"/>
      <c r="B329" s="25" t="str">
        <f>'Ingest Template'!C328&amp;IF('Ingest Template'!A328 = "Standard", " - DAR","")</f>
        <v/>
      </c>
      <c r="C329" s="34" t="s">
        <v>92</v>
      </c>
      <c r="D329" s="34" t="str">
        <f>CONCATENATE('Ingest Template'!E329&amp;Char(10)&amp;'Ingest Template'!G329&amp;Char(10)&amp;'Ingest Template'!H329&amp;Char(10)&amp;'Ingest Template'!I329&amp;Char(10)&amp;'Ingest Template'!J329&amp;Char(10)&amp;'Ingest Template'!K329&amp;Char(10)&amp;'Ingest Template'!L329)</f>
        <v>
</v>
      </c>
      <c r="E329" s="25" t="str">
        <f>('Ingest Template'!M329)</f>
        <v/>
      </c>
      <c r="F329" s="40" t="str">
        <f t="array" ref="F329">INDEX(DropDown!$J$2:$J$63,MATCH(1,COUNTIF(E329,DropDown!$I$2:$I$63),0))</f>
        <v>#N/A</v>
      </c>
      <c r="G329" s="25"/>
      <c r="H329" s="25"/>
      <c r="I329" s="25"/>
      <c r="J329" s="25" t="str">
        <f>'Ingest Template'!B329</f>
        <v/>
      </c>
      <c r="K329" s="25" t="str">
        <f>IF('Ingest Template'!A328="Standard",'Ingest Template'!N328,"Competitive View")</f>
        <v>Competitive View</v>
      </c>
      <c r="L329" s="41" t="s">
        <v>145</v>
      </c>
      <c r="M329" s="25" t="str">
        <f>'Ingest Template'!D328</f>
        <v/>
      </c>
      <c r="N329" s="25"/>
      <c r="O329" s="25"/>
      <c r="P329" s="25"/>
      <c r="Q329" s="25"/>
      <c r="R329" s="25" t="str">
        <f>CONCATENATE('Ingest Template'!F328)</f>
        <v/>
      </c>
      <c r="S329" s="43" t="s">
        <v>160</v>
      </c>
      <c r="T329" s="25" t="str">
        <f>'Ingest Template'!W328</f>
        <v/>
      </c>
      <c r="U329" s="25"/>
      <c r="V329" s="25" t="str">
        <f>LOWER(SUBSTITUTE(SUBSTITUTE(SUBSTITUTE(SUBSTITUTE(SUBSTITUTE('Ingest Template'!Y328,"https:",""),"www.",""),"/",""),"?hl=en",""),"instagram.com",""))</f>
        <v/>
      </c>
      <c r="W329" s="34" t="str">
        <f>(IFERROR(vlookup('Ingest Template'!F329,DropDown!D:E,2,false)&amp;'Ingest Template'!C329,""))</f>
        <v/>
      </c>
      <c r="X329" s="25" t="str">
        <f>'Ingest Template'!AA328</f>
        <v/>
      </c>
      <c r="Y329" s="25"/>
      <c r="Z329" s="25"/>
      <c r="AA329" s="25"/>
      <c r="AB329" s="25" t="str">
        <f>'Ingest Template'!T328</f>
        <v/>
      </c>
      <c r="AC329" s="25"/>
      <c r="AD329" s="25" t="str">
        <f>'Ingest Template'!U328</f>
        <v/>
      </c>
      <c r="AE329" s="25" t="str">
        <f>'Ingest Template'!V328</f>
        <v/>
      </c>
      <c r="AF329" s="25"/>
      <c r="AG329" s="25" t="str">
        <f t="array" ref="AG329">IF('Ingest Template'!A328="Standard",(CONCATENATE(IF(ISBLANK('Ingest Template'!O328),"", 'Ingest Template'!O328&amp;"|DAR"),CHAR(10), IF(ISBLANK('Ingest Template'!P328),"", 'Ingest Template'!P328&amp;"|DAR"),CHAR(10), IF(ISBLANK('Ingest Template'!Q328),"", 'Ingest Template'!Q328&amp;"|DAR"))),(CONCATENATE(IF(ISBLANK('Ingest Template'!O328),"", 'Ingest Template'!O328&amp;"|Operations - Core Title"),CHAR(10), IF(ISBLANK('Ingest Template'!P328),"", 'Ingest Template'!P328&amp;"|Operations - Core Title"),CHAR(10), IF(ISBLANK('Ingest Template'!Q328),"", 'Ingest Template'!Q328&amp;"|Operations - Core Title"))))</f>
        <v>#|Operations - Core Title
#videoGame|Operations - Core Title
</v>
      </c>
      <c r="AH329" s="25"/>
      <c r="AI329" s="25"/>
      <c r="AJ329" s="50" t="str">
        <f>if('Ingest Template'!A328="Standard",'Ingest Template'!R328&amp; "|DAR|DAR|2021-01-01",'Ingest Template'!R328&amp; "|Operations - Core Title|Operations - Core Title")</f>
        <v>#N/A</v>
      </c>
      <c r="AK329" s="25"/>
      <c r="AL329" s="25" t="str">
        <f>if('Ingest Template'!A328="Standard",'Ingest Template'!S328&amp; "|2021-01-01",'Ingest Template'!S328)</f>
        <v>#N/A</v>
      </c>
      <c r="AM329" s="25"/>
    </row>
    <row r="330">
      <c r="A330" s="25"/>
      <c r="B330" s="25" t="str">
        <f>'Ingest Template'!C329&amp;IF('Ingest Template'!A329 = "Standard", " - DAR","")</f>
        <v/>
      </c>
      <c r="C330" s="34" t="s">
        <v>92</v>
      </c>
      <c r="D330" s="34" t="str">
        <f>CONCATENATE('Ingest Template'!E330&amp;Char(10)&amp;'Ingest Template'!G330&amp;Char(10)&amp;'Ingest Template'!H330&amp;Char(10)&amp;'Ingest Template'!I330&amp;Char(10)&amp;'Ingest Template'!J330&amp;Char(10)&amp;'Ingest Template'!K330&amp;Char(10)&amp;'Ingest Template'!L330)</f>
        <v>
</v>
      </c>
      <c r="E330" s="25" t="str">
        <f>('Ingest Template'!M330)</f>
        <v/>
      </c>
      <c r="F330" s="40" t="str">
        <f t="array" ref="F330">INDEX(DropDown!$J$2:$J$63,MATCH(1,COUNTIF(E330,DropDown!$I$2:$I$63),0))</f>
        <v>#N/A</v>
      </c>
      <c r="G330" s="25"/>
      <c r="H330" s="25"/>
      <c r="I330" s="25"/>
      <c r="J330" s="25" t="str">
        <f>'Ingest Template'!B330</f>
        <v/>
      </c>
      <c r="K330" s="25" t="str">
        <f>IF('Ingest Template'!A329="Standard",'Ingest Template'!N329,"Competitive View")</f>
        <v>Competitive View</v>
      </c>
      <c r="L330" s="41" t="s">
        <v>145</v>
      </c>
      <c r="M330" s="25" t="str">
        <f>'Ingest Template'!D329</f>
        <v/>
      </c>
      <c r="N330" s="25"/>
      <c r="O330" s="25"/>
      <c r="P330" s="25"/>
      <c r="Q330" s="25"/>
      <c r="R330" s="25" t="str">
        <f>CONCATENATE('Ingest Template'!F329)</f>
        <v/>
      </c>
      <c r="S330" s="43" t="s">
        <v>160</v>
      </c>
      <c r="T330" s="25" t="str">
        <f>'Ingest Template'!W329</f>
        <v/>
      </c>
      <c r="U330" s="25"/>
      <c r="V330" s="25" t="str">
        <f>LOWER(SUBSTITUTE(SUBSTITUTE(SUBSTITUTE(SUBSTITUTE(SUBSTITUTE('Ingest Template'!Y329,"https:",""),"www.",""),"/",""),"?hl=en",""),"instagram.com",""))</f>
        <v/>
      </c>
      <c r="W330" s="34" t="str">
        <f>(IFERROR(vlookup('Ingest Template'!F330,DropDown!D:E,2,false)&amp;'Ingest Template'!C330,""))</f>
        <v/>
      </c>
      <c r="X330" s="25" t="str">
        <f>'Ingest Template'!AA329</f>
        <v/>
      </c>
      <c r="Y330" s="25"/>
      <c r="Z330" s="25"/>
      <c r="AA330" s="25"/>
      <c r="AB330" s="25" t="str">
        <f>'Ingest Template'!T329</f>
        <v/>
      </c>
      <c r="AC330" s="25"/>
      <c r="AD330" s="25" t="str">
        <f>'Ingest Template'!U329</f>
        <v/>
      </c>
      <c r="AE330" s="25" t="str">
        <f>'Ingest Template'!V329</f>
        <v/>
      </c>
      <c r="AF330" s="25"/>
      <c r="AG330" s="25" t="str">
        <f t="array" ref="AG330">IF('Ingest Template'!A329="Standard",(CONCATENATE(IF(ISBLANK('Ingest Template'!O329),"", 'Ingest Template'!O329&amp;"|DAR"),CHAR(10), IF(ISBLANK('Ingest Template'!P329),"", 'Ingest Template'!P329&amp;"|DAR"),CHAR(10), IF(ISBLANK('Ingest Template'!Q329),"", 'Ingest Template'!Q329&amp;"|DAR"))),(CONCATENATE(IF(ISBLANK('Ingest Template'!O329),"", 'Ingest Template'!O329&amp;"|Operations - Core Title"),CHAR(10), IF(ISBLANK('Ingest Template'!P329),"", 'Ingest Template'!P329&amp;"|Operations - Core Title"),CHAR(10), IF(ISBLANK('Ingest Template'!Q329),"", 'Ingest Template'!Q329&amp;"|Operations - Core Title"))))</f>
        <v>#|Operations - Core Title
#videoGame|Operations - Core Title
</v>
      </c>
      <c r="AH330" s="25"/>
      <c r="AI330" s="25"/>
      <c r="AJ330" s="50" t="str">
        <f>if('Ingest Template'!A329="Standard",'Ingest Template'!R329&amp; "|DAR|DAR|2021-01-01",'Ingest Template'!R329&amp; "|Operations - Core Title|Operations - Core Title")</f>
        <v>#N/A</v>
      </c>
      <c r="AK330" s="25"/>
      <c r="AL330" s="25" t="str">
        <f>if('Ingest Template'!A329="Standard",'Ingest Template'!S329&amp; "|2021-01-01",'Ingest Template'!S329)</f>
        <v>#N/A</v>
      </c>
      <c r="AM330" s="25"/>
    </row>
    <row r="331">
      <c r="A331" s="25"/>
      <c r="B331" s="25" t="str">
        <f>'Ingest Template'!C330&amp;IF('Ingest Template'!A330 = "Standard", " - DAR","")</f>
        <v/>
      </c>
      <c r="C331" s="34" t="s">
        <v>92</v>
      </c>
      <c r="D331" s="34" t="str">
        <f>CONCATENATE('Ingest Template'!E331&amp;Char(10)&amp;'Ingest Template'!G331&amp;Char(10)&amp;'Ingest Template'!H331&amp;Char(10)&amp;'Ingest Template'!I331&amp;Char(10)&amp;'Ingest Template'!J331&amp;Char(10)&amp;'Ingest Template'!K331&amp;Char(10)&amp;'Ingest Template'!L331)</f>
        <v>
</v>
      </c>
      <c r="E331" s="25" t="str">
        <f>('Ingest Template'!M331)</f>
        <v/>
      </c>
      <c r="F331" s="40" t="str">
        <f t="array" ref="F331">INDEX(DropDown!$J$2:$J$63,MATCH(1,COUNTIF(E331,DropDown!$I$2:$I$63),0))</f>
        <v>#N/A</v>
      </c>
      <c r="G331" s="25"/>
      <c r="H331" s="25"/>
      <c r="I331" s="25"/>
      <c r="J331" s="25" t="str">
        <f>'Ingest Template'!B331</f>
        <v/>
      </c>
      <c r="K331" s="25" t="str">
        <f>IF('Ingest Template'!A330="Standard",'Ingest Template'!N330,"Competitive View")</f>
        <v>Competitive View</v>
      </c>
      <c r="L331" s="41" t="s">
        <v>145</v>
      </c>
      <c r="M331" s="25" t="str">
        <f>'Ingest Template'!D330</f>
        <v/>
      </c>
      <c r="N331" s="25"/>
      <c r="O331" s="25"/>
      <c r="P331" s="25"/>
      <c r="Q331" s="25"/>
      <c r="R331" s="25" t="str">
        <f>CONCATENATE('Ingest Template'!F330)</f>
        <v/>
      </c>
      <c r="S331" s="43" t="s">
        <v>160</v>
      </c>
      <c r="T331" s="25" t="str">
        <f>'Ingest Template'!W330</f>
        <v/>
      </c>
      <c r="U331" s="25"/>
      <c r="V331" s="25" t="str">
        <f>LOWER(SUBSTITUTE(SUBSTITUTE(SUBSTITUTE(SUBSTITUTE(SUBSTITUTE('Ingest Template'!Y330,"https:",""),"www.",""),"/",""),"?hl=en",""),"instagram.com",""))</f>
        <v/>
      </c>
      <c r="W331" s="34" t="str">
        <f>(IFERROR(vlookup('Ingest Template'!F331,DropDown!D:E,2,false)&amp;'Ingest Template'!C331,""))</f>
        <v/>
      </c>
      <c r="X331" s="25" t="str">
        <f>'Ingest Template'!AA330</f>
        <v/>
      </c>
      <c r="Y331" s="25"/>
      <c r="Z331" s="25"/>
      <c r="AA331" s="25"/>
      <c r="AB331" s="25" t="str">
        <f>'Ingest Template'!T330</f>
        <v/>
      </c>
      <c r="AC331" s="25"/>
      <c r="AD331" s="25" t="str">
        <f>'Ingest Template'!U330</f>
        <v/>
      </c>
      <c r="AE331" s="25" t="str">
        <f>'Ingest Template'!V330</f>
        <v/>
      </c>
      <c r="AF331" s="25"/>
      <c r="AG331" s="25" t="str">
        <f t="array" ref="AG331">IF('Ingest Template'!A330="Standard",(CONCATENATE(IF(ISBLANK('Ingest Template'!O330),"", 'Ingest Template'!O330&amp;"|DAR"),CHAR(10), IF(ISBLANK('Ingest Template'!P330),"", 'Ingest Template'!P330&amp;"|DAR"),CHAR(10), IF(ISBLANK('Ingest Template'!Q330),"", 'Ingest Template'!Q330&amp;"|DAR"))),(CONCATENATE(IF(ISBLANK('Ingest Template'!O330),"", 'Ingest Template'!O330&amp;"|Operations - Core Title"),CHAR(10), IF(ISBLANK('Ingest Template'!P330),"", 'Ingest Template'!P330&amp;"|Operations - Core Title"),CHAR(10), IF(ISBLANK('Ingest Template'!Q330),"", 'Ingest Template'!Q330&amp;"|Operations - Core Title"))))</f>
        <v>#|Operations - Core Title
#videoGame|Operations - Core Title
</v>
      </c>
      <c r="AH331" s="25"/>
      <c r="AI331" s="25"/>
      <c r="AJ331" s="50" t="str">
        <f>if('Ingest Template'!A330="Standard",'Ingest Template'!R330&amp; "|DAR|DAR|2021-01-01",'Ingest Template'!R330&amp; "|Operations - Core Title|Operations - Core Title")</f>
        <v>#N/A</v>
      </c>
      <c r="AK331" s="25"/>
      <c r="AL331" s="25" t="str">
        <f>if('Ingest Template'!A330="Standard",'Ingest Template'!S330&amp; "|2021-01-01",'Ingest Template'!S330)</f>
        <v>#N/A</v>
      </c>
      <c r="AM331" s="25"/>
    </row>
    <row r="332">
      <c r="A332" s="25"/>
      <c r="B332" s="25" t="str">
        <f>'Ingest Template'!C331&amp;IF('Ingest Template'!A331 = "Standard", " - DAR","")</f>
        <v/>
      </c>
      <c r="C332" s="34" t="s">
        <v>92</v>
      </c>
      <c r="D332" s="34" t="str">
        <f>CONCATENATE('Ingest Template'!E332&amp;Char(10)&amp;'Ingest Template'!G332&amp;Char(10)&amp;'Ingest Template'!H332&amp;Char(10)&amp;'Ingest Template'!I332&amp;Char(10)&amp;'Ingest Template'!J332&amp;Char(10)&amp;'Ingest Template'!K332&amp;Char(10)&amp;'Ingest Template'!L332)</f>
        <v>
</v>
      </c>
      <c r="E332" s="25" t="str">
        <f>('Ingest Template'!M332)</f>
        <v/>
      </c>
      <c r="F332" s="40" t="str">
        <f t="array" ref="F332">INDEX(DropDown!$J$2:$J$63,MATCH(1,COUNTIF(E332,DropDown!$I$2:$I$63),0))</f>
        <v>#N/A</v>
      </c>
      <c r="G332" s="25"/>
      <c r="H332" s="25"/>
      <c r="I332" s="25"/>
      <c r="J332" s="25" t="str">
        <f>'Ingest Template'!B332</f>
        <v/>
      </c>
      <c r="K332" s="25" t="str">
        <f>IF('Ingest Template'!A331="Standard",'Ingest Template'!N331,"Competitive View")</f>
        <v>Competitive View</v>
      </c>
      <c r="L332" s="41" t="s">
        <v>145</v>
      </c>
      <c r="M332" s="25" t="str">
        <f>'Ingest Template'!D331</f>
        <v/>
      </c>
      <c r="N332" s="25"/>
      <c r="O332" s="25"/>
      <c r="P332" s="25"/>
      <c r="Q332" s="25"/>
      <c r="R332" s="25" t="str">
        <f>CONCATENATE('Ingest Template'!F331)</f>
        <v/>
      </c>
      <c r="S332" s="43" t="s">
        <v>160</v>
      </c>
      <c r="T332" s="25" t="str">
        <f>'Ingest Template'!W331</f>
        <v/>
      </c>
      <c r="U332" s="25"/>
      <c r="V332" s="25" t="str">
        <f>LOWER(SUBSTITUTE(SUBSTITUTE(SUBSTITUTE(SUBSTITUTE(SUBSTITUTE('Ingest Template'!Y331,"https:",""),"www.",""),"/",""),"?hl=en",""),"instagram.com",""))</f>
        <v/>
      </c>
      <c r="W332" s="34" t="str">
        <f>(IFERROR(vlookup('Ingest Template'!F332,DropDown!D:E,2,false)&amp;'Ingest Template'!C332,""))</f>
        <v/>
      </c>
      <c r="X332" s="25" t="str">
        <f>'Ingest Template'!AA331</f>
        <v/>
      </c>
      <c r="Y332" s="25"/>
      <c r="Z332" s="25"/>
      <c r="AA332" s="25"/>
      <c r="AB332" s="25" t="str">
        <f>'Ingest Template'!T331</f>
        <v/>
      </c>
      <c r="AC332" s="25"/>
      <c r="AD332" s="25" t="str">
        <f>'Ingest Template'!U331</f>
        <v/>
      </c>
      <c r="AE332" s="25" t="str">
        <f>'Ingest Template'!V331</f>
        <v/>
      </c>
      <c r="AF332" s="25"/>
      <c r="AG332" s="25" t="str">
        <f t="array" ref="AG332">IF('Ingest Template'!A331="Standard",(CONCATENATE(IF(ISBLANK('Ingest Template'!O331),"", 'Ingest Template'!O331&amp;"|DAR"),CHAR(10), IF(ISBLANK('Ingest Template'!P331),"", 'Ingest Template'!P331&amp;"|DAR"),CHAR(10), IF(ISBLANK('Ingest Template'!Q331),"", 'Ingest Template'!Q331&amp;"|DAR"))),(CONCATENATE(IF(ISBLANK('Ingest Template'!O331),"", 'Ingest Template'!O331&amp;"|Operations - Core Title"),CHAR(10), IF(ISBLANK('Ingest Template'!P331),"", 'Ingest Template'!P331&amp;"|Operations - Core Title"),CHAR(10), IF(ISBLANK('Ingest Template'!Q331),"", 'Ingest Template'!Q331&amp;"|Operations - Core Title"))))</f>
        <v>#|Operations - Core Title
#videoGame|Operations - Core Title
</v>
      </c>
      <c r="AH332" s="25"/>
      <c r="AI332" s="25"/>
      <c r="AJ332" s="50" t="str">
        <f>if('Ingest Template'!A331="Standard",'Ingest Template'!R331&amp; "|DAR|DAR|2021-01-01",'Ingest Template'!R331&amp; "|Operations - Core Title|Operations - Core Title")</f>
        <v>#N/A</v>
      </c>
      <c r="AK332" s="25"/>
      <c r="AL332" s="25" t="str">
        <f>if('Ingest Template'!A331="Standard",'Ingest Template'!S331&amp; "|2021-01-01",'Ingest Template'!S331)</f>
        <v>#N/A</v>
      </c>
      <c r="AM332" s="25"/>
    </row>
    <row r="333">
      <c r="A333" s="25"/>
      <c r="B333" s="25" t="str">
        <f>'Ingest Template'!C332&amp;IF('Ingest Template'!A332 = "Standard", " - DAR","")</f>
        <v/>
      </c>
      <c r="C333" s="34" t="s">
        <v>92</v>
      </c>
      <c r="D333" s="34" t="str">
        <f>CONCATENATE('Ingest Template'!E333&amp;Char(10)&amp;'Ingest Template'!G333&amp;Char(10)&amp;'Ingest Template'!H333&amp;Char(10)&amp;'Ingest Template'!I333&amp;Char(10)&amp;'Ingest Template'!J333&amp;Char(10)&amp;'Ingest Template'!K333&amp;Char(10)&amp;'Ingest Template'!L333)</f>
        <v>
</v>
      </c>
      <c r="E333" s="25" t="str">
        <f>('Ingest Template'!M333)</f>
        <v/>
      </c>
      <c r="F333" s="40" t="str">
        <f t="array" ref="F333">INDEX(DropDown!$J$2:$J$63,MATCH(1,COUNTIF(E333,DropDown!$I$2:$I$63),0))</f>
        <v>#N/A</v>
      </c>
      <c r="G333" s="25"/>
      <c r="H333" s="25"/>
      <c r="I333" s="25"/>
      <c r="J333" s="25" t="str">
        <f>'Ingest Template'!B333</f>
        <v/>
      </c>
      <c r="K333" s="25" t="str">
        <f>IF('Ingest Template'!A332="Standard",'Ingest Template'!N332,"Competitive View")</f>
        <v>Competitive View</v>
      </c>
      <c r="L333" s="41" t="s">
        <v>145</v>
      </c>
      <c r="M333" s="25" t="str">
        <f>'Ingest Template'!D332</f>
        <v/>
      </c>
      <c r="N333" s="25"/>
      <c r="O333" s="25"/>
      <c r="P333" s="25"/>
      <c r="Q333" s="25"/>
      <c r="R333" s="25" t="str">
        <f>CONCATENATE('Ingest Template'!F332)</f>
        <v/>
      </c>
      <c r="S333" s="43" t="s">
        <v>160</v>
      </c>
      <c r="T333" s="25" t="str">
        <f>'Ingest Template'!W332</f>
        <v/>
      </c>
      <c r="U333" s="25"/>
      <c r="V333" s="25" t="str">
        <f>LOWER(SUBSTITUTE(SUBSTITUTE(SUBSTITUTE(SUBSTITUTE(SUBSTITUTE('Ingest Template'!Y332,"https:",""),"www.",""),"/",""),"?hl=en",""),"instagram.com",""))</f>
        <v/>
      </c>
      <c r="W333" s="34" t="str">
        <f>(IFERROR(vlookup('Ingest Template'!F333,DropDown!D:E,2,false)&amp;'Ingest Template'!C333,""))</f>
        <v/>
      </c>
      <c r="X333" s="25" t="str">
        <f>'Ingest Template'!AA332</f>
        <v/>
      </c>
      <c r="Y333" s="25"/>
      <c r="Z333" s="25"/>
      <c r="AA333" s="25"/>
      <c r="AB333" s="25" t="str">
        <f>'Ingest Template'!T332</f>
        <v/>
      </c>
      <c r="AC333" s="25"/>
      <c r="AD333" s="25" t="str">
        <f>'Ingest Template'!U332</f>
        <v/>
      </c>
      <c r="AE333" s="25" t="str">
        <f>'Ingest Template'!V332</f>
        <v/>
      </c>
      <c r="AF333" s="25"/>
      <c r="AG333" s="25" t="str">
        <f t="array" ref="AG333">IF('Ingest Template'!A332="Standard",(CONCATENATE(IF(ISBLANK('Ingest Template'!O332),"", 'Ingest Template'!O332&amp;"|DAR"),CHAR(10), IF(ISBLANK('Ingest Template'!P332),"", 'Ingest Template'!P332&amp;"|DAR"),CHAR(10), IF(ISBLANK('Ingest Template'!Q332),"", 'Ingest Template'!Q332&amp;"|DAR"))),(CONCATENATE(IF(ISBLANK('Ingest Template'!O332),"", 'Ingest Template'!O332&amp;"|Operations - Core Title"),CHAR(10), IF(ISBLANK('Ingest Template'!P332),"", 'Ingest Template'!P332&amp;"|Operations - Core Title"),CHAR(10), IF(ISBLANK('Ingest Template'!Q332),"", 'Ingest Template'!Q332&amp;"|Operations - Core Title"))))</f>
        <v>#|Operations - Core Title
#videoGame|Operations - Core Title
</v>
      </c>
      <c r="AH333" s="25"/>
      <c r="AI333" s="25"/>
      <c r="AJ333" s="50" t="str">
        <f>if('Ingest Template'!A332="Standard",'Ingest Template'!R332&amp; "|DAR|DAR|2021-01-01",'Ingest Template'!R332&amp; "|Operations - Core Title|Operations - Core Title")</f>
        <v>#N/A</v>
      </c>
      <c r="AK333" s="25"/>
      <c r="AL333" s="25" t="str">
        <f>if('Ingest Template'!A332="Standard",'Ingest Template'!S332&amp; "|2021-01-01",'Ingest Template'!S332)</f>
        <v>#N/A</v>
      </c>
      <c r="AM333" s="25"/>
    </row>
    <row r="334">
      <c r="A334" s="25"/>
      <c r="B334" s="25" t="str">
        <f>'Ingest Template'!C333&amp;IF('Ingest Template'!A333 = "Standard", " - DAR","")</f>
        <v/>
      </c>
      <c r="C334" s="34" t="s">
        <v>92</v>
      </c>
      <c r="D334" s="34" t="str">
        <f>CONCATENATE('Ingest Template'!E334&amp;Char(10)&amp;'Ingest Template'!G334&amp;Char(10)&amp;'Ingest Template'!H334&amp;Char(10)&amp;'Ingest Template'!I334&amp;Char(10)&amp;'Ingest Template'!J334&amp;Char(10)&amp;'Ingest Template'!K334&amp;Char(10)&amp;'Ingest Template'!L334)</f>
        <v>
</v>
      </c>
      <c r="E334" s="25" t="str">
        <f>('Ingest Template'!M334)</f>
        <v/>
      </c>
      <c r="F334" s="40" t="str">
        <f t="array" ref="F334">INDEX(DropDown!$J$2:$J$63,MATCH(1,COUNTIF(E334,DropDown!$I$2:$I$63),0))</f>
        <v>#N/A</v>
      </c>
      <c r="G334" s="25"/>
      <c r="H334" s="25"/>
      <c r="I334" s="25"/>
      <c r="J334" s="25" t="str">
        <f>'Ingest Template'!B334</f>
        <v/>
      </c>
      <c r="K334" s="25" t="str">
        <f>IF('Ingest Template'!A333="Standard",'Ingest Template'!N333,"Competitive View")</f>
        <v>Competitive View</v>
      </c>
      <c r="L334" s="41" t="s">
        <v>145</v>
      </c>
      <c r="M334" s="25" t="str">
        <f>'Ingest Template'!D333</f>
        <v/>
      </c>
      <c r="N334" s="25"/>
      <c r="O334" s="25"/>
      <c r="P334" s="25"/>
      <c r="Q334" s="25"/>
      <c r="R334" s="25" t="str">
        <f>CONCATENATE('Ingest Template'!F333)</f>
        <v/>
      </c>
      <c r="S334" s="43" t="s">
        <v>160</v>
      </c>
      <c r="T334" s="25" t="str">
        <f>'Ingest Template'!W333</f>
        <v/>
      </c>
      <c r="U334" s="25"/>
      <c r="V334" s="25" t="str">
        <f>LOWER(SUBSTITUTE(SUBSTITUTE(SUBSTITUTE(SUBSTITUTE(SUBSTITUTE('Ingest Template'!Y333,"https:",""),"www.",""),"/",""),"?hl=en",""),"instagram.com",""))</f>
        <v/>
      </c>
      <c r="W334" s="34" t="str">
        <f>(IFERROR(vlookup('Ingest Template'!F334,DropDown!D:E,2,false)&amp;'Ingest Template'!C334,""))</f>
        <v/>
      </c>
      <c r="X334" s="25" t="str">
        <f>'Ingest Template'!AA333</f>
        <v/>
      </c>
      <c r="Y334" s="25"/>
      <c r="Z334" s="25"/>
      <c r="AA334" s="25"/>
      <c r="AB334" s="25" t="str">
        <f>'Ingest Template'!T333</f>
        <v/>
      </c>
      <c r="AC334" s="25"/>
      <c r="AD334" s="25" t="str">
        <f>'Ingest Template'!U333</f>
        <v/>
      </c>
      <c r="AE334" s="25" t="str">
        <f>'Ingest Template'!V333</f>
        <v/>
      </c>
      <c r="AF334" s="25"/>
      <c r="AG334" s="25" t="str">
        <f t="array" ref="AG334">IF('Ingest Template'!A333="Standard",(CONCATENATE(IF(ISBLANK('Ingest Template'!O333),"", 'Ingest Template'!O333&amp;"|DAR"),CHAR(10), IF(ISBLANK('Ingest Template'!P333),"", 'Ingest Template'!P333&amp;"|DAR"),CHAR(10), IF(ISBLANK('Ingest Template'!Q333),"", 'Ingest Template'!Q333&amp;"|DAR"))),(CONCATENATE(IF(ISBLANK('Ingest Template'!O333),"", 'Ingest Template'!O333&amp;"|Operations - Core Title"),CHAR(10), IF(ISBLANK('Ingest Template'!P333),"", 'Ingest Template'!P333&amp;"|Operations - Core Title"),CHAR(10), IF(ISBLANK('Ingest Template'!Q333),"", 'Ingest Template'!Q333&amp;"|Operations - Core Title"))))</f>
        <v>#|Operations - Core Title
#videoGame|Operations - Core Title
</v>
      </c>
      <c r="AH334" s="25"/>
      <c r="AI334" s="25"/>
      <c r="AJ334" s="50" t="str">
        <f>if('Ingest Template'!A333="Standard",'Ingest Template'!R333&amp; "|DAR|DAR|2021-01-01",'Ingest Template'!R333&amp; "|Operations - Core Title|Operations - Core Title")</f>
        <v>#N/A</v>
      </c>
      <c r="AK334" s="25"/>
      <c r="AL334" s="25" t="str">
        <f>if('Ingest Template'!A333="Standard",'Ingest Template'!S333&amp; "|2021-01-01",'Ingest Template'!S333)</f>
        <v>#N/A</v>
      </c>
      <c r="AM334" s="25"/>
    </row>
    <row r="335">
      <c r="A335" s="25"/>
      <c r="B335" s="25" t="str">
        <f>'Ingest Template'!C334&amp;IF('Ingest Template'!A334 = "Standard", " - DAR","")</f>
        <v/>
      </c>
      <c r="C335" s="34" t="s">
        <v>92</v>
      </c>
      <c r="D335" s="34" t="str">
        <f>CONCATENATE('Ingest Template'!E335&amp;Char(10)&amp;'Ingest Template'!G335&amp;Char(10)&amp;'Ingest Template'!H335&amp;Char(10)&amp;'Ingest Template'!I335&amp;Char(10)&amp;'Ingest Template'!J335&amp;Char(10)&amp;'Ingest Template'!K335&amp;Char(10)&amp;'Ingest Template'!L335)</f>
        <v>
</v>
      </c>
      <c r="E335" s="25" t="str">
        <f>('Ingest Template'!M335)</f>
        <v/>
      </c>
      <c r="F335" s="40" t="str">
        <f t="array" ref="F335">INDEX(DropDown!$J$2:$J$63,MATCH(1,COUNTIF(E335,DropDown!$I$2:$I$63),0))</f>
        <v>#N/A</v>
      </c>
      <c r="G335" s="25"/>
      <c r="H335" s="25"/>
      <c r="I335" s="25"/>
      <c r="J335" s="25" t="str">
        <f>'Ingest Template'!B335</f>
        <v/>
      </c>
      <c r="K335" s="25" t="str">
        <f>IF('Ingest Template'!A334="Standard",'Ingest Template'!N334,"Competitive View")</f>
        <v>Competitive View</v>
      </c>
      <c r="L335" s="41" t="s">
        <v>145</v>
      </c>
      <c r="M335" s="25" t="str">
        <f>'Ingest Template'!D334</f>
        <v/>
      </c>
      <c r="N335" s="25"/>
      <c r="O335" s="25"/>
      <c r="P335" s="25"/>
      <c r="Q335" s="25"/>
      <c r="R335" s="25" t="str">
        <f>CONCATENATE('Ingest Template'!F334)</f>
        <v/>
      </c>
      <c r="S335" s="43" t="s">
        <v>160</v>
      </c>
      <c r="T335" s="25" t="str">
        <f>'Ingest Template'!W334</f>
        <v/>
      </c>
      <c r="U335" s="25"/>
      <c r="V335" s="25" t="str">
        <f>LOWER(SUBSTITUTE(SUBSTITUTE(SUBSTITUTE(SUBSTITUTE(SUBSTITUTE('Ingest Template'!Y334,"https:",""),"www.",""),"/",""),"?hl=en",""),"instagram.com",""))</f>
        <v/>
      </c>
      <c r="W335" s="34" t="str">
        <f>(IFERROR(vlookup('Ingest Template'!F335,DropDown!D:E,2,false)&amp;'Ingest Template'!C335,""))</f>
        <v/>
      </c>
      <c r="X335" s="25" t="str">
        <f>'Ingest Template'!AA334</f>
        <v/>
      </c>
      <c r="Y335" s="25"/>
      <c r="Z335" s="25"/>
      <c r="AA335" s="25"/>
      <c r="AB335" s="25" t="str">
        <f>'Ingest Template'!T334</f>
        <v/>
      </c>
      <c r="AC335" s="25"/>
      <c r="AD335" s="25" t="str">
        <f>'Ingest Template'!U334</f>
        <v/>
      </c>
      <c r="AE335" s="25" t="str">
        <f>'Ingest Template'!V334</f>
        <v/>
      </c>
      <c r="AF335" s="25"/>
      <c r="AG335" s="25" t="str">
        <f t="array" ref="AG335">IF('Ingest Template'!A334="Standard",(CONCATENATE(IF(ISBLANK('Ingest Template'!O334),"", 'Ingest Template'!O334&amp;"|DAR"),CHAR(10), IF(ISBLANK('Ingest Template'!P334),"", 'Ingest Template'!P334&amp;"|DAR"),CHAR(10), IF(ISBLANK('Ingest Template'!Q334),"", 'Ingest Template'!Q334&amp;"|DAR"))),(CONCATENATE(IF(ISBLANK('Ingest Template'!O334),"", 'Ingest Template'!O334&amp;"|Operations - Core Title"),CHAR(10), IF(ISBLANK('Ingest Template'!P334),"", 'Ingest Template'!P334&amp;"|Operations - Core Title"),CHAR(10), IF(ISBLANK('Ingest Template'!Q334),"", 'Ingest Template'!Q334&amp;"|Operations - Core Title"))))</f>
        <v>#|Operations - Core Title
#videoGame|Operations - Core Title
</v>
      </c>
      <c r="AH335" s="25"/>
      <c r="AI335" s="25"/>
      <c r="AJ335" s="50" t="str">
        <f>if('Ingest Template'!A334="Standard",'Ingest Template'!R334&amp; "|DAR|DAR|2021-01-01",'Ingest Template'!R334&amp; "|Operations - Core Title|Operations - Core Title")</f>
        <v>#N/A</v>
      </c>
      <c r="AK335" s="25"/>
      <c r="AL335" s="25" t="str">
        <f>if('Ingest Template'!A334="Standard",'Ingest Template'!S334&amp; "|2021-01-01",'Ingest Template'!S334)</f>
        <v>#N/A</v>
      </c>
      <c r="AM335" s="25"/>
    </row>
    <row r="336">
      <c r="A336" s="25"/>
      <c r="B336" s="25" t="str">
        <f>'Ingest Template'!C335&amp;IF('Ingest Template'!A335 = "Standard", " - DAR","")</f>
        <v/>
      </c>
      <c r="C336" s="34" t="s">
        <v>92</v>
      </c>
      <c r="D336" s="34" t="str">
        <f>CONCATENATE('Ingest Template'!E336&amp;Char(10)&amp;'Ingest Template'!G336&amp;Char(10)&amp;'Ingest Template'!H336&amp;Char(10)&amp;'Ingest Template'!I336&amp;Char(10)&amp;'Ingest Template'!J336&amp;Char(10)&amp;'Ingest Template'!K336&amp;Char(10)&amp;'Ingest Template'!L336)</f>
        <v>
</v>
      </c>
      <c r="E336" s="25" t="str">
        <f>('Ingest Template'!M336)</f>
        <v/>
      </c>
      <c r="F336" s="40" t="str">
        <f t="array" ref="F336">INDEX(DropDown!$J$2:$J$63,MATCH(1,COUNTIF(E336,DropDown!$I$2:$I$63),0))</f>
        <v>#N/A</v>
      </c>
      <c r="G336" s="25"/>
      <c r="H336" s="25"/>
      <c r="I336" s="25"/>
      <c r="J336" s="25" t="str">
        <f>'Ingest Template'!B336</f>
        <v/>
      </c>
      <c r="K336" s="25" t="str">
        <f>IF('Ingest Template'!A335="Standard",'Ingest Template'!N335,"Competitive View")</f>
        <v>Competitive View</v>
      </c>
      <c r="L336" s="41" t="s">
        <v>145</v>
      </c>
      <c r="M336" s="25" t="str">
        <f>'Ingest Template'!D335</f>
        <v/>
      </c>
      <c r="N336" s="25"/>
      <c r="O336" s="25"/>
      <c r="P336" s="25"/>
      <c r="Q336" s="25"/>
      <c r="R336" s="25" t="str">
        <f>CONCATENATE('Ingest Template'!F335)</f>
        <v/>
      </c>
      <c r="S336" s="43" t="s">
        <v>160</v>
      </c>
      <c r="T336" s="25" t="str">
        <f>'Ingest Template'!W335</f>
        <v/>
      </c>
      <c r="U336" s="25"/>
      <c r="V336" s="25" t="str">
        <f>LOWER(SUBSTITUTE(SUBSTITUTE(SUBSTITUTE(SUBSTITUTE(SUBSTITUTE('Ingest Template'!Y335,"https:",""),"www.",""),"/",""),"?hl=en",""),"instagram.com",""))</f>
        <v/>
      </c>
      <c r="W336" s="34" t="str">
        <f>(IFERROR(vlookup('Ingest Template'!F336,DropDown!D:E,2,false)&amp;'Ingest Template'!C336,""))</f>
        <v/>
      </c>
      <c r="X336" s="25" t="str">
        <f>'Ingest Template'!AA335</f>
        <v/>
      </c>
      <c r="Y336" s="25"/>
      <c r="Z336" s="25"/>
      <c r="AA336" s="25"/>
      <c r="AB336" s="25" t="str">
        <f>'Ingest Template'!T335</f>
        <v/>
      </c>
      <c r="AC336" s="25"/>
      <c r="AD336" s="25" t="str">
        <f>'Ingest Template'!U335</f>
        <v/>
      </c>
      <c r="AE336" s="25" t="str">
        <f>'Ingest Template'!V335</f>
        <v/>
      </c>
      <c r="AF336" s="25"/>
      <c r="AG336" s="25" t="str">
        <f t="array" ref="AG336">IF('Ingest Template'!A335="Standard",(CONCATENATE(IF(ISBLANK('Ingest Template'!O335),"", 'Ingest Template'!O335&amp;"|DAR"),CHAR(10), IF(ISBLANK('Ingest Template'!P335),"", 'Ingest Template'!P335&amp;"|DAR"),CHAR(10), IF(ISBLANK('Ingest Template'!Q335),"", 'Ingest Template'!Q335&amp;"|DAR"))),(CONCATENATE(IF(ISBLANK('Ingest Template'!O335),"", 'Ingest Template'!O335&amp;"|Operations - Core Title"),CHAR(10), IF(ISBLANK('Ingest Template'!P335),"", 'Ingest Template'!P335&amp;"|Operations - Core Title"),CHAR(10), IF(ISBLANK('Ingest Template'!Q335),"", 'Ingest Template'!Q335&amp;"|Operations - Core Title"))))</f>
        <v>#|Operations - Core Title
#videoGame|Operations - Core Title
</v>
      </c>
      <c r="AH336" s="25"/>
      <c r="AI336" s="25"/>
      <c r="AJ336" s="50" t="str">
        <f>if('Ingest Template'!A335="Standard",'Ingest Template'!R335&amp; "|DAR|DAR|2021-01-01",'Ingest Template'!R335&amp; "|Operations - Core Title|Operations - Core Title")</f>
        <v>#N/A</v>
      </c>
      <c r="AK336" s="25"/>
      <c r="AL336" s="25" t="str">
        <f>if('Ingest Template'!A335="Standard",'Ingest Template'!S335&amp; "|2021-01-01",'Ingest Template'!S335)</f>
        <v>#N/A</v>
      </c>
      <c r="AM336" s="25"/>
    </row>
    <row r="337">
      <c r="A337" s="25"/>
      <c r="B337" s="25" t="str">
        <f>'Ingest Template'!C336&amp;IF('Ingest Template'!A336 = "Standard", " - DAR","")</f>
        <v/>
      </c>
      <c r="C337" s="34" t="s">
        <v>92</v>
      </c>
      <c r="D337" s="34" t="str">
        <f>CONCATENATE('Ingest Template'!E337&amp;Char(10)&amp;'Ingest Template'!G337&amp;Char(10)&amp;'Ingest Template'!H337&amp;Char(10)&amp;'Ingest Template'!I337&amp;Char(10)&amp;'Ingest Template'!J337&amp;Char(10)&amp;'Ingest Template'!K337&amp;Char(10)&amp;'Ingest Template'!L337)</f>
        <v>
</v>
      </c>
      <c r="E337" s="25" t="str">
        <f>('Ingest Template'!M337)</f>
        <v/>
      </c>
      <c r="F337" s="40" t="str">
        <f t="array" ref="F337">INDEX(DropDown!$J$2:$J$63,MATCH(1,COUNTIF(E337,DropDown!$I$2:$I$63),0))</f>
        <v>#N/A</v>
      </c>
      <c r="G337" s="25"/>
      <c r="H337" s="25"/>
      <c r="I337" s="25"/>
      <c r="J337" s="25" t="str">
        <f>'Ingest Template'!B337</f>
        <v/>
      </c>
      <c r="K337" s="25" t="str">
        <f>IF('Ingest Template'!A336="Standard",'Ingest Template'!N336,"Competitive View")</f>
        <v>Competitive View</v>
      </c>
      <c r="L337" s="41" t="s">
        <v>145</v>
      </c>
      <c r="M337" s="25" t="str">
        <f>'Ingest Template'!D336</f>
        <v/>
      </c>
      <c r="N337" s="25"/>
      <c r="O337" s="25"/>
      <c r="P337" s="25"/>
      <c r="Q337" s="25"/>
      <c r="R337" s="25" t="str">
        <f>CONCATENATE('Ingest Template'!F336)</f>
        <v/>
      </c>
      <c r="S337" s="43" t="s">
        <v>160</v>
      </c>
      <c r="T337" s="25" t="str">
        <f>'Ingest Template'!W336</f>
        <v/>
      </c>
      <c r="U337" s="25"/>
      <c r="V337" s="25" t="str">
        <f>LOWER(SUBSTITUTE(SUBSTITUTE(SUBSTITUTE(SUBSTITUTE(SUBSTITUTE('Ingest Template'!Y336,"https:",""),"www.",""),"/",""),"?hl=en",""),"instagram.com",""))</f>
        <v/>
      </c>
      <c r="W337" s="34" t="str">
        <f>(IFERROR(vlookup('Ingest Template'!F337,DropDown!D:E,2,false)&amp;'Ingest Template'!C337,""))</f>
        <v/>
      </c>
      <c r="X337" s="25" t="str">
        <f>'Ingest Template'!AA336</f>
        <v/>
      </c>
      <c r="Y337" s="25"/>
      <c r="Z337" s="25"/>
      <c r="AA337" s="25"/>
      <c r="AB337" s="25" t="str">
        <f>'Ingest Template'!T336</f>
        <v/>
      </c>
      <c r="AC337" s="25"/>
      <c r="AD337" s="25" t="str">
        <f>'Ingest Template'!U336</f>
        <v/>
      </c>
      <c r="AE337" s="25" t="str">
        <f>'Ingest Template'!V336</f>
        <v/>
      </c>
      <c r="AF337" s="25"/>
      <c r="AG337" s="25" t="str">
        <f t="array" ref="AG337">IF('Ingest Template'!A336="Standard",(CONCATENATE(IF(ISBLANK('Ingest Template'!O336),"", 'Ingest Template'!O336&amp;"|DAR"),CHAR(10), IF(ISBLANK('Ingest Template'!P336),"", 'Ingest Template'!P336&amp;"|DAR"),CHAR(10), IF(ISBLANK('Ingest Template'!Q336),"", 'Ingest Template'!Q336&amp;"|DAR"))),(CONCATENATE(IF(ISBLANK('Ingest Template'!O336),"", 'Ingest Template'!O336&amp;"|Operations - Core Title"),CHAR(10), IF(ISBLANK('Ingest Template'!P336),"", 'Ingest Template'!P336&amp;"|Operations - Core Title"),CHAR(10), IF(ISBLANK('Ingest Template'!Q336),"", 'Ingest Template'!Q336&amp;"|Operations - Core Title"))))</f>
        <v>#|Operations - Core Title
#videoGame|Operations - Core Title
</v>
      </c>
      <c r="AH337" s="25"/>
      <c r="AI337" s="25"/>
      <c r="AJ337" s="50" t="str">
        <f>if('Ingest Template'!A336="Standard",'Ingest Template'!R336&amp; "|DAR|DAR|2021-01-01",'Ingest Template'!R336&amp; "|Operations - Core Title|Operations - Core Title")</f>
        <v>#N/A</v>
      </c>
      <c r="AK337" s="25"/>
      <c r="AL337" s="25" t="str">
        <f>if('Ingest Template'!A336="Standard",'Ingest Template'!S336&amp; "|2021-01-01",'Ingest Template'!S336)</f>
        <v>#N/A</v>
      </c>
      <c r="AM337" s="25"/>
    </row>
    <row r="338">
      <c r="A338" s="25"/>
      <c r="B338" s="25" t="str">
        <f>'Ingest Template'!C337&amp;IF('Ingest Template'!A337 = "Standard", " - DAR","")</f>
        <v/>
      </c>
      <c r="C338" s="34" t="s">
        <v>92</v>
      </c>
      <c r="D338" s="34" t="str">
        <f>CONCATENATE('Ingest Template'!E338&amp;Char(10)&amp;'Ingest Template'!G338&amp;Char(10)&amp;'Ingest Template'!H338&amp;Char(10)&amp;'Ingest Template'!I338&amp;Char(10)&amp;'Ingest Template'!J338&amp;Char(10)&amp;'Ingest Template'!K338&amp;Char(10)&amp;'Ingest Template'!L338)</f>
        <v>
</v>
      </c>
      <c r="E338" s="25" t="str">
        <f>('Ingest Template'!M338)</f>
        <v/>
      </c>
      <c r="F338" s="40" t="str">
        <f t="array" ref="F338">INDEX(DropDown!$J$2:$J$63,MATCH(1,COUNTIF(E338,DropDown!$I$2:$I$63),0))</f>
        <v>#N/A</v>
      </c>
      <c r="G338" s="25"/>
      <c r="H338" s="25"/>
      <c r="I338" s="25"/>
      <c r="J338" s="25" t="str">
        <f>'Ingest Template'!B338</f>
        <v/>
      </c>
      <c r="K338" s="25" t="str">
        <f>IF('Ingest Template'!A337="Standard",'Ingest Template'!N337,"Competitive View")</f>
        <v>Competitive View</v>
      </c>
      <c r="L338" s="41" t="s">
        <v>145</v>
      </c>
      <c r="M338" s="25" t="str">
        <f>'Ingest Template'!D337</f>
        <v/>
      </c>
      <c r="N338" s="25"/>
      <c r="O338" s="25"/>
      <c r="P338" s="25"/>
      <c r="Q338" s="25"/>
      <c r="R338" s="25" t="str">
        <f>CONCATENATE('Ingest Template'!F337)</f>
        <v/>
      </c>
      <c r="S338" s="43" t="s">
        <v>160</v>
      </c>
      <c r="T338" s="25" t="str">
        <f>'Ingest Template'!W337</f>
        <v/>
      </c>
      <c r="U338" s="25"/>
      <c r="V338" s="25" t="str">
        <f>LOWER(SUBSTITUTE(SUBSTITUTE(SUBSTITUTE(SUBSTITUTE(SUBSTITUTE('Ingest Template'!Y337,"https:",""),"www.",""),"/",""),"?hl=en",""),"instagram.com",""))</f>
        <v/>
      </c>
      <c r="W338" s="34" t="str">
        <f>(IFERROR(vlookup('Ingest Template'!F338,DropDown!D:E,2,false)&amp;'Ingest Template'!C338,""))</f>
        <v/>
      </c>
      <c r="X338" s="25" t="str">
        <f>'Ingest Template'!AA337</f>
        <v/>
      </c>
      <c r="Y338" s="25"/>
      <c r="Z338" s="25"/>
      <c r="AA338" s="25"/>
      <c r="AB338" s="25" t="str">
        <f>'Ingest Template'!T337</f>
        <v/>
      </c>
      <c r="AC338" s="25"/>
      <c r="AD338" s="25" t="str">
        <f>'Ingest Template'!U337</f>
        <v/>
      </c>
      <c r="AE338" s="25" t="str">
        <f>'Ingest Template'!V337</f>
        <v/>
      </c>
      <c r="AF338" s="25"/>
      <c r="AG338" s="25" t="str">
        <f t="array" ref="AG338">IF('Ingest Template'!A337="Standard",(CONCATENATE(IF(ISBLANK('Ingest Template'!O337),"", 'Ingest Template'!O337&amp;"|DAR"),CHAR(10), IF(ISBLANK('Ingest Template'!P337),"", 'Ingest Template'!P337&amp;"|DAR"),CHAR(10), IF(ISBLANK('Ingest Template'!Q337),"", 'Ingest Template'!Q337&amp;"|DAR"))),(CONCATENATE(IF(ISBLANK('Ingest Template'!O337),"", 'Ingest Template'!O337&amp;"|Operations - Core Title"),CHAR(10), IF(ISBLANK('Ingest Template'!P337),"", 'Ingest Template'!P337&amp;"|Operations - Core Title"),CHAR(10), IF(ISBLANK('Ingest Template'!Q337),"", 'Ingest Template'!Q337&amp;"|Operations - Core Title"))))</f>
        <v>#|Operations - Core Title
#videoGame|Operations - Core Title
</v>
      </c>
      <c r="AH338" s="25"/>
      <c r="AI338" s="25"/>
      <c r="AJ338" s="50" t="str">
        <f>if('Ingest Template'!A337="Standard",'Ingest Template'!R337&amp; "|DAR|DAR|2021-01-01",'Ingest Template'!R337&amp; "|Operations - Core Title|Operations - Core Title")</f>
        <v>#N/A</v>
      </c>
      <c r="AK338" s="25"/>
      <c r="AL338" s="25" t="str">
        <f>if('Ingest Template'!A337="Standard",'Ingest Template'!S337&amp; "|2021-01-01",'Ingest Template'!S337)</f>
        <v>#N/A</v>
      </c>
      <c r="AM338" s="25"/>
    </row>
    <row r="339">
      <c r="A339" s="25"/>
      <c r="B339" s="25" t="str">
        <f>'Ingest Template'!C338&amp;IF('Ingest Template'!A338 = "Standard", " - DAR","")</f>
        <v/>
      </c>
      <c r="C339" s="34" t="s">
        <v>92</v>
      </c>
      <c r="D339" s="34" t="str">
        <f>CONCATENATE('Ingest Template'!E339&amp;Char(10)&amp;'Ingest Template'!G339&amp;Char(10)&amp;'Ingest Template'!H339&amp;Char(10)&amp;'Ingest Template'!I339&amp;Char(10)&amp;'Ingest Template'!J339&amp;Char(10)&amp;'Ingest Template'!K339&amp;Char(10)&amp;'Ingest Template'!L339)</f>
        <v>
</v>
      </c>
      <c r="E339" s="25" t="str">
        <f>('Ingest Template'!M339)</f>
        <v/>
      </c>
      <c r="F339" s="40" t="str">
        <f t="array" ref="F339">INDEX(DropDown!$J$2:$J$63,MATCH(1,COUNTIF(E339,DropDown!$I$2:$I$63),0))</f>
        <v>#N/A</v>
      </c>
      <c r="G339" s="25"/>
      <c r="H339" s="25"/>
      <c r="I339" s="25"/>
      <c r="J339" s="25" t="str">
        <f>'Ingest Template'!B339</f>
        <v/>
      </c>
      <c r="K339" s="25" t="str">
        <f>IF('Ingest Template'!A338="Standard",'Ingest Template'!N338,"Competitive View")</f>
        <v>Competitive View</v>
      </c>
      <c r="L339" s="41" t="s">
        <v>145</v>
      </c>
      <c r="M339" s="25" t="str">
        <f>'Ingest Template'!D338</f>
        <v/>
      </c>
      <c r="N339" s="25"/>
      <c r="O339" s="25"/>
      <c r="P339" s="25"/>
      <c r="Q339" s="25"/>
      <c r="R339" s="25" t="str">
        <f>CONCATENATE('Ingest Template'!F338)</f>
        <v/>
      </c>
      <c r="S339" s="43" t="s">
        <v>160</v>
      </c>
      <c r="T339" s="25" t="str">
        <f>'Ingest Template'!W338</f>
        <v/>
      </c>
      <c r="U339" s="25"/>
      <c r="V339" s="25" t="str">
        <f>LOWER(SUBSTITUTE(SUBSTITUTE(SUBSTITUTE(SUBSTITUTE(SUBSTITUTE('Ingest Template'!Y338,"https:",""),"www.",""),"/",""),"?hl=en",""),"instagram.com",""))</f>
        <v/>
      </c>
      <c r="W339" s="34" t="str">
        <f>(IFERROR(vlookup('Ingest Template'!F339,DropDown!D:E,2,false)&amp;'Ingest Template'!C339,""))</f>
        <v/>
      </c>
      <c r="X339" s="25" t="str">
        <f>'Ingest Template'!AA338</f>
        <v/>
      </c>
      <c r="Y339" s="25"/>
      <c r="Z339" s="25"/>
      <c r="AA339" s="25"/>
      <c r="AB339" s="25" t="str">
        <f>'Ingest Template'!T338</f>
        <v/>
      </c>
      <c r="AC339" s="25"/>
      <c r="AD339" s="25" t="str">
        <f>'Ingest Template'!U338</f>
        <v/>
      </c>
      <c r="AE339" s="25" t="str">
        <f>'Ingest Template'!V338</f>
        <v/>
      </c>
      <c r="AF339" s="25"/>
      <c r="AG339" s="25" t="str">
        <f t="array" ref="AG339">IF('Ingest Template'!A338="Standard",(CONCATENATE(IF(ISBLANK('Ingest Template'!O338),"", 'Ingest Template'!O338&amp;"|DAR"),CHAR(10), IF(ISBLANK('Ingest Template'!P338),"", 'Ingest Template'!P338&amp;"|DAR"),CHAR(10), IF(ISBLANK('Ingest Template'!Q338),"", 'Ingest Template'!Q338&amp;"|DAR"))),(CONCATENATE(IF(ISBLANK('Ingest Template'!O338),"", 'Ingest Template'!O338&amp;"|Operations - Core Title"),CHAR(10), IF(ISBLANK('Ingest Template'!P338),"", 'Ingest Template'!P338&amp;"|Operations - Core Title"),CHAR(10), IF(ISBLANK('Ingest Template'!Q338),"", 'Ingest Template'!Q338&amp;"|Operations - Core Title"))))</f>
        <v>#|Operations - Core Title
#videoGame|Operations - Core Title
</v>
      </c>
      <c r="AH339" s="25"/>
      <c r="AI339" s="25"/>
      <c r="AJ339" s="50" t="str">
        <f>if('Ingest Template'!A338="Standard",'Ingest Template'!R338&amp; "|DAR|DAR|2021-01-01",'Ingest Template'!R338&amp; "|Operations - Core Title|Operations - Core Title")</f>
        <v>#N/A</v>
      </c>
      <c r="AK339" s="25"/>
      <c r="AL339" s="25" t="str">
        <f>if('Ingest Template'!A338="Standard",'Ingest Template'!S338&amp; "|2021-01-01",'Ingest Template'!S338)</f>
        <v>#N/A</v>
      </c>
      <c r="AM339" s="25"/>
    </row>
    <row r="340">
      <c r="A340" s="25"/>
      <c r="B340" s="25" t="str">
        <f>'Ingest Template'!C339&amp;IF('Ingest Template'!A339 = "Standard", " - DAR","")</f>
        <v/>
      </c>
      <c r="C340" s="34" t="s">
        <v>92</v>
      </c>
      <c r="D340" s="34" t="str">
        <f>CONCATENATE('Ingest Template'!E340&amp;Char(10)&amp;'Ingest Template'!G340&amp;Char(10)&amp;'Ingest Template'!H340&amp;Char(10)&amp;'Ingest Template'!I340&amp;Char(10)&amp;'Ingest Template'!J340&amp;Char(10)&amp;'Ingest Template'!K340&amp;Char(10)&amp;'Ingest Template'!L340)</f>
        <v>
</v>
      </c>
      <c r="E340" s="25" t="str">
        <f>('Ingest Template'!M340)</f>
        <v/>
      </c>
      <c r="F340" s="40" t="str">
        <f t="array" ref="F340">INDEX(DropDown!$J$2:$J$63,MATCH(1,COUNTIF(E340,DropDown!$I$2:$I$63),0))</f>
        <v>#N/A</v>
      </c>
      <c r="G340" s="25"/>
      <c r="H340" s="25"/>
      <c r="I340" s="25"/>
      <c r="J340" s="25" t="str">
        <f>'Ingest Template'!B340</f>
        <v/>
      </c>
      <c r="K340" s="25" t="str">
        <f>IF('Ingest Template'!A339="Standard",'Ingest Template'!N339,"Competitive View")</f>
        <v>Competitive View</v>
      </c>
      <c r="L340" s="41" t="s">
        <v>145</v>
      </c>
      <c r="M340" s="25" t="str">
        <f>'Ingest Template'!D339</f>
        <v/>
      </c>
      <c r="N340" s="25"/>
      <c r="O340" s="25"/>
      <c r="P340" s="25"/>
      <c r="Q340" s="25"/>
      <c r="R340" s="25" t="str">
        <f>CONCATENATE('Ingest Template'!F339)</f>
        <v/>
      </c>
      <c r="S340" s="43" t="s">
        <v>160</v>
      </c>
      <c r="T340" s="25" t="str">
        <f>'Ingest Template'!W339</f>
        <v/>
      </c>
      <c r="U340" s="25"/>
      <c r="V340" s="25" t="str">
        <f>LOWER(SUBSTITUTE(SUBSTITUTE(SUBSTITUTE(SUBSTITUTE(SUBSTITUTE('Ingest Template'!Y339,"https:",""),"www.",""),"/",""),"?hl=en",""),"instagram.com",""))</f>
        <v/>
      </c>
      <c r="W340" s="34" t="str">
        <f>(IFERROR(vlookup('Ingest Template'!F340,DropDown!D:E,2,false)&amp;'Ingest Template'!C340,""))</f>
        <v/>
      </c>
      <c r="X340" s="25" t="str">
        <f>'Ingest Template'!AA339</f>
        <v/>
      </c>
      <c r="Y340" s="25"/>
      <c r="Z340" s="25"/>
      <c r="AA340" s="25"/>
      <c r="AB340" s="25" t="str">
        <f>'Ingest Template'!T339</f>
        <v/>
      </c>
      <c r="AC340" s="25"/>
      <c r="AD340" s="25" t="str">
        <f>'Ingest Template'!U339</f>
        <v/>
      </c>
      <c r="AE340" s="25" t="str">
        <f>'Ingest Template'!V339</f>
        <v/>
      </c>
      <c r="AF340" s="25"/>
      <c r="AG340" s="25" t="str">
        <f t="array" ref="AG340">IF('Ingest Template'!A339="Standard",(CONCATENATE(IF(ISBLANK('Ingest Template'!O339),"", 'Ingest Template'!O339&amp;"|DAR"),CHAR(10), IF(ISBLANK('Ingest Template'!P339),"", 'Ingest Template'!P339&amp;"|DAR"),CHAR(10), IF(ISBLANK('Ingest Template'!Q339),"", 'Ingest Template'!Q339&amp;"|DAR"))),(CONCATENATE(IF(ISBLANK('Ingest Template'!O339),"", 'Ingest Template'!O339&amp;"|Operations - Core Title"),CHAR(10), IF(ISBLANK('Ingest Template'!P339),"", 'Ingest Template'!P339&amp;"|Operations - Core Title"),CHAR(10), IF(ISBLANK('Ingest Template'!Q339),"", 'Ingest Template'!Q339&amp;"|Operations - Core Title"))))</f>
        <v>#|Operations - Core Title
#videoGame|Operations - Core Title
</v>
      </c>
      <c r="AH340" s="25"/>
      <c r="AI340" s="25"/>
      <c r="AJ340" s="50" t="str">
        <f>if('Ingest Template'!A339="Standard",'Ingest Template'!R339&amp; "|DAR|DAR|2021-01-01",'Ingest Template'!R339&amp; "|Operations - Core Title|Operations - Core Title")</f>
        <v>#N/A</v>
      </c>
      <c r="AK340" s="25"/>
      <c r="AL340" s="25" t="str">
        <f>if('Ingest Template'!A339="Standard",'Ingest Template'!S339&amp; "|2021-01-01",'Ingest Template'!S339)</f>
        <v>#N/A</v>
      </c>
      <c r="AM340" s="25"/>
    </row>
    <row r="341">
      <c r="A341" s="25"/>
      <c r="B341" s="25" t="str">
        <f>'Ingest Template'!C340&amp;IF('Ingest Template'!A340 = "Standard", " - DAR","")</f>
        <v/>
      </c>
      <c r="C341" s="34" t="s">
        <v>92</v>
      </c>
      <c r="D341" s="34" t="str">
        <f>CONCATENATE('Ingest Template'!E341&amp;Char(10)&amp;'Ingest Template'!G341&amp;Char(10)&amp;'Ingest Template'!H341&amp;Char(10)&amp;'Ingest Template'!I341&amp;Char(10)&amp;'Ingest Template'!J341&amp;Char(10)&amp;'Ingest Template'!K341&amp;Char(10)&amp;'Ingest Template'!L341)</f>
        <v>
</v>
      </c>
      <c r="E341" s="25" t="str">
        <f>('Ingest Template'!M341)</f>
        <v/>
      </c>
      <c r="F341" s="40" t="str">
        <f t="array" ref="F341">INDEX(DropDown!$J$2:$J$63,MATCH(1,COUNTIF(E341,DropDown!$I$2:$I$63),0))</f>
        <v>#N/A</v>
      </c>
      <c r="G341" s="25"/>
      <c r="H341" s="25"/>
      <c r="I341" s="25"/>
      <c r="J341" s="25" t="str">
        <f>'Ingest Template'!B341</f>
        <v/>
      </c>
      <c r="K341" s="25" t="str">
        <f>IF('Ingest Template'!A340="Standard",'Ingest Template'!N340,"Competitive View")</f>
        <v>Competitive View</v>
      </c>
      <c r="L341" s="41" t="s">
        <v>145</v>
      </c>
      <c r="M341" s="25" t="str">
        <f>'Ingest Template'!D340</f>
        <v/>
      </c>
      <c r="N341" s="25"/>
      <c r="O341" s="25"/>
      <c r="P341" s="25"/>
      <c r="Q341" s="25"/>
      <c r="R341" s="25" t="str">
        <f>CONCATENATE('Ingest Template'!F340)</f>
        <v/>
      </c>
      <c r="S341" s="43" t="s">
        <v>160</v>
      </c>
      <c r="T341" s="25" t="str">
        <f>'Ingest Template'!W340</f>
        <v/>
      </c>
      <c r="U341" s="25"/>
      <c r="V341" s="25" t="str">
        <f>LOWER(SUBSTITUTE(SUBSTITUTE(SUBSTITUTE(SUBSTITUTE(SUBSTITUTE('Ingest Template'!Y340,"https:",""),"www.",""),"/",""),"?hl=en",""),"instagram.com",""))</f>
        <v/>
      </c>
      <c r="W341" s="34" t="str">
        <f>(IFERROR(vlookup('Ingest Template'!F341,DropDown!D:E,2,false)&amp;'Ingest Template'!C341,""))</f>
        <v/>
      </c>
      <c r="X341" s="25" t="str">
        <f>'Ingest Template'!AA340</f>
        <v/>
      </c>
      <c r="Y341" s="25"/>
      <c r="Z341" s="25"/>
      <c r="AA341" s="25"/>
      <c r="AB341" s="25" t="str">
        <f>'Ingest Template'!T340</f>
        <v/>
      </c>
      <c r="AC341" s="25"/>
      <c r="AD341" s="25" t="str">
        <f>'Ingest Template'!U340</f>
        <v/>
      </c>
      <c r="AE341" s="25" t="str">
        <f>'Ingest Template'!V340</f>
        <v/>
      </c>
      <c r="AF341" s="25"/>
      <c r="AG341" s="25" t="str">
        <f t="array" ref="AG341">IF('Ingest Template'!A340="Standard",(CONCATENATE(IF(ISBLANK('Ingest Template'!O340),"", 'Ingest Template'!O340&amp;"|DAR"),CHAR(10), IF(ISBLANK('Ingest Template'!P340),"", 'Ingest Template'!P340&amp;"|DAR"),CHAR(10), IF(ISBLANK('Ingest Template'!Q340),"", 'Ingest Template'!Q340&amp;"|DAR"))),(CONCATENATE(IF(ISBLANK('Ingest Template'!O340),"", 'Ingest Template'!O340&amp;"|Operations - Core Title"),CHAR(10), IF(ISBLANK('Ingest Template'!P340),"", 'Ingest Template'!P340&amp;"|Operations - Core Title"),CHAR(10), IF(ISBLANK('Ingest Template'!Q340),"", 'Ingest Template'!Q340&amp;"|Operations - Core Title"))))</f>
        <v>#|Operations - Core Title
#videoGame|Operations - Core Title
</v>
      </c>
      <c r="AH341" s="25"/>
      <c r="AI341" s="25"/>
      <c r="AJ341" s="50" t="str">
        <f>if('Ingest Template'!A340="Standard",'Ingest Template'!R340&amp; "|DAR|DAR|2021-01-01",'Ingest Template'!R340&amp; "|Operations - Core Title|Operations - Core Title")</f>
        <v>#N/A</v>
      </c>
      <c r="AK341" s="25"/>
      <c r="AL341" s="25" t="str">
        <f>if('Ingest Template'!A340="Standard",'Ingest Template'!S340&amp; "|2021-01-01",'Ingest Template'!S340)</f>
        <v>#N/A</v>
      </c>
      <c r="AM341" s="25"/>
    </row>
    <row r="342">
      <c r="A342" s="25"/>
      <c r="B342" s="25" t="str">
        <f>'Ingest Template'!C341&amp;IF('Ingest Template'!A341 = "Standard", " - DAR","")</f>
        <v/>
      </c>
      <c r="C342" s="34" t="s">
        <v>92</v>
      </c>
      <c r="D342" s="34" t="str">
        <f>CONCATENATE('Ingest Template'!E342&amp;Char(10)&amp;'Ingest Template'!G342&amp;Char(10)&amp;'Ingest Template'!H342&amp;Char(10)&amp;'Ingest Template'!I342&amp;Char(10)&amp;'Ingest Template'!J342&amp;Char(10)&amp;'Ingest Template'!K342&amp;Char(10)&amp;'Ingest Template'!L342)</f>
        <v>
</v>
      </c>
      <c r="E342" s="25" t="str">
        <f>('Ingest Template'!M342)</f>
        <v/>
      </c>
      <c r="F342" s="40" t="str">
        <f t="array" ref="F342">INDEX(DropDown!$J$2:$J$63,MATCH(1,COUNTIF(E342,DropDown!$I$2:$I$63),0))</f>
        <v>#N/A</v>
      </c>
      <c r="G342" s="25"/>
      <c r="H342" s="25"/>
      <c r="I342" s="25"/>
      <c r="J342" s="25" t="str">
        <f>'Ingest Template'!B342</f>
        <v/>
      </c>
      <c r="K342" s="25" t="str">
        <f>IF('Ingest Template'!A341="Standard",'Ingest Template'!N341,"Competitive View")</f>
        <v>Competitive View</v>
      </c>
      <c r="L342" s="41" t="s">
        <v>145</v>
      </c>
      <c r="M342" s="25" t="str">
        <f>'Ingest Template'!D341</f>
        <v/>
      </c>
      <c r="N342" s="25"/>
      <c r="O342" s="25"/>
      <c r="P342" s="25"/>
      <c r="Q342" s="25"/>
      <c r="R342" s="25" t="str">
        <f>CONCATENATE('Ingest Template'!F341)</f>
        <v/>
      </c>
      <c r="S342" s="43" t="s">
        <v>160</v>
      </c>
      <c r="T342" s="25" t="str">
        <f>'Ingest Template'!W341</f>
        <v/>
      </c>
      <c r="U342" s="25"/>
      <c r="V342" s="25" t="str">
        <f>LOWER(SUBSTITUTE(SUBSTITUTE(SUBSTITUTE(SUBSTITUTE(SUBSTITUTE('Ingest Template'!Y341,"https:",""),"www.",""),"/",""),"?hl=en",""),"instagram.com",""))</f>
        <v/>
      </c>
      <c r="W342" s="34" t="str">
        <f>(IFERROR(vlookup('Ingest Template'!F342,DropDown!D:E,2,false)&amp;'Ingest Template'!C342,""))</f>
        <v/>
      </c>
      <c r="X342" s="25" t="str">
        <f>'Ingest Template'!AA341</f>
        <v/>
      </c>
      <c r="Y342" s="25"/>
      <c r="Z342" s="25"/>
      <c r="AA342" s="25"/>
      <c r="AB342" s="25" t="str">
        <f>'Ingest Template'!T341</f>
        <v/>
      </c>
      <c r="AC342" s="25"/>
      <c r="AD342" s="25" t="str">
        <f>'Ingest Template'!U341</f>
        <v/>
      </c>
      <c r="AE342" s="25" t="str">
        <f>'Ingest Template'!V341</f>
        <v/>
      </c>
      <c r="AF342" s="25"/>
      <c r="AG342" s="25" t="str">
        <f t="array" ref="AG342">IF('Ingest Template'!A341="Standard",(CONCATENATE(IF(ISBLANK('Ingest Template'!O341),"", 'Ingest Template'!O341&amp;"|DAR"),CHAR(10), IF(ISBLANK('Ingest Template'!P341),"", 'Ingest Template'!P341&amp;"|DAR"),CHAR(10), IF(ISBLANK('Ingest Template'!Q341),"", 'Ingest Template'!Q341&amp;"|DAR"))),(CONCATENATE(IF(ISBLANK('Ingest Template'!O341),"", 'Ingest Template'!O341&amp;"|Operations - Core Title"),CHAR(10), IF(ISBLANK('Ingest Template'!P341),"", 'Ingest Template'!P341&amp;"|Operations - Core Title"),CHAR(10), IF(ISBLANK('Ingest Template'!Q341),"", 'Ingest Template'!Q341&amp;"|Operations - Core Title"))))</f>
        <v>#|Operations - Core Title
#videoGame|Operations - Core Title
</v>
      </c>
      <c r="AH342" s="25"/>
      <c r="AI342" s="25"/>
      <c r="AJ342" s="50" t="str">
        <f>if('Ingest Template'!A341="Standard",'Ingest Template'!R341&amp; "|DAR|DAR|2021-01-01",'Ingest Template'!R341&amp; "|Operations - Core Title|Operations - Core Title")</f>
        <v>#N/A</v>
      </c>
      <c r="AK342" s="25"/>
      <c r="AL342" s="25" t="str">
        <f>if('Ingest Template'!A341="Standard",'Ingest Template'!S341&amp; "|2021-01-01",'Ingest Template'!S341)</f>
        <v>#N/A</v>
      </c>
      <c r="AM342" s="25"/>
    </row>
    <row r="343">
      <c r="A343" s="25"/>
      <c r="B343" s="25" t="str">
        <f>'Ingest Template'!C342&amp;IF('Ingest Template'!A342 = "Standard", " - DAR","")</f>
        <v/>
      </c>
      <c r="C343" s="34" t="s">
        <v>92</v>
      </c>
      <c r="D343" s="34" t="str">
        <f>CONCATENATE('Ingest Template'!E343&amp;Char(10)&amp;'Ingest Template'!G343&amp;Char(10)&amp;'Ingest Template'!H343&amp;Char(10)&amp;'Ingest Template'!I343&amp;Char(10)&amp;'Ingest Template'!J343&amp;Char(10)&amp;'Ingest Template'!K343&amp;Char(10)&amp;'Ingest Template'!L343)</f>
        <v>
</v>
      </c>
      <c r="E343" s="25" t="str">
        <f>('Ingest Template'!M343)</f>
        <v/>
      </c>
      <c r="F343" s="40" t="str">
        <f t="array" ref="F343">INDEX(DropDown!$J$2:$J$63,MATCH(1,COUNTIF(E343,DropDown!$I$2:$I$63),0))</f>
        <v>#N/A</v>
      </c>
      <c r="G343" s="25"/>
      <c r="H343" s="25"/>
      <c r="I343" s="25"/>
      <c r="J343" s="25" t="str">
        <f>'Ingest Template'!B343</f>
        <v/>
      </c>
      <c r="K343" s="25" t="str">
        <f>IF('Ingest Template'!A342="Standard",'Ingest Template'!N342,"Competitive View")</f>
        <v>Competitive View</v>
      </c>
      <c r="L343" s="41" t="s">
        <v>145</v>
      </c>
      <c r="M343" s="25" t="str">
        <f>'Ingest Template'!D342</f>
        <v/>
      </c>
      <c r="N343" s="25"/>
      <c r="O343" s="25"/>
      <c r="P343" s="25"/>
      <c r="Q343" s="25"/>
      <c r="R343" s="25" t="str">
        <f>CONCATENATE('Ingest Template'!F342)</f>
        <v/>
      </c>
      <c r="S343" s="43" t="s">
        <v>160</v>
      </c>
      <c r="T343" s="25" t="str">
        <f>'Ingest Template'!W342</f>
        <v/>
      </c>
      <c r="U343" s="25"/>
      <c r="V343" s="25" t="str">
        <f>LOWER(SUBSTITUTE(SUBSTITUTE(SUBSTITUTE(SUBSTITUTE(SUBSTITUTE('Ingest Template'!Y342,"https:",""),"www.",""),"/",""),"?hl=en",""),"instagram.com",""))</f>
        <v/>
      </c>
      <c r="W343" s="34" t="str">
        <f>(IFERROR(vlookup('Ingest Template'!F343,DropDown!D:E,2,false)&amp;'Ingest Template'!C343,""))</f>
        <v/>
      </c>
      <c r="X343" s="25" t="str">
        <f>'Ingest Template'!AA342</f>
        <v/>
      </c>
      <c r="Y343" s="25"/>
      <c r="Z343" s="25"/>
      <c r="AA343" s="25"/>
      <c r="AB343" s="25" t="str">
        <f>'Ingest Template'!T342</f>
        <v/>
      </c>
      <c r="AC343" s="25"/>
      <c r="AD343" s="25" t="str">
        <f>'Ingest Template'!U342</f>
        <v/>
      </c>
      <c r="AE343" s="25" t="str">
        <f>'Ingest Template'!V342</f>
        <v/>
      </c>
      <c r="AF343" s="25"/>
      <c r="AG343" s="25" t="str">
        <f t="array" ref="AG343">IF('Ingest Template'!A342="Standard",(CONCATENATE(IF(ISBLANK('Ingest Template'!O342),"", 'Ingest Template'!O342&amp;"|DAR"),CHAR(10), IF(ISBLANK('Ingest Template'!P342),"", 'Ingest Template'!P342&amp;"|DAR"),CHAR(10), IF(ISBLANK('Ingest Template'!Q342),"", 'Ingest Template'!Q342&amp;"|DAR"))),(CONCATENATE(IF(ISBLANK('Ingest Template'!O342),"", 'Ingest Template'!O342&amp;"|Operations - Core Title"),CHAR(10), IF(ISBLANK('Ingest Template'!P342),"", 'Ingest Template'!P342&amp;"|Operations - Core Title"),CHAR(10), IF(ISBLANK('Ingest Template'!Q342),"", 'Ingest Template'!Q342&amp;"|Operations - Core Title"))))</f>
        <v>#|Operations - Core Title
#videoGame|Operations - Core Title
</v>
      </c>
      <c r="AH343" s="25"/>
      <c r="AI343" s="25"/>
      <c r="AJ343" s="50" t="str">
        <f>if('Ingest Template'!A342="Standard",'Ingest Template'!R342&amp; "|DAR|DAR|2021-01-01",'Ingest Template'!R342&amp; "|Operations - Core Title|Operations - Core Title")</f>
        <v>#N/A</v>
      </c>
      <c r="AK343" s="25"/>
      <c r="AL343" s="25" t="str">
        <f>if('Ingest Template'!A342="Standard",'Ingest Template'!S342&amp; "|2021-01-01",'Ingest Template'!S342)</f>
        <v>#N/A</v>
      </c>
      <c r="AM343" s="25"/>
    </row>
    <row r="344">
      <c r="A344" s="25"/>
      <c r="B344" s="25" t="str">
        <f>'Ingest Template'!C343&amp;IF('Ingest Template'!A343 = "Standard", " - DAR","")</f>
        <v/>
      </c>
      <c r="C344" s="34" t="s">
        <v>92</v>
      </c>
      <c r="D344" s="34" t="str">
        <f>CONCATENATE('Ingest Template'!E344&amp;Char(10)&amp;'Ingest Template'!G344&amp;Char(10)&amp;'Ingest Template'!H344&amp;Char(10)&amp;'Ingest Template'!I344&amp;Char(10)&amp;'Ingest Template'!J344&amp;Char(10)&amp;'Ingest Template'!K344&amp;Char(10)&amp;'Ingest Template'!L344)</f>
        <v>
</v>
      </c>
      <c r="E344" s="25" t="str">
        <f>('Ingest Template'!M344)</f>
        <v/>
      </c>
      <c r="F344" s="40" t="str">
        <f t="array" ref="F344">INDEX(DropDown!$J$2:$J$63,MATCH(1,COUNTIF(E344,DropDown!$I$2:$I$63),0))</f>
        <v>#N/A</v>
      </c>
      <c r="G344" s="25"/>
      <c r="H344" s="25"/>
      <c r="I344" s="25"/>
      <c r="J344" s="25" t="str">
        <f>'Ingest Template'!B344</f>
        <v/>
      </c>
      <c r="K344" s="25" t="str">
        <f>IF('Ingest Template'!A343="Standard",'Ingest Template'!N343,"Competitive View")</f>
        <v>Competitive View</v>
      </c>
      <c r="L344" s="41" t="s">
        <v>145</v>
      </c>
      <c r="M344" s="25" t="str">
        <f>'Ingest Template'!D343</f>
        <v/>
      </c>
      <c r="N344" s="25"/>
      <c r="O344" s="25"/>
      <c r="P344" s="25"/>
      <c r="Q344" s="25"/>
      <c r="R344" s="25" t="str">
        <f>CONCATENATE('Ingest Template'!F343)</f>
        <v/>
      </c>
      <c r="S344" s="43" t="s">
        <v>160</v>
      </c>
      <c r="T344" s="25" t="str">
        <f>'Ingest Template'!W343</f>
        <v/>
      </c>
      <c r="U344" s="25"/>
      <c r="V344" s="25" t="str">
        <f>LOWER(SUBSTITUTE(SUBSTITUTE(SUBSTITUTE(SUBSTITUTE(SUBSTITUTE('Ingest Template'!Y343,"https:",""),"www.",""),"/",""),"?hl=en",""),"instagram.com",""))</f>
        <v/>
      </c>
      <c r="W344" s="34" t="str">
        <f>(IFERROR(vlookup('Ingest Template'!F344,DropDown!D:E,2,false)&amp;'Ingest Template'!C344,""))</f>
        <v/>
      </c>
      <c r="X344" s="25" t="str">
        <f>'Ingest Template'!AA343</f>
        <v/>
      </c>
      <c r="Y344" s="25"/>
      <c r="Z344" s="25"/>
      <c r="AA344" s="25"/>
      <c r="AB344" s="25" t="str">
        <f>'Ingest Template'!T343</f>
        <v/>
      </c>
      <c r="AC344" s="25"/>
      <c r="AD344" s="25" t="str">
        <f>'Ingest Template'!U343</f>
        <v/>
      </c>
      <c r="AE344" s="25" t="str">
        <f>'Ingest Template'!V343</f>
        <v/>
      </c>
      <c r="AF344" s="25"/>
      <c r="AG344" s="25" t="str">
        <f t="array" ref="AG344">IF('Ingest Template'!A343="Standard",(CONCATENATE(IF(ISBLANK('Ingest Template'!O343),"", 'Ingest Template'!O343&amp;"|DAR"),CHAR(10), IF(ISBLANK('Ingest Template'!P343),"", 'Ingest Template'!P343&amp;"|DAR"),CHAR(10), IF(ISBLANK('Ingest Template'!Q343),"", 'Ingest Template'!Q343&amp;"|DAR"))),(CONCATENATE(IF(ISBLANK('Ingest Template'!O343),"", 'Ingest Template'!O343&amp;"|Operations - Core Title"),CHAR(10), IF(ISBLANK('Ingest Template'!P343),"", 'Ingest Template'!P343&amp;"|Operations - Core Title"),CHAR(10), IF(ISBLANK('Ingest Template'!Q343),"", 'Ingest Template'!Q343&amp;"|Operations - Core Title"))))</f>
        <v>#|Operations - Core Title
#videoGame|Operations - Core Title
</v>
      </c>
      <c r="AH344" s="25"/>
      <c r="AI344" s="25"/>
      <c r="AJ344" s="50" t="str">
        <f>if('Ingest Template'!A343="Standard",'Ingest Template'!R343&amp; "|DAR|DAR|2021-01-01",'Ingest Template'!R343&amp; "|Operations - Core Title|Operations - Core Title")</f>
        <v>#N/A</v>
      </c>
      <c r="AK344" s="25"/>
      <c r="AL344" s="25" t="str">
        <f>if('Ingest Template'!A343="Standard",'Ingest Template'!S343&amp; "|2021-01-01",'Ingest Template'!S343)</f>
        <v>#N/A</v>
      </c>
      <c r="AM344" s="25"/>
    </row>
    <row r="345">
      <c r="A345" s="25"/>
      <c r="B345" s="25" t="str">
        <f>'Ingest Template'!C344&amp;IF('Ingest Template'!A344 = "Standard", " - DAR","")</f>
        <v/>
      </c>
      <c r="C345" s="34" t="s">
        <v>92</v>
      </c>
      <c r="D345" s="34" t="str">
        <f>CONCATENATE('Ingest Template'!E345&amp;Char(10)&amp;'Ingest Template'!G345&amp;Char(10)&amp;'Ingest Template'!H345&amp;Char(10)&amp;'Ingest Template'!I345&amp;Char(10)&amp;'Ingest Template'!J345&amp;Char(10)&amp;'Ingest Template'!K345&amp;Char(10)&amp;'Ingest Template'!L345)</f>
        <v>
</v>
      </c>
      <c r="E345" s="25" t="str">
        <f>('Ingest Template'!M345)</f>
        <v/>
      </c>
      <c r="F345" s="40" t="str">
        <f t="array" ref="F345">INDEX(DropDown!$J$2:$J$63,MATCH(1,COUNTIF(E345,DropDown!$I$2:$I$63),0))</f>
        <v>#N/A</v>
      </c>
      <c r="G345" s="25"/>
      <c r="H345" s="25"/>
      <c r="I345" s="25"/>
      <c r="J345" s="25" t="str">
        <f>'Ingest Template'!B345</f>
        <v/>
      </c>
      <c r="K345" s="25" t="str">
        <f>IF('Ingest Template'!A344="Standard",'Ingest Template'!N344,"Competitive View")</f>
        <v>Competitive View</v>
      </c>
      <c r="L345" s="41" t="s">
        <v>145</v>
      </c>
      <c r="M345" s="25" t="str">
        <f>'Ingest Template'!D344</f>
        <v/>
      </c>
      <c r="N345" s="25"/>
      <c r="O345" s="25"/>
      <c r="P345" s="25"/>
      <c r="Q345" s="25"/>
      <c r="R345" s="25" t="str">
        <f>CONCATENATE('Ingest Template'!F344)</f>
        <v/>
      </c>
      <c r="S345" s="43" t="s">
        <v>160</v>
      </c>
      <c r="T345" s="25" t="str">
        <f>'Ingest Template'!W344</f>
        <v/>
      </c>
      <c r="U345" s="25"/>
      <c r="V345" s="25" t="str">
        <f>LOWER(SUBSTITUTE(SUBSTITUTE(SUBSTITUTE(SUBSTITUTE(SUBSTITUTE('Ingest Template'!Y344,"https:",""),"www.",""),"/",""),"?hl=en",""),"instagram.com",""))</f>
        <v/>
      </c>
      <c r="W345" s="34" t="str">
        <f>(IFERROR(vlookup('Ingest Template'!F345,DropDown!D:E,2,false)&amp;'Ingest Template'!C345,""))</f>
        <v/>
      </c>
      <c r="X345" s="25" t="str">
        <f>'Ingest Template'!AA344</f>
        <v/>
      </c>
      <c r="Y345" s="25"/>
      <c r="Z345" s="25"/>
      <c r="AA345" s="25"/>
      <c r="AB345" s="25" t="str">
        <f>'Ingest Template'!T344</f>
        <v/>
      </c>
      <c r="AC345" s="25"/>
      <c r="AD345" s="25" t="str">
        <f>'Ingest Template'!U344</f>
        <v/>
      </c>
      <c r="AE345" s="25" t="str">
        <f>'Ingest Template'!V344</f>
        <v/>
      </c>
      <c r="AF345" s="25"/>
      <c r="AG345" s="25" t="str">
        <f t="array" ref="AG345">IF('Ingest Template'!A344="Standard",(CONCATENATE(IF(ISBLANK('Ingest Template'!O344),"", 'Ingest Template'!O344&amp;"|DAR"),CHAR(10), IF(ISBLANK('Ingest Template'!P344),"", 'Ingest Template'!P344&amp;"|DAR"),CHAR(10), IF(ISBLANK('Ingest Template'!Q344),"", 'Ingest Template'!Q344&amp;"|DAR"))),(CONCATENATE(IF(ISBLANK('Ingest Template'!O344),"", 'Ingest Template'!O344&amp;"|Operations - Core Title"),CHAR(10), IF(ISBLANK('Ingest Template'!P344),"", 'Ingest Template'!P344&amp;"|Operations - Core Title"),CHAR(10), IF(ISBLANK('Ingest Template'!Q344),"", 'Ingest Template'!Q344&amp;"|Operations - Core Title"))))</f>
        <v>#|Operations - Core Title
#videoGame|Operations - Core Title
</v>
      </c>
      <c r="AH345" s="25"/>
      <c r="AI345" s="25"/>
      <c r="AJ345" s="50" t="str">
        <f>if('Ingest Template'!A344="Standard",'Ingest Template'!R344&amp; "|DAR|DAR|2021-01-01",'Ingest Template'!R344&amp; "|Operations - Core Title|Operations - Core Title")</f>
        <v>#N/A</v>
      </c>
      <c r="AK345" s="25"/>
      <c r="AL345" s="25" t="str">
        <f>if('Ingest Template'!A344="Standard",'Ingest Template'!S344&amp; "|2021-01-01",'Ingest Template'!S344)</f>
        <v>#N/A</v>
      </c>
      <c r="AM345" s="25"/>
    </row>
    <row r="346">
      <c r="A346" s="25"/>
      <c r="B346" s="25" t="str">
        <f>'Ingest Template'!C345&amp;IF('Ingest Template'!A345 = "Standard", " - DAR","")</f>
        <v/>
      </c>
      <c r="C346" s="34" t="s">
        <v>92</v>
      </c>
      <c r="D346" s="34" t="str">
        <f>CONCATENATE('Ingest Template'!E346&amp;Char(10)&amp;'Ingest Template'!G346&amp;Char(10)&amp;'Ingest Template'!H346&amp;Char(10)&amp;'Ingest Template'!I346&amp;Char(10)&amp;'Ingest Template'!J346&amp;Char(10)&amp;'Ingest Template'!K346&amp;Char(10)&amp;'Ingest Template'!L346)</f>
        <v>
</v>
      </c>
      <c r="E346" s="25" t="str">
        <f>('Ingest Template'!M346)</f>
        <v/>
      </c>
      <c r="F346" s="40" t="str">
        <f t="array" ref="F346">INDEX(DropDown!$J$2:$J$63,MATCH(1,COUNTIF(E346,DropDown!$I$2:$I$63),0))</f>
        <v>#N/A</v>
      </c>
      <c r="G346" s="25"/>
      <c r="H346" s="25"/>
      <c r="I346" s="25"/>
      <c r="J346" s="25" t="str">
        <f>'Ingest Template'!B346</f>
        <v/>
      </c>
      <c r="K346" s="25" t="str">
        <f>IF('Ingest Template'!A345="Standard",'Ingest Template'!N345,"Competitive View")</f>
        <v>Competitive View</v>
      </c>
      <c r="L346" s="41" t="s">
        <v>145</v>
      </c>
      <c r="M346" s="25" t="str">
        <f>'Ingest Template'!D345</f>
        <v/>
      </c>
      <c r="N346" s="25"/>
      <c r="O346" s="25"/>
      <c r="P346" s="25"/>
      <c r="Q346" s="25"/>
      <c r="R346" s="25" t="str">
        <f>CONCATENATE('Ingest Template'!F345)</f>
        <v/>
      </c>
      <c r="S346" s="43" t="s">
        <v>160</v>
      </c>
      <c r="T346" s="25" t="str">
        <f>'Ingest Template'!W345</f>
        <v/>
      </c>
      <c r="U346" s="25"/>
      <c r="V346" s="25" t="str">
        <f>LOWER(SUBSTITUTE(SUBSTITUTE(SUBSTITUTE(SUBSTITUTE(SUBSTITUTE('Ingest Template'!Y345,"https:",""),"www.",""),"/",""),"?hl=en",""),"instagram.com",""))</f>
        <v/>
      </c>
      <c r="W346" s="34" t="str">
        <f>(IFERROR(vlookup('Ingest Template'!F346,DropDown!D:E,2,false)&amp;'Ingest Template'!C346,""))</f>
        <v/>
      </c>
      <c r="X346" s="25" t="str">
        <f>'Ingest Template'!AA345</f>
        <v/>
      </c>
      <c r="Y346" s="25"/>
      <c r="Z346" s="25"/>
      <c r="AA346" s="25"/>
      <c r="AB346" s="25" t="str">
        <f>'Ingest Template'!T345</f>
        <v/>
      </c>
      <c r="AC346" s="25"/>
      <c r="AD346" s="25" t="str">
        <f>'Ingest Template'!U345</f>
        <v/>
      </c>
      <c r="AE346" s="25" t="str">
        <f>'Ingest Template'!V345</f>
        <v/>
      </c>
      <c r="AF346" s="25"/>
      <c r="AG346" s="25" t="str">
        <f t="array" ref="AG346">IF('Ingest Template'!A345="Standard",(CONCATENATE(IF(ISBLANK('Ingest Template'!O345),"", 'Ingest Template'!O345&amp;"|DAR"),CHAR(10), IF(ISBLANK('Ingest Template'!P345),"", 'Ingest Template'!P345&amp;"|DAR"),CHAR(10), IF(ISBLANK('Ingest Template'!Q345),"", 'Ingest Template'!Q345&amp;"|DAR"))),(CONCATENATE(IF(ISBLANK('Ingest Template'!O345),"", 'Ingest Template'!O345&amp;"|Operations - Core Title"),CHAR(10), IF(ISBLANK('Ingest Template'!P345),"", 'Ingest Template'!P345&amp;"|Operations - Core Title"),CHAR(10), IF(ISBLANK('Ingest Template'!Q345),"", 'Ingest Template'!Q345&amp;"|Operations - Core Title"))))</f>
        <v>#|Operations - Core Title
#videoGame|Operations - Core Title
</v>
      </c>
      <c r="AH346" s="25"/>
      <c r="AI346" s="25"/>
      <c r="AJ346" s="50" t="str">
        <f>if('Ingest Template'!A345="Standard",'Ingest Template'!R345&amp; "|DAR|DAR|2021-01-01",'Ingest Template'!R345&amp; "|Operations - Core Title|Operations - Core Title")</f>
        <v>#N/A</v>
      </c>
      <c r="AK346" s="25"/>
      <c r="AL346" s="25" t="str">
        <f>if('Ingest Template'!A345="Standard",'Ingest Template'!S345&amp; "|2021-01-01",'Ingest Template'!S345)</f>
        <v>#N/A</v>
      </c>
      <c r="AM346" s="25"/>
    </row>
    <row r="347">
      <c r="A347" s="25"/>
      <c r="B347" s="25" t="str">
        <f>'Ingest Template'!C346&amp;IF('Ingest Template'!A346 = "Standard", " - DAR","")</f>
        <v/>
      </c>
      <c r="C347" s="34" t="s">
        <v>92</v>
      </c>
      <c r="D347" s="34" t="str">
        <f>CONCATENATE('Ingest Template'!E347&amp;Char(10)&amp;'Ingest Template'!G347&amp;Char(10)&amp;'Ingest Template'!H347&amp;Char(10)&amp;'Ingest Template'!I347&amp;Char(10)&amp;'Ingest Template'!J347&amp;Char(10)&amp;'Ingest Template'!K347&amp;Char(10)&amp;'Ingest Template'!L347)</f>
        <v>
</v>
      </c>
      <c r="E347" s="25" t="str">
        <f>('Ingest Template'!M347)</f>
        <v/>
      </c>
      <c r="F347" s="40" t="str">
        <f t="array" ref="F347">INDEX(DropDown!$J$2:$J$63,MATCH(1,COUNTIF(E347,DropDown!$I$2:$I$63),0))</f>
        <v>#N/A</v>
      </c>
      <c r="G347" s="25"/>
      <c r="H347" s="25"/>
      <c r="I347" s="25"/>
      <c r="J347" s="25" t="str">
        <f>'Ingest Template'!B347</f>
        <v/>
      </c>
      <c r="K347" s="25" t="str">
        <f>IF('Ingest Template'!A346="Standard",'Ingest Template'!N346,"Competitive View")</f>
        <v>Competitive View</v>
      </c>
      <c r="L347" s="41" t="s">
        <v>145</v>
      </c>
      <c r="M347" s="25" t="str">
        <f>'Ingest Template'!D346</f>
        <v/>
      </c>
      <c r="N347" s="25"/>
      <c r="O347" s="25"/>
      <c r="P347" s="25"/>
      <c r="Q347" s="25"/>
      <c r="R347" s="25" t="str">
        <f>CONCATENATE('Ingest Template'!F346)</f>
        <v/>
      </c>
      <c r="S347" s="43" t="s">
        <v>160</v>
      </c>
      <c r="T347" s="25" t="str">
        <f>'Ingest Template'!W346</f>
        <v/>
      </c>
      <c r="U347" s="25"/>
      <c r="V347" s="25" t="str">
        <f>LOWER(SUBSTITUTE(SUBSTITUTE(SUBSTITUTE(SUBSTITUTE(SUBSTITUTE('Ingest Template'!Y346,"https:",""),"www.",""),"/",""),"?hl=en",""),"instagram.com",""))</f>
        <v/>
      </c>
      <c r="W347" s="34" t="str">
        <f>(IFERROR(vlookup('Ingest Template'!F347,DropDown!D:E,2,false)&amp;'Ingest Template'!C347,""))</f>
        <v/>
      </c>
      <c r="X347" s="25" t="str">
        <f>'Ingest Template'!AA346</f>
        <v/>
      </c>
      <c r="Y347" s="25"/>
      <c r="Z347" s="25"/>
      <c r="AA347" s="25"/>
      <c r="AB347" s="25" t="str">
        <f>'Ingest Template'!T346</f>
        <v/>
      </c>
      <c r="AC347" s="25"/>
      <c r="AD347" s="25" t="str">
        <f>'Ingest Template'!U346</f>
        <v/>
      </c>
      <c r="AE347" s="25" t="str">
        <f>'Ingest Template'!V346</f>
        <v/>
      </c>
      <c r="AF347" s="25"/>
      <c r="AG347" s="25" t="str">
        <f t="array" ref="AG347">IF('Ingest Template'!A346="Standard",(CONCATENATE(IF(ISBLANK('Ingest Template'!O346),"", 'Ingest Template'!O346&amp;"|DAR"),CHAR(10), IF(ISBLANK('Ingest Template'!P346),"", 'Ingest Template'!P346&amp;"|DAR"),CHAR(10), IF(ISBLANK('Ingest Template'!Q346),"", 'Ingest Template'!Q346&amp;"|DAR"))),(CONCATENATE(IF(ISBLANK('Ingest Template'!O346),"", 'Ingest Template'!O346&amp;"|Operations - Core Title"),CHAR(10), IF(ISBLANK('Ingest Template'!P346),"", 'Ingest Template'!P346&amp;"|Operations - Core Title"),CHAR(10), IF(ISBLANK('Ingest Template'!Q346),"", 'Ingest Template'!Q346&amp;"|Operations - Core Title"))))</f>
        <v>#|Operations - Core Title
#videoGame|Operations - Core Title
</v>
      </c>
      <c r="AH347" s="25"/>
      <c r="AI347" s="25"/>
      <c r="AJ347" s="50" t="str">
        <f>if('Ingest Template'!A346="Standard",'Ingest Template'!R346&amp; "|DAR|DAR|2021-01-01",'Ingest Template'!R346&amp; "|Operations - Core Title|Operations - Core Title")</f>
        <v>#N/A</v>
      </c>
      <c r="AK347" s="25"/>
      <c r="AL347" s="25" t="str">
        <f>if('Ingest Template'!A346="Standard",'Ingest Template'!S346&amp; "|2021-01-01",'Ingest Template'!S346)</f>
        <v>#N/A</v>
      </c>
      <c r="AM347" s="25"/>
    </row>
    <row r="348">
      <c r="A348" s="25"/>
      <c r="B348" s="25" t="str">
        <f>'Ingest Template'!C347&amp;IF('Ingest Template'!A347 = "Standard", " - DAR","")</f>
        <v/>
      </c>
      <c r="C348" s="34" t="s">
        <v>92</v>
      </c>
      <c r="D348" s="34" t="str">
        <f>CONCATENATE('Ingest Template'!E348&amp;Char(10)&amp;'Ingest Template'!G348&amp;Char(10)&amp;'Ingest Template'!H348&amp;Char(10)&amp;'Ingest Template'!I348&amp;Char(10)&amp;'Ingest Template'!J348&amp;Char(10)&amp;'Ingest Template'!K348&amp;Char(10)&amp;'Ingest Template'!L348)</f>
        <v>
</v>
      </c>
      <c r="E348" s="25" t="str">
        <f>('Ingest Template'!M348)</f>
        <v/>
      </c>
      <c r="F348" s="40" t="str">
        <f t="array" ref="F348">INDEX(DropDown!$J$2:$J$63,MATCH(1,COUNTIF(E348,DropDown!$I$2:$I$63),0))</f>
        <v>#N/A</v>
      </c>
      <c r="G348" s="25"/>
      <c r="H348" s="25"/>
      <c r="I348" s="25"/>
      <c r="J348" s="25" t="str">
        <f>'Ingest Template'!B348</f>
        <v/>
      </c>
      <c r="K348" s="25" t="str">
        <f>IF('Ingest Template'!A347="Standard",'Ingest Template'!N347,"Competitive View")</f>
        <v>Competitive View</v>
      </c>
      <c r="L348" s="41" t="s">
        <v>145</v>
      </c>
      <c r="M348" s="25" t="str">
        <f>'Ingest Template'!D347</f>
        <v/>
      </c>
      <c r="N348" s="25"/>
      <c r="O348" s="25"/>
      <c r="P348" s="25"/>
      <c r="Q348" s="25"/>
      <c r="R348" s="25" t="str">
        <f>CONCATENATE('Ingest Template'!F347)</f>
        <v/>
      </c>
      <c r="S348" s="43" t="s">
        <v>160</v>
      </c>
      <c r="T348" s="25" t="str">
        <f>'Ingest Template'!W347</f>
        <v/>
      </c>
      <c r="U348" s="25"/>
      <c r="V348" s="25" t="str">
        <f>LOWER(SUBSTITUTE(SUBSTITUTE(SUBSTITUTE(SUBSTITUTE(SUBSTITUTE('Ingest Template'!Y347,"https:",""),"www.",""),"/",""),"?hl=en",""),"instagram.com",""))</f>
        <v/>
      </c>
      <c r="W348" s="34" t="str">
        <f>(IFERROR(vlookup('Ingest Template'!F348,DropDown!D:E,2,false)&amp;'Ingest Template'!C348,""))</f>
        <v/>
      </c>
      <c r="X348" s="25" t="str">
        <f>'Ingest Template'!AA347</f>
        <v/>
      </c>
      <c r="Y348" s="25"/>
      <c r="Z348" s="25"/>
      <c r="AA348" s="25"/>
      <c r="AB348" s="25" t="str">
        <f>'Ingest Template'!T347</f>
        <v/>
      </c>
      <c r="AC348" s="25"/>
      <c r="AD348" s="25" t="str">
        <f>'Ingest Template'!U347</f>
        <v/>
      </c>
      <c r="AE348" s="25" t="str">
        <f>'Ingest Template'!V347</f>
        <v/>
      </c>
      <c r="AF348" s="25"/>
      <c r="AG348" s="25" t="str">
        <f t="array" ref="AG348">IF('Ingest Template'!A347="Standard",(CONCATENATE(IF(ISBLANK('Ingest Template'!O347),"", 'Ingest Template'!O347&amp;"|DAR"),CHAR(10), IF(ISBLANK('Ingest Template'!P347),"", 'Ingest Template'!P347&amp;"|DAR"),CHAR(10), IF(ISBLANK('Ingest Template'!Q347),"", 'Ingest Template'!Q347&amp;"|DAR"))),(CONCATENATE(IF(ISBLANK('Ingest Template'!O347),"", 'Ingest Template'!O347&amp;"|Operations - Core Title"),CHAR(10), IF(ISBLANK('Ingest Template'!P347),"", 'Ingest Template'!P347&amp;"|Operations - Core Title"),CHAR(10), IF(ISBLANK('Ingest Template'!Q347),"", 'Ingest Template'!Q347&amp;"|Operations - Core Title"))))</f>
        <v>#|Operations - Core Title
#videoGame|Operations - Core Title
</v>
      </c>
      <c r="AH348" s="25"/>
      <c r="AI348" s="25"/>
      <c r="AJ348" s="50" t="str">
        <f>if('Ingest Template'!A347="Standard",'Ingest Template'!R347&amp; "|DAR|DAR|2021-01-01",'Ingest Template'!R347&amp; "|Operations - Core Title|Operations - Core Title")</f>
        <v>#N/A</v>
      </c>
      <c r="AK348" s="25"/>
      <c r="AL348" s="25" t="str">
        <f>if('Ingest Template'!A347="Standard",'Ingest Template'!S347&amp; "|2021-01-01",'Ingest Template'!S347)</f>
        <v>#N/A</v>
      </c>
      <c r="AM348" s="25"/>
    </row>
    <row r="349">
      <c r="A349" s="25"/>
      <c r="B349" s="25" t="str">
        <f>'Ingest Template'!C348&amp;IF('Ingest Template'!A348 = "Standard", " - DAR","")</f>
        <v/>
      </c>
      <c r="C349" s="34" t="s">
        <v>92</v>
      </c>
      <c r="D349" s="34" t="str">
        <f>CONCATENATE('Ingest Template'!E349&amp;Char(10)&amp;'Ingest Template'!G349&amp;Char(10)&amp;'Ingest Template'!H349&amp;Char(10)&amp;'Ingest Template'!I349&amp;Char(10)&amp;'Ingest Template'!J349&amp;Char(10)&amp;'Ingest Template'!K349&amp;Char(10)&amp;'Ingest Template'!L349)</f>
        <v>
</v>
      </c>
      <c r="E349" s="25" t="str">
        <f>('Ingest Template'!M349)</f>
        <v/>
      </c>
      <c r="F349" s="40" t="str">
        <f t="array" ref="F349">INDEX(DropDown!$J$2:$J$63,MATCH(1,COUNTIF(E349,DropDown!$I$2:$I$63),0))</f>
        <v>#N/A</v>
      </c>
      <c r="G349" s="25"/>
      <c r="H349" s="25"/>
      <c r="I349" s="25"/>
      <c r="J349" s="25" t="str">
        <f>'Ingest Template'!B349</f>
        <v/>
      </c>
      <c r="K349" s="25" t="str">
        <f>IF('Ingest Template'!A348="Standard",'Ingest Template'!N348,"Competitive View")</f>
        <v>Competitive View</v>
      </c>
      <c r="L349" s="41" t="s">
        <v>145</v>
      </c>
      <c r="M349" s="25" t="str">
        <f>'Ingest Template'!D348</f>
        <v/>
      </c>
      <c r="N349" s="25"/>
      <c r="O349" s="25"/>
      <c r="P349" s="25"/>
      <c r="Q349" s="25"/>
      <c r="R349" s="25" t="str">
        <f>CONCATENATE('Ingest Template'!F348)</f>
        <v/>
      </c>
      <c r="S349" s="43" t="s">
        <v>160</v>
      </c>
      <c r="T349" s="25" t="str">
        <f>'Ingest Template'!W348</f>
        <v/>
      </c>
      <c r="U349" s="25"/>
      <c r="V349" s="25" t="str">
        <f>LOWER(SUBSTITUTE(SUBSTITUTE(SUBSTITUTE(SUBSTITUTE(SUBSTITUTE('Ingest Template'!Y348,"https:",""),"www.",""),"/",""),"?hl=en",""),"instagram.com",""))</f>
        <v/>
      </c>
      <c r="W349" s="34" t="str">
        <f>(IFERROR(vlookup('Ingest Template'!F349,DropDown!D:E,2,false)&amp;'Ingest Template'!C349,""))</f>
        <v/>
      </c>
      <c r="X349" s="25" t="str">
        <f>'Ingest Template'!AA348</f>
        <v/>
      </c>
      <c r="Y349" s="25"/>
      <c r="Z349" s="25"/>
      <c r="AA349" s="25"/>
      <c r="AB349" s="25" t="str">
        <f>'Ingest Template'!T348</f>
        <v/>
      </c>
      <c r="AC349" s="25"/>
      <c r="AD349" s="25" t="str">
        <f>'Ingest Template'!U348</f>
        <v/>
      </c>
      <c r="AE349" s="25" t="str">
        <f>'Ingest Template'!V348</f>
        <v/>
      </c>
      <c r="AF349" s="25"/>
      <c r="AG349" s="25" t="str">
        <f t="array" ref="AG349">IF('Ingest Template'!A348="Standard",(CONCATENATE(IF(ISBLANK('Ingest Template'!O348),"", 'Ingest Template'!O348&amp;"|DAR"),CHAR(10), IF(ISBLANK('Ingest Template'!P348),"", 'Ingest Template'!P348&amp;"|DAR"),CHAR(10), IF(ISBLANK('Ingest Template'!Q348),"", 'Ingest Template'!Q348&amp;"|DAR"))),(CONCATENATE(IF(ISBLANK('Ingest Template'!O348),"", 'Ingest Template'!O348&amp;"|Operations - Core Title"),CHAR(10), IF(ISBLANK('Ingest Template'!P348),"", 'Ingest Template'!P348&amp;"|Operations - Core Title"),CHAR(10), IF(ISBLANK('Ingest Template'!Q348),"", 'Ingest Template'!Q348&amp;"|Operations - Core Title"))))</f>
        <v>#|Operations - Core Title
#videoGame|Operations - Core Title
</v>
      </c>
      <c r="AH349" s="25"/>
      <c r="AI349" s="25"/>
      <c r="AJ349" s="50" t="str">
        <f>if('Ingest Template'!A348="Standard",'Ingest Template'!R348&amp; "|DAR|DAR|2021-01-01",'Ingest Template'!R348&amp; "|Operations - Core Title|Operations - Core Title")</f>
        <v>#N/A</v>
      </c>
      <c r="AK349" s="25"/>
      <c r="AL349" s="25" t="str">
        <f>if('Ingest Template'!A348="Standard",'Ingest Template'!S348&amp; "|2021-01-01",'Ingest Template'!S348)</f>
        <v>#N/A</v>
      </c>
      <c r="AM349" s="25"/>
    </row>
    <row r="350">
      <c r="A350" s="25"/>
      <c r="B350" s="25" t="str">
        <f>'Ingest Template'!C349&amp;IF('Ingest Template'!A349 = "Standard", " - DAR","")</f>
        <v/>
      </c>
      <c r="C350" s="34" t="s">
        <v>92</v>
      </c>
      <c r="D350" s="34" t="str">
        <f>CONCATENATE('Ingest Template'!E350&amp;Char(10)&amp;'Ingest Template'!G350&amp;Char(10)&amp;'Ingest Template'!H350&amp;Char(10)&amp;'Ingest Template'!I350&amp;Char(10)&amp;'Ingest Template'!J350&amp;Char(10)&amp;'Ingest Template'!K350&amp;Char(10)&amp;'Ingest Template'!L350)</f>
        <v>
</v>
      </c>
      <c r="E350" s="25" t="str">
        <f>('Ingest Template'!M350)</f>
        <v/>
      </c>
      <c r="F350" s="40" t="str">
        <f t="array" ref="F350">INDEX(DropDown!$J$2:$J$63,MATCH(1,COUNTIF(E350,DropDown!$I$2:$I$63),0))</f>
        <v>#N/A</v>
      </c>
      <c r="G350" s="25"/>
      <c r="H350" s="25"/>
      <c r="I350" s="25"/>
      <c r="J350" s="25" t="str">
        <f>'Ingest Template'!B350</f>
        <v/>
      </c>
      <c r="K350" s="25" t="str">
        <f>IF('Ingest Template'!A349="Standard",'Ingest Template'!N349,"Competitive View")</f>
        <v>Competitive View</v>
      </c>
      <c r="L350" s="41" t="s">
        <v>145</v>
      </c>
      <c r="M350" s="25" t="str">
        <f>'Ingest Template'!D349</f>
        <v/>
      </c>
      <c r="N350" s="25"/>
      <c r="O350" s="25"/>
      <c r="P350" s="25"/>
      <c r="Q350" s="25"/>
      <c r="R350" s="25" t="str">
        <f>CONCATENATE('Ingest Template'!F349)</f>
        <v/>
      </c>
      <c r="S350" s="43" t="s">
        <v>160</v>
      </c>
      <c r="T350" s="25" t="str">
        <f>'Ingest Template'!W349</f>
        <v/>
      </c>
      <c r="U350" s="25"/>
      <c r="V350" s="25" t="str">
        <f>LOWER(SUBSTITUTE(SUBSTITUTE(SUBSTITUTE(SUBSTITUTE(SUBSTITUTE('Ingest Template'!Y349,"https:",""),"www.",""),"/",""),"?hl=en",""),"instagram.com",""))</f>
        <v/>
      </c>
      <c r="W350" s="34" t="str">
        <f>(IFERROR(vlookup('Ingest Template'!F350,DropDown!D:E,2,false)&amp;'Ingest Template'!C350,""))</f>
        <v/>
      </c>
      <c r="X350" s="25" t="str">
        <f>'Ingest Template'!AA349</f>
        <v/>
      </c>
      <c r="Y350" s="25"/>
      <c r="Z350" s="25"/>
      <c r="AA350" s="25"/>
      <c r="AB350" s="25" t="str">
        <f>'Ingest Template'!T349</f>
        <v/>
      </c>
      <c r="AC350" s="25"/>
      <c r="AD350" s="25" t="str">
        <f>'Ingest Template'!U349</f>
        <v/>
      </c>
      <c r="AE350" s="25" t="str">
        <f>'Ingest Template'!V349</f>
        <v/>
      </c>
      <c r="AF350" s="25"/>
      <c r="AG350" s="25" t="str">
        <f t="array" ref="AG350">IF('Ingest Template'!A349="Standard",(CONCATENATE(IF(ISBLANK('Ingest Template'!O349),"", 'Ingest Template'!O349&amp;"|DAR"),CHAR(10), IF(ISBLANK('Ingest Template'!P349),"", 'Ingest Template'!P349&amp;"|DAR"),CHAR(10), IF(ISBLANK('Ingest Template'!Q349),"", 'Ingest Template'!Q349&amp;"|DAR"))),(CONCATENATE(IF(ISBLANK('Ingest Template'!O349),"", 'Ingest Template'!O349&amp;"|Operations - Core Title"),CHAR(10), IF(ISBLANK('Ingest Template'!P349),"", 'Ingest Template'!P349&amp;"|Operations - Core Title"),CHAR(10), IF(ISBLANK('Ingest Template'!Q349),"", 'Ingest Template'!Q349&amp;"|Operations - Core Title"))))</f>
        <v>#|Operations - Core Title
#videoGame|Operations - Core Title
</v>
      </c>
      <c r="AH350" s="25"/>
      <c r="AI350" s="25"/>
      <c r="AJ350" s="50" t="str">
        <f>if('Ingest Template'!A349="Standard",'Ingest Template'!R349&amp; "|DAR|DAR|2021-01-01",'Ingest Template'!R349&amp; "|Operations - Core Title|Operations - Core Title")</f>
        <v>#N/A</v>
      </c>
      <c r="AK350" s="25"/>
      <c r="AL350" s="25" t="str">
        <f>if('Ingest Template'!A349="Standard",'Ingest Template'!S349&amp; "|2021-01-01",'Ingest Template'!S349)</f>
        <v>#N/A</v>
      </c>
      <c r="AM350" s="25"/>
    </row>
    <row r="351">
      <c r="A351" s="25"/>
      <c r="B351" s="25" t="str">
        <f>'Ingest Template'!C350&amp;IF('Ingest Template'!A350 = "Standard", " - DAR","")</f>
        <v/>
      </c>
      <c r="C351" s="34" t="s">
        <v>92</v>
      </c>
      <c r="D351" s="34" t="str">
        <f>CONCATENATE('Ingest Template'!E351&amp;Char(10)&amp;'Ingest Template'!G351&amp;Char(10)&amp;'Ingest Template'!H351&amp;Char(10)&amp;'Ingest Template'!I351&amp;Char(10)&amp;'Ingest Template'!J351&amp;Char(10)&amp;'Ingest Template'!K351&amp;Char(10)&amp;'Ingest Template'!L351)</f>
        <v>
</v>
      </c>
      <c r="E351" s="25" t="str">
        <f>('Ingest Template'!M351)</f>
        <v/>
      </c>
      <c r="F351" s="40" t="str">
        <f t="array" ref="F351">INDEX(DropDown!$J$2:$J$63,MATCH(1,COUNTIF(E351,DropDown!$I$2:$I$63),0))</f>
        <v>#N/A</v>
      </c>
      <c r="G351" s="25"/>
      <c r="H351" s="25"/>
      <c r="I351" s="25"/>
      <c r="J351" s="25" t="str">
        <f>'Ingest Template'!B351</f>
        <v/>
      </c>
      <c r="K351" s="25" t="str">
        <f>IF('Ingest Template'!A350="Standard",'Ingest Template'!N350,"Competitive View")</f>
        <v>Competitive View</v>
      </c>
      <c r="L351" s="41" t="s">
        <v>145</v>
      </c>
      <c r="M351" s="25" t="str">
        <f>'Ingest Template'!D350</f>
        <v/>
      </c>
      <c r="N351" s="25"/>
      <c r="O351" s="25"/>
      <c r="P351" s="25"/>
      <c r="Q351" s="25"/>
      <c r="R351" s="25" t="str">
        <f>CONCATENATE('Ingest Template'!F350)</f>
        <v/>
      </c>
      <c r="S351" s="43" t="s">
        <v>160</v>
      </c>
      <c r="T351" s="25" t="str">
        <f>'Ingest Template'!W350</f>
        <v/>
      </c>
      <c r="U351" s="25"/>
      <c r="V351" s="25" t="str">
        <f>LOWER(SUBSTITUTE(SUBSTITUTE(SUBSTITUTE(SUBSTITUTE(SUBSTITUTE('Ingest Template'!Y350,"https:",""),"www.",""),"/",""),"?hl=en",""),"instagram.com",""))</f>
        <v/>
      </c>
      <c r="W351" s="34" t="str">
        <f>(IFERROR(vlookup('Ingest Template'!F351,DropDown!D:E,2,false)&amp;'Ingest Template'!C351,""))</f>
        <v/>
      </c>
      <c r="X351" s="25" t="str">
        <f>'Ingest Template'!AA350</f>
        <v/>
      </c>
      <c r="Y351" s="25"/>
      <c r="Z351" s="25"/>
      <c r="AA351" s="25"/>
      <c r="AB351" s="25" t="str">
        <f>'Ingest Template'!T350</f>
        <v/>
      </c>
      <c r="AC351" s="25"/>
      <c r="AD351" s="25" t="str">
        <f>'Ingest Template'!U350</f>
        <v/>
      </c>
      <c r="AE351" s="25" t="str">
        <f>'Ingest Template'!V350</f>
        <v/>
      </c>
      <c r="AF351" s="25"/>
      <c r="AG351" s="25" t="str">
        <f t="array" ref="AG351">IF('Ingest Template'!A350="Standard",(CONCATENATE(IF(ISBLANK('Ingest Template'!O350),"", 'Ingest Template'!O350&amp;"|DAR"),CHAR(10), IF(ISBLANK('Ingest Template'!P350),"", 'Ingest Template'!P350&amp;"|DAR"),CHAR(10), IF(ISBLANK('Ingest Template'!Q350),"", 'Ingest Template'!Q350&amp;"|DAR"))),(CONCATENATE(IF(ISBLANK('Ingest Template'!O350),"", 'Ingest Template'!O350&amp;"|Operations - Core Title"),CHAR(10), IF(ISBLANK('Ingest Template'!P350),"", 'Ingest Template'!P350&amp;"|Operations - Core Title"),CHAR(10), IF(ISBLANK('Ingest Template'!Q350),"", 'Ingest Template'!Q350&amp;"|Operations - Core Title"))))</f>
        <v>#|Operations - Core Title
#videoGame|Operations - Core Title
</v>
      </c>
      <c r="AH351" s="25"/>
      <c r="AI351" s="25"/>
      <c r="AJ351" s="50" t="str">
        <f>if('Ingest Template'!A350="Standard",'Ingest Template'!R350&amp; "|DAR|DAR|2021-01-01",'Ingest Template'!R350&amp; "|Operations - Core Title|Operations - Core Title")</f>
        <v>#N/A</v>
      </c>
      <c r="AK351" s="25"/>
      <c r="AL351" s="25" t="str">
        <f>if('Ingest Template'!A350="Standard",'Ingest Template'!S350&amp; "|2021-01-01",'Ingest Template'!S350)</f>
        <v>#N/A</v>
      </c>
      <c r="AM351" s="25"/>
    </row>
    <row r="352">
      <c r="A352" s="25"/>
      <c r="B352" s="25" t="str">
        <f>'Ingest Template'!C351&amp;IF('Ingest Template'!A351 = "Standard", " - DAR","")</f>
        <v/>
      </c>
      <c r="C352" s="34" t="s">
        <v>92</v>
      </c>
      <c r="D352" s="34" t="str">
        <f>CONCATENATE('Ingest Template'!E352&amp;Char(10)&amp;'Ingest Template'!G352&amp;Char(10)&amp;'Ingest Template'!H352&amp;Char(10)&amp;'Ingest Template'!I352&amp;Char(10)&amp;'Ingest Template'!J352&amp;Char(10)&amp;'Ingest Template'!K352&amp;Char(10)&amp;'Ingest Template'!L352)</f>
        <v>
</v>
      </c>
      <c r="E352" s="25" t="str">
        <f>('Ingest Template'!M352)</f>
        <v/>
      </c>
      <c r="F352" s="40" t="str">
        <f t="array" ref="F352">INDEX(DropDown!$J$2:$J$63,MATCH(1,COUNTIF(E352,DropDown!$I$2:$I$63),0))</f>
        <v>#N/A</v>
      </c>
      <c r="G352" s="25"/>
      <c r="H352" s="25"/>
      <c r="I352" s="25"/>
      <c r="J352" s="25" t="str">
        <f>'Ingest Template'!B352</f>
        <v/>
      </c>
      <c r="K352" s="25" t="str">
        <f>IF('Ingest Template'!A351="Standard",'Ingest Template'!N351,"Competitive View")</f>
        <v>Competitive View</v>
      </c>
      <c r="L352" s="41" t="s">
        <v>145</v>
      </c>
      <c r="M352" s="25" t="str">
        <f>'Ingest Template'!D351</f>
        <v/>
      </c>
      <c r="N352" s="25"/>
      <c r="O352" s="25"/>
      <c r="P352" s="25"/>
      <c r="Q352" s="25"/>
      <c r="R352" s="25" t="str">
        <f>CONCATENATE('Ingest Template'!F351)</f>
        <v/>
      </c>
      <c r="S352" s="43" t="s">
        <v>160</v>
      </c>
      <c r="T352" s="25" t="str">
        <f>'Ingest Template'!W351</f>
        <v/>
      </c>
      <c r="U352" s="25"/>
      <c r="V352" s="25" t="str">
        <f>LOWER(SUBSTITUTE(SUBSTITUTE(SUBSTITUTE(SUBSTITUTE(SUBSTITUTE('Ingest Template'!Y351,"https:",""),"www.",""),"/",""),"?hl=en",""),"instagram.com",""))</f>
        <v/>
      </c>
      <c r="W352" s="34" t="str">
        <f>(IFERROR(vlookup('Ingest Template'!F352,DropDown!D:E,2,false)&amp;'Ingest Template'!C352,""))</f>
        <v/>
      </c>
      <c r="X352" s="25" t="str">
        <f>'Ingest Template'!AA351</f>
        <v/>
      </c>
      <c r="Y352" s="25"/>
      <c r="Z352" s="25"/>
      <c r="AA352" s="25"/>
      <c r="AB352" s="25" t="str">
        <f>'Ingest Template'!T351</f>
        <v/>
      </c>
      <c r="AC352" s="25"/>
      <c r="AD352" s="25" t="str">
        <f>'Ingest Template'!U351</f>
        <v/>
      </c>
      <c r="AE352" s="25" t="str">
        <f>'Ingest Template'!V351</f>
        <v/>
      </c>
      <c r="AF352" s="25"/>
      <c r="AG352" s="25" t="str">
        <f t="array" ref="AG352">IF('Ingest Template'!A351="Standard",(CONCATENATE(IF(ISBLANK('Ingest Template'!O351),"", 'Ingest Template'!O351&amp;"|DAR"),CHAR(10), IF(ISBLANK('Ingest Template'!P351),"", 'Ingest Template'!P351&amp;"|DAR"),CHAR(10), IF(ISBLANK('Ingest Template'!Q351),"", 'Ingest Template'!Q351&amp;"|DAR"))),(CONCATENATE(IF(ISBLANK('Ingest Template'!O351),"", 'Ingest Template'!O351&amp;"|Operations - Core Title"),CHAR(10), IF(ISBLANK('Ingest Template'!P351),"", 'Ingest Template'!P351&amp;"|Operations - Core Title"),CHAR(10), IF(ISBLANK('Ingest Template'!Q351),"", 'Ingest Template'!Q351&amp;"|Operations - Core Title"))))</f>
        <v>#|Operations - Core Title
#videoGame|Operations - Core Title
</v>
      </c>
      <c r="AH352" s="25"/>
      <c r="AI352" s="25"/>
      <c r="AJ352" s="50" t="str">
        <f>if('Ingest Template'!A351="Standard",'Ingest Template'!R351&amp; "|DAR|DAR|2021-01-01",'Ingest Template'!R351&amp; "|Operations - Core Title|Operations - Core Title")</f>
        <v>#N/A</v>
      </c>
      <c r="AK352" s="25"/>
      <c r="AL352" s="25" t="str">
        <f>if('Ingest Template'!A351="Standard",'Ingest Template'!S351&amp; "|2021-01-01",'Ingest Template'!S351)</f>
        <v>#N/A</v>
      </c>
      <c r="AM352" s="25"/>
    </row>
    <row r="353">
      <c r="A353" s="25"/>
      <c r="B353" s="25" t="str">
        <f>'Ingest Template'!C352&amp;IF('Ingest Template'!A352 = "Standard", " - DAR","")</f>
        <v/>
      </c>
      <c r="C353" s="34" t="s">
        <v>92</v>
      </c>
      <c r="D353" s="34" t="str">
        <f>CONCATENATE('Ingest Template'!E353&amp;Char(10)&amp;'Ingest Template'!G353&amp;Char(10)&amp;'Ingest Template'!H353&amp;Char(10)&amp;'Ingest Template'!I353&amp;Char(10)&amp;'Ingest Template'!J353&amp;Char(10)&amp;'Ingest Template'!K353&amp;Char(10)&amp;'Ingest Template'!L353)</f>
        <v>
</v>
      </c>
      <c r="E353" s="25" t="str">
        <f>('Ingest Template'!M353)</f>
        <v/>
      </c>
      <c r="F353" s="40" t="str">
        <f t="array" ref="F353">INDEX(DropDown!$J$2:$J$63,MATCH(1,COUNTIF(E353,DropDown!$I$2:$I$63),0))</f>
        <v>#N/A</v>
      </c>
      <c r="G353" s="25"/>
      <c r="H353" s="25"/>
      <c r="I353" s="25"/>
      <c r="J353" s="25" t="str">
        <f>'Ingest Template'!B353</f>
        <v/>
      </c>
      <c r="K353" s="25" t="str">
        <f>IF('Ingest Template'!A352="Standard",'Ingest Template'!N352,"Competitive View")</f>
        <v>Competitive View</v>
      </c>
      <c r="L353" s="41" t="s">
        <v>145</v>
      </c>
      <c r="M353" s="25" t="str">
        <f>'Ingest Template'!D352</f>
        <v/>
      </c>
      <c r="N353" s="25"/>
      <c r="O353" s="25"/>
      <c r="P353" s="25"/>
      <c r="Q353" s="25"/>
      <c r="R353" s="25" t="str">
        <f>CONCATENATE('Ingest Template'!F352)</f>
        <v/>
      </c>
      <c r="S353" s="43" t="s">
        <v>160</v>
      </c>
      <c r="T353" s="25" t="str">
        <f>'Ingest Template'!W352</f>
        <v/>
      </c>
      <c r="U353" s="25"/>
      <c r="V353" s="25" t="str">
        <f>LOWER(SUBSTITUTE(SUBSTITUTE(SUBSTITUTE(SUBSTITUTE(SUBSTITUTE('Ingest Template'!Y352,"https:",""),"www.",""),"/",""),"?hl=en",""),"instagram.com",""))</f>
        <v/>
      </c>
      <c r="W353" s="34" t="str">
        <f>(IFERROR(vlookup('Ingest Template'!F353,DropDown!D:E,2,false)&amp;'Ingest Template'!C353,""))</f>
        <v/>
      </c>
      <c r="X353" s="25" t="str">
        <f>'Ingest Template'!AA352</f>
        <v/>
      </c>
      <c r="Y353" s="25"/>
      <c r="Z353" s="25"/>
      <c r="AA353" s="25"/>
      <c r="AB353" s="25" t="str">
        <f>'Ingest Template'!T352</f>
        <v/>
      </c>
      <c r="AC353" s="25"/>
      <c r="AD353" s="25" t="str">
        <f>'Ingest Template'!U352</f>
        <v/>
      </c>
      <c r="AE353" s="25" t="str">
        <f>'Ingest Template'!V352</f>
        <v/>
      </c>
      <c r="AF353" s="25"/>
      <c r="AG353" s="25" t="str">
        <f t="array" ref="AG353">IF('Ingest Template'!A352="Standard",(CONCATENATE(IF(ISBLANK('Ingest Template'!O352),"", 'Ingest Template'!O352&amp;"|DAR"),CHAR(10), IF(ISBLANK('Ingest Template'!P352),"", 'Ingest Template'!P352&amp;"|DAR"),CHAR(10), IF(ISBLANK('Ingest Template'!Q352),"", 'Ingest Template'!Q352&amp;"|DAR"))),(CONCATENATE(IF(ISBLANK('Ingest Template'!O352),"", 'Ingest Template'!O352&amp;"|Operations - Core Title"),CHAR(10), IF(ISBLANK('Ingest Template'!P352),"", 'Ingest Template'!P352&amp;"|Operations - Core Title"),CHAR(10), IF(ISBLANK('Ingest Template'!Q352),"", 'Ingest Template'!Q352&amp;"|Operations - Core Title"))))</f>
        <v>#|Operations - Core Title
#videoGame|Operations - Core Title
</v>
      </c>
      <c r="AH353" s="25"/>
      <c r="AI353" s="25"/>
      <c r="AJ353" s="50" t="str">
        <f>if('Ingest Template'!A352="Standard",'Ingest Template'!R352&amp; "|DAR|DAR|2021-01-01",'Ingest Template'!R352&amp; "|Operations - Core Title|Operations - Core Title")</f>
        <v>#N/A</v>
      </c>
      <c r="AK353" s="25"/>
      <c r="AL353" s="25" t="str">
        <f>if('Ingest Template'!A352="Standard",'Ingest Template'!S352&amp; "|2021-01-01",'Ingest Template'!S352)</f>
        <v>#N/A</v>
      </c>
      <c r="AM353" s="25"/>
    </row>
    <row r="354">
      <c r="A354" s="25"/>
      <c r="B354" s="25" t="str">
        <f>'Ingest Template'!C353&amp;IF('Ingest Template'!A353 = "Standard", " - DAR","")</f>
        <v/>
      </c>
      <c r="C354" s="34" t="s">
        <v>92</v>
      </c>
      <c r="D354" s="34" t="str">
        <f>CONCATENATE('Ingest Template'!E354&amp;Char(10)&amp;'Ingest Template'!G354&amp;Char(10)&amp;'Ingest Template'!H354&amp;Char(10)&amp;'Ingest Template'!I354&amp;Char(10)&amp;'Ingest Template'!J354&amp;Char(10)&amp;'Ingest Template'!K354&amp;Char(10)&amp;'Ingest Template'!L354)</f>
        <v>
</v>
      </c>
      <c r="E354" s="25" t="str">
        <f>('Ingest Template'!M354)</f>
        <v/>
      </c>
      <c r="F354" s="40" t="str">
        <f t="array" ref="F354">INDEX(DropDown!$J$2:$J$63,MATCH(1,COUNTIF(E354,DropDown!$I$2:$I$63),0))</f>
        <v>#N/A</v>
      </c>
      <c r="G354" s="25"/>
      <c r="H354" s="25"/>
      <c r="I354" s="25"/>
      <c r="J354" s="25" t="str">
        <f>'Ingest Template'!B354</f>
        <v/>
      </c>
      <c r="K354" s="25" t="str">
        <f>IF('Ingest Template'!A353="Standard",'Ingest Template'!N353,"Competitive View")</f>
        <v>Competitive View</v>
      </c>
      <c r="L354" s="41" t="s">
        <v>145</v>
      </c>
      <c r="M354" s="25" t="str">
        <f>'Ingest Template'!D353</f>
        <v/>
      </c>
      <c r="N354" s="25"/>
      <c r="O354" s="25"/>
      <c r="P354" s="25"/>
      <c r="Q354" s="25"/>
      <c r="R354" s="25" t="str">
        <f>CONCATENATE('Ingest Template'!F353)</f>
        <v/>
      </c>
      <c r="S354" s="43" t="s">
        <v>160</v>
      </c>
      <c r="T354" s="25" t="str">
        <f>'Ingest Template'!W353</f>
        <v/>
      </c>
      <c r="U354" s="25"/>
      <c r="V354" s="25" t="str">
        <f>LOWER(SUBSTITUTE(SUBSTITUTE(SUBSTITUTE(SUBSTITUTE(SUBSTITUTE('Ingest Template'!Y353,"https:",""),"www.",""),"/",""),"?hl=en",""),"instagram.com",""))</f>
        <v/>
      </c>
      <c r="W354" s="34" t="str">
        <f>(IFERROR(vlookup('Ingest Template'!F354,DropDown!D:E,2,false)&amp;'Ingest Template'!C354,""))</f>
        <v/>
      </c>
      <c r="X354" s="25" t="str">
        <f>'Ingest Template'!AA353</f>
        <v/>
      </c>
      <c r="Y354" s="25"/>
      <c r="Z354" s="25"/>
      <c r="AA354" s="25"/>
      <c r="AB354" s="25" t="str">
        <f>'Ingest Template'!T353</f>
        <v/>
      </c>
      <c r="AC354" s="25"/>
      <c r="AD354" s="25" t="str">
        <f>'Ingest Template'!U353</f>
        <v/>
      </c>
      <c r="AE354" s="25" t="str">
        <f>'Ingest Template'!V353</f>
        <v/>
      </c>
      <c r="AF354" s="25"/>
      <c r="AG354" s="25" t="str">
        <f t="array" ref="AG354">IF('Ingest Template'!A353="Standard",(CONCATENATE(IF(ISBLANK('Ingest Template'!O353),"", 'Ingest Template'!O353&amp;"|DAR"),CHAR(10), IF(ISBLANK('Ingest Template'!P353),"", 'Ingest Template'!P353&amp;"|DAR"),CHAR(10), IF(ISBLANK('Ingest Template'!Q353),"", 'Ingest Template'!Q353&amp;"|DAR"))),(CONCATENATE(IF(ISBLANK('Ingest Template'!O353),"", 'Ingest Template'!O353&amp;"|Operations - Core Title"),CHAR(10), IF(ISBLANK('Ingest Template'!P353),"", 'Ingest Template'!P353&amp;"|Operations - Core Title"),CHAR(10), IF(ISBLANK('Ingest Template'!Q353),"", 'Ingest Template'!Q353&amp;"|Operations - Core Title"))))</f>
        <v>#|Operations - Core Title
#videoGame|Operations - Core Title
</v>
      </c>
      <c r="AH354" s="25"/>
      <c r="AI354" s="25"/>
      <c r="AJ354" s="50" t="str">
        <f>if('Ingest Template'!A353="Standard",'Ingest Template'!R353&amp; "|DAR|DAR|2021-01-01",'Ingest Template'!R353&amp; "|Operations - Core Title|Operations - Core Title")</f>
        <v>#N/A</v>
      </c>
      <c r="AK354" s="25"/>
      <c r="AL354" s="25" t="str">
        <f>if('Ingest Template'!A353="Standard",'Ingest Template'!S353&amp; "|2021-01-01",'Ingest Template'!S353)</f>
        <v>#N/A</v>
      </c>
      <c r="AM354" s="25"/>
    </row>
    <row r="355">
      <c r="A355" s="25"/>
      <c r="B355" s="25" t="str">
        <f>'Ingest Template'!C354&amp;IF('Ingest Template'!A354 = "Standard", " - DAR","")</f>
        <v/>
      </c>
      <c r="C355" s="34" t="s">
        <v>92</v>
      </c>
      <c r="D355" s="34" t="str">
        <f>CONCATENATE('Ingest Template'!E355&amp;Char(10)&amp;'Ingest Template'!G355&amp;Char(10)&amp;'Ingest Template'!H355&amp;Char(10)&amp;'Ingest Template'!I355&amp;Char(10)&amp;'Ingest Template'!J355&amp;Char(10)&amp;'Ingest Template'!K355&amp;Char(10)&amp;'Ingest Template'!L355)</f>
        <v>
</v>
      </c>
      <c r="E355" s="25" t="str">
        <f>('Ingest Template'!M355)</f>
        <v/>
      </c>
      <c r="F355" s="40" t="str">
        <f t="array" ref="F355">INDEX(DropDown!$J$2:$J$63,MATCH(1,COUNTIF(E355,DropDown!$I$2:$I$63),0))</f>
        <v>#N/A</v>
      </c>
      <c r="G355" s="25"/>
      <c r="H355" s="25"/>
      <c r="I355" s="25"/>
      <c r="J355" s="25" t="str">
        <f>'Ingest Template'!B355</f>
        <v/>
      </c>
      <c r="K355" s="25" t="str">
        <f>IF('Ingest Template'!A354="Standard",'Ingest Template'!N354,"Competitive View")</f>
        <v>Competitive View</v>
      </c>
      <c r="L355" s="41" t="s">
        <v>145</v>
      </c>
      <c r="M355" s="25" t="str">
        <f>'Ingest Template'!D354</f>
        <v/>
      </c>
      <c r="N355" s="25"/>
      <c r="O355" s="25"/>
      <c r="P355" s="25"/>
      <c r="Q355" s="25"/>
      <c r="R355" s="25" t="str">
        <f>CONCATENATE('Ingest Template'!F354)</f>
        <v/>
      </c>
      <c r="S355" s="43" t="s">
        <v>160</v>
      </c>
      <c r="T355" s="25" t="str">
        <f>'Ingest Template'!W354</f>
        <v/>
      </c>
      <c r="U355" s="25"/>
      <c r="V355" s="25" t="str">
        <f>LOWER(SUBSTITUTE(SUBSTITUTE(SUBSTITUTE(SUBSTITUTE(SUBSTITUTE('Ingest Template'!Y354,"https:",""),"www.",""),"/",""),"?hl=en",""),"instagram.com",""))</f>
        <v/>
      </c>
      <c r="W355" s="34" t="str">
        <f>(IFERROR(vlookup('Ingest Template'!F355,DropDown!D:E,2,false)&amp;'Ingest Template'!C355,""))</f>
        <v/>
      </c>
      <c r="X355" s="25" t="str">
        <f>'Ingest Template'!AA354</f>
        <v/>
      </c>
      <c r="Y355" s="25"/>
      <c r="Z355" s="25"/>
      <c r="AA355" s="25"/>
      <c r="AB355" s="25" t="str">
        <f>'Ingest Template'!T354</f>
        <v/>
      </c>
      <c r="AC355" s="25"/>
      <c r="AD355" s="25" t="str">
        <f>'Ingest Template'!U354</f>
        <v/>
      </c>
      <c r="AE355" s="25" t="str">
        <f>'Ingest Template'!V354</f>
        <v/>
      </c>
      <c r="AF355" s="25"/>
      <c r="AG355" s="25" t="str">
        <f t="array" ref="AG355">IF('Ingest Template'!A354="Standard",(CONCATENATE(IF(ISBLANK('Ingest Template'!O354),"", 'Ingest Template'!O354&amp;"|DAR"),CHAR(10), IF(ISBLANK('Ingest Template'!P354),"", 'Ingest Template'!P354&amp;"|DAR"),CHAR(10), IF(ISBLANK('Ingest Template'!Q354),"", 'Ingest Template'!Q354&amp;"|DAR"))),(CONCATENATE(IF(ISBLANK('Ingest Template'!O354),"", 'Ingest Template'!O354&amp;"|Operations - Core Title"),CHAR(10), IF(ISBLANK('Ingest Template'!P354),"", 'Ingest Template'!P354&amp;"|Operations - Core Title"),CHAR(10), IF(ISBLANK('Ingest Template'!Q354),"", 'Ingest Template'!Q354&amp;"|Operations - Core Title"))))</f>
        <v>#|Operations - Core Title
#videoGame|Operations - Core Title
</v>
      </c>
      <c r="AH355" s="25"/>
      <c r="AI355" s="25"/>
      <c r="AJ355" s="50" t="str">
        <f>if('Ingest Template'!A354="Standard",'Ingest Template'!R354&amp; "|DAR|DAR|2021-01-01",'Ingest Template'!R354&amp; "|Operations - Core Title|Operations - Core Title")</f>
        <v>#N/A</v>
      </c>
      <c r="AK355" s="25"/>
      <c r="AL355" s="25" t="str">
        <f>if('Ingest Template'!A354="Standard",'Ingest Template'!S354&amp; "|2021-01-01",'Ingest Template'!S354)</f>
        <v>#N/A</v>
      </c>
      <c r="AM355" s="25"/>
    </row>
    <row r="356">
      <c r="A356" s="25"/>
      <c r="B356" s="25" t="str">
        <f>'Ingest Template'!C355&amp;IF('Ingest Template'!A355 = "Standard", " - DAR","")</f>
        <v/>
      </c>
      <c r="C356" s="34" t="s">
        <v>92</v>
      </c>
      <c r="D356" s="34" t="str">
        <f>CONCATENATE('Ingest Template'!E356&amp;Char(10)&amp;'Ingest Template'!G356&amp;Char(10)&amp;'Ingest Template'!H356&amp;Char(10)&amp;'Ingest Template'!I356&amp;Char(10)&amp;'Ingest Template'!J356&amp;Char(10)&amp;'Ingest Template'!K356&amp;Char(10)&amp;'Ingest Template'!L356)</f>
        <v>
</v>
      </c>
      <c r="E356" s="25" t="str">
        <f>('Ingest Template'!M356)</f>
        <v/>
      </c>
      <c r="F356" s="40" t="str">
        <f t="array" ref="F356">INDEX(DropDown!$J$2:$J$63,MATCH(1,COUNTIF(E356,DropDown!$I$2:$I$63),0))</f>
        <v>#N/A</v>
      </c>
      <c r="G356" s="25"/>
      <c r="H356" s="25"/>
      <c r="I356" s="25"/>
      <c r="J356" s="25" t="str">
        <f>'Ingest Template'!B356</f>
        <v/>
      </c>
      <c r="K356" s="25" t="str">
        <f>IF('Ingest Template'!A355="Standard",'Ingest Template'!N355,"Competitive View")</f>
        <v>Competitive View</v>
      </c>
      <c r="L356" s="41" t="s">
        <v>145</v>
      </c>
      <c r="M356" s="25" t="str">
        <f>'Ingest Template'!D355</f>
        <v/>
      </c>
      <c r="N356" s="25"/>
      <c r="O356" s="25"/>
      <c r="P356" s="25"/>
      <c r="Q356" s="25"/>
      <c r="R356" s="25" t="str">
        <f>CONCATENATE('Ingest Template'!F355)</f>
        <v/>
      </c>
      <c r="S356" s="43" t="s">
        <v>160</v>
      </c>
      <c r="T356" s="25" t="str">
        <f>'Ingest Template'!W355</f>
        <v/>
      </c>
      <c r="U356" s="25"/>
      <c r="V356" s="25" t="str">
        <f>LOWER(SUBSTITUTE(SUBSTITUTE(SUBSTITUTE(SUBSTITUTE(SUBSTITUTE('Ingest Template'!Y355,"https:",""),"www.",""),"/",""),"?hl=en",""),"instagram.com",""))</f>
        <v/>
      </c>
      <c r="W356" s="34" t="str">
        <f>(IFERROR(vlookup('Ingest Template'!F356,DropDown!D:E,2,false)&amp;'Ingest Template'!C356,""))</f>
        <v/>
      </c>
      <c r="X356" s="25" t="str">
        <f>'Ingest Template'!AA355</f>
        <v/>
      </c>
      <c r="Y356" s="25"/>
      <c r="Z356" s="25"/>
      <c r="AA356" s="25"/>
      <c r="AB356" s="25" t="str">
        <f>'Ingest Template'!T355</f>
        <v/>
      </c>
      <c r="AC356" s="25"/>
      <c r="AD356" s="25" t="str">
        <f>'Ingest Template'!U355</f>
        <v/>
      </c>
      <c r="AE356" s="25" t="str">
        <f>'Ingest Template'!V355</f>
        <v/>
      </c>
      <c r="AF356" s="25"/>
      <c r="AG356" s="25" t="str">
        <f t="array" ref="AG356">IF('Ingest Template'!A355="Standard",(CONCATENATE(IF(ISBLANK('Ingest Template'!O355),"", 'Ingest Template'!O355&amp;"|DAR"),CHAR(10), IF(ISBLANK('Ingest Template'!P355),"", 'Ingest Template'!P355&amp;"|DAR"),CHAR(10), IF(ISBLANK('Ingest Template'!Q355),"", 'Ingest Template'!Q355&amp;"|DAR"))),(CONCATENATE(IF(ISBLANK('Ingest Template'!O355),"", 'Ingest Template'!O355&amp;"|Operations - Core Title"),CHAR(10), IF(ISBLANK('Ingest Template'!P355),"", 'Ingest Template'!P355&amp;"|Operations - Core Title"),CHAR(10), IF(ISBLANK('Ingest Template'!Q355),"", 'Ingest Template'!Q355&amp;"|Operations - Core Title"))))</f>
        <v>#|Operations - Core Title
#videoGame|Operations - Core Title
</v>
      </c>
      <c r="AH356" s="25"/>
      <c r="AI356" s="25"/>
      <c r="AJ356" s="50" t="str">
        <f>if('Ingest Template'!A355="Standard",'Ingest Template'!R355&amp; "|DAR|DAR|2021-01-01",'Ingest Template'!R355&amp; "|Operations - Core Title|Operations - Core Title")</f>
        <v>#N/A</v>
      </c>
      <c r="AK356" s="25"/>
      <c r="AL356" s="25" t="str">
        <f>if('Ingest Template'!A355="Standard",'Ingest Template'!S355&amp; "|2021-01-01",'Ingest Template'!S355)</f>
        <v>#N/A</v>
      </c>
      <c r="AM356" s="25"/>
    </row>
    <row r="357">
      <c r="A357" s="25"/>
      <c r="B357" s="25" t="str">
        <f>'Ingest Template'!C356&amp;IF('Ingest Template'!A356 = "Standard", " - DAR","")</f>
        <v/>
      </c>
      <c r="C357" s="34" t="s">
        <v>92</v>
      </c>
      <c r="D357" s="34" t="str">
        <f>CONCATENATE('Ingest Template'!E357&amp;Char(10)&amp;'Ingest Template'!G357&amp;Char(10)&amp;'Ingest Template'!H357&amp;Char(10)&amp;'Ingest Template'!I357&amp;Char(10)&amp;'Ingest Template'!J357&amp;Char(10)&amp;'Ingest Template'!K357&amp;Char(10)&amp;'Ingest Template'!L357)</f>
        <v>
</v>
      </c>
      <c r="E357" s="25" t="str">
        <f>('Ingest Template'!M357)</f>
        <v/>
      </c>
      <c r="F357" s="40" t="str">
        <f t="array" ref="F357">INDEX(DropDown!$J$2:$J$63,MATCH(1,COUNTIF(E357,DropDown!$I$2:$I$63),0))</f>
        <v>#N/A</v>
      </c>
      <c r="G357" s="25"/>
      <c r="H357" s="25"/>
      <c r="I357" s="25"/>
      <c r="J357" s="25" t="str">
        <f>'Ingest Template'!B357</f>
        <v/>
      </c>
      <c r="K357" s="25" t="str">
        <f>IF('Ingest Template'!A356="Standard",'Ingest Template'!N356,"Competitive View")</f>
        <v>Competitive View</v>
      </c>
      <c r="L357" s="41" t="s">
        <v>145</v>
      </c>
      <c r="M357" s="25" t="str">
        <f>'Ingest Template'!D356</f>
        <v/>
      </c>
      <c r="N357" s="25"/>
      <c r="O357" s="25"/>
      <c r="P357" s="25"/>
      <c r="Q357" s="25"/>
      <c r="R357" s="25" t="str">
        <f>CONCATENATE('Ingest Template'!F356)</f>
        <v/>
      </c>
      <c r="S357" s="43" t="s">
        <v>160</v>
      </c>
      <c r="T357" s="25" t="str">
        <f>'Ingest Template'!W356</f>
        <v/>
      </c>
      <c r="U357" s="25"/>
      <c r="V357" s="25" t="str">
        <f>LOWER(SUBSTITUTE(SUBSTITUTE(SUBSTITUTE(SUBSTITUTE(SUBSTITUTE('Ingest Template'!Y356,"https:",""),"www.",""),"/",""),"?hl=en",""),"instagram.com",""))</f>
        <v/>
      </c>
      <c r="W357" s="34" t="str">
        <f>(IFERROR(vlookup('Ingest Template'!F357,DropDown!D:E,2,false)&amp;'Ingest Template'!C357,""))</f>
        <v/>
      </c>
      <c r="X357" s="25" t="str">
        <f>'Ingest Template'!AA356</f>
        <v/>
      </c>
      <c r="Y357" s="25"/>
      <c r="Z357" s="25"/>
      <c r="AA357" s="25"/>
      <c r="AB357" s="25" t="str">
        <f>'Ingest Template'!T356</f>
        <v/>
      </c>
      <c r="AC357" s="25"/>
      <c r="AD357" s="25" t="str">
        <f>'Ingest Template'!U356</f>
        <v/>
      </c>
      <c r="AE357" s="25" t="str">
        <f>'Ingest Template'!V356</f>
        <v/>
      </c>
      <c r="AF357" s="25"/>
      <c r="AG357" s="25" t="str">
        <f t="array" ref="AG357">IF('Ingest Template'!A356="Standard",(CONCATENATE(IF(ISBLANK('Ingest Template'!O356),"", 'Ingest Template'!O356&amp;"|DAR"),CHAR(10), IF(ISBLANK('Ingest Template'!P356),"", 'Ingest Template'!P356&amp;"|DAR"),CHAR(10), IF(ISBLANK('Ingest Template'!Q356),"", 'Ingest Template'!Q356&amp;"|DAR"))),(CONCATENATE(IF(ISBLANK('Ingest Template'!O356),"", 'Ingest Template'!O356&amp;"|Operations - Core Title"),CHAR(10), IF(ISBLANK('Ingest Template'!P356),"", 'Ingest Template'!P356&amp;"|Operations - Core Title"),CHAR(10), IF(ISBLANK('Ingest Template'!Q356),"", 'Ingest Template'!Q356&amp;"|Operations - Core Title"))))</f>
        <v>#|Operations - Core Title
#videoGame|Operations - Core Title
</v>
      </c>
      <c r="AH357" s="25"/>
      <c r="AI357" s="25"/>
      <c r="AJ357" s="50" t="str">
        <f>if('Ingest Template'!A356="Standard",'Ingest Template'!R356&amp; "|DAR|DAR|2021-01-01",'Ingest Template'!R356&amp; "|Operations - Core Title|Operations - Core Title")</f>
        <v>#N/A</v>
      </c>
      <c r="AK357" s="25"/>
      <c r="AL357" s="25" t="str">
        <f>if('Ingest Template'!A356="Standard",'Ingest Template'!S356&amp; "|2021-01-01",'Ingest Template'!S356)</f>
        <v>#N/A</v>
      </c>
      <c r="AM357" s="25"/>
    </row>
    <row r="358">
      <c r="A358" s="25"/>
      <c r="B358" s="25" t="str">
        <f>'Ingest Template'!C357&amp;IF('Ingest Template'!A357 = "Standard", " - DAR","")</f>
        <v/>
      </c>
      <c r="C358" s="34" t="s">
        <v>92</v>
      </c>
      <c r="D358" s="34" t="str">
        <f>CONCATENATE('Ingest Template'!E358&amp;Char(10)&amp;'Ingest Template'!G358&amp;Char(10)&amp;'Ingest Template'!H358&amp;Char(10)&amp;'Ingest Template'!I358&amp;Char(10)&amp;'Ingest Template'!J358&amp;Char(10)&amp;'Ingest Template'!K358&amp;Char(10)&amp;'Ingest Template'!L358)</f>
        <v>
</v>
      </c>
      <c r="E358" s="25" t="str">
        <f>('Ingest Template'!M358)</f>
        <v/>
      </c>
      <c r="F358" s="40" t="str">
        <f t="array" ref="F358">INDEX(DropDown!$J$2:$J$63,MATCH(1,COUNTIF(E358,DropDown!$I$2:$I$63),0))</f>
        <v>#N/A</v>
      </c>
      <c r="G358" s="25"/>
      <c r="H358" s="25"/>
      <c r="I358" s="25"/>
      <c r="J358" s="25" t="str">
        <f>'Ingest Template'!B358</f>
        <v/>
      </c>
      <c r="K358" s="25" t="str">
        <f>IF('Ingest Template'!A357="Standard",'Ingest Template'!N357,"Competitive View")</f>
        <v>Competitive View</v>
      </c>
      <c r="L358" s="41" t="s">
        <v>145</v>
      </c>
      <c r="M358" s="25" t="str">
        <f>'Ingest Template'!D357</f>
        <v/>
      </c>
      <c r="N358" s="25"/>
      <c r="O358" s="25"/>
      <c r="P358" s="25"/>
      <c r="Q358" s="25"/>
      <c r="R358" s="25" t="str">
        <f>CONCATENATE('Ingest Template'!F357)</f>
        <v/>
      </c>
      <c r="S358" s="43" t="s">
        <v>160</v>
      </c>
      <c r="T358" s="25" t="str">
        <f>'Ingest Template'!W357</f>
        <v/>
      </c>
      <c r="U358" s="25"/>
      <c r="V358" s="25" t="str">
        <f>LOWER(SUBSTITUTE(SUBSTITUTE(SUBSTITUTE(SUBSTITUTE(SUBSTITUTE('Ingest Template'!Y357,"https:",""),"www.",""),"/",""),"?hl=en",""),"instagram.com",""))</f>
        <v/>
      </c>
      <c r="W358" s="34" t="str">
        <f>(IFERROR(vlookup('Ingest Template'!F358,DropDown!D:E,2,false)&amp;'Ingest Template'!C358,""))</f>
        <v/>
      </c>
      <c r="X358" s="25" t="str">
        <f>'Ingest Template'!AA357</f>
        <v/>
      </c>
      <c r="Y358" s="25"/>
      <c r="Z358" s="25"/>
      <c r="AA358" s="25"/>
      <c r="AB358" s="25" t="str">
        <f>'Ingest Template'!T357</f>
        <v/>
      </c>
      <c r="AC358" s="25"/>
      <c r="AD358" s="25" t="str">
        <f>'Ingest Template'!U357</f>
        <v/>
      </c>
      <c r="AE358" s="25" t="str">
        <f>'Ingest Template'!V357</f>
        <v/>
      </c>
      <c r="AF358" s="25"/>
      <c r="AG358" s="25" t="str">
        <f t="array" ref="AG358">IF('Ingest Template'!A357="Standard",(CONCATENATE(IF(ISBLANK('Ingest Template'!O357),"", 'Ingest Template'!O357&amp;"|DAR"),CHAR(10), IF(ISBLANK('Ingest Template'!P357),"", 'Ingest Template'!P357&amp;"|DAR"),CHAR(10), IF(ISBLANK('Ingest Template'!Q357),"", 'Ingest Template'!Q357&amp;"|DAR"))),(CONCATENATE(IF(ISBLANK('Ingest Template'!O357),"", 'Ingest Template'!O357&amp;"|Operations - Core Title"),CHAR(10), IF(ISBLANK('Ingest Template'!P357),"", 'Ingest Template'!P357&amp;"|Operations - Core Title"),CHAR(10), IF(ISBLANK('Ingest Template'!Q357),"", 'Ingest Template'!Q357&amp;"|Operations - Core Title"))))</f>
        <v>#|Operations - Core Title
#videoGame|Operations - Core Title
</v>
      </c>
      <c r="AH358" s="25"/>
      <c r="AI358" s="25"/>
      <c r="AJ358" s="50" t="str">
        <f>if('Ingest Template'!A357="Standard",'Ingest Template'!R357&amp; "|DAR|DAR|2021-01-01",'Ingest Template'!R357&amp; "|Operations - Core Title|Operations - Core Title")</f>
        <v>#N/A</v>
      </c>
      <c r="AK358" s="25"/>
      <c r="AL358" s="25" t="str">
        <f>if('Ingest Template'!A357="Standard",'Ingest Template'!S357&amp; "|2021-01-01",'Ingest Template'!S357)</f>
        <v>#N/A</v>
      </c>
      <c r="AM358" s="25"/>
    </row>
    <row r="359">
      <c r="A359" s="25"/>
      <c r="B359" s="25" t="str">
        <f>'Ingest Template'!C358&amp;IF('Ingest Template'!A358 = "Standard", " - DAR","")</f>
        <v/>
      </c>
      <c r="C359" s="34" t="s">
        <v>92</v>
      </c>
      <c r="D359" s="34" t="str">
        <f>CONCATENATE('Ingest Template'!E359&amp;Char(10)&amp;'Ingest Template'!G359&amp;Char(10)&amp;'Ingest Template'!H359&amp;Char(10)&amp;'Ingest Template'!I359&amp;Char(10)&amp;'Ingest Template'!J359&amp;Char(10)&amp;'Ingest Template'!K359&amp;Char(10)&amp;'Ingest Template'!L359)</f>
        <v>
</v>
      </c>
      <c r="E359" s="25" t="str">
        <f>('Ingest Template'!M359)</f>
        <v/>
      </c>
      <c r="F359" s="40" t="str">
        <f t="array" ref="F359">INDEX(DropDown!$J$2:$J$63,MATCH(1,COUNTIF(E359,DropDown!$I$2:$I$63),0))</f>
        <v>#N/A</v>
      </c>
      <c r="G359" s="25"/>
      <c r="H359" s="25"/>
      <c r="I359" s="25"/>
      <c r="J359" s="25" t="str">
        <f>'Ingest Template'!B359</f>
        <v/>
      </c>
      <c r="K359" s="25" t="str">
        <f>IF('Ingest Template'!A358="Standard",'Ingest Template'!N358,"Competitive View")</f>
        <v>Competitive View</v>
      </c>
      <c r="L359" s="41" t="s">
        <v>145</v>
      </c>
      <c r="M359" s="25" t="str">
        <f>'Ingest Template'!D358</f>
        <v/>
      </c>
      <c r="N359" s="25"/>
      <c r="O359" s="25"/>
      <c r="P359" s="25"/>
      <c r="Q359" s="25"/>
      <c r="R359" s="25" t="str">
        <f>CONCATENATE('Ingest Template'!F358)</f>
        <v/>
      </c>
      <c r="S359" s="43" t="s">
        <v>160</v>
      </c>
      <c r="T359" s="25" t="str">
        <f>'Ingest Template'!W358</f>
        <v/>
      </c>
      <c r="U359" s="25"/>
      <c r="V359" s="25" t="str">
        <f>LOWER(SUBSTITUTE(SUBSTITUTE(SUBSTITUTE(SUBSTITUTE(SUBSTITUTE('Ingest Template'!Y358,"https:",""),"www.",""),"/",""),"?hl=en",""),"instagram.com",""))</f>
        <v/>
      </c>
      <c r="W359" s="34" t="str">
        <f>(IFERROR(vlookup('Ingest Template'!F359,DropDown!D:E,2,false)&amp;'Ingest Template'!C359,""))</f>
        <v/>
      </c>
      <c r="X359" s="25" t="str">
        <f>'Ingest Template'!AA358</f>
        <v/>
      </c>
      <c r="Y359" s="25"/>
      <c r="Z359" s="25"/>
      <c r="AA359" s="25"/>
      <c r="AB359" s="25" t="str">
        <f>'Ingest Template'!T358</f>
        <v/>
      </c>
      <c r="AC359" s="25"/>
      <c r="AD359" s="25" t="str">
        <f>'Ingest Template'!U358</f>
        <v/>
      </c>
      <c r="AE359" s="25" t="str">
        <f>'Ingest Template'!V358</f>
        <v/>
      </c>
      <c r="AF359" s="25"/>
      <c r="AG359" s="25" t="str">
        <f t="array" ref="AG359">IF('Ingest Template'!A358="Standard",(CONCATENATE(IF(ISBLANK('Ingest Template'!O358),"", 'Ingest Template'!O358&amp;"|DAR"),CHAR(10), IF(ISBLANK('Ingest Template'!P358),"", 'Ingest Template'!P358&amp;"|DAR"),CHAR(10), IF(ISBLANK('Ingest Template'!Q358),"", 'Ingest Template'!Q358&amp;"|DAR"))),(CONCATENATE(IF(ISBLANK('Ingest Template'!O358),"", 'Ingest Template'!O358&amp;"|Operations - Core Title"),CHAR(10), IF(ISBLANK('Ingest Template'!P358),"", 'Ingest Template'!P358&amp;"|Operations - Core Title"),CHAR(10), IF(ISBLANK('Ingest Template'!Q358),"", 'Ingest Template'!Q358&amp;"|Operations - Core Title"))))</f>
        <v>#|Operations - Core Title
#videoGame|Operations - Core Title
</v>
      </c>
      <c r="AH359" s="25"/>
      <c r="AI359" s="25"/>
      <c r="AJ359" s="50" t="str">
        <f>if('Ingest Template'!A358="Standard",'Ingest Template'!R358&amp; "|DAR|DAR|2021-01-01",'Ingest Template'!R358&amp; "|Operations - Core Title|Operations - Core Title")</f>
        <v>#N/A</v>
      </c>
      <c r="AK359" s="25"/>
      <c r="AL359" s="25" t="str">
        <f>if('Ingest Template'!A358="Standard",'Ingest Template'!S358&amp; "|2021-01-01",'Ingest Template'!S358)</f>
        <v>#N/A</v>
      </c>
      <c r="AM359" s="25"/>
    </row>
    <row r="360">
      <c r="A360" s="25"/>
      <c r="B360" s="25" t="str">
        <f>'Ingest Template'!C359&amp;IF('Ingest Template'!A359 = "Standard", " - DAR","")</f>
        <v/>
      </c>
      <c r="C360" s="34" t="s">
        <v>92</v>
      </c>
      <c r="D360" s="34" t="str">
        <f>CONCATENATE('Ingest Template'!E360&amp;Char(10)&amp;'Ingest Template'!G360&amp;Char(10)&amp;'Ingest Template'!H360&amp;Char(10)&amp;'Ingest Template'!I360&amp;Char(10)&amp;'Ingest Template'!J360&amp;Char(10)&amp;'Ingest Template'!K360&amp;Char(10)&amp;'Ingest Template'!L360)</f>
        <v>
</v>
      </c>
      <c r="E360" s="25" t="str">
        <f>('Ingest Template'!M360)</f>
        <v/>
      </c>
      <c r="F360" s="40" t="str">
        <f t="array" ref="F360">INDEX(DropDown!$J$2:$J$63,MATCH(1,COUNTIF(E360,DropDown!$I$2:$I$63),0))</f>
        <v>#N/A</v>
      </c>
      <c r="G360" s="25"/>
      <c r="H360" s="25"/>
      <c r="I360" s="25"/>
      <c r="J360" s="25" t="str">
        <f>'Ingest Template'!B360</f>
        <v/>
      </c>
      <c r="K360" s="25" t="str">
        <f>IF('Ingest Template'!A359="Standard",'Ingest Template'!N359,"Competitive View")</f>
        <v>Competitive View</v>
      </c>
      <c r="L360" s="41" t="s">
        <v>145</v>
      </c>
      <c r="M360" s="25" t="str">
        <f>'Ingest Template'!D359</f>
        <v/>
      </c>
      <c r="N360" s="25"/>
      <c r="O360" s="25"/>
      <c r="P360" s="25"/>
      <c r="Q360" s="25"/>
      <c r="R360" s="25" t="str">
        <f>CONCATENATE('Ingest Template'!F359)</f>
        <v/>
      </c>
      <c r="S360" s="43" t="s">
        <v>160</v>
      </c>
      <c r="T360" s="25" t="str">
        <f>'Ingest Template'!W359</f>
        <v/>
      </c>
      <c r="U360" s="25"/>
      <c r="V360" s="25" t="str">
        <f>LOWER(SUBSTITUTE(SUBSTITUTE(SUBSTITUTE(SUBSTITUTE(SUBSTITUTE('Ingest Template'!Y359,"https:",""),"www.",""),"/",""),"?hl=en",""),"instagram.com",""))</f>
        <v/>
      </c>
      <c r="W360" s="34" t="str">
        <f>(IFERROR(vlookup('Ingest Template'!F360,DropDown!D:E,2,false)&amp;'Ingest Template'!C360,""))</f>
        <v/>
      </c>
      <c r="X360" s="25" t="str">
        <f>'Ingest Template'!AA359</f>
        <v/>
      </c>
      <c r="Y360" s="25"/>
      <c r="Z360" s="25"/>
      <c r="AA360" s="25"/>
      <c r="AB360" s="25" t="str">
        <f>'Ingest Template'!T359</f>
        <v/>
      </c>
      <c r="AC360" s="25"/>
      <c r="AD360" s="25" t="str">
        <f>'Ingest Template'!U359</f>
        <v/>
      </c>
      <c r="AE360" s="25" t="str">
        <f>'Ingest Template'!V359</f>
        <v/>
      </c>
      <c r="AF360" s="25"/>
      <c r="AG360" s="25" t="str">
        <f t="array" ref="AG360">IF('Ingest Template'!A359="Standard",(CONCATENATE(IF(ISBLANK('Ingest Template'!O359),"", 'Ingest Template'!O359&amp;"|DAR"),CHAR(10), IF(ISBLANK('Ingest Template'!P359),"", 'Ingest Template'!P359&amp;"|DAR"),CHAR(10), IF(ISBLANK('Ingest Template'!Q359),"", 'Ingest Template'!Q359&amp;"|DAR"))),(CONCATENATE(IF(ISBLANK('Ingest Template'!O359),"", 'Ingest Template'!O359&amp;"|Operations - Core Title"),CHAR(10), IF(ISBLANK('Ingest Template'!P359),"", 'Ingest Template'!P359&amp;"|Operations - Core Title"),CHAR(10), IF(ISBLANK('Ingest Template'!Q359),"", 'Ingest Template'!Q359&amp;"|Operations - Core Title"))))</f>
        <v>#|Operations - Core Title
#videoGame|Operations - Core Title
</v>
      </c>
      <c r="AH360" s="25"/>
      <c r="AI360" s="25"/>
      <c r="AJ360" s="50" t="str">
        <f>if('Ingest Template'!A359="Standard",'Ingest Template'!R359&amp; "|DAR|DAR|2021-01-01",'Ingest Template'!R359&amp; "|Operations - Core Title|Operations - Core Title")</f>
        <v>#N/A</v>
      </c>
      <c r="AK360" s="25"/>
      <c r="AL360" s="25" t="str">
        <f>if('Ingest Template'!A359="Standard",'Ingest Template'!S359&amp; "|2021-01-01",'Ingest Template'!S359)</f>
        <v>#N/A</v>
      </c>
      <c r="AM360" s="25"/>
    </row>
    <row r="361">
      <c r="A361" s="25"/>
      <c r="B361" s="25" t="str">
        <f>'Ingest Template'!C360&amp;IF('Ingest Template'!A360 = "Standard", " - DAR","")</f>
        <v/>
      </c>
      <c r="C361" s="34" t="s">
        <v>92</v>
      </c>
      <c r="D361" s="34" t="str">
        <f>CONCATENATE('Ingest Template'!E361&amp;Char(10)&amp;'Ingest Template'!G361&amp;Char(10)&amp;'Ingest Template'!H361&amp;Char(10)&amp;'Ingest Template'!I361&amp;Char(10)&amp;'Ingest Template'!J361&amp;Char(10)&amp;'Ingest Template'!K361&amp;Char(10)&amp;'Ingest Template'!L361)</f>
        <v>
</v>
      </c>
      <c r="E361" s="25" t="str">
        <f>('Ingest Template'!M361)</f>
        <v/>
      </c>
      <c r="F361" s="40" t="str">
        <f t="array" ref="F361">INDEX(DropDown!$J$2:$J$63,MATCH(1,COUNTIF(E361,DropDown!$I$2:$I$63),0))</f>
        <v>#N/A</v>
      </c>
      <c r="G361" s="25"/>
      <c r="H361" s="25"/>
      <c r="I361" s="25"/>
      <c r="J361" s="25" t="str">
        <f>'Ingest Template'!B361</f>
        <v/>
      </c>
      <c r="K361" s="25" t="str">
        <f>IF('Ingest Template'!A360="Standard",'Ingest Template'!N360,"Competitive View")</f>
        <v>Competitive View</v>
      </c>
      <c r="L361" s="41" t="s">
        <v>145</v>
      </c>
      <c r="M361" s="25" t="str">
        <f>'Ingest Template'!D360</f>
        <v/>
      </c>
      <c r="N361" s="25"/>
      <c r="O361" s="25"/>
      <c r="P361" s="25"/>
      <c r="Q361" s="25"/>
      <c r="R361" s="25" t="str">
        <f>CONCATENATE('Ingest Template'!F360)</f>
        <v/>
      </c>
      <c r="S361" s="43" t="s">
        <v>160</v>
      </c>
      <c r="T361" s="25" t="str">
        <f>'Ingest Template'!W360</f>
        <v/>
      </c>
      <c r="U361" s="25"/>
      <c r="V361" s="25" t="str">
        <f>LOWER(SUBSTITUTE(SUBSTITUTE(SUBSTITUTE(SUBSTITUTE(SUBSTITUTE('Ingest Template'!Y360,"https:",""),"www.",""),"/",""),"?hl=en",""),"instagram.com",""))</f>
        <v/>
      </c>
      <c r="W361" s="34" t="str">
        <f>(IFERROR(vlookup('Ingest Template'!F361,DropDown!D:E,2,false)&amp;'Ingest Template'!C361,""))</f>
        <v/>
      </c>
      <c r="X361" s="25" t="str">
        <f>'Ingest Template'!AA360</f>
        <v/>
      </c>
      <c r="Y361" s="25"/>
      <c r="Z361" s="25"/>
      <c r="AA361" s="25"/>
      <c r="AB361" s="25" t="str">
        <f>'Ingest Template'!T360</f>
        <v/>
      </c>
      <c r="AC361" s="25"/>
      <c r="AD361" s="25" t="str">
        <f>'Ingest Template'!U360</f>
        <v/>
      </c>
      <c r="AE361" s="25" t="str">
        <f>'Ingest Template'!V360</f>
        <v/>
      </c>
      <c r="AF361" s="25"/>
      <c r="AG361" s="25" t="str">
        <f t="array" ref="AG361">IF('Ingest Template'!A360="Standard",(CONCATENATE(IF(ISBLANK('Ingest Template'!O360),"", 'Ingest Template'!O360&amp;"|DAR"),CHAR(10), IF(ISBLANK('Ingest Template'!P360),"", 'Ingest Template'!P360&amp;"|DAR"),CHAR(10), IF(ISBLANK('Ingest Template'!Q360),"", 'Ingest Template'!Q360&amp;"|DAR"))),(CONCATENATE(IF(ISBLANK('Ingest Template'!O360),"", 'Ingest Template'!O360&amp;"|Operations - Core Title"),CHAR(10), IF(ISBLANK('Ingest Template'!P360),"", 'Ingest Template'!P360&amp;"|Operations - Core Title"),CHAR(10), IF(ISBLANK('Ingest Template'!Q360),"", 'Ingest Template'!Q360&amp;"|Operations - Core Title"))))</f>
        <v>#|Operations - Core Title
#videoGame|Operations - Core Title
</v>
      </c>
      <c r="AH361" s="25"/>
      <c r="AI361" s="25"/>
      <c r="AJ361" s="50" t="str">
        <f>if('Ingest Template'!A360="Standard",'Ingest Template'!R360&amp; "|DAR|DAR|2021-01-01",'Ingest Template'!R360&amp; "|Operations - Core Title|Operations - Core Title")</f>
        <v>#N/A</v>
      </c>
      <c r="AK361" s="25"/>
      <c r="AL361" s="25" t="str">
        <f>if('Ingest Template'!A360="Standard",'Ingest Template'!S360&amp; "|2021-01-01",'Ingest Template'!S360)</f>
        <v>#N/A</v>
      </c>
      <c r="AM361" s="25"/>
    </row>
    <row r="362">
      <c r="A362" s="25"/>
      <c r="B362" s="25" t="str">
        <f>'Ingest Template'!C361&amp;IF('Ingest Template'!A361 = "Standard", " - DAR","")</f>
        <v/>
      </c>
      <c r="C362" s="34" t="s">
        <v>92</v>
      </c>
      <c r="D362" s="34" t="str">
        <f>CONCATENATE('Ingest Template'!E362&amp;Char(10)&amp;'Ingest Template'!G362&amp;Char(10)&amp;'Ingest Template'!H362&amp;Char(10)&amp;'Ingest Template'!I362&amp;Char(10)&amp;'Ingest Template'!J362&amp;Char(10)&amp;'Ingest Template'!K362&amp;Char(10)&amp;'Ingest Template'!L362)</f>
        <v>
</v>
      </c>
      <c r="E362" s="25" t="str">
        <f>('Ingest Template'!M362)</f>
        <v/>
      </c>
      <c r="F362" s="40" t="str">
        <f t="array" ref="F362">INDEX(DropDown!$J$2:$J$63,MATCH(1,COUNTIF(E362,DropDown!$I$2:$I$63),0))</f>
        <v>#N/A</v>
      </c>
      <c r="G362" s="25"/>
      <c r="H362" s="25"/>
      <c r="I362" s="25"/>
      <c r="J362" s="25" t="str">
        <f>'Ingest Template'!B362</f>
        <v/>
      </c>
      <c r="K362" s="25" t="str">
        <f>IF('Ingest Template'!A361="Standard",'Ingest Template'!N361,"Competitive View")</f>
        <v>Competitive View</v>
      </c>
      <c r="L362" s="41" t="s">
        <v>145</v>
      </c>
      <c r="M362" s="25" t="str">
        <f>'Ingest Template'!D361</f>
        <v/>
      </c>
      <c r="N362" s="25"/>
      <c r="O362" s="25"/>
      <c r="P362" s="25"/>
      <c r="Q362" s="25"/>
      <c r="R362" s="25" t="str">
        <f>CONCATENATE('Ingest Template'!F361)</f>
        <v/>
      </c>
      <c r="S362" s="43" t="s">
        <v>160</v>
      </c>
      <c r="T362" s="25" t="str">
        <f>'Ingest Template'!W361</f>
        <v/>
      </c>
      <c r="U362" s="25"/>
      <c r="V362" s="25" t="str">
        <f>LOWER(SUBSTITUTE(SUBSTITUTE(SUBSTITUTE(SUBSTITUTE(SUBSTITUTE('Ingest Template'!Y361,"https:",""),"www.",""),"/",""),"?hl=en",""),"instagram.com",""))</f>
        <v/>
      </c>
      <c r="W362" s="34" t="str">
        <f>(IFERROR(vlookup('Ingest Template'!F362,DropDown!D:E,2,false)&amp;'Ingest Template'!C362,""))</f>
        <v/>
      </c>
      <c r="X362" s="25" t="str">
        <f>'Ingest Template'!AA361</f>
        <v/>
      </c>
      <c r="Y362" s="25"/>
      <c r="Z362" s="25"/>
      <c r="AA362" s="25"/>
      <c r="AB362" s="25" t="str">
        <f>'Ingest Template'!T361</f>
        <v/>
      </c>
      <c r="AC362" s="25"/>
      <c r="AD362" s="25" t="str">
        <f>'Ingest Template'!U361</f>
        <v/>
      </c>
      <c r="AE362" s="25" t="str">
        <f>'Ingest Template'!V361</f>
        <v/>
      </c>
      <c r="AF362" s="25"/>
      <c r="AG362" s="25" t="str">
        <f t="array" ref="AG362">IF('Ingest Template'!A361="Standard",(CONCATENATE(IF(ISBLANK('Ingest Template'!O361),"", 'Ingest Template'!O361&amp;"|DAR"),CHAR(10), IF(ISBLANK('Ingest Template'!P361),"", 'Ingest Template'!P361&amp;"|DAR"),CHAR(10), IF(ISBLANK('Ingest Template'!Q361),"", 'Ingest Template'!Q361&amp;"|DAR"))),(CONCATENATE(IF(ISBLANK('Ingest Template'!O361),"", 'Ingest Template'!O361&amp;"|Operations - Core Title"),CHAR(10), IF(ISBLANK('Ingest Template'!P361),"", 'Ingest Template'!P361&amp;"|Operations - Core Title"),CHAR(10), IF(ISBLANK('Ingest Template'!Q361),"", 'Ingest Template'!Q361&amp;"|Operations - Core Title"))))</f>
        <v>#|Operations - Core Title
#videoGame|Operations - Core Title
</v>
      </c>
      <c r="AH362" s="25"/>
      <c r="AI362" s="25"/>
      <c r="AJ362" s="50" t="str">
        <f>if('Ingest Template'!A361="Standard",'Ingest Template'!R361&amp; "|DAR|DAR|2021-01-01",'Ingest Template'!R361&amp; "|Operations - Core Title|Operations - Core Title")</f>
        <v>#N/A</v>
      </c>
      <c r="AK362" s="25"/>
      <c r="AL362" s="25" t="str">
        <f>if('Ingest Template'!A361="Standard",'Ingest Template'!S361&amp; "|2021-01-01",'Ingest Template'!S361)</f>
        <v>#N/A</v>
      </c>
      <c r="AM362" s="25"/>
    </row>
    <row r="363">
      <c r="A363" s="25"/>
      <c r="B363" s="25" t="str">
        <f>'Ingest Template'!C362&amp;IF('Ingest Template'!A362 = "Standard", " - DAR","")</f>
        <v/>
      </c>
      <c r="C363" s="34" t="s">
        <v>92</v>
      </c>
      <c r="D363" s="34" t="str">
        <f>CONCATENATE('Ingest Template'!E363&amp;Char(10)&amp;'Ingest Template'!G363&amp;Char(10)&amp;'Ingest Template'!H363&amp;Char(10)&amp;'Ingest Template'!I363&amp;Char(10)&amp;'Ingest Template'!J363&amp;Char(10)&amp;'Ingest Template'!K363&amp;Char(10)&amp;'Ingest Template'!L363)</f>
        <v>
</v>
      </c>
      <c r="E363" s="25" t="str">
        <f>('Ingest Template'!M363)</f>
        <v/>
      </c>
      <c r="F363" s="40" t="str">
        <f t="array" ref="F363">INDEX(DropDown!$J$2:$J$63,MATCH(1,COUNTIF(E363,DropDown!$I$2:$I$63),0))</f>
        <v>#N/A</v>
      </c>
      <c r="G363" s="25"/>
      <c r="H363" s="25"/>
      <c r="I363" s="25"/>
      <c r="J363" s="25" t="str">
        <f>'Ingest Template'!B363</f>
        <v/>
      </c>
      <c r="K363" s="25" t="str">
        <f>IF('Ingest Template'!A362="Standard",'Ingest Template'!N362,"Competitive View")</f>
        <v>Competitive View</v>
      </c>
      <c r="L363" s="41" t="s">
        <v>145</v>
      </c>
      <c r="M363" s="25" t="str">
        <f>'Ingest Template'!D362</f>
        <v/>
      </c>
      <c r="N363" s="25"/>
      <c r="O363" s="25"/>
      <c r="P363" s="25"/>
      <c r="Q363" s="25"/>
      <c r="R363" s="25" t="str">
        <f>CONCATENATE('Ingest Template'!F362)</f>
        <v/>
      </c>
      <c r="S363" s="43" t="s">
        <v>160</v>
      </c>
      <c r="T363" s="25" t="str">
        <f>'Ingest Template'!W362</f>
        <v/>
      </c>
      <c r="U363" s="25"/>
      <c r="V363" s="25" t="str">
        <f>LOWER(SUBSTITUTE(SUBSTITUTE(SUBSTITUTE(SUBSTITUTE(SUBSTITUTE('Ingest Template'!Y362,"https:",""),"www.",""),"/",""),"?hl=en",""),"instagram.com",""))</f>
        <v/>
      </c>
      <c r="W363" s="34" t="str">
        <f>(IFERROR(vlookup('Ingest Template'!F363,DropDown!D:E,2,false)&amp;'Ingest Template'!C363,""))</f>
        <v/>
      </c>
      <c r="X363" s="25" t="str">
        <f>'Ingest Template'!AA362</f>
        <v/>
      </c>
      <c r="Y363" s="25"/>
      <c r="Z363" s="25"/>
      <c r="AA363" s="25"/>
      <c r="AB363" s="25" t="str">
        <f>'Ingest Template'!T362</f>
        <v/>
      </c>
      <c r="AC363" s="25"/>
      <c r="AD363" s="25" t="str">
        <f>'Ingest Template'!U362</f>
        <v/>
      </c>
      <c r="AE363" s="25" t="str">
        <f>'Ingest Template'!V362</f>
        <v/>
      </c>
      <c r="AF363" s="25"/>
      <c r="AG363" s="25" t="str">
        <f t="array" ref="AG363">IF('Ingest Template'!A362="Standard",(CONCATENATE(IF(ISBLANK('Ingest Template'!O362),"", 'Ingest Template'!O362&amp;"|DAR"),CHAR(10), IF(ISBLANK('Ingest Template'!P362),"", 'Ingest Template'!P362&amp;"|DAR"),CHAR(10), IF(ISBLANK('Ingest Template'!Q362),"", 'Ingest Template'!Q362&amp;"|DAR"))),(CONCATENATE(IF(ISBLANK('Ingest Template'!O362),"", 'Ingest Template'!O362&amp;"|Operations - Core Title"),CHAR(10), IF(ISBLANK('Ingest Template'!P362),"", 'Ingest Template'!P362&amp;"|Operations - Core Title"),CHAR(10), IF(ISBLANK('Ingest Template'!Q362),"", 'Ingest Template'!Q362&amp;"|Operations - Core Title"))))</f>
        <v>#|Operations - Core Title
#videoGame|Operations - Core Title
</v>
      </c>
      <c r="AH363" s="25"/>
      <c r="AI363" s="25"/>
      <c r="AJ363" s="50" t="str">
        <f>if('Ingest Template'!A362="Standard",'Ingest Template'!R362&amp; "|DAR|DAR|2021-01-01",'Ingest Template'!R362&amp; "|Operations - Core Title|Operations - Core Title")</f>
        <v>#N/A</v>
      </c>
      <c r="AK363" s="25"/>
      <c r="AL363" s="25" t="str">
        <f>if('Ingest Template'!A362="Standard",'Ingest Template'!S362&amp; "|2021-01-01",'Ingest Template'!S362)</f>
        <v>#N/A</v>
      </c>
      <c r="AM363" s="25"/>
    </row>
    <row r="364">
      <c r="A364" s="25"/>
      <c r="B364" s="25" t="str">
        <f>'Ingest Template'!C363&amp;IF('Ingest Template'!A363 = "Standard", " - DAR","")</f>
        <v/>
      </c>
      <c r="C364" s="34" t="s">
        <v>92</v>
      </c>
      <c r="D364" s="34" t="str">
        <f>CONCATENATE('Ingest Template'!E364&amp;Char(10)&amp;'Ingest Template'!G364&amp;Char(10)&amp;'Ingest Template'!H364&amp;Char(10)&amp;'Ingest Template'!I364&amp;Char(10)&amp;'Ingest Template'!J364&amp;Char(10)&amp;'Ingest Template'!K364&amp;Char(10)&amp;'Ingest Template'!L364)</f>
        <v>
</v>
      </c>
      <c r="E364" s="25" t="str">
        <f>('Ingest Template'!M364)</f>
        <v/>
      </c>
      <c r="F364" s="40" t="str">
        <f t="array" ref="F364">INDEX(DropDown!$J$2:$J$63,MATCH(1,COUNTIF(E364,DropDown!$I$2:$I$63),0))</f>
        <v>#N/A</v>
      </c>
      <c r="G364" s="25"/>
      <c r="H364" s="25"/>
      <c r="I364" s="25"/>
      <c r="J364" s="25" t="str">
        <f>'Ingest Template'!B364</f>
        <v/>
      </c>
      <c r="K364" s="25" t="str">
        <f>IF('Ingest Template'!A363="Standard",'Ingest Template'!N363,"Competitive View")</f>
        <v>Competitive View</v>
      </c>
      <c r="L364" s="41" t="s">
        <v>145</v>
      </c>
      <c r="M364" s="25" t="str">
        <f>'Ingest Template'!D363</f>
        <v/>
      </c>
      <c r="N364" s="25"/>
      <c r="O364" s="25"/>
      <c r="P364" s="25"/>
      <c r="Q364" s="25"/>
      <c r="R364" s="25" t="str">
        <f>CONCATENATE('Ingest Template'!F363)</f>
        <v/>
      </c>
      <c r="S364" s="43" t="s">
        <v>160</v>
      </c>
      <c r="T364" s="25" t="str">
        <f>'Ingest Template'!W363</f>
        <v/>
      </c>
      <c r="U364" s="25"/>
      <c r="V364" s="25" t="str">
        <f>LOWER(SUBSTITUTE(SUBSTITUTE(SUBSTITUTE(SUBSTITUTE(SUBSTITUTE('Ingest Template'!Y363,"https:",""),"www.",""),"/",""),"?hl=en",""),"instagram.com",""))</f>
        <v/>
      </c>
      <c r="W364" s="34" t="str">
        <f>(IFERROR(vlookup('Ingest Template'!F364,DropDown!D:E,2,false)&amp;'Ingest Template'!C364,""))</f>
        <v/>
      </c>
      <c r="X364" s="25" t="str">
        <f>'Ingest Template'!AA363</f>
        <v/>
      </c>
      <c r="Y364" s="25"/>
      <c r="Z364" s="25"/>
      <c r="AA364" s="25"/>
      <c r="AB364" s="25" t="str">
        <f>'Ingest Template'!T363</f>
        <v/>
      </c>
      <c r="AC364" s="25"/>
      <c r="AD364" s="25" t="str">
        <f>'Ingest Template'!U363</f>
        <v/>
      </c>
      <c r="AE364" s="25" t="str">
        <f>'Ingest Template'!V363</f>
        <v/>
      </c>
      <c r="AF364" s="25"/>
      <c r="AG364" s="25" t="str">
        <f t="array" ref="AG364">IF('Ingest Template'!A363="Standard",(CONCATENATE(IF(ISBLANK('Ingest Template'!O363),"", 'Ingest Template'!O363&amp;"|DAR"),CHAR(10), IF(ISBLANK('Ingest Template'!P363),"", 'Ingest Template'!P363&amp;"|DAR"),CHAR(10), IF(ISBLANK('Ingest Template'!Q363),"", 'Ingest Template'!Q363&amp;"|DAR"))),(CONCATENATE(IF(ISBLANK('Ingest Template'!O363),"", 'Ingest Template'!O363&amp;"|Operations - Core Title"),CHAR(10), IF(ISBLANK('Ingest Template'!P363),"", 'Ingest Template'!P363&amp;"|Operations - Core Title"),CHAR(10), IF(ISBLANK('Ingest Template'!Q363),"", 'Ingest Template'!Q363&amp;"|Operations - Core Title"))))</f>
        <v>#|Operations - Core Title
#videoGame|Operations - Core Title
</v>
      </c>
      <c r="AH364" s="25"/>
      <c r="AI364" s="25"/>
      <c r="AJ364" s="50" t="str">
        <f>if('Ingest Template'!A363="Standard",'Ingest Template'!R363&amp; "|DAR|DAR|2021-01-01",'Ingest Template'!R363&amp; "|Operations - Core Title|Operations - Core Title")</f>
        <v>#N/A</v>
      </c>
      <c r="AK364" s="25"/>
      <c r="AL364" s="25" t="str">
        <f>if('Ingest Template'!A363="Standard",'Ingest Template'!S363&amp; "|2021-01-01",'Ingest Template'!S363)</f>
        <v>#N/A</v>
      </c>
      <c r="AM364" s="25"/>
    </row>
    <row r="365">
      <c r="A365" s="25"/>
      <c r="B365" s="25" t="str">
        <f>'Ingest Template'!C364&amp;IF('Ingest Template'!A364 = "Standard", " - DAR","")</f>
        <v/>
      </c>
      <c r="C365" s="34" t="s">
        <v>92</v>
      </c>
      <c r="D365" s="34" t="str">
        <f>CONCATENATE('Ingest Template'!E365&amp;Char(10)&amp;'Ingest Template'!G365&amp;Char(10)&amp;'Ingest Template'!H365&amp;Char(10)&amp;'Ingest Template'!I365&amp;Char(10)&amp;'Ingest Template'!J365&amp;Char(10)&amp;'Ingest Template'!K365&amp;Char(10)&amp;'Ingest Template'!L365)</f>
        <v>
</v>
      </c>
      <c r="E365" s="25" t="str">
        <f>('Ingest Template'!M365)</f>
        <v/>
      </c>
      <c r="F365" s="40" t="str">
        <f t="array" ref="F365">INDEX(DropDown!$J$2:$J$63,MATCH(1,COUNTIF(E365,DropDown!$I$2:$I$63),0))</f>
        <v>#N/A</v>
      </c>
      <c r="G365" s="25"/>
      <c r="H365" s="25"/>
      <c r="I365" s="25"/>
      <c r="J365" s="25" t="str">
        <f>'Ingest Template'!B365</f>
        <v/>
      </c>
      <c r="K365" s="25" t="str">
        <f>IF('Ingest Template'!A364="Standard",'Ingest Template'!N364,"Competitive View")</f>
        <v>Competitive View</v>
      </c>
      <c r="L365" s="41" t="s">
        <v>145</v>
      </c>
      <c r="M365" s="25" t="str">
        <f>'Ingest Template'!D364</f>
        <v/>
      </c>
      <c r="N365" s="25"/>
      <c r="O365" s="25"/>
      <c r="P365" s="25"/>
      <c r="Q365" s="25"/>
      <c r="R365" s="25" t="str">
        <f>CONCATENATE('Ingest Template'!F364)</f>
        <v/>
      </c>
      <c r="S365" s="43" t="s">
        <v>160</v>
      </c>
      <c r="T365" s="25" t="str">
        <f>'Ingest Template'!W364</f>
        <v/>
      </c>
      <c r="U365" s="25"/>
      <c r="V365" s="25" t="str">
        <f>LOWER(SUBSTITUTE(SUBSTITUTE(SUBSTITUTE(SUBSTITUTE(SUBSTITUTE('Ingest Template'!Y364,"https:",""),"www.",""),"/",""),"?hl=en",""),"instagram.com",""))</f>
        <v/>
      </c>
      <c r="W365" s="34" t="str">
        <f>(IFERROR(vlookup('Ingest Template'!F365,DropDown!D:E,2,false)&amp;'Ingest Template'!C365,""))</f>
        <v/>
      </c>
      <c r="X365" s="25" t="str">
        <f>'Ingest Template'!AA364</f>
        <v/>
      </c>
      <c r="Y365" s="25"/>
      <c r="Z365" s="25"/>
      <c r="AA365" s="25"/>
      <c r="AB365" s="25" t="str">
        <f>'Ingest Template'!T364</f>
        <v/>
      </c>
      <c r="AC365" s="25"/>
      <c r="AD365" s="25" t="str">
        <f>'Ingest Template'!U364</f>
        <v/>
      </c>
      <c r="AE365" s="25" t="str">
        <f>'Ingest Template'!V364</f>
        <v/>
      </c>
      <c r="AF365" s="25"/>
      <c r="AG365" s="25" t="str">
        <f t="array" ref="AG365">IF('Ingest Template'!A364="Standard",(CONCATENATE(IF(ISBLANK('Ingest Template'!O364),"", 'Ingest Template'!O364&amp;"|DAR"),CHAR(10), IF(ISBLANK('Ingest Template'!P364),"", 'Ingest Template'!P364&amp;"|DAR"),CHAR(10), IF(ISBLANK('Ingest Template'!Q364),"", 'Ingest Template'!Q364&amp;"|DAR"))),(CONCATENATE(IF(ISBLANK('Ingest Template'!O364),"", 'Ingest Template'!O364&amp;"|Operations - Core Title"),CHAR(10), IF(ISBLANK('Ingest Template'!P364),"", 'Ingest Template'!P364&amp;"|Operations - Core Title"),CHAR(10), IF(ISBLANK('Ingest Template'!Q364),"", 'Ingest Template'!Q364&amp;"|Operations - Core Title"))))</f>
        <v>#|Operations - Core Title
#videoGame|Operations - Core Title
</v>
      </c>
      <c r="AH365" s="25"/>
      <c r="AI365" s="25"/>
      <c r="AJ365" s="50" t="str">
        <f>if('Ingest Template'!A364="Standard",'Ingest Template'!R364&amp; "|DAR|DAR|2021-01-01",'Ingest Template'!R364&amp; "|Operations - Core Title|Operations - Core Title")</f>
        <v>#N/A</v>
      </c>
      <c r="AK365" s="25"/>
      <c r="AL365" s="25" t="str">
        <f>if('Ingest Template'!A364="Standard",'Ingest Template'!S364&amp; "|2021-01-01",'Ingest Template'!S364)</f>
        <v>#N/A</v>
      </c>
      <c r="AM365" s="25"/>
    </row>
    <row r="366">
      <c r="A366" s="25"/>
      <c r="B366" s="25" t="str">
        <f>'Ingest Template'!C365&amp;IF('Ingest Template'!A365 = "Standard", " - DAR","")</f>
        <v/>
      </c>
      <c r="C366" s="34" t="s">
        <v>92</v>
      </c>
      <c r="D366" s="34" t="str">
        <f>CONCATENATE('Ingest Template'!E366&amp;Char(10)&amp;'Ingest Template'!G366&amp;Char(10)&amp;'Ingest Template'!H366&amp;Char(10)&amp;'Ingest Template'!I366&amp;Char(10)&amp;'Ingest Template'!J366&amp;Char(10)&amp;'Ingest Template'!K366&amp;Char(10)&amp;'Ingest Template'!L366)</f>
        <v>
</v>
      </c>
      <c r="E366" s="25" t="str">
        <f>('Ingest Template'!M366)</f>
        <v/>
      </c>
      <c r="F366" s="40" t="str">
        <f t="array" ref="F366">INDEX(DropDown!$J$2:$J$63,MATCH(1,COUNTIF(E366,DropDown!$I$2:$I$63),0))</f>
        <v>#N/A</v>
      </c>
      <c r="G366" s="25"/>
      <c r="H366" s="25"/>
      <c r="I366" s="25"/>
      <c r="J366" s="25" t="str">
        <f>'Ingest Template'!B366</f>
        <v/>
      </c>
      <c r="K366" s="25" t="str">
        <f>IF('Ingest Template'!A365="Standard",'Ingest Template'!N365,"Competitive View")</f>
        <v>Competitive View</v>
      </c>
      <c r="L366" s="41" t="s">
        <v>145</v>
      </c>
      <c r="M366" s="25" t="str">
        <f>'Ingest Template'!D365</f>
        <v/>
      </c>
      <c r="N366" s="25"/>
      <c r="O366" s="25"/>
      <c r="P366" s="25"/>
      <c r="Q366" s="25"/>
      <c r="R366" s="25" t="str">
        <f>CONCATENATE('Ingest Template'!F365)</f>
        <v/>
      </c>
      <c r="S366" s="43" t="s">
        <v>160</v>
      </c>
      <c r="T366" s="25" t="str">
        <f>'Ingest Template'!W365</f>
        <v/>
      </c>
      <c r="U366" s="25"/>
      <c r="V366" s="25" t="str">
        <f>LOWER(SUBSTITUTE(SUBSTITUTE(SUBSTITUTE(SUBSTITUTE(SUBSTITUTE('Ingest Template'!Y365,"https:",""),"www.",""),"/",""),"?hl=en",""),"instagram.com",""))</f>
        <v/>
      </c>
      <c r="W366" s="34" t="str">
        <f>(IFERROR(vlookup('Ingest Template'!F366,DropDown!D:E,2,false)&amp;'Ingest Template'!C366,""))</f>
        <v/>
      </c>
      <c r="X366" s="25" t="str">
        <f>'Ingest Template'!AA365</f>
        <v/>
      </c>
      <c r="Y366" s="25"/>
      <c r="Z366" s="25"/>
      <c r="AA366" s="25"/>
      <c r="AB366" s="25" t="str">
        <f>'Ingest Template'!T365</f>
        <v/>
      </c>
      <c r="AC366" s="25"/>
      <c r="AD366" s="25" t="str">
        <f>'Ingest Template'!U365</f>
        <v/>
      </c>
      <c r="AE366" s="25" t="str">
        <f>'Ingest Template'!V365</f>
        <v/>
      </c>
      <c r="AF366" s="25"/>
      <c r="AG366" s="25" t="str">
        <f t="array" ref="AG366">IF('Ingest Template'!A365="Standard",(CONCATENATE(IF(ISBLANK('Ingest Template'!O365),"", 'Ingest Template'!O365&amp;"|DAR"),CHAR(10), IF(ISBLANK('Ingest Template'!P365),"", 'Ingest Template'!P365&amp;"|DAR"),CHAR(10), IF(ISBLANK('Ingest Template'!Q365),"", 'Ingest Template'!Q365&amp;"|DAR"))),(CONCATENATE(IF(ISBLANK('Ingest Template'!O365),"", 'Ingest Template'!O365&amp;"|Operations - Core Title"),CHAR(10), IF(ISBLANK('Ingest Template'!P365),"", 'Ingest Template'!P365&amp;"|Operations - Core Title"),CHAR(10), IF(ISBLANK('Ingest Template'!Q365),"", 'Ingest Template'!Q365&amp;"|Operations - Core Title"))))</f>
        <v>#|Operations - Core Title
#videoGame|Operations - Core Title
</v>
      </c>
      <c r="AH366" s="25"/>
      <c r="AI366" s="25"/>
      <c r="AJ366" s="50" t="str">
        <f>if('Ingest Template'!A365="Standard",'Ingest Template'!R365&amp; "|DAR|DAR|2021-01-01",'Ingest Template'!R365&amp; "|Operations - Core Title|Operations - Core Title")</f>
        <v>#N/A</v>
      </c>
      <c r="AK366" s="25"/>
      <c r="AL366" s="25" t="str">
        <f>if('Ingest Template'!A365="Standard",'Ingest Template'!S365&amp; "|2021-01-01",'Ingest Template'!S365)</f>
        <v>#N/A</v>
      </c>
      <c r="AM366" s="25"/>
    </row>
    <row r="367">
      <c r="A367" s="25"/>
      <c r="B367" s="25" t="str">
        <f>'Ingest Template'!C366&amp;IF('Ingest Template'!A366 = "Standard", " - DAR","")</f>
        <v/>
      </c>
      <c r="C367" s="34" t="s">
        <v>92</v>
      </c>
      <c r="D367" s="34" t="str">
        <f>CONCATENATE('Ingest Template'!E367&amp;Char(10)&amp;'Ingest Template'!G367&amp;Char(10)&amp;'Ingest Template'!H367&amp;Char(10)&amp;'Ingest Template'!I367&amp;Char(10)&amp;'Ingest Template'!J367&amp;Char(10)&amp;'Ingest Template'!K367&amp;Char(10)&amp;'Ingest Template'!L367)</f>
        <v>
</v>
      </c>
      <c r="E367" s="25" t="str">
        <f>('Ingest Template'!M367)</f>
        <v/>
      </c>
      <c r="F367" s="40" t="str">
        <f t="array" ref="F367">INDEX(DropDown!$J$2:$J$63,MATCH(1,COUNTIF(E367,DropDown!$I$2:$I$63),0))</f>
        <v>#N/A</v>
      </c>
      <c r="G367" s="25"/>
      <c r="H367" s="25"/>
      <c r="I367" s="25"/>
      <c r="J367" s="25" t="str">
        <f>'Ingest Template'!B367</f>
        <v/>
      </c>
      <c r="K367" s="25" t="str">
        <f>IF('Ingest Template'!A366="Standard",'Ingest Template'!N366,"Competitive View")</f>
        <v>Competitive View</v>
      </c>
      <c r="L367" s="41" t="s">
        <v>145</v>
      </c>
      <c r="M367" s="25" t="str">
        <f>'Ingest Template'!D366</f>
        <v/>
      </c>
      <c r="N367" s="25"/>
      <c r="O367" s="25"/>
      <c r="P367" s="25"/>
      <c r="Q367" s="25"/>
      <c r="R367" s="25" t="str">
        <f>CONCATENATE('Ingest Template'!F366)</f>
        <v/>
      </c>
      <c r="S367" s="43" t="s">
        <v>160</v>
      </c>
      <c r="T367" s="25" t="str">
        <f>'Ingest Template'!W366</f>
        <v/>
      </c>
      <c r="U367" s="25"/>
      <c r="V367" s="25" t="str">
        <f>LOWER(SUBSTITUTE(SUBSTITUTE(SUBSTITUTE(SUBSTITUTE(SUBSTITUTE('Ingest Template'!Y366,"https:",""),"www.",""),"/",""),"?hl=en",""),"instagram.com",""))</f>
        <v/>
      </c>
      <c r="W367" s="34" t="str">
        <f>(IFERROR(vlookup('Ingest Template'!F367,DropDown!D:E,2,false)&amp;'Ingest Template'!C367,""))</f>
        <v/>
      </c>
      <c r="X367" s="25" t="str">
        <f>'Ingest Template'!AA366</f>
        <v/>
      </c>
      <c r="Y367" s="25"/>
      <c r="Z367" s="25"/>
      <c r="AA367" s="25"/>
      <c r="AB367" s="25" t="str">
        <f>'Ingest Template'!T366</f>
        <v/>
      </c>
      <c r="AC367" s="25"/>
      <c r="AD367" s="25" t="str">
        <f>'Ingest Template'!U366</f>
        <v/>
      </c>
      <c r="AE367" s="25" t="str">
        <f>'Ingest Template'!V366</f>
        <v/>
      </c>
      <c r="AF367" s="25"/>
      <c r="AG367" s="25" t="str">
        <f t="array" ref="AG367">IF('Ingest Template'!A366="Standard",(CONCATENATE(IF(ISBLANK('Ingest Template'!O366),"", 'Ingest Template'!O366&amp;"|DAR"),CHAR(10), IF(ISBLANK('Ingest Template'!P366),"", 'Ingest Template'!P366&amp;"|DAR"),CHAR(10), IF(ISBLANK('Ingest Template'!Q366),"", 'Ingest Template'!Q366&amp;"|DAR"))),(CONCATENATE(IF(ISBLANK('Ingest Template'!O366),"", 'Ingest Template'!O366&amp;"|Operations - Core Title"),CHAR(10), IF(ISBLANK('Ingest Template'!P366),"", 'Ingest Template'!P366&amp;"|Operations - Core Title"),CHAR(10), IF(ISBLANK('Ingest Template'!Q366),"", 'Ingest Template'!Q366&amp;"|Operations - Core Title"))))</f>
        <v>#|Operations - Core Title
#videoGame|Operations - Core Title
</v>
      </c>
      <c r="AH367" s="25"/>
      <c r="AI367" s="25"/>
      <c r="AJ367" s="50" t="str">
        <f>if('Ingest Template'!A366="Standard",'Ingest Template'!R366&amp; "|DAR|DAR|2021-01-01",'Ingest Template'!R366&amp; "|Operations - Core Title|Operations - Core Title")</f>
        <v>#N/A</v>
      </c>
      <c r="AK367" s="25"/>
      <c r="AL367" s="25" t="str">
        <f>if('Ingest Template'!A366="Standard",'Ingest Template'!S366&amp; "|2021-01-01",'Ingest Template'!S366)</f>
        <v>#N/A</v>
      </c>
      <c r="AM367" s="25"/>
    </row>
    <row r="368">
      <c r="A368" s="25"/>
      <c r="B368" s="25" t="str">
        <f>'Ingest Template'!C367&amp;IF('Ingest Template'!A367 = "Standard", " - DAR","")</f>
        <v/>
      </c>
      <c r="C368" s="34" t="s">
        <v>92</v>
      </c>
      <c r="D368" s="34" t="str">
        <f>CONCATENATE('Ingest Template'!E368&amp;Char(10)&amp;'Ingest Template'!G368&amp;Char(10)&amp;'Ingest Template'!H368&amp;Char(10)&amp;'Ingest Template'!I368&amp;Char(10)&amp;'Ingest Template'!J368&amp;Char(10)&amp;'Ingest Template'!K368&amp;Char(10)&amp;'Ingest Template'!L368)</f>
        <v>
</v>
      </c>
      <c r="E368" s="25" t="str">
        <f>('Ingest Template'!M368)</f>
        <v/>
      </c>
      <c r="F368" s="40" t="str">
        <f t="array" ref="F368">INDEX(DropDown!$J$2:$J$63,MATCH(1,COUNTIF(E368,DropDown!$I$2:$I$63),0))</f>
        <v>#N/A</v>
      </c>
      <c r="G368" s="25"/>
      <c r="H368" s="25"/>
      <c r="I368" s="25"/>
      <c r="J368" s="25" t="str">
        <f>'Ingest Template'!B368</f>
        <v/>
      </c>
      <c r="K368" s="25" t="str">
        <f>IF('Ingest Template'!A367="Standard",'Ingest Template'!N367,"Competitive View")</f>
        <v>Competitive View</v>
      </c>
      <c r="L368" s="41" t="s">
        <v>145</v>
      </c>
      <c r="M368" s="25" t="str">
        <f>'Ingest Template'!D367</f>
        <v/>
      </c>
      <c r="N368" s="25"/>
      <c r="O368" s="25"/>
      <c r="P368" s="25"/>
      <c r="Q368" s="25"/>
      <c r="R368" s="25" t="str">
        <f>CONCATENATE('Ingest Template'!F367)</f>
        <v/>
      </c>
      <c r="S368" s="43" t="s">
        <v>160</v>
      </c>
      <c r="T368" s="25" t="str">
        <f>'Ingest Template'!W367</f>
        <v/>
      </c>
      <c r="U368" s="25"/>
      <c r="V368" s="25" t="str">
        <f>LOWER(SUBSTITUTE(SUBSTITUTE(SUBSTITUTE(SUBSTITUTE(SUBSTITUTE('Ingest Template'!Y367,"https:",""),"www.",""),"/",""),"?hl=en",""),"instagram.com",""))</f>
        <v/>
      </c>
      <c r="W368" s="34" t="str">
        <f>(IFERROR(vlookup('Ingest Template'!F368,DropDown!D:E,2,false)&amp;'Ingest Template'!C368,""))</f>
        <v/>
      </c>
      <c r="X368" s="25" t="str">
        <f>'Ingest Template'!AA367</f>
        <v/>
      </c>
      <c r="Y368" s="25"/>
      <c r="Z368" s="25"/>
      <c r="AA368" s="25"/>
      <c r="AB368" s="25" t="str">
        <f>'Ingest Template'!T367</f>
        <v/>
      </c>
      <c r="AC368" s="25"/>
      <c r="AD368" s="25" t="str">
        <f>'Ingest Template'!U367</f>
        <v/>
      </c>
      <c r="AE368" s="25" t="str">
        <f>'Ingest Template'!V367</f>
        <v/>
      </c>
      <c r="AF368" s="25"/>
      <c r="AG368" s="25" t="str">
        <f t="array" ref="AG368">IF('Ingest Template'!A367="Standard",(CONCATENATE(IF(ISBLANK('Ingest Template'!O367),"", 'Ingest Template'!O367&amp;"|DAR"),CHAR(10), IF(ISBLANK('Ingest Template'!P367),"", 'Ingest Template'!P367&amp;"|DAR"),CHAR(10), IF(ISBLANK('Ingest Template'!Q367),"", 'Ingest Template'!Q367&amp;"|DAR"))),(CONCATENATE(IF(ISBLANK('Ingest Template'!O367),"", 'Ingest Template'!O367&amp;"|Operations - Core Title"),CHAR(10), IF(ISBLANK('Ingest Template'!P367),"", 'Ingest Template'!P367&amp;"|Operations - Core Title"),CHAR(10), IF(ISBLANK('Ingest Template'!Q367),"", 'Ingest Template'!Q367&amp;"|Operations - Core Title"))))</f>
        <v>#|Operations - Core Title
#videoGame|Operations - Core Title
</v>
      </c>
      <c r="AH368" s="25"/>
      <c r="AI368" s="25"/>
      <c r="AJ368" s="50" t="str">
        <f>if('Ingest Template'!A367="Standard",'Ingest Template'!R367&amp; "|DAR|DAR|2021-01-01",'Ingest Template'!R367&amp; "|Operations - Core Title|Operations - Core Title")</f>
        <v>#N/A</v>
      </c>
      <c r="AK368" s="25"/>
      <c r="AL368" s="25" t="str">
        <f>if('Ingest Template'!A367="Standard",'Ingest Template'!S367&amp; "|2021-01-01",'Ingest Template'!S367)</f>
        <v>#N/A</v>
      </c>
      <c r="AM368" s="25"/>
    </row>
    <row r="369">
      <c r="A369" s="25"/>
      <c r="B369" s="25" t="str">
        <f>'Ingest Template'!C368&amp;IF('Ingest Template'!A368 = "Standard", " - DAR","")</f>
        <v/>
      </c>
      <c r="C369" s="34" t="s">
        <v>92</v>
      </c>
      <c r="D369" s="34" t="str">
        <f>CONCATENATE('Ingest Template'!E369&amp;Char(10)&amp;'Ingest Template'!G369&amp;Char(10)&amp;'Ingest Template'!H369&amp;Char(10)&amp;'Ingest Template'!I369&amp;Char(10)&amp;'Ingest Template'!J369&amp;Char(10)&amp;'Ingest Template'!K369&amp;Char(10)&amp;'Ingest Template'!L369)</f>
        <v>
</v>
      </c>
      <c r="E369" s="25" t="str">
        <f>('Ingest Template'!M369)</f>
        <v/>
      </c>
      <c r="F369" s="40" t="str">
        <f t="array" ref="F369">INDEX(DropDown!$J$2:$J$63,MATCH(1,COUNTIF(E369,DropDown!$I$2:$I$63),0))</f>
        <v>#N/A</v>
      </c>
      <c r="G369" s="25"/>
      <c r="H369" s="25"/>
      <c r="I369" s="25"/>
      <c r="J369" s="25" t="str">
        <f>'Ingest Template'!B369</f>
        <v/>
      </c>
      <c r="K369" s="25" t="str">
        <f>IF('Ingest Template'!A368="Standard",'Ingest Template'!N368,"Competitive View")</f>
        <v>Competitive View</v>
      </c>
      <c r="L369" s="41" t="s">
        <v>145</v>
      </c>
      <c r="M369" s="25" t="str">
        <f>'Ingest Template'!D368</f>
        <v/>
      </c>
      <c r="N369" s="25"/>
      <c r="O369" s="25"/>
      <c r="P369" s="25"/>
      <c r="Q369" s="25"/>
      <c r="R369" s="25" t="str">
        <f>CONCATENATE('Ingest Template'!F368)</f>
        <v/>
      </c>
      <c r="S369" s="43" t="s">
        <v>160</v>
      </c>
      <c r="T369" s="25" t="str">
        <f>'Ingest Template'!W368</f>
        <v/>
      </c>
      <c r="U369" s="25"/>
      <c r="V369" s="25" t="str">
        <f>LOWER(SUBSTITUTE(SUBSTITUTE(SUBSTITUTE(SUBSTITUTE(SUBSTITUTE('Ingest Template'!Y368,"https:",""),"www.",""),"/",""),"?hl=en",""),"instagram.com",""))</f>
        <v/>
      </c>
      <c r="W369" s="34" t="str">
        <f>(IFERROR(vlookup('Ingest Template'!F369,DropDown!D:E,2,false)&amp;'Ingest Template'!C369,""))</f>
        <v/>
      </c>
      <c r="X369" s="25" t="str">
        <f>'Ingest Template'!AA368</f>
        <v/>
      </c>
      <c r="Y369" s="25"/>
      <c r="Z369" s="25"/>
      <c r="AA369" s="25"/>
      <c r="AB369" s="25" t="str">
        <f>'Ingest Template'!T368</f>
        <v/>
      </c>
      <c r="AC369" s="25"/>
      <c r="AD369" s="25" t="str">
        <f>'Ingest Template'!U368</f>
        <v/>
      </c>
      <c r="AE369" s="25" t="str">
        <f>'Ingest Template'!V368</f>
        <v/>
      </c>
      <c r="AF369" s="25"/>
      <c r="AG369" s="25" t="str">
        <f t="array" ref="AG369">IF('Ingest Template'!A368="Standard",(CONCATENATE(IF(ISBLANK('Ingest Template'!O368),"", 'Ingest Template'!O368&amp;"|DAR"),CHAR(10), IF(ISBLANK('Ingest Template'!P368),"", 'Ingest Template'!P368&amp;"|DAR"),CHAR(10), IF(ISBLANK('Ingest Template'!Q368),"", 'Ingest Template'!Q368&amp;"|DAR"))),(CONCATENATE(IF(ISBLANK('Ingest Template'!O368),"", 'Ingest Template'!O368&amp;"|Operations - Core Title"),CHAR(10), IF(ISBLANK('Ingest Template'!P368),"", 'Ingest Template'!P368&amp;"|Operations - Core Title"),CHAR(10), IF(ISBLANK('Ingest Template'!Q368),"", 'Ingest Template'!Q368&amp;"|Operations - Core Title"))))</f>
        <v>#|Operations - Core Title
#videoGame|Operations - Core Title
</v>
      </c>
      <c r="AH369" s="25"/>
      <c r="AI369" s="25"/>
      <c r="AJ369" s="50" t="str">
        <f>if('Ingest Template'!A368="Standard",'Ingest Template'!R368&amp; "|DAR|DAR|2021-01-01",'Ingest Template'!R368&amp; "|Operations - Core Title|Operations - Core Title")</f>
        <v>#N/A</v>
      </c>
      <c r="AK369" s="25"/>
      <c r="AL369" s="25" t="str">
        <f>if('Ingest Template'!A368="Standard",'Ingest Template'!S368&amp; "|2021-01-01",'Ingest Template'!S368)</f>
        <v>#N/A</v>
      </c>
      <c r="AM369" s="25"/>
    </row>
    <row r="370">
      <c r="A370" s="25"/>
      <c r="B370" s="25" t="str">
        <f>'Ingest Template'!C369&amp;IF('Ingest Template'!A369 = "Standard", " - DAR","")</f>
        <v/>
      </c>
      <c r="C370" s="34" t="s">
        <v>92</v>
      </c>
      <c r="D370" s="34" t="str">
        <f>CONCATENATE('Ingest Template'!E370&amp;Char(10)&amp;'Ingest Template'!G370&amp;Char(10)&amp;'Ingest Template'!H370&amp;Char(10)&amp;'Ingest Template'!I370&amp;Char(10)&amp;'Ingest Template'!J370&amp;Char(10)&amp;'Ingest Template'!K370&amp;Char(10)&amp;'Ingest Template'!L370)</f>
        <v>
</v>
      </c>
      <c r="E370" s="25" t="str">
        <f>('Ingest Template'!M370)</f>
        <v/>
      </c>
      <c r="F370" s="40" t="str">
        <f t="array" ref="F370">INDEX(DropDown!$J$2:$J$63,MATCH(1,COUNTIF(E370,DropDown!$I$2:$I$63),0))</f>
        <v>#N/A</v>
      </c>
      <c r="G370" s="25"/>
      <c r="H370" s="25"/>
      <c r="I370" s="25"/>
      <c r="J370" s="25" t="str">
        <f>'Ingest Template'!B370</f>
        <v/>
      </c>
      <c r="K370" s="25" t="str">
        <f>IF('Ingest Template'!A369="Standard",'Ingest Template'!N369,"Competitive View")</f>
        <v>Competitive View</v>
      </c>
      <c r="L370" s="41" t="s">
        <v>145</v>
      </c>
      <c r="M370" s="25" t="str">
        <f>'Ingest Template'!D369</f>
        <v/>
      </c>
      <c r="N370" s="25"/>
      <c r="O370" s="25"/>
      <c r="P370" s="25"/>
      <c r="Q370" s="25"/>
      <c r="R370" s="25" t="str">
        <f>CONCATENATE('Ingest Template'!F369)</f>
        <v/>
      </c>
      <c r="S370" s="43" t="s">
        <v>160</v>
      </c>
      <c r="T370" s="25" t="str">
        <f>'Ingest Template'!W369</f>
        <v/>
      </c>
      <c r="U370" s="25"/>
      <c r="V370" s="25" t="str">
        <f>LOWER(SUBSTITUTE(SUBSTITUTE(SUBSTITUTE(SUBSTITUTE(SUBSTITUTE('Ingest Template'!Y369,"https:",""),"www.",""),"/",""),"?hl=en",""),"instagram.com",""))</f>
        <v/>
      </c>
      <c r="W370" s="34" t="str">
        <f>(IFERROR(vlookup('Ingest Template'!F370,DropDown!D:E,2,false)&amp;'Ingest Template'!C370,""))</f>
        <v/>
      </c>
      <c r="X370" s="25" t="str">
        <f>'Ingest Template'!AA369</f>
        <v/>
      </c>
      <c r="Y370" s="25"/>
      <c r="Z370" s="25"/>
      <c r="AA370" s="25"/>
      <c r="AB370" s="25" t="str">
        <f>'Ingest Template'!T369</f>
        <v/>
      </c>
      <c r="AC370" s="25"/>
      <c r="AD370" s="25" t="str">
        <f>'Ingest Template'!U369</f>
        <v/>
      </c>
      <c r="AE370" s="25" t="str">
        <f>'Ingest Template'!V369</f>
        <v/>
      </c>
      <c r="AF370" s="25"/>
      <c r="AG370" s="25" t="str">
        <f t="array" ref="AG370">IF('Ingest Template'!A369="Standard",(CONCATENATE(IF(ISBLANK('Ingest Template'!O369),"", 'Ingest Template'!O369&amp;"|DAR"),CHAR(10), IF(ISBLANK('Ingest Template'!P369),"", 'Ingest Template'!P369&amp;"|DAR"),CHAR(10), IF(ISBLANK('Ingest Template'!Q369),"", 'Ingest Template'!Q369&amp;"|DAR"))),(CONCATENATE(IF(ISBLANK('Ingest Template'!O369),"", 'Ingest Template'!O369&amp;"|Operations - Core Title"),CHAR(10), IF(ISBLANK('Ingest Template'!P369),"", 'Ingest Template'!P369&amp;"|Operations - Core Title"),CHAR(10), IF(ISBLANK('Ingest Template'!Q369),"", 'Ingest Template'!Q369&amp;"|Operations - Core Title"))))</f>
        <v>#|Operations - Core Title
#videoGame|Operations - Core Title
</v>
      </c>
      <c r="AH370" s="25"/>
      <c r="AI370" s="25"/>
      <c r="AJ370" s="50" t="str">
        <f>if('Ingest Template'!A369="Standard",'Ingest Template'!R369&amp; "|DAR|DAR|2021-01-01",'Ingest Template'!R369&amp; "|Operations - Core Title|Operations - Core Title")</f>
        <v>#N/A</v>
      </c>
      <c r="AK370" s="25"/>
      <c r="AL370" s="25" t="str">
        <f>if('Ingest Template'!A369="Standard",'Ingest Template'!S369&amp; "|2021-01-01",'Ingest Template'!S369)</f>
        <v>#N/A</v>
      </c>
      <c r="AM370" s="25"/>
    </row>
    <row r="371">
      <c r="A371" s="25"/>
      <c r="B371" s="25" t="str">
        <f>'Ingest Template'!C370&amp;IF('Ingest Template'!A370 = "Standard", " - DAR","")</f>
        <v/>
      </c>
      <c r="C371" s="34" t="s">
        <v>92</v>
      </c>
      <c r="D371" s="34" t="str">
        <f>CONCATENATE('Ingest Template'!E371&amp;Char(10)&amp;'Ingest Template'!G371&amp;Char(10)&amp;'Ingest Template'!H371&amp;Char(10)&amp;'Ingest Template'!I371&amp;Char(10)&amp;'Ingest Template'!J371&amp;Char(10)&amp;'Ingest Template'!K371&amp;Char(10)&amp;'Ingest Template'!L371)</f>
        <v>
</v>
      </c>
      <c r="E371" s="25" t="str">
        <f>('Ingest Template'!M371)</f>
        <v/>
      </c>
      <c r="F371" s="40" t="str">
        <f t="array" ref="F371">INDEX(DropDown!$J$2:$J$63,MATCH(1,COUNTIF(E371,DropDown!$I$2:$I$63),0))</f>
        <v>#N/A</v>
      </c>
      <c r="G371" s="25"/>
      <c r="H371" s="25"/>
      <c r="I371" s="25"/>
      <c r="J371" s="25" t="str">
        <f>'Ingest Template'!B371</f>
        <v/>
      </c>
      <c r="K371" s="25" t="str">
        <f>IF('Ingest Template'!A370="Standard",'Ingest Template'!N370,"Competitive View")</f>
        <v>Competitive View</v>
      </c>
      <c r="L371" s="41" t="s">
        <v>145</v>
      </c>
      <c r="M371" s="25" t="str">
        <f>'Ingest Template'!D370</f>
        <v/>
      </c>
      <c r="N371" s="25"/>
      <c r="O371" s="25"/>
      <c r="P371" s="25"/>
      <c r="Q371" s="25"/>
      <c r="R371" s="25" t="str">
        <f>CONCATENATE('Ingest Template'!F370)</f>
        <v/>
      </c>
      <c r="S371" s="43" t="s">
        <v>160</v>
      </c>
      <c r="T371" s="25" t="str">
        <f>'Ingest Template'!W370</f>
        <v/>
      </c>
      <c r="U371" s="25"/>
      <c r="V371" s="25" t="str">
        <f>LOWER(SUBSTITUTE(SUBSTITUTE(SUBSTITUTE(SUBSTITUTE(SUBSTITUTE('Ingest Template'!Y370,"https:",""),"www.",""),"/",""),"?hl=en",""),"instagram.com",""))</f>
        <v/>
      </c>
      <c r="W371" s="34" t="str">
        <f>(IFERROR(vlookup('Ingest Template'!F371,DropDown!D:E,2,false)&amp;'Ingest Template'!C371,""))</f>
        <v/>
      </c>
      <c r="X371" s="25" t="str">
        <f>'Ingest Template'!AA370</f>
        <v/>
      </c>
      <c r="Y371" s="25"/>
      <c r="Z371" s="25"/>
      <c r="AA371" s="25"/>
      <c r="AB371" s="25" t="str">
        <f>'Ingest Template'!T370</f>
        <v/>
      </c>
      <c r="AC371" s="25"/>
      <c r="AD371" s="25" t="str">
        <f>'Ingest Template'!U370</f>
        <v/>
      </c>
      <c r="AE371" s="25" t="str">
        <f>'Ingest Template'!V370</f>
        <v/>
      </c>
      <c r="AF371" s="25"/>
      <c r="AG371" s="25" t="str">
        <f t="array" ref="AG371">IF('Ingest Template'!A370="Standard",(CONCATENATE(IF(ISBLANK('Ingest Template'!O370),"", 'Ingest Template'!O370&amp;"|DAR"),CHAR(10), IF(ISBLANK('Ingest Template'!P370),"", 'Ingest Template'!P370&amp;"|DAR"),CHAR(10), IF(ISBLANK('Ingest Template'!Q370),"", 'Ingest Template'!Q370&amp;"|DAR"))),(CONCATENATE(IF(ISBLANK('Ingest Template'!O370),"", 'Ingest Template'!O370&amp;"|Operations - Core Title"),CHAR(10), IF(ISBLANK('Ingest Template'!P370),"", 'Ingest Template'!P370&amp;"|Operations - Core Title"),CHAR(10), IF(ISBLANK('Ingest Template'!Q370),"", 'Ingest Template'!Q370&amp;"|Operations - Core Title"))))</f>
        <v>#|Operations - Core Title
#videoGame|Operations - Core Title
</v>
      </c>
      <c r="AH371" s="25"/>
      <c r="AI371" s="25"/>
      <c r="AJ371" s="50" t="str">
        <f>if('Ingest Template'!A370="Standard",'Ingest Template'!R370&amp; "|DAR|DAR|2021-01-01",'Ingest Template'!R370&amp; "|Operations - Core Title|Operations - Core Title")</f>
        <v>#N/A</v>
      </c>
      <c r="AK371" s="25"/>
      <c r="AL371" s="25" t="str">
        <f>if('Ingest Template'!A370="Standard",'Ingest Template'!S370&amp; "|2021-01-01",'Ingest Template'!S370)</f>
        <v>#N/A</v>
      </c>
      <c r="AM371" s="25"/>
    </row>
    <row r="372">
      <c r="A372" s="25"/>
      <c r="B372" s="25" t="str">
        <f>'Ingest Template'!C371&amp;IF('Ingest Template'!A371 = "Standard", " - DAR","")</f>
        <v/>
      </c>
      <c r="C372" s="34" t="s">
        <v>92</v>
      </c>
      <c r="D372" s="34" t="str">
        <f>CONCATENATE('Ingest Template'!E372&amp;Char(10)&amp;'Ingest Template'!G372&amp;Char(10)&amp;'Ingest Template'!H372&amp;Char(10)&amp;'Ingest Template'!I372&amp;Char(10)&amp;'Ingest Template'!J372&amp;Char(10)&amp;'Ingest Template'!K372&amp;Char(10)&amp;'Ingest Template'!L372)</f>
        <v>
</v>
      </c>
      <c r="E372" s="25" t="str">
        <f>('Ingest Template'!M372)</f>
        <v/>
      </c>
      <c r="F372" s="40" t="str">
        <f t="array" ref="F372">INDEX(DropDown!$J$2:$J$63,MATCH(1,COUNTIF(E372,DropDown!$I$2:$I$63),0))</f>
        <v>#N/A</v>
      </c>
      <c r="G372" s="25"/>
      <c r="H372" s="25"/>
      <c r="I372" s="25"/>
      <c r="J372" s="25" t="str">
        <f>'Ingest Template'!B372</f>
        <v/>
      </c>
      <c r="K372" s="25" t="str">
        <f>IF('Ingest Template'!A371="Standard",'Ingest Template'!N371,"Competitive View")</f>
        <v>Competitive View</v>
      </c>
      <c r="L372" s="41" t="s">
        <v>145</v>
      </c>
      <c r="M372" s="25" t="str">
        <f>'Ingest Template'!D371</f>
        <v/>
      </c>
      <c r="N372" s="25"/>
      <c r="O372" s="25"/>
      <c r="P372" s="25"/>
      <c r="Q372" s="25"/>
      <c r="R372" s="25" t="str">
        <f>CONCATENATE('Ingest Template'!F371)</f>
        <v/>
      </c>
      <c r="S372" s="43" t="s">
        <v>160</v>
      </c>
      <c r="T372" s="25" t="str">
        <f>'Ingest Template'!W371</f>
        <v/>
      </c>
      <c r="U372" s="25"/>
      <c r="V372" s="25" t="str">
        <f>LOWER(SUBSTITUTE(SUBSTITUTE(SUBSTITUTE(SUBSTITUTE(SUBSTITUTE('Ingest Template'!Y371,"https:",""),"www.",""),"/",""),"?hl=en",""),"instagram.com",""))</f>
        <v/>
      </c>
      <c r="W372" s="34" t="str">
        <f>(IFERROR(vlookup('Ingest Template'!F372,DropDown!D:E,2,false)&amp;'Ingest Template'!C372,""))</f>
        <v/>
      </c>
      <c r="X372" s="25" t="str">
        <f>'Ingest Template'!AA371</f>
        <v/>
      </c>
      <c r="Y372" s="25"/>
      <c r="Z372" s="25"/>
      <c r="AA372" s="25"/>
      <c r="AB372" s="25" t="str">
        <f>'Ingest Template'!T371</f>
        <v/>
      </c>
      <c r="AC372" s="25"/>
      <c r="AD372" s="25" t="str">
        <f>'Ingest Template'!U371</f>
        <v/>
      </c>
      <c r="AE372" s="25" t="str">
        <f>'Ingest Template'!V371</f>
        <v/>
      </c>
      <c r="AF372" s="25"/>
      <c r="AG372" s="25" t="str">
        <f t="array" ref="AG372">IF('Ingest Template'!A371="Standard",(CONCATENATE(IF(ISBLANK('Ingest Template'!O371),"", 'Ingest Template'!O371&amp;"|DAR"),CHAR(10), IF(ISBLANK('Ingest Template'!P371),"", 'Ingest Template'!P371&amp;"|DAR"),CHAR(10), IF(ISBLANK('Ingest Template'!Q371),"", 'Ingest Template'!Q371&amp;"|DAR"))),(CONCATENATE(IF(ISBLANK('Ingest Template'!O371),"", 'Ingest Template'!O371&amp;"|Operations - Core Title"),CHAR(10), IF(ISBLANK('Ingest Template'!P371),"", 'Ingest Template'!P371&amp;"|Operations - Core Title"),CHAR(10), IF(ISBLANK('Ingest Template'!Q371),"", 'Ingest Template'!Q371&amp;"|Operations - Core Title"))))</f>
        <v>#|Operations - Core Title
#videoGame|Operations - Core Title
</v>
      </c>
      <c r="AH372" s="25"/>
      <c r="AI372" s="25"/>
      <c r="AJ372" s="50" t="str">
        <f>if('Ingest Template'!A371="Standard",'Ingest Template'!R371&amp; "|DAR|DAR|2021-01-01",'Ingest Template'!R371&amp; "|Operations - Core Title|Operations - Core Title")</f>
        <v>#N/A</v>
      </c>
      <c r="AK372" s="25"/>
      <c r="AL372" s="25" t="str">
        <f>if('Ingest Template'!A371="Standard",'Ingest Template'!S371&amp; "|2021-01-01",'Ingest Template'!S371)</f>
        <v>#N/A</v>
      </c>
      <c r="AM372" s="25"/>
    </row>
    <row r="373">
      <c r="A373" s="25"/>
      <c r="B373" s="25" t="str">
        <f>'Ingest Template'!C372&amp;IF('Ingest Template'!A372 = "Standard", " - DAR","")</f>
        <v/>
      </c>
      <c r="C373" s="34" t="s">
        <v>92</v>
      </c>
      <c r="D373" s="34" t="str">
        <f>CONCATENATE('Ingest Template'!E373&amp;Char(10)&amp;'Ingest Template'!G373&amp;Char(10)&amp;'Ingest Template'!H373&amp;Char(10)&amp;'Ingest Template'!I373&amp;Char(10)&amp;'Ingest Template'!J373&amp;Char(10)&amp;'Ingest Template'!K373&amp;Char(10)&amp;'Ingest Template'!L373)</f>
        <v>
</v>
      </c>
      <c r="E373" s="25" t="str">
        <f>('Ingest Template'!M373)</f>
        <v/>
      </c>
      <c r="F373" s="40" t="str">
        <f t="array" ref="F373">INDEX(DropDown!$J$2:$J$63,MATCH(1,COUNTIF(E373,DropDown!$I$2:$I$63),0))</f>
        <v>#N/A</v>
      </c>
      <c r="G373" s="25"/>
      <c r="H373" s="25"/>
      <c r="I373" s="25"/>
      <c r="J373" s="25" t="str">
        <f>'Ingest Template'!B373</f>
        <v/>
      </c>
      <c r="K373" s="25" t="str">
        <f>IF('Ingest Template'!A372="Standard",'Ingest Template'!N372,"Competitive View")</f>
        <v>Competitive View</v>
      </c>
      <c r="L373" s="41" t="s">
        <v>145</v>
      </c>
      <c r="M373" s="25" t="str">
        <f>'Ingest Template'!D372</f>
        <v/>
      </c>
      <c r="N373" s="25"/>
      <c r="O373" s="25"/>
      <c r="P373" s="25"/>
      <c r="Q373" s="25"/>
      <c r="R373" s="25" t="str">
        <f>CONCATENATE('Ingest Template'!F372)</f>
        <v/>
      </c>
      <c r="S373" s="43" t="s">
        <v>160</v>
      </c>
      <c r="T373" s="25" t="str">
        <f>'Ingest Template'!W372</f>
        <v/>
      </c>
      <c r="U373" s="25"/>
      <c r="V373" s="25" t="str">
        <f>LOWER(SUBSTITUTE(SUBSTITUTE(SUBSTITUTE(SUBSTITUTE(SUBSTITUTE('Ingest Template'!Y372,"https:",""),"www.",""),"/",""),"?hl=en",""),"instagram.com",""))</f>
        <v/>
      </c>
      <c r="W373" s="34" t="str">
        <f>(IFERROR(vlookup('Ingest Template'!F373,DropDown!D:E,2,false)&amp;'Ingest Template'!C373,""))</f>
        <v/>
      </c>
      <c r="X373" s="25" t="str">
        <f>'Ingest Template'!AA372</f>
        <v/>
      </c>
      <c r="Y373" s="25"/>
      <c r="Z373" s="25"/>
      <c r="AA373" s="25"/>
      <c r="AB373" s="25" t="str">
        <f>'Ingest Template'!T372</f>
        <v/>
      </c>
      <c r="AC373" s="25"/>
      <c r="AD373" s="25" t="str">
        <f>'Ingest Template'!U372</f>
        <v/>
      </c>
      <c r="AE373" s="25" t="str">
        <f>'Ingest Template'!V372</f>
        <v/>
      </c>
      <c r="AF373" s="25"/>
      <c r="AG373" s="25" t="str">
        <f t="array" ref="AG373">IF('Ingest Template'!A372="Standard",(CONCATENATE(IF(ISBLANK('Ingest Template'!O372),"", 'Ingest Template'!O372&amp;"|DAR"),CHAR(10), IF(ISBLANK('Ingest Template'!P372),"", 'Ingest Template'!P372&amp;"|DAR"),CHAR(10), IF(ISBLANK('Ingest Template'!Q372),"", 'Ingest Template'!Q372&amp;"|DAR"))),(CONCATENATE(IF(ISBLANK('Ingest Template'!O372),"", 'Ingest Template'!O372&amp;"|Operations - Core Title"),CHAR(10), IF(ISBLANK('Ingest Template'!P372),"", 'Ingest Template'!P372&amp;"|Operations - Core Title"),CHAR(10), IF(ISBLANK('Ingest Template'!Q372),"", 'Ingest Template'!Q372&amp;"|Operations - Core Title"))))</f>
        <v>#|Operations - Core Title
#videoGame|Operations - Core Title
</v>
      </c>
      <c r="AH373" s="25"/>
      <c r="AI373" s="25"/>
      <c r="AJ373" s="50" t="str">
        <f>if('Ingest Template'!A372="Standard",'Ingest Template'!R372&amp; "|DAR|DAR|2021-01-01",'Ingest Template'!R372&amp; "|Operations - Core Title|Operations - Core Title")</f>
        <v>#N/A</v>
      </c>
      <c r="AK373" s="25"/>
      <c r="AL373" s="25" t="str">
        <f>if('Ingest Template'!A372="Standard",'Ingest Template'!S372&amp; "|2021-01-01",'Ingest Template'!S372)</f>
        <v>#N/A</v>
      </c>
      <c r="AM373" s="25"/>
    </row>
    <row r="374">
      <c r="A374" s="25"/>
      <c r="B374" s="25" t="str">
        <f>'Ingest Template'!C373&amp;IF('Ingest Template'!A373 = "Standard", " - DAR","")</f>
        <v/>
      </c>
      <c r="C374" s="34" t="s">
        <v>92</v>
      </c>
      <c r="D374" s="34" t="str">
        <f>CONCATENATE('Ingest Template'!E374&amp;Char(10)&amp;'Ingest Template'!G374&amp;Char(10)&amp;'Ingest Template'!H374&amp;Char(10)&amp;'Ingest Template'!I374&amp;Char(10)&amp;'Ingest Template'!J374&amp;Char(10)&amp;'Ingest Template'!K374&amp;Char(10)&amp;'Ingest Template'!L374)</f>
        <v>
</v>
      </c>
      <c r="E374" s="25" t="str">
        <f>('Ingest Template'!M374)</f>
        <v/>
      </c>
      <c r="F374" s="40" t="str">
        <f t="array" ref="F374">INDEX(DropDown!$J$2:$J$63,MATCH(1,COUNTIF(E374,DropDown!$I$2:$I$63),0))</f>
        <v>#N/A</v>
      </c>
      <c r="G374" s="25"/>
      <c r="H374" s="25"/>
      <c r="I374" s="25"/>
      <c r="J374" s="25" t="str">
        <f>'Ingest Template'!B374</f>
        <v/>
      </c>
      <c r="K374" s="25" t="str">
        <f>IF('Ingest Template'!A373="Standard",'Ingest Template'!N373,"Competitive View")</f>
        <v>Competitive View</v>
      </c>
      <c r="L374" s="41" t="s">
        <v>145</v>
      </c>
      <c r="M374" s="25" t="str">
        <f>'Ingest Template'!D373</f>
        <v/>
      </c>
      <c r="N374" s="25"/>
      <c r="O374" s="25"/>
      <c r="P374" s="25"/>
      <c r="Q374" s="25"/>
      <c r="R374" s="25" t="str">
        <f>CONCATENATE('Ingest Template'!F373)</f>
        <v/>
      </c>
      <c r="S374" s="43" t="s">
        <v>160</v>
      </c>
      <c r="T374" s="25" t="str">
        <f>'Ingest Template'!W373</f>
        <v/>
      </c>
      <c r="U374" s="25"/>
      <c r="V374" s="25" t="str">
        <f>LOWER(SUBSTITUTE(SUBSTITUTE(SUBSTITUTE(SUBSTITUTE(SUBSTITUTE('Ingest Template'!Y373,"https:",""),"www.",""),"/",""),"?hl=en",""),"instagram.com",""))</f>
        <v/>
      </c>
      <c r="W374" s="34" t="str">
        <f>(IFERROR(vlookup('Ingest Template'!F374,DropDown!D:E,2,false)&amp;'Ingest Template'!C374,""))</f>
        <v/>
      </c>
      <c r="X374" s="25" t="str">
        <f>'Ingest Template'!AA373</f>
        <v/>
      </c>
      <c r="Y374" s="25"/>
      <c r="Z374" s="25"/>
      <c r="AA374" s="25"/>
      <c r="AB374" s="25" t="str">
        <f>'Ingest Template'!T373</f>
        <v/>
      </c>
      <c r="AC374" s="25"/>
      <c r="AD374" s="25" t="str">
        <f>'Ingest Template'!U373</f>
        <v/>
      </c>
      <c r="AE374" s="25" t="str">
        <f>'Ingest Template'!V373</f>
        <v/>
      </c>
      <c r="AF374" s="25"/>
      <c r="AG374" s="25" t="str">
        <f t="array" ref="AG374">IF('Ingest Template'!A373="Standard",(CONCATENATE(IF(ISBLANK('Ingest Template'!O373),"", 'Ingest Template'!O373&amp;"|DAR"),CHAR(10), IF(ISBLANK('Ingest Template'!P373),"", 'Ingest Template'!P373&amp;"|DAR"),CHAR(10), IF(ISBLANK('Ingest Template'!Q373),"", 'Ingest Template'!Q373&amp;"|DAR"))),(CONCATENATE(IF(ISBLANK('Ingest Template'!O373),"", 'Ingest Template'!O373&amp;"|Operations - Core Title"),CHAR(10), IF(ISBLANK('Ingest Template'!P373),"", 'Ingest Template'!P373&amp;"|Operations - Core Title"),CHAR(10), IF(ISBLANK('Ingest Template'!Q373),"", 'Ingest Template'!Q373&amp;"|Operations - Core Title"))))</f>
        <v>#|Operations - Core Title
#videoGame|Operations - Core Title
</v>
      </c>
      <c r="AH374" s="25"/>
      <c r="AI374" s="25"/>
      <c r="AJ374" s="50" t="str">
        <f>if('Ingest Template'!A373="Standard",'Ingest Template'!R373&amp; "|DAR|DAR|2021-01-01",'Ingest Template'!R373&amp; "|Operations - Core Title|Operations - Core Title")</f>
        <v>#N/A</v>
      </c>
      <c r="AK374" s="25"/>
      <c r="AL374" s="25" t="str">
        <f>if('Ingest Template'!A373="Standard",'Ingest Template'!S373&amp; "|2021-01-01",'Ingest Template'!S373)</f>
        <v>#N/A</v>
      </c>
      <c r="AM374" s="25"/>
    </row>
    <row r="375">
      <c r="A375" s="25"/>
      <c r="B375" s="25" t="str">
        <f>'Ingest Template'!C374&amp;IF('Ingest Template'!A374 = "Standard", " - DAR","")</f>
        <v/>
      </c>
      <c r="C375" s="34" t="s">
        <v>92</v>
      </c>
      <c r="D375" s="34" t="str">
        <f>CONCATENATE('Ingest Template'!E375&amp;Char(10)&amp;'Ingest Template'!G375&amp;Char(10)&amp;'Ingest Template'!H375&amp;Char(10)&amp;'Ingest Template'!I375&amp;Char(10)&amp;'Ingest Template'!J375&amp;Char(10)&amp;'Ingest Template'!K375&amp;Char(10)&amp;'Ingest Template'!L375)</f>
        <v>
</v>
      </c>
      <c r="E375" s="25" t="str">
        <f>('Ingest Template'!M375)</f>
        <v/>
      </c>
      <c r="F375" s="40" t="str">
        <f t="array" ref="F375">INDEX(DropDown!$J$2:$J$63,MATCH(1,COUNTIF(E375,DropDown!$I$2:$I$63),0))</f>
        <v>#N/A</v>
      </c>
      <c r="G375" s="25"/>
      <c r="H375" s="25"/>
      <c r="I375" s="25"/>
      <c r="J375" s="25" t="str">
        <f>'Ingest Template'!B375</f>
        <v/>
      </c>
      <c r="K375" s="25" t="str">
        <f>IF('Ingest Template'!A374="Standard",'Ingest Template'!N374,"Competitive View")</f>
        <v>Competitive View</v>
      </c>
      <c r="L375" s="41" t="s">
        <v>145</v>
      </c>
      <c r="M375" s="25" t="str">
        <f>'Ingest Template'!D374</f>
        <v/>
      </c>
      <c r="N375" s="25"/>
      <c r="O375" s="25"/>
      <c r="P375" s="25"/>
      <c r="Q375" s="25"/>
      <c r="R375" s="25" t="str">
        <f>CONCATENATE('Ingest Template'!F374)</f>
        <v/>
      </c>
      <c r="S375" s="43" t="s">
        <v>160</v>
      </c>
      <c r="T375" s="25" t="str">
        <f>'Ingest Template'!W374</f>
        <v/>
      </c>
      <c r="U375" s="25"/>
      <c r="V375" s="25" t="str">
        <f>LOWER(SUBSTITUTE(SUBSTITUTE(SUBSTITUTE(SUBSTITUTE(SUBSTITUTE('Ingest Template'!Y374,"https:",""),"www.",""),"/",""),"?hl=en",""),"instagram.com",""))</f>
        <v/>
      </c>
      <c r="W375" s="34" t="str">
        <f>(IFERROR(vlookup('Ingest Template'!F375,DropDown!D:E,2,false)&amp;'Ingest Template'!C375,""))</f>
        <v/>
      </c>
      <c r="X375" s="25" t="str">
        <f>'Ingest Template'!AA374</f>
        <v/>
      </c>
      <c r="Y375" s="25"/>
      <c r="Z375" s="25"/>
      <c r="AA375" s="25"/>
      <c r="AB375" s="25" t="str">
        <f>'Ingest Template'!T374</f>
        <v/>
      </c>
      <c r="AC375" s="25"/>
      <c r="AD375" s="25" t="str">
        <f>'Ingest Template'!U374</f>
        <v/>
      </c>
      <c r="AE375" s="25" t="str">
        <f>'Ingest Template'!V374</f>
        <v/>
      </c>
      <c r="AF375" s="25"/>
      <c r="AG375" s="25" t="str">
        <f t="array" ref="AG375">IF('Ingest Template'!A374="Standard",(CONCATENATE(IF(ISBLANK('Ingest Template'!O374),"", 'Ingest Template'!O374&amp;"|DAR"),CHAR(10), IF(ISBLANK('Ingest Template'!P374),"", 'Ingest Template'!P374&amp;"|DAR"),CHAR(10), IF(ISBLANK('Ingest Template'!Q374),"", 'Ingest Template'!Q374&amp;"|DAR"))),(CONCATENATE(IF(ISBLANK('Ingest Template'!O374),"", 'Ingest Template'!O374&amp;"|Operations - Core Title"),CHAR(10), IF(ISBLANK('Ingest Template'!P374),"", 'Ingest Template'!P374&amp;"|Operations - Core Title"),CHAR(10), IF(ISBLANK('Ingest Template'!Q374),"", 'Ingest Template'!Q374&amp;"|Operations - Core Title"))))</f>
        <v>#|Operations - Core Title
#videoGame|Operations - Core Title
</v>
      </c>
      <c r="AH375" s="25"/>
      <c r="AI375" s="25"/>
      <c r="AJ375" s="50" t="str">
        <f>if('Ingest Template'!A374="Standard",'Ingest Template'!R374&amp; "|DAR|DAR|2021-01-01",'Ingest Template'!R374&amp; "|Operations - Core Title|Operations - Core Title")</f>
        <v>#N/A</v>
      </c>
      <c r="AK375" s="25"/>
      <c r="AL375" s="25" t="str">
        <f>if('Ingest Template'!A374="Standard",'Ingest Template'!S374&amp; "|2021-01-01",'Ingest Template'!S374)</f>
        <v>#N/A</v>
      </c>
      <c r="AM375" s="25"/>
    </row>
    <row r="376">
      <c r="A376" s="25"/>
      <c r="B376" s="25" t="str">
        <f>'Ingest Template'!C375&amp;IF('Ingest Template'!A375 = "Standard", " - DAR","")</f>
        <v/>
      </c>
      <c r="C376" s="34" t="s">
        <v>92</v>
      </c>
      <c r="D376" s="34" t="str">
        <f>CONCATENATE('Ingest Template'!E376&amp;Char(10)&amp;'Ingest Template'!G376&amp;Char(10)&amp;'Ingest Template'!H376&amp;Char(10)&amp;'Ingest Template'!I376&amp;Char(10)&amp;'Ingest Template'!J376&amp;Char(10)&amp;'Ingest Template'!K376&amp;Char(10)&amp;'Ingest Template'!L376)</f>
        <v>
</v>
      </c>
      <c r="E376" s="25" t="str">
        <f>('Ingest Template'!M376)</f>
        <v/>
      </c>
      <c r="F376" s="40" t="str">
        <f t="array" ref="F376">INDEX(DropDown!$J$2:$J$63,MATCH(1,COUNTIF(E376,DropDown!$I$2:$I$63),0))</f>
        <v>#N/A</v>
      </c>
      <c r="G376" s="25"/>
      <c r="H376" s="25"/>
      <c r="I376" s="25"/>
      <c r="J376" s="25" t="str">
        <f>'Ingest Template'!B376</f>
        <v/>
      </c>
      <c r="K376" s="25" t="str">
        <f>IF('Ingest Template'!A375="Standard",'Ingest Template'!N375,"Competitive View")</f>
        <v>Competitive View</v>
      </c>
      <c r="L376" s="41" t="s">
        <v>145</v>
      </c>
      <c r="M376" s="25" t="str">
        <f>'Ingest Template'!D375</f>
        <v/>
      </c>
      <c r="N376" s="25"/>
      <c r="O376" s="25"/>
      <c r="P376" s="25"/>
      <c r="Q376" s="25"/>
      <c r="R376" s="25" t="str">
        <f>CONCATENATE('Ingest Template'!F375)</f>
        <v/>
      </c>
      <c r="S376" s="43" t="s">
        <v>160</v>
      </c>
      <c r="T376" s="25" t="str">
        <f>'Ingest Template'!W375</f>
        <v/>
      </c>
      <c r="U376" s="25"/>
      <c r="V376" s="25" t="str">
        <f>LOWER(SUBSTITUTE(SUBSTITUTE(SUBSTITUTE(SUBSTITUTE(SUBSTITUTE('Ingest Template'!Y375,"https:",""),"www.",""),"/",""),"?hl=en",""),"instagram.com",""))</f>
        <v/>
      </c>
      <c r="W376" s="34" t="str">
        <f>(IFERROR(vlookup('Ingest Template'!F376,DropDown!D:E,2,false)&amp;'Ingest Template'!C376,""))</f>
        <v/>
      </c>
      <c r="X376" s="25" t="str">
        <f>'Ingest Template'!AA375</f>
        <v/>
      </c>
      <c r="Y376" s="25"/>
      <c r="Z376" s="25"/>
      <c r="AA376" s="25"/>
      <c r="AB376" s="25" t="str">
        <f>'Ingest Template'!T375</f>
        <v/>
      </c>
      <c r="AC376" s="25"/>
      <c r="AD376" s="25" t="str">
        <f>'Ingest Template'!U375</f>
        <v/>
      </c>
      <c r="AE376" s="25" t="str">
        <f>'Ingest Template'!V375</f>
        <v/>
      </c>
      <c r="AF376" s="25"/>
      <c r="AG376" s="25" t="str">
        <f t="array" ref="AG376">IF('Ingest Template'!A375="Standard",(CONCATENATE(IF(ISBLANK('Ingest Template'!O375),"", 'Ingest Template'!O375&amp;"|DAR"),CHAR(10), IF(ISBLANK('Ingest Template'!P375),"", 'Ingest Template'!P375&amp;"|DAR"),CHAR(10), IF(ISBLANK('Ingest Template'!Q375),"", 'Ingest Template'!Q375&amp;"|DAR"))),(CONCATENATE(IF(ISBLANK('Ingest Template'!O375),"", 'Ingest Template'!O375&amp;"|Operations - Core Title"),CHAR(10), IF(ISBLANK('Ingest Template'!P375),"", 'Ingest Template'!P375&amp;"|Operations - Core Title"),CHAR(10), IF(ISBLANK('Ingest Template'!Q375),"", 'Ingest Template'!Q375&amp;"|Operations - Core Title"))))</f>
        <v>#|Operations - Core Title
#videoGame|Operations - Core Title
</v>
      </c>
      <c r="AH376" s="25"/>
      <c r="AI376" s="25"/>
      <c r="AJ376" s="50" t="str">
        <f>if('Ingest Template'!A375="Standard",'Ingest Template'!R375&amp; "|DAR|DAR|2021-01-01",'Ingest Template'!R375&amp; "|Operations - Core Title|Operations - Core Title")</f>
        <v>#N/A</v>
      </c>
      <c r="AK376" s="25"/>
      <c r="AL376" s="25" t="str">
        <f>if('Ingest Template'!A375="Standard",'Ingest Template'!S375&amp; "|2021-01-01",'Ingest Template'!S375)</f>
        <v>#N/A</v>
      </c>
      <c r="AM376" s="25"/>
    </row>
    <row r="377">
      <c r="A377" s="25"/>
      <c r="B377" s="25" t="str">
        <f>'Ingest Template'!C376&amp;IF('Ingest Template'!A376 = "Standard", " - DAR","")</f>
        <v/>
      </c>
      <c r="C377" s="34" t="s">
        <v>92</v>
      </c>
      <c r="D377" s="34" t="str">
        <f>CONCATENATE('Ingest Template'!E377&amp;Char(10)&amp;'Ingest Template'!G377&amp;Char(10)&amp;'Ingest Template'!H377&amp;Char(10)&amp;'Ingest Template'!I377&amp;Char(10)&amp;'Ingest Template'!J377&amp;Char(10)&amp;'Ingest Template'!K377&amp;Char(10)&amp;'Ingest Template'!L377)</f>
        <v>
</v>
      </c>
      <c r="E377" s="25" t="str">
        <f>('Ingest Template'!M377)</f>
        <v/>
      </c>
      <c r="F377" s="40" t="str">
        <f t="array" ref="F377">INDEX(DropDown!$J$2:$J$63,MATCH(1,COUNTIF(E377,DropDown!$I$2:$I$63),0))</f>
        <v>#N/A</v>
      </c>
      <c r="G377" s="25"/>
      <c r="H377" s="25"/>
      <c r="I377" s="25"/>
      <c r="J377" s="25" t="str">
        <f>'Ingest Template'!B377</f>
        <v/>
      </c>
      <c r="K377" s="25" t="str">
        <f>IF('Ingest Template'!A376="Standard",'Ingest Template'!N376,"Competitive View")</f>
        <v>Competitive View</v>
      </c>
      <c r="L377" s="41" t="s">
        <v>145</v>
      </c>
      <c r="M377" s="25" t="str">
        <f>'Ingest Template'!D376</f>
        <v/>
      </c>
      <c r="N377" s="25"/>
      <c r="O377" s="25"/>
      <c r="P377" s="25"/>
      <c r="Q377" s="25"/>
      <c r="R377" s="25" t="str">
        <f>CONCATENATE('Ingest Template'!F376)</f>
        <v/>
      </c>
      <c r="S377" s="43" t="s">
        <v>160</v>
      </c>
      <c r="T377" s="25" t="str">
        <f>'Ingest Template'!W376</f>
        <v/>
      </c>
      <c r="U377" s="25"/>
      <c r="V377" s="25" t="str">
        <f>LOWER(SUBSTITUTE(SUBSTITUTE(SUBSTITUTE(SUBSTITUTE(SUBSTITUTE('Ingest Template'!Y376,"https:",""),"www.",""),"/",""),"?hl=en",""),"instagram.com",""))</f>
        <v/>
      </c>
      <c r="W377" s="34" t="str">
        <f>(IFERROR(vlookup('Ingest Template'!F377,DropDown!D:E,2,false)&amp;'Ingest Template'!C377,""))</f>
        <v/>
      </c>
      <c r="X377" s="25" t="str">
        <f>'Ingest Template'!AA376</f>
        <v/>
      </c>
      <c r="Y377" s="25"/>
      <c r="Z377" s="25"/>
      <c r="AA377" s="25"/>
      <c r="AB377" s="25" t="str">
        <f>'Ingest Template'!T376</f>
        <v/>
      </c>
      <c r="AC377" s="25"/>
      <c r="AD377" s="25" t="str">
        <f>'Ingest Template'!U376</f>
        <v/>
      </c>
      <c r="AE377" s="25" t="str">
        <f>'Ingest Template'!V376</f>
        <v/>
      </c>
      <c r="AF377" s="25"/>
      <c r="AG377" s="25" t="str">
        <f t="array" ref="AG377">IF('Ingest Template'!A376="Standard",(CONCATENATE(IF(ISBLANK('Ingest Template'!O376),"", 'Ingest Template'!O376&amp;"|DAR"),CHAR(10), IF(ISBLANK('Ingest Template'!P376),"", 'Ingest Template'!P376&amp;"|DAR"),CHAR(10), IF(ISBLANK('Ingest Template'!Q376),"", 'Ingest Template'!Q376&amp;"|DAR"))),(CONCATENATE(IF(ISBLANK('Ingest Template'!O376),"", 'Ingest Template'!O376&amp;"|Operations - Core Title"),CHAR(10), IF(ISBLANK('Ingest Template'!P376),"", 'Ingest Template'!P376&amp;"|Operations - Core Title"),CHAR(10), IF(ISBLANK('Ingest Template'!Q376),"", 'Ingest Template'!Q376&amp;"|Operations - Core Title"))))</f>
        <v>#|Operations - Core Title
#videoGame|Operations - Core Title
</v>
      </c>
      <c r="AH377" s="25"/>
      <c r="AI377" s="25"/>
      <c r="AJ377" s="50" t="str">
        <f>if('Ingest Template'!A376="Standard",'Ingest Template'!R376&amp; "|DAR|DAR|2021-01-01",'Ingest Template'!R376&amp; "|Operations - Core Title|Operations - Core Title")</f>
        <v>#N/A</v>
      </c>
      <c r="AK377" s="25"/>
      <c r="AL377" s="25" t="str">
        <f>if('Ingest Template'!A376="Standard",'Ingest Template'!S376&amp; "|2021-01-01",'Ingest Template'!S376)</f>
        <v>#N/A</v>
      </c>
      <c r="AM377" s="25"/>
    </row>
    <row r="378">
      <c r="A378" s="25"/>
      <c r="B378" s="25" t="str">
        <f>'Ingest Template'!C377&amp;IF('Ingest Template'!A377 = "Standard", " - DAR","")</f>
        <v/>
      </c>
      <c r="C378" s="34" t="s">
        <v>92</v>
      </c>
      <c r="D378" s="34" t="str">
        <f>CONCATENATE('Ingest Template'!E378&amp;Char(10)&amp;'Ingest Template'!G378&amp;Char(10)&amp;'Ingest Template'!H378&amp;Char(10)&amp;'Ingest Template'!I378&amp;Char(10)&amp;'Ingest Template'!J378&amp;Char(10)&amp;'Ingest Template'!K378&amp;Char(10)&amp;'Ingest Template'!L378)</f>
        <v>
</v>
      </c>
      <c r="E378" s="25" t="str">
        <f>('Ingest Template'!M378)</f>
        <v/>
      </c>
      <c r="F378" s="40" t="str">
        <f t="array" ref="F378">INDEX(DropDown!$J$2:$J$63,MATCH(1,COUNTIF(E378,DropDown!$I$2:$I$63),0))</f>
        <v>#N/A</v>
      </c>
      <c r="G378" s="25"/>
      <c r="H378" s="25"/>
      <c r="I378" s="25"/>
      <c r="J378" s="25" t="str">
        <f>'Ingest Template'!B378</f>
        <v/>
      </c>
      <c r="K378" s="25" t="str">
        <f>IF('Ingest Template'!A377="Standard",'Ingest Template'!N377,"Competitive View")</f>
        <v>Competitive View</v>
      </c>
      <c r="L378" s="41" t="s">
        <v>145</v>
      </c>
      <c r="M378" s="25" t="str">
        <f>'Ingest Template'!D377</f>
        <v/>
      </c>
      <c r="N378" s="25"/>
      <c r="O378" s="25"/>
      <c r="P378" s="25"/>
      <c r="Q378" s="25"/>
      <c r="R378" s="25" t="str">
        <f>CONCATENATE('Ingest Template'!F377)</f>
        <v/>
      </c>
      <c r="S378" s="43" t="s">
        <v>160</v>
      </c>
      <c r="T378" s="25" t="str">
        <f>'Ingest Template'!W377</f>
        <v/>
      </c>
      <c r="U378" s="25"/>
      <c r="V378" s="25" t="str">
        <f>LOWER(SUBSTITUTE(SUBSTITUTE(SUBSTITUTE(SUBSTITUTE(SUBSTITUTE('Ingest Template'!Y377,"https:",""),"www.",""),"/",""),"?hl=en",""),"instagram.com",""))</f>
        <v/>
      </c>
      <c r="W378" s="34" t="str">
        <f>(IFERROR(vlookup('Ingest Template'!F378,DropDown!D:E,2,false)&amp;'Ingest Template'!C378,""))</f>
        <v/>
      </c>
      <c r="X378" s="25" t="str">
        <f>'Ingest Template'!AA377</f>
        <v/>
      </c>
      <c r="Y378" s="25"/>
      <c r="Z378" s="25"/>
      <c r="AA378" s="25"/>
      <c r="AB378" s="25" t="str">
        <f>'Ingest Template'!T377</f>
        <v/>
      </c>
      <c r="AC378" s="25"/>
      <c r="AD378" s="25" t="str">
        <f>'Ingest Template'!U377</f>
        <v/>
      </c>
      <c r="AE378" s="25" t="str">
        <f>'Ingest Template'!V377</f>
        <v/>
      </c>
      <c r="AF378" s="25"/>
      <c r="AG378" s="25" t="str">
        <f t="array" ref="AG378">IF('Ingest Template'!A377="Standard",(CONCATENATE(IF(ISBLANK('Ingest Template'!O377),"", 'Ingest Template'!O377&amp;"|DAR"),CHAR(10), IF(ISBLANK('Ingest Template'!P377),"", 'Ingest Template'!P377&amp;"|DAR"),CHAR(10), IF(ISBLANK('Ingest Template'!Q377),"", 'Ingest Template'!Q377&amp;"|DAR"))),(CONCATENATE(IF(ISBLANK('Ingest Template'!O377),"", 'Ingest Template'!O377&amp;"|Operations - Core Title"),CHAR(10), IF(ISBLANK('Ingest Template'!P377),"", 'Ingest Template'!P377&amp;"|Operations - Core Title"),CHAR(10), IF(ISBLANK('Ingest Template'!Q377),"", 'Ingest Template'!Q377&amp;"|Operations - Core Title"))))</f>
        <v>#|Operations - Core Title
#videoGame|Operations - Core Title
</v>
      </c>
      <c r="AH378" s="25"/>
      <c r="AI378" s="25"/>
      <c r="AJ378" s="50" t="str">
        <f>if('Ingest Template'!A377="Standard",'Ingest Template'!R377&amp; "|DAR|DAR|2021-01-01",'Ingest Template'!R377&amp; "|Operations - Core Title|Operations - Core Title")</f>
        <v>#N/A</v>
      </c>
      <c r="AK378" s="25"/>
      <c r="AL378" s="25" t="str">
        <f>if('Ingest Template'!A377="Standard",'Ingest Template'!S377&amp; "|2021-01-01",'Ingest Template'!S377)</f>
        <v>#N/A</v>
      </c>
      <c r="AM378" s="25"/>
    </row>
    <row r="379">
      <c r="A379" s="25"/>
      <c r="B379" s="25" t="str">
        <f>'Ingest Template'!C378&amp;IF('Ingest Template'!A378 = "Standard", " - DAR","")</f>
        <v/>
      </c>
      <c r="C379" s="34" t="s">
        <v>92</v>
      </c>
      <c r="D379" s="34" t="str">
        <f>CONCATENATE('Ingest Template'!E379&amp;Char(10)&amp;'Ingest Template'!G379&amp;Char(10)&amp;'Ingest Template'!H379&amp;Char(10)&amp;'Ingest Template'!I379&amp;Char(10)&amp;'Ingest Template'!J379&amp;Char(10)&amp;'Ingest Template'!K379&amp;Char(10)&amp;'Ingest Template'!L379)</f>
        <v>
</v>
      </c>
      <c r="E379" s="25" t="str">
        <f>('Ingest Template'!M379)</f>
        <v/>
      </c>
      <c r="F379" s="40" t="str">
        <f t="array" ref="F379">INDEX(DropDown!$J$2:$J$63,MATCH(1,COUNTIF(E379,DropDown!$I$2:$I$63),0))</f>
        <v>#N/A</v>
      </c>
      <c r="G379" s="25"/>
      <c r="H379" s="25"/>
      <c r="I379" s="25"/>
      <c r="J379" s="25" t="str">
        <f>'Ingest Template'!B379</f>
        <v/>
      </c>
      <c r="K379" s="25" t="str">
        <f>IF('Ingest Template'!A378="Standard",'Ingest Template'!N378,"Competitive View")</f>
        <v>Competitive View</v>
      </c>
      <c r="L379" s="41" t="s">
        <v>145</v>
      </c>
      <c r="M379" s="25" t="str">
        <f>'Ingest Template'!D378</f>
        <v/>
      </c>
      <c r="N379" s="25"/>
      <c r="O379" s="25"/>
      <c r="P379" s="25"/>
      <c r="Q379" s="25"/>
      <c r="R379" s="25" t="str">
        <f>CONCATENATE('Ingest Template'!F378)</f>
        <v/>
      </c>
      <c r="S379" s="43" t="s">
        <v>160</v>
      </c>
      <c r="T379" s="25" t="str">
        <f>'Ingest Template'!W378</f>
        <v/>
      </c>
      <c r="U379" s="25"/>
      <c r="V379" s="25" t="str">
        <f>LOWER(SUBSTITUTE(SUBSTITUTE(SUBSTITUTE(SUBSTITUTE(SUBSTITUTE('Ingest Template'!Y378,"https:",""),"www.",""),"/",""),"?hl=en",""),"instagram.com",""))</f>
        <v/>
      </c>
      <c r="W379" s="34" t="str">
        <f>(IFERROR(vlookup('Ingest Template'!F379,DropDown!D:E,2,false)&amp;'Ingest Template'!C379,""))</f>
        <v/>
      </c>
      <c r="X379" s="25" t="str">
        <f>'Ingest Template'!AA378</f>
        <v/>
      </c>
      <c r="Y379" s="25"/>
      <c r="Z379" s="25"/>
      <c r="AA379" s="25"/>
      <c r="AB379" s="25" t="str">
        <f>'Ingest Template'!T378</f>
        <v/>
      </c>
      <c r="AC379" s="25"/>
      <c r="AD379" s="25" t="str">
        <f>'Ingest Template'!U378</f>
        <v/>
      </c>
      <c r="AE379" s="25" t="str">
        <f>'Ingest Template'!V378</f>
        <v/>
      </c>
      <c r="AF379" s="25"/>
      <c r="AG379" s="25" t="str">
        <f t="array" ref="AG379">IF('Ingest Template'!A378="Standard",(CONCATENATE(IF(ISBLANK('Ingest Template'!O378),"", 'Ingest Template'!O378&amp;"|DAR"),CHAR(10), IF(ISBLANK('Ingest Template'!P378),"", 'Ingest Template'!P378&amp;"|DAR"),CHAR(10), IF(ISBLANK('Ingest Template'!Q378),"", 'Ingest Template'!Q378&amp;"|DAR"))),(CONCATENATE(IF(ISBLANK('Ingest Template'!O378),"", 'Ingest Template'!O378&amp;"|Operations - Core Title"),CHAR(10), IF(ISBLANK('Ingest Template'!P378),"", 'Ingest Template'!P378&amp;"|Operations - Core Title"),CHAR(10), IF(ISBLANK('Ingest Template'!Q378),"", 'Ingest Template'!Q378&amp;"|Operations - Core Title"))))</f>
        <v>#|Operations - Core Title
#videoGame|Operations - Core Title
</v>
      </c>
      <c r="AH379" s="25"/>
      <c r="AI379" s="25"/>
      <c r="AJ379" s="50" t="str">
        <f>if('Ingest Template'!A378="Standard",'Ingest Template'!R378&amp; "|DAR|DAR|2021-01-01",'Ingest Template'!R378&amp; "|Operations - Core Title|Operations - Core Title")</f>
        <v>#N/A</v>
      </c>
      <c r="AK379" s="25"/>
      <c r="AL379" s="25" t="str">
        <f>if('Ingest Template'!A378="Standard",'Ingest Template'!S378&amp; "|2021-01-01",'Ingest Template'!S378)</f>
        <v>#N/A</v>
      </c>
      <c r="AM379" s="25"/>
    </row>
    <row r="380">
      <c r="A380" s="25"/>
      <c r="B380" s="25" t="str">
        <f>'Ingest Template'!C379&amp;IF('Ingest Template'!A379 = "Standard", " - DAR","")</f>
        <v/>
      </c>
      <c r="C380" s="34" t="s">
        <v>92</v>
      </c>
      <c r="D380" s="34" t="str">
        <f>CONCATENATE('Ingest Template'!E380&amp;Char(10)&amp;'Ingest Template'!G380&amp;Char(10)&amp;'Ingest Template'!H380&amp;Char(10)&amp;'Ingest Template'!I380&amp;Char(10)&amp;'Ingest Template'!J380&amp;Char(10)&amp;'Ingest Template'!K380&amp;Char(10)&amp;'Ingest Template'!L380)</f>
        <v>
</v>
      </c>
      <c r="E380" s="25" t="str">
        <f>('Ingest Template'!M380)</f>
        <v/>
      </c>
      <c r="F380" s="40" t="str">
        <f t="array" ref="F380">INDEX(DropDown!$J$2:$J$63,MATCH(1,COUNTIF(E380,DropDown!$I$2:$I$63),0))</f>
        <v>#N/A</v>
      </c>
      <c r="G380" s="25"/>
      <c r="H380" s="25"/>
      <c r="I380" s="25"/>
      <c r="J380" s="25" t="str">
        <f>'Ingest Template'!B380</f>
        <v/>
      </c>
      <c r="K380" s="25" t="str">
        <f>IF('Ingest Template'!A379="Standard",'Ingest Template'!N379,"Competitive View")</f>
        <v>Competitive View</v>
      </c>
      <c r="L380" s="41" t="s">
        <v>145</v>
      </c>
      <c r="M380" s="25" t="str">
        <f>'Ingest Template'!D379</f>
        <v/>
      </c>
      <c r="N380" s="25"/>
      <c r="O380" s="25"/>
      <c r="P380" s="25"/>
      <c r="Q380" s="25"/>
      <c r="R380" s="25" t="str">
        <f>CONCATENATE('Ingest Template'!F379)</f>
        <v/>
      </c>
      <c r="S380" s="43" t="s">
        <v>160</v>
      </c>
      <c r="T380" s="25" t="str">
        <f>'Ingest Template'!W379</f>
        <v/>
      </c>
      <c r="U380" s="25"/>
      <c r="V380" s="25" t="str">
        <f>LOWER(SUBSTITUTE(SUBSTITUTE(SUBSTITUTE(SUBSTITUTE(SUBSTITUTE('Ingest Template'!Y379,"https:",""),"www.",""),"/",""),"?hl=en",""),"instagram.com",""))</f>
        <v/>
      </c>
      <c r="W380" s="34" t="str">
        <f>(IFERROR(vlookup('Ingest Template'!F380,DropDown!D:E,2,false)&amp;'Ingest Template'!C380,""))</f>
        <v/>
      </c>
      <c r="X380" s="25" t="str">
        <f>'Ingest Template'!AA379</f>
        <v/>
      </c>
      <c r="Y380" s="25"/>
      <c r="Z380" s="25"/>
      <c r="AA380" s="25"/>
      <c r="AB380" s="25" t="str">
        <f>'Ingest Template'!T379</f>
        <v/>
      </c>
      <c r="AC380" s="25"/>
      <c r="AD380" s="25" t="str">
        <f>'Ingest Template'!U379</f>
        <v/>
      </c>
      <c r="AE380" s="25" t="str">
        <f>'Ingest Template'!V379</f>
        <v/>
      </c>
      <c r="AF380" s="25"/>
      <c r="AG380" s="25" t="str">
        <f t="array" ref="AG380">IF('Ingest Template'!A379="Standard",(CONCATENATE(IF(ISBLANK('Ingest Template'!O379),"", 'Ingest Template'!O379&amp;"|DAR"),CHAR(10), IF(ISBLANK('Ingest Template'!P379),"", 'Ingest Template'!P379&amp;"|DAR"),CHAR(10), IF(ISBLANK('Ingest Template'!Q379),"", 'Ingest Template'!Q379&amp;"|DAR"))),(CONCATENATE(IF(ISBLANK('Ingest Template'!O379),"", 'Ingest Template'!O379&amp;"|Operations - Core Title"),CHAR(10), IF(ISBLANK('Ingest Template'!P379),"", 'Ingest Template'!P379&amp;"|Operations - Core Title"),CHAR(10), IF(ISBLANK('Ingest Template'!Q379),"", 'Ingest Template'!Q379&amp;"|Operations - Core Title"))))</f>
        <v>#|Operations - Core Title
#videoGame|Operations - Core Title
</v>
      </c>
      <c r="AH380" s="25"/>
      <c r="AI380" s="25"/>
      <c r="AJ380" s="50" t="str">
        <f>if('Ingest Template'!A379="Standard",'Ingest Template'!R379&amp; "|DAR|DAR|2021-01-01",'Ingest Template'!R379&amp; "|Operations - Core Title|Operations - Core Title")</f>
        <v>#N/A</v>
      </c>
      <c r="AK380" s="25"/>
      <c r="AL380" s="25" t="str">
        <f>if('Ingest Template'!A379="Standard",'Ingest Template'!S379&amp; "|2021-01-01",'Ingest Template'!S379)</f>
        <v>#N/A</v>
      </c>
      <c r="AM380" s="25"/>
    </row>
    <row r="381">
      <c r="A381" s="25"/>
      <c r="B381" s="25" t="str">
        <f>'Ingest Template'!C380&amp;IF('Ingest Template'!A380 = "Standard", " - DAR","")</f>
        <v/>
      </c>
      <c r="C381" s="34" t="s">
        <v>92</v>
      </c>
      <c r="D381" s="34" t="str">
        <f>CONCATENATE('Ingest Template'!E381&amp;Char(10)&amp;'Ingest Template'!G381&amp;Char(10)&amp;'Ingest Template'!H381&amp;Char(10)&amp;'Ingest Template'!I381&amp;Char(10)&amp;'Ingest Template'!J381&amp;Char(10)&amp;'Ingest Template'!K381&amp;Char(10)&amp;'Ingest Template'!L381)</f>
        <v>
</v>
      </c>
      <c r="E381" s="25" t="str">
        <f>('Ingest Template'!M381)</f>
        <v/>
      </c>
      <c r="F381" s="40" t="str">
        <f t="array" ref="F381">INDEX(DropDown!$J$2:$J$63,MATCH(1,COUNTIF(E381,DropDown!$I$2:$I$63),0))</f>
        <v>#N/A</v>
      </c>
      <c r="G381" s="25"/>
      <c r="H381" s="25"/>
      <c r="I381" s="25"/>
      <c r="J381" s="25" t="str">
        <f>'Ingest Template'!B381</f>
        <v/>
      </c>
      <c r="K381" s="25" t="str">
        <f>IF('Ingest Template'!A380="Standard",'Ingest Template'!N380,"Competitive View")</f>
        <v>Competitive View</v>
      </c>
      <c r="L381" s="41" t="s">
        <v>145</v>
      </c>
      <c r="M381" s="25" t="str">
        <f>'Ingest Template'!D380</f>
        <v/>
      </c>
      <c r="N381" s="25"/>
      <c r="O381" s="25"/>
      <c r="P381" s="25"/>
      <c r="Q381" s="25"/>
      <c r="R381" s="25" t="str">
        <f>CONCATENATE('Ingest Template'!F380)</f>
        <v/>
      </c>
      <c r="S381" s="43" t="s">
        <v>160</v>
      </c>
      <c r="T381" s="25" t="str">
        <f>'Ingest Template'!W380</f>
        <v/>
      </c>
      <c r="U381" s="25"/>
      <c r="V381" s="25" t="str">
        <f>LOWER(SUBSTITUTE(SUBSTITUTE(SUBSTITUTE(SUBSTITUTE(SUBSTITUTE('Ingest Template'!Y380,"https:",""),"www.",""),"/",""),"?hl=en",""),"instagram.com",""))</f>
        <v/>
      </c>
      <c r="W381" s="34" t="str">
        <f>(IFERROR(vlookup('Ingest Template'!F381,DropDown!D:E,2,false)&amp;'Ingest Template'!C381,""))</f>
        <v/>
      </c>
      <c r="X381" s="25" t="str">
        <f>'Ingest Template'!AA380</f>
        <v/>
      </c>
      <c r="Y381" s="25"/>
      <c r="Z381" s="25"/>
      <c r="AA381" s="25"/>
      <c r="AB381" s="25" t="str">
        <f>'Ingest Template'!T380</f>
        <v/>
      </c>
      <c r="AC381" s="25"/>
      <c r="AD381" s="25" t="str">
        <f>'Ingest Template'!U380</f>
        <v/>
      </c>
      <c r="AE381" s="25" t="str">
        <f>'Ingest Template'!V380</f>
        <v/>
      </c>
      <c r="AF381" s="25"/>
      <c r="AG381" s="25" t="str">
        <f t="array" ref="AG381">IF('Ingest Template'!A380="Standard",(CONCATENATE(IF(ISBLANK('Ingest Template'!O380),"", 'Ingest Template'!O380&amp;"|DAR"),CHAR(10), IF(ISBLANK('Ingest Template'!P380),"", 'Ingest Template'!P380&amp;"|DAR"),CHAR(10), IF(ISBLANK('Ingest Template'!Q380),"", 'Ingest Template'!Q380&amp;"|DAR"))),(CONCATENATE(IF(ISBLANK('Ingest Template'!O380),"", 'Ingest Template'!O380&amp;"|Operations - Core Title"),CHAR(10), IF(ISBLANK('Ingest Template'!P380),"", 'Ingest Template'!P380&amp;"|Operations - Core Title"),CHAR(10), IF(ISBLANK('Ingest Template'!Q380),"", 'Ingest Template'!Q380&amp;"|Operations - Core Title"))))</f>
        <v>#|Operations - Core Title
#videoGame|Operations - Core Title
</v>
      </c>
      <c r="AH381" s="25"/>
      <c r="AI381" s="25"/>
      <c r="AJ381" s="50" t="str">
        <f>if('Ingest Template'!A380="Standard",'Ingest Template'!R380&amp; "|DAR|DAR|2021-01-01",'Ingest Template'!R380&amp; "|Operations - Core Title|Operations - Core Title")</f>
        <v>#N/A</v>
      </c>
      <c r="AK381" s="25"/>
      <c r="AL381" s="25" t="str">
        <f>if('Ingest Template'!A380="Standard",'Ingest Template'!S380&amp; "|2021-01-01",'Ingest Template'!S380)</f>
        <v>#N/A</v>
      </c>
      <c r="AM381" s="25"/>
    </row>
    <row r="382">
      <c r="A382" s="25"/>
      <c r="B382" s="25" t="str">
        <f>'Ingest Template'!C381&amp;IF('Ingest Template'!A381 = "Standard", " - DAR","")</f>
        <v/>
      </c>
      <c r="C382" s="34" t="s">
        <v>92</v>
      </c>
      <c r="D382" s="34" t="str">
        <f>CONCATENATE('Ingest Template'!E382&amp;Char(10)&amp;'Ingest Template'!G382&amp;Char(10)&amp;'Ingest Template'!H382&amp;Char(10)&amp;'Ingest Template'!I382&amp;Char(10)&amp;'Ingest Template'!J382&amp;Char(10)&amp;'Ingest Template'!K382&amp;Char(10)&amp;'Ingest Template'!L382)</f>
        <v>
</v>
      </c>
      <c r="E382" s="25" t="str">
        <f>('Ingest Template'!M382)</f>
        <v/>
      </c>
      <c r="F382" s="40" t="str">
        <f t="array" ref="F382">INDEX(DropDown!$J$2:$J$63,MATCH(1,COUNTIF(E382,DropDown!$I$2:$I$63),0))</f>
        <v>#N/A</v>
      </c>
      <c r="G382" s="25"/>
      <c r="H382" s="25"/>
      <c r="I382" s="25"/>
      <c r="J382" s="25" t="str">
        <f>'Ingest Template'!B382</f>
        <v/>
      </c>
      <c r="K382" s="25" t="str">
        <f>IF('Ingest Template'!A381="Standard",'Ingest Template'!N381,"Competitive View")</f>
        <v>Competitive View</v>
      </c>
      <c r="L382" s="41" t="s">
        <v>145</v>
      </c>
      <c r="M382" s="25" t="str">
        <f>'Ingest Template'!D381</f>
        <v/>
      </c>
      <c r="N382" s="25"/>
      <c r="O382" s="25"/>
      <c r="P382" s="25"/>
      <c r="Q382" s="25"/>
      <c r="R382" s="25" t="str">
        <f>CONCATENATE('Ingest Template'!F381)</f>
        <v/>
      </c>
      <c r="S382" s="43" t="s">
        <v>160</v>
      </c>
      <c r="T382" s="25" t="str">
        <f>'Ingest Template'!W381</f>
        <v/>
      </c>
      <c r="U382" s="25"/>
      <c r="V382" s="25" t="str">
        <f>LOWER(SUBSTITUTE(SUBSTITUTE(SUBSTITUTE(SUBSTITUTE(SUBSTITUTE('Ingest Template'!Y381,"https:",""),"www.",""),"/",""),"?hl=en",""),"instagram.com",""))</f>
        <v/>
      </c>
      <c r="W382" s="34" t="str">
        <f>(IFERROR(vlookup('Ingest Template'!F382,DropDown!D:E,2,false)&amp;'Ingest Template'!C382,""))</f>
        <v/>
      </c>
      <c r="X382" s="25" t="str">
        <f>'Ingest Template'!AA381</f>
        <v/>
      </c>
      <c r="Y382" s="25"/>
      <c r="Z382" s="25"/>
      <c r="AA382" s="25"/>
      <c r="AB382" s="25" t="str">
        <f>'Ingest Template'!T381</f>
        <v/>
      </c>
      <c r="AC382" s="25"/>
      <c r="AD382" s="25" t="str">
        <f>'Ingest Template'!U381</f>
        <v/>
      </c>
      <c r="AE382" s="25" t="str">
        <f>'Ingest Template'!V381</f>
        <v/>
      </c>
      <c r="AF382" s="25"/>
      <c r="AG382" s="25" t="str">
        <f t="array" ref="AG382">IF('Ingest Template'!A381="Standard",(CONCATENATE(IF(ISBLANK('Ingest Template'!O381),"", 'Ingest Template'!O381&amp;"|DAR"),CHAR(10), IF(ISBLANK('Ingest Template'!P381),"", 'Ingest Template'!P381&amp;"|DAR"),CHAR(10), IF(ISBLANK('Ingest Template'!Q381),"", 'Ingest Template'!Q381&amp;"|DAR"))),(CONCATENATE(IF(ISBLANK('Ingest Template'!O381),"", 'Ingest Template'!O381&amp;"|Operations - Core Title"),CHAR(10), IF(ISBLANK('Ingest Template'!P381),"", 'Ingest Template'!P381&amp;"|Operations - Core Title"),CHAR(10), IF(ISBLANK('Ingest Template'!Q381),"", 'Ingest Template'!Q381&amp;"|Operations - Core Title"))))</f>
        <v>#|Operations - Core Title
#videoGame|Operations - Core Title
</v>
      </c>
      <c r="AH382" s="25"/>
      <c r="AI382" s="25"/>
      <c r="AJ382" s="50" t="str">
        <f>if('Ingest Template'!A381="Standard",'Ingest Template'!R381&amp; "|DAR|DAR|2021-01-01",'Ingest Template'!R381&amp; "|Operations - Core Title|Operations - Core Title")</f>
        <v>#N/A</v>
      </c>
      <c r="AK382" s="25"/>
      <c r="AL382" s="25" t="str">
        <f>if('Ingest Template'!A381="Standard",'Ingest Template'!S381&amp; "|2021-01-01",'Ingest Template'!S381)</f>
        <v>#N/A</v>
      </c>
      <c r="AM382" s="25"/>
    </row>
    <row r="383">
      <c r="A383" s="25"/>
      <c r="B383" s="25" t="str">
        <f>'Ingest Template'!C382&amp;IF('Ingest Template'!A382 = "Standard", " - DAR","")</f>
        <v/>
      </c>
      <c r="C383" s="34" t="s">
        <v>92</v>
      </c>
      <c r="D383" s="34" t="str">
        <f>CONCATENATE('Ingest Template'!E383&amp;Char(10)&amp;'Ingest Template'!G383&amp;Char(10)&amp;'Ingest Template'!H383&amp;Char(10)&amp;'Ingest Template'!I383&amp;Char(10)&amp;'Ingest Template'!J383&amp;Char(10)&amp;'Ingest Template'!K383&amp;Char(10)&amp;'Ingest Template'!L383)</f>
        <v>
</v>
      </c>
      <c r="E383" s="25" t="str">
        <f>('Ingest Template'!M383)</f>
        <v/>
      </c>
      <c r="F383" s="40" t="str">
        <f t="array" ref="F383">INDEX(DropDown!$J$2:$J$63,MATCH(1,COUNTIF(E383,DropDown!$I$2:$I$63),0))</f>
        <v>#N/A</v>
      </c>
      <c r="G383" s="25"/>
      <c r="H383" s="25"/>
      <c r="I383" s="25"/>
      <c r="J383" s="25" t="str">
        <f>'Ingest Template'!B383</f>
        <v/>
      </c>
      <c r="K383" s="25" t="str">
        <f>IF('Ingest Template'!A382="Standard",'Ingest Template'!N382,"Competitive View")</f>
        <v>Competitive View</v>
      </c>
      <c r="L383" s="41" t="s">
        <v>145</v>
      </c>
      <c r="M383" s="25" t="str">
        <f>'Ingest Template'!D382</f>
        <v/>
      </c>
      <c r="N383" s="25"/>
      <c r="O383" s="25"/>
      <c r="P383" s="25"/>
      <c r="Q383" s="25"/>
      <c r="R383" s="25" t="str">
        <f>CONCATENATE('Ingest Template'!F382)</f>
        <v/>
      </c>
      <c r="S383" s="43" t="s">
        <v>160</v>
      </c>
      <c r="T383" s="25" t="str">
        <f>'Ingest Template'!W382</f>
        <v/>
      </c>
      <c r="U383" s="25"/>
      <c r="V383" s="25" t="str">
        <f>LOWER(SUBSTITUTE(SUBSTITUTE(SUBSTITUTE(SUBSTITUTE(SUBSTITUTE('Ingest Template'!Y382,"https:",""),"www.",""),"/",""),"?hl=en",""),"instagram.com",""))</f>
        <v/>
      </c>
      <c r="W383" s="34" t="str">
        <f>(IFERROR(vlookup('Ingest Template'!F383,DropDown!D:E,2,false)&amp;'Ingest Template'!C383,""))</f>
        <v/>
      </c>
      <c r="X383" s="25" t="str">
        <f>'Ingest Template'!AA382</f>
        <v/>
      </c>
      <c r="Y383" s="25"/>
      <c r="Z383" s="25"/>
      <c r="AA383" s="25"/>
      <c r="AB383" s="25" t="str">
        <f>'Ingest Template'!T382</f>
        <v/>
      </c>
      <c r="AC383" s="25"/>
      <c r="AD383" s="25" t="str">
        <f>'Ingest Template'!U382</f>
        <v/>
      </c>
      <c r="AE383" s="25" t="str">
        <f>'Ingest Template'!V382</f>
        <v/>
      </c>
      <c r="AF383" s="25"/>
      <c r="AG383" s="25" t="str">
        <f t="array" ref="AG383">IF('Ingest Template'!A382="Standard",(CONCATENATE(IF(ISBLANK('Ingest Template'!O382),"", 'Ingest Template'!O382&amp;"|DAR"),CHAR(10), IF(ISBLANK('Ingest Template'!P382),"", 'Ingest Template'!P382&amp;"|DAR"),CHAR(10), IF(ISBLANK('Ingest Template'!Q382),"", 'Ingest Template'!Q382&amp;"|DAR"))),(CONCATENATE(IF(ISBLANK('Ingest Template'!O382),"", 'Ingest Template'!O382&amp;"|Operations - Core Title"),CHAR(10), IF(ISBLANK('Ingest Template'!P382),"", 'Ingest Template'!P382&amp;"|Operations - Core Title"),CHAR(10), IF(ISBLANK('Ingest Template'!Q382),"", 'Ingest Template'!Q382&amp;"|Operations - Core Title"))))</f>
        <v>#|Operations - Core Title
#videoGame|Operations - Core Title
</v>
      </c>
      <c r="AH383" s="25"/>
      <c r="AI383" s="25"/>
      <c r="AJ383" s="50" t="str">
        <f>if('Ingest Template'!A382="Standard",'Ingest Template'!R382&amp; "|DAR|DAR|2021-01-01",'Ingest Template'!R382&amp; "|Operations - Core Title|Operations - Core Title")</f>
        <v>#N/A</v>
      </c>
      <c r="AK383" s="25"/>
      <c r="AL383" s="25" t="str">
        <f>if('Ingest Template'!A382="Standard",'Ingest Template'!S382&amp; "|2021-01-01",'Ingest Template'!S382)</f>
        <v>#N/A</v>
      </c>
      <c r="AM383" s="25"/>
    </row>
    <row r="384">
      <c r="A384" s="25"/>
      <c r="B384" s="25" t="str">
        <f>'Ingest Template'!C383&amp;IF('Ingest Template'!A383 = "Standard", " - DAR","")</f>
        <v/>
      </c>
      <c r="C384" s="34" t="s">
        <v>92</v>
      </c>
      <c r="D384" s="34" t="str">
        <f>CONCATENATE('Ingest Template'!E384&amp;Char(10)&amp;'Ingest Template'!G384&amp;Char(10)&amp;'Ingest Template'!H384&amp;Char(10)&amp;'Ingest Template'!I384&amp;Char(10)&amp;'Ingest Template'!J384&amp;Char(10)&amp;'Ingest Template'!K384&amp;Char(10)&amp;'Ingest Template'!L384)</f>
        <v>
</v>
      </c>
      <c r="E384" s="25" t="str">
        <f>('Ingest Template'!M384)</f>
        <v/>
      </c>
      <c r="F384" s="40" t="str">
        <f t="array" ref="F384">INDEX(DropDown!$J$2:$J$63,MATCH(1,COUNTIF(E384,DropDown!$I$2:$I$63),0))</f>
        <v>#N/A</v>
      </c>
      <c r="G384" s="25"/>
      <c r="H384" s="25"/>
      <c r="I384" s="25"/>
      <c r="J384" s="25" t="str">
        <f>'Ingest Template'!B384</f>
        <v/>
      </c>
      <c r="K384" s="25" t="str">
        <f>IF('Ingest Template'!A383="Standard",'Ingest Template'!N383,"Competitive View")</f>
        <v>Competitive View</v>
      </c>
      <c r="L384" s="41" t="s">
        <v>145</v>
      </c>
      <c r="M384" s="25" t="str">
        <f>'Ingest Template'!D383</f>
        <v/>
      </c>
      <c r="N384" s="25"/>
      <c r="O384" s="25"/>
      <c r="P384" s="25"/>
      <c r="Q384" s="25"/>
      <c r="R384" s="25" t="str">
        <f>CONCATENATE('Ingest Template'!F383)</f>
        <v/>
      </c>
      <c r="S384" s="43" t="s">
        <v>160</v>
      </c>
      <c r="T384" s="25" t="str">
        <f>'Ingest Template'!W383</f>
        <v/>
      </c>
      <c r="U384" s="25"/>
      <c r="V384" s="25" t="str">
        <f>LOWER(SUBSTITUTE(SUBSTITUTE(SUBSTITUTE(SUBSTITUTE(SUBSTITUTE('Ingest Template'!Y383,"https:",""),"www.",""),"/",""),"?hl=en",""),"instagram.com",""))</f>
        <v/>
      </c>
      <c r="W384" s="34" t="str">
        <f>(IFERROR(vlookup('Ingest Template'!F384,DropDown!D:E,2,false)&amp;'Ingest Template'!C384,""))</f>
        <v/>
      </c>
      <c r="X384" s="25" t="str">
        <f>'Ingest Template'!AA383</f>
        <v/>
      </c>
      <c r="Y384" s="25"/>
      <c r="Z384" s="25"/>
      <c r="AA384" s="25"/>
      <c r="AB384" s="25" t="str">
        <f>'Ingest Template'!T383</f>
        <v/>
      </c>
      <c r="AC384" s="25"/>
      <c r="AD384" s="25" t="str">
        <f>'Ingest Template'!U383</f>
        <v/>
      </c>
      <c r="AE384" s="25" t="str">
        <f>'Ingest Template'!V383</f>
        <v/>
      </c>
      <c r="AF384" s="25"/>
      <c r="AG384" s="25" t="str">
        <f t="array" ref="AG384">IF('Ingest Template'!A383="Standard",(CONCATENATE(IF(ISBLANK('Ingest Template'!O383),"", 'Ingest Template'!O383&amp;"|DAR"),CHAR(10), IF(ISBLANK('Ingest Template'!P383),"", 'Ingest Template'!P383&amp;"|DAR"),CHAR(10), IF(ISBLANK('Ingest Template'!Q383),"", 'Ingest Template'!Q383&amp;"|DAR"))),(CONCATENATE(IF(ISBLANK('Ingest Template'!O383),"", 'Ingest Template'!O383&amp;"|Operations - Core Title"),CHAR(10), IF(ISBLANK('Ingest Template'!P383),"", 'Ingest Template'!P383&amp;"|Operations - Core Title"),CHAR(10), IF(ISBLANK('Ingest Template'!Q383),"", 'Ingest Template'!Q383&amp;"|Operations - Core Title"))))</f>
        <v>#|Operations - Core Title
#videoGame|Operations - Core Title
</v>
      </c>
      <c r="AH384" s="25"/>
      <c r="AI384" s="25"/>
      <c r="AJ384" s="50" t="str">
        <f>if('Ingest Template'!A383="Standard",'Ingest Template'!R383&amp; "|DAR|DAR|2021-01-01",'Ingest Template'!R383&amp; "|Operations - Core Title|Operations - Core Title")</f>
        <v>#N/A</v>
      </c>
      <c r="AK384" s="25"/>
      <c r="AL384" s="25" t="str">
        <f>if('Ingest Template'!A383="Standard",'Ingest Template'!S383&amp; "|2021-01-01",'Ingest Template'!S383)</f>
        <v>#N/A</v>
      </c>
      <c r="AM384" s="25"/>
    </row>
    <row r="385">
      <c r="A385" s="25"/>
      <c r="B385" s="25" t="str">
        <f>'Ingest Template'!C384&amp;IF('Ingest Template'!A384 = "Standard", " - DAR","")</f>
        <v/>
      </c>
      <c r="C385" s="34" t="s">
        <v>92</v>
      </c>
      <c r="D385" s="34" t="str">
        <f>CONCATENATE('Ingest Template'!E385&amp;Char(10)&amp;'Ingest Template'!G385&amp;Char(10)&amp;'Ingest Template'!H385&amp;Char(10)&amp;'Ingest Template'!I385&amp;Char(10)&amp;'Ingest Template'!J385&amp;Char(10)&amp;'Ingest Template'!K385&amp;Char(10)&amp;'Ingest Template'!L385)</f>
        <v>
</v>
      </c>
      <c r="E385" s="25" t="str">
        <f>('Ingest Template'!M385)</f>
        <v/>
      </c>
      <c r="F385" s="40" t="str">
        <f t="array" ref="F385">INDEX(DropDown!$J$2:$J$63,MATCH(1,COUNTIF(E385,DropDown!$I$2:$I$63),0))</f>
        <v>#N/A</v>
      </c>
      <c r="G385" s="25"/>
      <c r="H385" s="25"/>
      <c r="I385" s="25"/>
      <c r="J385" s="25" t="str">
        <f>'Ingest Template'!B385</f>
        <v/>
      </c>
      <c r="K385" s="25" t="str">
        <f>IF('Ingest Template'!A384="Standard",'Ingest Template'!N384,"Competitive View")</f>
        <v>Competitive View</v>
      </c>
      <c r="L385" s="41" t="s">
        <v>145</v>
      </c>
      <c r="M385" s="25" t="str">
        <f>'Ingest Template'!D384</f>
        <v/>
      </c>
      <c r="N385" s="25"/>
      <c r="O385" s="25"/>
      <c r="P385" s="25"/>
      <c r="Q385" s="25"/>
      <c r="R385" s="25" t="str">
        <f>CONCATENATE('Ingest Template'!F384)</f>
        <v/>
      </c>
      <c r="S385" s="43" t="s">
        <v>160</v>
      </c>
      <c r="T385" s="25" t="str">
        <f>'Ingest Template'!W384</f>
        <v/>
      </c>
      <c r="U385" s="25"/>
      <c r="V385" s="25" t="str">
        <f>LOWER(SUBSTITUTE(SUBSTITUTE(SUBSTITUTE(SUBSTITUTE(SUBSTITUTE('Ingest Template'!Y384,"https:",""),"www.",""),"/",""),"?hl=en",""),"instagram.com",""))</f>
        <v/>
      </c>
      <c r="W385" s="34" t="str">
        <f>(IFERROR(vlookup('Ingest Template'!F385,DropDown!D:E,2,false)&amp;'Ingest Template'!C385,""))</f>
        <v/>
      </c>
      <c r="X385" s="25" t="str">
        <f>'Ingest Template'!AA384</f>
        <v/>
      </c>
      <c r="Y385" s="25"/>
      <c r="Z385" s="25"/>
      <c r="AA385" s="25"/>
      <c r="AB385" s="25" t="str">
        <f>'Ingest Template'!T384</f>
        <v/>
      </c>
      <c r="AC385" s="25"/>
      <c r="AD385" s="25" t="str">
        <f>'Ingest Template'!U384</f>
        <v/>
      </c>
      <c r="AE385" s="25" t="str">
        <f>'Ingest Template'!V384</f>
        <v/>
      </c>
      <c r="AF385" s="25"/>
      <c r="AG385" s="25" t="str">
        <f t="array" ref="AG385">IF('Ingest Template'!A384="Standard",(CONCATENATE(IF(ISBLANK('Ingest Template'!O384),"", 'Ingest Template'!O384&amp;"|DAR"),CHAR(10), IF(ISBLANK('Ingest Template'!P384),"", 'Ingest Template'!P384&amp;"|DAR"),CHAR(10), IF(ISBLANK('Ingest Template'!Q384),"", 'Ingest Template'!Q384&amp;"|DAR"))),(CONCATENATE(IF(ISBLANK('Ingest Template'!O384),"", 'Ingest Template'!O384&amp;"|Operations - Core Title"),CHAR(10), IF(ISBLANK('Ingest Template'!P384),"", 'Ingest Template'!P384&amp;"|Operations - Core Title"),CHAR(10), IF(ISBLANK('Ingest Template'!Q384),"", 'Ingest Template'!Q384&amp;"|Operations - Core Title"))))</f>
        <v>#|Operations - Core Title
#videoGame|Operations - Core Title
</v>
      </c>
      <c r="AH385" s="25"/>
      <c r="AI385" s="25"/>
      <c r="AJ385" s="50" t="str">
        <f>if('Ingest Template'!A384="Standard",'Ingest Template'!R384&amp; "|DAR|DAR|2021-01-01",'Ingest Template'!R384&amp; "|Operations - Core Title|Operations - Core Title")</f>
        <v>#N/A</v>
      </c>
      <c r="AK385" s="25"/>
      <c r="AL385" s="25" t="str">
        <f>if('Ingest Template'!A384="Standard",'Ingest Template'!S384&amp; "|2021-01-01",'Ingest Template'!S384)</f>
        <v>#N/A</v>
      </c>
      <c r="AM385" s="25"/>
    </row>
    <row r="386">
      <c r="A386" s="25"/>
      <c r="B386" s="25" t="str">
        <f>'Ingest Template'!C385&amp;IF('Ingest Template'!A385 = "Standard", " - DAR","")</f>
        <v/>
      </c>
      <c r="C386" s="34" t="s">
        <v>92</v>
      </c>
      <c r="D386" s="34" t="str">
        <f>CONCATENATE('Ingest Template'!E386&amp;Char(10)&amp;'Ingest Template'!G386&amp;Char(10)&amp;'Ingest Template'!H386&amp;Char(10)&amp;'Ingest Template'!I386&amp;Char(10)&amp;'Ingest Template'!J386&amp;Char(10)&amp;'Ingest Template'!K386&amp;Char(10)&amp;'Ingest Template'!L386)</f>
        <v>
</v>
      </c>
      <c r="E386" s="25" t="str">
        <f>('Ingest Template'!M386)</f>
        <v/>
      </c>
      <c r="F386" s="40" t="str">
        <f t="array" ref="F386">INDEX(DropDown!$J$2:$J$63,MATCH(1,COUNTIF(E386,DropDown!$I$2:$I$63),0))</f>
        <v>#N/A</v>
      </c>
      <c r="G386" s="25"/>
      <c r="H386" s="25"/>
      <c r="I386" s="25"/>
      <c r="J386" s="25" t="str">
        <f>'Ingest Template'!B386</f>
        <v/>
      </c>
      <c r="K386" s="25" t="str">
        <f>IF('Ingest Template'!A385="Standard",'Ingest Template'!N385,"Competitive View")</f>
        <v>Competitive View</v>
      </c>
      <c r="L386" s="41" t="s">
        <v>145</v>
      </c>
      <c r="M386" s="25" t="str">
        <f>'Ingest Template'!D385</f>
        <v/>
      </c>
      <c r="N386" s="25"/>
      <c r="O386" s="25"/>
      <c r="P386" s="25"/>
      <c r="Q386" s="25"/>
      <c r="R386" s="25" t="str">
        <f>CONCATENATE('Ingest Template'!F385)</f>
        <v/>
      </c>
      <c r="S386" s="43" t="s">
        <v>160</v>
      </c>
      <c r="T386" s="25" t="str">
        <f>'Ingest Template'!W385</f>
        <v/>
      </c>
      <c r="U386" s="25"/>
      <c r="V386" s="25" t="str">
        <f>LOWER(SUBSTITUTE(SUBSTITUTE(SUBSTITUTE(SUBSTITUTE(SUBSTITUTE('Ingest Template'!Y385,"https:",""),"www.",""),"/",""),"?hl=en",""),"instagram.com",""))</f>
        <v/>
      </c>
      <c r="W386" s="34" t="str">
        <f>(IFERROR(vlookup('Ingest Template'!F386,DropDown!D:E,2,false)&amp;'Ingest Template'!C386,""))</f>
        <v/>
      </c>
      <c r="X386" s="25" t="str">
        <f>'Ingest Template'!AA385</f>
        <v/>
      </c>
      <c r="Y386" s="25"/>
      <c r="Z386" s="25"/>
      <c r="AA386" s="25"/>
      <c r="AB386" s="25" t="str">
        <f>'Ingest Template'!T385</f>
        <v/>
      </c>
      <c r="AC386" s="25"/>
      <c r="AD386" s="25" t="str">
        <f>'Ingest Template'!U385</f>
        <v/>
      </c>
      <c r="AE386" s="25" t="str">
        <f>'Ingest Template'!V385</f>
        <v/>
      </c>
      <c r="AF386" s="25"/>
      <c r="AG386" s="25" t="str">
        <f t="array" ref="AG386">IF('Ingest Template'!A385="Standard",(CONCATENATE(IF(ISBLANK('Ingest Template'!O385),"", 'Ingest Template'!O385&amp;"|DAR"),CHAR(10), IF(ISBLANK('Ingest Template'!P385),"", 'Ingest Template'!P385&amp;"|DAR"),CHAR(10), IF(ISBLANK('Ingest Template'!Q385),"", 'Ingest Template'!Q385&amp;"|DAR"))),(CONCATENATE(IF(ISBLANK('Ingest Template'!O385),"", 'Ingest Template'!O385&amp;"|Operations - Core Title"),CHAR(10), IF(ISBLANK('Ingest Template'!P385),"", 'Ingest Template'!P385&amp;"|Operations - Core Title"),CHAR(10), IF(ISBLANK('Ingest Template'!Q385),"", 'Ingest Template'!Q385&amp;"|Operations - Core Title"))))</f>
        <v>#|Operations - Core Title
#videoGame|Operations - Core Title
</v>
      </c>
      <c r="AH386" s="25"/>
      <c r="AI386" s="25"/>
      <c r="AJ386" s="50" t="str">
        <f>if('Ingest Template'!A385="Standard",'Ingest Template'!R385&amp; "|DAR|DAR|2021-01-01",'Ingest Template'!R385&amp; "|Operations - Core Title|Operations - Core Title")</f>
        <v>#N/A</v>
      </c>
      <c r="AK386" s="25"/>
      <c r="AL386" s="25" t="str">
        <f>if('Ingest Template'!A385="Standard",'Ingest Template'!S385&amp; "|2021-01-01",'Ingest Template'!S385)</f>
        <v>#N/A</v>
      </c>
      <c r="AM386" s="25"/>
    </row>
    <row r="387">
      <c r="A387" s="25"/>
      <c r="B387" s="25" t="str">
        <f>'Ingest Template'!C386&amp;IF('Ingest Template'!A386 = "Standard", " - DAR","")</f>
        <v/>
      </c>
      <c r="C387" s="34" t="s">
        <v>92</v>
      </c>
      <c r="D387" s="34" t="str">
        <f>CONCATENATE('Ingest Template'!E387&amp;Char(10)&amp;'Ingest Template'!G387&amp;Char(10)&amp;'Ingest Template'!H387&amp;Char(10)&amp;'Ingest Template'!I387&amp;Char(10)&amp;'Ingest Template'!J387&amp;Char(10)&amp;'Ingest Template'!K387&amp;Char(10)&amp;'Ingest Template'!L387)</f>
        <v>
</v>
      </c>
      <c r="E387" s="25" t="str">
        <f>('Ingest Template'!M387)</f>
        <v/>
      </c>
      <c r="F387" s="40" t="str">
        <f t="array" ref="F387">INDEX(DropDown!$J$2:$J$63,MATCH(1,COUNTIF(E387,DropDown!$I$2:$I$63),0))</f>
        <v>#N/A</v>
      </c>
      <c r="G387" s="25"/>
      <c r="H387" s="25"/>
      <c r="I387" s="25"/>
      <c r="J387" s="25" t="str">
        <f>'Ingest Template'!B387</f>
        <v/>
      </c>
      <c r="K387" s="25" t="str">
        <f>IF('Ingest Template'!A386="Standard",'Ingest Template'!N386,"Competitive View")</f>
        <v>Competitive View</v>
      </c>
      <c r="L387" s="41" t="s">
        <v>145</v>
      </c>
      <c r="M387" s="25" t="str">
        <f>'Ingest Template'!D386</f>
        <v/>
      </c>
      <c r="N387" s="25"/>
      <c r="O387" s="25"/>
      <c r="P387" s="25"/>
      <c r="Q387" s="25"/>
      <c r="R387" s="25" t="str">
        <f>CONCATENATE('Ingest Template'!F386)</f>
        <v/>
      </c>
      <c r="S387" s="43" t="s">
        <v>160</v>
      </c>
      <c r="T387" s="25" t="str">
        <f>'Ingest Template'!W386</f>
        <v/>
      </c>
      <c r="U387" s="25"/>
      <c r="V387" s="25" t="str">
        <f>LOWER(SUBSTITUTE(SUBSTITUTE(SUBSTITUTE(SUBSTITUTE(SUBSTITUTE('Ingest Template'!Y386,"https:",""),"www.",""),"/",""),"?hl=en",""),"instagram.com",""))</f>
        <v/>
      </c>
      <c r="W387" s="34" t="str">
        <f>(IFERROR(vlookup('Ingest Template'!F387,DropDown!D:E,2,false)&amp;'Ingest Template'!C387,""))</f>
        <v/>
      </c>
      <c r="X387" s="25" t="str">
        <f>'Ingest Template'!AA386</f>
        <v/>
      </c>
      <c r="Y387" s="25"/>
      <c r="Z387" s="25"/>
      <c r="AA387" s="25"/>
      <c r="AB387" s="25" t="str">
        <f>'Ingest Template'!T386</f>
        <v/>
      </c>
      <c r="AC387" s="25"/>
      <c r="AD387" s="25" t="str">
        <f>'Ingest Template'!U386</f>
        <v/>
      </c>
      <c r="AE387" s="25" t="str">
        <f>'Ingest Template'!V386</f>
        <v/>
      </c>
      <c r="AF387" s="25"/>
      <c r="AG387" s="25" t="str">
        <f t="array" ref="AG387">IF('Ingest Template'!A386="Standard",(CONCATENATE(IF(ISBLANK('Ingest Template'!O386),"", 'Ingest Template'!O386&amp;"|DAR"),CHAR(10), IF(ISBLANK('Ingest Template'!P386),"", 'Ingest Template'!P386&amp;"|DAR"),CHAR(10), IF(ISBLANK('Ingest Template'!Q386),"", 'Ingest Template'!Q386&amp;"|DAR"))),(CONCATENATE(IF(ISBLANK('Ingest Template'!O386),"", 'Ingest Template'!O386&amp;"|Operations - Core Title"),CHAR(10), IF(ISBLANK('Ingest Template'!P386),"", 'Ingest Template'!P386&amp;"|Operations - Core Title"),CHAR(10), IF(ISBLANK('Ingest Template'!Q386),"", 'Ingest Template'!Q386&amp;"|Operations - Core Title"))))</f>
        <v>#|Operations - Core Title
#videoGame|Operations - Core Title
</v>
      </c>
      <c r="AH387" s="25"/>
      <c r="AI387" s="25"/>
      <c r="AJ387" s="50" t="str">
        <f>if('Ingest Template'!A386="Standard",'Ingest Template'!R386&amp; "|DAR|DAR|2021-01-01",'Ingest Template'!R386&amp; "|Operations - Core Title|Operations - Core Title")</f>
        <v>#N/A</v>
      </c>
      <c r="AK387" s="25"/>
      <c r="AL387" s="25" t="str">
        <f>if('Ingest Template'!A386="Standard",'Ingest Template'!S386&amp; "|2021-01-01",'Ingest Template'!S386)</f>
        <v>#N/A</v>
      </c>
      <c r="AM387" s="25"/>
    </row>
    <row r="388">
      <c r="A388" s="25"/>
      <c r="B388" s="25" t="str">
        <f>'Ingest Template'!C387&amp;IF('Ingest Template'!A387 = "Standard", " - DAR","")</f>
        <v/>
      </c>
      <c r="C388" s="34" t="s">
        <v>92</v>
      </c>
      <c r="D388" s="34" t="str">
        <f>CONCATENATE('Ingest Template'!E388&amp;Char(10)&amp;'Ingest Template'!G388&amp;Char(10)&amp;'Ingest Template'!H388&amp;Char(10)&amp;'Ingest Template'!I388&amp;Char(10)&amp;'Ingest Template'!J388&amp;Char(10)&amp;'Ingest Template'!K388&amp;Char(10)&amp;'Ingest Template'!L388)</f>
        <v>
</v>
      </c>
      <c r="E388" s="25" t="str">
        <f>('Ingest Template'!M388)</f>
        <v/>
      </c>
      <c r="F388" s="40" t="str">
        <f t="array" ref="F388">INDEX(DropDown!$J$2:$J$63,MATCH(1,COUNTIF(E388,DropDown!$I$2:$I$63),0))</f>
        <v>#N/A</v>
      </c>
      <c r="G388" s="25"/>
      <c r="H388" s="25"/>
      <c r="I388" s="25"/>
      <c r="J388" s="25" t="str">
        <f>'Ingest Template'!B388</f>
        <v/>
      </c>
      <c r="K388" s="25" t="str">
        <f>IF('Ingest Template'!A387="Standard",'Ingest Template'!N387,"Competitive View")</f>
        <v>Competitive View</v>
      </c>
      <c r="L388" s="41" t="s">
        <v>145</v>
      </c>
      <c r="M388" s="25" t="str">
        <f>'Ingest Template'!D387</f>
        <v/>
      </c>
      <c r="N388" s="25"/>
      <c r="O388" s="25"/>
      <c r="P388" s="25"/>
      <c r="Q388" s="25"/>
      <c r="R388" s="25" t="str">
        <f>CONCATENATE('Ingest Template'!F387)</f>
        <v/>
      </c>
      <c r="S388" s="43" t="s">
        <v>160</v>
      </c>
      <c r="T388" s="25" t="str">
        <f>'Ingest Template'!W387</f>
        <v/>
      </c>
      <c r="U388" s="25"/>
      <c r="V388" s="25" t="str">
        <f>LOWER(SUBSTITUTE(SUBSTITUTE(SUBSTITUTE(SUBSTITUTE(SUBSTITUTE('Ingest Template'!Y387,"https:",""),"www.",""),"/",""),"?hl=en",""),"instagram.com",""))</f>
        <v/>
      </c>
      <c r="W388" s="34" t="str">
        <f>(IFERROR(vlookup('Ingest Template'!F388,DropDown!D:E,2,false)&amp;'Ingest Template'!C388,""))</f>
        <v/>
      </c>
      <c r="X388" s="25" t="str">
        <f>'Ingest Template'!AA387</f>
        <v/>
      </c>
      <c r="Y388" s="25"/>
      <c r="Z388" s="25"/>
      <c r="AA388" s="25"/>
      <c r="AB388" s="25" t="str">
        <f>'Ingest Template'!T387</f>
        <v/>
      </c>
      <c r="AC388" s="25"/>
      <c r="AD388" s="25" t="str">
        <f>'Ingest Template'!U387</f>
        <v/>
      </c>
      <c r="AE388" s="25" t="str">
        <f>'Ingest Template'!V387</f>
        <v/>
      </c>
      <c r="AF388" s="25"/>
      <c r="AG388" s="25" t="str">
        <f t="array" ref="AG388">IF('Ingest Template'!A387="Standard",(CONCATENATE(IF(ISBLANK('Ingest Template'!O387),"", 'Ingest Template'!O387&amp;"|DAR"),CHAR(10), IF(ISBLANK('Ingest Template'!P387),"", 'Ingest Template'!P387&amp;"|DAR"),CHAR(10), IF(ISBLANK('Ingest Template'!Q387),"", 'Ingest Template'!Q387&amp;"|DAR"))),(CONCATENATE(IF(ISBLANK('Ingest Template'!O387),"", 'Ingest Template'!O387&amp;"|Operations - Core Title"),CHAR(10), IF(ISBLANK('Ingest Template'!P387),"", 'Ingest Template'!P387&amp;"|Operations - Core Title"),CHAR(10), IF(ISBLANK('Ingest Template'!Q387),"", 'Ingest Template'!Q387&amp;"|Operations - Core Title"))))</f>
        <v>#|Operations - Core Title
#videoGame|Operations - Core Title
</v>
      </c>
      <c r="AH388" s="25"/>
      <c r="AI388" s="25"/>
      <c r="AJ388" s="50" t="str">
        <f>if('Ingest Template'!A387="Standard",'Ingest Template'!R387&amp; "|DAR|DAR|2021-01-01",'Ingest Template'!R387&amp; "|Operations - Core Title|Operations - Core Title")</f>
        <v>#N/A</v>
      </c>
      <c r="AK388" s="25"/>
      <c r="AL388" s="25" t="str">
        <f>if('Ingest Template'!A387="Standard",'Ingest Template'!S387&amp; "|2021-01-01",'Ingest Template'!S387)</f>
        <v>#N/A</v>
      </c>
      <c r="AM388" s="25"/>
    </row>
    <row r="389">
      <c r="A389" s="25"/>
      <c r="B389" s="25" t="str">
        <f>'Ingest Template'!C388&amp;IF('Ingest Template'!A388 = "Standard", " - DAR","")</f>
        <v/>
      </c>
      <c r="C389" s="34" t="s">
        <v>92</v>
      </c>
      <c r="D389" s="34" t="str">
        <f>CONCATENATE('Ingest Template'!E389&amp;Char(10)&amp;'Ingest Template'!G389&amp;Char(10)&amp;'Ingest Template'!H389&amp;Char(10)&amp;'Ingest Template'!I389&amp;Char(10)&amp;'Ingest Template'!J389&amp;Char(10)&amp;'Ingest Template'!K389&amp;Char(10)&amp;'Ingest Template'!L389)</f>
        <v>
</v>
      </c>
      <c r="E389" s="25" t="str">
        <f>('Ingest Template'!M389)</f>
        <v/>
      </c>
      <c r="F389" s="40" t="str">
        <f t="array" ref="F389">INDEX(DropDown!$J$2:$J$63,MATCH(1,COUNTIF(E389,DropDown!$I$2:$I$63),0))</f>
        <v>#N/A</v>
      </c>
      <c r="G389" s="25"/>
      <c r="H389" s="25"/>
      <c r="I389" s="25"/>
      <c r="J389" s="25" t="str">
        <f>'Ingest Template'!B389</f>
        <v/>
      </c>
      <c r="K389" s="25" t="str">
        <f>IF('Ingest Template'!A388="Standard",'Ingest Template'!N388,"Competitive View")</f>
        <v>Competitive View</v>
      </c>
      <c r="L389" s="41" t="s">
        <v>145</v>
      </c>
      <c r="M389" s="25" t="str">
        <f>'Ingest Template'!D388</f>
        <v/>
      </c>
      <c r="N389" s="25"/>
      <c r="O389" s="25"/>
      <c r="P389" s="25"/>
      <c r="Q389" s="25"/>
      <c r="R389" s="25" t="str">
        <f>CONCATENATE('Ingest Template'!F388)</f>
        <v/>
      </c>
      <c r="S389" s="43" t="s">
        <v>160</v>
      </c>
      <c r="T389" s="25" t="str">
        <f>'Ingest Template'!W388</f>
        <v/>
      </c>
      <c r="U389" s="25"/>
      <c r="V389" s="25" t="str">
        <f>LOWER(SUBSTITUTE(SUBSTITUTE(SUBSTITUTE(SUBSTITUTE(SUBSTITUTE('Ingest Template'!Y388,"https:",""),"www.",""),"/",""),"?hl=en",""),"instagram.com",""))</f>
        <v/>
      </c>
      <c r="W389" s="34" t="str">
        <f>(IFERROR(vlookup('Ingest Template'!F389,DropDown!D:E,2,false)&amp;'Ingest Template'!C389,""))</f>
        <v/>
      </c>
      <c r="X389" s="25" t="str">
        <f>'Ingest Template'!AA388</f>
        <v/>
      </c>
      <c r="Y389" s="25"/>
      <c r="Z389" s="25"/>
      <c r="AA389" s="25"/>
      <c r="AB389" s="25" t="str">
        <f>'Ingest Template'!T388</f>
        <v/>
      </c>
      <c r="AC389" s="25"/>
      <c r="AD389" s="25" t="str">
        <f>'Ingest Template'!U388</f>
        <v/>
      </c>
      <c r="AE389" s="25" t="str">
        <f>'Ingest Template'!V388</f>
        <v/>
      </c>
      <c r="AF389" s="25"/>
      <c r="AG389" s="25" t="str">
        <f t="array" ref="AG389">IF('Ingest Template'!A388="Standard",(CONCATENATE(IF(ISBLANK('Ingest Template'!O388),"", 'Ingest Template'!O388&amp;"|DAR"),CHAR(10), IF(ISBLANK('Ingest Template'!P388),"", 'Ingest Template'!P388&amp;"|DAR"),CHAR(10), IF(ISBLANK('Ingest Template'!Q388),"", 'Ingest Template'!Q388&amp;"|DAR"))),(CONCATENATE(IF(ISBLANK('Ingest Template'!O388),"", 'Ingest Template'!O388&amp;"|Operations - Core Title"),CHAR(10), IF(ISBLANK('Ingest Template'!P388),"", 'Ingest Template'!P388&amp;"|Operations - Core Title"),CHAR(10), IF(ISBLANK('Ingest Template'!Q388),"", 'Ingest Template'!Q388&amp;"|Operations - Core Title"))))</f>
        <v>#|Operations - Core Title
#videoGame|Operations - Core Title
</v>
      </c>
      <c r="AH389" s="25"/>
      <c r="AI389" s="25"/>
      <c r="AJ389" s="50" t="str">
        <f>if('Ingest Template'!A388="Standard",'Ingest Template'!R388&amp; "|DAR|DAR|2021-01-01",'Ingest Template'!R388&amp; "|Operations - Core Title|Operations - Core Title")</f>
        <v>#N/A</v>
      </c>
      <c r="AK389" s="25"/>
      <c r="AL389" s="25" t="str">
        <f>if('Ingest Template'!A388="Standard",'Ingest Template'!S388&amp; "|2021-01-01",'Ingest Template'!S388)</f>
        <v>#N/A</v>
      </c>
      <c r="AM389" s="25"/>
    </row>
    <row r="390">
      <c r="A390" s="25"/>
      <c r="B390" s="25" t="str">
        <f>'Ingest Template'!C389&amp;IF('Ingest Template'!A389 = "Standard", " - DAR","")</f>
        <v/>
      </c>
      <c r="C390" s="34" t="s">
        <v>92</v>
      </c>
      <c r="D390" s="34" t="str">
        <f>CONCATENATE('Ingest Template'!E390&amp;Char(10)&amp;'Ingest Template'!G390&amp;Char(10)&amp;'Ingest Template'!H390&amp;Char(10)&amp;'Ingest Template'!I390&amp;Char(10)&amp;'Ingest Template'!J390&amp;Char(10)&amp;'Ingest Template'!K390&amp;Char(10)&amp;'Ingest Template'!L390)</f>
        <v>
</v>
      </c>
      <c r="E390" s="25" t="str">
        <f>('Ingest Template'!M390)</f>
        <v/>
      </c>
      <c r="F390" s="40" t="str">
        <f t="array" ref="F390">INDEX(DropDown!$J$2:$J$63,MATCH(1,COUNTIF(E390,DropDown!$I$2:$I$63),0))</f>
        <v>#N/A</v>
      </c>
      <c r="G390" s="25"/>
      <c r="H390" s="25"/>
      <c r="I390" s="25"/>
      <c r="J390" s="25" t="str">
        <f>'Ingest Template'!B390</f>
        <v/>
      </c>
      <c r="K390" s="25" t="str">
        <f>IF('Ingest Template'!A389="Standard",'Ingest Template'!N389,"Competitive View")</f>
        <v>Competitive View</v>
      </c>
      <c r="L390" s="41" t="s">
        <v>145</v>
      </c>
      <c r="M390" s="25" t="str">
        <f>'Ingest Template'!D389</f>
        <v/>
      </c>
      <c r="N390" s="25"/>
      <c r="O390" s="25"/>
      <c r="P390" s="25"/>
      <c r="Q390" s="25"/>
      <c r="R390" s="25" t="str">
        <f>CONCATENATE('Ingest Template'!F389)</f>
        <v/>
      </c>
      <c r="S390" s="43" t="s">
        <v>160</v>
      </c>
      <c r="T390" s="25" t="str">
        <f>'Ingest Template'!W389</f>
        <v/>
      </c>
      <c r="U390" s="25"/>
      <c r="V390" s="25" t="str">
        <f>LOWER(SUBSTITUTE(SUBSTITUTE(SUBSTITUTE(SUBSTITUTE(SUBSTITUTE('Ingest Template'!Y389,"https:",""),"www.",""),"/",""),"?hl=en",""),"instagram.com",""))</f>
        <v/>
      </c>
      <c r="W390" s="34" t="str">
        <f>(IFERROR(vlookup('Ingest Template'!F390,DropDown!D:E,2,false)&amp;'Ingest Template'!C390,""))</f>
        <v/>
      </c>
      <c r="X390" s="25" t="str">
        <f>'Ingest Template'!AA389</f>
        <v/>
      </c>
      <c r="Y390" s="25"/>
      <c r="Z390" s="25"/>
      <c r="AA390" s="25"/>
      <c r="AB390" s="25" t="str">
        <f>'Ingest Template'!T389</f>
        <v/>
      </c>
      <c r="AC390" s="25"/>
      <c r="AD390" s="25" t="str">
        <f>'Ingest Template'!U389</f>
        <v/>
      </c>
      <c r="AE390" s="25" t="str">
        <f>'Ingest Template'!V389</f>
        <v/>
      </c>
      <c r="AF390" s="25"/>
      <c r="AG390" s="25" t="str">
        <f t="array" ref="AG390">IF('Ingest Template'!A389="Standard",(CONCATENATE(IF(ISBLANK('Ingest Template'!O389),"", 'Ingest Template'!O389&amp;"|DAR"),CHAR(10), IF(ISBLANK('Ingest Template'!P389),"", 'Ingest Template'!P389&amp;"|DAR"),CHAR(10), IF(ISBLANK('Ingest Template'!Q389),"", 'Ingest Template'!Q389&amp;"|DAR"))),(CONCATENATE(IF(ISBLANK('Ingest Template'!O389),"", 'Ingest Template'!O389&amp;"|Operations - Core Title"),CHAR(10), IF(ISBLANK('Ingest Template'!P389),"", 'Ingest Template'!P389&amp;"|Operations - Core Title"),CHAR(10), IF(ISBLANK('Ingest Template'!Q389),"", 'Ingest Template'!Q389&amp;"|Operations - Core Title"))))</f>
        <v>#|Operations - Core Title
#videoGame|Operations - Core Title
</v>
      </c>
      <c r="AH390" s="25"/>
      <c r="AI390" s="25"/>
      <c r="AJ390" s="50" t="str">
        <f>if('Ingest Template'!A389="Standard",'Ingest Template'!R389&amp; "|DAR|DAR|2021-01-01",'Ingest Template'!R389&amp; "|Operations - Core Title|Operations - Core Title")</f>
        <v>#N/A</v>
      </c>
      <c r="AK390" s="25"/>
      <c r="AL390" s="25" t="str">
        <f>if('Ingest Template'!A389="Standard",'Ingest Template'!S389&amp; "|2021-01-01",'Ingest Template'!S389)</f>
        <v>#N/A</v>
      </c>
      <c r="AM390" s="25"/>
    </row>
    <row r="391">
      <c r="A391" s="25"/>
      <c r="B391" s="25" t="str">
        <f>'Ingest Template'!C390&amp;IF('Ingest Template'!A390 = "Standard", " - DAR","")</f>
        <v/>
      </c>
      <c r="C391" s="34" t="s">
        <v>92</v>
      </c>
      <c r="D391" s="34" t="str">
        <f>CONCATENATE('Ingest Template'!E391&amp;Char(10)&amp;'Ingest Template'!G391&amp;Char(10)&amp;'Ingest Template'!H391&amp;Char(10)&amp;'Ingest Template'!I391&amp;Char(10)&amp;'Ingest Template'!J391&amp;Char(10)&amp;'Ingest Template'!K391&amp;Char(10)&amp;'Ingest Template'!L391)</f>
        <v>
</v>
      </c>
      <c r="E391" s="25" t="str">
        <f>('Ingest Template'!M391)</f>
        <v/>
      </c>
      <c r="F391" s="40" t="str">
        <f t="array" ref="F391">INDEX(DropDown!$J$2:$J$63,MATCH(1,COUNTIF(E391,DropDown!$I$2:$I$63),0))</f>
        <v>#N/A</v>
      </c>
      <c r="G391" s="25"/>
      <c r="H391" s="25"/>
      <c r="I391" s="25"/>
      <c r="J391" s="25" t="str">
        <f>'Ingest Template'!B391</f>
        <v/>
      </c>
      <c r="K391" s="25" t="str">
        <f>IF('Ingest Template'!A390="Standard",'Ingest Template'!N390,"Competitive View")</f>
        <v>Competitive View</v>
      </c>
      <c r="L391" s="41" t="s">
        <v>145</v>
      </c>
      <c r="M391" s="25" t="str">
        <f>'Ingest Template'!D390</f>
        <v/>
      </c>
      <c r="N391" s="25"/>
      <c r="O391" s="25"/>
      <c r="P391" s="25"/>
      <c r="Q391" s="25"/>
      <c r="R391" s="25" t="str">
        <f>CONCATENATE('Ingest Template'!F390)</f>
        <v/>
      </c>
      <c r="S391" s="43" t="s">
        <v>160</v>
      </c>
      <c r="T391" s="25" t="str">
        <f>'Ingest Template'!W390</f>
        <v/>
      </c>
      <c r="U391" s="25"/>
      <c r="V391" s="25" t="str">
        <f>LOWER(SUBSTITUTE(SUBSTITUTE(SUBSTITUTE(SUBSTITUTE(SUBSTITUTE('Ingest Template'!Y390,"https:",""),"www.",""),"/",""),"?hl=en",""),"instagram.com",""))</f>
        <v/>
      </c>
      <c r="W391" s="34" t="str">
        <f>(IFERROR(vlookup('Ingest Template'!F391,DropDown!D:E,2,false)&amp;'Ingest Template'!C391,""))</f>
        <v/>
      </c>
      <c r="X391" s="25" t="str">
        <f>'Ingest Template'!AA390</f>
        <v/>
      </c>
      <c r="Y391" s="25"/>
      <c r="Z391" s="25"/>
      <c r="AA391" s="25"/>
      <c r="AB391" s="25" t="str">
        <f>'Ingest Template'!T390</f>
        <v/>
      </c>
      <c r="AC391" s="25"/>
      <c r="AD391" s="25" t="str">
        <f>'Ingest Template'!U390</f>
        <v/>
      </c>
      <c r="AE391" s="25" t="str">
        <f>'Ingest Template'!V390</f>
        <v/>
      </c>
      <c r="AF391" s="25"/>
      <c r="AG391" s="25" t="str">
        <f t="array" ref="AG391">IF('Ingest Template'!A390="Standard",(CONCATENATE(IF(ISBLANK('Ingest Template'!O390),"", 'Ingest Template'!O390&amp;"|DAR"),CHAR(10), IF(ISBLANK('Ingest Template'!P390),"", 'Ingest Template'!P390&amp;"|DAR"),CHAR(10), IF(ISBLANK('Ingest Template'!Q390),"", 'Ingest Template'!Q390&amp;"|DAR"))),(CONCATENATE(IF(ISBLANK('Ingest Template'!O390),"", 'Ingest Template'!O390&amp;"|Operations - Core Title"),CHAR(10), IF(ISBLANK('Ingest Template'!P390),"", 'Ingest Template'!P390&amp;"|Operations - Core Title"),CHAR(10), IF(ISBLANK('Ingest Template'!Q390),"", 'Ingest Template'!Q390&amp;"|Operations - Core Title"))))</f>
        <v>#|Operations - Core Title
#videoGame|Operations - Core Title
</v>
      </c>
      <c r="AH391" s="25"/>
      <c r="AI391" s="25"/>
      <c r="AJ391" s="50" t="str">
        <f>if('Ingest Template'!A390="Standard",'Ingest Template'!R390&amp; "|DAR|DAR|2021-01-01",'Ingest Template'!R390&amp; "|Operations - Core Title|Operations - Core Title")</f>
        <v>#N/A</v>
      </c>
      <c r="AK391" s="25"/>
      <c r="AL391" s="25" t="str">
        <f>if('Ingest Template'!A390="Standard",'Ingest Template'!S390&amp; "|2021-01-01",'Ingest Template'!S390)</f>
        <v>#N/A</v>
      </c>
      <c r="AM391" s="25"/>
    </row>
    <row r="392">
      <c r="A392" s="25"/>
      <c r="B392" s="25" t="str">
        <f>'Ingest Template'!C391&amp;IF('Ingest Template'!A391 = "Standard", " - DAR","")</f>
        <v/>
      </c>
      <c r="C392" s="34" t="s">
        <v>92</v>
      </c>
      <c r="D392" s="34" t="str">
        <f>CONCATENATE('Ingest Template'!E392&amp;Char(10)&amp;'Ingest Template'!G392&amp;Char(10)&amp;'Ingest Template'!H392&amp;Char(10)&amp;'Ingest Template'!I392&amp;Char(10)&amp;'Ingest Template'!J392&amp;Char(10)&amp;'Ingest Template'!K392&amp;Char(10)&amp;'Ingest Template'!L392)</f>
        <v>
</v>
      </c>
      <c r="E392" s="25" t="str">
        <f>('Ingest Template'!M392)</f>
        <v/>
      </c>
      <c r="F392" s="40" t="str">
        <f t="array" ref="F392">INDEX(DropDown!$J$2:$J$63,MATCH(1,COUNTIF(E392,DropDown!$I$2:$I$63),0))</f>
        <v>#N/A</v>
      </c>
      <c r="G392" s="25"/>
      <c r="H392" s="25"/>
      <c r="I392" s="25"/>
      <c r="J392" s="25" t="str">
        <f>'Ingest Template'!B392</f>
        <v/>
      </c>
      <c r="K392" s="25" t="str">
        <f>IF('Ingest Template'!A391="Standard",'Ingest Template'!N391,"Competitive View")</f>
        <v>Competitive View</v>
      </c>
      <c r="L392" s="41" t="s">
        <v>145</v>
      </c>
      <c r="M392" s="25" t="str">
        <f>'Ingest Template'!D391</f>
        <v/>
      </c>
      <c r="N392" s="25"/>
      <c r="O392" s="25"/>
      <c r="P392" s="25"/>
      <c r="Q392" s="25"/>
      <c r="R392" s="25" t="str">
        <f>CONCATENATE('Ingest Template'!F391)</f>
        <v/>
      </c>
      <c r="S392" s="43" t="s">
        <v>160</v>
      </c>
      <c r="T392" s="25" t="str">
        <f>'Ingest Template'!W391</f>
        <v/>
      </c>
      <c r="U392" s="25"/>
      <c r="V392" s="25" t="str">
        <f>LOWER(SUBSTITUTE(SUBSTITUTE(SUBSTITUTE(SUBSTITUTE(SUBSTITUTE('Ingest Template'!Y391,"https:",""),"www.",""),"/",""),"?hl=en",""),"instagram.com",""))</f>
        <v/>
      </c>
      <c r="W392" s="34" t="str">
        <f>(IFERROR(vlookup('Ingest Template'!F392,DropDown!D:E,2,false)&amp;'Ingest Template'!C392,""))</f>
        <v/>
      </c>
      <c r="X392" s="25" t="str">
        <f>'Ingest Template'!AA391</f>
        <v/>
      </c>
      <c r="Y392" s="25"/>
      <c r="Z392" s="25"/>
      <c r="AA392" s="25"/>
      <c r="AB392" s="25" t="str">
        <f>'Ingest Template'!T391</f>
        <v/>
      </c>
      <c r="AC392" s="25"/>
      <c r="AD392" s="25" t="str">
        <f>'Ingest Template'!U391</f>
        <v/>
      </c>
      <c r="AE392" s="25" t="str">
        <f>'Ingest Template'!V391</f>
        <v/>
      </c>
      <c r="AF392" s="25"/>
      <c r="AG392" s="25" t="str">
        <f t="array" ref="AG392">IF('Ingest Template'!A391="Standard",(CONCATENATE(IF(ISBLANK('Ingest Template'!O391),"", 'Ingest Template'!O391&amp;"|DAR"),CHAR(10), IF(ISBLANK('Ingest Template'!P391),"", 'Ingest Template'!P391&amp;"|DAR"),CHAR(10), IF(ISBLANK('Ingest Template'!Q391),"", 'Ingest Template'!Q391&amp;"|DAR"))),(CONCATENATE(IF(ISBLANK('Ingest Template'!O391),"", 'Ingest Template'!O391&amp;"|Operations - Core Title"),CHAR(10), IF(ISBLANK('Ingest Template'!P391),"", 'Ingest Template'!P391&amp;"|Operations - Core Title"),CHAR(10), IF(ISBLANK('Ingest Template'!Q391),"", 'Ingest Template'!Q391&amp;"|Operations - Core Title"))))</f>
        <v>#|Operations - Core Title
#videoGame|Operations - Core Title
</v>
      </c>
      <c r="AH392" s="25"/>
      <c r="AI392" s="25"/>
      <c r="AJ392" s="50" t="str">
        <f>if('Ingest Template'!A391="Standard",'Ingest Template'!R391&amp; "|DAR|DAR|2021-01-01",'Ingest Template'!R391&amp; "|Operations - Core Title|Operations - Core Title")</f>
        <v>#N/A</v>
      </c>
      <c r="AK392" s="25"/>
      <c r="AL392" s="25" t="str">
        <f>if('Ingest Template'!A391="Standard",'Ingest Template'!S391&amp; "|2021-01-01",'Ingest Template'!S391)</f>
        <v>#N/A</v>
      </c>
      <c r="AM392" s="25"/>
    </row>
    <row r="393">
      <c r="A393" s="25"/>
      <c r="B393" s="25" t="str">
        <f>'Ingest Template'!C392&amp;IF('Ingest Template'!A392 = "Standard", " - DAR","")</f>
        <v/>
      </c>
      <c r="C393" s="34" t="s">
        <v>92</v>
      </c>
      <c r="D393" s="34" t="str">
        <f>CONCATENATE('Ingest Template'!E393&amp;Char(10)&amp;'Ingest Template'!G393&amp;Char(10)&amp;'Ingest Template'!H393&amp;Char(10)&amp;'Ingest Template'!I393&amp;Char(10)&amp;'Ingest Template'!J393&amp;Char(10)&amp;'Ingest Template'!K393&amp;Char(10)&amp;'Ingest Template'!L393)</f>
        <v>
</v>
      </c>
      <c r="E393" s="25" t="str">
        <f>('Ingest Template'!M393)</f>
        <v/>
      </c>
      <c r="F393" s="40" t="str">
        <f t="array" ref="F393">INDEX(DropDown!$J$2:$J$63,MATCH(1,COUNTIF(E393,DropDown!$I$2:$I$63),0))</f>
        <v>#N/A</v>
      </c>
      <c r="G393" s="25"/>
      <c r="H393" s="25"/>
      <c r="I393" s="25"/>
      <c r="J393" s="25" t="str">
        <f>'Ingest Template'!B393</f>
        <v/>
      </c>
      <c r="K393" s="25" t="str">
        <f>IF('Ingest Template'!A392="Standard",'Ingest Template'!N392,"Competitive View")</f>
        <v>Competitive View</v>
      </c>
      <c r="L393" s="41" t="s">
        <v>145</v>
      </c>
      <c r="M393" s="25" t="str">
        <f>'Ingest Template'!D392</f>
        <v/>
      </c>
      <c r="N393" s="25"/>
      <c r="O393" s="25"/>
      <c r="P393" s="25"/>
      <c r="Q393" s="25"/>
      <c r="R393" s="25" t="str">
        <f>CONCATENATE('Ingest Template'!F392)</f>
        <v/>
      </c>
      <c r="S393" s="43" t="s">
        <v>160</v>
      </c>
      <c r="T393" s="25" t="str">
        <f>'Ingest Template'!W392</f>
        <v/>
      </c>
      <c r="U393" s="25"/>
      <c r="V393" s="25" t="str">
        <f>LOWER(SUBSTITUTE(SUBSTITUTE(SUBSTITUTE(SUBSTITUTE(SUBSTITUTE('Ingest Template'!Y392,"https:",""),"www.",""),"/",""),"?hl=en",""),"instagram.com",""))</f>
        <v/>
      </c>
      <c r="W393" s="34" t="str">
        <f>(IFERROR(vlookup('Ingest Template'!F393,DropDown!D:E,2,false)&amp;'Ingest Template'!C393,""))</f>
        <v/>
      </c>
      <c r="X393" s="25" t="str">
        <f>'Ingest Template'!AA392</f>
        <v/>
      </c>
      <c r="Y393" s="25"/>
      <c r="Z393" s="25"/>
      <c r="AA393" s="25"/>
      <c r="AB393" s="25" t="str">
        <f>'Ingest Template'!T392</f>
        <v/>
      </c>
      <c r="AC393" s="25"/>
      <c r="AD393" s="25" t="str">
        <f>'Ingest Template'!U392</f>
        <v/>
      </c>
      <c r="AE393" s="25" t="str">
        <f>'Ingest Template'!V392</f>
        <v/>
      </c>
      <c r="AF393" s="25"/>
      <c r="AG393" s="25" t="str">
        <f t="array" ref="AG393">IF('Ingest Template'!A392="Standard",(CONCATENATE(IF(ISBLANK('Ingest Template'!O392),"", 'Ingest Template'!O392&amp;"|DAR"),CHAR(10), IF(ISBLANK('Ingest Template'!P392),"", 'Ingest Template'!P392&amp;"|DAR"),CHAR(10), IF(ISBLANK('Ingest Template'!Q392),"", 'Ingest Template'!Q392&amp;"|DAR"))),(CONCATENATE(IF(ISBLANK('Ingest Template'!O392),"", 'Ingest Template'!O392&amp;"|Operations - Core Title"),CHAR(10), IF(ISBLANK('Ingest Template'!P392),"", 'Ingest Template'!P392&amp;"|Operations - Core Title"),CHAR(10), IF(ISBLANK('Ingest Template'!Q392),"", 'Ingest Template'!Q392&amp;"|Operations - Core Title"))))</f>
        <v>#|Operations - Core Title
#videoGame|Operations - Core Title
</v>
      </c>
      <c r="AH393" s="25"/>
      <c r="AI393" s="25"/>
      <c r="AJ393" s="50" t="str">
        <f>if('Ingest Template'!A392="Standard",'Ingest Template'!R392&amp; "|DAR|DAR|2021-01-01",'Ingest Template'!R392&amp; "|Operations - Core Title|Operations - Core Title")</f>
        <v>#N/A</v>
      </c>
      <c r="AK393" s="25"/>
      <c r="AL393" s="25" t="str">
        <f>if('Ingest Template'!A392="Standard",'Ingest Template'!S392&amp; "|2021-01-01",'Ingest Template'!S392)</f>
        <v>#N/A</v>
      </c>
      <c r="AM393" s="25"/>
    </row>
    <row r="394">
      <c r="A394" s="25"/>
      <c r="B394" s="25" t="str">
        <f>'Ingest Template'!C393&amp;IF('Ingest Template'!A393 = "Standard", " - DAR","")</f>
        <v/>
      </c>
      <c r="C394" s="34" t="s">
        <v>92</v>
      </c>
      <c r="D394" s="34" t="str">
        <f>CONCATENATE('Ingest Template'!E394&amp;Char(10)&amp;'Ingest Template'!G394&amp;Char(10)&amp;'Ingest Template'!H394&amp;Char(10)&amp;'Ingest Template'!I394&amp;Char(10)&amp;'Ingest Template'!J394&amp;Char(10)&amp;'Ingest Template'!K394&amp;Char(10)&amp;'Ingest Template'!L394)</f>
        <v>
</v>
      </c>
      <c r="E394" s="25" t="str">
        <f>('Ingest Template'!M394)</f>
        <v/>
      </c>
      <c r="F394" s="40" t="str">
        <f t="array" ref="F394">INDEX(DropDown!$J$2:$J$63,MATCH(1,COUNTIF(E394,DropDown!$I$2:$I$63),0))</f>
        <v>#N/A</v>
      </c>
      <c r="G394" s="25"/>
      <c r="H394" s="25"/>
      <c r="I394" s="25"/>
      <c r="J394" s="25" t="str">
        <f>'Ingest Template'!B394</f>
        <v/>
      </c>
      <c r="K394" s="25" t="str">
        <f>IF('Ingest Template'!A393="Standard",'Ingest Template'!N393,"Competitive View")</f>
        <v>Competitive View</v>
      </c>
      <c r="L394" s="41" t="s">
        <v>145</v>
      </c>
      <c r="M394" s="25" t="str">
        <f>'Ingest Template'!D393</f>
        <v/>
      </c>
      <c r="N394" s="25"/>
      <c r="O394" s="25"/>
      <c r="P394" s="25"/>
      <c r="Q394" s="25"/>
      <c r="R394" s="25" t="str">
        <f>CONCATENATE('Ingest Template'!F393)</f>
        <v/>
      </c>
      <c r="S394" s="43" t="s">
        <v>160</v>
      </c>
      <c r="T394" s="25" t="str">
        <f>'Ingest Template'!W393</f>
        <v/>
      </c>
      <c r="U394" s="25"/>
      <c r="V394" s="25" t="str">
        <f>LOWER(SUBSTITUTE(SUBSTITUTE(SUBSTITUTE(SUBSTITUTE(SUBSTITUTE('Ingest Template'!Y393,"https:",""),"www.",""),"/",""),"?hl=en",""),"instagram.com",""))</f>
        <v/>
      </c>
      <c r="W394" s="34" t="str">
        <f>(IFERROR(vlookup('Ingest Template'!F394,DropDown!D:E,2,false)&amp;'Ingest Template'!C394,""))</f>
        <v/>
      </c>
      <c r="X394" s="25" t="str">
        <f>'Ingest Template'!AA393</f>
        <v/>
      </c>
      <c r="Y394" s="25"/>
      <c r="Z394" s="25"/>
      <c r="AA394" s="25"/>
      <c r="AB394" s="25" t="str">
        <f>'Ingest Template'!T393</f>
        <v/>
      </c>
      <c r="AC394" s="25"/>
      <c r="AD394" s="25" t="str">
        <f>'Ingest Template'!U393</f>
        <v/>
      </c>
      <c r="AE394" s="25" t="str">
        <f>'Ingest Template'!V393</f>
        <v/>
      </c>
      <c r="AF394" s="25"/>
      <c r="AG394" s="25" t="str">
        <f t="array" ref="AG394">IF('Ingest Template'!A393="Standard",(CONCATENATE(IF(ISBLANK('Ingest Template'!O393),"", 'Ingest Template'!O393&amp;"|DAR"),CHAR(10), IF(ISBLANK('Ingest Template'!P393),"", 'Ingest Template'!P393&amp;"|DAR"),CHAR(10), IF(ISBLANK('Ingest Template'!Q393),"", 'Ingest Template'!Q393&amp;"|DAR"))),(CONCATENATE(IF(ISBLANK('Ingest Template'!O393),"", 'Ingest Template'!O393&amp;"|Operations - Core Title"),CHAR(10), IF(ISBLANK('Ingest Template'!P393),"", 'Ingest Template'!P393&amp;"|Operations - Core Title"),CHAR(10), IF(ISBLANK('Ingest Template'!Q393),"", 'Ingest Template'!Q393&amp;"|Operations - Core Title"))))</f>
        <v>#|Operations - Core Title
#videoGame|Operations - Core Title
</v>
      </c>
      <c r="AH394" s="25"/>
      <c r="AI394" s="25"/>
      <c r="AJ394" s="50" t="str">
        <f>if('Ingest Template'!A393="Standard",'Ingest Template'!R393&amp; "|DAR|DAR|2021-01-01",'Ingest Template'!R393&amp; "|Operations - Core Title|Operations - Core Title")</f>
        <v>#N/A</v>
      </c>
      <c r="AK394" s="25"/>
      <c r="AL394" s="25" t="str">
        <f>if('Ingest Template'!A393="Standard",'Ingest Template'!S393&amp; "|2021-01-01",'Ingest Template'!S393)</f>
        <v>#N/A</v>
      </c>
      <c r="AM394" s="25"/>
    </row>
    <row r="395">
      <c r="A395" s="25"/>
      <c r="B395" s="25" t="str">
        <f>'Ingest Template'!C394&amp;IF('Ingest Template'!A394 = "Standard", " - DAR","")</f>
        <v/>
      </c>
      <c r="C395" s="34" t="s">
        <v>92</v>
      </c>
      <c r="D395" s="34" t="str">
        <f>CONCATENATE('Ingest Template'!E395&amp;Char(10)&amp;'Ingest Template'!G395&amp;Char(10)&amp;'Ingest Template'!H395&amp;Char(10)&amp;'Ingest Template'!I395&amp;Char(10)&amp;'Ingest Template'!J395&amp;Char(10)&amp;'Ingest Template'!K395&amp;Char(10)&amp;'Ingest Template'!L395)</f>
        <v>
</v>
      </c>
      <c r="E395" s="25" t="str">
        <f>('Ingest Template'!M395)</f>
        <v/>
      </c>
      <c r="F395" s="40" t="str">
        <f t="array" ref="F395">INDEX(DropDown!$J$2:$J$63,MATCH(1,COUNTIF(E395,DropDown!$I$2:$I$63),0))</f>
        <v>#N/A</v>
      </c>
      <c r="G395" s="25"/>
      <c r="H395" s="25"/>
      <c r="I395" s="25"/>
      <c r="J395" s="25" t="str">
        <f>'Ingest Template'!B395</f>
        <v/>
      </c>
      <c r="K395" s="25" t="str">
        <f>IF('Ingest Template'!A394="Standard",'Ingest Template'!N394,"Competitive View")</f>
        <v>Competitive View</v>
      </c>
      <c r="L395" s="41" t="s">
        <v>145</v>
      </c>
      <c r="M395" s="25" t="str">
        <f>'Ingest Template'!D394</f>
        <v/>
      </c>
      <c r="N395" s="25"/>
      <c r="O395" s="25"/>
      <c r="P395" s="25"/>
      <c r="Q395" s="25"/>
      <c r="R395" s="25" t="str">
        <f>CONCATENATE('Ingest Template'!F394)</f>
        <v/>
      </c>
      <c r="S395" s="43" t="s">
        <v>160</v>
      </c>
      <c r="T395" s="25" t="str">
        <f>'Ingest Template'!W394</f>
        <v/>
      </c>
      <c r="U395" s="25"/>
      <c r="V395" s="25" t="str">
        <f>LOWER(SUBSTITUTE(SUBSTITUTE(SUBSTITUTE(SUBSTITUTE(SUBSTITUTE('Ingest Template'!Y394,"https:",""),"www.",""),"/",""),"?hl=en",""),"instagram.com",""))</f>
        <v/>
      </c>
      <c r="W395" s="34" t="str">
        <f>(IFERROR(vlookup('Ingest Template'!F395,DropDown!D:E,2,false)&amp;'Ingest Template'!C395,""))</f>
        <v/>
      </c>
      <c r="X395" s="25" t="str">
        <f>'Ingest Template'!AA394</f>
        <v/>
      </c>
      <c r="Y395" s="25"/>
      <c r="Z395" s="25"/>
      <c r="AA395" s="25"/>
      <c r="AB395" s="25" t="str">
        <f>'Ingest Template'!T394</f>
        <v/>
      </c>
      <c r="AC395" s="25"/>
      <c r="AD395" s="25" t="str">
        <f>'Ingest Template'!U394</f>
        <v/>
      </c>
      <c r="AE395" s="25" t="str">
        <f>'Ingest Template'!V394</f>
        <v/>
      </c>
      <c r="AF395" s="25"/>
      <c r="AG395" s="25" t="str">
        <f t="array" ref="AG395">IF('Ingest Template'!A394="Standard",(CONCATENATE(IF(ISBLANK('Ingest Template'!O394),"", 'Ingest Template'!O394&amp;"|DAR"),CHAR(10), IF(ISBLANK('Ingest Template'!P394),"", 'Ingest Template'!P394&amp;"|DAR"),CHAR(10), IF(ISBLANK('Ingest Template'!Q394),"", 'Ingest Template'!Q394&amp;"|DAR"))),(CONCATENATE(IF(ISBLANK('Ingest Template'!O394),"", 'Ingest Template'!O394&amp;"|Operations - Core Title"),CHAR(10), IF(ISBLANK('Ingest Template'!P394),"", 'Ingest Template'!P394&amp;"|Operations - Core Title"),CHAR(10), IF(ISBLANK('Ingest Template'!Q394),"", 'Ingest Template'!Q394&amp;"|Operations - Core Title"))))</f>
        <v>#|Operations - Core Title
#videoGame|Operations - Core Title
</v>
      </c>
      <c r="AH395" s="25"/>
      <c r="AI395" s="25"/>
      <c r="AJ395" s="50" t="str">
        <f>if('Ingest Template'!A394="Standard",'Ingest Template'!R394&amp; "|DAR|DAR|2021-01-01",'Ingest Template'!R394&amp; "|Operations - Core Title|Operations - Core Title")</f>
        <v>#N/A</v>
      </c>
      <c r="AK395" s="25"/>
      <c r="AL395" s="25" t="str">
        <f>if('Ingest Template'!A394="Standard",'Ingest Template'!S394&amp; "|2021-01-01",'Ingest Template'!S394)</f>
        <v>#N/A</v>
      </c>
      <c r="AM395" s="25"/>
    </row>
    <row r="396">
      <c r="A396" s="25"/>
      <c r="B396" s="25" t="str">
        <f>'Ingest Template'!C395&amp;IF('Ingest Template'!A395 = "Standard", " - DAR","")</f>
        <v/>
      </c>
      <c r="C396" s="34" t="s">
        <v>92</v>
      </c>
      <c r="D396" s="34" t="str">
        <f>CONCATENATE('Ingest Template'!E396&amp;Char(10)&amp;'Ingest Template'!G396&amp;Char(10)&amp;'Ingest Template'!H396&amp;Char(10)&amp;'Ingest Template'!I396&amp;Char(10)&amp;'Ingest Template'!J396&amp;Char(10)&amp;'Ingest Template'!K396&amp;Char(10)&amp;'Ingest Template'!L396)</f>
        <v>
</v>
      </c>
      <c r="E396" s="25" t="str">
        <f>('Ingest Template'!M396)</f>
        <v/>
      </c>
      <c r="F396" s="40" t="str">
        <f t="array" ref="F396">INDEX(DropDown!$J$2:$J$63,MATCH(1,COUNTIF(E396,DropDown!$I$2:$I$63),0))</f>
        <v>#N/A</v>
      </c>
      <c r="G396" s="25"/>
      <c r="H396" s="25"/>
      <c r="I396" s="25"/>
      <c r="J396" s="25" t="str">
        <f>'Ingest Template'!B396</f>
        <v/>
      </c>
      <c r="K396" s="25" t="str">
        <f>IF('Ingest Template'!A395="Standard",'Ingest Template'!N395,"Competitive View")</f>
        <v>Competitive View</v>
      </c>
      <c r="L396" s="41" t="s">
        <v>145</v>
      </c>
      <c r="M396" s="25" t="str">
        <f>'Ingest Template'!D395</f>
        <v/>
      </c>
      <c r="N396" s="25"/>
      <c r="O396" s="25"/>
      <c r="P396" s="25"/>
      <c r="Q396" s="25"/>
      <c r="R396" s="25" t="str">
        <f>CONCATENATE('Ingest Template'!F395)</f>
        <v/>
      </c>
      <c r="S396" s="43" t="s">
        <v>160</v>
      </c>
      <c r="T396" s="25" t="str">
        <f>'Ingest Template'!W395</f>
        <v/>
      </c>
      <c r="U396" s="25"/>
      <c r="V396" s="25" t="str">
        <f>LOWER(SUBSTITUTE(SUBSTITUTE(SUBSTITUTE(SUBSTITUTE(SUBSTITUTE('Ingest Template'!Y395,"https:",""),"www.",""),"/",""),"?hl=en",""),"instagram.com",""))</f>
        <v/>
      </c>
      <c r="W396" s="34" t="str">
        <f>(IFERROR(vlookup('Ingest Template'!F396,DropDown!D:E,2,false)&amp;'Ingest Template'!C396,""))</f>
        <v/>
      </c>
      <c r="X396" s="25" t="str">
        <f>'Ingest Template'!AA395</f>
        <v/>
      </c>
      <c r="Y396" s="25"/>
      <c r="Z396" s="25"/>
      <c r="AA396" s="25"/>
      <c r="AB396" s="25" t="str">
        <f>'Ingest Template'!T395</f>
        <v/>
      </c>
      <c r="AC396" s="25"/>
      <c r="AD396" s="25" t="str">
        <f>'Ingest Template'!U395</f>
        <v/>
      </c>
      <c r="AE396" s="25" t="str">
        <f>'Ingest Template'!V395</f>
        <v/>
      </c>
      <c r="AF396" s="25"/>
      <c r="AG396" s="25" t="str">
        <f t="array" ref="AG396">IF('Ingest Template'!A395="Standard",(CONCATENATE(IF(ISBLANK('Ingest Template'!O395),"", 'Ingest Template'!O395&amp;"|DAR"),CHAR(10), IF(ISBLANK('Ingest Template'!P395),"", 'Ingest Template'!P395&amp;"|DAR"),CHAR(10), IF(ISBLANK('Ingest Template'!Q395),"", 'Ingest Template'!Q395&amp;"|DAR"))),(CONCATENATE(IF(ISBLANK('Ingest Template'!O395),"", 'Ingest Template'!O395&amp;"|Operations - Core Title"),CHAR(10), IF(ISBLANK('Ingest Template'!P395),"", 'Ingest Template'!P395&amp;"|Operations - Core Title"),CHAR(10), IF(ISBLANK('Ingest Template'!Q395),"", 'Ingest Template'!Q395&amp;"|Operations - Core Title"))))</f>
        <v>#|Operations - Core Title
#videoGame|Operations - Core Title
</v>
      </c>
      <c r="AH396" s="25"/>
      <c r="AI396" s="25"/>
      <c r="AJ396" s="50" t="str">
        <f>if('Ingest Template'!A395="Standard",'Ingest Template'!R395&amp; "|DAR|DAR|2021-01-01",'Ingest Template'!R395&amp; "|Operations - Core Title|Operations - Core Title")</f>
        <v>#N/A</v>
      </c>
      <c r="AK396" s="25"/>
      <c r="AL396" s="25" t="str">
        <f>if('Ingest Template'!A395="Standard",'Ingest Template'!S395&amp; "|2021-01-01",'Ingest Template'!S395)</f>
        <v>#N/A</v>
      </c>
      <c r="AM396" s="25"/>
    </row>
    <row r="397">
      <c r="A397" s="25"/>
      <c r="B397" s="25" t="str">
        <f>'Ingest Template'!C396&amp;IF('Ingest Template'!A396 = "Standard", " - DAR","")</f>
        <v/>
      </c>
      <c r="C397" s="34" t="s">
        <v>92</v>
      </c>
      <c r="D397" s="34" t="str">
        <f>CONCATENATE('Ingest Template'!E397&amp;Char(10)&amp;'Ingest Template'!G397&amp;Char(10)&amp;'Ingest Template'!H397&amp;Char(10)&amp;'Ingest Template'!I397&amp;Char(10)&amp;'Ingest Template'!J397&amp;Char(10)&amp;'Ingest Template'!K397&amp;Char(10)&amp;'Ingest Template'!L397)</f>
        <v>
</v>
      </c>
      <c r="E397" s="25" t="str">
        <f>('Ingest Template'!M397)</f>
        <v/>
      </c>
      <c r="F397" s="40" t="str">
        <f t="array" ref="F397">INDEX(DropDown!$J$2:$J$63,MATCH(1,COUNTIF(E397,DropDown!$I$2:$I$63),0))</f>
        <v>#N/A</v>
      </c>
      <c r="G397" s="25"/>
      <c r="H397" s="25"/>
      <c r="I397" s="25"/>
      <c r="J397" s="25" t="str">
        <f>'Ingest Template'!B397</f>
        <v/>
      </c>
      <c r="K397" s="25" t="str">
        <f>IF('Ingest Template'!A396="Standard",'Ingest Template'!N396,"Competitive View")</f>
        <v>Competitive View</v>
      </c>
      <c r="L397" s="41" t="s">
        <v>145</v>
      </c>
      <c r="M397" s="25" t="str">
        <f>'Ingest Template'!D396</f>
        <v/>
      </c>
      <c r="N397" s="25"/>
      <c r="O397" s="25"/>
      <c r="P397" s="25"/>
      <c r="Q397" s="25"/>
      <c r="R397" s="25" t="str">
        <f>CONCATENATE('Ingest Template'!F396)</f>
        <v/>
      </c>
      <c r="S397" s="43" t="s">
        <v>160</v>
      </c>
      <c r="T397" s="25" t="str">
        <f>'Ingest Template'!W396</f>
        <v/>
      </c>
      <c r="U397" s="25"/>
      <c r="V397" s="25" t="str">
        <f>LOWER(SUBSTITUTE(SUBSTITUTE(SUBSTITUTE(SUBSTITUTE(SUBSTITUTE('Ingest Template'!Y396,"https:",""),"www.",""),"/",""),"?hl=en",""),"instagram.com",""))</f>
        <v/>
      </c>
      <c r="W397" s="34" t="str">
        <f>(IFERROR(vlookup('Ingest Template'!F397,DropDown!D:E,2,false)&amp;'Ingest Template'!C397,""))</f>
        <v/>
      </c>
      <c r="X397" s="25" t="str">
        <f>'Ingest Template'!AA396</f>
        <v/>
      </c>
      <c r="Y397" s="25"/>
      <c r="Z397" s="25"/>
      <c r="AA397" s="25"/>
      <c r="AB397" s="25" t="str">
        <f>'Ingest Template'!T396</f>
        <v/>
      </c>
      <c r="AC397" s="25"/>
      <c r="AD397" s="25" t="str">
        <f>'Ingest Template'!U396</f>
        <v/>
      </c>
      <c r="AE397" s="25" t="str">
        <f>'Ingest Template'!V396</f>
        <v/>
      </c>
      <c r="AF397" s="25"/>
      <c r="AG397" s="25" t="str">
        <f t="array" ref="AG397">IF('Ingest Template'!A396="Standard",(CONCATENATE(IF(ISBLANK('Ingest Template'!O396),"", 'Ingest Template'!O396&amp;"|DAR"),CHAR(10), IF(ISBLANK('Ingest Template'!P396),"", 'Ingest Template'!P396&amp;"|DAR"),CHAR(10), IF(ISBLANK('Ingest Template'!Q396),"", 'Ingest Template'!Q396&amp;"|DAR"))),(CONCATENATE(IF(ISBLANK('Ingest Template'!O396),"", 'Ingest Template'!O396&amp;"|Operations - Core Title"),CHAR(10), IF(ISBLANK('Ingest Template'!P396),"", 'Ingest Template'!P396&amp;"|Operations - Core Title"),CHAR(10), IF(ISBLANK('Ingest Template'!Q396),"", 'Ingest Template'!Q396&amp;"|Operations - Core Title"))))</f>
        <v>#|Operations - Core Title
#videoGame|Operations - Core Title
</v>
      </c>
      <c r="AH397" s="25"/>
      <c r="AI397" s="25"/>
      <c r="AJ397" s="50" t="str">
        <f>if('Ingest Template'!A396="Standard",'Ingest Template'!R396&amp; "|DAR|DAR|2021-01-01",'Ingest Template'!R396&amp; "|Operations - Core Title|Operations - Core Title")</f>
        <v>#N/A</v>
      </c>
      <c r="AK397" s="25"/>
      <c r="AL397" s="25" t="str">
        <f>if('Ingest Template'!A396="Standard",'Ingest Template'!S396&amp; "|2021-01-01",'Ingest Template'!S396)</f>
        <v>#N/A</v>
      </c>
      <c r="AM397" s="25"/>
    </row>
    <row r="398">
      <c r="A398" s="25"/>
      <c r="B398" s="25" t="str">
        <f>'Ingest Template'!C397&amp;IF('Ingest Template'!A397 = "Standard", " - DAR","")</f>
        <v/>
      </c>
      <c r="C398" s="34" t="s">
        <v>92</v>
      </c>
      <c r="D398" s="34" t="str">
        <f>CONCATENATE('Ingest Template'!E398&amp;Char(10)&amp;'Ingest Template'!G398&amp;Char(10)&amp;'Ingest Template'!H398&amp;Char(10)&amp;'Ingest Template'!I398&amp;Char(10)&amp;'Ingest Template'!J398&amp;Char(10)&amp;'Ingest Template'!K398&amp;Char(10)&amp;'Ingest Template'!L398)</f>
        <v>
</v>
      </c>
      <c r="E398" s="25" t="str">
        <f>('Ingest Template'!M398)</f>
        <v/>
      </c>
      <c r="F398" s="40" t="str">
        <f t="array" ref="F398">INDEX(DropDown!$J$2:$J$63,MATCH(1,COUNTIF(E398,DropDown!$I$2:$I$63),0))</f>
        <v>#N/A</v>
      </c>
      <c r="G398" s="25"/>
      <c r="H398" s="25"/>
      <c r="I398" s="25"/>
      <c r="J398" s="25" t="str">
        <f>'Ingest Template'!B398</f>
        <v/>
      </c>
      <c r="K398" s="25" t="str">
        <f>IF('Ingest Template'!A397="Standard",'Ingest Template'!N397,"Competitive View")</f>
        <v>Competitive View</v>
      </c>
      <c r="L398" s="41" t="s">
        <v>145</v>
      </c>
      <c r="M398" s="25" t="str">
        <f>'Ingest Template'!D397</f>
        <v/>
      </c>
      <c r="N398" s="25"/>
      <c r="O398" s="25"/>
      <c r="P398" s="25"/>
      <c r="Q398" s="25"/>
      <c r="R398" s="25" t="str">
        <f>CONCATENATE('Ingest Template'!F397)</f>
        <v/>
      </c>
      <c r="S398" s="43" t="s">
        <v>160</v>
      </c>
      <c r="T398" s="25" t="str">
        <f>'Ingest Template'!W397</f>
        <v/>
      </c>
      <c r="U398" s="25"/>
      <c r="V398" s="25" t="str">
        <f>LOWER(SUBSTITUTE(SUBSTITUTE(SUBSTITUTE(SUBSTITUTE(SUBSTITUTE('Ingest Template'!Y397,"https:",""),"www.",""),"/",""),"?hl=en",""),"instagram.com",""))</f>
        <v/>
      </c>
      <c r="W398" s="34" t="str">
        <f>(IFERROR(vlookup('Ingest Template'!F398,DropDown!D:E,2,false)&amp;'Ingest Template'!C398,""))</f>
        <v/>
      </c>
      <c r="X398" s="25" t="str">
        <f>'Ingest Template'!AA397</f>
        <v/>
      </c>
      <c r="Y398" s="25"/>
      <c r="Z398" s="25"/>
      <c r="AA398" s="25"/>
      <c r="AB398" s="25" t="str">
        <f>'Ingest Template'!T397</f>
        <v/>
      </c>
      <c r="AC398" s="25"/>
      <c r="AD398" s="25" t="str">
        <f>'Ingest Template'!U397</f>
        <v/>
      </c>
      <c r="AE398" s="25" t="str">
        <f>'Ingest Template'!V397</f>
        <v/>
      </c>
      <c r="AF398" s="25"/>
      <c r="AG398" s="25" t="str">
        <f t="array" ref="AG398">IF('Ingest Template'!A397="Standard",(CONCATENATE(IF(ISBLANK('Ingest Template'!O397),"", 'Ingest Template'!O397&amp;"|DAR"),CHAR(10), IF(ISBLANK('Ingest Template'!P397),"", 'Ingest Template'!P397&amp;"|DAR"),CHAR(10), IF(ISBLANK('Ingest Template'!Q397),"", 'Ingest Template'!Q397&amp;"|DAR"))),(CONCATENATE(IF(ISBLANK('Ingest Template'!O397),"", 'Ingest Template'!O397&amp;"|Operations - Core Title"),CHAR(10), IF(ISBLANK('Ingest Template'!P397),"", 'Ingest Template'!P397&amp;"|Operations - Core Title"),CHAR(10), IF(ISBLANK('Ingest Template'!Q397),"", 'Ingest Template'!Q397&amp;"|Operations - Core Title"))))</f>
        <v>#|Operations - Core Title
#videoGame|Operations - Core Title
</v>
      </c>
      <c r="AH398" s="25"/>
      <c r="AI398" s="25"/>
      <c r="AJ398" s="50" t="str">
        <f>if('Ingest Template'!A397="Standard",'Ingest Template'!R397&amp; "|DAR|DAR|2021-01-01",'Ingest Template'!R397&amp; "|Operations - Core Title|Operations - Core Title")</f>
        <v>#N/A</v>
      </c>
      <c r="AK398" s="25"/>
      <c r="AL398" s="25" t="str">
        <f>if('Ingest Template'!A397="Standard",'Ingest Template'!S397&amp; "|2021-01-01",'Ingest Template'!S397)</f>
        <v>#N/A</v>
      </c>
      <c r="AM398" s="25"/>
    </row>
    <row r="399">
      <c r="A399" s="25"/>
      <c r="B399" s="25" t="str">
        <f>'Ingest Template'!C398&amp;IF('Ingest Template'!A398 = "Standard", " - DAR","")</f>
        <v/>
      </c>
      <c r="C399" s="34" t="s">
        <v>92</v>
      </c>
      <c r="D399" s="34" t="str">
        <f>CONCATENATE('Ingest Template'!E399&amp;Char(10)&amp;'Ingest Template'!G399&amp;Char(10)&amp;'Ingest Template'!H399&amp;Char(10)&amp;'Ingest Template'!I399&amp;Char(10)&amp;'Ingest Template'!J399&amp;Char(10)&amp;'Ingest Template'!K399&amp;Char(10)&amp;'Ingest Template'!L399)</f>
        <v>
</v>
      </c>
      <c r="E399" s="25" t="str">
        <f>('Ingest Template'!M399)</f>
        <v/>
      </c>
      <c r="F399" s="40" t="str">
        <f t="array" ref="F399">INDEX(DropDown!$J$2:$J$63,MATCH(1,COUNTIF(E399,DropDown!$I$2:$I$63),0))</f>
        <v>#N/A</v>
      </c>
      <c r="G399" s="25"/>
      <c r="H399" s="25"/>
      <c r="I399" s="25"/>
      <c r="J399" s="25" t="str">
        <f>'Ingest Template'!B399</f>
        <v/>
      </c>
      <c r="K399" s="25" t="str">
        <f>IF('Ingest Template'!A398="Standard",'Ingest Template'!N398,"Competitive View")</f>
        <v>Competitive View</v>
      </c>
      <c r="L399" s="41" t="s">
        <v>145</v>
      </c>
      <c r="M399" s="25" t="str">
        <f>'Ingest Template'!D398</f>
        <v/>
      </c>
      <c r="N399" s="25"/>
      <c r="O399" s="25"/>
      <c r="P399" s="25"/>
      <c r="Q399" s="25"/>
      <c r="R399" s="25" t="str">
        <f>CONCATENATE('Ingest Template'!F398)</f>
        <v/>
      </c>
      <c r="S399" s="43" t="s">
        <v>160</v>
      </c>
      <c r="T399" s="25" t="str">
        <f>'Ingest Template'!W398</f>
        <v/>
      </c>
      <c r="U399" s="25"/>
      <c r="V399" s="25" t="str">
        <f>LOWER(SUBSTITUTE(SUBSTITUTE(SUBSTITUTE(SUBSTITUTE(SUBSTITUTE('Ingest Template'!Y398,"https:",""),"www.",""),"/",""),"?hl=en",""),"instagram.com",""))</f>
        <v/>
      </c>
      <c r="W399" s="34" t="str">
        <f>(IFERROR(vlookup('Ingest Template'!F399,DropDown!D:E,2,false)&amp;'Ingest Template'!C399,""))</f>
        <v/>
      </c>
      <c r="X399" s="25" t="str">
        <f>'Ingest Template'!AA398</f>
        <v/>
      </c>
      <c r="Y399" s="25"/>
      <c r="Z399" s="25"/>
      <c r="AA399" s="25"/>
      <c r="AB399" s="25" t="str">
        <f>'Ingest Template'!T398</f>
        <v/>
      </c>
      <c r="AC399" s="25"/>
      <c r="AD399" s="25" t="str">
        <f>'Ingest Template'!U398</f>
        <v/>
      </c>
      <c r="AE399" s="25" t="str">
        <f>'Ingest Template'!V398</f>
        <v/>
      </c>
      <c r="AF399" s="25"/>
      <c r="AG399" s="25" t="str">
        <f t="array" ref="AG399">IF('Ingest Template'!A398="Standard",(CONCATENATE(IF(ISBLANK('Ingest Template'!O398),"", 'Ingest Template'!O398&amp;"|DAR"),CHAR(10), IF(ISBLANK('Ingest Template'!P398),"", 'Ingest Template'!P398&amp;"|DAR"),CHAR(10), IF(ISBLANK('Ingest Template'!Q398),"", 'Ingest Template'!Q398&amp;"|DAR"))),(CONCATENATE(IF(ISBLANK('Ingest Template'!O398),"", 'Ingest Template'!O398&amp;"|Operations - Core Title"),CHAR(10), IF(ISBLANK('Ingest Template'!P398),"", 'Ingest Template'!P398&amp;"|Operations - Core Title"),CHAR(10), IF(ISBLANK('Ingest Template'!Q398),"", 'Ingest Template'!Q398&amp;"|Operations - Core Title"))))</f>
        <v>#|Operations - Core Title
#videoGame|Operations - Core Title
</v>
      </c>
      <c r="AH399" s="25"/>
      <c r="AI399" s="25"/>
      <c r="AJ399" s="50" t="str">
        <f>if('Ingest Template'!A398="Standard",'Ingest Template'!R398&amp; "|DAR|DAR|2021-01-01",'Ingest Template'!R398&amp; "|Operations - Core Title|Operations - Core Title")</f>
        <v>#N/A</v>
      </c>
      <c r="AK399" s="25"/>
      <c r="AL399" s="25" t="str">
        <f>if('Ingest Template'!A398="Standard",'Ingest Template'!S398&amp; "|2021-01-01",'Ingest Template'!S398)</f>
        <v>#N/A</v>
      </c>
      <c r="AM399" s="25"/>
    </row>
    <row r="400">
      <c r="A400" s="25"/>
      <c r="B400" s="25" t="str">
        <f>'Ingest Template'!C399&amp;IF('Ingest Template'!A399 = "Standard", " - DAR","")</f>
        <v/>
      </c>
      <c r="C400" s="34" t="s">
        <v>92</v>
      </c>
      <c r="D400" s="34" t="str">
        <f>CONCATENATE('Ingest Template'!E400&amp;Char(10)&amp;'Ingest Template'!G400&amp;Char(10)&amp;'Ingest Template'!H400&amp;Char(10)&amp;'Ingest Template'!I400&amp;Char(10)&amp;'Ingest Template'!J400&amp;Char(10)&amp;'Ingest Template'!K400&amp;Char(10)&amp;'Ingest Template'!L400)</f>
        <v>
</v>
      </c>
      <c r="E400" s="25" t="str">
        <f>('Ingest Template'!M400)</f>
        <v/>
      </c>
      <c r="F400" s="40" t="str">
        <f t="array" ref="F400">INDEX(DropDown!$J$2:$J$63,MATCH(1,COUNTIF(E400,DropDown!$I$2:$I$63),0))</f>
        <v>#N/A</v>
      </c>
      <c r="G400" s="25"/>
      <c r="H400" s="25"/>
      <c r="I400" s="25"/>
      <c r="J400" s="25" t="str">
        <f>'Ingest Template'!B400</f>
        <v/>
      </c>
      <c r="K400" s="25" t="str">
        <f>IF('Ingest Template'!A399="Standard",'Ingest Template'!N399,"Competitive View")</f>
        <v>Competitive View</v>
      </c>
      <c r="L400" s="41" t="s">
        <v>145</v>
      </c>
      <c r="M400" s="25" t="str">
        <f>'Ingest Template'!D399</f>
        <v/>
      </c>
      <c r="N400" s="25"/>
      <c r="O400" s="25"/>
      <c r="P400" s="25"/>
      <c r="Q400" s="25"/>
      <c r="R400" s="25" t="str">
        <f>CONCATENATE('Ingest Template'!F399)</f>
        <v/>
      </c>
      <c r="S400" s="43" t="s">
        <v>160</v>
      </c>
      <c r="T400" s="25" t="str">
        <f>'Ingest Template'!W399</f>
        <v/>
      </c>
      <c r="U400" s="25"/>
      <c r="V400" s="25" t="str">
        <f>LOWER(SUBSTITUTE(SUBSTITUTE(SUBSTITUTE(SUBSTITUTE(SUBSTITUTE('Ingest Template'!Y399,"https:",""),"www.",""),"/",""),"?hl=en",""),"instagram.com",""))</f>
        <v/>
      </c>
      <c r="W400" s="34" t="str">
        <f>(IFERROR(vlookup('Ingest Template'!F400,DropDown!D:E,2,false)&amp;'Ingest Template'!C400,""))</f>
        <v/>
      </c>
      <c r="X400" s="25" t="str">
        <f>'Ingest Template'!AA399</f>
        <v/>
      </c>
      <c r="Y400" s="25"/>
      <c r="Z400" s="25"/>
      <c r="AA400" s="25"/>
      <c r="AB400" s="25" t="str">
        <f>'Ingest Template'!T399</f>
        <v/>
      </c>
      <c r="AC400" s="25"/>
      <c r="AD400" s="25" t="str">
        <f>'Ingest Template'!U399</f>
        <v/>
      </c>
      <c r="AE400" s="25" t="str">
        <f>'Ingest Template'!V399</f>
        <v/>
      </c>
      <c r="AF400" s="25"/>
      <c r="AG400" s="25" t="str">
        <f t="array" ref="AG400">IF('Ingest Template'!A399="Standard",(CONCATENATE(IF(ISBLANK('Ingest Template'!O399),"", 'Ingest Template'!O399&amp;"|DAR"),CHAR(10), IF(ISBLANK('Ingest Template'!P399),"", 'Ingest Template'!P399&amp;"|DAR"),CHAR(10), IF(ISBLANK('Ingest Template'!Q399),"", 'Ingest Template'!Q399&amp;"|DAR"))),(CONCATENATE(IF(ISBLANK('Ingest Template'!O399),"", 'Ingest Template'!O399&amp;"|Operations - Core Title"),CHAR(10), IF(ISBLANK('Ingest Template'!P399),"", 'Ingest Template'!P399&amp;"|Operations - Core Title"),CHAR(10), IF(ISBLANK('Ingest Template'!Q399),"", 'Ingest Template'!Q399&amp;"|Operations - Core Title"))))</f>
        <v>#|Operations - Core Title
#videoGame|Operations - Core Title
</v>
      </c>
      <c r="AH400" s="25"/>
      <c r="AI400" s="25"/>
      <c r="AJ400" s="50" t="str">
        <f>if('Ingest Template'!A399="Standard",'Ingest Template'!R399&amp; "|DAR|DAR|2021-01-01",'Ingest Template'!R399&amp; "|Operations - Core Title|Operations - Core Title")</f>
        <v>#N/A</v>
      </c>
      <c r="AK400" s="25"/>
      <c r="AL400" s="25" t="str">
        <f>if('Ingest Template'!A399="Standard",'Ingest Template'!S399&amp; "|2021-01-01",'Ingest Template'!S399)</f>
        <v>#N/A</v>
      </c>
      <c r="AM400" s="25"/>
    </row>
    <row r="401">
      <c r="A401" s="25"/>
      <c r="B401" s="25" t="str">
        <f>'Ingest Template'!C400&amp;IF('Ingest Template'!A400 = "Standard", " - DAR","")</f>
        <v/>
      </c>
      <c r="C401" s="34" t="s">
        <v>92</v>
      </c>
      <c r="D401" s="34" t="str">
        <f>CONCATENATE('Ingest Template'!E401&amp;Char(10)&amp;'Ingest Template'!G401&amp;Char(10)&amp;'Ingest Template'!H401&amp;Char(10)&amp;'Ingest Template'!I401&amp;Char(10)&amp;'Ingest Template'!J401&amp;Char(10)&amp;'Ingest Template'!K401&amp;Char(10)&amp;'Ingest Template'!L401)</f>
        <v>
</v>
      </c>
      <c r="E401" s="25" t="str">
        <f>('Ingest Template'!M401)</f>
        <v/>
      </c>
      <c r="F401" s="40" t="str">
        <f t="array" ref="F401">INDEX(DropDown!$J$2:$J$63,MATCH(1,COUNTIF(E401,DropDown!$I$2:$I$63),0))</f>
        <v>#N/A</v>
      </c>
      <c r="G401" s="25"/>
      <c r="H401" s="25"/>
      <c r="I401" s="25"/>
      <c r="J401" s="25" t="str">
        <f>'Ingest Template'!B401</f>
        <v/>
      </c>
      <c r="K401" s="25" t="str">
        <f>IF('Ingest Template'!A400="Standard",'Ingest Template'!N400,"Competitive View")</f>
        <v>Competitive View</v>
      </c>
      <c r="L401" s="41" t="s">
        <v>145</v>
      </c>
      <c r="M401" s="25" t="str">
        <f>'Ingest Template'!D400</f>
        <v/>
      </c>
      <c r="N401" s="25"/>
      <c r="O401" s="25"/>
      <c r="P401" s="25"/>
      <c r="Q401" s="25"/>
      <c r="R401" s="25" t="str">
        <f>CONCATENATE('Ingest Template'!F400)</f>
        <v/>
      </c>
      <c r="S401" s="43" t="s">
        <v>160</v>
      </c>
      <c r="T401" s="25" t="str">
        <f>'Ingest Template'!W400</f>
        <v/>
      </c>
      <c r="U401" s="25"/>
      <c r="V401" s="25" t="str">
        <f>LOWER(SUBSTITUTE(SUBSTITUTE(SUBSTITUTE(SUBSTITUTE(SUBSTITUTE('Ingest Template'!Y400,"https:",""),"www.",""),"/",""),"?hl=en",""),"instagram.com",""))</f>
        <v/>
      </c>
      <c r="W401" s="34" t="str">
        <f>(IFERROR(vlookup('Ingest Template'!F401,DropDown!D:E,2,false)&amp;'Ingest Template'!C401,""))</f>
        <v/>
      </c>
      <c r="X401" s="25" t="str">
        <f>'Ingest Template'!AA400</f>
        <v/>
      </c>
      <c r="Y401" s="25"/>
      <c r="Z401" s="25"/>
      <c r="AA401" s="25"/>
      <c r="AB401" s="25" t="str">
        <f>'Ingest Template'!T400</f>
        <v/>
      </c>
      <c r="AC401" s="25"/>
      <c r="AD401" s="25" t="str">
        <f>'Ingest Template'!U400</f>
        <v/>
      </c>
      <c r="AE401" s="25" t="str">
        <f>'Ingest Template'!V400</f>
        <v/>
      </c>
      <c r="AF401" s="25"/>
      <c r="AG401" s="25" t="str">
        <f t="array" ref="AG401">IF('Ingest Template'!A400="Standard",(CONCATENATE(IF(ISBLANK('Ingest Template'!O400),"", 'Ingest Template'!O400&amp;"|DAR"),CHAR(10), IF(ISBLANK('Ingest Template'!P400),"", 'Ingest Template'!P400&amp;"|DAR"),CHAR(10), IF(ISBLANK('Ingest Template'!Q400),"", 'Ingest Template'!Q400&amp;"|DAR"))),(CONCATENATE(IF(ISBLANK('Ingest Template'!O400),"", 'Ingest Template'!O400&amp;"|Operations - Core Title"),CHAR(10), IF(ISBLANK('Ingest Template'!P400),"", 'Ingest Template'!P400&amp;"|Operations - Core Title"),CHAR(10), IF(ISBLANK('Ingest Template'!Q400),"", 'Ingest Template'!Q400&amp;"|Operations - Core Title"))))</f>
        <v>#|Operations - Core Title
#videoGame|Operations - Core Title
</v>
      </c>
      <c r="AH401" s="25"/>
      <c r="AI401" s="25"/>
      <c r="AJ401" s="50" t="str">
        <f>if('Ingest Template'!A400="Standard",'Ingest Template'!R400&amp; "|DAR|DAR|2021-01-01",'Ingest Template'!R400&amp; "|Operations - Core Title|Operations - Core Title")</f>
        <v>#N/A</v>
      </c>
      <c r="AK401" s="25"/>
      <c r="AL401" s="25" t="str">
        <f>if('Ingest Template'!A400="Standard",'Ingest Template'!S400&amp; "|2021-01-01",'Ingest Template'!S400)</f>
        <v>#N/A</v>
      </c>
      <c r="AM401" s="25"/>
    </row>
    <row r="402">
      <c r="A402" s="25"/>
      <c r="B402" s="25" t="str">
        <f>'Ingest Template'!C401&amp;IF('Ingest Template'!A401 = "Standard", " - DAR","")</f>
        <v/>
      </c>
      <c r="C402" s="34" t="s">
        <v>92</v>
      </c>
      <c r="D402" s="34" t="str">
        <f>CONCATENATE('Ingest Template'!E402&amp;Char(10)&amp;'Ingest Template'!G402&amp;Char(10)&amp;'Ingest Template'!H402&amp;Char(10)&amp;'Ingest Template'!I402&amp;Char(10)&amp;'Ingest Template'!J402&amp;Char(10)&amp;'Ingest Template'!K402&amp;Char(10)&amp;'Ingest Template'!L402)</f>
        <v>
</v>
      </c>
      <c r="E402" s="25" t="str">
        <f>('Ingest Template'!M402)</f>
        <v/>
      </c>
      <c r="F402" s="40" t="str">
        <f t="array" ref="F402">INDEX(DropDown!$J$2:$J$63,MATCH(1,COUNTIF(E402,DropDown!$I$2:$I$63),0))</f>
        <v>#N/A</v>
      </c>
      <c r="G402" s="25"/>
      <c r="H402" s="25"/>
      <c r="I402" s="25"/>
      <c r="J402" s="25" t="str">
        <f>'Ingest Template'!B402</f>
        <v/>
      </c>
      <c r="K402" s="25" t="str">
        <f>IF('Ingest Template'!A401="Standard",'Ingest Template'!N401,"Competitive View")</f>
        <v>Competitive View</v>
      </c>
      <c r="L402" s="41" t="s">
        <v>145</v>
      </c>
      <c r="M402" s="25" t="str">
        <f>'Ingest Template'!D401</f>
        <v/>
      </c>
      <c r="N402" s="25"/>
      <c r="O402" s="25"/>
      <c r="P402" s="25"/>
      <c r="Q402" s="25"/>
      <c r="R402" s="25" t="str">
        <f>CONCATENATE('Ingest Template'!F401)</f>
        <v/>
      </c>
      <c r="S402" s="43" t="s">
        <v>160</v>
      </c>
      <c r="T402" s="25" t="str">
        <f>'Ingest Template'!W401</f>
        <v/>
      </c>
      <c r="U402" s="25"/>
      <c r="V402" s="25" t="str">
        <f>LOWER(SUBSTITUTE(SUBSTITUTE(SUBSTITUTE(SUBSTITUTE(SUBSTITUTE('Ingest Template'!Y401,"https:",""),"www.",""),"/",""),"?hl=en",""),"instagram.com",""))</f>
        <v/>
      </c>
      <c r="W402" s="34" t="str">
        <f>(IFERROR(vlookup('Ingest Template'!F402,DropDown!D:E,2,false)&amp;'Ingest Template'!C402,""))</f>
        <v/>
      </c>
      <c r="X402" s="25" t="str">
        <f>'Ingest Template'!AA401</f>
        <v/>
      </c>
      <c r="Y402" s="25"/>
      <c r="Z402" s="25"/>
      <c r="AA402" s="25"/>
      <c r="AB402" s="25" t="str">
        <f>'Ingest Template'!T401</f>
        <v/>
      </c>
      <c r="AC402" s="25"/>
      <c r="AD402" s="25" t="str">
        <f>'Ingest Template'!U401</f>
        <v/>
      </c>
      <c r="AE402" s="25" t="str">
        <f>'Ingest Template'!V401</f>
        <v/>
      </c>
      <c r="AF402" s="25"/>
      <c r="AG402" s="25" t="str">
        <f t="array" ref="AG402">IF('Ingest Template'!A401="Standard",(CONCATENATE(IF(ISBLANK('Ingest Template'!O401),"", 'Ingest Template'!O401&amp;"|DAR"),CHAR(10), IF(ISBLANK('Ingest Template'!P401),"", 'Ingest Template'!P401&amp;"|DAR"),CHAR(10), IF(ISBLANK('Ingest Template'!Q401),"", 'Ingest Template'!Q401&amp;"|DAR"))),(CONCATENATE(IF(ISBLANK('Ingest Template'!O401),"", 'Ingest Template'!O401&amp;"|Operations - Core Title"),CHAR(10), IF(ISBLANK('Ingest Template'!P401),"", 'Ingest Template'!P401&amp;"|Operations - Core Title"),CHAR(10), IF(ISBLANK('Ingest Template'!Q401),"", 'Ingest Template'!Q401&amp;"|Operations - Core Title"))))</f>
        <v>#|Operations - Core Title
#videoGame|Operations - Core Title
</v>
      </c>
      <c r="AH402" s="25"/>
      <c r="AI402" s="25"/>
      <c r="AJ402" s="50" t="str">
        <f>if('Ingest Template'!A401="Standard",'Ingest Template'!R401&amp; "|DAR|DAR|2021-01-01",'Ingest Template'!R401&amp; "|Operations - Core Title|Operations - Core Title")</f>
        <v>#N/A</v>
      </c>
      <c r="AK402" s="25"/>
      <c r="AL402" s="25" t="str">
        <f>if('Ingest Template'!A401="Standard",'Ingest Template'!S401&amp; "|2021-01-01",'Ingest Template'!S401)</f>
        <v>#N/A</v>
      </c>
      <c r="AM402" s="25"/>
    </row>
    <row r="403">
      <c r="A403" s="25"/>
      <c r="B403" s="25" t="str">
        <f>'Ingest Template'!C402&amp;IF('Ingest Template'!A402 = "Standard", " - DAR","")</f>
        <v/>
      </c>
      <c r="C403" s="34" t="s">
        <v>92</v>
      </c>
      <c r="D403" s="34" t="str">
        <f>CONCATENATE('Ingest Template'!E403&amp;Char(10)&amp;'Ingest Template'!G403&amp;Char(10)&amp;'Ingest Template'!H403&amp;Char(10)&amp;'Ingest Template'!I403&amp;Char(10)&amp;'Ingest Template'!J403&amp;Char(10)&amp;'Ingest Template'!K403&amp;Char(10)&amp;'Ingest Template'!L403)</f>
        <v>
</v>
      </c>
      <c r="E403" s="25" t="str">
        <f>('Ingest Template'!M403)</f>
        <v/>
      </c>
      <c r="F403" s="40" t="str">
        <f t="array" ref="F403">INDEX(DropDown!$J$2:$J$63,MATCH(1,COUNTIF(E403,DropDown!$I$2:$I$63),0))</f>
        <v>#N/A</v>
      </c>
      <c r="G403" s="25"/>
      <c r="H403" s="25"/>
      <c r="I403" s="25"/>
      <c r="J403" s="25" t="str">
        <f>'Ingest Template'!B403</f>
        <v/>
      </c>
      <c r="K403" s="25" t="str">
        <f>IF('Ingest Template'!A402="Standard",'Ingest Template'!N402,"Competitive View")</f>
        <v>Competitive View</v>
      </c>
      <c r="L403" s="41" t="s">
        <v>145</v>
      </c>
      <c r="M403" s="25" t="str">
        <f>'Ingest Template'!D402</f>
        <v/>
      </c>
      <c r="N403" s="25"/>
      <c r="O403" s="25"/>
      <c r="P403" s="25"/>
      <c r="Q403" s="25"/>
      <c r="R403" s="25" t="str">
        <f>CONCATENATE('Ingest Template'!F402)</f>
        <v/>
      </c>
      <c r="S403" s="43" t="s">
        <v>160</v>
      </c>
      <c r="T403" s="25" t="str">
        <f>'Ingest Template'!W402</f>
        <v/>
      </c>
      <c r="U403" s="25"/>
      <c r="V403" s="25" t="str">
        <f>LOWER(SUBSTITUTE(SUBSTITUTE(SUBSTITUTE(SUBSTITUTE(SUBSTITUTE('Ingest Template'!Y402,"https:",""),"www.",""),"/",""),"?hl=en",""),"instagram.com",""))</f>
        <v/>
      </c>
      <c r="W403" s="34" t="str">
        <f>(IFERROR(vlookup('Ingest Template'!F403,DropDown!D:E,2,false)&amp;'Ingest Template'!C403,""))</f>
        <v/>
      </c>
      <c r="X403" s="25" t="str">
        <f>'Ingest Template'!AA402</f>
        <v/>
      </c>
      <c r="Y403" s="25"/>
      <c r="Z403" s="25"/>
      <c r="AA403" s="25"/>
      <c r="AB403" s="25" t="str">
        <f>'Ingest Template'!T402</f>
        <v/>
      </c>
      <c r="AC403" s="25"/>
      <c r="AD403" s="25" t="str">
        <f>'Ingest Template'!U402</f>
        <v/>
      </c>
      <c r="AE403" s="25" t="str">
        <f>'Ingest Template'!V402</f>
        <v/>
      </c>
      <c r="AF403" s="25"/>
      <c r="AG403" s="25" t="str">
        <f t="array" ref="AG403">IF('Ingest Template'!A402="Standard",(CONCATENATE(IF(ISBLANK('Ingest Template'!O402),"", 'Ingest Template'!O402&amp;"|DAR"),CHAR(10), IF(ISBLANK('Ingest Template'!P402),"", 'Ingest Template'!P402&amp;"|DAR"),CHAR(10), IF(ISBLANK('Ingest Template'!Q402),"", 'Ingest Template'!Q402&amp;"|DAR"))),(CONCATENATE(IF(ISBLANK('Ingest Template'!O402),"", 'Ingest Template'!O402&amp;"|Operations - Core Title"),CHAR(10), IF(ISBLANK('Ingest Template'!P402),"", 'Ingest Template'!P402&amp;"|Operations - Core Title"),CHAR(10), IF(ISBLANK('Ingest Template'!Q402),"", 'Ingest Template'!Q402&amp;"|Operations - Core Title"))))</f>
        <v>#|Operations - Core Title
#videoGame|Operations - Core Title
</v>
      </c>
      <c r="AH403" s="25"/>
      <c r="AI403" s="25"/>
      <c r="AJ403" s="50" t="str">
        <f>if('Ingest Template'!A402="Standard",'Ingest Template'!R402&amp; "|DAR|DAR|2021-01-01",'Ingest Template'!R402&amp; "|Operations - Core Title|Operations - Core Title")</f>
        <v>#N/A</v>
      </c>
      <c r="AK403" s="25"/>
      <c r="AL403" s="25" t="str">
        <f>if('Ingest Template'!A402="Standard",'Ingest Template'!S402&amp; "|2021-01-01",'Ingest Template'!S402)</f>
        <v>#N/A</v>
      </c>
      <c r="AM403" s="25"/>
    </row>
    <row r="404">
      <c r="A404" s="25"/>
      <c r="B404" s="25" t="str">
        <f>'Ingest Template'!C403&amp;IF('Ingest Template'!A403 = "Standard", " - DAR","")</f>
        <v/>
      </c>
      <c r="C404" s="34" t="s">
        <v>92</v>
      </c>
      <c r="D404" s="34" t="str">
        <f>CONCATENATE('Ingest Template'!E404&amp;Char(10)&amp;'Ingest Template'!G404&amp;Char(10)&amp;'Ingest Template'!H404&amp;Char(10)&amp;'Ingest Template'!I404&amp;Char(10)&amp;'Ingest Template'!J404&amp;Char(10)&amp;'Ingest Template'!K404&amp;Char(10)&amp;'Ingest Template'!L404)</f>
        <v>
</v>
      </c>
      <c r="E404" s="25" t="str">
        <f>('Ingest Template'!M404)</f>
        <v/>
      </c>
      <c r="F404" s="40" t="str">
        <f t="array" ref="F404">INDEX(DropDown!$J$2:$J$63,MATCH(1,COUNTIF(E404,DropDown!$I$2:$I$63),0))</f>
        <v>#N/A</v>
      </c>
      <c r="G404" s="25"/>
      <c r="H404" s="25"/>
      <c r="I404" s="25"/>
      <c r="J404" s="25" t="str">
        <f>'Ingest Template'!B404</f>
        <v/>
      </c>
      <c r="K404" s="25" t="str">
        <f>IF('Ingest Template'!A403="Standard",'Ingest Template'!N403,"Competitive View")</f>
        <v>Competitive View</v>
      </c>
      <c r="L404" s="41" t="s">
        <v>145</v>
      </c>
      <c r="M404" s="25" t="str">
        <f>'Ingest Template'!D403</f>
        <v/>
      </c>
      <c r="N404" s="25"/>
      <c r="O404" s="25"/>
      <c r="P404" s="25"/>
      <c r="Q404" s="25"/>
      <c r="R404" s="25" t="str">
        <f>CONCATENATE('Ingest Template'!F403)</f>
        <v/>
      </c>
      <c r="S404" s="43" t="s">
        <v>160</v>
      </c>
      <c r="T404" s="25" t="str">
        <f>'Ingest Template'!W403</f>
        <v/>
      </c>
      <c r="U404" s="25"/>
      <c r="V404" s="25" t="str">
        <f>LOWER(SUBSTITUTE(SUBSTITUTE(SUBSTITUTE(SUBSTITUTE(SUBSTITUTE('Ingest Template'!Y403,"https:",""),"www.",""),"/",""),"?hl=en",""),"instagram.com",""))</f>
        <v/>
      </c>
      <c r="W404" s="34" t="str">
        <f>(IFERROR(vlookup('Ingest Template'!F404,DropDown!D:E,2,false)&amp;'Ingest Template'!C404,""))</f>
        <v/>
      </c>
      <c r="X404" s="25" t="str">
        <f>'Ingest Template'!AA403</f>
        <v/>
      </c>
      <c r="Y404" s="25"/>
      <c r="Z404" s="25"/>
      <c r="AA404" s="25"/>
      <c r="AB404" s="25" t="str">
        <f>'Ingest Template'!T403</f>
        <v/>
      </c>
      <c r="AC404" s="25"/>
      <c r="AD404" s="25" t="str">
        <f>'Ingest Template'!U403</f>
        <v/>
      </c>
      <c r="AE404" s="25" t="str">
        <f>'Ingest Template'!V403</f>
        <v/>
      </c>
      <c r="AF404" s="25"/>
      <c r="AG404" s="25" t="str">
        <f t="array" ref="AG404">IF('Ingest Template'!A403="Standard",(CONCATENATE(IF(ISBLANK('Ingest Template'!O403),"", 'Ingest Template'!O403&amp;"|DAR"),CHAR(10), IF(ISBLANK('Ingest Template'!P403),"", 'Ingest Template'!P403&amp;"|DAR"),CHAR(10), IF(ISBLANK('Ingest Template'!Q403),"", 'Ingest Template'!Q403&amp;"|DAR"))),(CONCATENATE(IF(ISBLANK('Ingest Template'!O403),"", 'Ingest Template'!O403&amp;"|Operations - Core Title"),CHAR(10), IF(ISBLANK('Ingest Template'!P403),"", 'Ingest Template'!P403&amp;"|Operations - Core Title"),CHAR(10), IF(ISBLANK('Ingest Template'!Q403),"", 'Ingest Template'!Q403&amp;"|Operations - Core Title"))))</f>
        <v>#|Operations - Core Title
#videoGame|Operations - Core Title
</v>
      </c>
      <c r="AH404" s="25"/>
      <c r="AI404" s="25"/>
      <c r="AJ404" s="50" t="str">
        <f>if('Ingest Template'!A403="Standard",'Ingest Template'!R403&amp; "|DAR|DAR|2021-01-01",'Ingest Template'!R403&amp; "|Operations - Core Title|Operations - Core Title")</f>
        <v>#N/A</v>
      </c>
      <c r="AK404" s="25"/>
      <c r="AL404" s="25" t="str">
        <f>if('Ingest Template'!A403="Standard",'Ingest Template'!S403&amp; "|2021-01-01",'Ingest Template'!S403)</f>
        <v>#N/A</v>
      </c>
      <c r="AM404" s="25"/>
    </row>
    <row r="405">
      <c r="A405" s="25"/>
      <c r="B405" s="25" t="str">
        <f>'Ingest Template'!C404&amp;IF('Ingest Template'!A404 = "Standard", " - DAR","")</f>
        <v/>
      </c>
      <c r="C405" s="34" t="s">
        <v>92</v>
      </c>
      <c r="D405" s="34" t="str">
        <f>CONCATENATE('Ingest Template'!E405&amp;Char(10)&amp;'Ingest Template'!G405&amp;Char(10)&amp;'Ingest Template'!H405&amp;Char(10)&amp;'Ingest Template'!I405&amp;Char(10)&amp;'Ingest Template'!J405&amp;Char(10)&amp;'Ingest Template'!K405&amp;Char(10)&amp;'Ingest Template'!L405)</f>
        <v>
</v>
      </c>
      <c r="E405" s="25" t="str">
        <f>('Ingest Template'!M405)</f>
        <v/>
      </c>
      <c r="F405" s="40" t="str">
        <f t="array" ref="F405">INDEX(DropDown!$J$2:$J$63,MATCH(1,COUNTIF(E405,DropDown!$I$2:$I$63),0))</f>
        <v>#N/A</v>
      </c>
      <c r="G405" s="25"/>
      <c r="H405" s="25"/>
      <c r="I405" s="25"/>
      <c r="J405" s="25" t="str">
        <f>'Ingest Template'!B405</f>
        <v/>
      </c>
      <c r="K405" s="25" t="str">
        <f>IF('Ingest Template'!A404="Standard",'Ingest Template'!N404,"Competitive View")</f>
        <v>Competitive View</v>
      </c>
      <c r="L405" s="41" t="s">
        <v>145</v>
      </c>
      <c r="M405" s="25" t="str">
        <f>'Ingest Template'!D404</f>
        <v/>
      </c>
      <c r="N405" s="25"/>
      <c r="O405" s="25"/>
      <c r="P405" s="25"/>
      <c r="Q405" s="25"/>
      <c r="R405" s="25" t="str">
        <f>CONCATENATE('Ingest Template'!F404)</f>
        <v/>
      </c>
      <c r="S405" s="43" t="s">
        <v>160</v>
      </c>
      <c r="T405" s="25" t="str">
        <f>'Ingest Template'!W404</f>
        <v/>
      </c>
      <c r="U405" s="25"/>
      <c r="V405" s="25" t="str">
        <f>LOWER(SUBSTITUTE(SUBSTITUTE(SUBSTITUTE(SUBSTITUTE(SUBSTITUTE('Ingest Template'!Y404,"https:",""),"www.",""),"/",""),"?hl=en",""),"instagram.com",""))</f>
        <v/>
      </c>
      <c r="W405" s="34" t="str">
        <f>(IFERROR(vlookup('Ingest Template'!F405,DropDown!D:E,2,false)&amp;'Ingest Template'!C405,""))</f>
        <v/>
      </c>
      <c r="X405" s="25" t="str">
        <f>'Ingest Template'!AA404</f>
        <v/>
      </c>
      <c r="Y405" s="25"/>
      <c r="Z405" s="25"/>
      <c r="AA405" s="25"/>
      <c r="AB405" s="25" t="str">
        <f>'Ingest Template'!T404</f>
        <v/>
      </c>
      <c r="AC405" s="25"/>
      <c r="AD405" s="25" t="str">
        <f>'Ingest Template'!U404</f>
        <v/>
      </c>
      <c r="AE405" s="25" t="str">
        <f>'Ingest Template'!V404</f>
        <v/>
      </c>
      <c r="AF405" s="25"/>
      <c r="AG405" s="25" t="str">
        <f t="array" ref="AG405">IF('Ingest Template'!A404="Standard",(CONCATENATE(IF(ISBLANK('Ingest Template'!O404),"", 'Ingest Template'!O404&amp;"|DAR"),CHAR(10), IF(ISBLANK('Ingest Template'!P404),"", 'Ingest Template'!P404&amp;"|DAR"),CHAR(10), IF(ISBLANK('Ingest Template'!Q404),"", 'Ingest Template'!Q404&amp;"|DAR"))),(CONCATENATE(IF(ISBLANK('Ingest Template'!O404),"", 'Ingest Template'!O404&amp;"|Operations - Core Title"),CHAR(10), IF(ISBLANK('Ingest Template'!P404),"", 'Ingest Template'!P404&amp;"|Operations - Core Title"),CHAR(10), IF(ISBLANK('Ingest Template'!Q404),"", 'Ingest Template'!Q404&amp;"|Operations - Core Title"))))</f>
        <v>#|Operations - Core Title
#videoGame|Operations - Core Title
</v>
      </c>
      <c r="AH405" s="25"/>
      <c r="AI405" s="25"/>
      <c r="AJ405" s="50" t="str">
        <f>if('Ingest Template'!A404="Standard",'Ingest Template'!R404&amp; "|DAR|DAR|2021-01-01",'Ingest Template'!R404&amp; "|Operations - Core Title|Operations - Core Title")</f>
        <v>#N/A</v>
      </c>
      <c r="AK405" s="25"/>
      <c r="AL405" s="25" t="str">
        <f>if('Ingest Template'!A404="Standard",'Ingest Template'!S404&amp; "|2021-01-01",'Ingest Template'!S404)</f>
        <v>#N/A</v>
      </c>
      <c r="AM405" s="25"/>
    </row>
    <row r="406">
      <c r="A406" s="25"/>
      <c r="B406" s="25" t="str">
        <f>'Ingest Template'!C405&amp;IF('Ingest Template'!A405 = "Standard", " - DAR","")</f>
        <v/>
      </c>
      <c r="C406" s="34" t="s">
        <v>92</v>
      </c>
      <c r="D406" s="34" t="str">
        <f>CONCATENATE('Ingest Template'!E406&amp;Char(10)&amp;'Ingest Template'!G406&amp;Char(10)&amp;'Ingest Template'!H406&amp;Char(10)&amp;'Ingest Template'!I406&amp;Char(10)&amp;'Ingest Template'!J406&amp;Char(10)&amp;'Ingest Template'!K406&amp;Char(10)&amp;'Ingest Template'!L406)</f>
        <v>
</v>
      </c>
      <c r="E406" s="25" t="str">
        <f>('Ingest Template'!M406)</f>
        <v/>
      </c>
      <c r="F406" s="40" t="str">
        <f t="array" ref="F406">INDEX(DropDown!$J$2:$J$63,MATCH(1,COUNTIF(E406,DropDown!$I$2:$I$63),0))</f>
        <v>#N/A</v>
      </c>
      <c r="G406" s="25"/>
      <c r="H406" s="25"/>
      <c r="I406" s="25"/>
      <c r="J406" s="25" t="str">
        <f>'Ingest Template'!B406</f>
        <v/>
      </c>
      <c r="K406" s="25" t="str">
        <f>IF('Ingest Template'!A405="Standard",'Ingest Template'!N405,"Competitive View")</f>
        <v>Competitive View</v>
      </c>
      <c r="L406" s="41" t="s">
        <v>145</v>
      </c>
      <c r="M406" s="25" t="str">
        <f>'Ingest Template'!D405</f>
        <v/>
      </c>
      <c r="N406" s="25"/>
      <c r="O406" s="25"/>
      <c r="P406" s="25"/>
      <c r="Q406" s="25"/>
      <c r="R406" s="25" t="str">
        <f>CONCATENATE('Ingest Template'!F405)</f>
        <v/>
      </c>
      <c r="S406" s="43" t="s">
        <v>160</v>
      </c>
      <c r="T406" s="25" t="str">
        <f>'Ingest Template'!W405</f>
        <v/>
      </c>
      <c r="U406" s="25"/>
      <c r="V406" s="25" t="str">
        <f>LOWER(SUBSTITUTE(SUBSTITUTE(SUBSTITUTE(SUBSTITUTE(SUBSTITUTE('Ingest Template'!Y405,"https:",""),"www.",""),"/",""),"?hl=en",""),"instagram.com",""))</f>
        <v/>
      </c>
      <c r="W406" s="34" t="str">
        <f>(IFERROR(vlookup('Ingest Template'!F406,DropDown!D:E,2,false)&amp;'Ingest Template'!C406,""))</f>
        <v/>
      </c>
      <c r="X406" s="25" t="str">
        <f>'Ingest Template'!AA405</f>
        <v/>
      </c>
      <c r="Y406" s="25"/>
      <c r="Z406" s="25"/>
      <c r="AA406" s="25"/>
      <c r="AB406" s="25" t="str">
        <f>'Ingest Template'!T405</f>
        <v/>
      </c>
      <c r="AC406" s="25"/>
      <c r="AD406" s="25" t="str">
        <f>'Ingest Template'!U405</f>
        <v/>
      </c>
      <c r="AE406" s="25" t="str">
        <f>'Ingest Template'!V405</f>
        <v/>
      </c>
      <c r="AF406" s="25"/>
      <c r="AG406" s="25" t="str">
        <f t="array" ref="AG406">IF('Ingest Template'!A405="Standard",(CONCATENATE(IF(ISBLANK('Ingest Template'!O405),"", 'Ingest Template'!O405&amp;"|DAR"),CHAR(10), IF(ISBLANK('Ingest Template'!P405),"", 'Ingest Template'!P405&amp;"|DAR"),CHAR(10), IF(ISBLANK('Ingest Template'!Q405),"", 'Ingest Template'!Q405&amp;"|DAR"))),(CONCATENATE(IF(ISBLANK('Ingest Template'!O405),"", 'Ingest Template'!O405&amp;"|Operations - Core Title"),CHAR(10), IF(ISBLANK('Ingest Template'!P405),"", 'Ingest Template'!P405&amp;"|Operations - Core Title"),CHAR(10), IF(ISBLANK('Ingest Template'!Q405),"", 'Ingest Template'!Q405&amp;"|Operations - Core Title"))))</f>
        <v>#|Operations - Core Title
#videoGame|Operations - Core Title
</v>
      </c>
      <c r="AH406" s="25"/>
      <c r="AI406" s="25"/>
      <c r="AJ406" s="50" t="str">
        <f>if('Ingest Template'!A405="Standard",'Ingest Template'!R405&amp; "|DAR|DAR|2021-01-01",'Ingest Template'!R405&amp; "|Operations - Core Title|Operations - Core Title")</f>
        <v>#N/A</v>
      </c>
      <c r="AK406" s="25"/>
      <c r="AL406" s="25" t="str">
        <f>if('Ingest Template'!A405="Standard",'Ingest Template'!S405&amp; "|2021-01-01",'Ingest Template'!S405)</f>
        <v>#N/A</v>
      </c>
      <c r="AM406" s="25"/>
    </row>
    <row r="407">
      <c r="A407" s="25"/>
      <c r="B407" s="25" t="str">
        <f>'Ingest Template'!C406&amp;IF('Ingest Template'!A406 = "Standard", " - DAR","")</f>
        <v/>
      </c>
      <c r="C407" s="34" t="s">
        <v>92</v>
      </c>
      <c r="D407" s="34" t="str">
        <f>CONCATENATE('Ingest Template'!E407&amp;Char(10)&amp;'Ingest Template'!G407&amp;Char(10)&amp;'Ingest Template'!H407&amp;Char(10)&amp;'Ingest Template'!I407&amp;Char(10)&amp;'Ingest Template'!J407&amp;Char(10)&amp;'Ingest Template'!K407&amp;Char(10)&amp;'Ingest Template'!L407)</f>
        <v>
</v>
      </c>
      <c r="E407" s="25" t="str">
        <f>('Ingest Template'!M407)</f>
        <v/>
      </c>
      <c r="F407" s="40" t="str">
        <f t="array" ref="F407">INDEX(DropDown!$J$2:$J$63,MATCH(1,COUNTIF(E407,DropDown!$I$2:$I$63),0))</f>
        <v>#N/A</v>
      </c>
      <c r="G407" s="25"/>
      <c r="H407" s="25"/>
      <c r="I407" s="25"/>
      <c r="J407" s="25" t="str">
        <f>'Ingest Template'!B407</f>
        <v/>
      </c>
      <c r="K407" s="25" t="str">
        <f>IF('Ingest Template'!A406="Standard",'Ingest Template'!N406,"Competitive View")</f>
        <v>Competitive View</v>
      </c>
      <c r="L407" s="41" t="s">
        <v>145</v>
      </c>
      <c r="M407" s="25" t="str">
        <f>'Ingest Template'!D406</f>
        <v/>
      </c>
      <c r="N407" s="25"/>
      <c r="O407" s="25"/>
      <c r="P407" s="25"/>
      <c r="Q407" s="25"/>
      <c r="R407" s="25" t="str">
        <f>CONCATENATE('Ingest Template'!F406)</f>
        <v/>
      </c>
      <c r="S407" s="43" t="s">
        <v>160</v>
      </c>
      <c r="T407" s="25" t="str">
        <f>'Ingest Template'!W406</f>
        <v/>
      </c>
      <c r="U407" s="25"/>
      <c r="V407" s="25" t="str">
        <f>LOWER(SUBSTITUTE(SUBSTITUTE(SUBSTITUTE(SUBSTITUTE(SUBSTITUTE('Ingest Template'!Y406,"https:",""),"www.",""),"/",""),"?hl=en",""),"instagram.com",""))</f>
        <v/>
      </c>
      <c r="W407" s="34" t="str">
        <f>(IFERROR(vlookup('Ingest Template'!F407,DropDown!D:E,2,false)&amp;'Ingest Template'!C407,""))</f>
        <v/>
      </c>
      <c r="X407" s="25" t="str">
        <f>'Ingest Template'!AA406</f>
        <v/>
      </c>
      <c r="Y407" s="25"/>
      <c r="Z407" s="25"/>
      <c r="AA407" s="25"/>
      <c r="AB407" s="25" t="str">
        <f>'Ingest Template'!T406</f>
        <v/>
      </c>
      <c r="AC407" s="25"/>
      <c r="AD407" s="25" t="str">
        <f>'Ingest Template'!U406</f>
        <v/>
      </c>
      <c r="AE407" s="25" t="str">
        <f>'Ingest Template'!V406</f>
        <v/>
      </c>
      <c r="AF407" s="25"/>
      <c r="AG407" s="25" t="str">
        <f t="array" ref="AG407">IF('Ingest Template'!A406="Standard",(CONCATENATE(IF(ISBLANK('Ingest Template'!O406),"", 'Ingest Template'!O406&amp;"|DAR"),CHAR(10), IF(ISBLANK('Ingest Template'!P406),"", 'Ingest Template'!P406&amp;"|DAR"),CHAR(10), IF(ISBLANK('Ingest Template'!Q406),"", 'Ingest Template'!Q406&amp;"|DAR"))),(CONCATENATE(IF(ISBLANK('Ingest Template'!O406),"", 'Ingest Template'!O406&amp;"|Operations - Core Title"),CHAR(10), IF(ISBLANK('Ingest Template'!P406),"", 'Ingest Template'!P406&amp;"|Operations - Core Title"),CHAR(10), IF(ISBLANK('Ingest Template'!Q406),"", 'Ingest Template'!Q406&amp;"|Operations - Core Title"))))</f>
        <v>#|Operations - Core Title
#videoGame|Operations - Core Title
</v>
      </c>
      <c r="AH407" s="25"/>
      <c r="AI407" s="25"/>
      <c r="AJ407" s="50" t="str">
        <f>if('Ingest Template'!A406="Standard",'Ingest Template'!R406&amp; "|DAR|DAR|2021-01-01",'Ingest Template'!R406&amp; "|Operations - Core Title|Operations - Core Title")</f>
        <v>#N/A</v>
      </c>
      <c r="AK407" s="25"/>
      <c r="AL407" s="25" t="str">
        <f>if('Ingest Template'!A406="Standard",'Ingest Template'!S406&amp; "|2021-01-01",'Ingest Template'!S406)</f>
        <v>#N/A</v>
      </c>
      <c r="AM407" s="25"/>
    </row>
    <row r="408">
      <c r="A408" s="25"/>
      <c r="B408" s="25" t="str">
        <f>'Ingest Template'!C407&amp;IF('Ingest Template'!A407 = "Standard", " - DAR","")</f>
        <v/>
      </c>
      <c r="C408" s="34" t="s">
        <v>92</v>
      </c>
      <c r="D408" s="34" t="str">
        <f>CONCATENATE('Ingest Template'!E408&amp;Char(10)&amp;'Ingest Template'!G408&amp;Char(10)&amp;'Ingest Template'!H408&amp;Char(10)&amp;'Ingest Template'!I408&amp;Char(10)&amp;'Ingest Template'!J408&amp;Char(10)&amp;'Ingest Template'!K408&amp;Char(10)&amp;'Ingest Template'!L408)</f>
        <v>
</v>
      </c>
      <c r="E408" s="25" t="str">
        <f>('Ingest Template'!M408)</f>
        <v/>
      </c>
      <c r="F408" s="40" t="str">
        <f t="array" ref="F408">INDEX(DropDown!$J$2:$J$63,MATCH(1,COUNTIF(E408,DropDown!$I$2:$I$63),0))</f>
        <v>#N/A</v>
      </c>
      <c r="G408" s="25"/>
      <c r="H408" s="25"/>
      <c r="I408" s="25"/>
      <c r="J408" s="25" t="str">
        <f>'Ingest Template'!B408</f>
        <v/>
      </c>
      <c r="K408" s="25" t="str">
        <f>IF('Ingest Template'!A407="Standard",'Ingest Template'!N407,"Competitive View")</f>
        <v>Competitive View</v>
      </c>
      <c r="L408" s="41" t="s">
        <v>145</v>
      </c>
      <c r="M408" s="25" t="str">
        <f>'Ingest Template'!D407</f>
        <v/>
      </c>
      <c r="N408" s="25"/>
      <c r="O408" s="25"/>
      <c r="P408" s="25"/>
      <c r="Q408" s="25"/>
      <c r="R408" s="25" t="str">
        <f>CONCATENATE('Ingest Template'!F407)</f>
        <v/>
      </c>
      <c r="S408" s="43" t="s">
        <v>160</v>
      </c>
      <c r="T408" s="25" t="str">
        <f>'Ingest Template'!W407</f>
        <v/>
      </c>
      <c r="U408" s="25"/>
      <c r="V408" s="25" t="str">
        <f>LOWER(SUBSTITUTE(SUBSTITUTE(SUBSTITUTE(SUBSTITUTE(SUBSTITUTE('Ingest Template'!Y407,"https:",""),"www.",""),"/",""),"?hl=en",""),"instagram.com",""))</f>
        <v/>
      </c>
      <c r="W408" s="34" t="str">
        <f>(IFERROR(vlookup('Ingest Template'!F408,DropDown!D:E,2,false)&amp;'Ingest Template'!C408,""))</f>
        <v/>
      </c>
      <c r="X408" s="25" t="str">
        <f>'Ingest Template'!AA407</f>
        <v/>
      </c>
      <c r="Y408" s="25"/>
      <c r="Z408" s="25"/>
      <c r="AA408" s="25"/>
      <c r="AB408" s="25" t="str">
        <f>'Ingest Template'!T407</f>
        <v/>
      </c>
      <c r="AC408" s="25"/>
      <c r="AD408" s="25" t="str">
        <f>'Ingest Template'!U407</f>
        <v/>
      </c>
      <c r="AE408" s="25" t="str">
        <f>'Ingest Template'!V407</f>
        <v/>
      </c>
      <c r="AF408" s="25"/>
      <c r="AG408" s="25" t="str">
        <f t="array" ref="AG408">IF('Ingest Template'!A407="Standard",(CONCATENATE(IF(ISBLANK('Ingest Template'!O407),"", 'Ingest Template'!O407&amp;"|DAR"),CHAR(10), IF(ISBLANK('Ingest Template'!P407),"", 'Ingest Template'!P407&amp;"|DAR"),CHAR(10), IF(ISBLANK('Ingest Template'!Q407),"", 'Ingest Template'!Q407&amp;"|DAR"))),(CONCATENATE(IF(ISBLANK('Ingest Template'!O407),"", 'Ingest Template'!O407&amp;"|Operations - Core Title"),CHAR(10), IF(ISBLANK('Ingest Template'!P407),"", 'Ingest Template'!P407&amp;"|Operations - Core Title"),CHAR(10), IF(ISBLANK('Ingest Template'!Q407),"", 'Ingest Template'!Q407&amp;"|Operations - Core Title"))))</f>
        <v>#|Operations - Core Title
#videoGame|Operations - Core Title
</v>
      </c>
      <c r="AH408" s="25"/>
      <c r="AI408" s="25"/>
      <c r="AJ408" s="50" t="str">
        <f>if('Ingest Template'!A407="Standard",'Ingest Template'!R407&amp; "|DAR|DAR|2021-01-01",'Ingest Template'!R407&amp; "|Operations - Core Title|Operations - Core Title")</f>
        <v>#N/A</v>
      </c>
      <c r="AK408" s="25"/>
      <c r="AL408" s="25" t="str">
        <f>if('Ingest Template'!A407="Standard",'Ingest Template'!S407&amp; "|2021-01-01",'Ingest Template'!S407)</f>
        <v>#N/A</v>
      </c>
      <c r="AM408" s="25"/>
    </row>
    <row r="409">
      <c r="A409" s="25"/>
      <c r="B409" s="25" t="str">
        <f>'Ingest Template'!C408&amp;IF('Ingest Template'!A408 = "Standard", " - DAR","")</f>
        <v/>
      </c>
      <c r="C409" s="34" t="s">
        <v>92</v>
      </c>
      <c r="D409" s="34" t="str">
        <f>CONCATENATE('Ingest Template'!E409&amp;Char(10)&amp;'Ingest Template'!G409&amp;Char(10)&amp;'Ingest Template'!H409&amp;Char(10)&amp;'Ingest Template'!I409&amp;Char(10)&amp;'Ingest Template'!J409&amp;Char(10)&amp;'Ingest Template'!K409&amp;Char(10)&amp;'Ingest Template'!L409)</f>
        <v>
</v>
      </c>
      <c r="E409" s="25" t="str">
        <f>('Ingest Template'!M409)</f>
        <v/>
      </c>
      <c r="F409" s="40" t="str">
        <f t="array" ref="F409">INDEX(DropDown!$J$2:$J$63,MATCH(1,COUNTIF(E409,DropDown!$I$2:$I$63),0))</f>
        <v>#N/A</v>
      </c>
      <c r="G409" s="25"/>
      <c r="H409" s="25"/>
      <c r="I409" s="25"/>
      <c r="J409" s="25" t="str">
        <f>'Ingest Template'!B409</f>
        <v/>
      </c>
      <c r="K409" s="25" t="str">
        <f>IF('Ingest Template'!A408="Standard",'Ingest Template'!N408,"Competitive View")</f>
        <v>Competitive View</v>
      </c>
      <c r="L409" s="41" t="s">
        <v>145</v>
      </c>
      <c r="M409" s="25" t="str">
        <f>'Ingest Template'!D408</f>
        <v/>
      </c>
      <c r="N409" s="25"/>
      <c r="O409" s="25"/>
      <c r="P409" s="25"/>
      <c r="Q409" s="25"/>
      <c r="R409" s="25" t="str">
        <f>CONCATENATE('Ingest Template'!F408)</f>
        <v/>
      </c>
      <c r="S409" s="43" t="s">
        <v>160</v>
      </c>
      <c r="T409" s="25" t="str">
        <f>'Ingest Template'!W408</f>
        <v/>
      </c>
      <c r="U409" s="25"/>
      <c r="V409" s="25" t="str">
        <f>LOWER(SUBSTITUTE(SUBSTITUTE(SUBSTITUTE(SUBSTITUTE(SUBSTITUTE('Ingest Template'!Y408,"https:",""),"www.",""),"/",""),"?hl=en",""),"instagram.com",""))</f>
        <v/>
      </c>
      <c r="W409" s="34" t="str">
        <f>(IFERROR(vlookup('Ingest Template'!F409,DropDown!D:E,2,false)&amp;'Ingest Template'!C409,""))</f>
        <v/>
      </c>
      <c r="X409" s="25" t="str">
        <f>'Ingest Template'!AA408</f>
        <v/>
      </c>
      <c r="Y409" s="25"/>
      <c r="Z409" s="25"/>
      <c r="AA409" s="25"/>
      <c r="AB409" s="25" t="str">
        <f>'Ingest Template'!T408</f>
        <v/>
      </c>
      <c r="AC409" s="25"/>
      <c r="AD409" s="25" t="str">
        <f>'Ingest Template'!U408</f>
        <v/>
      </c>
      <c r="AE409" s="25" t="str">
        <f>'Ingest Template'!V408</f>
        <v/>
      </c>
      <c r="AF409" s="25"/>
      <c r="AG409" s="25" t="str">
        <f t="array" ref="AG409">IF('Ingest Template'!A408="Standard",(CONCATENATE(IF(ISBLANK('Ingest Template'!O408),"", 'Ingest Template'!O408&amp;"|DAR"),CHAR(10), IF(ISBLANK('Ingest Template'!P408),"", 'Ingest Template'!P408&amp;"|DAR"),CHAR(10), IF(ISBLANK('Ingest Template'!Q408),"", 'Ingest Template'!Q408&amp;"|DAR"))),(CONCATENATE(IF(ISBLANK('Ingest Template'!O408),"", 'Ingest Template'!O408&amp;"|Operations - Core Title"),CHAR(10), IF(ISBLANK('Ingest Template'!P408),"", 'Ingest Template'!P408&amp;"|Operations - Core Title"),CHAR(10), IF(ISBLANK('Ingest Template'!Q408),"", 'Ingest Template'!Q408&amp;"|Operations - Core Title"))))</f>
        <v>#|Operations - Core Title
#videoGame|Operations - Core Title
</v>
      </c>
      <c r="AH409" s="25"/>
      <c r="AI409" s="25"/>
      <c r="AJ409" s="50" t="str">
        <f>if('Ingest Template'!A408="Standard",'Ingest Template'!R408&amp; "|DAR|DAR|2021-01-01",'Ingest Template'!R408&amp; "|Operations - Core Title|Operations - Core Title")</f>
        <v>#N/A</v>
      </c>
      <c r="AK409" s="25"/>
      <c r="AL409" s="25" t="str">
        <f>if('Ingest Template'!A408="Standard",'Ingest Template'!S408&amp; "|2021-01-01",'Ingest Template'!S408)</f>
        <v>#N/A</v>
      </c>
      <c r="AM409" s="25"/>
    </row>
    <row r="410">
      <c r="A410" s="25"/>
      <c r="B410" s="25" t="str">
        <f>'Ingest Template'!C409&amp;IF('Ingest Template'!A409 = "Standard", " - DAR","")</f>
        <v/>
      </c>
      <c r="C410" s="34" t="s">
        <v>92</v>
      </c>
      <c r="D410" s="34" t="str">
        <f>CONCATENATE('Ingest Template'!E410&amp;Char(10)&amp;'Ingest Template'!G410&amp;Char(10)&amp;'Ingest Template'!H410&amp;Char(10)&amp;'Ingest Template'!I410&amp;Char(10)&amp;'Ingest Template'!J410&amp;Char(10)&amp;'Ingest Template'!K410&amp;Char(10)&amp;'Ingest Template'!L410)</f>
        <v>
</v>
      </c>
      <c r="E410" s="25" t="str">
        <f>('Ingest Template'!M410)</f>
        <v/>
      </c>
      <c r="F410" s="40" t="str">
        <f t="array" ref="F410">INDEX(DropDown!$J$2:$J$63,MATCH(1,COUNTIF(E410,DropDown!$I$2:$I$63),0))</f>
        <v>#N/A</v>
      </c>
      <c r="G410" s="25"/>
      <c r="H410" s="25"/>
      <c r="I410" s="25"/>
      <c r="J410" s="25" t="str">
        <f>'Ingest Template'!B410</f>
        <v/>
      </c>
      <c r="K410" s="25" t="str">
        <f>IF('Ingest Template'!A409="Standard",'Ingest Template'!N409,"Competitive View")</f>
        <v>Competitive View</v>
      </c>
      <c r="L410" s="41" t="s">
        <v>145</v>
      </c>
      <c r="M410" s="25" t="str">
        <f>'Ingest Template'!D409</f>
        <v/>
      </c>
      <c r="N410" s="25"/>
      <c r="O410" s="25"/>
      <c r="P410" s="25"/>
      <c r="Q410" s="25"/>
      <c r="R410" s="25" t="str">
        <f>CONCATENATE('Ingest Template'!F409)</f>
        <v/>
      </c>
      <c r="S410" s="43" t="s">
        <v>160</v>
      </c>
      <c r="T410" s="25" t="str">
        <f>'Ingest Template'!W409</f>
        <v/>
      </c>
      <c r="U410" s="25"/>
      <c r="V410" s="25" t="str">
        <f>LOWER(SUBSTITUTE(SUBSTITUTE(SUBSTITUTE(SUBSTITUTE(SUBSTITUTE('Ingest Template'!Y409,"https:",""),"www.",""),"/",""),"?hl=en",""),"instagram.com",""))</f>
        <v/>
      </c>
      <c r="W410" s="34" t="str">
        <f>(IFERROR(vlookup('Ingest Template'!F410,DropDown!D:E,2,false)&amp;'Ingest Template'!C410,""))</f>
        <v/>
      </c>
      <c r="X410" s="25" t="str">
        <f>'Ingest Template'!AA409</f>
        <v/>
      </c>
      <c r="Y410" s="25"/>
      <c r="Z410" s="25"/>
      <c r="AA410" s="25"/>
      <c r="AB410" s="25" t="str">
        <f>'Ingest Template'!T409</f>
        <v/>
      </c>
      <c r="AC410" s="25"/>
      <c r="AD410" s="25" t="str">
        <f>'Ingest Template'!U409</f>
        <v/>
      </c>
      <c r="AE410" s="25" t="str">
        <f>'Ingest Template'!V409</f>
        <v/>
      </c>
      <c r="AF410" s="25"/>
      <c r="AG410" s="25" t="str">
        <f t="array" ref="AG410">IF('Ingest Template'!A409="Standard",(CONCATENATE(IF(ISBLANK('Ingest Template'!O409),"", 'Ingest Template'!O409&amp;"|DAR"),CHAR(10), IF(ISBLANK('Ingest Template'!P409),"", 'Ingest Template'!P409&amp;"|DAR"),CHAR(10), IF(ISBLANK('Ingest Template'!Q409),"", 'Ingest Template'!Q409&amp;"|DAR"))),(CONCATENATE(IF(ISBLANK('Ingest Template'!O409),"", 'Ingest Template'!O409&amp;"|Operations - Core Title"),CHAR(10), IF(ISBLANK('Ingest Template'!P409),"", 'Ingest Template'!P409&amp;"|Operations - Core Title"),CHAR(10), IF(ISBLANK('Ingest Template'!Q409),"", 'Ingest Template'!Q409&amp;"|Operations - Core Title"))))</f>
        <v>#|Operations - Core Title
#videoGame|Operations - Core Title
</v>
      </c>
      <c r="AH410" s="25"/>
      <c r="AI410" s="25"/>
      <c r="AJ410" s="50" t="str">
        <f>if('Ingest Template'!A409="Standard",'Ingest Template'!R409&amp; "|DAR|DAR|2021-01-01",'Ingest Template'!R409&amp; "|Operations - Core Title|Operations - Core Title")</f>
        <v>#N/A</v>
      </c>
      <c r="AK410" s="25"/>
      <c r="AL410" s="25" t="str">
        <f>if('Ingest Template'!A409="Standard",'Ingest Template'!S409&amp; "|2021-01-01",'Ingest Template'!S409)</f>
        <v>#N/A</v>
      </c>
      <c r="AM410" s="25"/>
    </row>
    <row r="411">
      <c r="A411" s="25"/>
      <c r="B411" s="25" t="str">
        <f>'Ingest Template'!C410&amp;IF('Ingest Template'!A410 = "Standard", " - DAR","")</f>
        <v/>
      </c>
      <c r="C411" s="34" t="s">
        <v>92</v>
      </c>
      <c r="D411" s="34" t="str">
        <f>CONCATENATE('Ingest Template'!E411&amp;Char(10)&amp;'Ingest Template'!G411&amp;Char(10)&amp;'Ingest Template'!H411&amp;Char(10)&amp;'Ingest Template'!I411&amp;Char(10)&amp;'Ingest Template'!J411&amp;Char(10)&amp;'Ingest Template'!K411&amp;Char(10)&amp;'Ingest Template'!L411)</f>
        <v>
</v>
      </c>
      <c r="E411" s="25" t="str">
        <f>('Ingest Template'!M411)</f>
        <v/>
      </c>
      <c r="F411" s="40" t="str">
        <f t="array" ref="F411">INDEX(DropDown!$J$2:$J$63,MATCH(1,COUNTIF(E411,DropDown!$I$2:$I$63),0))</f>
        <v>#N/A</v>
      </c>
      <c r="G411" s="25"/>
      <c r="H411" s="25"/>
      <c r="I411" s="25"/>
      <c r="J411" s="25" t="str">
        <f>'Ingest Template'!B411</f>
        <v/>
      </c>
      <c r="K411" s="25" t="str">
        <f>IF('Ingest Template'!A410="Standard",'Ingest Template'!N410,"Competitive View")</f>
        <v>Competitive View</v>
      </c>
      <c r="L411" s="41" t="s">
        <v>145</v>
      </c>
      <c r="M411" s="25" t="str">
        <f>'Ingest Template'!D410</f>
        <v/>
      </c>
      <c r="N411" s="25"/>
      <c r="O411" s="25"/>
      <c r="P411" s="25"/>
      <c r="Q411" s="25"/>
      <c r="R411" s="25" t="str">
        <f>CONCATENATE('Ingest Template'!F410)</f>
        <v/>
      </c>
      <c r="S411" s="43" t="s">
        <v>160</v>
      </c>
      <c r="T411" s="25" t="str">
        <f>'Ingest Template'!W410</f>
        <v/>
      </c>
      <c r="U411" s="25"/>
      <c r="V411" s="25" t="str">
        <f>LOWER(SUBSTITUTE(SUBSTITUTE(SUBSTITUTE(SUBSTITUTE(SUBSTITUTE('Ingest Template'!Y410,"https:",""),"www.",""),"/",""),"?hl=en",""),"instagram.com",""))</f>
        <v/>
      </c>
      <c r="W411" s="34" t="str">
        <f>(IFERROR(vlookup('Ingest Template'!F411,DropDown!D:E,2,false)&amp;'Ingest Template'!C411,""))</f>
        <v/>
      </c>
      <c r="X411" s="25" t="str">
        <f>'Ingest Template'!AA410</f>
        <v/>
      </c>
      <c r="Y411" s="25"/>
      <c r="Z411" s="25"/>
      <c r="AA411" s="25"/>
      <c r="AB411" s="25" t="str">
        <f>'Ingest Template'!T410</f>
        <v/>
      </c>
      <c r="AC411" s="25"/>
      <c r="AD411" s="25" t="str">
        <f>'Ingest Template'!U410</f>
        <v/>
      </c>
      <c r="AE411" s="25" t="str">
        <f>'Ingest Template'!V410</f>
        <v/>
      </c>
      <c r="AF411" s="25"/>
      <c r="AG411" s="25" t="str">
        <f t="array" ref="AG411">IF('Ingest Template'!A410="Standard",(CONCATENATE(IF(ISBLANK('Ingest Template'!O410),"", 'Ingest Template'!O410&amp;"|DAR"),CHAR(10), IF(ISBLANK('Ingest Template'!P410),"", 'Ingest Template'!P410&amp;"|DAR"),CHAR(10), IF(ISBLANK('Ingest Template'!Q410),"", 'Ingest Template'!Q410&amp;"|DAR"))),(CONCATENATE(IF(ISBLANK('Ingest Template'!O410),"", 'Ingest Template'!O410&amp;"|Operations - Core Title"),CHAR(10), IF(ISBLANK('Ingest Template'!P410),"", 'Ingest Template'!P410&amp;"|Operations - Core Title"),CHAR(10), IF(ISBLANK('Ingest Template'!Q410),"", 'Ingest Template'!Q410&amp;"|Operations - Core Title"))))</f>
        <v>#|Operations - Core Title
#videoGame|Operations - Core Title
</v>
      </c>
      <c r="AH411" s="25"/>
      <c r="AI411" s="25"/>
      <c r="AJ411" s="50" t="str">
        <f>if('Ingest Template'!A410="Standard",'Ingest Template'!R410&amp; "|DAR|DAR|2021-01-01",'Ingest Template'!R410&amp; "|Operations - Core Title|Operations - Core Title")</f>
        <v>#N/A</v>
      </c>
      <c r="AK411" s="25"/>
      <c r="AL411" s="25" t="str">
        <f>if('Ingest Template'!A410="Standard",'Ingest Template'!S410&amp; "|2021-01-01",'Ingest Template'!S410)</f>
        <v>#N/A</v>
      </c>
      <c r="AM411" s="25"/>
    </row>
    <row r="412">
      <c r="A412" s="25"/>
      <c r="B412" s="25" t="str">
        <f>'Ingest Template'!C411&amp;IF('Ingest Template'!A411 = "Standard", " - DAR","")</f>
        <v/>
      </c>
      <c r="C412" s="34" t="s">
        <v>92</v>
      </c>
      <c r="D412" s="34" t="str">
        <f>CONCATENATE('Ingest Template'!E412&amp;Char(10)&amp;'Ingest Template'!G412&amp;Char(10)&amp;'Ingest Template'!H412&amp;Char(10)&amp;'Ingest Template'!I412&amp;Char(10)&amp;'Ingest Template'!J412&amp;Char(10)&amp;'Ingest Template'!K412&amp;Char(10)&amp;'Ingest Template'!L412)</f>
        <v>
</v>
      </c>
      <c r="E412" s="25" t="str">
        <f>('Ingest Template'!M412)</f>
        <v/>
      </c>
      <c r="F412" s="40" t="str">
        <f t="array" ref="F412">INDEX(DropDown!$J$2:$J$63,MATCH(1,COUNTIF(E412,DropDown!$I$2:$I$63),0))</f>
        <v>#N/A</v>
      </c>
      <c r="G412" s="25"/>
      <c r="H412" s="25"/>
      <c r="I412" s="25"/>
      <c r="J412" s="25" t="str">
        <f>'Ingest Template'!B412</f>
        <v/>
      </c>
      <c r="K412" s="25" t="str">
        <f>IF('Ingest Template'!A411="Standard",'Ingest Template'!N411,"Competitive View")</f>
        <v>Competitive View</v>
      </c>
      <c r="L412" s="41" t="s">
        <v>145</v>
      </c>
      <c r="M412" s="25" t="str">
        <f>'Ingest Template'!D411</f>
        <v/>
      </c>
      <c r="N412" s="25"/>
      <c r="O412" s="25"/>
      <c r="P412" s="25"/>
      <c r="Q412" s="25"/>
      <c r="R412" s="25" t="str">
        <f>CONCATENATE('Ingest Template'!F411)</f>
        <v/>
      </c>
      <c r="S412" s="43" t="s">
        <v>160</v>
      </c>
      <c r="T412" s="25" t="str">
        <f>'Ingest Template'!W411</f>
        <v/>
      </c>
      <c r="U412" s="25"/>
      <c r="V412" s="25" t="str">
        <f>LOWER(SUBSTITUTE(SUBSTITUTE(SUBSTITUTE(SUBSTITUTE(SUBSTITUTE('Ingest Template'!Y411,"https:",""),"www.",""),"/",""),"?hl=en",""),"instagram.com",""))</f>
        <v/>
      </c>
      <c r="W412" s="34" t="str">
        <f>(IFERROR(vlookup('Ingest Template'!F412,DropDown!D:E,2,false)&amp;'Ingest Template'!C412,""))</f>
        <v/>
      </c>
      <c r="X412" s="25" t="str">
        <f>'Ingest Template'!AA411</f>
        <v/>
      </c>
      <c r="Y412" s="25"/>
      <c r="Z412" s="25"/>
      <c r="AA412" s="25"/>
      <c r="AB412" s="25" t="str">
        <f>'Ingest Template'!T411</f>
        <v/>
      </c>
      <c r="AC412" s="25"/>
      <c r="AD412" s="25" t="str">
        <f>'Ingest Template'!U411</f>
        <v/>
      </c>
      <c r="AE412" s="25" t="str">
        <f>'Ingest Template'!V411</f>
        <v/>
      </c>
      <c r="AF412" s="25"/>
      <c r="AG412" s="25" t="str">
        <f t="array" ref="AG412">IF('Ingest Template'!A411="Standard",(CONCATENATE(IF(ISBLANK('Ingest Template'!O411),"", 'Ingest Template'!O411&amp;"|DAR"),CHAR(10), IF(ISBLANK('Ingest Template'!P411),"", 'Ingest Template'!P411&amp;"|DAR"),CHAR(10), IF(ISBLANK('Ingest Template'!Q411),"", 'Ingest Template'!Q411&amp;"|DAR"))),(CONCATENATE(IF(ISBLANK('Ingest Template'!O411),"", 'Ingest Template'!O411&amp;"|Operations - Core Title"),CHAR(10), IF(ISBLANK('Ingest Template'!P411),"", 'Ingest Template'!P411&amp;"|Operations - Core Title"),CHAR(10), IF(ISBLANK('Ingest Template'!Q411),"", 'Ingest Template'!Q411&amp;"|Operations - Core Title"))))</f>
        <v>#|Operations - Core Title
#videoGame|Operations - Core Title
</v>
      </c>
      <c r="AH412" s="25"/>
      <c r="AI412" s="25"/>
      <c r="AJ412" s="50" t="str">
        <f>if('Ingest Template'!A411="Standard",'Ingest Template'!R411&amp; "|DAR|DAR|2021-01-01",'Ingest Template'!R411&amp; "|Operations - Core Title|Operations - Core Title")</f>
        <v>#N/A</v>
      </c>
      <c r="AK412" s="25"/>
      <c r="AL412" s="25" t="str">
        <f>if('Ingest Template'!A411="Standard",'Ingest Template'!S411&amp; "|2021-01-01",'Ingest Template'!S411)</f>
        <v>#N/A</v>
      </c>
      <c r="AM412" s="25"/>
    </row>
    <row r="413">
      <c r="A413" s="25"/>
      <c r="B413" s="25" t="str">
        <f>'Ingest Template'!C412&amp;IF('Ingest Template'!A412 = "Standard", " - DAR","")</f>
        <v/>
      </c>
      <c r="C413" s="34" t="s">
        <v>92</v>
      </c>
      <c r="D413" s="34" t="str">
        <f>CONCATENATE('Ingest Template'!E413&amp;Char(10)&amp;'Ingest Template'!G413&amp;Char(10)&amp;'Ingest Template'!H413&amp;Char(10)&amp;'Ingest Template'!I413&amp;Char(10)&amp;'Ingest Template'!J413&amp;Char(10)&amp;'Ingest Template'!K413&amp;Char(10)&amp;'Ingest Template'!L413)</f>
        <v>
</v>
      </c>
      <c r="E413" s="25" t="str">
        <f>('Ingest Template'!M413)</f>
        <v/>
      </c>
      <c r="F413" s="40" t="str">
        <f t="array" ref="F413">INDEX(DropDown!$J$2:$J$63,MATCH(1,COUNTIF(E413,DropDown!$I$2:$I$63),0))</f>
        <v>#N/A</v>
      </c>
      <c r="G413" s="25"/>
      <c r="H413" s="25"/>
      <c r="I413" s="25"/>
      <c r="J413" s="25" t="str">
        <f>'Ingest Template'!B413</f>
        <v/>
      </c>
      <c r="K413" s="25" t="str">
        <f>IF('Ingest Template'!A412="Standard",'Ingest Template'!N412,"Competitive View")</f>
        <v>Competitive View</v>
      </c>
      <c r="L413" s="41" t="s">
        <v>145</v>
      </c>
      <c r="M413" s="25" t="str">
        <f>'Ingest Template'!D412</f>
        <v/>
      </c>
      <c r="N413" s="25"/>
      <c r="O413" s="25"/>
      <c r="P413" s="25"/>
      <c r="Q413" s="25"/>
      <c r="R413" s="25" t="str">
        <f>CONCATENATE('Ingest Template'!F412)</f>
        <v/>
      </c>
      <c r="S413" s="43" t="s">
        <v>160</v>
      </c>
      <c r="T413" s="25" t="str">
        <f>'Ingest Template'!W412</f>
        <v/>
      </c>
      <c r="U413" s="25"/>
      <c r="V413" s="25" t="str">
        <f>LOWER(SUBSTITUTE(SUBSTITUTE(SUBSTITUTE(SUBSTITUTE(SUBSTITUTE('Ingest Template'!Y412,"https:",""),"www.",""),"/",""),"?hl=en",""),"instagram.com",""))</f>
        <v/>
      </c>
      <c r="W413" s="34" t="str">
        <f>(IFERROR(vlookup('Ingest Template'!F413,DropDown!D:E,2,false)&amp;'Ingest Template'!C413,""))</f>
        <v/>
      </c>
      <c r="X413" s="25" t="str">
        <f>'Ingest Template'!AA412</f>
        <v/>
      </c>
      <c r="Y413" s="25"/>
      <c r="Z413" s="25"/>
      <c r="AA413" s="25"/>
      <c r="AB413" s="25" t="str">
        <f>'Ingest Template'!T412</f>
        <v/>
      </c>
      <c r="AC413" s="25"/>
      <c r="AD413" s="25" t="str">
        <f>'Ingest Template'!U412</f>
        <v/>
      </c>
      <c r="AE413" s="25" t="str">
        <f>'Ingest Template'!V412</f>
        <v/>
      </c>
      <c r="AF413" s="25"/>
      <c r="AG413" s="25" t="str">
        <f t="array" ref="AG413">IF('Ingest Template'!A412="Standard",(CONCATENATE(IF(ISBLANK('Ingest Template'!O412),"", 'Ingest Template'!O412&amp;"|DAR"),CHAR(10), IF(ISBLANK('Ingest Template'!P412),"", 'Ingest Template'!P412&amp;"|DAR"),CHAR(10), IF(ISBLANK('Ingest Template'!Q412),"", 'Ingest Template'!Q412&amp;"|DAR"))),(CONCATENATE(IF(ISBLANK('Ingest Template'!O412),"", 'Ingest Template'!O412&amp;"|Operations - Core Title"),CHAR(10), IF(ISBLANK('Ingest Template'!P412),"", 'Ingest Template'!P412&amp;"|Operations - Core Title"),CHAR(10), IF(ISBLANK('Ingest Template'!Q412),"", 'Ingest Template'!Q412&amp;"|Operations - Core Title"))))</f>
        <v>#|Operations - Core Title
#videoGame|Operations - Core Title
</v>
      </c>
      <c r="AH413" s="25"/>
      <c r="AI413" s="25"/>
      <c r="AJ413" s="50" t="str">
        <f>if('Ingest Template'!A412="Standard",'Ingest Template'!R412&amp; "|DAR|DAR|2021-01-01",'Ingest Template'!R412&amp; "|Operations - Core Title|Operations - Core Title")</f>
        <v>#N/A</v>
      </c>
      <c r="AK413" s="25"/>
      <c r="AL413" s="25" t="str">
        <f>if('Ingest Template'!A412="Standard",'Ingest Template'!S412&amp; "|2021-01-01",'Ingest Template'!S412)</f>
        <v>#N/A</v>
      </c>
      <c r="AM413" s="25"/>
    </row>
    <row r="414">
      <c r="A414" s="25"/>
      <c r="B414" s="25" t="str">
        <f>'Ingest Template'!C413&amp;IF('Ingest Template'!A413 = "Standard", " - DAR","")</f>
        <v/>
      </c>
      <c r="C414" s="34" t="s">
        <v>92</v>
      </c>
      <c r="D414" s="34" t="str">
        <f>CONCATENATE('Ingest Template'!E414&amp;Char(10)&amp;'Ingest Template'!G414&amp;Char(10)&amp;'Ingest Template'!H414&amp;Char(10)&amp;'Ingest Template'!I414&amp;Char(10)&amp;'Ingest Template'!J414&amp;Char(10)&amp;'Ingest Template'!K414&amp;Char(10)&amp;'Ingest Template'!L414)</f>
        <v>
</v>
      </c>
      <c r="E414" s="25" t="str">
        <f>('Ingest Template'!M414)</f>
        <v/>
      </c>
      <c r="F414" s="40" t="str">
        <f t="array" ref="F414">INDEX(DropDown!$J$2:$J$63,MATCH(1,COUNTIF(E414,DropDown!$I$2:$I$63),0))</f>
        <v>#N/A</v>
      </c>
      <c r="G414" s="25"/>
      <c r="H414" s="25"/>
      <c r="I414" s="25"/>
      <c r="J414" s="25" t="str">
        <f>'Ingest Template'!B414</f>
        <v/>
      </c>
      <c r="K414" s="25" t="str">
        <f>IF('Ingest Template'!A413="Standard",'Ingest Template'!N413,"Competitive View")</f>
        <v>Competitive View</v>
      </c>
      <c r="L414" s="41" t="s">
        <v>145</v>
      </c>
      <c r="M414" s="25" t="str">
        <f>'Ingest Template'!D413</f>
        <v/>
      </c>
      <c r="N414" s="25"/>
      <c r="O414" s="25"/>
      <c r="P414" s="25"/>
      <c r="Q414" s="25"/>
      <c r="R414" s="25" t="str">
        <f>CONCATENATE('Ingest Template'!F413)</f>
        <v/>
      </c>
      <c r="S414" s="43" t="s">
        <v>160</v>
      </c>
      <c r="T414" s="25" t="str">
        <f>'Ingest Template'!W413</f>
        <v/>
      </c>
      <c r="U414" s="25"/>
      <c r="V414" s="25" t="str">
        <f>LOWER(SUBSTITUTE(SUBSTITUTE(SUBSTITUTE(SUBSTITUTE(SUBSTITUTE('Ingest Template'!Y413,"https:",""),"www.",""),"/",""),"?hl=en",""),"instagram.com",""))</f>
        <v/>
      </c>
      <c r="W414" s="34" t="str">
        <f>(IFERROR(vlookup('Ingest Template'!F414,DropDown!D:E,2,false)&amp;'Ingest Template'!C414,""))</f>
        <v/>
      </c>
      <c r="X414" s="25" t="str">
        <f>'Ingest Template'!AA413</f>
        <v/>
      </c>
      <c r="Y414" s="25"/>
      <c r="Z414" s="25"/>
      <c r="AA414" s="25"/>
      <c r="AB414" s="25" t="str">
        <f>'Ingest Template'!T413</f>
        <v/>
      </c>
      <c r="AC414" s="25"/>
      <c r="AD414" s="25" t="str">
        <f>'Ingest Template'!U413</f>
        <v/>
      </c>
      <c r="AE414" s="25" t="str">
        <f>'Ingest Template'!V413</f>
        <v/>
      </c>
      <c r="AF414" s="25"/>
      <c r="AG414" s="25" t="str">
        <f t="array" ref="AG414">IF('Ingest Template'!A413="Standard",(CONCATENATE(IF(ISBLANK('Ingest Template'!O413),"", 'Ingest Template'!O413&amp;"|DAR"),CHAR(10), IF(ISBLANK('Ingest Template'!P413),"", 'Ingest Template'!P413&amp;"|DAR"),CHAR(10), IF(ISBLANK('Ingest Template'!Q413),"", 'Ingest Template'!Q413&amp;"|DAR"))),(CONCATENATE(IF(ISBLANK('Ingest Template'!O413),"", 'Ingest Template'!O413&amp;"|Operations - Core Title"),CHAR(10), IF(ISBLANK('Ingest Template'!P413),"", 'Ingest Template'!P413&amp;"|Operations - Core Title"),CHAR(10), IF(ISBLANK('Ingest Template'!Q413),"", 'Ingest Template'!Q413&amp;"|Operations - Core Title"))))</f>
        <v>#|Operations - Core Title
#videoGame|Operations - Core Title
</v>
      </c>
      <c r="AH414" s="25"/>
      <c r="AI414" s="25"/>
      <c r="AJ414" s="50" t="str">
        <f>if('Ingest Template'!A413="Standard",'Ingest Template'!R413&amp; "|DAR|DAR|2021-01-01",'Ingest Template'!R413&amp; "|Operations - Core Title|Operations - Core Title")</f>
        <v>#N/A</v>
      </c>
      <c r="AK414" s="25"/>
      <c r="AL414" s="25" t="str">
        <f>if('Ingest Template'!A413="Standard",'Ingest Template'!S413&amp; "|2021-01-01",'Ingest Template'!S413)</f>
        <v>#N/A</v>
      </c>
      <c r="AM414" s="25"/>
    </row>
    <row r="415">
      <c r="A415" s="25"/>
      <c r="B415" s="25" t="str">
        <f>'Ingest Template'!C414&amp;IF('Ingest Template'!A414 = "Standard", " - DAR","")</f>
        <v/>
      </c>
      <c r="C415" s="34" t="s">
        <v>92</v>
      </c>
      <c r="D415" s="34" t="str">
        <f>CONCATENATE('Ingest Template'!E415&amp;Char(10)&amp;'Ingest Template'!G415&amp;Char(10)&amp;'Ingest Template'!H415&amp;Char(10)&amp;'Ingest Template'!I415&amp;Char(10)&amp;'Ingest Template'!J415&amp;Char(10)&amp;'Ingest Template'!K415&amp;Char(10)&amp;'Ingest Template'!L415)</f>
        <v>
</v>
      </c>
      <c r="E415" s="25" t="str">
        <f>('Ingest Template'!M415)</f>
        <v/>
      </c>
      <c r="F415" s="40" t="str">
        <f t="array" ref="F415">INDEX(DropDown!$J$2:$J$63,MATCH(1,COUNTIF(E415,DropDown!$I$2:$I$63),0))</f>
        <v>#N/A</v>
      </c>
      <c r="G415" s="25"/>
      <c r="H415" s="25"/>
      <c r="I415" s="25"/>
      <c r="J415" s="25" t="str">
        <f>'Ingest Template'!B415</f>
        <v/>
      </c>
      <c r="K415" s="25" t="str">
        <f>IF('Ingest Template'!A414="Standard",'Ingest Template'!N414,"Competitive View")</f>
        <v>Competitive View</v>
      </c>
      <c r="L415" s="41" t="s">
        <v>145</v>
      </c>
      <c r="M415" s="25" t="str">
        <f>'Ingest Template'!D414</f>
        <v/>
      </c>
      <c r="N415" s="25"/>
      <c r="O415" s="25"/>
      <c r="P415" s="25"/>
      <c r="Q415" s="25"/>
      <c r="R415" s="25" t="str">
        <f>CONCATENATE('Ingest Template'!F414)</f>
        <v/>
      </c>
      <c r="S415" s="43" t="s">
        <v>160</v>
      </c>
      <c r="T415" s="25" t="str">
        <f>'Ingest Template'!W414</f>
        <v/>
      </c>
      <c r="U415" s="25"/>
      <c r="V415" s="25" t="str">
        <f>LOWER(SUBSTITUTE(SUBSTITUTE(SUBSTITUTE(SUBSTITUTE(SUBSTITUTE('Ingest Template'!Y414,"https:",""),"www.",""),"/",""),"?hl=en",""),"instagram.com",""))</f>
        <v/>
      </c>
      <c r="W415" s="34" t="str">
        <f>(IFERROR(vlookup('Ingest Template'!F415,DropDown!D:E,2,false)&amp;'Ingest Template'!C415,""))</f>
        <v/>
      </c>
      <c r="X415" s="25" t="str">
        <f>'Ingest Template'!AA414</f>
        <v/>
      </c>
      <c r="Y415" s="25"/>
      <c r="Z415" s="25"/>
      <c r="AA415" s="25"/>
      <c r="AB415" s="25" t="str">
        <f>'Ingest Template'!T414</f>
        <v/>
      </c>
      <c r="AC415" s="25"/>
      <c r="AD415" s="25" t="str">
        <f>'Ingest Template'!U414</f>
        <v/>
      </c>
      <c r="AE415" s="25" t="str">
        <f>'Ingest Template'!V414</f>
        <v/>
      </c>
      <c r="AF415" s="25"/>
      <c r="AG415" s="25" t="str">
        <f t="array" ref="AG415">IF('Ingest Template'!A414="Standard",(CONCATENATE(IF(ISBLANK('Ingest Template'!O414),"", 'Ingest Template'!O414&amp;"|DAR"),CHAR(10), IF(ISBLANK('Ingest Template'!P414),"", 'Ingest Template'!P414&amp;"|DAR"),CHAR(10), IF(ISBLANK('Ingest Template'!Q414),"", 'Ingest Template'!Q414&amp;"|DAR"))),(CONCATENATE(IF(ISBLANK('Ingest Template'!O414),"", 'Ingest Template'!O414&amp;"|Operations - Core Title"),CHAR(10), IF(ISBLANK('Ingest Template'!P414),"", 'Ingest Template'!P414&amp;"|Operations - Core Title"),CHAR(10), IF(ISBLANK('Ingest Template'!Q414),"", 'Ingest Template'!Q414&amp;"|Operations - Core Title"))))</f>
        <v>#|Operations - Core Title
#videoGame|Operations - Core Title
</v>
      </c>
      <c r="AH415" s="25"/>
      <c r="AI415" s="25"/>
      <c r="AJ415" s="50" t="str">
        <f>if('Ingest Template'!A414="Standard",'Ingest Template'!R414&amp; "|DAR|DAR|2021-01-01",'Ingest Template'!R414&amp; "|Operations - Core Title|Operations - Core Title")</f>
        <v>#N/A</v>
      </c>
      <c r="AK415" s="25"/>
      <c r="AL415" s="25" t="str">
        <f>if('Ingest Template'!A414="Standard",'Ingest Template'!S414&amp; "|2021-01-01",'Ingest Template'!S414)</f>
        <v>#N/A</v>
      </c>
      <c r="AM415" s="25"/>
    </row>
    <row r="416">
      <c r="A416" s="25"/>
      <c r="B416" s="25" t="str">
        <f>'Ingest Template'!C415&amp;IF('Ingest Template'!A415 = "Standard", " - DAR","")</f>
        <v/>
      </c>
      <c r="C416" s="34" t="s">
        <v>92</v>
      </c>
      <c r="D416" s="34" t="str">
        <f>CONCATENATE('Ingest Template'!E416&amp;Char(10)&amp;'Ingest Template'!G416&amp;Char(10)&amp;'Ingest Template'!H416&amp;Char(10)&amp;'Ingest Template'!I416&amp;Char(10)&amp;'Ingest Template'!J416&amp;Char(10)&amp;'Ingest Template'!K416&amp;Char(10)&amp;'Ingest Template'!L416)</f>
        <v>
</v>
      </c>
      <c r="E416" s="25" t="str">
        <f>('Ingest Template'!M416)</f>
        <v/>
      </c>
      <c r="F416" s="40" t="str">
        <f t="array" ref="F416">INDEX(DropDown!$J$2:$J$63,MATCH(1,COUNTIF(E416,DropDown!$I$2:$I$63),0))</f>
        <v>#N/A</v>
      </c>
      <c r="G416" s="25"/>
      <c r="H416" s="25"/>
      <c r="I416" s="25"/>
      <c r="J416" s="25" t="str">
        <f>'Ingest Template'!B416</f>
        <v/>
      </c>
      <c r="K416" s="25" t="str">
        <f>IF('Ingest Template'!A415="Standard",'Ingest Template'!N415,"Competitive View")</f>
        <v>Competitive View</v>
      </c>
      <c r="L416" s="41" t="s">
        <v>145</v>
      </c>
      <c r="M416" s="25" t="str">
        <f>'Ingest Template'!D415</f>
        <v/>
      </c>
      <c r="N416" s="25"/>
      <c r="O416" s="25"/>
      <c r="P416" s="25"/>
      <c r="Q416" s="25"/>
      <c r="R416" s="25" t="str">
        <f>CONCATENATE('Ingest Template'!F415)</f>
        <v/>
      </c>
      <c r="S416" s="43" t="s">
        <v>160</v>
      </c>
      <c r="T416" s="25" t="str">
        <f>'Ingest Template'!W415</f>
        <v/>
      </c>
      <c r="U416" s="25"/>
      <c r="V416" s="25" t="str">
        <f>LOWER(SUBSTITUTE(SUBSTITUTE(SUBSTITUTE(SUBSTITUTE(SUBSTITUTE('Ingest Template'!Y415,"https:",""),"www.",""),"/",""),"?hl=en",""),"instagram.com",""))</f>
        <v/>
      </c>
      <c r="W416" s="34" t="str">
        <f>(IFERROR(vlookup('Ingest Template'!F416,DropDown!D:E,2,false)&amp;'Ingest Template'!C416,""))</f>
        <v/>
      </c>
      <c r="X416" s="25" t="str">
        <f>'Ingest Template'!AA415</f>
        <v/>
      </c>
      <c r="Y416" s="25"/>
      <c r="Z416" s="25"/>
      <c r="AA416" s="25"/>
      <c r="AB416" s="25" t="str">
        <f>'Ingest Template'!T415</f>
        <v/>
      </c>
      <c r="AC416" s="25"/>
      <c r="AD416" s="25" t="str">
        <f>'Ingest Template'!U415</f>
        <v/>
      </c>
      <c r="AE416" s="25" t="str">
        <f>'Ingest Template'!V415</f>
        <v/>
      </c>
      <c r="AF416" s="25"/>
      <c r="AG416" s="25" t="str">
        <f t="array" ref="AG416">IF('Ingest Template'!A415="Standard",(CONCATENATE(IF(ISBLANK('Ingest Template'!O415),"", 'Ingest Template'!O415&amp;"|DAR"),CHAR(10), IF(ISBLANK('Ingest Template'!P415),"", 'Ingest Template'!P415&amp;"|DAR"),CHAR(10), IF(ISBLANK('Ingest Template'!Q415),"", 'Ingest Template'!Q415&amp;"|DAR"))),(CONCATENATE(IF(ISBLANK('Ingest Template'!O415),"", 'Ingest Template'!O415&amp;"|Operations - Core Title"),CHAR(10), IF(ISBLANK('Ingest Template'!P415),"", 'Ingest Template'!P415&amp;"|Operations - Core Title"),CHAR(10), IF(ISBLANK('Ingest Template'!Q415),"", 'Ingest Template'!Q415&amp;"|Operations - Core Title"))))</f>
        <v>#|Operations - Core Title
#videoGame|Operations - Core Title
</v>
      </c>
      <c r="AH416" s="25"/>
      <c r="AI416" s="25"/>
      <c r="AJ416" s="50" t="str">
        <f>if('Ingest Template'!A415="Standard",'Ingest Template'!R415&amp; "|DAR|DAR|2021-01-01",'Ingest Template'!R415&amp; "|Operations - Core Title|Operations - Core Title")</f>
        <v>#N/A</v>
      </c>
      <c r="AK416" s="25"/>
      <c r="AL416" s="25" t="str">
        <f>if('Ingest Template'!A415="Standard",'Ingest Template'!S415&amp; "|2021-01-01",'Ingest Template'!S415)</f>
        <v>#N/A</v>
      </c>
      <c r="AM416" s="25"/>
    </row>
    <row r="417">
      <c r="A417" s="25"/>
      <c r="B417" s="25" t="str">
        <f>'Ingest Template'!C416&amp;IF('Ingest Template'!A416 = "Standard", " - DAR","")</f>
        <v/>
      </c>
      <c r="C417" s="34" t="s">
        <v>92</v>
      </c>
      <c r="D417" s="34" t="str">
        <f>CONCATENATE('Ingest Template'!E417&amp;Char(10)&amp;'Ingest Template'!G417&amp;Char(10)&amp;'Ingest Template'!H417&amp;Char(10)&amp;'Ingest Template'!I417&amp;Char(10)&amp;'Ingest Template'!J417&amp;Char(10)&amp;'Ingest Template'!K417&amp;Char(10)&amp;'Ingest Template'!L417)</f>
        <v>
</v>
      </c>
      <c r="E417" s="25" t="str">
        <f>('Ingest Template'!M417)</f>
        <v/>
      </c>
      <c r="F417" s="40" t="str">
        <f t="array" ref="F417">INDEX(DropDown!$J$2:$J$63,MATCH(1,COUNTIF(E417,DropDown!$I$2:$I$63),0))</f>
        <v>#N/A</v>
      </c>
      <c r="G417" s="25"/>
      <c r="H417" s="25"/>
      <c r="I417" s="25"/>
      <c r="J417" s="25" t="str">
        <f>'Ingest Template'!B417</f>
        <v/>
      </c>
      <c r="K417" s="25" t="str">
        <f>IF('Ingest Template'!A416="Standard",'Ingest Template'!N416,"Competitive View")</f>
        <v>Competitive View</v>
      </c>
      <c r="L417" s="41" t="s">
        <v>145</v>
      </c>
      <c r="M417" s="25" t="str">
        <f>'Ingest Template'!D416</f>
        <v/>
      </c>
      <c r="N417" s="25"/>
      <c r="O417" s="25"/>
      <c r="P417" s="25"/>
      <c r="Q417" s="25"/>
      <c r="R417" s="25" t="str">
        <f>CONCATENATE('Ingest Template'!F416)</f>
        <v/>
      </c>
      <c r="S417" s="43" t="s">
        <v>160</v>
      </c>
      <c r="T417" s="25" t="str">
        <f>'Ingest Template'!W416</f>
        <v/>
      </c>
      <c r="U417" s="25"/>
      <c r="V417" s="25" t="str">
        <f>LOWER(SUBSTITUTE(SUBSTITUTE(SUBSTITUTE(SUBSTITUTE(SUBSTITUTE('Ingest Template'!Y416,"https:",""),"www.",""),"/",""),"?hl=en",""),"instagram.com",""))</f>
        <v/>
      </c>
      <c r="W417" s="34" t="str">
        <f>(IFERROR(vlookup('Ingest Template'!F417,DropDown!D:E,2,false)&amp;'Ingest Template'!C417,""))</f>
        <v/>
      </c>
      <c r="X417" s="25" t="str">
        <f>'Ingest Template'!AA416</f>
        <v/>
      </c>
      <c r="Y417" s="25"/>
      <c r="Z417" s="25"/>
      <c r="AA417" s="25"/>
      <c r="AB417" s="25" t="str">
        <f>'Ingest Template'!T416</f>
        <v/>
      </c>
      <c r="AC417" s="25"/>
      <c r="AD417" s="25" t="str">
        <f>'Ingest Template'!U416</f>
        <v/>
      </c>
      <c r="AE417" s="25" t="str">
        <f>'Ingest Template'!V416</f>
        <v/>
      </c>
      <c r="AF417" s="25"/>
      <c r="AG417" s="25" t="str">
        <f t="array" ref="AG417">IF('Ingest Template'!A416="Standard",(CONCATENATE(IF(ISBLANK('Ingest Template'!O416),"", 'Ingest Template'!O416&amp;"|DAR"),CHAR(10), IF(ISBLANK('Ingest Template'!P416),"", 'Ingest Template'!P416&amp;"|DAR"),CHAR(10), IF(ISBLANK('Ingest Template'!Q416),"", 'Ingest Template'!Q416&amp;"|DAR"))),(CONCATENATE(IF(ISBLANK('Ingest Template'!O416),"", 'Ingest Template'!O416&amp;"|Operations - Core Title"),CHAR(10), IF(ISBLANK('Ingest Template'!P416),"", 'Ingest Template'!P416&amp;"|Operations - Core Title"),CHAR(10), IF(ISBLANK('Ingest Template'!Q416),"", 'Ingest Template'!Q416&amp;"|Operations - Core Title"))))</f>
        <v>#|Operations - Core Title
#videoGame|Operations - Core Title
</v>
      </c>
      <c r="AH417" s="25"/>
      <c r="AI417" s="25"/>
      <c r="AJ417" s="50" t="str">
        <f>if('Ingest Template'!A416="Standard",'Ingest Template'!R416&amp; "|DAR|DAR|2021-01-01",'Ingest Template'!R416&amp; "|Operations - Core Title|Operations - Core Title")</f>
        <v>#N/A</v>
      </c>
      <c r="AK417" s="25"/>
      <c r="AL417" s="25" t="str">
        <f>if('Ingest Template'!A416="Standard",'Ingest Template'!S416&amp; "|2021-01-01",'Ingest Template'!S416)</f>
        <v>#N/A</v>
      </c>
      <c r="AM417" s="25"/>
    </row>
    <row r="418">
      <c r="A418" s="25"/>
      <c r="B418" s="25" t="str">
        <f>'Ingest Template'!C417&amp;IF('Ingest Template'!A417 = "Standard", " - DAR","")</f>
        <v/>
      </c>
      <c r="C418" s="34" t="s">
        <v>92</v>
      </c>
      <c r="D418" s="34" t="str">
        <f>CONCATENATE('Ingest Template'!E418&amp;Char(10)&amp;'Ingest Template'!G418&amp;Char(10)&amp;'Ingest Template'!H418&amp;Char(10)&amp;'Ingest Template'!I418&amp;Char(10)&amp;'Ingest Template'!J418&amp;Char(10)&amp;'Ingest Template'!K418&amp;Char(10)&amp;'Ingest Template'!L418)</f>
        <v>
</v>
      </c>
      <c r="E418" s="25" t="str">
        <f>('Ingest Template'!M418)</f>
        <v/>
      </c>
      <c r="F418" s="40" t="str">
        <f t="array" ref="F418">INDEX(DropDown!$J$2:$J$63,MATCH(1,COUNTIF(E418,DropDown!$I$2:$I$63),0))</f>
        <v>#N/A</v>
      </c>
      <c r="G418" s="25"/>
      <c r="H418" s="25"/>
      <c r="I418" s="25"/>
      <c r="J418" s="25" t="str">
        <f>'Ingest Template'!B418</f>
        <v/>
      </c>
      <c r="K418" s="25" t="str">
        <f>IF('Ingest Template'!A417="Standard",'Ingest Template'!N417,"Competitive View")</f>
        <v>Competitive View</v>
      </c>
      <c r="L418" s="41" t="s">
        <v>145</v>
      </c>
      <c r="M418" s="25" t="str">
        <f>'Ingest Template'!D417</f>
        <v/>
      </c>
      <c r="N418" s="25"/>
      <c r="O418" s="25"/>
      <c r="P418" s="25"/>
      <c r="Q418" s="25"/>
      <c r="R418" s="25" t="str">
        <f>CONCATENATE('Ingest Template'!F417)</f>
        <v/>
      </c>
      <c r="S418" s="43" t="s">
        <v>160</v>
      </c>
      <c r="T418" s="25" t="str">
        <f>'Ingest Template'!W417</f>
        <v/>
      </c>
      <c r="U418" s="25"/>
      <c r="V418" s="25" t="str">
        <f>LOWER(SUBSTITUTE(SUBSTITUTE(SUBSTITUTE(SUBSTITUTE(SUBSTITUTE('Ingest Template'!Y417,"https:",""),"www.",""),"/",""),"?hl=en",""),"instagram.com",""))</f>
        <v/>
      </c>
      <c r="W418" s="34" t="str">
        <f>(IFERROR(vlookup('Ingest Template'!F418,DropDown!D:E,2,false)&amp;'Ingest Template'!C418,""))</f>
        <v/>
      </c>
      <c r="X418" s="25" t="str">
        <f>'Ingest Template'!AA417</f>
        <v/>
      </c>
      <c r="Y418" s="25"/>
      <c r="Z418" s="25"/>
      <c r="AA418" s="25"/>
      <c r="AB418" s="25" t="str">
        <f>'Ingest Template'!T417</f>
        <v/>
      </c>
      <c r="AC418" s="25"/>
      <c r="AD418" s="25" t="str">
        <f>'Ingest Template'!U417</f>
        <v/>
      </c>
      <c r="AE418" s="25" t="str">
        <f>'Ingest Template'!V417</f>
        <v/>
      </c>
      <c r="AF418" s="25"/>
      <c r="AG418" s="25" t="str">
        <f t="array" ref="AG418">IF('Ingest Template'!A417="Standard",(CONCATENATE(IF(ISBLANK('Ingest Template'!O417),"", 'Ingest Template'!O417&amp;"|DAR"),CHAR(10), IF(ISBLANK('Ingest Template'!P417),"", 'Ingest Template'!P417&amp;"|DAR"),CHAR(10), IF(ISBLANK('Ingest Template'!Q417),"", 'Ingest Template'!Q417&amp;"|DAR"))),(CONCATENATE(IF(ISBLANK('Ingest Template'!O417),"", 'Ingest Template'!O417&amp;"|Operations - Core Title"),CHAR(10), IF(ISBLANK('Ingest Template'!P417),"", 'Ingest Template'!P417&amp;"|Operations - Core Title"),CHAR(10), IF(ISBLANK('Ingest Template'!Q417),"", 'Ingest Template'!Q417&amp;"|Operations - Core Title"))))</f>
        <v>#|Operations - Core Title
#videoGame|Operations - Core Title
</v>
      </c>
      <c r="AH418" s="25"/>
      <c r="AI418" s="25"/>
      <c r="AJ418" s="50" t="str">
        <f>if('Ingest Template'!A417="Standard",'Ingest Template'!R417&amp; "|DAR|DAR|2021-01-01",'Ingest Template'!R417&amp; "|Operations - Core Title|Operations - Core Title")</f>
        <v>#N/A</v>
      </c>
      <c r="AK418" s="25"/>
      <c r="AL418" s="25" t="str">
        <f>if('Ingest Template'!A417="Standard",'Ingest Template'!S417&amp; "|2021-01-01",'Ingest Template'!S417)</f>
        <v>#N/A</v>
      </c>
      <c r="AM418" s="25"/>
    </row>
    <row r="419">
      <c r="A419" s="25"/>
      <c r="B419" s="25" t="str">
        <f>'Ingest Template'!C418&amp;IF('Ingest Template'!A418 = "Standard", " - DAR","")</f>
        <v/>
      </c>
      <c r="C419" s="34" t="s">
        <v>92</v>
      </c>
      <c r="D419" s="34" t="str">
        <f>CONCATENATE('Ingest Template'!E419&amp;Char(10)&amp;'Ingest Template'!G419&amp;Char(10)&amp;'Ingest Template'!H419&amp;Char(10)&amp;'Ingest Template'!I419&amp;Char(10)&amp;'Ingest Template'!J419&amp;Char(10)&amp;'Ingest Template'!K419&amp;Char(10)&amp;'Ingest Template'!L419)</f>
        <v>
</v>
      </c>
      <c r="E419" s="25" t="str">
        <f>('Ingest Template'!M419)</f>
        <v/>
      </c>
      <c r="F419" s="40" t="str">
        <f t="array" ref="F419">INDEX(DropDown!$J$2:$J$63,MATCH(1,COUNTIF(E419,DropDown!$I$2:$I$63),0))</f>
        <v>#N/A</v>
      </c>
      <c r="G419" s="25"/>
      <c r="H419" s="25"/>
      <c r="I419" s="25"/>
      <c r="J419" s="25" t="str">
        <f>'Ingest Template'!B419</f>
        <v/>
      </c>
      <c r="K419" s="25" t="str">
        <f>IF('Ingest Template'!A418="Standard",'Ingest Template'!N418,"Competitive View")</f>
        <v>Competitive View</v>
      </c>
      <c r="L419" s="41" t="s">
        <v>145</v>
      </c>
      <c r="M419" s="25" t="str">
        <f>'Ingest Template'!D418</f>
        <v/>
      </c>
      <c r="N419" s="25"/>
      <c r="O419" s="25"/>
      <c r="P419" s="25"/>
      <c r="Q419" s="25"/>
      <c r="R419" s="25" t="str">
        <f>CONCATENATE('Ingest Template'!F418)</f>
        <v/>
      </c>
      <c r="S419" s="43" t="s">
        <v>160</v>
      </c>
      <c r="T419" s="25" t="str">
        <f>'Ingest Template'!W418</f>
        <v/>
      </c>
      <c r="U419" s="25"/>
      <c r="V419" s="25" t="str">
        <f>LOWER(SUBSTITUTE(SUBSTITUTE(SUBSTITUTE(SUBSTITUTE(SUBSTITUTE('Ingest Template'!Y418,"https:",""),"www.",""),"/",""),"?hl=en",""),"instagram.com",""))</f>
        <v/>
      </c>
      <c r="W419" s="34" t="str">
        <f>(IFERROR(vlookup('Ingest Template'!F419,DropDown!D:E,2,false)&amp;'Ingest Template'!C419,""))</f>
        <v/>
      </c>
      <c r="X419" s="25" t="str">
        <f>'Ingest Template'!AA418</f>
        <v/>
      </c>
      <c r="Y419" s="25"/>
      <c r="Z419" s="25"/>
      <c r="AA419" s="25"/>
      <c r="AB419" s="25" t="str">
        <f>'Ingest Template'!T418</f>
        <v/>
      </c>
      <c r="AC419" s="25"/>
      <c r="AD419" s="25" t="str">
        <f>'Ingest Template'!U418</f>
        <v/>
      </c>
      <c r="AE419" s="25" t="str">
        <f>'Ingest Template'!V418</f>
        <v/>
      </c>
      <c r="AF419" s="25"/>
      <c r="AG419" s="25" t="str">
        <f t="array" ref="AG419">IF('Ingest Template'!A418="Standard",(CONCATENATE(IF(ISBLANK('Ingest Template'!O418),"", 'Ingest Template'!O418&amp;"|DAR"),CHAR(10), IF(ISBLANK('Ingest Template'!P418),"", 'Ingest Template'!P418&amp;"|DAR"),CHAR(10), IF(ISBLANK('Ingest Template'!Q418),"", 'Ingest Template'!Q418&amp;"|DAR"))),(CONCATENATE(IF(ISBLANK('Ingest Template'!O418),"", 'Ingest Template'!O418&amp;"|Operations - Core Title"),CHAR(10), IF(ISBLANK('Ingest Template'!P418),"", 'Ingest Template'!P418&amp;"|Operations - Core Title"),CHAR(10), IF(ISBLANK('Ingest Template'!Q418),"", 'Ingest Template'!Q418&amp;"|Operations - Core Title"))))</f>
        <v>#|Operations - Core Title
#videoGame|Operations - Core Title
</v>
      </c>
      <c r="AH419" s="25"/>
      <c r="AI419" s="25"/>
      <c r="AJ419" s="50" t="str">
        <f>if('Ingest Template'!A418="Standard",'Ingest Template'!R418&amp; "|DAR|DAR|2021-01-01",'Ingest Template'!R418&amp; "|Operations - Core Title|Operations - Core Title")</f>
        <v>#N/A</v>
      </c>
      <c r="AK419" s="25"/>
      <c r="AL419" s="25" t="str">
        <f>if('Ingest Template'!A418="Standard",'Ingest Template'!S418&amp; "|2021-01-01",'Ingest Template'!S418)</f>
        <v>#N/A</v>
      </c>
      <c r="AM419" s="25"/>
    </row>
    <row r="420">
      <c r="A420" s="25"/>
      <c r="B420" s="25" t="str">
        <f>'Ingest Template'!C419&amp;IF('Ingest Template'!A419 = "Standard", " - DAR","")</f>
        <v/>
      </c>
      <c r="C420" s="34" t="s">
        <v>92</v>
      </c>
      <c r="D420" s="34" t="str">
        <f>CONCATENATE('Ingest Template'!E420&amp;Char(10)&amp;'Ingest Template'!G420&amp;Char(10)&amp;'Ingest Template'!H420&amp;Char(10)&amp;'Ingest Template'!I420&amp;Char(10)&amp;'Ingest Template'!J420&amp;Char(10)&amp;'Ingest Template'!K420&amp;Char(10)&amp;'Ingest Template'!L420)</f>
        <v>
</v>
      </c>
      <c r="E420" s="25" t="str">
        <f>('Ingest Template'!M420)</f>
        <v/>
      </c>
      <c r="F420" s="40" t="str">
        <f t="array" ref="F420">INDEX(DropDown!$J$2:$J$63,MATCH(1,COUNTIF(E420,DropDown!$I$2:$I$63),0))</f>
        <v>#N/A</v>
      </c>
      <c r="G420" s="25"/>
      <c r="H420" s="25"/>
      <c r="I420" s="25"/>
      <c r="J420" s="25" t="str">
        <f>'Ingest Template'!B420</f>
        <v/>
      </c>
      <c r="K420" s="25" t="str">
        <f>IF('Ingest Template'!A419="Standard",'Ingest Template'!N419,"Competitive View")</f>
        <v>Competitive View</v>
      </c>
      <c r="L420" s="41" t="s">
        <v>145</v>
      </c>
      <c r="M420" s="25" t="str">
        <f>'Ingest Template'!D419</f>
        <v/>
      </c>
      <c r="N420" s="25"/>
      <c r="O420" s="25"/>
      <c r="P420" s="25"/>
      <c r="Q420" s="25"/>
      <c r="R420" s="25" t="str">
        <f>CONCATENATE('Ingest Template'!F419)</f>
        <v/>
      </c>
      <c r="S420" s="43" t="s">
        <v>160</v>
      </c>
      <c r="T420" s="25" t="str">
        <f>'Ingest Template'!W419</f>
        <v/>
      </c>
      <c r="U420" s="25"/>
      <c r="V420" s="25" t="str">
        <f>LOWER(SUBSTITUTE(SUBSTITUTE(SUBSTITUTE(SUBSTITUTE(SUBSTITUTE('Ingest Template'!Y419,"https:",""),"www.",""),"/",""),"?hl=en",""),"instagram.com",""))</f>
        <v/>
      </c>
      <c r="W420" s="34" t="str">
        <f>(IFERROR(vlookup('Ingest Template'!F420,DropDown!D:E,2,false)&amp;'Ingest Template'!C420,""))</f>
        <v/>
      </c>
      <c r="X420" s="25" t="str">
        <f>'Ingest Template'!AA419</f>
        <v/>
      </c>
      <c r="Y420" s="25"/>
      <c r="Z420" s="25"/>
      <c r="AA420" s="25"/>
      <c r="AB420" s="25" t="str">
        <f>'Ingest Template'!T419</f>
        <v/>
      </c>
      <c r="AC420" s="25"/>
      <c r="AD420" s="25" t="str">
        <f>'Ingest Template'!U419</f>
        <v/>
      </c>
      <c r="AE420" s="25" t="str">
        <f>'Ingest Template'!V419</f>
        <v/>
      </c>
      <c r="AF420" s="25"/>
      <c r="AG420" s="25" t="str">
        <f t="array" ref="AG420">IF('Ingest Template'!A419="Standard",(CONCATENATE(IF(ISBLANK('Ingest Template'!O419),"", 'Ingest Template'!O419&amp;"|DAR"),CHAR(10), IF(ISBLANK('Ingest Template'!P419),"", 'Ingest Template'!P419&amp;"|DAR"),CHAR(10), IF(ISBLANK('Ingest Template'!Q419),"", 'Ingest Template'!Q419&amp;"|DAR"))),(CONCATENATE(IF(ISBLANK('Ingest Template'!O419),"", 'Ingest Template'!O419&amp;"|Operations - Core Title"),CHAR(10), IF(ISBLANK('Ingest Template'!P419),"", 'Ingest Template'!P419&amp;"|Operations - Core Title"),CHAR(10), IF(ISBLANK('Ingest Template'!Q419),"", 'Ingest Template'!Q419&amp;"|Operations - Core Title"))))</f>
        <v>#|Operations - Core Title
#videoGame|Operations - Core Title
</v>
      </c>
      <c r="AH420" s="25"/>
      <c r="AI420" s="25"/>
      <c r="AJ420" s="50" t="str">
        <f>if('Ingest Template'!A419="Standard",'Ingest Template'!R419&amp; "|DAR|DAR|2021-01-01",'Ingest Template'!R419&amp; "|Operations - Core Title|Operations - Core Title")</f>
        <v>#N/A</v>
      </c>
      <c r="AK420" s="25"/>
      <c r="AL420" s="25" t="str">
        <f>if('Ingest Template'!A419="Standard",'Ingest Template'!S419&amp; "|2021-01-01",'Ingest Template'!S419)</f>
        <v>#N/A</v>
      </c>
      <c r="AM420" s="25"/>
    </row>
    <row r="421">
      <c r="A421" s="25"/>
      <c r="B421" s="25" t="str">
        <f>'Ingest Template'!C420&amp;IF('Ingest Template'!A420 = "Standard", " - DAR","")</f>
        <v/>
      </c>
      <c r="C421" s="34" t="s">
        <v>92</v>
      </c>
      <c r="D421" s="34" t="str">
        <f>CONCATENATE('Ingest Template'!E421&amp;Char(10)&amp;'Ingest Template'!G421&amp;Char(10)&amp;'Ingest Template'!H421&amp;Char(10)&amp;'Ingest Template'!I421&amp;Char(10)&amp;'Ingest Template'!J421&amp;Char(10)&amp;'Ingest Template'!K421&amp;Char(10)&amp;'Ingest Template'!L421)</f>
        <v>
</v>
      </c>
      <c r="E421" s="25" t="str">
        <f>('Ingest Template'!M421)</f>
        <v/>
      </c>
      <c r="F421" s="40" t="str">
        <f t="array" ref="F421">INDEX(DropDown!$J$2:$J$63,MATCH(1,COUNTIF(E421,DropDown!$I$2:$I$63),0))</f>
        <v>#N/A</v>
      </c>
      <c r="G421" s="25"/>
      <c r="H421" s="25"/>
      <c r="I421" s="25"/>
      <c r="J421" s="25" t="str">
        <f>'Ingest Template'!B421</f>
        <v/>
      </c>
      <c r="K421" s="25" t="str">
        <f>IF('Ingest Template'!A420="Standard",'Ingest Template'!N420,"Competitive View")</f>
        <v>Competitive View</v>
      </c>
      <c r="L421" s="41" t="s">
        <v>145</v>
      </c>
      <c r="M421" s="25" t="str">
        <f>'Ingest Template'!D420</f>
        <v/>
      </c>
      <c r="N421" s="25"/>
      <c r="O421" s="25"/>
      <c r="P421" s="25"/>
      <c r="Q421" s="25"/>
      <c r="R421" s="25" t="str">
        <f>CONCATENATE('Ingest Template'!F420)</f>
        <v/>
      </c>
      <c r="S421" s="43" t="s">
        <v>160</v>
      </c>
      <c r="T421" s="25" t="str">
        <f>'Ingest Template'!W420</f>
        <v/>
      </c>
      <c r="U421" s="25"/>
      <c r="V421" s="25" t="str">
        <f>LOWER(SUBSTITUTE(SUBSTITUTE(SUBSTITUTE(SUBSTITUTE(SUBSTITUTE('Ingest Template'!Y420,"https:",""),"www.",""),"/",""),"?hl=en",""),"instagram.com",""))</f>
        <v/>
      </c>
      <c r="W421" s="34" t="str">
        <f>(IFERROR(vlookup('Ingest Template'!F421,DropDown!D:E,2,false)&amp;'Ingest Template'!C421,""))</f>
        <v/>
      </c>
      <c r="X421" s="25" t="str">
        <f>'Ingest Template'!AA420</f>
        <v/>
      </c>
      <c r="Y421" s="25"/>
      <c r="Z421" s="25"/>
      <c r="AA421" s="25"/>
      <c r="AB421" s="25" t="str">
        <f>'Ingest Template'!T420</f>
        <v/>
      </c>
      <c r="AC421" s="25"/>
      <c r="AD421" s="25" t="str">
        <f>'Ingest Template'!U420</f>
        <v/>
      </c>
      <c r="AE421" s="25" t="str">
        <f>'Ingest Template'!V420</f>
        <v/>
      </c>
      <c r="AF421" s="25"/>
      <c r="AG421" s="25" t="str">
        <f t="array" ref="AG421">IF('Ingest Template'!A420="Standard",(CONCATENATE(IF(ISBLANK('Ingest Template'!O420),"", 'Ingest Template'!O420&amp;"|DAR"),CHAR(10), IF(ISBLANK('Ingest Template'!P420),"", 'Ingest Template'!P420&amp;"|DAR"),CHAR(10), IF(ISBLANK('Ingest Template'!Q420),"", 'Ingest Template'!Q420&amp;"|DAR"))),(CONCATENATE(IF(ISBLANK('Ingest Template'!O420),"", 'Ingest Template'!O420&amp;"|Operations - Core Title"),CHAR(10), IF(ISBLANK('Ingest Template'!P420),"", 'Ingest Template'!P420&amp;"|Operations - Core Title"),CHAR(10), IF(ISBLANK('Ingest Template'!Q420),"", 'Ingest Template'!Q420&amp;"|Operations - Core Title"))))</f>
        <v>#|Operations - Core Title
#videoGame|Operations - Core Title
</v>
      </c>
      <c r="AH421" s="25"/>
      <c r="AI421" s="25"/>
      <c r="AJ421" s="50" t="str">
        <f>if('Ingest Template'!A420="Standard",'Ingest Template'!R420&amp; "|DAR|DAR|2021-01-01",'Ingest Template'!R420&amp; "|Operations - Core Title|Operations - Core Title")</f>
        <v>#N/A</v>
      </c>
      <c r="AK421" s="25"/>
      <c r="AL421" s="25" t="str">
        <f>if('Ingest Template'!A420="Standard",'Ingest Template'!S420&amp; "|2021-01-01",'Ingest Template'!S420)</f>
        <v>#N/A</v>
      </c>
      <c r="AM421" s="25"/>
    </row>
    <row r="422">
      <c r="A422" s="25"/>
      <c r="B422" s="25" t="str">
        <f>'Ingest Template'!C421&amp;IF('Ingest Template'!A421 = "Standard", " - DAR","")</f>
        <v/>
      </c>
      <c r="C422" s="34" t="s">
        <v>92</v>
      </c>
      <c r="D422" s="34" t="str">
        <f>CONCATENATE('Ingest Template'!E422&amp;Char(10)&amp;'Ingest Template'!G422&amp;Char(10)&amp;'Ingest Template'!H422&amp;Char(10)&amp;'Ingest Template'!I422&amp;Char(10)&amp;'Ingest Template'!J422&amp;Char(10)&amp;'Ingest Template'!K422&amp;Char(10)&amp;'Ingest Template'!L422)</f>
        <v>
</v>
      </c>
      <c r="E422" s="25" t="str">
        <f>('Ingest Template'!M422)</f>
        <v/>
      </c>
      <c r="F422" s="40" t="str">
        <f t="array" ref="F422">INDEX(DropDown!$J$2:$J$63,MATCH(1,COUNTIF(E422,DropDown!$I$2:$I$63),0))</f>
        <v>#N/A</v>
      </c>
      <c r="G422" s="25"/>
      <c r="H422" s="25"/>
      <c r="I422" s="25"/>
      <c r="J422" s="25" t="str">
        <f>'Ingest Template'!B422</f>
        <v/>
      </c>
      <c r="K422" s="25" t="str">
        <f>IF('Ingest Template'!A421="Standard",'Ingest Template'!N421,"Competitive View")</f>
        <v>Competitive View</v>
      </c>
      <c r="L422" s="41" t="s">
        <v>145</v>
      </c>
      <c r="M422" s="25" t="str">
        <f>'Ingest Template'!D421</f>
        <v/>
      </c>
      <c r="N422" s="25"/>
      <c r="O422" s="25"/>
      <c r="P422" s="25"/>
      <c r="Q422" s="25"/>
      <c r="R422" s="25" t="str">
        <f>CONCATENATE('Ingest Template'!F421)</f>
        <v/>
      </c>
      <c r="S422" s="43" t="s">
        <v>160</v>
      </c>
      <c r="T422" s="25" t="str">
        <f>'Ingest Template'!W421</f>
        <v/>
      </c>
      <c r="U422" s="25"/>
      <c r="V422" s="25" t="str">
        <f>LOWER(SUBSTITUTE(SUBSTITUTE(SUBSTITUTE(SUBSTITUTE(SUBSTITUTE('Ingest Template'!Y421,"https:",""),"www.",""),"/",""),"?hl=en",""),"instagram.com",""))</f>
        <v/>
      </c>
      <c r="W422" s="34" t="str">
        <f>(IFERROR(vlookup('Ingest Template'!F422,DropDown!D:E,2,false)&amp;'Ingest Template'!C422,""))</f>
        <v/>
      </c>
      <c r="X422" s="25" t="str">
        <f>'Ingest Template'!AA421</f>
        <v/>
      </c>
      <c r="Y422" s="25"/>
      <c r="Z422" s="25"/>
      <c r="AA422" s="25"/>
      <c r="AB422" s="25" t="str">
        <f>'Ingest Template'!T421</f>
        <v/>
      </c>
      <c r="AC422" s="25"/>
      <c r="AD422" s="25" t="str">
        <f>'Ingest Template'!U421</f>
        <v/>
      </c>
      <c r="AE422" s="25" t="str">
        <f>'Ingest Template'!V421</f>
        <v/>
      </c>
      <c r="AF422" s="25"/>
      <c r="AG422" s="25" t="str">
        <f t="array" ref="AG422">IF('Ingest Template'!A421="Standard",(CONCATENATE(IF(ISBLANK('Ingest Template'!O421),"", 'Ingest Template'!O421&amp;"|DAR"),CHAR(10), IF(ISBLANK('Ingest Template'!P421),"", 'Ingest Template'!P421&amp;"|DAR"),CHAR(10), IF(ISBLANK('Ingest Template'!Q421),"", 'Ingest Template'!Q421&amp;"|DAR"))),(CONCATENATE(IF(ISBLANK('Ingest Template'!O421),"", 'Ingest Template'!O421&amp;"|Operations - Core Title"),CHAR(10), IF(ISBLANK('Ingest Template'!P421),"", 'Ingest Template'!P421&amp;"|Operations - Core Title"),CHAR(10), IF(ISBLANK('Ingest Template'!Q421),"", 'Ingest Template'!Q421&amp;"|Operations - Core Title"))))</f>
        <v>#|Operations - Core Title
#videoGame|Operations - Core Title
</v>
      </c>
      <c r="AH422" s="25"/>
      <c r="AI422" s="25"/>
      <c r="AJ422" s="50" t="str">
        <f>if('Ingest Template'!A421="Standard",'Ingest Template'!R421&amp; "|DAR|DAR|2021-01-01",'Ingest Template'!R421&amp; "|Operations - Core Title|Operations - Core Title")</f>
        <v>#N/A</v>
      </c>
      <c r="AK422" s="25"/>
      <c r="AL422" s="25" t="str">
        <f>if('Ingest Template'!A421="Standard",'Ingest Template'!S421&amp; "|2021-01-01",'Ingest Template'!S421)</f>
        <v>#N/A</v>
      </c>
      <c r="AM422" s="25"/>
    </row>
    <row r="423">
      <c r="A423" s="25"/>
      <c r="B423" s="25" t="str">
        <f>'Ingest Template'!C422&amp;IF('Ingest Template'!A422 = "Standard", " - DAR","")</f>
        <v/>
      </c>
      <c r="C423" s="34" t="s">
        <v>92</v>
      </c>
      <c r="D423" s="34" t="str">
        <f>CONCATENATE('Ingest Template'!E423&amp;Char(10)&amp;'Ingest Template'!G423&amp;Char(10)&amp;'Ingest Template'!H423&amp;Char(10)&amp;'Ingest Template'!I423&amp;Char(10)&amp;'Ingest Template'!J423&amp;Char(10)&amp;'Ingest Template'!K423&amp;Char(10)&amp;'Ingest Template'!L423)</f>
        <v>
</v>
      </c>
      <c r="E423" s="25" t="str">
        <f>('Ingest Template'!M423)</f>
        <v/>
      </c>
      <c r="F423" s="40" t="str">
        <f t="array" ref="F423">INDEX(DropDown!$J$2:$J$63,MATCH(1,COUNTIF(E423,DropDown!$I$2:$I$63),0))</f>
        <v>#N/A</v>
      </c>
      <c r="G423" s="25"/>
      <c r="H423" s="25"/>
      <c r="I423" s="25"/>
      <c r="J423" s="25" t="str">
        <f>'Ingest Template'!B423</f>
        <v/>
      </c>
      <c r="K423" s="25" t="str">
        <f>IF('Ingest Template'!A422="Standard",'Ingest Template'!N422,"Competitive View")</f>
        <v>Competitive View</v>
      </c>
      <c r="L423" s="41" t="s">
        <v>145</v>
      </c>
      <c r="M423" s="25" t="str">
        <f>'Ingest Template'!D422</f>
        <v/>
      </c>
      <c r="N423" s="25"/>
      <c r="O423" s="25"/>
      <c r="P423" s="25"/>
      <c r="Q423" s="25"/>
      <c r="R423" s="25" t="str">
        <f>CONCATENATE('Ingest Template'!F422)</f>
        <v/>
      </c>
      <c r="S423" s="43" t="s">
        <v>160</v>
      </c>
      <c r="T423" s="25" t="str">
        <f>'Ingest Template'!W422</f>
        <v/>
      </c>
      <c r="U423" s="25"/>
      <c r="V423" s="25" t="str">
        <f>LOWER(SUBSTITUTE(SUBSTITUTE(SUBSTITUTE(SUBSTITUTE(SUBSTITUTE('Ingest Template'!Y422,"https:",""),"www.",""),"/",""),"?hl=en",""),"instagram.com",""))</f>
        <v/>
      </c>
      <c r="W423" s="34" t="str">
        <f>(IFERROR(vlookup('Ingest Template'!F423,DropDown!D:E,2,false)&amp;'Ingest Template'!C423,""))</f>
        <v/>
      </c>
      <c r="X423" s="25" t="str">
        <f>'Ingest Template'!AA422</f>
        <v/>
      </c>
      <c r="Y423" s="25"/>
      <c r="Z423" s="25"/>
      <c r="AA423" s="25"/>
      <c r="AB423" s="25" t="str">
        <f>'Ingest Template'!T422</f>
        <v/>
      </c>
      <c r="AC423" s="25"/>
      <c r="AD423" s="25" t="str">
        <f>'Ingest Template'!U422</f>
        <v/>
      </c>
      <c r="AE423" s="25" t="str">
        <f>'Ingest Template'!V422</f>
        <v/>
      </c>
      <c r="AF423" s="25"/>
      <c r="AG423" s="25" t="str">
        <f t="array" ref="AG423">IF('Ingest Template'!A422="Standard",(CONCATENATE(IF(ISBLANK('Ingest Template'!O422),"", 'Ingest Template'!O422&amp;"|DAR"),CHAR(10), IF(ISBLANK('Ingest Template'!P422),"", 'Ingest Template'!P422&amp;"|DAR"),CHAR(10), IF(ISBLANK('Ingest Template'!Q422),"", 'Ingest Template'!Q422&amp;"|DAR"))),(CONCATENATE(IF(ISBLANK('Ingest Template'!O422),"", 'Ingest Template'!O422&amp;"|Operations - Core Title"),CHAR(10), IF(ISBLANK('Ingest Template'!P422),"", 'Ingest Template'!P422&amp;"|Operations - Core Title"),CHAR(10), IF(ISBLANK('Ingest Template'!Q422),"", 'Ingest Template'!Q422&amp;"|Operations - Core Title"))))</f>
        <v>#|Operations - Core Title
#videoGame|Operations - Core Title
</v>
      </c>
      <c r="AH423" s="25"/>
      <c r="AI423" s="25"/>
      <c r="AJ423" s="50" t="str">
        <f>if('Ingest Template'!A422="Standard",'Ingest Template'!R422&amp; "|DAR|DAR|2021-01-01",'Ingest Template'!R422&amp; "|Operations - Core Title|Operations - Core Title")</f>
        <v>#N/A</v>
      </c>
      <c r="AK423" s="25"/>
      <c r="AL423" s="25" t="str">
        <f>if('Ingest Template'!A422="Standard",'Ingest Template'!S422&amp; "|2021-01-01",'Ingest Template'!S422)</f>
        <v>#N/A</v>
      </c>
      <c r="AM423" s="25"/>
    </row>
    <row r="424">
      <c r="A424" s="25"/>
      <c r="B424" s="25" t="str">
        <f>'Ingest Template'!C423&amp;IF('Ingest Template'!A423 = "Standard", " - DAR","")</f>
        <v/>
      </c>
      <c r="C424" s="34" t="s">
        <v>92</v>
      </c>
      <c r="D424" s="34" t="str">
        <f>CONCATENATE('Ingest Template'!E424&amp;Char(10)&amp;'Ingest Template'!G424&amp;Char(10)&amp;'Ingest Template'!H424&amp;Char(10)&amp;'Ingest Template'!I424&amp;Char(10)&amp;'Ingest Template'!J424&amp;Char(10)&amp;'Ingest Template'!K424&amp;Char(10)&amp;'Ingest Template'!L424)</f>
        <v>
</v>
      </c>
      <c r="E424" s="25" t="str">
        <f>('Ingest Template'!M424)</f>
        <v/>
      </c>
      <c r="F424" s="40" t="str">
        <f t="array" ref="F424">INDEX(DropDown!$J$2:$J$63,MATCH(1,COUNTIF(E424,DropDown!$I$2:$I$63),0))</f>
        <v>#N/A</v>
      </c>
      <c r="G424" s="25"/>
      <c r="H424" s="25"/>
      <c r="I424" s="25"/>
      <c r="J424" s="25" t="str">
        <f>'Ingest Template'!B424</f>
        <v/>
      </c>
      <c r="K424" s="25" t="str">
        <f>IF('Ingest Template'!A423="Standard",'Ingest Template'!N423,"Competitive View")</f>
        <v>Competitive View</v>
      </c>
      <c r="L424" s="41" t="s">
        <v>145</v>
      </c>
      <c r="M424" s="25" t="str">
        <f>'Ingest Template'!D423</f>
        <v/>
      </c>
      <c r="N424" s="25"/>
      <c r="O424" s="25"/>
      <c r="P424" s="25"/>
      <c r="Q424" s="25"/>
      <c r="R424" s="25" t="str">
        <f>CONCATENATE('Ingest Template'!F423)</f>
        <v/>
      </c>
      <c r="S424" s="43" t="s">
        <v>160</v>
      </c>
      <c r="T424" s="25" t="str">
        <f>'Ingest Template'!W423</f>
        <v/>
      </c>
      <c r="U424" s="25"/>
      <c r="V424" s="25" t="str">
        <f>LOWER(SUBSTITUTE(SUBSTITUTE(SUBSTITUTE(SUBSTITUTE(SUBSTITUTE('Ingest Template'!Y423,"https:",""),"www.",""),"/",""),"?hl=en",""),"instagram.com",""))</f>
        <v/>
      </c>
      <c r="W424" s="34" t="str">
        <f>(IFERROR(vlookup('Ingest Template'!F424,DropDown!D:E,2,false)&amp;'Ingest Template'!C424,""))</f>
        <v/>
      </c>
      <c r="X424" s="25" t="str">
        <f>'Ingest Template'!AA423</f>
        <v/>
      </c>
      <c r="Y424" s="25"/>
      <c r="Z424" s="25"/>
      <c r="AA424" s="25"/>
      <c r="AB424" s="25" t="str">
        <f>'Ingest Template'!T423</f>
        <v/>
      </c>
      <c r="AC424" s="25"/>
      <c r="AD424" s="25" t="str">
        <f>'Ingest Template'!U423</f>
        <v/>
      </c>
      <c r="AE424" s="25" t="str">
        <f>'Ingest Template'!V423</f>
        <v/>
      </c>
      <c r="AF424" s="25"/>
      <c r="AG424" s="25" t="str">
        <f t="array" ref="AG424">IF('Ingest Template'!A423="Standard",(CONCATENATE(IF(ISBLANK('Ingest Template'!O423),"", 'Ingest Template'!O423&amp;"|DAR"),CHAR(10), IF(ISBLANK('Ingest Template'!P423),"", 'Ingest Template'!P423&amp;"|DAR"),CHAR(10), IF(ISBLANK('Ingest Template'!Q423),"", 'Ingest Template'!Q423&amp;"|DAR"))),(CONCATENATE(IF(ISBLANK('Ingest Template'!O423),"", 'Ingest Template'!O423&amp;"|Operations - Core Title"),CHAR(10), IF(ISBLANK('Ingest Template'!P423),"", 'Ingest Template'!P423&amp;"|Operations - Core Title"),CHAR(10), IF(ISBLANK('Ingest Template'!Q423),"", 'Ingest Template'!Q423&amp;"|Operations - Core Title"))))</f>
        <v>#|Operations - Core Title
#videoGame|Operations - Core Title
</v>
      </c>
      <c r="AH424" s="25"/>
      <c r="AI424" s="25"/>
      <c r="AJ424" s="50" t="str">
        <f>if('Ingest Template'!A423="Standard",'Ingest Template'!R423&amp; "|DAR|DAR|2021-01-01",'Ingest Template'!R423&amp; "|Operations - Core Title|Operations - Core Title")</f>
        <v>#N/A</v>
      </c>
      <c r="AK424" s="25"/>
      <c r="AL424" s="25" t="str">
        <f>if('Ingest Template'!A423="Standard",'Ingest Template'!S423&amp; "|2021-01-01",'Ingest Template'!S423)</f>
        <v>#N/A</v>
      </c>
      <c r="AM424" s="25"/>
    </row>
    <row r="425">
      <c r="A425" s="25"/>
      <c r="B425" s="25" t="str">
        <f>'Ingest Template'!C424&amp;IF('Ingest Template'!A424 = "Standard", " - DAR","")</f>
        <v/>
      </c>
      <c r="C425" s="34" t="s">
        <v>92</v>
      </c>
      <c r="D425" s="34" t="str">
        <f>CONCATENATE('Ingest Template'!E425&amp;Char(10)&amp;'Ingest Template'!G425&amp;Char(10)&amp;'Ingest Template'!H425&amp;Char(10)&amp;'Ingest Template'!I425&amp;Char(10)&amp;'Ingest Template'!J425&amp;Char(10)&amp;'Ingest Template'!K425&amp;Char(10)&amp;'Ingest Template'!L425)</f>
        <v>
</v>
      </c>
      <c r="E425" s="25" t="str">
        <f>('Ingest Template'!M425)</f>
        <v/>
      </c>
      <c r="F425" s="40" t="str">
        <f t="array" ref="F425">INDEX(DropDown!$J$2:$J$63,MATCH(1,COUNTIF(E425,DropDown!$I$2:$I$63),0))</f>
        <v>#N/A</v>
      </c>
      <c r="G425" s="25"/>
      <c r="H425" s="25"/>
      <c r="I425" s="25"/>
      <c r="J425" s="25" t="str">
        <f>'Ingest Template'!B425</f>
        <v/>
      </c>
      <c r="K425" s="25" t="str">
        <f>IF('Ingest Template'!A424="Standard",'Ingest Template'!N424,"Competitive View")</f>
        <v>Competitive View</v>
      </c>
      <c r="L425" s="41" t="s">
        <v>145</v>
      </c>
      <c r="M425" s="25" t="str">
        <f>'Ingest Template'!D424</f>
        <v/>
      </c>
      <c r="N425" s="25"/>
      <c r="O425" s="25"/>
      <c r="P425" s="25"/>
      <c r="Q425" s="25"/>
      <c r="R425" s="25" t="str">
        <f>CONCATENATE('Ingest Template'!F424)</f>
        <v/>
      </c>
      <c r="S425" s="43" t="s">
        <v>160</v>
      </c>
      <c r="T425" s="25" t="str">
        <f>'Ingest Template'!W424</f>
        <v/>
      </c>
      <c r="U425" s="25"/>
      <c r="V425" s="25" t="str">
        <f>LOWER(SUBSTITUTE(SUBSTITUTE(SUBSTITUTE(SUBSTITUTE(SUBSTITUTE('Ingest Template'!Y424,"https:",""),"www.",""),"/",""),"?hl=en",""),"instagram.com",""))</f>
        <v/>
      </c>
      <c r="W425" s="34" t="str">
        <f>(IFERROR(vlookup('Ingest Template'!F425,DropDown!D:E,2,false)&amp;'Ingest Template'!C425,""))</f>
        <v/>
      </c>
      <c r="X425" s="25" t="str">
        <f>'Ingest Template'!AA424</f>
        <v/>
      </c>
      <c r="Y425" s="25"/>
      <c r="Z425" s="25"/>
      <c r="AA425" s="25"/>
      <c r="AB425" s="25" t="str">
        <f>'Ingest Template'!T424</f>
        <v/>
      </c>
      <c r="AC425" s="25"/>
      <c r="AD425" s="25" t="str">
        <f>'Ingest Template'!U424</f>
        <v/>
      </c>
      <c r="AE425" s="25" t="str">
        <f>'Ingest Template'!V424</f>
        <v/>
      </c>
      <c r="AF425" s="25"/>
      <c r="AG425" s="25" t="str">
        <f t="array" ref="AG425">IF('Ingest Template'!A424="Standard",(CONCATENATE(IF(ISBLANK('Ingest Template'!O424),"", 'Ingest Template'!O424&amp;"|DAR"),CHAR(10), IF(ISBLANK('Ingest Template'!P424),"", 'Ingest Template'!P424&amp;"|DAR"),CHAR(10), IF(ISBLANK('Ingest Template'!Q424),"", 'Ingest Template'!Q424&amp;"|DAR"))),(CONCATENATE(IF(ISBLANK('Ingest Template'!O424),"", 'Ingest Template'!O424&amp;"|Operations - Core Title"),CHAR(10), IF(ISBLANK('Ingest Template'!P424),"", 'Ingest Template'!P424&amp;"|Operations - Core Title"),CHAR(10), IF(ISBLANK('Ingest Template'!Q424),"", 'Ingest Template'!Q424&amp;"|Operations - Core Title"))))</f>
        <v>#|Operations - Core Title
#videoGame|Operations - Core Title
</v>
      </c>
      <c r="AH425" s="25"/>
      <c r="AI425" s="25"/>
      <c r="AJ425" s="50" t="str">
        <f>if('Ingest Template'!A424="Standard",'Ingest Template'!R424&amp; "|DAR|DAR|2021-01-01",'Ingest Template'!R424&amp; "|Operations - Core Title|Operations - Core Title")</f>
        <v>#N/A</v>
      </c>
      <c r="AK425" s="25"/>
      <c r="AL425" s="25" t="str">
        <f>if('Ingest Template'!A424="Standard",'Ingest Template'!S424&amp; "|2021-01-01",'Ingest Template'!S424)</f>
        <v>#N/A</v>
      </c>
      <c r="AM425" s="25"/>
    </row>
    <row r="426">
      <c r="A426" s="25"/>
      <c r="B426" s="25" t="str">
        <f>'Ingest Template'!C425&amp;IF('Ingest Template'!A425 = "Standard", " - DAR","")</f>
        <v/>
      </c>
      <c r="C426" s="34" t="s">
        <v>92</v>
      </c>
      <c r="D426" s="34" t="str">
        <f>CONCATENATE('Ingest Template'!E426&amp;Char(10)&amp;'Ingest Template'!G426&amp;Char(10)&amp;'Ingest Template'!H426&amp;Char(10)&amp;'Ingest Template'!I426&amp;Char(10)&amp;'Ingest Template'!J426&amp;Char(10)&amp;'Ingest Template'!K426&amp;Char(10)&amp;'Ingest Template'!L426)</f>
        <v>
</v>
      </c>
      <c r="E426" s="25" t="str">
        <f>('Ingest Template'!M426)</f>
        <v/>
      </c>
      <c r="F426" s="40" t="str">
        <f t="array" ref="F426">INDEX(DropDown!$J$2:$J$63,MATCH(1,COUNTIF(E426,DropDown!$I$2:$I$63),0))</f>
        <v>#N/A</v>
      </c>
      <c r="G426" s="25"/>
      <c r="H426" s="25"/>
      <c r="I426" s="25"/>
      <c r="J426" s="25" t="str">
        <f>'Ingest Template'!B426</f>
        <v/>
      </c>
      <c r="K426" s="25" t="str">
        <f>IF('Ingest Template'!A425="Standard",'Ingest Template'!N425,"Competitive View")</f>
        <v>Competitive View</v>
      </c>
      <c r="L426" s="41" t="s">
        <v>145</v>
      </c>
      <c r="M426" s="25" t="str">
        <f>'Ingest Template'!D425</f>
        <v/>
      </c>
      <c r="N426" s="25"/>
      <c r="O426" s="25"/>
      <c r="P426" s="25"/>
      <c r="Q426" s="25"/>
      <c r="R426" s="25" t="str">
        <f>CONCATENATE('Ingest Template'!F425)</f>
        <v/>
      </c>
      <c r="S426" s="43" t="s">
        <v>160</v>
      </c>
      <c r="T426" s="25" t="str">
        <f>'Ingest Template'!W425</f>
        <v/>
      </c>
      <c r="U426" s="25"/>
      <c r="V426" s="25" t="str">
        <f>LOWER(SUBSTITUTE(SUBSTITUTE(SUBSTITUTE(SUBSTITUTE(SUBSTITUTE('Ingest Template'!Y425,"https:",""),"www.",""),"/",""),"?hl=en",""),"instagram.com",""))</f>
        <v/>
      </c>
      <c r="W426" s="34" t="str">
        <f>(IFERROR(vlookup('Ingest Template'!F426,DropDown!D:E,2,false)&amp;'Ingest Template'!C426,""))</f>
        <v/>
      </c>
      <c r="X426" s="25" t="str">
        <f>'Ingest Template'!AA425</f>
        <v/>
      </c>
      <c r="Y426" s="25"/>
      <c r="Z426" s="25"/>
      <c r="AA426" s="25"/>
      <c r="AB426" s="25" t="str">
        <f>'Ingest Template'!T425</f>
        <v/>
      </c>
      <c r="AC426" s="25"/>
      <c r="AD426" s="25" t="str">
        <f>'Ingest Template'!U425</f>
        <v/>
      </c>
      <c r="AE426" s="25" t="str">
        <f>'Ingest Template'!V425</f>
        <v/>
      </c>
      <c r="AF426" s="25"/>
      <c r="AG426" s="25" t="str">
        <f t="array" ref="AG426">IF('Ingest Template'!A425="Standard",(CONCATENATE(IF(ISBLANK('Ingest Template'!O425),"", 'Ingest Template'!O425&amp;"|DAR"),CHAR(10), IF(ISBLANK('Ingest Template'!P425),"", 'Ingest Template'!P425&amp;"|DAR"),CHAR(10), IF(ISBLANK('Ingest Template'!Q425),"", 'Ingest Template'!Q425&amp;"|DAR"))),(CONCATENATE(IF(ISBLANK('Ingest Template'!O425),"", 'Ingest Template'!O425&amp;"|Operations - Core Title"),CHAR(10), IF(ISBLANK('Ingest Template'!P425),"", 'Ingest Template'!P425&amp;"|Operations - Core Title"),CHAR(10), IF(ISBLANK('Ingest Template'!Q425),"", 'Ingest Template'!Q425&amp;"|Operations - Core Title"))))</f>
        <v>#|Operations - Core Title
#videoGame|Operations - Core Title
</v>
      </c>
      <c r="AH426" s="25"/>
      <c r="AI426" s="25"/>
      <c r="AJ426" s="50" t="str">
        <f>if('Ingest Template'!A425="Standard",'Ingest Template'!R425&amp; "|DAR|DAR|2021-01-01",'Ingest Template'!R425&amp; "|Operations - Core Title|Operations - Core Title")</f>
        <v>#N/A</v>
      </c>
      <c r="AK426" s="25"/>
      <c r="AL426" s="25" t="str">
        <f>if('Ingest Template'!A425="Standard",'Ingest Template'!S425&amp; "|2021-01-01",'Ingest Template'!S425)</f>
        <v>#N/A</v>
      </c>
      <c r="AM426" s="25"/>
    </row>
    <row r="427">
      <c r="A427" s="25"/>
      <c r="B427" s="25" t="str">
        <f>'Ingest Template'!C426&amp;IF('Ingest Template'!A426 = "Standard", " - DAR","")</f>
        <v/>
      </c>
      <c r="C427" s="34" t="s">
        <v>92</v>
      </c>
      <c r="D427" s="34" t="str">
        <f>CONCATENATE('Ingest Template'!E427&amp;Char(10)&amp;'Ingest Template'!G427&amp;Char(10)&amp;'Ingest Template'!H427&amp;Char(10)&amp;'Ingest Template'!I427&amp;Char(10)&amp;'Ingest Template'!J427&amp;Char(10)&amp;'Ingest Template'!K427&amp;Char(10)&amp;'Ingest Template'!L427)</f>
        <v>
</v>
      </c>
      <c r="E427" s="25" t="str">
        <f>('Ingest Template'!M427)</f>
        <v/>
      </c>
      <c r="F427" s="40" t="str">
        <f t="array" ref="F427">INDEX(DropDown!$J$2:$J$63,MATCH(1,COUNTIF(E427,DropDown!$I$2:$I$63),0))</f>
        <v>#N/A</v>
      </c>
      <c r="G427" s="25"/>
      <c r="H427" s="25"/>
      <c r="I427" s="25"/>
      <c r="J427" s="25" t="str">
        <f>'Ingest Template'!B427</f>
        <v/>
      </c>
      <c r="K427" s="25" t="str">
        <f>IF('Ingest Template'!A426="Standard",'Ingest Template'!N426,"Competitive View")</f>
        <v>Competitive View</v>
      </c>
      <c r="L427" s="41" t="s">
        <v>145</v>
      </c>
      <c r="M427" s="25" t="str">
        <f>'Ingest Template'!D426</f>
        <v/>
      </c>
      <c r="N427" s="25"/>
      <c r="O427" s="25"/>
      <c r="P427" s="25"/>
      <c r="Q427" s="25"/>
      <c r="R427" s="25" t="str">
        <f>CONCATENATE('Ingest Template'!F426)</f>
        <v/>
      </c>
      <c r="S427" s="43" t="s">
        <v>160</v>
      </c>
      <c r="T427" s="25" t="str">
        <f>'Ingest Template'!W426</f>
        <v/>
      </c>
      <c r="U427" s="25"/>
      <c r="V427" s="25" t="str">
        <f>LOWER(SUBSTITUTE(SUBSTITUTE(SUBSTITUTE(SUBSTITUTE(SUBSTITUTE('Ingest Template'!Y426,"https:",""),"www.",""),"/",""),"?hl=en",""),"instagram.com",""))</f>
        <v/>
      </c>
      <c r="W427" s="34" t="str">
        <f>(IFERROR(vlookup('Ingest Template'!F427,DropDown!D:E,2,false)&amp;'Ingest Template'!C427,""))</f>
        <v/>
      </c>
      <c r="X427" s="25" t="str">
        <f>'Ingest Template'!AA426</f>
        <v/>
      </c>
      <c r="Y427" s="25"/>
      <c r="Z427" s="25"/>
      <c r="AA427" s="25"/>
      <c r="AB427" s="25" t="str">
        <f>'Ingest Template'!T426</f>
        <v/>
      </c>
      <c r="AC427" s="25"/>
      <c r="AD427" s="25" t="str">
        <f>'Ingest Template'!U426</f>
        <v/>
      </c>
      <c r="AE427" s="25" t="str">
        <f>'Ingest Template'!V426</f>
        <v/>
      </c>
      <c r="AF427" s="25"/>
      <c r="AG427" s="25" t="str">
        <f t="array" ref="AG427">IF('Ingest Template'!A426="Standard",(CONCATENATE(IF(ISBLANK('Ingest Template'!O426),"", 'Ingest Template'!O426&amp;"|DAR"),CHAR(10), IF(ISBLANK('Ingest Template'!P426),"", 'Ingest Template'!P426&amp;"|DAR"),CHAR(10), IF(ISBLANK('Ingest Template'!Q426),"", 'Ingest Template'!Q426&amp;"|DAR"))),(CONCATENATE(IF(ISBLANK('Ingest Template'!O426),"", 'Ingest Template'!O426&amp;"|Operations - Core Title"),CHAR(10), IF(ISBLANK('Ingest Template'!P426),"", 'Ingest Template'!P426&amp;"|Operations - Core Title"),CHAR(10), IF(ISBLANK('Ingest Template'!Q426),"", 'Ingest Template'!Q426&amp;"|Operations - Core Title"))))</f>
        <v>#|Operations - Core Title
#videoGame|Operations - Core Title
</v>
      </c>
      <c r="AH427" s="25"/>
      <c r="AI427" s="25"/>
      <c r="AJ427" s="50" t="str">
        <f>if('Ingest Template'!A426="Standard",'Ingest Template'!R426&amp; "|DAR|DAR|2021-01-01",'Ingest Template'!R426&amp; "|Operations - Core Title|Operations - Core Title")</f>
        <v>#N/A</v>
      </c>
      <c r="AK427" s="25"/>
      <c r="AL427" s="25" t="str">
        <f>if('Ingest Template'!A426="Standard",'Ingest Template'!S426&amp; "|2021-01-01",'Ingest Template'!S426)</f>
        <v>#N/A</v>
      </c>
      <c r="AM427" s="25"/>
    </row>
    <row r="428">
      <c r="A428" s="25"/>
      <c r="B428" s="25" t="str">
        <f>'Ingest Template'!C427&amp;IF('Ingest Template'!A427 = "Standard", " - DAR","")</f>
        <v/>
      </c>
      <c r="C428" s="34" t="s">
        <v>92</v>
      </c>
      <c r="D428" s="34" t="str">
        <f>CONCATENATE('Ingest Template'!E428&amp;Char(10)&amp;'Ingest Template'!G428&amp;Char(10)&amp;'Ingest Template'!H428&amp;Char(10)&amp;'Ingest Template'!I428&amp;Char(10)&amp;'Ingest Template'!J428&amp;Char(10)&amp;'Ingest Template'!K428&amp;Char(10)&amp;'Ingest Template'!L428)</f>
        <v>
</v>
      </c>
      <c r="E428" s="25" t="str">
        <f>('Ingest Template'!M428)</f>
        <v/>
      </c>
      <c r="F428" s="40" t="str">
        <f t="array" ref="F428">INDEX(DropDown!$J$2:$J$63,MATCH(1,COUNTIF(E428,DropDown!$I$2:$I$63),0))</f>
        <v>#N/A</v>
      </c>
      <c r="G428" s="25"/>
      <c r="H428" s="25"/>
      <c r="I428" s="25"/>
      <c r="J428" s="25" t="str">
        <f>'Ingest Template'!B428</f>
        <v/>
      </c>
      <c r="K428" s="25" t="str">
        <f>IF('Ingest Template'!A427="Standard",'Ingest Template'!N427,"Competitive View")</f>
        <v>Competitive View</v>
      </c>
      <c r="L428" s="41" t="s">
        <v>145</v>
      </c>
      <c r="M428" s="25" t="str">
        <f>'Ingest Template'!D427</f>
        <v/>
      </c>
      <c r="N428" s="25"/>
      <c r="O428" s="25"/>
      <c r="P428" s="25"/>
      <c r="Q428" s="25"/>
      <c r="R428" s="25" t="str">
        <f>CONCATENATE('Ingest Template'!F427)</f>
        <v/>
      </c>
      <c r="S428" s="43" t="s">
        <v>160</v>
      </c>
      <c r="T428" s="25" t="str">
        <f>'Ingest Template'!W427</f>
        <v/>
      </c>
      <c r="U428" s="25"/>
      <c r="V428" s="25" t="str">
        <f>LOWER(SUBSTITUTE(SUBSTITUTE(SUBSTITUTE(SUBSTITUTE(SUBSTITUTE('Ingest Template'!Y427,"https:",""),"www.",""),"/",""),"?hl=en",""),"instagram.com",""))</f>
        <v/>
      </c>
      <c r="W428" s="34" t="str">
        <f>(IFERROR(vlookup('Ingest Template'!F428,DropDown!D:E,2,false)&amp;'Ingest Template'!C428,""))</f>
        <v/>
      </c>
      <c r="X428" s="25" t="str">
        <f>'Ingest Template'!AA427</f>
        <v/>
      </c>
      <c r="Y428" s="25"/>
      <c r="Z428" s="25"/>
      <c r="AA428" s="25"/>
      <c r="AB428" s="25" t="str">
        <f>'Ingest Template'!T427</f>
        <v/>
      </c>
      <c r="AC428" s="25"/>
      <c r="AD428" s="25" t="str">
        <f>'Ingest Template'!U427</f>
        <v/>
      </c>
      <c r="AE428" s="25" t="str">
        <f>'Ingest Template'!V427</f>
        <v/>
      </c>
      <c r="AF428" s="25"/>
      <c r="AG428" s="25" t="str">
        <f t="array" ref="AG428">IF('Ingest Template'!A427="Standard",(CONCATENATE(IF(ISBLANK('Ingest Template'!O427),"", 'Ingest Template'!O427&amp;"|DAR"),CHAR(10), IF(ISBLANK('Ingest Template'!P427),"", 'Ingest Template'!P427&amp;"|DAR"),CHAR(10), IF(ISBLANK('Ingest Template'!Q427),"", 'Ingest Template'!Q427&amp;"|DAR"))),(CONCATENATE(IF(ISBLANK('Ingest Template'!O427),"", 'Ingest Template'!O427&amp;"|Operations - Core Title"),CHAR(10), IF(ISBLANK('Ingest Template'!P427),"", 'Ingest Template'!P427&amp;"|Operations - Core Title"),CHAR(10), IF(ISBLANK('Ingest Template'!Q427),"", 'Ingest Template'!Q427&amp;"|Operations - Core Title"))))</f>
        <v>#|Operations - Core Title
#videoGame|Operations - Core Title
</v>
      </c>
      <c r="AH428" s="25"/>
      <c r="AI428" s="25"/>
      <c r="AJ428" s="50" t="str">
        <f>if('Ingest Template'!A427="Standard",'Ingest Template'!R427&amp; "|DAR|DAR|2021-01-01",'Ingest Template'!R427&amp; "|Operations - Core Title|Operations - Core Title")</f>
        <v>#N/A</v>
      </c>
      <c r="AK428" s="25"/>
      <c r="AL428" s="25" t="str">
        <f>if('Ingest Template'!A427="Standard",'Ingest Template'!S427&amp; "|2021-01-01",'Ingest Template'!S427)</f>
        <v>#N/A</v>
      </c>
      <c r="AM428" s="25"/>
    </row>
    <row r="429">
      <c r="A429" s="25"/>
      <c r="B429" s="25" t="str">
        <f>'Ingest Template'!C428&amp;IF('Ingest Template'!A428 = "Standard", " - DAR","")</f>
        <v/>
      </c>
      <c r="C429" s="34" t="s">
        <v>92</v>
      </c>
      <c r="D429" s="34" t="str">
        <f>CONCATENATE('Ingest Template'!E429&amp;Char(10)&amp;'Ingest Template'!G429&amp;Char(10)&amp;'Ingest Template'!H429&amp;Char(10)&amp;'Ingest Template'!I429&amp;Char(10)&amp;'Ingest Template'!J429&amp;Char(10)&amp;'Ingest Template'!K429&amp;Char(10)&amp;'Ingest Template'!L429)</f>
        <v>
</v>
      </c>
      <c r="E429" s="25" t="str">
        <f>('Ingest Template'!M429)</f>
        <v/>
      </c>
      <c r="F429" s="40" t="str">
        <f t="array" ref="F429">INDEX(DropDown!$J$2:$J$63,MATCH(1,COUNTIF(E429,DropDown!$I$2:$I$63),0))</f>
        <v>#N/A</v>
      </c>
      <c r="G429" s="25"/>
      <c r="H429" s="25"/>
      <c r="I429" s="25"/>
      <c r="J429" s="25" t="str">
        <f>'Ingest Template'!B429</f>
        <v/>
      </c>
      <c r="K429" s="25" t="str">
        <f>IF('Ingest Template'!A428="Standard",'Ingest Template'!N428,"Competitive View")</f>
        <v>Competitive View</v>
      </c>
      <c r="L429" s="41" t="s">
        <v>145</v>
      </c>
      <c r="M429" s="25" t="str">
        <f>'Ingest Template'!D428</f>
        <v/>
      </c>
      <c r="N429" s="25"/>
      <c r="O429" s="25"/>
      <c r="P429" s="25"/>
      <c r="Q429" s="25"/>
      <c r="R429" s="25" t="str">
        <f>CONCATENATE('Ingest Template'!F428)</f>
        <v/>
      </c>
      <c r="S429" s="43" t="s">
        <v>160</v>
      </c>
      <c r="T429" s="25" t="str">
        <f>'Ingest Template'!W428</f>
        <v/>
      </c>
      <c r="U429" s="25"/>
      <c r="V429" s="25" t="str">
        <f>LOWER(SUBSTITUTE(SUBSTITUTE(SUBSTITUTE(SUBSTITUTE(SUBSTITUTE('Ingest Template'!Y428,"https:",""),"www.",""),"/",""),"?hl=en",""),"instagram.com",""))</f>
        <v/>
      </c>
      <c r="W429" s="34" t="str">
        <f>(IFERROR(vlookup('Ingest Template'!F429,DropDown!D:E,2,false)&amp;'Ingest Template'!C429,""))</f>
        <v/>
      </c>
      <c r="X429" s="25" t="str">
        <f>'Ingest Template'!AA428</f>
        <v/>
      </c>
      <c r="Y429" s="25"/>
      <c r="Z429" s="25"/>
      <c r="AA429" s="25"/>
      <c r="AB429" s="25" t="str">
        <f>'Ingest Template'!T428</f>
        <v/>
      </c>
      <c r="AC429" s="25"/>
      <c r="AD429" s="25" t="str">
        <f>'Ingest Template'!U428</f>
        <v/>
      </c>
      <c r="AE429" s="25" t="str">
        <f>'Ingest Template'!V428</f>
        <v/>
      </c>
      <c r="AF429" s="25"/>
      <c r="AG429" s="25" t="str">
        <f t="array" ref="AG429">IF('Ingest Template'!A428="Standard",(CONCATENATE(IF(ISBLANK('Ingest Template'!O428),"", 'Ingest Template'!O428&amp;"|DAR"),CHAR(10), IF(ISBLANK('Ingest Template'!P428),"", 'Ingest Template'!P428&amp;"|DAR"),CHAR(10), IF(ISBLANK('Ingest Template'!Q428),"", 'Ingest Template'!Q428&amp;"|DAR"))),(CONCATENATE(IF(ISBLANK('Ingest Template'!O428),"", 'Ingest Template'!O428&amp;"|Operations - Core Title"),CHAR(10), IF(ISBLANK('Ingest Template'!P428),"", 'Ingest Template'!P428&amp;"|Operations - Core Title"),CHAR(10), IF(ISBLANK('Ingest Template'!Q428),"", 'Ingest Template'!Q428&amp;"|Operations - Core Title"))))</f>
        <v>#|Operations - Core Title
#videoGame|Operations - Core Title
</v>
      </c>
      <c r="AH429" s="25"/>
      <c r="AI429" s="25"/>
      <c r="AJ429" s="50" t="str">
        <f>if('Ingest Template'!A428="Standard",'Ingest Template'!R428&amp; "|DAR|DAR|2021-01-01",'Ingest Template'!R428&amp; "|Operations - Core Title|Operations - Core Title")</f>
        <v>#N/A</v>
      </c>
      <c r="AK429" s="25"/>
      <c r="AL429" s="25" t="str">
        <f>if('Ingest Template'!A428="Standard",'Ingest Template'!S428&amp; "|2021-01-01",'Ingest Template'!S428)</f>
        <v>#N/A</v>
      </c>
      <c r="AM429" s="25"/>
    </row>
    <row r="430">
      <c r="A430" s="25"/>
      <c r="B430" s="25" t="str">
        <f>'Ingest Template'!C429&amp;IF('Ingest Template'!A429 = "Standard", " - DAR","")</f>
        <v/>
      </c>
      <c r="C430" s="34" t="s">
        <v>92</v>
      </c>
      <c r="D430" s="34" t="str">
        <f>CONCATENATE('Ingest Template'!E430&amp;Char(10)&amp;'Ingest Template'!G430&amp;Char(10)&amp;'Ingest Template'!H430&amp;Char(10)&amp;'Ingest Template'!I430&amp;Char(10)&amp;'Ingest Template'!J430&amp;Char(10)&amp;'Ingest Template'!K430&amp;Char(10)&amp;'Ingest Template'!L430)</f>
        <v>
</v>
      </c>
      <c r="E430" s="25" t="str">
        <f>('Ingest Template'!M430)</f>
        <v/>
      </c>
      <c r="F430" s="40" t="str">
        <f t="array" ref="F430">INDEX(DropDown!$J$2:$J$63,MATCH(1,COUNTIF(E430,DropDown!$I$2:$I$63),0))</f>
        <v>#N/A</v>
      </c>
      <c r="G430" s="25"/>
      <c r="H430" s="25"/>
      <c r="I430" s="25"/>
      <c r="J430" s="25" t="str">
        <f>'Ingest Template'!B430</f>
        <v/>
      </c>
      <c r="K430" s="25" t="str">
        <f>IF('Ingest Template'!A429="Standard",'Ingest Template'!N429,"Competitive View")</f>
        <v>Competitive View</v>
      </c>
      <c r="L430" s="41" t="s">
        <v>145</v>
      </c>
      <c r="M430" s="25" t="str">
        <f>'Ingest Template'!D429</f>
        <v/>
      </c>
      <c r="N430" s="25"/>
      <c r="O430" s="25"/>
      <c r="P430" s="25"/>
      <c r="Q430" s="25"/>
      <c r="R430" s="25" t="str">
        <f>CONCATENATE('Ingest Template'!F429)</f>
        <v/>
      </c>
      <c r="S430" s="43" t="s">
        <v>160</v>
      </c>
      <c r="T430" s="25" t="str">
        <f>'Ingest Template'!W429</f>
        <v/>
      </c>
      <c r="U430" s="25"/>
      <c r="V430" s="25" t="str">
        <f>LOWER(SUBSTITUTE(SUBSTITUTE(SUBSTITUTE(SUBSTITUTE(SUBSTITUTE('Ingest Template'!Y429,"https:",""),"www.",""),"/",""),"?hl=en",""),"instagram.com",""))</f>
        <v/>
      </c>
      <c r="W430" s="34" t="str">
        <f>(IFERROR(vlookup('Ingest Template'!F430,DropDown!D:E,2,false)&amp;'Ingest Template'!C430,""))</f>
        <v/>
      </c>
      <c r="X430" s="25" t="str">
        <f>'Ingest Template'!AA429</f>
        <v/>
      </c>
      <c r="Y430" s="25"/>
      <c r="Z430" s="25"/>
      <c r="AA430" s="25"/>
      <c r="AB430" s="25" t="str">
        <f>'Ingest Template'!T429</f>
        <v/>
      </c>
      <c r="AC430" s="25"/>
      <c r="AD430" s="25" t="str">
        <f>'Ingest Template'!U429</f>
        <v/>
      </c>
      <c r="AE430" s="25" t="str">
        <f>'Ingest Template'!V429</f>
        <v/>
      </c>
      <c r="AF430" s="25"/>
      <c r="AG430" s="25" t="str">
        <f t="array" ref="AG430">IF('Ingest Template'!A429="Standard",(CONCATENATE(IF(ISBLANK('Ingest Template'!O429),"", 'Ingest Template'!O429&amp;"|DAR"),CHAR(10), IF(ISBLANK('Ingest Template'!P429),"", 'Ingest Template'!P429&amp;"|DAR"),CHAR(10), IF(ISBLANK('Ingest Template'!Q429),"", 'Ingest Template'!Q429&amp;"|DAR"))),(CONCATENATE(IF(ISBLANK('Ingest Template'!O429),"", 'Ingest Template'!O429&amp;"|Operations - Core Title"),CHAR(10), IF(ISBLANK('Ingest Template'!P429),"", 'Ingest Template'!P429&amp;"|Operations - Core Title"),CHAR(10), IF(ISBLANK('Ingest Template'!Q429),"", 'Ingest Template'!Q429&amp;"|Operations - Core Title"))))</f>
        <v>#|Operations - Core Title
#videoGame|Operations - Core Title
</v>
      </c>
      <c r="AH430" s="25"/>
      <c r="AI430" s="25"/>
      <c r="AJ430" s="50" t="str">
        <f>if('Ingest Template'!A429="Standard",'Ingest Template'!R429&amp; "|DAR|DAR|2021-01-01",'Ingest Template'!R429&amp; "|Operations - Core Title|Operations - Core Title")</f>
        <v>#N/A</v>
      </c>
      <c r="AK430" s="25"/>
      <c r="AL430" s="25" t="str">
        <f>if('Ingest Template'!A429="Standard",'Ingest Template'!S429&amp; "|2021-01-01",'Ingest Template'!S429)</f>
        <v>#N/A</v>
      </c>
      <c r="AM430" s="25"/>
    </row>
    <row r="431">
      <c r="A431" s="25"/>
      <c r="B431" s="25" t="str">
        <f>'Ingest Template'!C430&amp;IF('Ingest Template'!A430 = "Standard", " - DAR","")</f>
        <v/>
      </c>
      <c r="C431" s="34" t="s">
        <v>92</v>
      </c>
      <c r="D431" s="34" t="str">
        <f>CONCATENATE('Ingest Template'!E431&amp;Char(10)&amp;'Ingest Template'!G431&amp;Char(10)&amp;'Ingest Template'!H431&amp;Char(10)&amp;'Ingest Template'!I431&amp;Char(10)&amp;'Ingest Template'!J431&amp;Char(10)&amp;'Ingest Template'!K431&amp;Char(10)&amp;'Ingest Template'!L431)</f>
        <v>
</v>
      </c>
      <c r="E431" s="25" t="str">
        <f>('Ingest Template'!M431)</f>
        <v/>
      </c>
      <c r="F431" s="40" t="str">
        <f t="array" ref="F431">INDEX(DropDown!$J$2:$J$63,MATCH(1,COUNTIF(E431,DropDown!$I$2:$I$63),0))</f>
        <v>#N/A</v>
      </c>
      <c r="G431" s="25"/>
      <c r="H431" s="25"/>
      <c r="I431" s="25"/>
      <c r="J431" s="25" t="str">
        <f>'Ingest Template'!B431</f>
        <v/>
      </c>
      <c r="K431" s="25" t="str">
        <f>IF('Ingest Template'!A430="Standard",'Ingest Template'!N430,"Competitive View")</f>
        <v>Competitive View</v>
      </c>
      <c r="L431" s="41" t="s">
        <v>145</v>
      </c>
      <c r="M431" s="25" t="str">
        <f>'Ingest Template'!D430</f>
        <v/>
      </c>
      <c r="N431" s="25"/>
      <c r="O431" s="25"/>
      <c r="P431" s="25"/>
      <c r="Q431" s="25"/>
      <c r="R431" s="25" t="str">
        <f>CONCATENATE('Ingest Template'!F430)</f>
        <v/>
      </c>
      <c r="S431" s="43" t="s">
        <v>160</v>
      </c>
      <c r="T431" s="25" t="str">
        <f>'Ingest Template'!W430</f>
        <v/>
      </c>
      <c r="U431" s="25"/>
      <c r="V431" s="25" t="str">
        <f>LOWER(SUBSTITUTE(SUBSTITUTE(SUBSTITUTE(SUBSTITUTE(SUBSTITUTE('Ingest Template'!Y430,"https:",""),"www.",""),"/",""),"?hl=en",""),"instagram.com",""))</f>
        <v/>
      </c>
      <c r="W431" s="34" t="str">
        <f>(IFERROR(vlookup('Ingest Template'!F431,DropDown!D:E,2,false)&amp;'Ingest Template'!C431,""))</f>
        <v/>
      </c>
      <c r="X431" s="25" t="str">
        <f>'Ingest Template'!AA430</f>
        <v/>
      </c>
      <c r="Y431" s="25"/>
      <c r="Z431" s="25"/>
      <c r="AA431" s="25"/>
      <c r="AB431" s="25" t="str">
        <f>'Ingest Template'!T430</f>
        <v/>
      </c>
      <c r="AC431" s="25"/>
      <c r="AD431" s="25" t="str">
        <f>'Ingest Template'!U430</f>
        <v/>
      </c>
      <c r="AE431" s="25" t="str">
        <f>'Ingest Template'!V430</f>
        <v/>
      </c>
      <c r="AF431" s="25"/>
      <c r="AG431" s="25" t="str">
        <f t="array" ref="AG431">IF('Ingest Template'!A430="Standard",(CONCATENATE(IF(ISBLANK('Ingest Template'!O430),"", 'Ingest Template'!O430&amp;"|DAR"),CHAR(10), IF(ISBLANK('Ingest Template'!P430),"", 'Ingest Template'!P430&amp;"|DAR"),CHAR(10), IF(ISBLANK('Ingest Template'!Q430),"", 'Ingest Template'!Q430&amp;"|DAR"))),(CONCATENATE(IF(ISBLANK('Ingest Template'!O430),"", 'Ingest Template'!O430&amp;"|Operations - Core Title"),CHAR(10), IF(ISBLANK('Ingest Template'!P430),"", 'Ingest Template'!P430&amp;"|Operations - Core Title"),CHAR(10), IF(ISBLANK('Ingest Template'!Q430),"", 'Ingest Template'!Q430&amp;"|Operations - Core Title"))))</f>
        <v>#|Operations - Core Title
#videoGame|Operations - Core Title
</v>
      </c>
      <c r="AH431" s="25"/>
      <c r="AI431" s="25"/>
      <c r="AJ431" s="50" t="str">
        <f>if('Ingest Template'!A430="Standard",'Ingest Template'!R430&amp; "|DAR|DAR|2021-01-01",'Ingest Template'!R430&amp; "|Operations - Core Title|Operations - Core Title")</f>
        <v>#N/A</v>
      </c>
      <c r="AK431" s="25"/>
      <c r="AL431" s="25" t="str">
        <f>if('Ingest Template'!A430="Standard",'Ingest Template'!S430&amp; "|2021-01-01",'Ingest Template'!S430)</f>
        <v>#N/A</v>
      </c>
      <c r="AM431" s="25"/>
    </row>
    <row r="432">
      <c r="A432" s="25"/>
      <c r="B432" s="25" t="str">
        <f>'Ingest Template'!C431&amp;IF('Ingest Template'!A431 = "Standard", " - DAR","")</f>
        <v/>
      </c>
      <c r="C432" s="34" t="s">
        <v>92</v>
      </c>
      <c r="D432" s="34" t="str">
        <f>CONCATENATE('Ingest Template'!E432&amp;Char(10)&amp;'Ingest Template'!G432&amp;Char(10)&amp;'Ingest Template'!H432&amp;Char(10)&amp;'Ingest Template'!I432&amp;Char(10)&amp;'Ingest Template'!J432&amp;Char(10)&amp;'Ingest Template'!K432&amp;Char(10)&amp;'Ingest Template'!L432)</f>
        <v>
</v>
      </c>
      <c r="E432" s="25" t="str">
        <f>('Ingest Template'!M432)</f>
        <v/>
      </c>
      <c r="F432" s="40" t="str">
        <f t="array" ref="F432">INDEX(DropDown!$J$2:$J$63,MATCH(1,COUNTIF(E432,DropDown!$I$2:$I$63),0))</f>
        <v>#N/A</v>
      </c>
      <c r="G432" s="25"/>
      <c r="H432" s="25"/>
      <c r="I432" s="25"/>
      <c r="J432" s="25" t="str">
        <f>'Ingest Template'!B432</f>
        <v/>
      </c>
      <c r="K432" s="25" t="str">
        <f>IF('Ingest Template'!A431="Standard",'Ingest Template'!N431,"Competitive View")</f>
        <v>Competitive View</v>
      </c>
      <c r="L432" s="41" t="s">
        <v>145</v>
      </c>
      <c r="M432" s="25" t="str">
        <f>'Ingest Template'!D431</f>
        <v/>
      </c>
      <c r="N432" s="25"/>
      <c r="O432" s="25"/>
      <c r="P432" s="25"/>
      <c r="Q432" s="25"/>
      <c r="R432" s="25" t="str">
        <f>CONCATENATE('Ingest Template'!F431)</f>
        <v/>
      </c>
      <c r="S432" s="43" t="s">
        <v>160</v>
      </c>
      <c r="T432" s="25" t="str">
        <f>'Ingest Template'!W431</f>
        <v/>
      </c>
      <c r="U432" s="25"/>
      <c r="V432" s="25" t="str">
        <f>LOWER(SUBSTITUTE(SUBSTITUTE(SUBSTITUTE(SUBSTITUTE(SUBSTITUTE('Ingest Template'!Y431,"https:",""),"www.",""),"/",""),"?hl=en",""),"instagram.com",""))</f>
        <v/>
      </c>
      <c r="W432" s="34" t="str">
        <f>(IFERROR(vlookup('Ingest Template'!F432,DropDown!D:E,2,false)&amp;'Ingest Template'!C432,""))</f>
        <v/>
      </c>
      <c r="X432" s="25" t="str">
        <f>'Ingest Template'!AA431</f>
        <v/>
      </c>
      <c r="Y432" s="25"/>
      <c r="Z432" s="25"/>
      <c r="AA432" s="25"/>
      <c r="AB432" s="25" t="str">
        <f>'Ingest Template'!T431</f>
        <v/>
      </c>
      <c r="AC432" s="25"/>
      <c r="AD432" s="25" t="str">
        <f>'Ingest Template'!U431</f>
        <v/>
      </c>
      <c r="AE432" s="25" t="str">
        <f>'Ingest Template'!V431</f>
        <v/>
      </c>
      <c r="AF432" s="25"/>
      <c r="AG432" s="25" t="str">
        <f t="array" ref="AG432">IF('Ingest Template'!A431="Standard",(CONCATENATE(IF(ISBLANK('Ingest Template'!O431),"", 'Ingest Template'!O431&amp;"|DAR"),CHAR(10), IF(ISBLANK('Ingest Template'!P431),"", 'Ingest Template'!P431&amp;"|DAR"),CHAR(10), IF(ISBLANK('Ingest Template'!Q431),"", 'Ingest Template'!Q431&amp;"|DAR"))),(CONCATENATE(IF(ISBLANK('Ingest Template'!O431),"", 'Ingest Template'!O431&amp;"|Operations - Core Title"),CHAR(10), IF(ISBLANK('Ingest Template'!P431),"", 'Ingest Template'!P431&amp;"|Operations - Core Title"),CHAR(10), IF(ISBLANK('Ingest Template'!Q431),"", 'Ingest Template'!Q431&amp;"|Operations - Core Title"))))</f>
        <v>#|Operations - Core Title
#videoGame|Operations - Core Title
</v>
      </c>
      <c r="AH432" s="25"/>
      <c r="AI432" s="25"/>
      <c r="AJ432" s="50" t="str">
        <f>if('Ingest Template'!A431="Standard",'Ingest Template'!R431&amp; "|DAR|DAR|2021-01-01",'Ingest Template'!R431&amp; "|Operations - Core Title|Operations - Core Title")</f>
        <v>#N/A</v>
      </c>
      <c r="AK432" s="25"/>
      <c r="AL432" s="25" t="str">
        <f>if('Ingest Template'!A431="Standard",'Ingest Template'!S431&amp; "|2021-01-01",'Ingest Template'!S431)</f>
        <v>#N/A</v>
      </c>
      <c r="AM432" s="25"/>
    </row>
    <row r="433">
      <c r="A433" s="25"/>
      <c r="B433" s="25" t="str">
        <f>'Ingest Template'!C432&amp;IF('Ingest Template'!A432 = "Standard", " - DAR","")</f>
        <v/>
      </c>
      <c r="C433" s="34" t="s">
        <v>92</v>
      </c>
      <c r="D433" s="34" t="str">
        <f>CONCATENATE('Ingest Template'!E433&amp;Char(10)&amp;'Ingest Template'!G433&amp;Char(10)&amp;'Ingest Template'!H433&amp;Char(10)&amp;'Ingest Template'!I433&amp;Char(10)&amp;'Ingest Template'!J433&amp;Char(10)&amp;'Ingest Template'!K433&amp;Char(10)&amp;'Ingest Template'!L433)</f>
        <v>
</v>
      </c>
      <c r="E433" s="25" t="str">
        <f>('Ingest Template'!M433)</f>
        <v/>
      </c>
      <c r="F433" s="40" t="str">
        <f t="array" ref="F433">INDEX(DropDown!$J$2:$J$63,MATCH(1,COUNTIF(E433,DropDown!$I$2:$I$63),0))</f>
        <v>#N/A</v>
      </c>
      <c r="G433" s="25"/>
      <c r="H433" s="25"/>
      <c r="I433" s="25"/>
      <c r="J433" s="25" t="str">
        <f>'Ingest Template'!B433</f>
        <v/>
      </c>
      <c r="K433" s="25" t="str">
        <f>IF('Ingest Template'!A432="Standard",'Ingest Template'!N432,"Competitive View")</f>
        <v>Competitive View</v>
      </c>
      <c r="L433" s="41" t="s">
        <v>145</v>
      </c>
      <c r="M433" s="25" t="str">
        <f>'Ingest Template'!D432</f>
        <v/>
      </c>
      <c r="N433" s="25"/>
      <c r="O433" s="25"/>
      <c r="P433" s="25"/>
      <c r="Q433" s="25"/>
      <c r="R433" s="25" t="str">
        <f>CONCATENATE('Ingest Template'!F432)</f>
        <v/>
      </c>
      <c r="S433" s="43" t="s">
        <v>160</v>
      </c>
      <c r="T433" s="25" t="str">
        <f>'Ingest Template'!W432</f>
        <v/>
      </c>
      <c r="U433" s="25"/>
      <c r="V433" s="25" t="str">
        <f>LOWER(SUBSTITUTE(SUBSTITUTE(SUBSTITUTE(SUBSTITUTE(SUBSTITUTE('Ingest Template'!Y432,"https:",""),"www.",""),"/",""),"?hl=en",""),"instagram.com",""))</f>
        <v/>
      </c>
      <c r="W433" s="34" t="str">
        <f>(IFERROR(vlookup('Ingest Template'!F433,DropDown!D:E,2,false)&amp;'Ingest Template'!C433,""))</f>
        <v/>
      </c>
      <c r="X433" s="25" t="str">
        <f>'Ingest Template'!AA432</f>
        <v/>
      </c>
      <c r="Y433" s="25"/>
      <c r="Z433" s="25"/>
      <c r="AA433" s="25"/>
      <c r="AB433" s="25" t="str">
        <f>'Ingest Template'!T432</f>
        <v/>
      </c>
      <c r="AC433" s="25"/>
      <c r="AD433" s="25" t="str">
        <f>'Ingest Template'!U432</f>
        <v/>
      </c>
      <c r="AE433" s="25" t="str">
        <f>'Ingest Template'!V432</f>
        <v/>
      </c>
      <c r="AF433" s="25"/>
      <c r="AG433" s="25" t="str">
        <f t="array" ref="AG433">IF('Ingest Template'!A432="Standard",(CONCATENATE(IF(ISBLANK('Ingest Template'!O432),"", 'Ingest Template'!O432&amp;"|DAR"),CHAR(10), IF(ISBLANK('Ingest Template'!P432),"", 'Ingest Template'!P432&amp;"|DAR"),CHAR(10), IF(ISBLANK('Ingest Template'!Q432),"", 'Ingest Template'!Q432&amp;"|DAR"))),(CONCATENATE(IF(ISBLANK('Ingest Template'!O432),"", 'Ingest Template'!O432&amp;"|Operations - Core Title"),CHAR(10), IF(ISBLANK('Ingest Template'!P432),"", 'Ingest Template'!P432&amp;"|Operations - Core Title"),CHAR(10), IF(ISBLANK('Ingest Template'!Q432),"", 'Ingest Template'!Q432&amp;"|Operations - Core Title"))))</f>
        <v>#|Operations - Core Title
#videoGame|Operations - Core Title
</v>
      </c>
      <c r="AH433" s="25"/>
      <c r="AI433" s="25"/>
      <c r="AJ433" s="50" t="str">
        <f>if('Ingest Template'!A432="Standard",'Ingest Template'!R432&amp; "|DAR|DAR|2021-01-01",'Ingest Template'!R432&amp; "|Operations - Core Title|Operations - Core Title")</f>
        <v>#N/A</v>
      </c>
      <c r="AK433" s="25"/>
      <c r="AL433" s="25" t="str">
        <f>if('Ingest Template'!A432="Standard",'Ingest Template'!S432&amp; "|2021-01-01",'Ingest Template'!S432)</f>
        <v>#N/A</v>
      </c>
      <c r="AM433" s="25"/>
    </row>
    <row r="434">
      <c r="A434" s="25"/>
      <c r="B434" s="25" t="str">
        <f>'Ingest Template'!C433&amp;IF('Ingest Template'!A433 = "Standard", " - DAR","")</f>
        <v/>
      </c>
      <c r="C434" s="34" t="s">
        <v>92</v>
      </c>
      <c r="D434" s="34" t="str">
        <f>CONCATENATE('Ingest Template'!E434&amp;Char(10)&amp;'Ingest Template'!G434&amp;Char(10)&amp;'Ingest Template'!H434&amp;Char(10)&amp;'Ingest Template'!I434&amp;Char(10)&amp;'Ingest Template'!J434&amp;Char(10)&amp;'Ingest Template'!K434&amp;Char(10)&amp;'Ingest Template'!L434)</f>
        <v>
</v>
      </c>
      <c r="E434" s="25" t="str">
        <f>('Ingest Template'!M434)</f>
        <v/>
      </c>
      <c r="F434" s="40" t="str">
        <f t="array" ref="F434">INDEX(DropDown!$J$2:$J$63,MATCH(1,COUNTIF(E434,DropDown!$I$2:$I$63),0))</f>
        <v>#N/A</v>
      </c>
      <c r="G434" s="25"/>
      <c r="H434" s="25"/>
      <c r="I434" s="25"/>
      <c r="J434" s="25" t="str">
        <f>'Ingest Template'!B434</f>
        <v/>
      </c>
      <c r="K434" s="25" t="str">
        <f>IF('Ingest Template'!A433="Standard",'Ingest Template'!N433,"Competitive View")</f>
        <v>Competitive View</v>
      </c>
      <c r="L434" s="41" t="s">
        <v>145</v>
      </c>
      <c r="M434" s="25" t="str">
        <f>'Ingest Template'!D433</f>
        <v/>
      </c>
      <c r="N434" s="25"/>
      <c r="O434" s="25"/>
      <c r="P434" s="25"/>
      <c r="Q434" s="25"/>
      <c r="R434" s="25" t="str">
        <f>CONCATENATE('Ingest Template'!F433)</f>
        <v/>
      </c>
      <c r="S434" s="43" t="s">
        <v>160</v>
      </c>
      <c r="T434" s="25" t="str">
        <f>'Ingest Template'!W433</f>
        <v/>
      </c>
      <c r="U434" s="25"/>
      <c r="V434" s="25" t="str">
        <f>LOWER(SUBSTITUTE(SUBSTITUTE(SUBSTITUTE(SUBSTITUTE(SUBSTITUTE('Ingest Template'!Y433,"https:",""),"www.",""),"/",""),"?hl=en",""),"instagram.com",""))</f>
        <v/>
      </c>
      <c r="W434" s="34" t="str">
        <f>(IFERROR(vlookup('Ingest Template'!F434,DropDown!D:E,2,false)&amp;'Ingest Template'!C434,""))</f>
        <v/>
      </c>
      <c r="X434" s="25" t="str">
        <f>'Ingest Template'!AA433</f>
        <v/>
      </c>
      <c r="Y434" s="25"/>
      <c r="Z434" s="25"/>
      <c r="AA434" s="25"/>
      <c r="AB434" s="25" t="str">
        <f>'Ingest Template'!T433</f>
        <v/>
      </c>
      <c r="AC434" s="25"/>
      <c r="AD434" s="25" t="str">
        <f>'Ingest Template'!U433</f>
        <v/>
      </c>
      <c r="AE434" s="25" t="str">
        <f>'Ingest Template'!V433</f>
        <v/>
      </c>
      <c r="AF434" s="25"/>
      <c r="AG434" s="25" t="str">
        <f t="array" ref="AG434">IF('Ingest Template'!A433="Standard",(CONCATENATE(IF(ISBLANK('Ingest Template'!O433),"", 'Ingest Template'!O433&amp;"|DAR"),CHAR(10), IF(ISBLANK('Ingest Template'!P433),"", 'Ingest Template'!P433&amp;"|DAR"),CHAR(10), IF(ISBLANK('Ingest Template'!Q433),"", 'Ingest Template'!Q433&amp;"|DAR"))),(CONCATENATE(IF(ISBLANK('Ingest Template'!O433),"", 'Ingest Template'!O433&amp;"|Operations - Core Title"),CHAR(10), IF(ISBLANK('Ingest Template'!P433),"", 'Ingest Template'!P433&amp;"|Operations - Core Title"),CHAR(10), IF(ISBLANK('Ingest Template'!Q433),"", 'Ingest Template'!Q433&amp;"|Operations - Core Title"))))</f>
        <v>#|Operations - Core Title
#videoGame|Operations - Core Title
</v>
      </c>
      <c r="AH434" s="25"/>
      <c r="AI434" s="25"/>
      <c r="AJ434" s="50" t="str">
        <f>if('Ingest Template'!A433="Standard",'Ingest Template'!R433&amp; "|DAR|DAR|2021-01-01",'Ingest Template'!R433&amp; "|Operations - Core Title|Operations - Core Title")</f>
        <v>#N/A</v>
      </c>
      <c r="AK434" s="25"/>
      <c r="AL434" s="25" t="str">
        <f>if('Ingest Template'!A433="Standard",'Ingest Template'!S433&amp; "|2021-01-01",'Ingest Template'!S433)</f>
        <v>#N/A</v>
      </c>
      <c r="AM434" s="25"/>
    </row>
    <row r="435">
      <c r="A435" s="25"/>
      <c r="B435" s="25" t="str">
        <f>'Ingest Template'!C434&amp;IF('Ingest Template'!A434 = "Standard", " - DAR","")</f>
        <v/>
      </c>
      <c r="C435" s="34" t="s">
        <v>92</v>
      </c>
      <c r="D435" s="34" t="str">
        <f>CONCATENATE('Ingest Template'!E435&amp;Char(10)&amp;'Ingest Template'!G435&amp;Char(10)&amp;'Ingest Template'!H435&amp;Char(10)&amp;'Ingest Template'!I435&amp;Char(10)&amp;'Ingest Template'!J435&amp;Char(10)&amp;'Ingest Template'!K435&amp;Char(10)&amp;'Ingest Template'!L435)</f>
        <v>
</v>
      </c>
      <c r="E435" s="25" t="str">
        <f>('Ingest Template'!M435)</f>
        <v/>
      </c>
      <c r="F435" s="40" t="str">
        <f t="array" ref="F435">INDEX(DropDown!$J$2:$J$63,MATCH(1,COUNTIF(E435,DropDown!$I$2:$I$63),0))</f>
        <v>#N/A</v>
      </c>
      <c r="G435" s="25"/>
      <c r="H435" s="25"/>
      <c r="I435" s="25"/>
      <c r="J435" s="25" t="str">
        <f>'Ingest Template'!B435</f>
        <v/>
      </c>
      <c r="K435" s="25" t="str">
        <f>IF('Ingest Template'!A434="Standard",'Ingest Template'!N434,"Competitive View")</f>
        <v>Competitive View</v>
      </c>
      <c r="L435" s="41" t="s">
        <v>145</v>
      </c>
      <c r="M435" s="25" t="str">
        <f>'Ingest Template'!D434</f>
        <v/>
      </c>
      <c r="N435" s="25"/>
      <c r="O435" s="25"/>
      <c r="P435" s="25"/>
      <c r="Q435" s="25"/>
      <c r="R435" s="25" t="str">
        <f>CONCATENATE('Ingest Template'!F434)</f>
        <v/>
      </c>
      <c r="S435" s="43" t="s">
        <v>160</v>
      </c>
      <c r="T435" s="25" t="str">
        <f>'Ingest Template'!W434</f>
        <v/>
      </c>
      <c r="U435" s="25"/>
      <c r="V435" s="25" t="str">
        <f>LOWER(SUBSTITUTE(SUBSTITUTE(SUBSTITUTE(SUBSTITUTE(SUBSTITUTE('Ingest Template'!Y434,"https:",""),"www.",""),"/",""),"?hl=en",""),"instagram.com",""))</f>
        <v/>
      </c>
      <c r="W435" s="34" t="str">
        <f>(IFERROR(vlookup('Ingest Template'!F435,DropDown!D:E,2,false)&amp;'Ingest Template'!C435,""))</f>
        <v/>
      </c>
      <c r="X435" s="25" t="str">
        <f>'Ingest Template'!AA434</f>
        <v/>
      </c>
      <c r="Y435" s="25"/>
      <c r="Z435" s="25"/>
      <c r="AA435" s="25"/>
      <c r="AB435" s="25" t="str">
        <f>'Ingest Template'!T434</f>
        <v/>
      </c>
      <c r="AC435" s="25"/>
      <c r="AD435" s="25" t="str">
        <f>'Ingest Template'!U434</f>
        <v/>
      </c>
      <c r="AE435" s="25" t="str">
        <f>'Ingest Template'!V434</f>
        <v/>
      </c>
      <c r="AF435" s="25"/>
      <c r="AG435" s="25" t="str">
        <f t="array" ref="AG435">IF('Ingest Template'!A434="Standard",(CONCATENATE(IF(ISBLANK('Ingest Template'!O434),"", 'Ingest Template'!O434&amp;"|DAR"),CHAR(10), IF(ISBLANK('Ingest Template'!P434),"", 'Ingest Template'!P434&amp;"|DAR"),CHAR(10), IF(ISBLANK('Ingest Template'!Q434),"", 'Ingest Template'!Q434&amp;"|DAR"))),(CONCATENATE(IF(ISBLANK('Ingest Template'!O434),"", 'Ingest Template'!O434&amp;"|Operations - Core Title"),CHAR(10), IF(ISBLANK('Ingest Template'!P434),"", 'Ingest Template'!P434&amp;"|Operations - Core Title"),CHAR(10), IF(ISBLANK('Ingest Template'!Q434),"", 'Ingest Template'!Q434&amp;"|Operations - Core Title"))))</f>
        <v>#|Operations - Core Title
#videoGame|Operations - Core Title
</v>
      </c>
      <c r="AH435" s="25"/>
      <c r="AI435" s="25"/>
      <c r="AJ435" s="50" t="str">
        <f>if('Ingest Template'!A434="Standard",'Ingest Template'!R434&amp; "|DAR|DAR|2021-01-01",'Ingest Template'!R434&amp; "|Operations - Core Title|Operations - Core Title")</f>
        <v>#N/A</v>
      </c>
      <c r="AK435" s="25"/>
      <c r="AL435" s="25" t="str">
        <f>if('Ingest Template'!A434="Standard",'Ingest Template'!S434&amp; "|2021-01-01",'Ingest Template'!S434)</f>
        <v>#N/A</v>
      </c>
      <c r="AM435" s="25"/>
    </row>
    <row r="436">
      <c r="A436" s="25"/>
      <c r="B436" s="25" t="str">
        <f>'Ingest Template'!C435&amp;IF('Ingest Template'!A435 = "Standard", " - DAR","")</f>
        <v/>
      </c>
      <c r="C436" s="34" t="s">
        <v>92</v>
      </c>
      <c r="D436" s="34" t="str">
        <f>CONCATENATE('Ingest Template'!E436&amp;Char(10)&amp;'Ingest Template'!G436&amp;Char(10)&amp;'Ingest Template'!H436&amp;Char(10)&amp;'Ingest Template'!I436&amp;Char(10)&amp;'Ingest Template'!J436&amp;Char(10)&amp;'Ingest Template'!K436&amp;Char(10)&amp;'Ingest Template'!L436)</f>
        <v>
</v>
      </c>
      <c r="E436" s="25" t="str">
        <f>('Ingest Template'!M436)</f>
        <v/>
      </c>
      <c r="F436" s="40" t="str">
        <f t="array" ref="F436">INDEX(DropDown!$J$2:$J$63,MATCH(1,COUNTIF(E436,DropDown!$I$2:$I$63),0))</f>
        <v>#N/A</v>
      </c>
      <c r="G436" s="25"/>
      <c r="H436" s="25"/>
      <c r="I436" s="25"/>
      <c r="J436" s="25" t="str">
        <f>'Ingest Template'!B436</f>
        <v/>
      </c>
      <c r="K436" s="25" t="str">
        <f>IF('Ingest Template'!A435="Standard",'Ingest Template'!N435,"Competitive View")</f>
        <v>Competitive View</v>
      </c>
      <c r="L436" s="41" t="s">
        <v>145</v>
      </c>
      <c r="M436" s="25" t="str">
        <f>'Ingest Template'!D435</f>
        <v/>
      </c>
      <c r="N436" s="25"/>
      <c r="O436" s="25"/>
      <c r="P436" s="25"/>
      <c r="Q436" s="25"/>
      <c r="R436" s="25" t="str">
        <f>CONCATENATE('Ingest Template'!F435)</f>
        <v/>
      </c>
      <c r="S436" s="43" t="s">
        <v>160</v>
      </c>
      <c r="T436" s="25" t="str">
        <f>'Ingest Template'!W435</f>
        <v/>
      </c>
      <c r="U436" s="25"/>
      <c r="V436" s="25" t="str">
        <f>LOWER(SUBSTITUTE(SUBSTITUTE(SUBSTITUTE(SUBSTITUTE(SUBSTITUTE('Ingest Template'!Y435,"https:",""),"www.",""),"/",""),"?hl=en",""),"instagram.com",""))</f>
        <v/>
      </c>
      <c r="W436" s="34" t="str">
        <f>(IFERROR(vlookup('Ingest Template'!F436,DropDown!D:E,2,false)&amp;'Ingest Template'!C436,""))</f>
        <v/>
      </c>
      <c r="X436" s="25" t="str">
        <f>'Ingest Template'!AA435</f>
        <v/>
      </c>
      <c r="Y436" s="25"/>
      <c r="Z436" s="25"/>
      <c r="AA436" s="25"/>
      <c r="AB436" s="25" t="str">
        <f>'Ingest Template'!T435</f>
        <v/>
      </c>
      <c r="AC436" s="25"/>
      <c r="AD436" s="25" t="str">
        <f>'Ingest Template'!U435</f>
        <v/>
      </c>
      <c r="AE436" s="25" t="str">
        <f>'Ingest Template'!V435</f>
        <v/>
      </c>
      <c r="AF436" s="25"/>
      <c r="AG436" s="25" t="str">
        <f t="array" ref="AG436">IF('Ingest Template'!A435="Standard",(CONCATENATE(IF(ISBLANK('Ingest Template'!O435),"", 'Ingest Template'!O435&amp;"|DAR"),CHAR(10), IF(ISBLANK('Ingest Template'!P435),"", 'Ingest Template'!P435&amp;"|DAR"),CHAR(10), IF(ISBLANK('Ingest Template'!Q435),"", 'Ingest Template'!Q435&amp;"|DAR"))),(CONCATENATE(IF(ISBLANK('Ingest Template'!O435),"", 'Ingest Template'!O435&amp;"|Operations - Core Title"),CHAR(10), IF(ISBLANK('Ingest Template'!P435),"", 'Ingest Template'!P435&amp;"|Operations - Core Title"),CHAR(10), IF(ISBLANK('Ingest Template'!Q435),"", 'Ingest Template'!Q435&amp;"|Operations - Core Title"))))</f>
        <v>#|Operations - Core Title
#videoGame|Operations - Core Title
</v>
      </c>
      <c r="AH436" s="25"/>
      <c r="AI436" s="25"/>
      <c r="AJ436" s="50" t="str">
        <f>if('Ingest Template'!A435="Standard",'Ingest Template'!R435&amp; "|DAR|DAR|2021-01-01",'Ingest Template'!R435&amp; "|Operations - Core Title|Operations - Core Title")</f>
        <v>#N/A</v>
      </c>
      <c r="AK436" s="25"/>
      <c r="AL436" s="25" t="str">
        <f>if('Ingest Template'!A435="Standard",'Ingest Template'!S435&amp; "|2021-01-01",'Ingest Template'!S435)</f>
        <v>#N/A</v>
      </c>
      <c r="AM436" s="25"/>
    </row>
    <row r="437">
      <c r="A437" s="25"/>
      <c r="B437" s="25" t="str">
        <f>'Ingest Template'!C436&amp;IF('Ingest Template'!A436 = "Standard", " - DAR","")</f>
        <v/>
      </c>
      <c r="C437" s="34" t="s">
        <v>92</v>
      </c>
      <c r="D437" s="34" t="str">
        <f>CONCATENATE('Ingest Template'!E437&amp;Char(10)&amp;'Ingest Template'!G437&amp;Char(10)&amp;'Ingest Template'!H437&amp;Char(10)&amp;'Ingest Template'!I437&amp;Char(10)&amp;'Ingest Template'!J437&amp;Char(10)&amp;'Ingest Template'!K437&amp;Char(10)&amp;'Ingest Template'!L437)</f>
        <v>
</v>
      </c>
      <c r="E437" s="25" t="str">
        <f>('Ingest Template'!M437)</f>
        <v/>
      </c>
      <c r="F437" s="40" t="str">
        <f t="array" ref="F437">INDEX(DropDown!$J$2:$J$63,MATCH(1,COUNTIF(E437,DropDown!$I$2:$I$63),0))</f>
        <v>#N/A</v>
      </c>
      <c r="G437" s="25"/>
      <c r="H437" s="25"/>
      <c r="I437" s="25"/>
      <c r="J437" s="25" t="str">
        <f>'Ingest Template'!B437</f>
        <v/>
      </c>
      <c r="K437" s="25" t="str">
        <f>IF('Ingest Template'!A436="Standard",'Ingest Template'!N436,"Competitive View")</f>
        <v>Competitive View</v>
      </c>
      <c r="L437" s="41" t="s">
        <v>145</v>
      </c>
      <c r="M437" s="25" t="str">
        <f>'Ingest Template'!D436</f>
        <v/>
      </c>
      <c r="N437" s="25"/>
      <c r="O437" s="25"/>
      <c r="P437" s="25"/>
      <c r="Q437" s="25"/>
      <c r="R437" s="25" t="str">
        <f>CONCATENATE('Ingest Template'!F436)</f>
        <v/>
      </c>
      <c r="S437" s="43" t="s">
        <v>160</v>
      </c>
      <c r="T437" s="25" t="str">
        <f>'Ingest Template'!W436</f>
        <v/>
      </c>
      <c r="U437" s="25"/>
      <c r="V437" s="25" t="str">
        <f>LOWER(SUBSTITUTE(SUBSTITUTE(SUBSTITUTE(SUBSTITUTE(SUBSTITUTE('Ingest Template'!Y436,"https:",""),"www.",""),"/",""),"?hl=en",""),"instagram.com",""))</f>
        <v/>
      </c>
      <c r="W437" s="34" t="str">
        <f>(IFERROR(vlookup('Ingest Template'!F437,DropDown!D:E,2,false)&amp;'Ingest Template'!C437,""))</f>
        <v/>
      </c>
      <c r="X437" s="25" t="str">
        <f>'Ingest Template'!AA436</f>
        <v/>
      </c>
      <c r="Y437" s="25"/>
      <c r="Z437" s="25"/>
      <c r="AA437" s="25"/>
      <c r="AB437" s="25" t="str">
        <f>'Ingest Template'!T436</f>
        <v/>
      </c>
      <c r="AC437" s="25"/>
      <c r="AD437" s="25" t="str">
        <f>'Ingest Template'!U436</f>
        <v/>
      </c>
      <c r="AE437" s="25" t="str">
        <f>'Ingest Template'!V436</f>
        <v/>
      </c>
      <c r="AF437" s="25"/>
      <c r="AG437" s="25" t="str">
        <f t="array" ref="AG437">IF('Ingest Template'!A436="Standard",(CONCATENATE(IF(ISBLANK('Ingest Template'!O436),"", 'Ingest Template'!O436&amp;"|DAR"),CHAR(10), IF(ISBLANK('Ingest Template'!P436),"", 'Ingest Template'!P436&amp;"|DAR"),CHAR(10), IF(ISBLANK('Ingest Template'!Q436),"", 'Ingest Template'!Q436&amp;"|DAR"))),(CONCATENATE(IF(ISBLANK('Ingest Template'!O436),"", 'Ingest Template'!O436&amp;"|Operations - Core Title"),CHAR(10), IF(ISBLANK('Ingest Template'!P436),"", 'Ingest Template'!P436&amp;"|Operations - Core Title"),CHAR(10), IF(ISBLANK('Ingest Template'!Q436),"", 'Ingest Template'!Q436&amp;"|Operations - Core Title"))))</f>
        <v>#|Operations - Core Title
#videoGame|Operations - Core Title
</v>
      </c>
      <c r="AH437" s="25"/>
      <c r="AI437" s="25"/>
      <c r="AJ437" s="50" t="str">
        <f>if('Ingest Template'!A436="Standard",'Ingest Template'!R436&amp; "|DAR|DAR|2021-01-01",'Ingest Template'!R436&amp; "|Operations - Core Title|Operations - Core Title")</f>
        <v>#N/A</v>
      </c>
      <c r="AK437" s="25"/>
      <c r="AL437" s="25" t="str">
        <f>if('Ingest Template'!A436="Standard",'Ingest Template'!S436&amp; "|2021-01-01",'Ingest Template'!S436)</f>
        <v>#N/A</v>
      </c>
      <c r="AM437" s="25"/>
    </row>
    <row r="438">
      <c r="A438" s="25"/>
      <c r="B438" s="25" t="str">
        <f>'Ingest Template'!C437&amp;IF('Ingest Template'!A437 = "Standard", " - DAR","")</f>
        <v/>
      </c>
      <c r="C438" s="34" t="s">
        <v>92</v>
      </c>
      <c r="D438" s="34" t="str">
        <f>CONCATENATE('Ingest Template'!E438&amp;Char(10)&amp;'Ingest Template'!G438&amp;Char(10)&amp;'Ingest Template'!H438&amp;Char(10)&amp;'Ingest Template'!I438&amp;Char(10)&amp;'Ingest Template'!J438&amp;Char(10)&amp;'Ingest Template'!K438&amp;Char(10)&amp;'Ingest Template'!L438)</f>
        <v>
</v>
      </c>
      <c r="E438" s="25" t="str">
        <f>('Ingest Template'!M438)</f>
        <v/>
      </c>
      <c r="F438" s="40" t="str">
        <f t="array" ref="F438">INDEX(DropDown!$J$2:$J$63,MATCH(1,COUNTIF(E438,DropDown!$I$2:$I$63),0))</f>
        <v>#N/A</v>
      </c>
      <c r="G438" s="25"/>
      <c r="H438" s="25"/>
      <c r="I438" s="25"/>
      <c r="J438" s="25" t="str">
        <f>'Ingest Template'!B438</f>
        <v/>
      </c>
      <c r="K438" s="25" t="str">
        <f>IF('Ingest Template'!A437="Standard",'Ingest Template'!N437,"Competitive View")</f>
        <v>Competitive View</v>
      </c>
      <c r="L438" s="41" t="s">
        <v>145</v>
      </c>
      <c r="M438" s="25" t="str">
        <f>'Ingest Template'!D437</f>
        <v/>
      </c>
      <c r="N438" s="25"/>
      <c r="O438" s="25"/>
      <c r="P438" s="25"/>
      <c r="Q438" s="25"/>
      <c r="R438" s="25" t="str">
        <f>CONCATENATE('Ingest Template'!F437)</f>
        <v/>
      </c>
      <c r="S438" s="43" t="s">
        <v>160</v>
      </c>
      <c r="T438" s="25" t="str">
        <f>'Ingest Template'!W437</f>
        <v/>
      </c>
      <c r="U438" s="25"/>
      <c r="V438" s="25" t="str">
        <f>LOWER(SUBSTITUTE(SUBSTITUTE(SUBSTITUTE(SUBSTITUTE(SUBSTITUTE('Ingest Template'!Y437,"https:",""),"www.",""),"/",""),"?hl=en",""),"instagram.com",""))</f>
        <v/>
      </c>
      <c r="W438" s="34" t="str">
        <f>(IFERROR(vlookup('Ingest Template'!F438,DropDown!D:E,2,false)&amp;'Ingest Template'!C438,""))</f>
        <v/>
      </c>
      <c r="X438" s="25" t="str">
        <f>'Ingest Template'!AA437</f>
        <v/>
      </c>
      <c r="Y438" s="25"/>
      <c r="Z438" s="25"/>
      <c r="AA438" s="25"/>
      <c r="AB438" s="25" t="str">
        <f>'Ingest Template'!T437</f>
        <v/>
      </c>
      <c r="AC438" s="25"/>
      <c r="AD438" s="25" t="str">
        <f>'Ingest Template'!U437</f>
        <v/>
      </c>
      <c r="AE438" s="25" t="str">
        <f>'Ingest Template'!V437</f>
        <v/>
      </c>
      <c r="AF438" s="25"/>
      <c r="AG438" s="25" t="str">
        <f t="array" ref="AG438">IF('Ingest Template'!A437="Standard",(CONCATENATE(IF(ISBLANK('Ingest Template'!O437),"", 'Ingest Template'!O437&amp;"|DAR"),CHAR(10), IF(ISBLANK('Ingest Template'!P437),"", 'Ingest Template'!P437&amp;"|DAR"),CHAR(10), IF(ISBLANK('Ingest Template'!Q437),"", 'Ingest Template'!Q437&amp;"|DAR"))),(CONCATENATE(IF(ISBLANK('Ingest Template'!O437),"", 'Ingest Template'!O437&amp;"|Operations - Core Title"),CHAR(10), IF(ISBLANK('Ingest Template'!P437),"", 'Ingest Template'!P437&amp;"|Operations - Core Title"),CHAR(10), IF(ISBLANK('Ingest Template'!Q437),"", 'Ingest Template'!Q437&amp;"|Operations - Core Title"))))</f>
        <v>#|Operations - Core Title
#videoGame|Operations - Core Title
</v>
      </c>
      <c r="AH438" s="25"/>
      <c r="AI438" s="25"/>
      <c r="AJ438" s="50" t="str">
        <f>if('Ingest Template'!A437="Standard",'Ingest Template'!R437&amp; "|DAR|DAR|2021-01-01",'Ingest Template'!R437&amp; "|Operations - Core Title|Operations - Core Title")</f>
        <v>#N/A</v>
      </c>
      <c r="AK438" s="25"/>
      <c r="AL438" s="25" t="str">
        <f>if('Ingest Template'!A437="Standard",'Ingest Template'!S437&amp; "|2021-01-01",'Ingest Template'!S437)</f>
        <v>#N/A</v>
      </c>
      <c r="AM438" s="25"/>
    </row>
    <row r="439">
      <c r="A439" s="25"/>
      <c r="B439" s="25" t="str">
        <f>'Ingest Template'!C438&amp;IF('Ingest Template'!A438 = "Standard", " - DAR","")</f>
        <v/>
      </c>
      <c r="C439" s="34" t="s">
        <v>92</v>
      </c>
      <c r="D439" s="34" t="str">
        <f>CONCATENATE('Ingest Template'!E439&amp;Char(10)&amp;'Ingest Template'!G439&amp;Char(10)&amp;'Ingest Template'!H439&amp;Char(10)&amp;'Ingest Template'!I439&amp;Char(10)&amp;'Ingest Template'!J439&amp;Char(10)&amp;'Ingest Template'!K439&amp;Char(10)&amp;'Ingest Template'!L439)</f>
        <v>
</v>
      </c>
      <c r="E439" s="25" t="str">
        <f>('Ingest Template'!M439)</f>
        <v/>
      </c>
      <c r="F439" s="40" t="str">
        <f t="array" ref="F439">INDEX(DropDown!$J$2:$J$63,MATCH(1,COUNTIF(E439,DropDown!$I$2:$I$63),0))</f>
        <v>#N/A</v>
      </c>
      <c r="G439" s="25"/>
      <c r="H439" s="25"/>
      <c r="I439" s="25"/>
      <c r="J439" s="25" t="str">
        <f>'Ingest Template'!B439</f>
        <v/>
      </c>
      <c r="K439" s="25" t="str">
        <f>IF('Ingest Template'!A438="Standard",'Ingest Template'!N438,"Competitive View")</f>
        <v>Competitive View</v>
      </c>
      <c r="L439" s="41" t="s">
        <v>145</v>
      </c>
      <c r="M439" s="25" t="str">
        <f>'Ingest Template'!D438</f>
        <v/>
      </c>
      <c r="N439" s="25"/>
      <c r="O439" s="25"/>
      <c r="P439" s="25"/>
      <c r="Q439" s="25"/>
      <c r="R439" s="25" t="str">
        <f>CONCATENATE('Ingest Template'!F438)</f>
        <v/>
      </c>
      <c r="S439" s="43" t="s">
        <v>160</v>
      </c>
      <c r="T439" s="25" t="str">
        <f>'Ingest Template'!W438</f>
        <v/>
      </c>
      <c r="U439" s="25"/>
      <c r="V439" s="25" t="str">
        <f>LOWER(SUBSTITUTE(SUBSTITUTE(SUBSTITUTE(SUBSTITUTE(SUBSTITUTE('Ingest Template'!Y438,"https:",""),"www.",""),"/",""),"?hl=en",""),"instagram.com",""))</f>
        <v/>
      </c>
      <c r="W439" s="34" t="str">
        <f>(IFERROR(vlookup('Ingest Template'!F439,DropDown!D:E,2,false)&amp;'Ingest Template'!C439,""))</f>
        <v/>
      </c>
      <c r="X439" s="25" t="str">
        <f>'Ingest Template'!AA438</f>
        <v/>
      </c>
      <c r="Y439" s="25"/>
      <c r="Z439" s="25"/>
      <c r="AA439" s="25"/>
      <c r="AB439" s="25" t="str">
        <f>'Ingest Template'!T438</f>
        <v/>
      </c>
      <c r="AC439" s="25"/>
      <c r="AD439" s="25" t="str">
        <f>'Ingest Template'!U438</f>
        <v/>
      </c>
      <c r="AE439" s="25" t="str">
        <f>'Ingest Template'!V438</f>
        <v/>
      </c>
      <c r="AF439" s="25"/>
      <c r="AG439" s="25" t="str">
        <f t="array" ref="AG439">IF('Ingest Template'!A438="Standard",(CONCATENATE(IF(ISBLANK('Ingest Template'!O438),"", 'Ingest Template'!O438&amp;"|DAR"),CHAR(10), IF(ISBLANK('Ingest Template'!P438),"", 'Ingest Template'!P438&amp;"|DAR"),CHAR(10), IF(ISBLANK('Ingest Template'!Q438),"", 'Ingest Template'!Q438&amp;"|DAR"))),(CONCATENATE(IF(ISBLANK('Ingest Template'!O438),"", 'Ingest Template'!O438&amp;"|Operations - Core Title"),CHAR(10), IF(ISBLANK('Ingest Template'!P438),"", 'Ingest Template'!P438&amp;"|Operations - Core Title"),CHAR(10), IF(ISBLANK('Ingest Template'!Q438),"", 'Ingest Template'!Q438&amp;"|Operations - Core Title"))))</f>
        <v>#|Operations - Core Title
#videoGame|Operations - Core Title
</v>
      </c>
      <c r="AH439" s="25"/>
      <c r="AI439" s="25"/>
      <c r="AJ439" s="50" t="str">
        <f>if('Ingest Template'!A438="Standard",'Ingest Template'!R438&amp; "|DAR|DAR|2021-01-01",'Ingest Template'!R438&amp; "|Operations - Core Title|Operations - Core Title")</f>
        <v>#N/A</v>
      </c>
      <c r="AK439" s="25"/>
      <c r="AL439" s="25" t="str">
        <f>if('Ingest Template'!A438="Standard",'Ingest Template'!S438&amp; "|2021-01-01",'Ingest Template'!S438)</f>
        <v>#N/A</v>
      </c>
      <c r="AM439" s="25"/>
    </row>
    <row r="440">
      <c r="A440" s="25"/>
      <c r="B440" s="25" t="str">
        <f>'Ingest Template'!C439&amp;IF('Ingest Template'!A439 = "Standard", " - DAR","")</f>
        <v/>
      </c>
      <c r="C440" s="34" t="s">
        <v>92</v>
      </c>
      <c r="D440" s="34" t="str">
        <f>CONCATENATE('Ingest Template'!E440&amp;Char(10)&amp;'Ingest Template'!G440&amp;Char(10)&amp;'Ingest Template'!H440&amp;Char(10)&amp;'Ingest Template'!I440&amp;Char(10)&amp;'Ingest Template'!J440&amp;Char(10)&amp;'Ingest Template'!K440&amp;Char(10)&amp;'Ingest Template'!L440)</f>
        <v>
</v>
      </c>
      <c r="E440" s="25" t="str">
        <f>('Ingest Template'!M440)</f>
        <v/>
      </c>
      <c r="F440" s="40" t="str">
        <f t="array" ref="F440">INDEX(DropDown!$J$2:$J$63,MATCH(1,COUNTIF(E440,DropDown!$I$2:$I$63),0))</f>
        <v>#N/A</v>
      </c>
      <c r="G440" s="25"/>
      <c r="H440" s="25"/>
      <c r="I440" s="25"/>
      <c r="J440" s="25" t="str">
        <f>'Ingest Template'!B440</f>
        <v/>
      </c>
      <c r="K440" s="25" t="str">
        <f>IF('Ingest Template'!A439="Standard",'Ingest Template'!N439,"Competitive View")</f>
        <v>Competitive View</v>
      </c>
      <c r="L440" s="41" t="s">
        <v>145</v>
      </c>
      <c r="M440" s="25" t="str">
        <f>'Ingest Template'!D439</f>
        <v/>
      </c>
      <c r="N440" s="25"/>
      <c r="O440" s="25"/>
      <c r="P440" s="25"/>
      <c r="Q440" s="25"/>
      <c r="R440" s="25" t="str">
        <f>CONCATENATE('Ingest Template'!F439)</f>
        <v/>
      </c>
      <c r="S440" s="43" t="s">
        <v>160</v>
      </c>
      <c r="T440" s="25" t="str">
        <f>'Ingest Template'!W439</f>
        <v/>
      </c>
      <c r="U440" s="25"/>
      <c r="V440" s="25" t="str">
        <f>LOWER(SUBSTITUTE(SUBSTITUTE(SUBSTITUTE(SUBSTITUTE(SUBSTITUTE('Ingest Template'!Y439,"https:",""),"www.",""),"/",""),"?hl=en",""),"instagram.com",""))</f>
        <v/>
      </c>
      <c r="W440" s="34" t="str">
        <f>(IFERROR(vlookup('Ingest Template'!F440,DropDown!D:E,2,false)&amp;'Ingest Template'!C440,""))</f>
        <v/>
      </c>
      <c r="X440" s="25" t="str">
        <f>'Ingest Template'!AA439</f>
        <v/>
      </c>
      <c r="Y440" s="25"/>
      <c r="Z440" s="25"/>
      <c r="AA440" s="25"/>
      <c r="AB440" s="25" t="str">
        <f>'Ingest Template'!T439</f>
        <v/>
      </c>
      <c r="AC440" s="25"/>
      <c r="AD440" s="25" t="str">
        <f>'Ingest Template'!U439</f>
        <v/>
      </c>
      <c r="AE440" s="25" t="str">
        <f>'Ingest Template'!V439</f>
        <v/>
      </c>
      <c r="AF440" s="25"/>
      <c r="AG440" s="25" t="str">
        <f t="array" ref="AG440">IF('Ingest Template'!A439="Standard",(CONCATENATE(IF(ISBLANK('Ingest Template'!O439),"", 'Ingest Template'!O439&amp;"|DAR"),CHAR(10), IF(ISBLANK('Ingest Template'!P439),"", 'Ingest Template'!P439&amp;"|DAR"),CHAR(10), IF(ISBLANK('Ingest Template'!Q439),"", 'Ingest Template'!Q439&amp;"|DAR"))),(CONCATENATE(IF(ISBLANK('Ingest Template'!O439),"", 'Ingest Template'!O439&amp;"|Operations - Core Title"),CHAR(10), IF(ISBLANK('Ingest Template'!P439),"", 'Ingest Template'!P439&amp;"|Operations - Core Title"),CHAR(10), IF(ISBLANK('Ingest Template'!Q439),"", 'Ingest Template'!Q439&amp;"|Operations - Core Title"))))</f>
        <v>#|Operations - Core Title
#videoGame|Operations - Core Title
</v>
      </c>
      <c r="AH440" s="25"/>
      <c r="AI440" s="25"/>
      <c r="AJ440" s="50" t="str">
        <f>if('Ingest Template'!A439="Standard",'Ingest Template'!R439&amp; "|DAR|DAR|2021-01-01",'Ingest Template'!R439&amp; "|Operations - Core Title|Operations - Core Title")</f>
        <v>#N/A</v>
      </c>
      <c r="AK440" s="25"/>
      <c r="AL440" s="25" t="str">
        <f>if('Ingest Template'!A439="Standard",'Ingest Template'!S439&amp; "|2021-01-01",'Ingest Template'!S439)</f>
        <v>#N/A</v>
      </c>
      <c r="AM440" s="25"/>
    </row>
    <row r="441">
      <c r="A441" s="25"/>
      <c r="B441" s="25" t="str">
        <f>'Ingest Template'!C440&amp;IF('Ingest Template'!A440 = "Standard", " - DAR","")</f>
        <v/>
      </c>
      <c r="C441" s="34" t="s">
        <v>92</v>
      </c>
      <c r="D441" s="34" t="str">
        <f>CONCATENATE('Ingest Template'!E441&amp;Char(10)&amp;'Ingest Template'!G441&amp;Char(10)&amp;'Ingest Template'!H441&amp;Char(10)&amp;'Ingest Template'!I441&amp;Char(10)&amp;'Ingest Template'!J441&amp;Char(10)&amp;'Ingest Template'!K441&amp;Char(10)&amp;'Ingest Template'!L441)</f>
        <v>
</v>
      </c>
      <c r="E441" s="25" t="str">
        <f>('Ingest Template'!M441)</f>
        <v/>
      </c>
      <c r="F441" s="40" t="str">
        <f t="array" ref="F441">INDEX(DropDown!$J$2:$J$63,MATCH(1,COUNTIF(E441,DropDown!$I$2:$I$63),0))</f>
        <v>#N/A</v>
      </c>
      <c r="G441" s="25"/>
      <c r="H441" s="25"/>
      <c r="I441" s="25"/>
      <c r="J441" s="25" t="str">
        <f>'Ingest Template'!B441</f>
        <v/>
      </c>
      <c r="K441" s="25" t="str">
        <f>IF('Ingest Template'!A440="Standard",'Ingest Template'!N440,"Competitive View")</f>
        <v>Competitive View</v>
      </c>
      <c r="L441" s="41" t="s">
        <v>145</v>
      </c>
      <c r="M441" s="25" t="str">
        <f>'Ingest Template'!D440</f>
        <v/>
      </c>
      <c r="N441" s="25"/>
      <c r="O441" s="25"/>
      <c r="P441" s="25"/>
      <c r="Q441" s="25"/>
      <c r="R441" s="25" t="str">
        <f>CONCATENATE('Ingest Template'!F440)</f>
        <v/>
      </c>
      <c r="S441" s="43" t="s">
        <v>160</v>
      </c>
      <c r="T441" s="25" t="str">
        <f>'Ingest Template'!W440</f>
        <v/>
      </c>
      <c r="U441" s="25"/>
      <c r="V441" s="25" t="str">
        <f>LOWER(SUBSTITUTE(SUBSTITUTE(SUBSTITUTE(SUBSTITUTE(SUBSTITUTE('Ingest Template'!Y440,"https:",""),"www.",""),"/",""),"?hl=en",""),"instagram.com",""))</f>
        <v/>
      </c>
      <c r="W441" s="34" t="str">
        <f>(IFERROR(vlookup('Ingest Template'!F441,DropDown!D:E,2,false)&amp;'Ingest Template'!C441,""))</f>
        <v/>
      </c>
      <c r="X441" s="25" t="str">
        <f>'Ingest Template'!AA440</f>
        <v/>
      </c>
      <c r="Y441" s="25"/>
      <c r="Z441" s="25"/>
      <c r="AA441" s="25"/>
      <c r="AB441" s="25" t="str">
        <f>'Ingest Template'!T440</f>
        <v/>
      </c>
      <c r="AC441" s="25"/>
      <c r="AD441" s="25" t="str">
        <f>'Ingest Template'!U440</f>
        <v/>
      </c>
      <c r="AE441" s="25" t="str">
        <f>'Ingest Template'!V440</f>
        <v/>
      </c>
      <c r="AF441" s="25"/>
      <c r="AG441" s="25" t="str">
        <f t="array" ref="AG441">IF('Ingest Template'!A440="Standard",(CONCATENATE(IF(ISBLANK('Ingest Template'!O440),"", 'Ingest Template'!O440&amp;"|DAR"),CHAR(10), IF(ISBLANK('Ingest Template'!P440),"", 'Ingest Template'!P440&amp;"|DAR"),CHAR(10), IF(ISBLANK('Ingest Template'!Q440),"", 'Ingest Template'!Q440&amp;"|DAR"))),(CONCATENATE(IF(ISBLANK('Ingest Template'!O440),"", 'Ingest Template'!O440&amp;"|Operations - Core Title"),CHAR(10), IF(ISBLANK('Ingest Template'!P440),"", 'Ingest Template'!P440&amp;"|Operations - Core Title"),CHAR(10), IF(ISBLANK('Ingest Template'!Q440),"", 'Ingest Template'!Q440&amp;"|Operations - Core Title"))))</f>
        <v>#|Operations - Core Title
#videoGame|Operations - Core Title
</v>
      </c>
      <c r="AH441" s="25"/>
      <c r="AI441" s="25"/>
      <c r="AJ441" s="50" t="str">
        <f>if('Ingest Template'!A440="Standard",'Ingest Template'!R440&amp; "|DAR|DAR|2021-01-01",'Ingest Template'!R440&amp; "|Operations - Core Title|Operations - Core Title")</f>
        <v>#N/A</v>
      </c>
      <c r="AK441" s="25"/>
      <c r="AL441" s="25" t="str">
        <f>if('Ingest Template'!A440="Standard",'Ingest Template'!S440&amp; "|2021-01-01",'Ingest Template'!S440)</f>
        <v>#N/A</v>
      </c>
      <c r="AM441" s="25"/>
    </row>
    <row r="442">
      <c r="A442" s="25"/>
      <c r="B442" s="25" t="str">
        <f>'Ingest Template'!C441&amp;IF('Ingest Template'!A441 = "Standard", " - DAR","")</f>
        <v/>
      </c>
      <c r="C442" s="34" t="s">
        <v>92</v>
      </c>
      <c r="D442" s="34" t="str">
        <f>CONCATENATE('Ingest Template'!E442&amp;Char(10)&amp;'Ingest Template'!G442&amp;Char(10)&amp;'Ingest Template'!H442&amp;Char(10)&amp;'Ingest Template'!I442&amp;Char(10)&amp;'Ingest Template'!J442&amp;Char(10)&amp;'Ingest Template'!K442&amp;Char(10)&amp;'Ingest Template'!L442)</f>
        <v>
</v>
      </c>
      <c r="E442" s="25" t="str">
        <f>('Ingest Template'!M442)</f>
        <v/>
      </c>
      <c r="F442" s="40" t="str">
        <f t="array" ref="F442">INDEX(DropDown!$J$2:$J$63,MATCH(1,COUNTIF(E442,DropDown!$I$2:$I$63),0))</f>
        <v>#N/A</v>
      </c>
      <c r="G442" s="25"/>
      <c r="H442" s="25"/>
      <c r="I442" s="25"/>
      <c r="J442" s="25" t="str">
        <f>'Ingest Template'!B442</f>
        <v/>
      </c>
      <c r="K442" s="25" t="str">
        <f>IF('Ingest Template'!A441="Standard",'Ingest Template'!N441,"Competitive View")</f>
        <v>Competitive View</v>
      </c>
      <c r="L442" s="41" t="s">
        <v>145</v>
      </c>
      <c r="M442" s="25" t="str">
        <f>'Ingest Template'!D441</f>
        <v/>
      </c>
      <c r="N442" s="25"/>
      <c r="O442" s="25"/>
      <c r="P442" s="25"/>
      <c r="Q442" s="25"/>
      <c r="R442" s="25" t="str">
        <f>CONCATENATE('Ingest Template'!F441)</f>
        <v/>
      </c>
      <c r="S442" s="43" t="s">
        <v>160</v>
      </c>
      <c r="T442" s="25" t="str">
        <f>'Ingest Template'!W441</f>
        <v/>
      </c>
      <c r="U442" s="25"/>
      <c r="V442" s="25" t="str">
        <f>LOWER(SUBSTITUTE(SUBSTITUTE(SUBSTITUTE(SUBSTITUTE(SUBSTITUTE('Ingest Template'!Y441,"https:",""),"www.",""),"/",""),"?hl=en",""),"instagram.com",""))</f>
        <v/>
      </c>
      <c r="W442" s="34" t="str">
        <f>(IFERROR(vlookup('Ingest Template'!F442,DropDown!D:E,2,false)&amp;'Ingest Template'!C442,""))</f>
        <v/>
      </c>
      <c r="X442" s="25" t="str">
        <f>'Ingest Template'!AA441</f>
        <v/>
      </c>
      <c r="Y442" s="25"/>
      <c r="Z442" s="25"/>
      <c r="AA442" s="25"/>
      <c r="AB442" s="25" t="str">
        <f>'Ingest Template'!T441</f>
        <v/>
      </c>
      <c r="AC442" s="25"/>
      <c r="AD442" s="25" t="str">
        <f>'Ingest Template'!U441</f>
        <v/>
      </c>
      <c r="AE442" s="25" t="str">
        <f>'Ingest Template'!V441</f>
        <v/>
      </c>
      <c r="AF442" s="25"/>
      <c r="AG442" s="25" t="str">
        <f t="array" ref="AG442">IF('Ingest Template'!A441="Standard",(CONCATENATE(IF(ISBLANK('Ingest Template'!O441),"", 'Ingest Template'!O441&amp;"|DAR"),CHAR(10), IF(ISBLANK('Ingest Template'!P441),"", 'Ingest Template'!P441&amp;"|DAR"),CHAR(10), IF(ISBLANK('Ingest Template'!Q441),"", 'Ingest Template'!Q441&amp;"|DAR"))),(CONCATENATE(IF(ISBLANK('Ingest Template'!O441),"", 'Ingest Template'!O441&amp;"|Operations - Core Title"),CHAR(10), IF(ISBLANK('Ingest Template'!P441),"", 'Ingest Template'!P441&amp;"|Operations - Core Title"),CHAR(10), IF(ISBLANK('Ingest Template'!Q441),"", 'Ingest Template'!Q441&amp;"|Operations - Core Title"))))</f>
        <v>#|Operations - Core Title
#videoGame|Operations - Core Title
</v>
      </c>
      <c r="AH442" s="25"/>
      <c r="AI442" s="25"/>
      <c r="AJ442" s="50" t="str">
        <f>if('Ingest Template'!A441="Standard",'Ingest Template'!R441&amp; "|DAR|DAR|2021-01-01",'Ingest Template'!R441&amp; "|Operations - Core Title|Operations - Core Title")</f>
        <v>#N/A</v>
      </c>
      <c r="AK442" s="25"/>
      <c r="AL442" s="25" t="str">
        <f>if('Ingest Template'!A441="Standard",'Ingest Template'!S441&amp; "|2021-01-01",'Ingest Template'!S441)</f>
        <v>#N/A</v>
      </c>
      <c r="AM442" s="25"/>
    </row>
    <row r="443">
      <c r="A443" s="25"/>
      <c r="B443" s="25" t="str">
        <f>'Ingest Template'!C442&amp;IF('Ingest Template'!A442 = "Standard", " - DAR","")</f>
        <v/>
      </c>
      <c r="C443" s="34" t="s">
        <v>92</v>
      </c>
      <c r="D443" s="34" t="str">
        <f>CONCATENATE('Ingest Template'!E443&amp;Char(10)&amp;'Ingest Template'!G443&amp;Char(10)&amp;'Ingest Template'!H443&amp;Char(10)&amp;'Ingest Template'!I443&amp;Char(10)&amp;'Ingest Template'!J443&amp;Char(10)&amp;'Ingest Template'!K443&amp;Char(10)&amp;'Ingest Template'!L443)</f>
        <v>
</v>
      </c>
      <c r="E443" s="25" t="str">
        <f>('Ingest Template'!M443)</f>
        <v/>
      </c>
      <c r="F443" s="40" t="str">
        <f t="array" ref="F443">INDEX(DropDown!$J$2:$J$63,MATCH(1,COUNTIF(E443,DropDown!$I$2:$I$63),0))</f>
        <v>#N/A</v>
      </c>
      <c r="G443" s="25"/>
      <c r="H443" s="25"/>
      <c r="I443" s="25"/>
      <c r="J443" s="25" t="str">
        <f>'Ingest Template'!B443</f>
        <v/>
      </c>
      <c r="K443" s="25" t="str">
        <f>IF('Ingest Template'!A442="Standard",'Ingest Template'!N442,"Competitive View")</f>
        <v>Competitive View</v>
      </c>
      <c r="L443" s="41" t="s">
        <v>145</v>
      </c>
      <c r="M443" s="25" t="str">
        <f>'Ingest Template'!D442</f>
        <v/>
      </c>
      <c r="N443" s="25"/>
      <c r="O443" s="25"/>
      <c r="P443" s="25"/>
      <c r="Q443" s="25"/>
      <c r="R443" s="25" t="str">
        <f>CONCATENATE('Ingest Template'!F442)</f>
        <v/>
      </c>
      <c r="S443" s="43" t="s">
        <v>160</v>
      </c>
      <c r="T443" s="25" t="str">
        <f>'Ingest Template'!W442</f>
        <v/>
      </c>
      <c r="U443" s="25"/>
      <c r="V443" s="25" t="str">
        <f>LOWER(SUBSTITUTE(SUBSTITUTE(SUBSTITUTE(SUBSTITUTE(SUBSTITUTE('Ingest Template'!Y442,"https:",""),"www.",""),"/",""),"?hl=en",""),"instagram.com",""))</f>
        <v/>
      </c>
      <c r="W443" s="34" t="str">
        <f>(IFERROR(vlookup('Ingest Template'!F443,DropDown!D:E,2,false)&amp;'Ingest Template'!C443,""))</f>
        <v/>
      </c>
      <c r="X443" s="25" t="str">
        <f>'Ingest Template'!AA442</f>
        <v/>
      </c>
      <c r="Y443" s="25"/>
      <c r="Z443" s="25"/>
      <c r="AA443" s="25"/>
      <c r="AB443" s="25" t="str">
        <f>'Ingest Template'!T442</f>
        <v/>
      </c>
      <c r="AC443" s="25"/>
      <c r="AD443" s="25" t="str">
        <f>'Ingest Template'!U442</f>
        <v/>
      </c>
      <c r="AE443" s="25" t="str">
        <f>'Ingest Template'!V442</f>
        <v/>
      </c>
      <c r="AF443" s="25"/>
      <c r="AG443" s="25" t="str">
        <f t="array" ref="AG443">IF('Ingest Template'!A442="Standard",(CONCATENATE(IF(ISBLANK('Ingest Template'!O442),"", 'Ingest Template'!O442&amp;"|DAR"),CHAR(10), IF(ISBLANK('Ingest Template'!P442),"", 'Ingest Template'!P442&amp;"|DAR"),CHAR(10), IF(ISBLANK('Ingest Template'!Q442),"", 'Ingest Template'!Q442&amp;"|DAR"))),(CONCATENATE(IF(ISBLANK('Ingest Template'!O442),"", 'Ingest Template'!O442&amp;"|Operations - Core Title"),CHAR(10), IF(ISBLANK('Ingest Template'!P442),"", 'Ingest Template'!P442&amp;"|Operations - Core Title"),CHAR(10), IF(ISBLANK('Ingest Template'!Q442),"", 'Ingest Template'!Q442&amp;"|Operations - Core Title"))))</f>
        <v>#|Operations - Core Title
#videoGame|Operations - Core Title
</v>
      </c>
      <c r="AH443" s="25"/>
      <c r="AI443" s="25"/>
      <c r="AJ443" s="50" t="str">
        <f>if('Ingest Template'!A442="Standard",'Ingest Template'!R442&amp; "|DAR|DAR|2021-01-01",'Ingest Template'!R442&amp; "|Operations - Core Title|Operations - Core Title")</f>
        <v>#N/A</v>
      </c>
      <c r="AK443" s="25"/>
      <c r="AL443" s="25" t="str">
        <f>if('Ingest Template'!A442="Standard",'Ingest Template'!S442&amp; "|2021-01-01",'Ingest Template'!S442)</f>
        <v>#N/A</v>
      </c>
      <c r="AM443" s="25"/>
    </row>
    <row r="444">
      <c r="A444" s="25"/>
      <c r="B444" s="25" t="str">
        <f>'Ingest Template'!C443&amp;IF('Ingest Template'!A443 = "Standard", " - DAR","")</f>
        <v/>
      </c>
      <c r="C444" s="34" t="s">
        <v>92</v>
      </c>
      <c r="D444" s="34" t="str">
        <f>CONCATENATE('Ingest Template'!E444&amp;Char(10)&amp;'Ingest Template'!G444&amp;Char(10)&amp;'Ingest Template'!H444&amp;Char(10)&amp;'Ingest Template'!I444&amp;Char(10)&amp;'Ingest Template'!J444&amp;Char(10)&amp;'Ingest Template'!K444&amp;Char(10)&amp;'Ingest Template'!L444)</f>
        <v>
</v>
      </c>
      <c r="E444" s="25" t="str">
        <f>('Ingest Template'!M444)</f>
        <v/>
      </c>
      <c r="F444" s="40" t="str">
        <f t="array" ref="F444">INDEX(DropDown!$J$2:$J$63,MATCH(1,COUNTIF(E444,DropDown!$I$2:$I$63),0))</f>
        <v>#N/A</v>
      </c>
      <c r="G444" s="25"/>
      <c r="H444" s="25"/>
      <c r="I444" s="25"/>
      <c r="J444" s="25" t="str">
        <f>'Ingest Template'!B444</f>
        <v/>
      </c>
      <c r="K444" s="25" t="str">
        <f>IF('Ingest Template'!A443="Standard",'Ingest Template'!N443,"Competitive View")</f>
        <v>Competitive View</v>
      </c>
      <c r="L444" s="41" t="s">
        <v>145</v>
      </c>
      <c r="M444" s="25" t="str">
        <f>'Ingest Template'!D443</f>
        <v/>
      </c>
      <c r="N444" s="25"/>
      <c r="O444" s="25"/>
      <c r="P444" s="25"/>
      <c r="Q444" s="25"/>
      <c r="R444" s="25" t="str">
        <f>CONCATENATE('Ingest Template'!F443)</f>
        <v/>
      </c>
      <c r="S444" s="43" t="s">
        <v>160</v>
      </c>
      <c r="T444" s="25" t="str">
        <f>'Ingest Template'!W443</f>
        <v/>
      </c>
      <c r="U444" s="25"/>
      <c r="V444" s="25" t="str">
        <f>LOWER(SUBSTITUTE(SUBSTITUTE(SUBSTITUTE(SUBSTITUTE(SUBSTITUTE('Ingest Template'!Y443,"https:",""),"www.",""),"/",""),"?hl=en",""),"instagram.com",""))</f>
        <v/>
      </c>
      <c r="W444" s="34" t="str">
        <f>(IFERROR(vlookup('Ingest Template'!F444,DropDown!D:E,2,false)&amp;'Ingest Template'!C444,""))</f>
        <v/>
      </c>
      <c r="X444" s="25" t="str">
        <f>'Ingest Template'!AA443</f>
        <v/>
      </c>
      <c r="Y444" s="25"/>
      <c r="Z444" s="25"/>
      <c r="AA444" s="25"/>
      <c r="AB444" s="25" t="str">
        <f>'Ingest Template'!T443</f>
        <v/>
      </c>
      <c r="AC444" s="25"/>
      <c r="AD444" s="25" t="str">
        <f>'Ingest Template'!U443</f>
        <v/>
      </c>
      <c r="AE444" s="25" t="str">
        <f>'Ingest Template'!V443</f>
        <v/>
      </c>
      <c r="AF444" s="25"/>
      <c r="AG444" s="25" t="str">
        <f t="array" ref="AG444">IF('Ingest Template'!A443="Standard",(CONCATENATE(IF(ISBLANK('Ingest Template'!O443),"", 'Ingest Template'!O443&amp;"|DAR"),CHAR(10), IF(ISBLANK('Ingest Template'!P443),"", 'Ingest Template'!P443&amp;"|DAR"),CHAR(10), IF(ISBLANK('Ingest Template'!Q443),"", 'Ingest Template'!Q443&amp;"|DAR"))),(CONCATENATE(IF(ISBLANK('Ingest Template'!O443),"", 'Ingest Template'!O443&amp;"|Operations - Core Title"),CHAR(10), IF(ISBLANK('Ingest Template'!P443),"", 'Ingest Template'!P443&amp;"|Operations - Core Title"),CHAR(10), IF(ISBLANK('Ingest Template'!Q443),"", 'Ingest Template'!Q443&amp;"|Operations - Core Title"))))</f>
        <v>#|Operations - Core Title
#videoGame|Operations - Core Title
</v>
      </c>
      <c r="AH444" s="25"/>
      <c r="AI444" s="25"/>
      <c r="AJ444" s="50" t="str">
        <f>if('Ingest Template'!A443="Standard",'Ingest Template'!R443&amp; "|DAR|DAR|2021-01-01",'Ingest Template'!R443&amp; "|Operations - Core Title|Operations - Core Title")</f>
        <v>#N/A</v>
      </c>
      <c r="AK444" s="25"/>
      <c r="AL444" s="25" t="str">
        <f>if('Ingest Template'!A443="Standard",'Ingest Template'!S443&amp; "|2021-01-01",'Ingest Template'!S443)</f>
        <v>#N/A</v>
      </c>
      <c r="AM444" s="25"/>
    </row>
    <row r="445">
      <c r="A445" s="25"/>
      <c r="B445" s="25" t="str">
        <f>'Ingest Template'!C444&amp;IF('Ingest Template'!A444 = "Standard", " - DAR","")</f>
        <v/>
      </c>
      <c r="C445" s="34" t="s">
        <v>92</v>
      </c>
      <c r="D445" s="34" t="str">
        <f>CONCATENATE('Ingest Template'!E445&amp;Char(10)&amp;'Ingest Template'!G445&amp;Char(10)&amp;'Ingest Template'!H445&amp;Char(10)&amp;'Ingest Template'!I445&amp;Char(10)&amp;'Ingest Template'!J445&amp;Char(10)&amp;'Ingest Template'!K445&amp;Char(10)&amp;'Ingest Template'!L445)</f>
        <v>
</v>
      </c>
      <c r="E445" s="25" t="str">
        <f>('Ingest Template'!M445)</f>
        <v/>
      </c>
      <c r="F445" s="40" t="str">
        <f t="array" ref="F445">INDEX(DropDown!$J$2:$J$63,MATCH(1,COUNTIF(E445,DropDown!$I$2:$I$63),0))</f>
        <v>#N/A</v>
      </c>
      <c r="G445" s="25"/>
      <c r="H445" s="25"/>
      <c r="I445" s="25"/>
      <c r="J445" s="25" t="str">
        <f>'Ingest Template'!B445</f>
        <v/>
      </c>
      <c r="K445" s="25" t="str">
        <f>IF('Ingest Template'!A444="Standard",'Ingest Template'!N444,"Competitive View")</f>
        <v>Competitive View</v>
      </c>
      <c r="L445" s="41" t="s">
        <v>145</v>
      </c>
      <c r="M445" s="25" t="str">
        <f>'Ingest Template'!D444</f>
        <v/>
      </c>
      <c r="N445" s="25"/>
      <c r="O445" s="25"/>
      <c r="P445" s="25"/>
      <c r="Q445" s="25"/>
      <c r="R445" s="25" t="str">
        <f>CONCATENATE('Ingest Template'!F444)</f>
        <v/>
      </c>
      <c r="S445" s="43" t="s">
        <v>160</v>
      </c>
      <c r="T445" s="25" t="str">
        <f>'Ingest Template'!W444</f>
        <v/>
      </c>
      <c r="U445" s="25"/>
      <c r="V445" s="25" t="str">
        <f>LOWER(SUBSTITUTE(SUBSTITUTE(SUBSTITUTE(SUBSTITUTE(SUBSTITUTE('Ingest Template'!Y444,"https:",""),"www.",""),"/",""),"?hl=en",""),"instagram.com",""))</f>
        <v/>
      </c>
      <c r="W445" s="34" t="str">
        <f>(IFERROR(vlookup('Ingest Template'!F445,DropDown!D:E,2,false)&amp;'Ingest Template'!C445,""))</f>
        <v/>
      </c>
      <c r="X445" s="25" t="str">
        <f>'Ingest Template'!AA444</f>
        <v/>
      </c>
      <c r="Y445" s="25"/>
      <c r="Z445" s="25"/>
      <c r="AA445" s="25"/>
      <c r="AB445" s="25" t="str">
        <f>'Ingest Template'!T444</f>
        <v/>
      </c>
      <c r="AC445" s="25"/>
      <c r="AD445" s="25" t="str">
        <f>'Ingest Template'!U444</f>
        <v/>
      </c>
      <c r="AE445" s="25" t="str">
        <f>'Ingest Template'!V444</f>
        <v/>
      </c>
      <c r="AF445" s="25"/>
      <c r="AG445" s="25" t="str">
        <f t="array" ref="AG445">IF('Ingest Template'!A444="Standard",(CONCATENATE(IF(ISBLANK('Ingest Template'!O444),"", 'Ingest Template'!O444&amp;"|DAR"),CHAR(10), IF(ISBLANK('Ingest Template'!P444),"", 'Ingest Template'!P444&amp;"|DAR"),CHAR(10), IF(ISBLANK('Ingest Template'!Q444),"", 'Ingest Template'!Q444&amp;"|DAR"))),(CONCATENATE(IF(ISBLANK('Ingest Template'!O444),"", 'Ingest Template'!O444&amp;"|Operations - Core Title"),CHAR(10), IF(ISBLANK('Ingest Template'!P444),"", 'Ingest Template'!P444&amp;"|Operations - Core Title"),CHAR(10), IF(ISBLANK('Ingest Template'!Q444),"", 'Ingest Template'!Q444&amp;"|Operations - Core Title"))))</f>
        <v>#|Operations - Core Title
#videoGame|Operations - Core Title
</v>
      </c>
      <c r="AH445" s="25"/>
      <c r="AI445" s="25"/>
      <c r="AJ445" s="50" t="str">
        <f>if('Ingest Template'!A444="Standard",'Ingest Template'!R444&amp; "|DAR|DAR|2021-01-01",'Ingest Template'!R444&amp; "|Operations - Core Title|Operations - Core Title")</f>
        <v>#N/A</v>
      </c>
      <c r="AK445" s="25"/>
      <c r="AL445" s="25" t="str">
        <f>if('Ingest Template'!A444="Standard",'Ingest Template'!S444&amp; "|2021-01-01",'Ingest Template'!S444)</f>
        <v>#N/A</v>
      </c>
      <c r="AM445" s="25"/>
    </row>
    <row r="446">
      <c r="A446" s="25"/>
      <c r="B446" s="25" t="str">
        <f>'Ingest Template'!C445&amp;IF('Ingest Template'!A445 = "Standard", " - DAR","")</f>
        <v/>
      </c>
      <c r="C446" s="34" t="s">
        <v>92</v>
      </c>
      <c r="D446" s="34" t="str">
        <f>CONCATENATE('Ingest Template'!E446&amp;Char(10)&amp;'Ingest Template'!G446&amp;Char(10)&amp;'Ingest Template'!H446&amp;Char(10)&amp;'Ingest Template'!I446&amp;Char(10)&amp;'Ingest Template'!J446&amp;Char(10)&amp;'Ingest Template'!K446&amp;Char(10)&amp;'Ingest Template'!L446)</f>
        <v>
</v>
      </c>
      <c r="E446" s="25" t="str">
        <f>('Ingest Template'!M446)</f>
        <v/>
      </c>
      <c r="F446" s="40" t="str">
        <f t="array" ref="F446">INDEX(DropDown!$J$2:$J$63,MATCH(1,COUNTIF(E446,DropDown!$I$2:$I$63),0))</f>
        <v>#N/A</v>
      </c>
      <c r="G446" s="25"/>
      <c r="H446" s="25"/>
      <c r="I446" s="25"/>
      <c r="J446" s="25" t="str">
        <f>'Ingest Template'!B446</f>
        <v/>
      </c>
      <c r="K446" s="25" t="str">
        <f>IF('Ingest Template'!A445="Standard",'Ingest Template'!N445,"Competitive View")</f>
        <v>Competitive View</v>
      </c>
      <c r="L446" s="41" t="s">
        <v>145</v>
      </c>
      <c r="M446" s="25" t="str">
        <f>'Ingest Template'!D445</f>
        <v/>
      </c>
      <c r="N446" s="25"/>
      <c r="O446" s="25"/>
      <c r="P446" s="25"/>
      <c r="Q446" s="25"/>
      <c r="R446" s="25" t="str">
        <f>CONCATENATE('Ingest Template'!F445)</f>
        <v/>
      </c>
      <c r="S446" s="43" t="s">
        <v>160</v>
      </c>
      <c r="T446" s="25" t="str">
        <f>'Ingest Template'!W445</f>
        <v/>
      </c>
      <c r="U446" s="25"/>
      <c r="V446" s="25" t="str">
        <f>LOWER(SUBSTITUTE(SUBSTITUTE(SUBSTITUTE(SUBSTITUTE(SUBSTITUTE('Ingest Template'!Y445,"https:",""),"www.",""),"/",""),"?hl=en",""),"instagram.com",""))</f>
        <v/>
      </c>
      <c r="W446" s="34" t="str">
        <f>(IFERROR(vlookup('Ingest Template'!F446,DropDown!D:E,2,false)&amp;'Ingest Template'!C446,""))</f>
        <v/>
      </c>
      <c r="X446" s="25" t="str">
        <f>'Ingest Template'!AA445</f>
        <v/>
      </c>
      <c r="Y446" s="25"/>
      <c r="Z446" s="25"/>
      <c r="AA446" s="25"/>
      <c r="AB446" s="25" t="str">
        <f>'Ingest Template'!T445</f>
        <v/>
      </c>
      <c r="AC446" s="25"/>
      <c r="AD446" s="25" t="str">
        <f>'Ingest Template'!U445</f>
        <v/>
      </c>
      <c r="AE446" s="25" t="str">
        <f>'Ingest Template'!V445</f>
        <v/>
      </c>
      <c r="AF446" s="25"/>
      <c r="AG446" s="25" t="str">
        <f t="array" ref="AG446">IF('Ingest Template'!A445="Standard",(CONCATENATE(IF(ISBLANK('Ingest Template'!O445),"", 'Ingest Template'!O445&amp;"|DAR"),CHAR(10), IF(ISBLANK('Ingest Template'!P445),"", 'Ingest Template'!P445&amp;"|DAR"),CHAR(10), IF(ISBLANK('Ingest Template'!Q445),"", 'Ingest Template'!Q445&amp;"|DAR"))),(CONCATENATE(IF(ISBLANK('Ingest Template'!O445),"", 'Ingest Template'!O445&amp;"|Operations - Core Title"),CHAR(10), IF(ISBLANK('Ingest Template'!P445),"", 'Ingest Template'!P445&amp;"|Operations - Core Title"),CHAR(10), IF(ISBLANK('Ingest Template'!Q445),"", 'Ingest Template'!Q445&amp;"|Operations - Core Title"))))</f>
        <v>#|Operations - Core Title
#videoGame|Operations - Core Title
</v>
      </c>
      <c r="AH446" s="25"/>
      <c r="AI446" s="25"/>
      <c r="AJ446" s="50" t="str">
        <f>if('Ingest Template'!A445="Standard",'Ingest Template'!R445&amp; "|DAR|DAR|2021-01-01",'Ingest Template'!R445&amp; "|Operations - Core Title|Operations - Core Title")</f>
        <v>#N/A</v>
      </c>
      <c r="AK446" s="25"/>
      <c r="AL446" s="25" t="str">
        <f>if('Ingest Template'!A445="Standard",'Ingest Template'!S445&amp; "|2021-01-01",'Ingest Template'!S445)</f>
        <v>#N/A</v>
      </c>
      <c r="AM446" s="25"/>
    </row>
    <row r="447">
      <c r="A447" s="25"/>
      <c r="B447" s="25" t="str">
        <f>'Ingest Template'!C446&amp;IF('Ingest Template'!A446 = "Standard", " - DAR","")</f>
        <v/>
      </c>
      <c r="C447" s="34" t="s">
        <v>92</v>
      </c>
      <c r="D447" s="34" t="str">
        <f>CONCATENATE('Ingest Template'!E447&amp;Char(10)&amp;'Ingest Template'!G447&amp;Char(10)&amp;'Ingest Template'!H447&amp;Char(10)&amp;'Ingest Template'!I447&amp;Char(10)&amp;'Ingest Template'!J447&amp;Char(10)&amp;'Ingest Template'!K447&amp;Char(10)&amp;'Ingest Template'!L447)</f>
        <v>
</v>
      </c>
      <c r="E447" s="25" t="str">
        <f>('Ingest Template'!M447)</f>
        <v/>
      </c>
      <c r="F447" s="40" t="str">
        <f t="array" ref="F447">INDEX(DropDown!$J$2:$J$63,MATCH(1,COUNTIF(E447,DropDown!$I$2:$I$63),0))</f>
        <v>#N/A</v>
      </c>
      <c r="G447" s="25"/>
      <c r="H447" s="25"/>
      <c r="I447" s="25"/>
      <c r="J447" s="25" t="str">
        <f>'Ingest Template'!B447</f>
        <v/>
      </c>
      <c r="K447" s="25" t="str">
        <f>IF('Ingest Template'!A446="Standard",'Ingest Template'!N446,"Competitive View")</f>
        <v>Competitive View</v>
      </c>
      <c r="L447" s="41" t="s">
        <v>145</v>
      </c>
      <c r="M447" s="25" t="str">
        <f>'Ingest Template'!D446</f>
        <v/>
      </c>
      <c r="N447" s="25"/>
      <c r="O447" s="25"/>
      <c r="P447" s="25"/>
      <c r="Q447" s="25"/>
      <c r="R447" s="25" t="str">
        <f>CONCATENATE('Ingest Template'!F446)</f>
        <v/>
      </c>
      <c r="S447" s="43" t="s">
        <v>160</v>
      </c>
      <c r="T447" s="25" t="str">
        <f>'Ingest Template'!W446</f>
        <v/>
      </c>
      <c r="U447" s="25"/>
      <c r="V447" s="25" t="str">
        <f>LOWER(SUBSTITUTE(SUBSTITUTE(SUBSTITUTE(SUBSTITUTE(SUBSTITUTE('Ingest Template'!Y446,"https:",""),"www.",""),"/",""),"?hl=en",""),"instagram.com",""))</f>
        <v/>
      </c>
      <c r="W447" s="34" t="str">
        <f>(IFERROR(vlookup('Ingest Template'!F447,DropDown!D:E,2,false)&amp;'Ingest Template'!C447,""))</f>
        <v/>
      </c>
      <c r="X447" s="25" t="str">
        <f>'Ingest Template'!AA446</f>
        <v/>
      </c>
      <c r="Y447" s="25"/>
      <c r="Z447" s="25"/>
      <c r="AA447" s="25"/>
      <c r="AB447" s="25" t="str">
        <f>'Ingest Template'!T446</f>
        <v/>
      </c>
      <c r="AC447" s="25"/>
      <c r="AD447" s="25" t="str">
        <f>'Ingest Template'!U446</f>
        <v/>
      </c>
      <c r="AE447" s="25" t="str">
        <f>'Ingest Template'!V446</f>
        <v/>
      </c>
      <c r="AF447" s="25"/>
      <c r="AG447" s="25" t="str">
        <f t="array" ref="AG447">IF('Ingest Template'!A446="Standard",(CONCATENATE(IF(ISBLANK('Ingest Template'!O446),"", 'Ingest Template'!O446&amp;"|DAR"),CHAR(10), IF(ISBLANK('Ingest Template'!P446),"", 'Ingest Template'!P446&amp;"|DAR"),CHAR(10), IF(ISBLANK('Ingest Template'!Q446),"", 'Ingest Template'!Q446&amp;"|DAR"))),(CONCATENATE(IF(ISBLANK('Ingest Template'!O446),"", 'Ingest Template'!O446&amp;"|Operations - Core Title"),CHAR(10), IF(ISBLANK('Ingest Template'!P446),"", 'Ingest Template'!P446&amp;"|Operations - Core Title"),CHAR(10), IF(ISBLANK('Ingest Template'!Q446),"", 'Ingest Template'!Q446&amp;"|Operations - Core Title"))))</f>
        <v>#|Operations - Core Title
#videoGame|Operations - Core Title
</v>
      </c>
      <c r="AH447" s="25"/>
      <c r="AI447" s="25"/>
      <c r="AJ447" s="50" t="str">
        <f>if('Ingest Template'!A446="Standard",'Ingest Template'!R446&amp; "|DAR|DAR|2021-01-01",'Ingest Template'!R446&amp; "|Operations - Core Title|Operations - Core Title")</f>
        <v>#N/A</v>
      </c>
      <c r="AK447" s="25"/>
      <c r="AL447" s="25" t="str">
        <f>if('Ingest Template'!A446="Standard",'Ingest Template'!S446&amp; "|2021-01-01",'Ingest Template'!S446)</f>
        <v>#N/A</v>
      </c>
      <c r="AM447" s="25"/>
    </row>
    <row r="448">
      <c r="A448" s="25"/>
      <c r="B448" s="25" t="str">
        <f>'Ingest Template'!C447&amp;IF('Ingest Template'!A447 = "Standard", " - DAR","")</f>
        <v/>
      </c>
      <c r="C448" s="34" t="s">
        <v>92</v>
      </c>
      <c r="D448" s="34" t="str">
        <f>CONCATENATE('Ingest Template'!E448&amp;Char(10)&amp;'Ingest Template'!G448&amp;Char(10)&amp;'Ingest Template'!H448&amp;Char(10)&amp;'Ingest Template'!I448&amp;Char(10)&amp;'Ingest Template'!J448&amp;Char(10)&amp;'Ingest Template'!K448&amp;Char(10)&amp;'Ingest Template'!L448)</f>
        <v>
</v>
      </c>
      <c r="E448" s="25" t="str">
        <f>('Ingest Template'!M448)</f>
        <v/>
      </c>
      <c r="F448" s="40" t="str">
        <f t="array" ref="F448">INDEX(DropDown!$J$2:$J$63,MATCH(1,COUNTIF(E448,DropDown!$I$2:$I$63),0))</f>
        <v>#N/A</v>
      </c>
      <c r="G448" s="25"/>
      <c r="H448" s="25"/>
      <c r="I448" s="25"/>
      <c r="J448" s="25" t="str">
        <f>'Ingest Template'!B448</f>
        <v/>
      </c>
      <c r="K448" s="25" t="str">
        <f>IF('Ingest Template'!A447="Standard",'Ingest Template'!N447,"Competitive View")</f>
        <v>Competitive View</v>
      </c>
      <c r="L448" s="41" t="s">
        <v>145</v>
      </c>
      <c r="M448" s="25" t="str">
        <f>'Ingest Template'!D447</f>
        <v/>
      </c>
      <c r="N448" s="25"/>
      <c r="O448" s="25"/>
      <c r="P448" s="25"/>
      <c r="Q448" s="25"/>
      <c r="R448" s="25" t="str">
        <f>CONCATENATE('Ingest Template'!F447)</f>
        <v/>
      </c>
      <c r="S448" s="43" t="s">
        <v>160</v>
      </c>
      <c r="T448" s="25" t="str">
        <f>'Ingest Template'!W447</f>
        <v/>
      </c>
      <c r="U448" s="25"/>
      <c r="V448" s="25" t="str">
        <f>LOWER(SUBSTITUTE(SUBSTITUTE(SUBSTITUTE(SUBSTITUTE(SUBSTITUTE('Ingest Template'!Y447,"https:",""),"www.",""),"/",""),"?hl=en",""),"instagram.com",""))</f>
        <v/>
      </c>
      <c r="W448" s="34" t="str">
        <f>(IFERROR(vlookup('Ingest Template'!F448,DropDown!D:E,2,false)&amp;'Ingest Template'!C448,""))</f>
        <v/>
      </c>
      <c r="X448" s="25" t="str">
        <f>'Ingest Template'!AA447</f>
        <v/>
      </c>
      <c r="Y448" s="25"/>
      <c r="Z448" s="25"/>
      <c r="AA448" s="25"/>
      <c r="AB448" s="25" t="str">
        <f>'Ingest Template'!T447</f>
        <v/>
      </c>
      <c r="AC448" s="25"/>
      <c r="AD448" s="25" t="str">
        <f>'Ingest Template'!U447</f>
        <v/>
      </c>
      <c r="AE448" s="25" t="str">
        <f>'Ingest Template'!V447</f>
        <v/>
      </c>
      <c r="AF448" s="25"/>
      <c r="AG448" s="25" t="str">
        <f t="array" ref="AG448">IF('Ingest Template'!A447="Standard",(CONCATENATE(IF(ISBLANK('Ingest Template'!O447),"", 'Ingest Template'!O447&amp;"|DAR"),CHAR(10), IF(ISBLANK('Ingest Template'!P447),"", 'Ingest Template'!P447&amp;"|DAR"),CHAR(10), IF(ISBLANK('Ingest Template'!Q447),"", 'Ingest Template'!Q447&amp;"|DAR"))),(CONCATENATE(IF(ISBLANK('Ingest Template'!O447),"", 'Ingest Template'!O447&amp;"|Operations - Core Title"),CHAR(10), IF(ISBLANK('Ingest Template'!P447),"", 'Ingest Template'!P447&amp;"|Operations - Core Title"),CHAR(10), IF(ISBLANK('Ingest Template'!Q447),"", 'Ingest Template'!Q447&amp;"|Operations - Core Title"))))</f>
        <v>#|Operations - Core Title
#videoGame|Operations - Core Title
</v>
      </c>
      <c r="AH448" s="25"/>
      <c r="AI448" s="25"/>
      <c r="AJ448" s="50" t="str">
        <f>if('Ingest Template'!A447="Standard",'Ingest Template'!R447&amp; "|DAR|DAR|2021-01-01",'Ingest Template'!R447&amp; "|Operations - Core Title|Operations - Core Title")</f>
        <v>#N/A</v>
      </c>
      <c r="AK448" s="25"/>
      <c r="AL448" s="25" t="str">
        <f>if('Ingest Template'!A447="Standard",'Ingest Template'!S447&amp; "|2021-01-01",'Ingest Template'!S447)</f>
        <v>#N/A</v>
      </c>
      <c r="AM448" s="25"/>
    </row>
    <row r="449">
      <c r="A449" s="25"/>
      <c r="B449" s="25" t="str">
        <f>'Ingest Template'!C448&amp;IF('Ingest Template'!A448 = "Standard", " - DAR","")</f>
        <v/>
      </c>
      <c r="C449" s="34" t="s">
        <v>92</v>
      </c>
      <c r="D449" s="34" t="str">
        <f>CONCATENATE('Ingest Template'!E449&amp;Char(10)&amp;'Ingest Template'!G449&amp;Char(10)&amp;'Ingest Template'!H449&amp;Char(10)&amp;'Ingest Template'!I449&amp;Char(10)&amp;'Ingest Template'!J449&amp;Char(10)&amp;'Ingest Template'!K449&amp;Char(10)&amp;'Ingest Template'!L449)</f>
        <v>
</v>
      </c>
      <c r="E449" s="25" t="str">
        <f>('Ingest Template'!M449)</f>
        <v/>
      </c>
      <c r="F449" s="40" t="str">
        <f t="array" ref="F449">INDEX(DropDown!$J$2:$J$63,MATCH(1,COUNTIF(E449,DropDown!$I$2:$I$63),0))</f>
        <v>#N/A</v>
      </c>
      <c r="G449" s="25"/>
      <c r="H449" s="25"/>
      <c r="I449" s="25"/>
      <c r="J449" s="25" t="str">
        <f>'Ingest Template'!B449</f>
        <v/>
      </c>
      <c r="K449" s="25" t="str">
        <f>IF('Ingest Template'!A448="Standard",'Ingest Template'!N448,"Competitive View")</f>
        <v>Competitive View</v>
      </c>
      <c r="L449" s="41" t="s">
        <v>145</v>
      </c>
      <c r="M449" s="25" t="str">
        <f>'Ingest Template'!D448</f>
        <v/>
      </c>
      <c r="N449" s="25"/>
      <c r="O449" s="25"/>
      <c r="P449" s="25"/>
      <c r="Q449" s="25"/>
      <c r="R449" s="25" t="str">
        <f>CONCATENATE('Ingest Template'!F448)</f>
        <v/>
      </c>
      <c r="S449" s="43" t="s">
        <v>160</v>
      </c>
      <c r="T449" s="25" t="str">
        <f>'Ingest Template'!W448</f>
        <v/>
      </c>
      <c r="U449" s="25"/>
      <c r="V449" s="25" t="str">
        <f>LOWER(SUBSTITUTE(SUBSTITUTE(SUBSTITUTE(SUBSTITUTE(SUBSTITUTE('Ingest Template'!Y448,"https:",""),"www.",""),"/",""),"?hl=en",""),"instagram.com",""))</f>
        <v/>
      </c>
      <c r="W449" s="34" t="str">
        <f>(IFERROR(vlookup('Ingest Template'!F449,DropDown!D:E,2,false)&amp;'Ingest Template'!C449,""))</f>
        <v/>
      </c>
      <c r="X449" s="25" t="str">
        <f>'Ingest Template'!AA448</f>
        <v/>
      </c>
      <c r="Y449" s="25"/>
      <c r="Z449" s="25"/>
      <c r="AA449" s="25"/>
      <c r="AB449" s="25" t="str">
        <f>'Ingest Template'!T448</f>
        <v/>
      </c>
      <c r="AC449" s="25"/>
      <c r="AD449" s="25" t="str">
        <f>'Ingest Template'!U448</f>
        <v/>
      </c>
      <c r="AE449" s="25" t="str">
        <f>'Ingest Template'!V448</f>
        <v/>
      </c>
      <c r="AF449" s="25"/>
      <c r="AG449" s="25" t="str">
        <f t="array" ref="AG449">IF('Ingest Template'!A448="Standard",(CONCATENATE(IF(ISBLANK('Ingest Template'!O448),"", 'Ingest Template'!O448&amp;"|DAR"),CHAR(10), IF(ISBLANK('Ingest Template'!P448),"", 'Ingest Template'!P448&amp;"|DAR"),CHAR(10), IF(ISBLANK('Ingest Template'!Q448),"", 'Ingest Template'!Q448&amp;"|DAR"))),(CONCATENATE(IF(ISBLANK('Ingest Template'!O448),"", 'Ingest Template'!O448&amp;"|Operations - Core Title"),CHAR(10), IF(ISBLANK('Ingest Template'!P448),"", 'Ingest Template'!P448&amp;"|Operations - Core Title"),CHAR(10), IF(ISBLANK('Ingest Template'!Q448),"", 'Ingest Template'!Q448&amp;"|Operations - Core Title"))))</f>
        <v>#|Operations - Core Title
#videoGame|Operations - Core Title
</v>
      </c>
      <c r="AH449" s="25"/>
      <c r="AI449" s="25"/>
      <c r="AJ449" s="50" t="str">
        <f>if('Ingest Template'!A448="Standard",'Ingest Template'!R448&amp; "|DAR|DAR|2021-01-01",'Ingest Template'!R448&amp; "|Operations - Core Title|Operations - Core Title")</f>
        <v>#N/A</v>
      </c>
      <c r="AK449" s="25"/>
      <c r="AL449" s="25" t="str">
        <f>if('Ingest Template'!A448="Standard",'Ingest Template'!S448&amp; "|2021-01-01",'Ingest Template'!S448)</f>
        <v>#N/A</v>
      </c>
      <c r="AM449" s="25"/>
    </row>
    <row r="450">
      <c r="A450" s="25"/>
      <c r="B450" s="25" t="str">
        <f>'Ingest Template'!C449&amp;IF('Ingest Template'!A449 = "Standard", " - DAR","")</f>
        <v/>
      </c>
      <c r="C450" s="34" t="s">
        <v>92</v>
      </c>
      <c r="D450" s="34" t="str">
        <f>CONCATENATE('Ingest Template'!E450&amp;Char(10)&amp;'Ingest Template'!G450&amp;Char(10)&amp;'Ingest Template'!H450&amp;Char(10)&amp;'Ingest Template'!I450&amp;Char(10)&amp;'Ingest Template'!J450&amp;Char(10)&amp;'Ingest Template'!K450&amp;Char(10)&amp;'Ingest Template'!L450)</f>
        <v>
</v>
      </c>
      <c r="E450" s="25" t="str">
        <f>('Ingest Template'!M450)</f>
        <v/>
      </c>
      <c r="F450" s="40" t="str">
        <f t="array" ref="F450">INDEX(DropDown!$J$2:$J$63,MATCH(1,COUNTIF(E450,DropDown!$I$2:$I$63),0))</f>
        <v>#N/A</v>
      </c>
      <c r="G450" s="25"/>
      <c r="H450" s="25"/>
      <c r="I450" s="25"/>
      <c r="J450" s="25" t="str">
        <f>'Ingest Template'!B450</f>
        <v/>
      </c>
      <c r="K450" s="25" t="str">
        <f>IF('Ingest Template'!A449="Standard",'Ingest Template'!N449,"Competitive View")</f>
        <v>Competitive View</v>
      </c>
      <c r="L450" s="41" t="s">
        <v>145</v>
      </c>
      <c r="M450" s="25" t="str">
        <f>'Ingest Template'!D449</f>
        <v/>
      </c>
      <c r="N450" s="25"/>
      <c r="O450" s="25"/>
      <c r="P450" s="25"/>
      <c r="Q450" s="25"/>
      <c r="R450" s="25" t="str">
        <f>CONCATENATE('Ingest Template'!F449)</f>
        <v/>
      </c>
      <c r="S450" s="43" t="s">
        <v>160</v>
      </c>
      <c r="T450" s="25" t="str">
        <f>'Ingest Template'!W449</f>
        <v/>
      </c>
      <c r="U450" s="25"/>
      <c r="V450" s="25" t="str">
        <f>LOWER(SUBSTITUTE(SUBSTITUTE(SUBSTITUTE(SUBSTITUTE(SUBSTITUTE('Ingest Template'!Y449,"https:",""),"www.",""),"/",""),"?hl=en",""),"instagram.com",""))</f>
        <v/>
      </c>
      <c r="W450" s="34" t="str">
        <f>(IFERROR(vlookup('Ingest Template'!F450,DropDown!D:E,2,false)&amp;'Ingest Template'!C450,""))</f>
        <v/>
      </c>
      <c r="X450" s="25" t="str">
        <f>'Ingest Template'!AA449</f>
        <v/>
      </c>
      <c r="Y450" s="25"/>
      <c r="Z450" s="25"/>
      <c r="AA450" s="25"/>
      <c r="AB450" s="25" t="str">
        <f>'Ingest Template'!T449</f>
        <v/>
      </c>
      <c r="AC450" s="25"/>
      <c r="AD450" s="25" t="str">
        <f>'Ingest Template'!U449</f>
        <v/>
      </c>
      <c r="AE450" s="25" t="str">
        <f>'Ingest Template'!V449</f>
        <v/>
      </c>
      <c r="AF450" s="25"/>
      <c r="AG450" s="25" t="str">
        <f t="array" ref="AG450">IF('Ingest Template'!A449="Standard",(CONCATENATE(IF(ISBLANK('Ingest Template'!O449),"", 'Ingest Template'!O449&amp;"|DAR"),CHAR(10), IF(ISBLANK('Ingest Template'!P449),"", 'Ingest Template'!P449&amp;"|DAR"),CHAR(10), IF(ISBLANK('Ingest Template'!Q449),"", 'Ingest Template'!Q449&amp;"|DAR"))),(CONCATENATE(IF(ISBLANK('Ingest Template'!O449),"", 'Ingest Template'!O449&amp;"|Operations - Core Title"),CHAR(10), IF(ISBLANK('Ingest Template'!P449),"", 'Ingest Template'!P449&amp;"|Operations - Core Title"),CHAR(10), IF(ISBLANK('Ingest Template'!Q449),"", 'Ingest Template'!Q449&amp;"|Operations - Core Title"))))</f>
        <v>#|Operations - Core Title
#videoGame|Operations - Core Title
</v>
      </c>
      <c r="AH450" s="25"/>
      <c r="AI450" s="25"/>
      <c r="AJ450" s="50" t="str">
        <f>if('Ingest Template'!A449="Standard",'Ingest Template'!R449&amp; "|DAR|DAR|2021-01-01",'Ingest Template'!R449&amp; "|Operations - Core Title|Operations - Core Title")</f>
        <v>#N/A</v>
      </c>
      <c r="AK450" s="25"/>
      <c r="AL450" s="25" t="str">
        <f>if('Ingest Template'!A449="Standard",'Ingest Template'!S449&amp; "|2021-01-01",'Ingest Template'!S449)</f>
        <v>#N/A</v>
      </c>
      <c r="AM450" s="25"/>
    </row>
    <row r="451">
      <c r="A451" s="25"/>
      <c r="B451" s="25" t="str">
        <f>'Ingest Template'!C450&amp;IF('Ingest Template'!A450 = "Standard", " - DAR","")</f>
        <v/>
      </c>
      <c r="C451" s="34" t="s">
        <v>92</v>
      </c>
      <c r="D451" s="34" t="str">
        <f>CONCATENATE('Ingest Template'!E451&amp;Char(10)&amp;'Ingest Template'!G451&amp;Char(10)&amp;'Ingest Template'!H451&amp;Char(10)&amp;'Ingest Template'!I451&amp;Char(10)&amp;'Ingest Template'!J451&amp;Char(10)&amp;'Ingest Template'!K451&amp;Char(10)&amp;'Ingest Template'!L451)</f>
        <v>
</v>
      </c>
      <c r="E451" s="25" t="str">
        <f>('Ingest Template'!M451)</f>
        <v/>
      </c>
      <c r="F451" s="40" t="str">
        <f t="array" ref="F451">INDEX(DropDown!$J$2:$J$63,MATCH(1,COUNTIF(E451,DropDown!$I$2:$I$63),0))</f>
        <v>#N/A</v>
      </c>
      <c r="G451" s="25"/>
      <c r="H451" s="25"/>
      <c r="I451" s="25"/>
      <c r="J451" s="25" t="str">
        <f>'Ingest Template'!B451</f>
        <v/>
      </c>
      <c r="K451" s="25" t="str">
        <f>IF('Ingest Template'!A450="Standard",'Ingest Template'!N450,"Competitive View")</f>
        <v>Competitive View</v>
      </c>
      <c r="L451" s="41" t="s">
        <v>145</v>
      </c>
      <c r="M451" s="25" t="str">
        <f>'Ingest Template'!D450</f>
        <v/>
      </c>
      <c r="N451" s="25"/>
      <c r="O451" s="25"/>
      <c r="P451" s="25"/>
      <c r="Q451" s="25"/>
      <c r="R451" s="25" t="str">
        <f>CONCATENATE('Ingest Template'!F450)</f>
        <v/>
      </c>
      <c r="S451" s="43" t="s">
        <v>160</v>
      </c>
      <c r="T451" s="25" t="str">
        <f>'Ingest Template'!W450</f>
        <v/>
      </c>
      <c r="U451" s="25"/>
      <c r="V451" s="25" t="str">
        <f>LOWER(SUBSTITUTE(SUBSTITUTE(SUBSTITUTE(SUBSTITUTE(SUBSTITUTE('Ingest Template'!Y450,"https:",""),"www.",""),"/",""),"?hl=en",""),"instagram.com",""))</f>
        <v/>
      </c>
      <c r="W451" s="34" t="str">
        <f>(IFERROR(vlookup('Ingest Template'!F451,DropDown!D:E,2,false)&amp;'Ingest Template'!C451,""))</f>
        <v/>
      </c>
      <c r="X451" s="25" t="str">
        <f>'Ingest Template'!AA450</f>
        <v/>
      </c>
      <c r="Y451" s="25"/>
      <c r="Z451" s="25"/>
      <c r="AA451" s="25"/>
      <c r="AB451" s="25" t="str">
        <f>'Ingest Template'!T450</f>
        <v/>
      </c>
      <c r="AC451" s="25"/>
      <c r="AD451" s="25" t="str">
        <f>'Ingest Template'!U450</f>
        <v/>
      </c>
      <c r="AE451" s="25" t="str">
        <f>'Ingest Template'!V450</f>
        <v/>
      </c>
      <c r="AF451" s="25"/>
      <c r="AG451" s="25" t="str">
        <f t="array" ref="AG451">IF('Ingest Template'!A450="Standard",(CONCATENATE(IF(ISBLANK('Ingest Template'!O450),"", 'Ingest Template'!O450&amp;"|DAR"),CHAR(10), IF(ISBLANK('Ingest Template'!P450),"", 'Ingest Template'!P450&amp;"|DAR"),CHAR(10), IF(ISBLANK('Ingest Template'!Q450),"", 'Ingest Template'!Q450&amp;"|DAR"))),(CONCATENATE(IF(ISBLANK('Ingest Template'!O450),"", 'Ingest Template'!O450&amp;"|Operations - Core Title"),CHAR(10), IF(ISBLANK('Ingest Template'!P450),"", 'Ingest Template'!P450&amp;"|Operations - Core Title"),CHAR(10), IF(ISBLANK('Ingest Template'!Q450),"", 'Ingest Template'!Q450&amp;"|Operations - Core Title"))))</f>
        <v>#|Operations - Core Title
#videoGame|Operations - Core Title
</v>
      </c>
      <c r="AH451" s="25"/>
      <c r="AI451" s="25"/>
      <c r="AJ451" s="50" t="str">
        <f>if('Ingest Template'!A450="Standard",'Ingest Template'!R450&amp; "|DAR|DAR|2021-01-01",'Ingest Template'!R450&amp; "|Operations - Core Title|Operations - Core Title")</f>
        <v>#N/A</v>
      </c>
      <c r="AK451" s="25"/>
      <c r="AL451" s="25" t="str">
        <f>if('Ingest Template'!A450="Standard",'Ingest Template'!S450&amp; "|2021-01-01",'Ingest Template'!S450)</f>
        <v>#N/A</v>
      </c>
      <c r="AM451" s="25"/>
    </row>
    <row r="452">
      <c r="A452" s="25"/>
      <c r="B452" s="25" t="str">
        <f>'Ingest Template'!C451&amp;IF('Ingest Template'!A451 = "Standard", " - DAR","")</f>
        <v/>
      </c>
      <c r="C452" s="34" t="s">
        <v>92</v>
      </c>
      <c r="D452" s="34" t="str">
        <f>CONCATENATE('Ingest Template'!E452&amp;Char(10)&amp;'Ingest Template'!G452&amp;Char(10)&amp;'Ingest Template'!H452&amp;Char(10)&amp;'Ingest Template'!I452&amp;Char(10)&amp;'Ingest Template'!J452&amp;Char(10)&amp;'Ingest Template'!K452&amp;Char(10)&amp;'Ingest Template'!L452)</f>
        <v>
</v>
      </c>
      <c r="E452" s="25" t="str">
        <f>('Ingest Template'!M452)</f>
        <v/>
      </c>
      <c r="F452" s="40" t="str">
        <f t="array" ref="F452">INDEX(DropDown!$J$2:$J$63,MATCH(1,COUNTIF(E452,DropDown!$I$2:$I$63),0))</f>
        <v>#N/A</v>
      </c>
      <c r="G452" s="25"/>
      <c r="H452" s="25"/>
      <c r="I452" s="25"/>
      <c r="J452" s="25" t="str">
        <f>'Ingest Template'!B452</f>
        <v/>
      </c>
      <c r="K452" s="25" t="str">
        <f>IF('Ingest Template'!A451="Standard",'Ingest Template'!N451,"Competitive View")</f>
        <v>Competitive View</v>
      </c>
      <c r="L452" s="41" t="s">
        <v>145</v>
      </c>
      <c r="M452" s="25" t="str">
        <f>'Ingest Template'!D451</f>
        <v/>
      </c>
      <c r="N452" s="25"/>
      <c r="O452" s="25"/>
      <c r="P452" s="25"/>
      <c r="Q452" s="25"/>
      <c r="R452" s="25" t="str">
        <f>CONCATENATE('Ingest Template'!F451)</f>
        <v/>
      </c>
      <c r="S452" s="43" t="s">
        <v>160</v>
      </c>
      <c r="T452" s="25" t="str">
        <f>'Ingest Template'!W451</f>
        <v/>
      </c>
      <c r="U452" s="25"/>
      <c r="V452" s="25" t="str">
        <f>LOWER(SUBSTITUTE(SUBSTITUTE(SUBSTITUTE(SUBSTITUTE(SUBSTITUTE('Ingest Template'!Y451,"https:",""),"www.",""),"/",""),"?hl=en",""),"instagram.com",""))</f>
        <v/>
      </c>
      <c r="W452" s="34" t="str">
        <f>(IFERROR(vlookup('Ingest Template'!F452,DropDown!D:E,2,false)&amp;'Ingest Template'!C452,""))</f>
        <v/>
      </c>
      <c r="X452" s="25" t="str">
        <f>'Ingest Template'!AA451</f>
        <v/>
      </c>
      <c r="Y452" s="25"/>
      <c r="Z452" s="25"/>
      <c r="AA452" s="25"/>
      <c r="AB452" s="25" t="str">
        <f>'Ingest Template'!T451</f>
        <v/>
      </c>
      <c r="AC452" s="25"/>
      <c r="AD452" s="25" t="str">
        <f>'Ingest Template'!U451</f>
        <v/>
      </c>
      <c r="AE452" s="25" t="str">
        <f>'Ingest Template'!V451</f>
        <v/>
      </c>
      <c r="AF452" s="25"/>
      <c r="AG452" s="25" t="str">
        <f t="array" ref="AG452">IF('Ingest Template'!A451="Standard",(CONCATENATE(IF(ISBLANK('Ingest Template'!O451),"", 'Ingest Template'!O451&amp;"|DAR"),CHAR(10), IF(ISBLANK('Ingest Template'!P451),"", 'Ingest Template'!P451&amp;"|DAR"),CHAR(10), IF(ISBLANK('Ingest Template'!Q451),"", 'Ingest Template'!Q451&amp;"|DAR"))),(CONCATENATE(IF(ISBLANK('Ingest Template'!O451),"", 'Ingest Template'!O451&amp;"|Operations - Core Title"),CHAR(10), IF(ISBLANK('Ingest Template'!P451),"", 'Ingest Template'!P451&amp;"|Operations - Core Title"),CHAR(10), IF(ISBLANK('Ingest Template'!Q451),"", 'Ingest Template'!Q451&amp;"|Operations - Core Title"))))</f>
        <v>#|Operations - Core Title
#videoGame|Operations - Core Title
</v>
      </c>
      <c r="AH452" s="25"/>
      <c r="AI452" s="25"/>
      <c r="AJ452" s="50" t="str">
        <f>if('Ingest Template'!A451="Standard",'Ingest Template'!R451&amp; "|DAR|DAR|2021-01-01",'Ingest Template'!R451&amp; "|Operations - Core Title|Operations - Core Title")</f>
        <v>#N/A</v>
      </c>
      <c r="AK452" s="25"/>
      <c r="AL452" s="25" t="str">
        <f>if('Ingest Template'!A451="Standard",'Ingest Template'!S451&amp; "|2021-01-01",'Ingest Template'!S451)</f>
        <v>#N/A</v>
      </c>
      <c r="AM452" s="25"/>
    </row>
    <row r="453">
      <c r="A453" s="25"/>
      <c r="B453" s="25" t="str">
        <f>'Ingest Template'!C452&amp;IF('Ingest Template'!A452 = "Standard", " - DAR","")</f>
        <v/>
      </c>
      <c r="C453" s="34" t="s">
        <v>92</v>
      </c>
      <c r="D453" s="34" t="str">
        <f>CONCATENATE('Ingest Template'!E453&amp;Char(10)&amp;'Ingest Template'!G453&amp;Char(10)&amp;'Ingest Template'!H453&amp;Char(10)&amp;'Ingest Template'!I453&amp;Char(10)&amp;'Ingest Template'!J453&amp;Char(10)&amp;'Ingest Template'!K453&amp;Char(10)&amp;'Ingest Template'!L453)</f>
        <v>
</v>
      </c>
      <c r="E453" s="25" t="str">
        <f>('Ingest Template'!M453)</f>
        <v/>
      </c>
      <c r="F453" s="40" t="str">
        <f t="array" ref="F453">INDEX(DropDown!$J$2:$J$63,MATCH(1,COUNTIF(E453,DropDown!$I$2:$I$63),0))</f>
        <v>#N/A</v>
      </c>
      <c r="G453" s="25"/>
      <c r="H453" s="25"/>
      <c r="I453" s="25"/>
      <c r="J453" s="25" t="str">
        <f>'Ingest Template'!B453</f>
        <v/>
      </c>
      <c r="K453" s="25" t="str">
        <f>IF('Ingest Template'!A452="Standard",'Ingest Template'!N452,"Competitive View")</f>
        <v>Competitive View</v>
      </c>
      <c r="L453" s="41" t="s">
        <v>145</v>
      </c>
      <c r="M453" s="25" t="str">
        <f>'Ingest Template'!D452</f>
        <v/>
      </c>
      <c r="N453" s="25"/>
      <c r="O453" s="25"/>
      <c r="P453" s="25"/>
      <c r="Q453" s="25"/>
      <c r="R453" s="25" t="str">
        <f>CONCATENATE('Ingest Template'!F452)</f>
        <v/>
      </c>
      <c r="S453" s="43" t="s">
        <v>160</v>
      </c>
      <c r="T453" s="25" t="str">
        <f>'Ingest Template'!W452</f>
        <v/>
      </c>
      <c r="U453" s="25"/>
      <c r="V453" s="25" t="str">
        <f>LOWER(SUBSTITUTE(SUBSTITUTE(SUBSTITUTE(SUBSTITUTE(SUBSTITUTE('Ingest Template'!Y452,"https:",""),"www.",""),"/",""),"?hl=en",""),"instagram.com",""))</f>
        <v/>
      </c>
      <c r="W453" s="34" t="str">
        <f>(IFERROR(vlookup('Ingest Template'!F453,DropDown!D:E,2,false)&amp;'Ingest Template'!C453,""))</f>
        <v/>
      </c>
      <c r="X453" s="25" t="str">
        <f>'Ingest Template'!AA452</f>
        <v/>
      </c>
      <c r="Y453" s="25"/>
      <c r="Z453" s="25"/>
      <c r="AA453" s="25"/>
      <c r="AB453" s="25" t="str">
        <f>'Ingest Template'!T452</f>
        <v/>
      </c>
      <c r="AC453" s="25"/>
      <c r="AD453" s="25" t="str">
        <f>'Ingest Template'!U452</f>
        <v/>
      </c>
      <c r="AE453" s="25" t="str">
        <f>'Ingest Template'!V452</f>
        <v/>
      </c>
      <c r="AF453" s="25"/>
      <c r="AG453" s="25" t="str">
        <f t="array" ref="AG453">IF('Ingest Template'!A452="Standard",(CONCATENATE(IF(ISBLANK('Ingest Template'!O452),"", 'Ingest Template'!O452&amp;"|DAR"),CHAR(10), IF(ISBLANK('Ingest Template'!P452),"", 'Ingest Template'!P452&amp;"|DAR"),CHAR(10), IF(ISBLANK('Ingest Template'!Q452),"", 'Ingest Template'!Q452&amp;"|DAR"))),(CONCATENATE(IF(ISBLANK('Ingest Template'!O452),"", 'Ingest Template'!O452&amp;"|Operations - Core Title"),CHAR(10), IF(ISBLANK('Ingest Template'!P452),"", 'Ingest Template'!P452&amp;"|Operations - Core Title"),CHAR(10), IF(ISBLANK('Ingest Template'!Q452),"", 'Ingest Template'!Q452&amp;"|Operations - Core Title"))))</f>
        <v>#|Operations - Core Title
#videoGame|Operations - Core Title
</v>
      </c>
      <c r="AH453" s="25"/>
      <c r="AI453" s="25"/>
      <c r="AJ453" s="50" t="str">
        <f>if('Ingest Template'!A452="Standard",'Ingest Template'!R452&amp; "|DAR|DAR|2021-01-01",'Ingest Template'!R452&amp; "|Operations - Core Title|Operations - Core Title")</f>
        <v>#N/A</v>
      </c>
      <c r="AK453" s="25"/>
      <c r="AL453" s="25" t="str">
        <f>if('Ingest Template'!A452="Standard",'Ingest Template'!S452&amp; "|2021-01-01",'Ingest Template'!S452)</f>
        <v>#N/A</v>
      </c>
      <c r="AM453" s="25"/>
    </row>
    <row r="454">
      <c r="A454" s="25"/>
      <c r="B454" s="25" t="str">
        <f>'Ingest Template'!C453&amp;IF('Ingest Template'!A453 = "Standard", " - DAR","")</f>
        <v/>
      </c>
      <c r="C454" s="34" t="s">
        <v>92</v>
      </c>
      <c r="D454" s="34" t="str">
        <f>CONCATENATE('Ingest Template'!E454&amp;Char(10)&amp;'Ingest Template'!G454&amp;Char(10)&amp;'Ingest Template'!H454&amp;Char(10)&amp;'Ingest Template'!I454&amp;Char(10)&amp;'Ingest Template'!J454&amp;Char(10)&amp;'Ingest Template'!K454&amp;Char(10)&amp;'Ingest Template'!L454)</f>
        <v>
</v>
      </c>
      <c r="E454" s="25" t="str">
        <f>('Ingest Template'!M454)</f>
        <v/>
      </c>
      <c r="F454" s="40" t="str">
        <f t="array" ref="F454">INDEX(DropDown!$J$2:$J$63,MATCH(1,COUNTIF(E454,DropDown!$I$2:$I$63),0))</f>
        <v>#N/A</v>
      </c>
      <c r="G454" s="25"/>
      <c r="H454" s="25"/>
      <c r="I454" s="25"/>
      <c r="J454" s="25" t="str">
        <f>'Ingest Template'!B454</f>
        <v/>
      </c>
      <c r="K454" s="25" t="str">
        <f>IF('Ingest Template'!A453="Standard",'Ingest Template'!N453,"Competitive View")</f>
        <v>Competitive View</v>
      </c>
      <c r="L454" s="41" t="s">
        <v>145</v>
      </c>
      <c r="M454" s="25" t="str">
        <f>'Ingest Template'!D453</f>
        <v/>
      </c>
      <c r="N454" s="25"/>
      <c r="O454" s="25"/>
      <c r="P454" s="25"/>
      <c r="Q454" s="25"/>
      <c r="R454" s="25" t="str">
        <f>CONCATENATE('Ingest Template'!F453)</f>
        <v/>
      </c>
      <c r="S454" s="43" t="s">
        <v>160</v>
      </c>
      <c r="T454" s="25" t="str">
        <f>'Ingest Template'!W453</f>
        <v/>
      </c>
      <c r="U454" s="25"/>
      <c r="V454" s="25" t="str">
        <f>LOWER(SUBSTITUTE(SUBSTITUTE(SUBSTITUTE(SUBSTITUTE(SUBSTITUTE('Ingest Template'!Y453,"https:",""),"www.",""),"/",""),"?hl=en",""),"instagram.com",""))</f>
        <v/>
      </c>
      <c r="W454" s="34" t="str">
        <f>(IFERROR(vlookup('Ingest Template'!F454,DropDown!D:E,2,false)&amp;'Ingest Template'!C454,""))</f>
        <v/>
      </c>
      <c r="X454" s="25" t="str">
        <f>'Ingest Template'!AA453</f>
        <v/>
      </c>
      <c r="Y454" s="25"/>
      <c r="Z454" s="25"/>
      <c r="AA454" s="25"/>
      <c r="AB454" s="25" t="str">
        <f>'Ingest Template'!T453</f>
        <v/>
      </c>
      <c r="AC454" s="25"/>
      <c r="AD454" s="25" t="str">
        <f>'Ingest Template'!U453</f>
        <v/>
      </c>
      <c r="AE454" s="25" t="str">
        <f>'Ingest Template'!V453</f>
        <v/>
      </c>
      <c r="AF454" s="25"/>
      <c r="AG454" s="25" t="str">
        <f t="array" ref="AG454">IF('Ingest Template'!A453="Standard",(CONCATENATE(IF(ISBLANK('Ingest Template'!O453),"", 'Ingest Template'!O453&amp;"|DAR"),CHAR(10), IF(ISBLANK('Ingest Template'!P453),"", 'Ingest Template'!P453&amp;"|DAR"),CHAR(10), IF(ISBLANK('Ingest Template'!Q453),"", 'Ingest Template'!Q453&amp;"|DAR"))),(CONCATENATE(IF(ISBLANK('Ingest Template'!O453),"", 'Ingest Template'!O453&amp;"|Operations - Core Title"),CHAR(10), IF(ISBLANK('Ingest Template'!P453),"", 'Ingest Template'!P453&amp;"|Operations - Core Title"),CHAR(10), IF(ISBLANK('Ingest Template'!Q453),"", 'Ingest Template'!Q453&amp;"|Operations - Core Title"))))</f>
        <v>#|Operations - Core Title
#videoGame|Operations - Core Title
</v>
      </c>
      <c r="AH454" s="25"/>
      <c r="AI454" s="25"/>
      <c r="AJ454" s="50" t="str">
        <f>if('Ingest Template'!A453="Standard",'Ingest Template'!R453&amp; "|DAR|DAR|2021-01-01",'Ingest Template'!R453&amp; "|Operations - Core Title|Operations - Core Title")</f>
        <v>#N/A</v>
      </c>
      <c r="AK454" s="25"/>
      <c r="AL454" s="25" t="str">
        <f>if('Ingest Template'!A453="Standard",'Ingest Template'!S453&amp; "|2021-01-01",'Ingest Template'!S453)</f>
        <v>#N/A</v>
      </c>
      <c r="AM454" s="25"/>
    </row>
    <row r="455">
      <c r="A455" s="25"/>
      <c r="B455" s="25" t="str">
        <f>'Ingest Template'!C454&amp;IF('Ingest Template'!A454 = "Standard", " - DAR","")</f>
        <v/>
      </c>
      <c r="C455" s="34" t="s">
        <v>92</v>
      </c>
      <c r="D455" s="34" t="str">
        <f>CONCATENATE('Ingest Template'!E455&amp;Char(10)&amp;'Ingest Template'!G455&amp;Char(10)&amp;'Ingest Template'!H455&amp;Char(10)&amp;'Ingest Template'!I455&amp;Char(10)&amp;'Ingest Template'!J455&amp;Char(10)&amp;'Ingest Template'!K455&amp;Char(10)&amp;'Ingest Template'!L455)</f>
        <v>
</v>
      </c>
      <c r="E455" s="25" t="str">
        <f>('Ingest Template'!M455)</f>
        <v/>
      </c>
      <c r="F455" s="40" t="str">
        <f t="array" ref="F455">INDEX(DropDown!$J$2:$J$63,MATCH(1,COUNTIF(E455,DropDown!$I$2:$I$63),0))</f>
        <v>#N/A</v>
      </c>
      <c r="G455" s="25"/>
      <c r="H455" s="25"/>
      <c r="I455" s="25"/>
      <c r="J455" s="25" t="str">
        <f>'Ingest Template'!B455</f>
        <v/>
      </c>
      <c r="K455" s="25" t="str">
        <f>IF('Ingest Template'!A454="Standard",'Ingest Template'!N454,"Competitive View")</f>
        <v>Competitive View</v>
      </c>
      <c r="L455" s="41" t="s">
        <v>145</v>
      </c>
      <c r="M455" s="25" t="str">
        <f>'Ingest Template'!D454</f>
        <v/>
      </c>
      <c r="N455" s="25"/>
      <c r="O455" s="25"/>
      <c r="P455" s="25"/>
      <c r="Q455" s="25"/>
      <c r="R455" s="25" t="str">
        <f>CONCATENATE('Ingest Template'!F454)</f>
        <v/>
      </c>
      <c r="S455" s="43" t="s">
        <v>160</v>
      </c>
      <c r="T455" s="25" t="str">
        <f>'Ingest Template'!W454</f>
        <v/>
      </c>
      <c r="U455" s="25"/>
      <c r="V455" s="25" t="str">
        <f>LOWER(SUBSTITUTE(SUBSTITUTE(SUBSTITUTE(SUBSTITUTE(SUBSTITUTE('Ingest Template'!Y454,"https:",""),"www.",""),"/",""),"?hl=en",""),"instagram.com",""))</f>
        <v/>
      </c>
      <c r="W455" s="34" t="str">
        <f>(IFERROR(vlookup('Ingest Template'!F455,DropDown!D:E,2,false)&amp;'Ingest Template'!C455,""))</f>
        <v/>
      </c>
      <c r="X455" s="25" t="str">
        <f>'Ingest Template'!AA454</f>
        <v/>
      </c>
      <c r="Y455" s="25"/>
      <c r="Z455" s="25"/>
      <c r="AA455" s="25"/>
      <c r="AB455" s="25" t="str">
        <f>'Ingest Template'!T454</f>
        <v/>
      </c>
      <c r="AC455" s="25"/>
      <c r="AD455" s="25" t="str">
        <f>'Ingest Template'!U454</f>
        <v/>
      </c>
      <c r="AE455" s="25" t="str">
        <f>'Ingest Template'!V454</f>
        <v/>
      </c>
      <c r="AF455" s="25"/>
      <c r="AG455" s="25" t="str">
        <f t="array" ref="AG455">IF('Ingest Template'!A454="Standard",(CONCATENATE(IF(ISBLANK('Ingest Template'!O454),"", 'Ingest Template'!O454&amp;"|DAR"),CHAR(10), IF(ISBLANK('Ingest Template'!P454),"", 'Ingest Template'!P454&amp;"|DAR"),CHAR(10), IF(ISBLANK('Ingest Template'!Q454),"", 'Ingest Template'!Q454&amp;"|DAR"))),(CONCATENATE(IF(ISBLANK('Ingest Template'!O454),"", 'Ingest Template'!O454&amp;"|Operations - Core Title"),CHAR(10), IF(ISBLANK('Ingest Template'!P454),"", 'Ingest Template'!P454&amp;"|Operations - Core Title"),CHAR(10), IF(ISBLANK('Ingest Template'!Q454),"", 'Ingest Template'!Q454&amp;"|Operations - Core Title"))))</f>
        <v>#|Operations - Core Title
#videoGame|Operations - Core Title
</v>
      </c>
      <c r="AH455" s="25"/>
      <c r="AI455" s="25"/>
      <c r="AJ455" s="50" t="str">
        <f>if('Ingest Template'!A454="Standard",'Ingest Template'!R454&amp; "|DAR|DAR|2021-01-01",'Ingest Template'!R454&amp; "|Operations - Core Title|Operations - Core Title")</f>
        <v>#N/A</v>
      </c>
      <c r="AK455" s="25"/>
      <c r="AL455" s="25" t="str">
        <f>if('Ingest Template'!A454="Standard",'Ingest Template'!S454&amp; "|2021-01-01",'Ingest Template'!S454)</f>
        <v>#N/A</v>
      </c>
      <c r="AM455" s="25"/>
    </row>
    <row r="456">
      <c r="A456" s="25"/>
      <c r="B456" s="25" t="str">
        <f>'Ingest Template'!C455&amp;IF('Ingest Template'!A455 = "Standard", " - DAR","")</f>
        <v/>
      </c>
      <c r="C456" s="34" t="s">
        <v>92</v>
      </c>
      <c r="D456" s="34" t="str">
        <f>CONCATENATE('Ingest Template'!E456&amp;Char(10)&amp;'Ingest Template'!G456&amp;Char(10)&amp;'Ingest Template'!H456&amp;Char(10)&amp;'Ingest Template'!I456&amp;Char(10)&amp;'Ingest Template'!J456&amp;Char(10)&amp;'Ingest Template'!K456&amp;Char(10)&amp;'Ingest Template'!L456)</f>
        <v>
</v>
      </c>
      <c r="E456" s="25" t="str">
        <f>('Ingest Template'!M456)</f>
        <v/>
      </c>
      <c r="F456" s="40" t="str">
        <f t="array" ref="F456">INDEX(DropDown!$J$2:$J$63,MATCH(1,COUNTIF(E456,DropDown!$I$2:$I$63),0))</f>
        <v>#N/A</v>
      </c>
      <c r="G456" s="25"/>
      <c r="H456" s="25"/>
      <c r="I456" s="25"/>
      <c r="J456" s="25" t="str">
        <f>'Ingest Template'!B456</f>
        <v/>
      </c>
      <c r="K456" s="25" t="str">
        <f>IF('Ingest Template'!A455="Standard",'Ingest Template'!N455,"Competitive View")</f>
        <v>Competitive View</v>
      </c>
      <c r="L456" s="41" t="s">
        <v>145</v>
      </c>
      <c r="M456" s="25" t="str">
        <f>'Ingest Template'!D455</f>
        <v/>
      </c>
      <c r="N456" s="25"/>
      <c r="O456" s="25"/>
      <c r="P456" s="25"/>
      <c r="Q456" s="25"/>
      <c r="R456" s="25" t="str">
        <f>CONCATENATE('Ingest Template'!F455)</f>
        <v/>
      </c>
      <c r="S456" s="43" t="s">
        <v>160</v>
      </c>
      <c r="T456" s="25" t="str">
        <f>'Ingest Template'!W455</f>
        <v/>
      </c>
      <c r="U456" s="25"/>
      <c r="V456" s="25" t="str">
        <f>LOWER(SUBSTITUTE(SUBSTITUTE(SUBSTITUTE(SUBSTITUTE(SUBSTITUTE('Ingest Template'!Y455,"https:",""),"www.",""),"/",""),"?hl=en",""),"instagram.com",""))</f>
        <v/>
      </c>
      <c r="W456" s="34" t="str">
        <f>(IFERROR(vlookup('Ingest Template'!F456,DropDown!D:E,2,false)&amp;'Ingest Template'!C456,""))</f>
        <v/>
      </c>
      <c r="X456" s="25" t="str">
        <f>'Ingest Template'!AA455</f>
        <v/>
      </c>
      <c r="Y456" s="25"/>
      <c r="Z456" s="25"/>
      <c r="AA456" s="25"/>
      <c r="AB456" s="25" t="str">
        <f>'Ingest Template'!T455</f>
        <v/>
      </c>
      <c r="AC456" s="25"/>
      <c r="AD456" s="25" t="str">
        <f>'Ingest Template'!U455</f>
        <v/>
      </c>
      <c r="AE456" s="25" t="str">
        <f>'Ingest Template'!V455</f>
        <v/>
      </c>
      <c r="AF456" s="25"/>
      <c r="AG456" s="25" t="str">
        <f t="array" ref="AG456">IF('Ingest Template'!A455="Standard",(CONCATENATE(IF(ISBLANK('Ingest Template'!O455),"", 'Ingest Template'!O455&amp;"|DAR"),CHAR(10), IF(ISBLANK('Ingest Template'!P455),"", 'Ingest Template'!P455&amp;"|DAR"),CHAR(10), IF(ISBLANK('Ingest Template'!Q455),"", 'Ingest Template'!Q455&amp;"|DAR"))),(CONCATENATE(IF(ISBLANK('Ingest Template'!O455),"", 'Ingest Template'!O455&amp;"|Operations - Core Title"),CHAR(10), IF(ISBLANK('Ingest Template'!P455),"", 'Ingest Template'!P455&amp;"|Operations - Core Title"),CHAR(10), IF(ISBLANK('Ingest Template'!Q455),"", 'Ingest Template'!Q455&amp;"|Operations - Core Title"))))</f>
        <v>#|Operations - Core Title
#videoGame|Operations - Core Title
</v>
      </c>
      <c r="AH456" s="25"/>
      <c r="AI456" s="25"/>
      <c r="AJ456" s="50" t="str">
        <f>if('Ingest Template'!A455="Standard",'Ingest Template'!R455&amp; "|DAR|DAR|2021-01-01",'Ingest Template'!R455&amp; "|Operations - Core Title|Operations - Core Title")</f>
        <v>#N/A</v>
      </c>
      <c r="AK456" s="25"/>
      <c r="AL456" s="25" t="str">
        <f>if('Ingest Template'!A455="Standard",'Ingest Template'!S455&amp; "|2021-01-01",'Ingest Template'!S455)</f>
        <v>#N/A</v>
      </c>
      <c r="AM456" s="25"/>
    </row>
    <row r="457">
      <c r="A457" s="25"/>
      <c r="B457" s="25" t="str">
        <f>'Ingest Template'!C456&amp;IF('Ingest Template'!A456 = "Standard", " - DAR","")</f>
        <v/>
      </c>
      <c r="C457" s="34" t="s">
        <v>92</v>
      </c>
      <c r="D457" s="34" t="str">
        <f>CONCATENATE('Ingest Template'!E457&amp;Char(10)&amp;'Ingest Template'!G457&amp;Char(10)&amp;'Ingest Template'!H457&amp;Char(10)&amp;'Ingest Template'!I457&amp;Char(10)&amp;'Ingest Template'!J457&amp;Char(10)&amp;'Ingest Template'!K457&amp;Char(10)&amp;'Ingest Template'!L457)</f>
        <v>
</v>
      </c>
      <c r="E457" s="25" t="str">
        <f>('Ingest Template'!M457)</f>
        <v/>
      </c>
      <c r="F457" s="40" t="str">
        <f t="array" ref="F457">INDEX(DropDown!$J$2:$J$63,MATCH(1,COUNTIF(E457,DropDown!$I$2:$I$63),0))</f>
        <v>#N/A</v>
      </c>
      <c r="G457" s="25"/>
      <c r="H457" s="25"/>
      <c r="I457" s="25"/>
      <c r="J457" s="25" t="str">
        <f>'Ingest Template'!B457</f>
        <v/>
      </c>
      <c r="K457" s="25" t="str">
        <f>IF('Ingest Template'!A456="Standard",'Ingest Template'!N456,"Competitive View")</f>
        <v>Competitive View</v>
      </c>
      <c r="L457" s="41" t="s">
        <v>145</v>
      </c>
      <c r="M457" s="25" t="str">
        <f>'Ingest Template'!D456</f>
        <v/>
      </c>
      <c r="N457" s="25"/>
      <c r="O457" s="25"/>
      <c r="P457" s="25"/>
      <c r="Q457" s="25"/>
      <c r="R457" s="25" t="str">
        <f>CONCATENATE('Ingest Template'!F456)</f>
        <v/>
      </c>
      <c r="S457" s="43" t="s">
        <v>160</v>
      </c>
      <c r="T457" s="25" t="str">
        <f>'Ingest Template'!W456</f>
        <v/>
      </c>
      <c r="U457" s="25"/>
      <c r="V457" s="25" t="str">
        <f>LOWER(SUBSTITUTE(SUBSTITUTE(SUBSTITUTE(SUBSTITUTE(SUBSTITUTE('Ingest Template'!Y456,"https:",""),"www.",""),"/",""),"?hl=en",""),"instagram.com",""))</f>
        <v/>
      </c>
      <c r="W457" s="34" t="str">
        <f>(IFERROR(vlookup('Ingest Template'!F457,DropDown!D:E,2,false)&amp;'Ingest Template'!C457,""))</f>
        <v/>
      </c>
      <c r="X457" s="25" t="str">
        <f>'Ingest Template'!AA456</f>
        <v/>
      </c>
      <c r="Y457" s="25"/>
      <c r="Z457" s="25"/>
      <c r="AA457" s="25"/>
      <c r="AB457" s="25" t="str">
        <f>'Ingest Template'!T456</f>
        <v/>
      </c>
      <c r="AC457" s="25"/>
      <c r="AD457" s="25" t="str">
        <f>'Ingest Template'!U456</f>
        <v/>
      </c>
      <c r="AE457" s="25" t="str">
        <f>'Ingest Template'!V456</f>
        <v/>
      </c>
      <c r="AF457" s="25"/>
      <c r="AG457" s="25" t="str">
        <f t="array" ref="AG457">IF('Ingest Template'!A456="Standard",(CONCATENATE(IF(ISBLANK('Ingest Template'!O456),"", 'Ingest Template'!O456&amp;"|DAR"),CHAR(10), IF(ISBLANK('Ingest Template'!P456),"", 'Ingest Template'!P456&amp;"|DAR"),CHAR(10), IF(ISBLANK('Ingest Template'!Q456),"", 'Ingest Template'!Q456&amp;"|DAR"))),(CONCATENATE(IF(ISBLANK('Ingest Template'!O456),"", 'Ingest Template'!O456&amp;"|Operations - Core Title"),CHAR(10), IF(ISBLANK('Ingest Template'!P456),"", 'Ingest Template'!P456&amp;"|Operations - Core Title"),CHAR(10), IF(ISBLANK('Ingest Template'!Q456),"", 'Ingest Template'!Q456&amp;"|Operations - Core Title"))))</f>
        <v>#|Operations - Core Title
#videoGame|Operations - Core Title
</v>
      </c>
      <c r="AH457" s="25"/>
      <c r="AI457" s="25"/>
      <c r="AJ457" s="50" t="str">
        <f>if('Ingest Template'!A456="Standard",'Ingest Template'!R456&amp; "|DAR|DAR|2021-01-01",'Ingest Template'!R456&amp; "|Operations - Core Title|Operations - Core Title")</f>
        <v>#N/A</v>
      </c>
      <c r="AK457" s="25"/>
      <c r="AL457" s="25" t="str">
        <f>if('Ingest Template'!A456="Standard",'Ingest Template'!S456&amp; "|2021-01-01",'Ingest Template'!S456)</f>
        <v>#N/A</v>
      </c>
      <c r="AM457" s="25"/>
    </row>
    <row r="458">
      <c r="A458" s="25"/>
      <c r="B458" s="25" t="str">
        <f>'Ingest Template'!C457&amp;IF('Ingest Template'!A457 = "Standard", " - DAR","")</f>
        <v/>
      </c>
      <c r="C458" s="34" t="s">
        <v>92</v>
      </c>
      <c r="D458" s="34" t="str">
        <f>CONCATENATE('Ingest Template'!E458&amp;Char(10)&amp;'Ingest Template'!G458&amp;Char(10)&amp;'Ingest Template'!H458&amp;Char(10)&amp;'Ingest Template'!I458&amp;Char(10)&amp;'Ingest Template'!J458&amp;Char(10)&amp;'Ingest Template'!K458&amp;Char(10)&amp;'Ingest Template'!L458)</f>
        <v>
</v>
      </c>
      <c r="E458" s="25" t="str">
        <f>('Ingest Template'!M458)</f>
        <v/>
      </c>
      <c r="F458" s="40" t="str">
        <f t="array" ref="F458">INDEX(DropDown!$J$2:$J$63,MATCH(1,COUNTIF(E458,DropDown!$I$2:$I$63),0))</f>
        <v>#N/A</v>
      </c>
      <c r="G458" s="25"/>
      <c r="H458" s="25"/>
      <c r="I458" s="25"/>
      <c r="J458" s="25" t="str">
        <f>'Ingest Template'!B458</f>
        <v/>
      </c>
      <c r="K458" s="25" t="str">
        <f>IF('Ingest Template'!A457="Standard",'Ingest Template'!N457,"Competitive View")</f>
        <v>Competitive View</v>
      </c>
      <c r="L458" s="41" t="s">
        <v>145</v>
      </c>
      <c r="M458" s="25" t="str">
        <f>'Ingest Template'!D457</f>
        <v/>
      </c>
      <c r="N458" s="25"/>
      <c r="O458" s="25"/>
      <c r="P458" s="25"/>
      <c r="Q458" s="25"/>
      <c r="R458" s="25" t="str">
        <f>CONCATENATE('Ingest Template'!F457)</f>
        <v/>
      </c>
      <c r="S458" s="43" t="s">
        <v>160</v>
      </c>
      <c r="T458" s="25" t="str">
        <f>'Ingest Template'!W457</f>
        <v/>
      </c>
      <c r="U458" s="25"/>
      <c r="V458" s="25" t="str">
        <f>LOWER(SUBSTITUTE(SUBSTITUTE(SUBSTITUTE(SUBSTITUTE(SUBSTITUTE('Ingest Template'!Y457,"https:",""),"www.",""),"/",""),"?hl=en",""),"instagram.com",""))</f>
        <v/>
      </c>
      <c r="W458" s="34" t="str">
        <f>(IFERROR(vlookup('Ingest Template'!F458,DropDown!D:E,2,false)&amp;'Ingest Template'!C458,""))</f>
        <v/>
      </c>
      <c r="X458" s="25" t="str">
        <f>'Ingest Template'!AA457</f>
        <v/>
      </c>
      <c r="Y458" s="25"/>
      <c r="Z458" s="25"/>
      <c r="AA458" s="25"/>
      <c r="AB458" s="25" t="str">
        <f>'Ingest Template'!T457</f>
        <v/>
      </c>
      <c r="AC458" s="25"/>
      <c r="AD458" s="25" t="str">
        <f>'Ingest Template'!U457</f>
        <v/>
      </c>
      <c r="AE458" s="25" t="str">
        <f>'Ingest Template'!V457</f>
        <v/>
      </c>
      <c r="AF458" s="25"/>
      <c r="AG458" s="25" t="str">
        <f t="array" ref="AG458">IF('Ingest Template'!A457="Standard",(CONCATENATE(IF(ISBLANK('Ingest Template'!O457),"", 'Ingest Template'!O457&amp;"|DAR"),CHAR(10), IF(ISBLANK('Ingest Template'!P457),"", 'Ingest Template'!P457&amp;"|DAR"),CHAR(10), IF(ISBLANK('Ingest Template'!Q457),"", 'Ingest Template'!Q457&amp;"|DAR"))),(CONCATENATE(IF(ISBLANK('Ingest Template'!O457),"", 'Ingest Template'!O457&amp;"|Operations - Core Title"),CHAR(10), IF(ISBLANK('Ingest Template'!P457),"", 'Ingest Template'!P457&amp;"|Operations - Core Title"),CHAR(10), IF(ISBLANK('Ingest Template'!Q457),"", 'Ingest Template'!Q457&amp;"|Operations - Core Title"))))</f>
        <v>#|Operations - Core Title
#videoGame|Operations - Core Title
</v>
      </c>
      <c r="AH458" s="25"/>
      <c r="AI458" s="25"/>
      <c r="AJ458" s="50" t="str">
        <f>if('Ingest Template'!A457="Standard",'Ingest Template'!R457&amp; "|DAR|DAR|2021-01-01",'Ingest Template'!R457&amp; "|Operations - Core Title|Operations - Core Title")</f>
        <v>#N/A</v>
      </c>
      <c r="AK458" s="25"/>
      <c r="AL458" s="25" t="str">
        <f>if('Ingest Template'!A457="Standard",'Ingest Template'!S457&amp; "|2021-01-01",'Ingest Template'!S457)</f>
        <v>#N/A</v>
      </c>
      <c r="AM458" s="25"/>
    </row>
    <row r="459">
      <c r="A459" s="25"/>
      <c r="B459" s="25" t="str">
        <f>'Ingest Template'!C458&amp;IF('Ingest Template'!A458 = "Standard", " - DAR","")</f>
        <v/>
      </c>
      <c r="C459" s="34" t="s">
        <v>92</v>
      </c>
      <c r="D459" s="34" t="str">
        <f>CONCATENATE('Ingest Template'!E459&amp;Char(10)&amp;'Ingest Template'!G459&amp;Char(10)&amp;'Ingest Template'!H459&amp;Char(10)&amp;'Ingest Template'!I459&amp;Char(10)&amp;'Ingest Template'!J459&amp;Char(10)&amp;'Ingest Template'!K459&amp;Char(10)&amp;'Ingest Template'!L459)</f>
        <v>
</v>
      </c>
      <c r="E459" s="25" t="str">
        <f>('Ingest Template'!M459)</f>
        <v/>
      </c>
      <c r="F459" s="40" t="str">
        <f t="array" ref="F459">INDEX(DropDown!$J$2:$J$63,MATCH(1,COUNTIF(E459,DropDown!$I$2:$I$63),0))</f>
        <v>#N/A</v>
      </c>
      <c r="G459" s="25"/>
      <c r="H459" s="25"/>
      <c r="I459" s="25"/>
      <c r="J459" s="25" t="str">
        <f>'Ingest Template'!B459</f>
        <v/>
      </c>
      <c r="K459" s="25" t="str">
        <f>IF('Ingest Template'!A458="Standard",'Ingest Template'!N458,"Competitive View")</f>
        <v>Competitive View</v>
      </c>
      <c r="L459" s="41" t="s">
        <v>145</v>
      </c>
      <c r="M459" s="25" t="str">
        <f>'Ingest Template'!D458</f>
        <v/>
      </c>
      <c r="N459" s="25"/>
      <c r="O459" s="25"/>
      <c r="P459" s="25"/>
      <c r="Q459" s="25"/>
      <c r="R459" s="25" t="str">
        <f>CONCATENATE('Ingest Template'!F458)</f>
        <v/>
      </c>
      <c r="S459" s="43" t="s">
        <v>160</v>
      </c>
      <c r="T459" s="25" t="str">
        <f>'Ingest Template'!W458</f>
        <v/>
      </c>
      <c r="U459" s="25"/>
      <c r="V459" s="25" t="str">
        <f>LOWER(SUBSTITUTE(SUBSTITUTE(SUBSTITUTE(SUBSTITUTE(SUBSTITUTE('Ingest Template'!Y458,"https:",""),"www.",""),"/",""),"?hl=en",""),"instagram.com",""))</f>
        <v/>
      </c>
      <c r="W459" s="34" t="str">
        <f>(IFERROR(vlookup('Ingest Template'!F459,DropDown!D:E,2,false)&amp;'Ingest Template'!C459,""))</f>
        <v/>
      </c>
      <c r="X459" s="25" t="str">
        <f>'Ingest Template'!AA458</f>
        <v/>
      </c>
      <c r="Y459" s="25"/>
      <c r="Z459" s="25"/>
      <c r="AA459" s="25"/>
      <c r="AB459" s="25" t="str">
        <f>'Ingest Template'!T458</f>
        <v/>
      </c>
      <c r="AC459" s="25"/>
      <c r="AD459" s="25" t="str">
        <f>'Ingest Template'!U458</f>
        <v/>
      </c>
      <c r="AE459" s="25" t="str">
        <f>'Ingest Template'!V458</f>
        <v/>
      </c>
      <c r="AF459" s="25"/>
      <c r="AG459" s="25" t="str">
        <f t="array" ref="AG459">IF('Ingest Template'!A458="Standard",(CONCATENATE(IF(ISBLANK('Ingest Template'!O458),"", 'Ingest Template'!O458&amp;"|DAR"),CHAR(10), IF(ISBLANK('Ingest Template'!P458),"", 'Ingest Template'!P458&amp;"|DAR"),CHAR(10), IF(ISBLANK('Ingest Template'!Q458),"", 'Ingest Template'!Q458&amp;"|DAR"))),(CONCATENATE(IF(ISBLANK('Ingest Template'!O458),"", 'Ingest Template'!O458&amp;"|Operations - Core Title"),CHAR(10), IF(ISBLANK('Ingest Template'!P458),"", 'Ingest Template'!P458&amp;"|Operations - Core Title"),CHAR(10), IF(ISBLANK('Ingest Template'!Q458),"", 'Ingest Template'!Q458&amp;"|Operations - Core Title"))))</f>
        <v>#|Operations - Core Title
#videoGame|Operations - Core Title
</v>
      </c>
      <c r="AH459" s="25"/>
      <c r="AI459" s="25"/>
      <c r="AJ459" s="50" t="str">
        <f>if('Ingest Template'!A458="Standard",'Ingest Template'!R458&amp; "|DAR|DAR|2021-01-01",'Ingest Template'!R458&amp; "|Operations - Core Title|Operations - Core Title")</f>
        <v>#N/A</v>
      </c>
      <c r="AK459" s="25"/>
      <c r="AL459" s="25" t="str">
        <f>if('Ingest Template'!A458="Standard",'Ingest Template'!S458&amp; "|2021-01-01",'Ingest Template'!S458)</f>
        <v>#N/A</v>
      </c>
      <c r="AM459" s="25"/>
    </row>
    <row r="460">
      <c r="A460" s="25"/>
      <c r="B460" s="25" t="str">
        <f>'Ingest Template'!C459&amp;IF('Ingest Template'!A459 = "Standard", " - DAR","")</f>
        <v/>
      </c>
      <c r="C460" s="34" t="s">
        <v>92</v>
      </c>
      <c r="D460" s="34" t="str">
        <f>CONCATENATE('Ingest Template'!E460&amp;Char(10)&amp;'Ingest Template'!G460&amp;Char(10)&amp;'Ingest Template'!H460&amp;Char(10)&amp;'Ingest Template'!I460&amp;Char(10)&amp;'Ingest Template'!J460&amp;Char(10)&amp;'Ingest Template'!K460&amp;Char(10)&amp;'Ingest Template'!L460)</f>
        <v>
</v>
      </c>
      <c r="E460" s="25" t="str">
        <f>('Ingest Template'!M460)</f>
        <v/>
      </c>
      <c r="F460" s="40" t="str">
        <f t="array" ref="F460">INDEX(DropDown!$J$2:$J$63,MATCH(1,COUNTIF(E460,DropDown!$I$2:$I$63),0))</f>
        <v>#N/A</v>
      </c>
      <c r="G460" s="25"/>
      <c r="H460" s="25"/>
      <c r="I460" s="25"/>
      <c r="J460" s="25" t="str">
        <f>'Ingest Template'!B460</f>
        <v/>
      </c>
      <c r="K460" s="25" t="str">
        <f>IF('Ingest Template'!A459="Standard",'Ingest Template'!N459,"Competitive View")</f>
        <v>Competitive View</v>
      </c>
      <c r="L460" s="41" t="s">
        <v>145</v>
      </c>
      <c r="M460" s="25" t="str">
        <f>'Ingest Template'!D459</f>
        <v/>
      </c>
      <c r="N460" s="25"/>
      <c r="O460" s="25"/>
      <c r="P460" s="25"/>
      <c r="Q460" s="25"/>
      <c r="R460" s="25" t="str">
        <f>CONCATENATE('Ingest Template'!F459)</f>
        <v/>
      </c>
      <c r="S460" s="43" t="s">
        <v>160</v>
      </c>
      <c r="T460" s="25" t="str">
        <f>'Ingest Template'!W459</f>
        <v/>
      </c>
      <c r="U460" s="25"/>
      <c r="V460" s="25" t="str">
        <f>LOWER(SUBSTITUTE(SUBSTITUTE(SUBSTITUTE(SUBSTITUTE(SUBSTITUTE('Ingest Template'!Y459,"https:",""),"www.",""),"/",""),"?hl=en",""),"instagram.com",""))</f>
        <v/>
      </c>
      <c r="W460" s="34" t="str">
        <f>(IFERROR(vlookup('Ingest Template'!F460,DropDown!D:E,2,false)&amp;'Ingest Template'!C460,""))</f>
        <v/>
      </c>
      <c r="X460" s="25" t="str">
        <f>'Ingest Template'!AA459</f>
        <v/>
      </c>
      <c r="Y460" s="25"/>
      <c r="Z460" s="25"/>
      <c r="AA460" s="25"/>
      <c r="AB460" s="25" t="str">
        <f>'Ingest Template'!T459</f>
        <v/>
      </c>
      <c r="AC460" s="25"/>
      <c r="AD460" s="25" t="str">
        <f>'Ingest Template'!U459</f>
        <v/>
      </c>
      <c r="AE460" s="25" t="str">
        <f>'Ingest Template'!V459</f>
        <v/>
      </c>
      <c r="AF460" s="25"/>
      <c r="AG460" s="25" t="str">
        <f t="array" ref="AG460">IF('Ingest Template'!A459="Standard",(CONCATENATE(IF(ISBLANK('Ingest Template'!O459),"", 'Ingest Template'!O459&amp;"|DAR"),CHAR(10), IF(ISBLANK('Ingest Template'!P459),"", 'Ingest Template'!P459&amp;"|DAR"),CHAR(10), IF(ISBLANK('Ingest Template'!Q459),"", 'Ingest Template'!Q459&amp;"|DAR"))),(CONCATENATE(IF(ISBLANK('Ingest Template'!O459),"", 'Ingest Template'!O459&amp;"|Operations - Core Title"),CHAR(10), IF(ISBLANK('Ingest Template'!P459),"", 'Ingest Template'!P459&amp;"|Operations - Core Title"),CHAR(10), IF(ISBLANK('Ingest Template'!Q459),"", 'Ingest Template'!Q459&amp;"|Operations - Core Title"))))</f>
        <v>#|Operations - Core Title
#videoGame|Operations - Core Title
</v>
      </c>
      <c r="AH460" s="25"/>
      <c r="AI460" s="25"/>
      <c r="AJ460" s="50" t="str">
        <f>if('Ingest Template'!A459="Standard",'Ingest Template'!R459&amp; "|DAR|DAR|2021-01-01",'Ingest Template'!R459&amp; "|Operations - Core Title|Operations - Core Title")</f>
        <v>#N/A</v>
      </c>
      <c r="AK460" s="25"/>
      <c r="AL460" s="25" t="str">
        <f>if('Ingest Template'!A459="Standard",'Ingest Template'!S459&amp; "|2021-01-01",'Ingest Template'!S459)</f>
        <v>#N/A</v>
      </c>
      <c r="AM460" s="25"/>
    </row>
    <row r="461">
      <c r="A461" s="25"/>
      <c r="B461" s="25" t="str">
        <f>'Ingest Template'!C460&amp;IF('Ingest Template'!A460 = "Standard", " - DAR","")</f>
        <v/>
      </c>
      <c r="C461" s="34" t="s">
        <v>92</v>
      </c>
      <c r="D461" s="34" t="str">
        <f>CONCATENATE('Ingest Template'!E461&amp;Char(10)&amp;'Ingest Template'!G461&amp;Char(10)&amp;'Ingest Template'!H461&amp;Char(10)&amp;'Ingest Template'!I461&amp;Char(10)&amp;'Ingest Template'!J461&amp;Char(10)&amp;'Ingest Template'!K461&amp;Char(10)&amp;'Ingest Template'!L461)</f>
        <v>
</v>
      </c>
      <c r="E461" s="25" t="str">
        <f>('Ingest Template'!M461)</f>
        <v/>
      </c>
      <c r="F461" s="40" t="str">
        <f t="array" ref="F461">INDEX(DropDown!$J$2:$J$63,MATCH(1,COUNTIF(E461,DropDown!$I$2:$I$63),0))</f>
        <v>#N/A</v>
      </c>
      <c r="G461" s="25"/>
      <c r="H461" s="25"/>
      <c r="I461" s="25"/>
      <c r="J461" s="25" t="str">
        <f>'Ingest Template'!B461</f>
        <v/>
      </c>
      <c r="K461" s="25" t="str">
        <f>IF('Ingest Template'!A460="Standard",'Ingest Template'!N460,"Competitive View")</f>
        <v>Competitive View</v>
      </c>
      <c r="L461" s="41" t="s">
        <v>145</v>
      </c>
      <c r="M461" s="25" t="str">
        <f>'Ingest Template'!D460</f>
        <v/>
      </c>
      <c r="N461" s="25"/>
      <c r="O461" s="25"/>
      <c r="P461" s="25"/>
      <c r="Q461" s="25"/>
      <c r="R461" s="25" t="str">
        <f>CONCATENATE('Ingest Template'!F460)</f>
        <v/>
      </c>
      <c r="S461" s="43" t="s">
        <v>160</v>
      </c>
      <c r="T461" s="25" t="str">
        <f>'Ingest Template'!W460</f>
        <v/>
      </c>
      <c r="U461" s="25"/>
      <c r="V461" s="25" t="str">
        <f>LOWER(SUBSTITUTE(SUBSTITUTE(SUBSTITUTE(SUBSTITUTE(SUBSTITUTE('Ingest Template'!Y460,"https:",""),"www.",""),"/",""),"?hl=en",""),"instagram.com",""))</f>
        <v/>
      </c>
      <c r="W461" s="34" t="str">
        <f>(IFERROR(vlookup('Ingest Template'!F461,DropDown!D:E,2,false)&amp;'Ingest Template'!C461,""))</f>
        <v/>
      </c>
      <c r="X461" s="25" t="str">
        <f>'Ingest Template'!AA460</f>
        <v/>
      </c>
      <c r="Y461" s="25"/>
      <c r="Z461" s="25"/>
      <c r="AA461" s="25"/>
      <c r="AB461" s="25" t="str">
        <f>'Ingest Template'!T460</f>
        <v/>
      </c>
      <c r="AC461" s="25"/>
      <c r="AD461" s="25" t="str">
        <f>'Ingest Template'!U460</f>
        <v/>
      </c>
      <c r="AE461" s="25" t="str">
        <f>'Ingest Template'!V460</f>
        <v/>
      </c>
      <c r="AF461" s="25"/>
      <c r="AG461" s="25" t="str">
        <f t="array" ref="AG461">IF('Ingest Template'!A460="Standard",(CONCATENATE(IF(ISBLANK('Ingest Template'!O460),"", 'Ingest Template'!O460&amp;"|DAR"),CHAR(10), IF(ISBLANK('Ingest Template'!P460),"", 'Ingest Template'!P460&amp;"|DAR"),CHAR(10), IF(ISBLANK('Ingest Template'!Q460),"", 'Ingest Template'!Q460&amp;"|DAR"))),(CONCATENATE(IF(ISBLANK('Ingest Template'!O460),"", 'Ingest Template'!O460&amp;"|Operations - Core Title"),CHAR(10), IF(ISBLANK('Ingest Template'!P460),"", 'Ingest Template'!P460&amp;"|Operations - Core Title"),CHAR(10), IF(ISBLANK('Ingest Template'!Q460),"", 'Ingest Template'!Q460&amp;"|Operations - Core Title"))))</f>
        <v>#|Operations - Core Title
#videoGame|Operations - Core Title
</v>
      </c>
      <c r="AH461" s="25"/>
      <c r="AI461" s="25"/>
      <c r="AJ461" s="50" t="str">
        <f>if('Ingest Template'!A460="Standard",'Ingest Template'!R460&amp; "|DAR|DAR|2021-01-01",'Ingest Template'!R460&amp; "|Operations - Core Title|Operations - Core Title")</f>
        <v>#N/A</v>
      </c>
      <c r="AK461" s="25"/>
      <c r="AL461" s="25" t="str">
        <f>if('Ingest Template'!A460="Standard",'Ingest Template'!S460&amp; "|2021-01-01",'Ingest Template'!S460)</f>
        <v>#N/A</v>
      </c>
      <c r="AM461" s="25"/>
    </row>
    <row r="462">
      <c r="A462" s="25"/>
      <c r="B462" s="25" t="str">
        <f>'Ingest Template'!C461&amp;IF('Ingest Template'!A461 = "Standard", " - DAR","")</f>
        <v/>
      </c>
      <c r="C462" s="34" t="s">
        <v>92</v>
      </c>
      <c r="D462" s="34" t="str">
        <f>CONCATENATE('Ingest Template'!E462&amp;Char(10)&amp;'Ingest Template'!G462&amp;Char(10)&amp;'Ingest Template'!H462&amp;Char(10)&amp;'Ingest Template'!I462&amp;Char(10)&amp;'Ingest Template'!J462&amp;Char(10)&amp;'Ingest Template'!K462&amp;Char(10)&amp;'Ingest Template'!L462)</f>
        <v>
</v>
      </c>
      <c r="E462" s="25" t="str">
        <f>('Ingest Template'!M462)</f>
        <v/>
      </c>
      <c r="F462" s="40" t="str">
        <f t="array" ref="F462">INDEX(DropDown!$J$2:$J$63,MATCH(1,COUNTIF(E462,DropDown!$I$2:$I$63),0))</f>
        <v>#N/A</v>
      </c>
      <c r="G462" s="25"/>
      <c r="H462" s="25"/>
      <c r="I462" s="25"/>
      <c r="J462" s="25" t="str">
        <f>'Ingest Template'!B462</f>
        <v/>
      </c>
      <c r="K462" s="25" t="str">
        <f>IF('Ingest Template'!A461="Standard",'Ingest Template'!N461,"Competitive View")</f>
        <v>Competitive View</v>
      </c>
      <c r="L462" s="41" t="s">
        <v>145</v>
      </c>
      <c r="M462" s="25" t="str">
        <f>'Ingest Template'!D461</f>
        <v/>
      </c>
      <c r="N462" s="25"/>
      <c r="O462" s="25"/>
      <c r="P462" s="25"/>
      <c r="Q462" s="25"/>
      <c r="R462" s="25" t="str">
        <f>CONCATENATE('Ingest Template'!F461)</f>
        <v/>
      </c>
      <c r="S462" s="43" t="s">
        <v>160</v>
      </c>
      <c r="T462" s="25" t="str">
        <f>'Ingest Template'!W461</f>
        <v/>
      </c>
      <c r="U462" s="25"/>
      <c r="V462" s="25" t="str">
        <f>LOWER(SUBSTITUTE(SUBSTITUTE(SUBSTITUTE(SUBSTITUTE(SUBSTITUTE('Ingest Template'!Y461,"https:",""),"www.",""),"/",""),"?hl=en",""),"instagram.com",""))</f>
        <v/>
      </c>
      <c r="W462" s="34" t="str">
        <f>(IFERROR(vlookup('Ingest Template'!F462,DropDown!D:E,2,false)&amp;'Ingest Template'!C462,""))</f>
        <v/>
      </c>
      <c r="X462" s="25" t="str">
        <f>'Ingest Template'!AA461</f>
        <v/>
      </c>
      <c r="Y462" s="25"/>
      <c r="Z462" s="25"/>
      <c r="AA462" s="25"/>
      <c r="AB462" s="25" t="str">
        <f>'Ingest Template'!T461</f>
        <v/>
      </c>
      <c r="AC462" s="25"/>
      <c r="AD462" s="25" t="str">
        <f>'Ingest Template'!U461</f>
        <v/>
      </c>
      <c r="AE462" s="25" t="str">
        <f>'Ingest Template'!V461</f>
        <v/>
      </c>
      <c r="AF462" s="25"/>
      <c r="AG462" s="25" t="str">
        <f t="array" ref="AG462">IF('Ingest Template'!A461="Standard",(CONCATENATE(IF(ISBLANK('Ingest Template'!O461),"", 'Ingest Template'!O461&amp;"|DAR"),CHAR(10), IF(ISBLANK('Ingest Template'!P461),"", 'Ingest Template'!P461&amp;"|DAR"),CHAR(10), IF(ISBLANK('Ingest Template'!Q461),"", 'Ingest Template'!Q461&amp;"|DAR"))),(CONCATENATE(IF(ISBLANK('Ingest Template'!O461),"", 'Ingest Template'!O461&amp;"|Operations - Core Title"),CHAR(10), IF(ISBLANK('Ingest Template'!P461),"", 'Ingest Template'!P461&amp;"|Operations - Core Title"),CHAR(10), IF(ISBLANK('Ingest Template'!Q461),"", 'Ingest Template'!Q461&amp;"|Operations - Core Title"))))</f>
        <v>#|Operations - Core Title
#videoGame|Operations - Core Title
</v>
      </c>
      <c r="AH462" s="25"/>
      <c r="AI462" s="25"/>
      <c r="AJ462" s="50" t="str">
        <f>if('Ingest Template'!A461="Standard",'Ingest Template'!R461&amp; "|DAR|DAR|2021-01-01",'Ingest Template'!R461&amp; "|Operations - Core Title|Operations - Core Title")</f>
        <v>#N/A</v>
      </c>
      <c r="AK462" s="25"/>
      <c r="AL462" s="25" t="str">
        <f>if('Ingest Template'!A461="Standard",'Ingest Template'!S461&amp; "|2021-01-01",'Ingest Template'!S461)</f>
        <v>#N/A</v>
      </c>
      <c r="AM462" s="25"/>
    </row>
    <row r="463">
      <c r="A463" s="25"/>
      <c r="B463" s="25" t="str">
        <f>'Ingest Template'!C462&amp;IF('Ingest Template'!A462 = "Standard", " - DAR","")</f>
        <v/>
      </c>
      <c r="C463" s="34" t="s">
        <v>92</v>
      </c>
      <c r="D463" s="34" t="str">
        <f>CONCATENATE('Ingest Template'!E463&amp;Char(10)&amp;'Ingest Template'!G463&amp;Char(10)&amp;'Ingest Template'!H463&amp;Char(10)&amp;'Ingest Template'!I463&amp;Char(10)&amp;'Ingest Template'!J463&amp;Char(10)&amp;'Ingest Template'!K463&amp;Char(10)&amp;'Ingest Template'!L463)</f>
        <v>
</v>
      </c>
      <c r="E463" s="25" t="str">
        <f>('Ingest Template'!M463)</f>
        <v/>
      </c>
      <c r="F463" s="40" t="str">
        <f t="array" ref="F463">INDEX(DropDown!$J$2:$J$63,MATCH(1,COUNTIF(E463,DropDown!$I$2:$I$63),0))</f>
        <v>#N/A</v>
      </c>
      <c r="G463" s="25"/>
      <c r="H463" s="25"/>
      <c r="I463" s="25"/>
      <c r="J463" s="25" t="str">
        <f>'Ingest Template'!B463</f>
        <v/>
      </c>
      <c r="K463" s="25" t="str">
        <f>IF('Ingest Template'!A462="Standard",'Ingest Template'!N462,"Competitive View")</f>
        <v>Competitive View</v>
      </c>
      <c r="L463" s="41" t="s">
        <v>145</v>
      </c>
      <c r="M463" s="25" t="str">
        <f>'Ingest Template'!D462</f>
        <v/>
      </c>
      <c r="N463" s="25"/>
      <c r="O463" s="25"/>
      <c r="P463" s="25"/>
      <c r="Q463" s="25"/>
      <c r="R463" s="25" t="str">
        <f>CONCATENATE('Ingest Template'!F462)</f>
        <v/>
      </c>
      <c r="S463" s="43" t="s">
        <v>160</v>
      </c>
      <c r="T463" s="25" t="str">
        <f>'Ingest Template'!W462</f>
        <v/>
      </c>
      <c r="U463" s="25"/>
      <c r="V463" s="25" t="str">
        <f>LOWER(SUBSTITUTE(SUBSTITUTE(SUBSTITUTE(SUBSTITUTE(SUBSTITUTE('Ingest Template'!Y462,"https:",""),"www.",""),"/",""),"?hl=en",""),"instagram.com",""))</f>
        <v/>
      </c>
      <c r="W463" s="34" t="str">
        <f>(IFERROR(vlookup('Ingest Template'!F463,DropDown!D:E,2,false)&amp;'Ingest Template'!C463,""))</f>
        <v/>
      </c>
      <c r="X463" s="25" t="str">
        <f>'Ingest Template'!AA462</f>
        <v/>
      </c>
      <c r="Y463" s="25"/>
      <c r="Z463" s="25"/>
      <c r="AA463" s="25"/>
      <c r="AB463" s="25" t="str">
        <f>'Ingest Template'!T462</f>
        <v/>
      </c>
      <c r="AC463" s="25"/>
      <c r="AD463" s="25" t="str">
        <f>'Ingest Template'!U462</f>
        <v/>
      </c>
      <c r="AE463" s="25" t="str">
        <f>'Ingest Template'!V462</f>
        <v/>
      </c>
      <c r="AF463" s="25"/>
      <c r="AG463" s="25" t="str">
        <f t="array" ref="AG463">IF('Ingest Template'!A462="Standard",(CONCATENATE(IF(ISBLANK('Ingest Template'!O462),"", 'Ingest Template'!O462&amp;"|DAR"),CHAR(10), IF(ISBLANK('Ingest Template'!P462),"", 'Ingest Template'!P462&amp;"|DAR"),CHAR(10), IF(ISBLANK('Ingest Template'!Q462),"", 'Ingest Template'!Q462&amp;"|DAR"))),(CONCATENATE(IF(ISBLANK('Ingest Template'!O462),"", 'Ingest Template'!O462&amp;"|Operations - Core Title"),CHAR(10), IF(ISBLANK('Ingest Template'!P462),"", 'Ingest Template'!P462&amp;"|Operations - Core Title"),CHAR(10), IF(ISBLANK('Ingest Template'!Q462),"", 'Ingest Template'!Q462&amp;"|Operations - Core Title"))))</f>
        <v>#|Operations - Core Title
#videoGame|Operations - Core Title
</v>
      </c>
      <c r="AH463" s="25"/>
      <c r="AI463" s="25"/>
      <c r="AJ463" s="50" t="str">
        <f>if('Ingest Template'!A462="Standard",'Ingest Template'!R462&amp; "|DAR|DAR|2021-01-01",'Ingest Template'!R462&amp; "|Operations - Core Title|Operations - Core Title")</f>
        <v>#N/A</v>
      </c>
      <c r="AK463" s="25"/>
      <c r="AL463" s="25" t="str">
        <f>if('Ingest Template'!A462="Standard",'Ingest Template'!S462&amp; "|2021-01-01",'Ingest Template'!S462)</f>
        <v>#N/A</v>
      </c>
      <c r="AM463" s="25"/>
    </row>
    <row r="464">
      <c r="A464" s="25"/>
      <c r="B464" s="25" t="str">
        <f>'Ingest Template'!C463&amp;IF('Ingest Template'!A463 = "Standard", " - DAR","")</f>
        <v/>
      </c>
      <c r="C464" s="34" t="s">
        <v>92</v>
      </c>
      <c r="D464" s="34" t="str">
        <f>CONCATENATE('Ingest Template'!E464&amp;Char(10)&amp;'Ingest Template'!G464&amp;Char(10)&amp;'Ingest Template'!H464&amp;Char(10)&amp;'Ingest Template'!I464&amp;Char(10)&amp;'Ingest Template'!J464&amp;Char(10)&amp;'Ingest Template'!K464&amp;Char(10)&amp;'Ingest Template'!L464)</f>
        <v>
</v>
      </c>
      <c r="E464" s="25" t="str">
        <f>('Ingest Template'!M464)</f>
        <v/>
      </c>
      <c r="F464" s="40" t="str">
        <f t="array" ref="F464">INDEX(DropDown!$J$2:$J$63,MATCH(1,COUNTIF(E464,DropDown!$I$2:$I$63),0))</f>
        <v>#N/A</v>
      </c>
      <c r="G464" s="25"/>
      <c r="H464" s="25"/>
      <c r="I464" s="25"/>
      <c r="J464" s="25" t="str">
        <f>'Ingest Template'!B464</f>
        <v/>
      </c>
      <c r="K464" s="25" t="str">
        <f>IF('Ingest Template'!A463="Standard",'Ingest Template'!N463,"Competitive View")</f>
        <v>Competitive View</v>
      </c>
      <c r="L464" s="41" t="s">
        <v>145</v>
      </c>
      <c r="M464" s="25" t="str">
        <f>'Ingest Template'!D463</f>
        <v/>
      </c>
      <c r="N464" s="25"/>
      <c r="O464" s="25"/>
      <c r="P464" s="25"/>
      <c r="Q464" s="25"/>
      <c r="R464" s="25" t="str">
        <f>CONCATENATE('Ingest Template'!F463)</f>
        <v/>
      </c>
      <c r="S464" s="43" t="s">
        <v>160</v>
      </c>
      <c r="T464" s="25" t="str">
        <f>'Ingest Template'!W463</f>
        <v/>
      </c>
      <c r="U464" s="25"/>
      <c r="V464" s="25" t="str">
        <f>LOWER(SUBSTITUTE(SUBSTITUTE(SUBSTITUTE(SUBSTITUTE(SUBSTITUTE('Ingest Template'!Y463,"https:",""),"www.",""),"/",""),"?hl=en",""),"instagram.com",""))</f>
        <v/>
      </c>
      <c r="W464" s="34" t="str">
        <f>(IFERROR(vlookup('Ingest Template'!F464,DropDown!D:E,2,false)&amp;'Ingest Template'!C464,""))</f>
        <v/>
      </c>
      <c r="X464" s="25" t="str">
        <f>'Ingest Template'!AA463</f>
        <v/>
      </c>
      <c r="Y464" s="25"/>
      <c r="Z464" s="25"/>
      <c r="AA464" s="25"/>
      <c r="AB464" s="25" t="str">
        <f>'Ingest Template'!T463</f>
        <v/>
      </c>
      <c r="AC464" s="25"/>
      <c r="AD464" s="25" t="str">
        <f>'Ingest Template'!U463</f>
        <v/>
      </c>
      <c r="AE464" s="25" t="str">
        <f>'Ingest Template'!V463</f>
        <v/>
      </c>
      <c r="AF464" s="25"/>
      <c r="AG464" s="25" t="str">
        <f t="array" ref="AG464">IF('Ingest Template'!A463="Standard",(CONCATENATE(IF(ISBLANK('Ingest Template'!O463),"", 'Ingest Template'!O463&amp;"|DAR"),CHAR(10), IF(ISBLANK('Ingest Template'!P463),"", 'Ingest Template'!P463&amp;"|DAR"),CHAR(10), IF(ISBLANK('Ingest Template'!Q463),"", 'Ingest Template'!Q463&amp;"|DAR"))),(CONCATENATE(IF(ISBLANK('Ingest Template'!O463),"", 'Ingest Template'!O463&amp;"|Operations - Core Title"),CHAR(10), IF(ISBLANK('Ingest Template'!P463),"", 'Ingest Template'!P463&amp;"|Operations - Core Title"),CHAR(10), IF(ISBLANK('Ingest Template'!Q463),"", 'Ingest Template'!Q463&amp;"|Operations - Core Title"))))</f>
        <v>#|Operations - Core Title
#videoGame|Operations - Core Title
</v>
      </c>
      <c r="AH464" s="25"/>
      <c r="AI464" s="25"/>
      <c r="AJ464" s="50" t="str">
        <f>if('Ingest Template'!A463="Standard",'Ingest Template'!R463&amp; "|DAR|DAR|2021-01-01",'Ingest Template'!R463&amp; "|Operations - Core Title|Operations - Core Title")</f>
        <v>#N/A</v>
      </c>
      <c r="AK464" s="25"/>
      <c r="AL464" s="25" t="str">
        <f>if('Ingest Template'!A463="Standard",'Ingest Template'!S463&amp; "|2021-01-01",'Ingest Template'!S463)</f>
        <v>#N/A</v>
      </c>
      <c r="AM464" s="25"/>
    </row>
    <row r="465">
      <c r="A465" s="25"/>
      <c r="B465" s="25" t="str">
        <f>'Ingest Template'!C464&amp;IF('Ingest Template'!A464 = "Standard", " - DAR","")</f>
        <v/>
      </c>
      <c r="C465" s="34" t="s">
        <v>92</v>
      </c>
      <c r="D465" s="34" t="str">
        <f>CONCATENATE('Ingest Template'!E465&amp;Char(10)&amp;'Ingest Template'!G465&amp;Char(10)&amp;'Ingest Template'!H465&amp;Char(10)&amp;'Ingest Template'!I465&amp;Char(10)&amp;'Ingest Template'!J465&amp;Char(10)&amp;'Ingest Template'!K465&amp;Char(10)&amp;'Ingest Template'!L465)</f>
        <v>
</v>
      </c>
      <c r="E465" s="25" t="str">
        <f>('Ingest Template'!M465)</f>
        <v/>
      </c>
      <c r="F465" s="40" t="str">
        <f t="array" ref="F465">INDEX(DropDown!$J$2:$J$63,MATCH(1,COUNTIF(E465,DropDown!$I$2:$I$63),0))</f>
        <v>#N/A</v>
      </c>
      <c r="G465" s="25"/>
      <c r="H465" s="25"/>
      <c r="I465" s="25"/>
      <c r="J465" s="25" t="str">
        <f>'Ingest Template'!B465</f>
        <v/>
      </c>
      <c r="K465" s="25" t="str">
        <f>IF('Ingest Template'!A464="Standard",'Ingest Template'!N464,"Competitive View")</f>
        <v>Competitive View</v>
      </c>
      <c r="L465" s="41" t="s">
        <v>145</v>
      </c>
      <c r="M465" s="25" t="str">
        <f>'Ingest Template'!D464</f>
        <v/>
      </c>
      <c r="N465" s="25"/>
      <c r="O465" s="25"/>
      <c r="P465" s="25"/>
      <c r="Q465" s="25"/>
      <c r="R465" s="25" t="str">
        <f>CONCATENATE('Ingest Template'!F464)</f>
        <v/>
      </c>
      <c r="S465" s="43" t="s">
        <v>160</v>
      </c>
      <c r="T465" s="25" t="str">
        <f>'Ingest Template'!W464</f>
        <v/>
      </c>
      <c r="U465" s="25"/>
      <c r="V465" s="25" t="str">
        <f>LOWER(SUBSTITUTE(SUBSTITUTE(SUBSTITUTE(SUBSTITUTE(SUBSTITUTE('Ingest Template'!Y464,"https:",""),"www.",""),"/",""),"?hl=en",""),"instagram.com",""))</f>
        <v/>
      </c>
      <c r="W465" s="34" t="str">
        <f>(IFERROR(vlookup('Ingest Template'!F465,DropDown!D:E,2,false)&amp;'Ingest Template'!C465,""))</f>
        <v/>
      </c>
      <c r="X465" s="25" t="str">
        <f>'Ingest Template'!AA464</f>
        <v/>
      </c>
      <c r="Y465" s="25"/>
      <c r="Z465" s="25"/>
      <c r="AA465" s="25"/>
      <c r="AB465" s="25" t="str">
        <f>'Ingest Template'!T464</f>
        <v/>
      </c>
      <c r="AC465" s="25"/>
      <c r="AD465" s="25" t="str">
        <f>'Ingest Template'!U464</f>
        <v/>
      </c>
      <c r="AE465" s="25" t="str">
        <f>'Ingest Template'!V464</f>
        <v/>
      </c>
      <c r="AF465" s="25"/>
      <c r="AG465" s="25" t="str">
        <f t="array" ref="AG465">IF('Ingest Template'!A464="Standard",(CONCATENATE(IF(ISBLANK('Ingest Template'!O464),"", 'Ingest Template'!O464&amp;"|DAR"),CHAR(10), IF(ISBLANK('Ingest Template'!P464),"", 'Ingest Template'!P464&amp;"|DAR"),CHAR(10), IF(ISBLANK('Ingest Template'!Q464),"", 'Ingest Template'!Q464&amp;"|DAR"))),(CONCATENATE(IF(ISBLANK('Ingest Template'!O464),"", 'Ingest Template'!O464&amp;"|Operations - Core Title"),CHAR(10), IF(ISBLANK('Ingest Template'!P464),"", 'Ingest Template'!P464&amp;"|Operations - Core Title"),CHAR(10), IF(ISBLANK('Ingest Template'!Q464),"", 'Ingest Template'!Q464&amp;"|Operations - Core Title"))))</f>
        <v>#|Operations - Core Title
#videoGame|Operations - Core Title
</v>
      </c>
      <c r="AH465" s="25"/>
      <c r="AI465" s="25"/>
      <c r="AJ465" s="50" t="str">
        <f>if('Ingest Template'!A464="Standard",'Ingest Template'!R464&amp; "|DAR|DAR|2021-01-01",'Ingest Template'!R464&amp; "|Operations - Core Title|Operations - Core Title")</f>
        <v>#N/A</v>
      </c>
      <c r="AK465" s="25"/>
      <c r="AL465" s="25" t="str">
        <f>if('Ingest Template'!A464="Standard",'Ingest Template'!S464&amp; "|2021-01-01",'Ingest Template'!S464)</f>
        <v>#N/A</v>
      </c>
      <c r="AM465" s="25"/>
    </row>
    <row r="466">
      <c r="A466" s="25"/>
      <c r="B466" s="25" t="str">
        <f>'Ingest Template'!C465&amp;IF('Ingest Template'!A465 = "Standard", " - DAR","")</f>
        <v/>
      </c>
      <c r="C466" s="34" t="s">
        <v>92</v>
      </c>
      <c r="D466" s="34" t="str">
        <f>CONCATENATE('Ingest Template'!E466&amp;Char(10)&amp;'Ingest Template'!G466&amp;Char(10)&amp;'Ingest Template'!H466&amp;Char(10)&amp;'Ingest Template'!I466&amp;Char(10)&amp;'Ingest Template'!J466&amp;Char(10)&amp;'Ingest Template'!K466&amp;Char(10)&amp;'Ingest Template'!L466)</f>
        <v>
</v>
      </c>
      <c r="E466" s="25" t="str">
        <f>('Ingest Template'!M466)</f>
        <v/>
      </c>
      <c r="F466" s="40" t="str">
        <f t="array" ref="F466">INDEX(DropDown!$J$2:$J$63,MATCH(1,COUNTIF(E466,DropDown!$I$2:$I$63),0))</f>
        <v>#N/A</v>
      </c>
      <c r="G466" s="25"/>
      <c r="H466" s="25"/>
      <c r="I466" s="25"/>
      <c r="J466" s="25" t="str">
        <f>'Ingest Template'!B466</f>
        <v/>
      </c>
      <c r="K466" s="25" t="str">
        <f>IF('Ingest Template'!A465="Standard",'Ingest Template'!N465,"Competitive View")</f>
        <v>Competitive View</v>
      </c>
      <c r="L466" s="41" t="s">
        <v>145</v>
      </c>
      <c r="M466" s="25" t="str">
        <f>'Ingest Template'!D465</f>
        <v/>
      </c>
      <c r="N466" s="25"/>
      <c r="O466" s="25"/>
      <c r="P466" s="25"/>
      <c r="Q466" s="25"/>
      <c r="R466" s="25" t="str">
        <f>CONCATENATE('Ingest Template'!F465)</f>
        <v/>
      </c>
      <c r="S466" s="43" t="s">
        <v>160</v>
      </c>
      <c r="T466" s="25" t="str">
        <f>'Ingest Template'!W465</f>
        <v/>
      </c>
      <c r="U466" s="25"/>
      <c r="V466" s="25" t="str">
        <f>LOWER(SUBSTITUTE(SUBSTITUTE(SUBSTITUTE(SUBSTITUTE(SUBSTITUTE('Ingest Template'!Y465,"https:",""),"www.",""),"/",""),"?hl=en",""),"instagram.com",""))</f>
        <v/>
      </c>
      <c r="W466" s="34" t="str">
        <f>(IFERROR(vlookup('Ingest Template'!F466,DropDown!D:E,2,false)&amp;'Ingest Template'!C466,""))</f>
        <v/>
      </c>
      <c r="X466" s="25" t="str">
        <f>'Ingest Template'!AA465</f>
        <v/>
      </c>
      <c r="Y466" s="25"/>
      <c r="Z466" s="25"/>
      <c r="AA466" s="25"/>
      <c r="AB466" s="25" t="str">
        <f>'Ingest Template'!T465</f>
        <v/>
      </c>
      <c r="AC466" s="25"/>
      <c r="AD466" s="25" t="str">
        <f>'Ingest Template'!U465</f>
        <v/>
      </c>
      <c r="AE466" s="25" t="str">
        <f>'Ingest Template'!V465</f>
        <v/>
      </c>
      <c r="AF466" s="25"/>
      <c r="AG466" s="25" t="str">
        <f t="array" ref="AG466">IF('Ingest Template'!A465="Standard",(CONCATENATE(IF(ISBLANK('Ingest Template'!O465),"", 'Ingest Template'!O465&amp;"|DAR"),CHAR(10), IF(ISBLANK('Ingest Template'!P465),"", 'Ingest Template'!P465&amp;"|DAR"),CHAR(10), IF(ISBLANK('Ingest Template'!Q465),"", 'Ingest Template'!Q465&amp;"|DAR"))),(CONCATENATE(IF(ISBLANK('Ingest Template'!O465),"", 'Ingest Template'!O465&amp;"|Operations - Core Title"),CHAR(10), IF(ISBLANK('Ingest Template'!P465),"", 'Ingest Template'!P465&amp;"|Operations - Core Title"),CHAR(10), IF(ISBLANK('Ingest Template'!Q465),"", 'Ingest Template'!Q465&amp;"|Operations - Core Title"))))</f>
        <v>#|Operations - Core Title
#videoGame|Operations - Core Title
</v>
      </c>
      <c r="AH466" s="25"/>
      <c r="AI466" s="25"/>
      <c r="AJ466" s="50" t="str">
        <f>if('Ingest Template'!A465="Standard",'Ingest Template'!R465&amp; "|DAR|DAR|2021-01-01",'Ingest Template'!R465&amp; "|Operations - Core Title|Operations - Core Title")</f>
        <v>#N/A</v>
      </c>
      <c r="AK466" s="25"/>
      <c r="AL466" s="25" t="str">
        <f>if('Ingest Template'!A465="Standard",'Ingest Template'!S465&amp; "|2021-01-01",'Ingest Template'!S465)</f>
        <v>#N/A</v>
      </c>
      <c r="AM466" s="25"/>
    </row>
    <row r="467">
      <c r="A467" s="25"/>
      <c r="B467" s="25" t="str">
        <f>'Ingest Template'!C466&amp;IF('Ingest Template'!A466 = "Standard", " - DAR","")</f>
        <v/>
      </c>
      <c r="C467" s="34" t="s">
        <v>92</v>
      </c>
      <c r="D467" s="34" t="str">
        <f>CONCATENATE('Ingest Template'!E467&amp;Char(10)&amp;'Ingest Template'!G467&amp;Char(10)&amp;'Ingest Template'!H467&amp;Char(10)&amp;'Ingest Template'!I467&amp;Char(10)&amp;'Ingest Template'!J467&amp;Char(10)&amp;'Ingest Template'!K467&amp;Char(10)&amp;'Ingest Template'!L467)</f>
        <v>
</v>
      </c>
      <c r="E467" s="25" t="str">
        <f>('Ingest Template'!M467)</f>
        <v/>
      </c>
      <c r="F467" s="40" t="str">
        <f t="array" ref="F467">INDEX(DropDown!$J$2:$J$63,MATCH(1,COUNTIF(E467,DropDown!$I$2:$I$63),0))</f>
        <v>#N/A</v>
      </c>
      <c r="G467" s="25"/>
      <c r="H467" s="25"/>
      <c r="I467" s="25"/>
      <c r="J467" s="25" t="str">
        <f>'Ingest Template'!B467</f>
        <v/>
      </c>
      <c r="K467" s="25" t="str">
        <f>IF('Ingest Template'!A466="Standard",'Ingest Template'!N466,"Competitive View")</f>
        <v>Competitive View</v>
      </c>
      <c r="L467" s="41" t="s">
        <v>145</v>
      </c>
      <c r="M467" s="25" t="str">
        <f>'Ingest Template'!D466</f>
        <v/>
      </c>
      <c r="N467" s="25"/>
      <c r="O467" s="25"/>
      <c r="P467" s="25"/>
      <c r="Q467" s="25"/>
      <c r="R467" s="25" t="str">
        <f>CONCATENATE('Ingest Template'!F466)</f>
        <v/>
      </c>
      <c r="S467" s="43" t="s">
        <v>160</v>
      </c>
      <c r="T467" s="25" t="str">
        <f>'Ingest Template'!W466</f>
        <v/>
      </c>
      <c r="U467" s="25"/>
      <c r="V467" s="25" t="str">
        <f>LOWER(SUBSTITUTE(SUBSTITUTE(SUBSTITUTE(SUBSTITUTE(SUBSTITUTE('Ingest Template'!Y466,"https:",""),"www.",""),"/",""),"?hl=en",""),"instagram.com",""))</f>
        <v/>
      </c>
      <c r="W467" s="34" t="str">
        <f>(IFERROR(vlookup('Ingest Template'!F467,DropDown!D:E,2,false)&amp;'Ingest Template'!C467,""))</f>
        <v/>
      </c>
      <c r="X467" s="25" t="str">
        <f>'Ingest Template'!AA466</f>
        <v/>
      </c>
      <c r="Y467" s="25"/>
      <c r="Z467" s="25"/>
      <c r="AA467" s="25"/>
      <c r="AB467" s="25" t="str">
        <f>'Ingest Template'!T466</f>
        <v/>
      </c>
      <c r="AC467" s="25"/>
      <c r="AD467" s="25" t="str">
        <f>'Ingest Template'!U466</f>
        <v/>
      </c>
      <c r="AE467" s="25" t="str">
        <f>'Ingest Template'!V466</f>
        <v/>
      </c>
      <c r="AF467" s="25"/>
      <c r="AG467" s="25" t="str">
        <f t="array" ref="AG467">IF('Ingest Template'!A466="Standard",(CONCATENATE(IF(ISBLANK('Ingest Template'!O466),"", 'Ingest Template'!O466&amp;"|DAR"),CHAR(10), IF(ISBLANK('Ingest Template'!P466),"", 'Ingest Template'!P466&amp;"|DAR"),CHAR(10), IF(ISBLANK('Ingest Template'!Q466),"", 'Ingest Template'!Q466&amp;"|DAR"))),(CONCATENATE(IF(ISBLANK('Ingest Template'!O466),"", 'Ingest Template'!O466&amp;"|Operations - Core Title"),CHAR(10), IF(ISBLANK('Ingest Template'!P466),"", 'Ingest Template'!P466&amp;"|Operations - Core Title"),CHAR(10), IF(ISBLANK('Ingest Template'!Q466),"", 'Ingest Template'!Q466&amp;"|Operations - Core Title"))))</f>
        <v>#|Operations - Core Title
#videoGame|Operations - Core Title
</v>
      </c>
      <c r="AH467" s="25"/>
      <c r="AI467" s="25"/>
      <c r="AJ467" s="50" t="str">
        <f>if('Ingest Template'!A466="Standard",'Ingest Template'!R466&amp; "|DAR|DAR|2021-01-01",'Ingest Template'!R466&amp; "|Operations - Core Title|Operations - Core Title")</f>
        <v>#N/A</v>
      </c>
      <c r="AK467" s="25"/>
      <c r="AL467" s="25" t="str">
        <f>if('Ingest Template'!A466="Standard",'Ingest Template'!S466&amp; "|2021-01-01",'Ingest Template'!S466)</f>
        <v>#N/A</v>
      </c>
      <c r="AM467" s="25"/>
    </row>
    <row r="468">
      <c r="A468" s="25"/>
      <c r="B468" s="25" t="str">
        <f>'Ingest Template'!C467&amp;IF('Ingest Template'!A467 = "Standard", " - DAR","")</f>
        <v/>
      </c>
      <c r="C468" s="34" t="s">
        <v>92</v>
      </c>
      <c r="D468" s="34" t="str">
        <f>CONCATENATE('Ingest Template'!E468&amp;Char(10)&amp;'Ingest Template'!G468&amp;Char(10)&amp;'Ingest Template'!H468&amp;Char(10)&amp;'Ingest Template'!I468&amp;Char(10)&amp;'Ingest Template'!J468&amp;Char(10)&amp;'Ingest Template'!K468&amp;Char(10)&amp;'Ingest Template'!L468)</f>
        <v>
</v>
      </c>
      <c r="E468" s="25" t="str">
        <f>('Ingest Template'!M468)</f>
        <v/>
      </c>
      <c r="F468" s="40" t="str">
        <f t="array" ref="F468">INDEX(DropDown!$J$2:$J$63,MATCH(1,COUNTIF(E468,DropDown!$I$2:$I$63),0))</f>
        <v>#N/A</v>
      </c>
      <c r="G468" s="25"/>
      <c r="H468" s="25"/>
      <c r="I468" s="25"/>
      <c r="J468" s="25" t="str">
        <f>'Ingest Template'!B468</f>
        <v/>
      </c>
      <c r="K468" s="25" t="str">
        <f>IF('Ingest Template'!A467="Standard",'Ingest Template'!N467,"Competitive View")</f>
        <v>Competitive View</v>
      </c>
      <c r="L468" s="41" t="s">
        <v>145</v>
      </c>
      <c r="M468" s="25" t="str">
        <f>'Ingest Template'!D467</f>
        <v/>
      </c>
      <c r="N468" s="25"/>
      <c r="O468" s="25"/>
      <c r="P468" s="25"/>
      <c r="Q468" s="25"/>
      <c r="R468" s="25" t="str">
        <f>CONCATENATE('Ingest Template'!F467)</f>
        <v/>
      </c>
      <c r="S468" s="43" t="s">
        <v>160</v>
      </c>
      <c r="T468" s="25" t="str">
        <f>'Ingest Template'!W467</f>
        <v/>
      </c>
      <c r="U468" s="25"/>
      <c r="V468" s="25" t="str">
        <f>LOWER(SUBSTITUTE(SUBSTITUTE(SUBSTITUTE(SUBSTITUTE(SUBSTITUTE('Ingest Template'!Y467,"https:",""),"www.",""),"/",""),"?hl=en",""),"instagram.com",""))</f>
        <v/>
      </c>
      <c r="W468" s="34" t="str">
        <f>(IFERROR(vlookup('Ingest Template'!F468,DropDown!D:E,2,false)&amp;'Ingest Template'!C468,""))</f>
        <v/>
      </c>
      <c r="X468" s="25" t="str">
        <f>'Ingest Template'!AA467</f>
        <v/>
      </c>
      <c r="Y468" s="25"/>
      <c r="Z468" s="25"/>
      <c r="AA468" s="25"/>
      <c r="AB468" s="25" t="str">
        <f>'Ingest Template'!T467</f>
        <v/>
      </c>
      <c r="AC468" s="25"/>
      <c r="AD468" s="25" t="str">
        <f>'Ingest Template'!U467</f>
        <v/>
      </c>
      <c r="AE468" s="25" t="str">
        <f>'Ingest Template'!V467</f>
        <v/>
      </c>
      <c r="AF468" s="25"/>
      <c r="AG468" s="25" t="str">
        <f t="array" ref="AG468">IF('Ingest Template'!A467="Standard",(CONCATENATE(IF(ISBLANK('Ingest Template'!O467),"", 'Ingest Template'!O467&amp;"|DAR"),CHAR(10), IF(ISBLANK('Ingest Template'!P467),"", 'Ingest Template'!P467&amp;"|DAR"),CHAR(10), IF(ISBLANK('Ingest Template'!Q467),"", 'Ingest Template'!Q467&amp;"|DAR"))),(CONCATENATE(IF(ISBLANK('Ingest Template'!O467),"", 'Ingest Template'!O467&amp;"|Operations - Core Title"),CHAR(10), IF(ISBLANK('Ingest Template'!P467),"", 'Ingest Template'!P467&amp;"|Operations - Core Title"),CHAR(10), IF(ISBLANK('Ingest Template'!Q467),"", 'Ingest Template'!Q467&amp;"|Operations - Core Title"))))</f>
        <v>#|Operations - Core Title
#videoGame|Operations - Core Title
</v>
      </c>
      <c r="AH468" s="25"/>
      <c r="AI468" s="25"/>
      <c r="AJ468" s="50" t="str">
        <f>if('Ingest Template'!A467="Standard",'Ingest Template'!R467&amp; "|DAR|DAR|2021-01-01",'Ingest Template'!R467&amp; "|Operations - Core Title|Operations - Core Title")</f>
        <v>#N/A</v>
      </c>
      <c r="AK468" s="25"/>
      <c r="AL468" s="25" t="str">
        <f>if('Ingest Template'!A467="Standard",'Ingest Template'!S467&amp; "|2021-01-01",'Ingest Template'!S467)</f>
        <v>#N/A</v>
      </c>
      <c r="AM468" s="25"/>
    </row>
    <row r="469">
      <c r="A469" s="25"/>
      <c r="B469" s="25" t="str">
        <f>'Ingest Template'!C468&amp;IF('Ingest Template'!A468 = "Standard", " - DAR","")</f>
        <v/>
      </c>
      <c r="C469" s="34" t="s">
        <v>92</v>
      </c>
      <c r="D469" s="34" t="str">
        <f>CONCATENATE('Ingest Template'!E469&amp;Char(10)&amp;'Ingest Template'!G469&amp;Char(10)&amp;'Ingest Template'!H469&amp;Char(10)&amp;'Ingest Template'!I469&amp;Char(10)&amp;'Ingest Template'!J469&amp;Char(10)&amp;'Ingest Template'!K469&amp;Char(10)&amp;'Ingest Template'!L469)</f>
        <v>
</v>
      </c>
      <c r="E469" s="25" t="str">
        <f>('Ingest Template'!M469)</f>
        <v/>
      </c>
      <c r="F469" s="40" t="str">
        <f t="array" ref="F469">INDEX(DropDown!$J$2:$J$63,MATCH(1,COUNTIF(E469,DropDown!$I$2:$I$63),0))</f>
        <v>#N/A</v>
      </c>
      <c r="G469" s="25"/>
      <c r="H469" s="25"/>
      <c r="I469" s="25"/>
      <c r="J469" s="25" t="str">
        <f>'Ingest Template'!B469</f>
        <v/>
      </c>
      <c r="K469" s="25" t="str">
        <f>IF('Ingest Template'!A468="Standard",'Ingest Template'!N468,"Competitive View")</f>
        <v>Competitive View</v>
      </c>
      <c r="L469" s="41" t="s">
        <v>145</v>
      </c>
      <c r="M469" s="25" t="str">
        <f>'Ingest Template'!D468</f>
        <v/>
      </c>
      <c r="N469" s="25"/>
      <c r="O469" s="25"/>
      <c r="P469" s="25"/>
      <c r="Q469" s="25"/>
      <c r="R469" s="25" t="str">
        <f>CONCATENATE('Ingest Template'!F468)</f>
        <v/>
      </c>
      <c r="S469" s="43" t="s">
        <v>160</v>
      </c>
      <c r="T469" s="25" t="str">
        <f>'Ingest Template'!W468</f>
        <v/>
      </c>
      <c r="U469" s="25"/>
      <c r="V469" s="25" t="str">
        <f>LOWER(SUBSTITUTE(SUBSTITUTE(SUBSTITUTE(SUBSTITUTE(SUBSTITUTE('Ingest Template'!Y468,"https:",""),"www.",""),"/",""),"?hl=en",""),"instagram.com",""))</f>
        <v/>
      </c>
      <c r="W469" s="34" t="str">
        <f>(IFERROR(vlookup('Ingest Template'!F469,DropDown!D:E,2,false)&amp;'Ingest Template'!C469,""))</f>
        <v/>
      </c>
      <c r="X469" s="25" t="str">
        <f>'Ingest Template'!AA468</f>
        <v/>
      </c>
      <c r="Y469" s="25"/>
      <c r="Z469" s="25"/>
      <c r="AA469" s="25"/>
      <c r="AB469" s="25" t="str">
        <f>'Ingest Template'!T468</f>
        <v/>
      </c>
      <c r="AC469" s="25"/>
      <c r="AD469" s="25" t="str">
        <f>'Ingest Template'!U468</f>
        <v/>
      </c>
      <c r="AE469" s="25" t="str">
        <f>'Ingest Template'!V468</f>
        <v/>
      </c>
      <c r="AF469" s="25"/>
      <c r="AG469" s="25" t="str">
        <f t="array" ref="AG469">IF('Ingest Template'!A468="Standard",(CONCATENATE(IF(ISBLANK('Ingest Template'!O468),"", 'Ingest Template'!O468&amp;"|DAR"),CHAR(10), IF(ISBLANK('Ingest Template'!P468),"", 'Ingest Template'!P468&amp;"|DAR"),CHAR(10), IF(ISBLANK('Ingest Template'!Q468),"", 'Ingest Template'!Q468&amp;"|DAR"))),(CONCATENATE(IF(ISBLANK('Ingest Template'!O468),"", 'Ingest Template'!O468&amp;"|Operations - Core Title"),CHAR(10), IF(ISBLANK('Ingest Template'!P468),"", 'Ingest Template'!P468&amp;"|Operations - Core Title"),CHAR(10), IF(ISBLANK('Ingest Template'!Q468),"", 'Ingest Template'!Q468&amp;"|Operations - Core Title"))))</f>
        <v>#|Operations - Core Title
#videoGame|Operations - Core Title
</v>
      </c>
      <c r="AH469" s="25"/>
      <c r="AI469" s="25"/>
      <c r="AJ469" s="50" t="str">
        <f>if('Ingest Template'!A468="Standard",'Ingest Template'!R468&amp; "|DAR|DAR|2021-01-01",'Ingest Template'!R468&amp; "|Operations - Core Title|Operations - Core Title")</f>
        <v>#N/A</v>
      </c>
      <c r="AK469" s="25"/>
      <c r="AL469" s="25" t="str">
        <f>if('Ingest Template'!A468="Standard",'Ingest Template'!S468&amp; "|2021-01-01",'Ingest Template'!S468)</f>
        <v>#N/A</v>
      </c>
      <c r="AM469" s="25"/>
    </row>
    <row r="470">
      <c r="A470" s="25"/>
      <c r="B470" s="25" t="str">
        <f>'Ingest Template'!C469&amp;IF('Ingest Template'!A469 = "Standard", " - DAR","")</f>
        <v/>
      </c>
      <c r="C470" s="34" t="s">
        <v>92</v>
      </c>
      <c r="D470" s="34" t="str">
        <f>CONCATENATE('Ingest Template'!E470&amp;Char(10)&amp;'Ingest Template'!G470&amp;Char(10)&amp;'Ingest Template'!H470&amp;Char(10)&amp;'Ingest Template'!I470&amp;Char(10)&amp;'Ingest Template'!J470&amp;Char(10)&amp;'Ingest Template'!K470&amp;Char(10)&amp;'Ingest Template'!L470)</f>
        <v>
</v>
      </c>
      <c r="E470" s="25" t="str">
        <f>('Ingest Template'!M470)</f>
        <v/>
      </c>
      <c r="F470" s="40" t="str">
        <f t="array" ref="F470">INDEX(DropDown!$J$2:$J$63,MATCH(1,COUNTIF(E470,DropDown!$I$2:$I$63),0))</f>
        <v>#N/A</v>
      </c>
      <c r="G470" s="25"/>
      <c r="H470" s="25"/>
      <c r="I470" s="25"/>
      <c r="J470" s="25" t="str">
        <f>'Ingest Template'!B470</f>
        <v/>
      </c>
      <c r="K470" s="25" t="str">
        <f>IF('Ingest Template'!A469="Standard",'Ingest Template'!N469,"Competitive View")</f>
        <v>Competitive View</v>
      </c>
      <c r="L470" s="41" t="s">
        <v>145</v>
      </c>
      <c r="M470" s="25" t="str">
        <f>'Ingest Template'!D469</f>
        <v/>
      </c>
      <c r="N470" s="25"/>
      <c r="O470" s="25"/>
      <c r="P470" s="25"/>
      <c r="Q470" s="25"/>
      <c r="R470" s="25" t="str">
        <f>CONCATENATE('Ingest Template'!F469)</f>
        <v/>
      </c>
      <c r="S470" s="43" t="s">
        <v>160</v>
      </c>
      <c r="T470" s="25" t="str">
        <f>'Ingest Template'!W469</f>
        <v/>
      </c>
      <c r="U470" s="25"/>
      <c r="V470" s="25" t="str">
        <f>LOWER(SUBSTITUTE(SUBSTITUTE(SUBSTITUTE(SUBSTITUTE(SUBSTITUTE('Ingest Template'!Y469,"https:",""),"www.",""),"/",""),"?hl=en",""),"instagram.com",""))</f>
        <v/>
      </c>
      <c r="W470" s="34" t="str">
        <f>(IFERROR(vlookup('Ingest Template'!F470,DropDown!D:E,2,false)&amp;'Ingest Template'!C470,""))</f>
        <v/>
      </c>
      <c r="X470" s="25" t="str">
        <f>'Ingest Template'!AA469</f>
        <v/>
      </c>
      <c r="Y470" s="25"/>
      <c r="Z470" s="25"/>
      <c r="AA470" s="25"/>
      <c r="AB470" s="25" t="str">
        <f>'Ingest Template'!T469</f>
        <v/>
      </c>
      <c r="AC470" s="25"/>
      <c r="AD470" s="25" t="str">
        <f>'Ingest Template'!U469</f>
        <v/>
      </c>
      <c r="AE470" s="25" t="str">
        <f>'Ingest Template'!V469</f>
        <v/>
      </c>
      <c r="AF470" s="25"/>
      <c r="AG470" s="25" t="str">
        <f t="array" ref="AG470">IF('Ingest Template'!A469="Standard",(CONCATENATE(IF(ISBLANK('Ingest Template'!O469),"", 'Ingest Template'!O469&amp;"|DAR"),CHAR(10), IF(ISBLANK('Ingest Template'!P469),"", 'Ingest Template'!P469&amp;"|DAR"),CHAR(10), IF(ISBLANK('Ingest Template'!Q469),"", 'Ingest Template'!Q469&amp;"|DAR"))),(CONCATENATE(IF(ISBLANK('Ingest Template'!O469),"", 'Ingest Template'!O469&amp;"|Operations - Core Title"),CHAR(10), IF(ISBLANK('Ingest Template'!P469),"", 'Ingest Template'!P469&amp;"|Operations - Core Title"),CHAR(10), IF(ISBLANK('Ingest Template'!Q469),"", 'Ingest Template'!Q469&amp;"|Operations - Core Title"))))</f>
        <v>#|Operations - Core Title
#videoGame|Operations - Core Title
</v>
      </c>
      <c r="AH470" s="25"/>
      <c r="AI470" s="25"/>
      <c r="AJ470" s="50" t="str">
        <f>if('Ingest Template'!A469="Standard",'Ingest Template'!R469&amp; "|DAR|DAR|2021-01-01",'Ingest Template'!R469&amp; "|Operations - Core Title|Operations - Core Title")</f>
        <v>#N/A</v>
      </c>
      <c r="AK470" s="25"/>
      <c r="AL470" s="25" t="str">
        <f>if('Ingest Template'!A469="Standard",'Ingest Template'!S469&amp; "|2021-01-01",'Ingest Template'!S469)</f>
        <v>#N/A</v>
      </c>
      <c r="AM470" s="25"/>
    </row>
    <row r="471">
      <c r="A471" s="25"/>
      <c r="B471" s="25" t="str">
        <f>'Ingest Template'!C470&amp;IF('Ingest Template'!A470 = "Standard", " - DAR","")</f>
        <v/>
      </c>
      <c r="C471" s="34" t="s">
        <v>92</v>
      </c>
      <c r="D471" s="34" t="str">
        <f>CONCATENATE('Ingest Template'!E471&amp;Char(10)&amp;'Ingest Template'!G471&amp;Char(10)&amp;'Ingest Template'!H471&amp;Char(10)&amp;'Ingest Template'!I471&amp;Char(10)&amp;'Ingest Template'!J471&amp;Char(10)&amp;'Ingest Template'!K471&amp;Char(10)&amp;'Ingest Template'!L471)</f>
        <v>
</v>
      </c>
      <c r="E471" s="25" t="str">
        <f>('Ingest Template'!M471)</f>
        <v/>
      </c>
      <c r="F471" s="40" t="str">
        <f t="array" ref="F471">INDEX(DropDown!$J$2:$J$63,MATCH(1,COUNTIF(E471,DropDown!$I$2:$I$63),0))</f>
        <v>#N/A</v>
      </c>
      <c r="G471" s="25"/>
      <c r="H471" s="25"/>
      <c r="I471" s="25"/>
      <c r="J471" s="25" t="str">
        <f>'Ingest Template'!B471</f>
        <v/>
      </c>
      <c r="K471" s="25" t="str">
        <f>IF('Ingest Template'!A470="Standard",'Ingest Template'!N470,"Competitive View")</f>
        <v>Competitive View</v>
      </c>
      <c r="L471" s="41" t="s">
        <v>145</v>
      </c>
      <c r="M471" s="25" t="str">
        <f>'Ingest Template'!D470</f>
        <v/>
      </c>
      <c r="N471" s="25"/>
      <c r="O471" s="25"/>
      <c r="P471" s="25"/>
      <c r="Q471" s="25"/>
      <c r="R471" s="25" t="str">
        <f>CONCATENATE('Ingest Template'!F470)</f>
        <v/>
      </c>
      <c r="S471" s="43" t="s">
        <v>160</v>
      </c>
      <c r="T471" s="25" t="str">
        <f>'Ingest Template'!W470</f>
        <v/>
      </c>
      <c r="U471" s="25"/>
      <c r="V471" s="25" t="str">
        <f>LOWER(SUBSTITUTE(SUBSTITUTE(SUBSTITUTE(SUBSTITUTE(SUBSTITUTE('Ingest Template'!Y470,"https:",""),"www.",""),"/",""),"?hl=en",""),"instagram.com",""))</f>
        <v/>
      </c>
      <c r="W471" s="34" t="str">
        <f>(IFERROR(vlookup('Ingest Template'!F471,DropDown!D:E,2,false)&amp;'Ingest Template'!C471,""))</f>
        <v/>
      </c>
      <c r="X471" s="25" t="str">
        <f>'Ingest Template'!AA470</f>
        <v/>
      </c>
      <c r="Y471" s="25"/>
      <c r="Z471" s="25"/>
      <c r="AA471" s="25"/>
      <c r="AB471" s="25" t="str">
        <f>'Ingest Template'!T470</f>
        <v/>
      </c>
      <c r="AC471" s="25"/>
      <c r="AD471" s="25" t="str">
        <f>'Ingest Template'!U470</f>
        <v/>
      </c>
      <c r="AE471" s="25" t="str">
        <f>'Ingest Template'!V470</f>
        <v/>
      </c>
      <c r="AF471" s="25"/>
      <c r="AG471" s="25" t="str">
        <f t="array" ref="AG471">IF('Ingest Template'!A470="Standard",(CONCATENATE(IF(ISBLANK('Ingest Template'!O470),"", 'Ingest Template'!O470&amp;"|DAR"),CHAR(10), IF(ISBLANK('Ingest Template'!P470),"", 'Ingest Template'!P470&amp;"|DAR"),CHAR(10), IF(ISBLANK('Ingest Template'!Q470),"", 'Ingest Template'!Q470&amp;"|DAR"))),(CONCATENATE(IF(ISBLANK('Ingest Template'!O470),"", 'Ingest Template'!O470&amp;"|Operations - Core Title"),CHAR(10), IF(ISBLANK('Ingest Template'!P470),"", 'Ingest Template'!P470&amp;"|Operations - Core Title"),CHAR(10), IF(ISBLANK('Ingest Template'!Q470),"", 'Ingest Template'!Q470&amp;"|Operations - Core Title"))))</f>
        <v>#|Operations - Core Title
#videoGame|Operations - Core Title
</v>
      </c>
      <c r="AH471" s="25"/>
      <c r="AI471" s="25"/>
      <c r="AJ471" s="50" t="str">
        <f>if('Ingest Template'!A470="Standard",'Ingest Template'!R470&amp; "|DAR|DAR|2021-01-01",'Ingest Template'!R470&amp; "|Operations - Core Title|Operations - Core Title")</f>
        <v>#N/A</v>
      </c>
      <c r="AK471" s="25"/>
      <c r="AL471" s="25" t="str">
        <f>if('Ingest Template'!A470="Standard",'Ingest Template'!S470&amp; "|2021-01-01",'Ingest Template'!S470)</f>
        <v>#N/A</v>
      </c>
      <c r="AM471" s="25"/>
    </row>
    <row r="472">
      <c r="A472" s="25"/>
      <c r="B472" s="25" t="str">
        <f>'Ingest Template'!C471&amp;IF('Ingest Template'!A471 = "Standard", " - DAR","")</f>
        <v/>
      </c>
      <c r="C472" s="34" t="s">
        <v>92</v>
      </c>
      <c r="D472" s="34" t="str">
        <f>CONCATENATE('Ingest Template'!E472&amp;Char(10)&amp;'Ingest Template'!G472&amp;Char(10)&amp;'Ingest Template'!H472&amp;Char(10)&amp;'Ingest Template'!I472&amp;Char(10)&amp;'Ingest Template'!J472&amp;Char(10)&amp;'Ingest Template'!K472&amp;Char(10)&amp;'Ingest Template'!L472)</f>
        <v>
</v>
      </c>
      <c r="E472" s="25" t="str">
        <f>('Ingest Template'!M472)</f>
        <v/>
      </c>
      <c r="F472" s="40" t="str">
        <f t="array" ref="F472">INDEX(DropDown!$J$2:$J$63,MATCH(1,COUNTIF(E472,DropDown!$I$2:$I$63),0))</f>
        <v>#N/A</v>
      </c>
      <c r="G472" s="25"/>
      <c r="H472" s="25"/>
      <c r="I472" s="25"/>
      <c r="J472" s="25" t="str">
        <f>'Ingest Template'!B472</f>
        <v/>
      </c>
      <c r="K472" s="25" t="str">
        <f>IF('Ingest Template'!A471="Standard",'Ingest Template'!N471,"Competitive View")</f>
        <v>Competitive View</v>
      </c>
      <c r="L472" s="41" t="s">
        <v>145</v>
      </c>
      <c r="M472" s="25" t="str">
        <f>'Ingest Template'!D471</f>
        <v/>
      </c>
      <c r="N472" s="25"/>
      <c r="O472" s="25"/>
      <c r="P472" s="25"/>
      <c r="Q472" s="25"/>
      <c r="R472" s="25" t="str">
        <f>CONCATENATE('Ingest Template'!F471)</f>
        <v/>
      </c>
      <c r="S472" s="43" t="s">
        <v>160</v>
      </c>
      <c r="T472" s="25" t="str">
        <f>'Ingest Template'!W471</f>
        <v/>
      </c>
      <c r="U472" s="25"/>
      <c r="V472" s="25" t="str">
        <f>LOWER(SUBSTITUTE(SUBSTITUTE(SUBSTITUTE(SUBSTITUTE(SUBSTITUTE('Ingest Template'!Y471,"https:",""),"www.",""),"/",""),"?hl=en",""),"instagram.com",""))</f>
        <v/>
      </c>
      <c r="W472" s="34" t="str">
        <f>(IFERROR(vlookup('Ingest Template'!F472,DropDown!D:E,2,false)&amp;'Ingest Template'!C472,""))</f>
        <v/>
      </c>
      <c r="X472" s="25" t="str">
        <f>'Ingest Template'!AA471</f>
        <v/>
      </c>
      <c r="Y472" s="25"/>
      <c r="Z472" s="25"/>
      <c r="AA472" s="25"/>
      <c r="AB472" s="25" t="str">
        <f>'Ingest Template'!T471</f>
        <v/>
      </c>
      <c r="AC472" s="25"/>
      <c r="AD472" s="25" t="str">
        <f>'Ingest Template'!U471</f>
        <v/>
      </c>
      <c r="AE472" s="25" t="str">
        <f>'Ingest Template'!V471</f>
        <v/>
      </c>
      <c r="AF472" s="25"/>
      <c r="AG472" s="25" t="str">
        <f t="array" ref="AG472">IF('Ingest Template'!A471="Standard",(CONCATENATE(IF(ISBLANK('Ingest Template'!O471),"", 'Ingest Template'!O471&amp;"|DAR"),CHAR(10), IF(ISBLANK('Ingest Template'!P471),"", 'Ingest Template'!P471&amp;"|DAR"),CHAR(10), IF(ISBLANK('Ingest Template'!Q471),"", 'Ingest Template'!Q471&amp;"|DAR"))),(CONCATENATE(IF(ISBLANK('Ingest Template'!O471),"", 'Ingest Template'!O471&amp;"|Operations - Core Title"),CHAR(10), IF(ISBLANK('Ingest Template'!P471),"", 'Ingest Template'!P471&amp;"|Operations - Core Title"),CHAR(10), IF(ISBLANK('Ingest Template'!Q471),"", 'Ingest Template'!Q471&amp;"|Operations - Core Title"))))</f>
        <v>#|Operations - Core Title
#videoGame|Operations - Core Title
</v>
      </c>
      <c r="AH472" s="25"/>
      <c r="AI472" s="25"/>
      <c r="AJ472" s="50" t="str">
        <f>if('Ingest Template'!A471="Standard",'Ingest Template'!R471&amp; "|DAR|DAR|2021-01-01",'Ingest Template'!R471&amp; "|Operations - Core Title|Operations - Core Title")</f>
        <v>#N/A</v>
      </c>
      <c r="AK472" s="25"/>
      <c r="AL472" s="25" t="str">
        <f>if('Ingest Template'!A471="Standard",'Ingest Template'!S471&amp; "|2021-01-01",'Ingest Template'!S471)</f>
        <v>#N/A</v>
      </c>
      <c r="AM472" s="25"/>
    </row>
    <row r="473">
      <c r="A473" s="25"/>
      <c r="B473" s="25" t="str">
        <f>'Ingest Template'!C472&amp;IF('Ingest Template'!A472 = "Standard", " - DAR","")</f>
        <v/>
      </c>
      <c r="C473" s="34" t="s">
        <v>92</v>
      </c>
      <c r="D473" s="34" t="str">
        <f>CONCATENATE('Ingest Template'!E473&amp;Char(10)&amp;'Ingest Template'!G473&amp;Char(10)&amp;'Ingest Template'!H473&amp;Char(10)&amp;'Ingest Template'!I473&amp;Char(10)&amp;'Ingest Template'!J473&amp;Char(10)&amp;'Ingest Template'!K473&amp;Char(10)&amp;'Ingest Template'!L473)</f>
        <v>
</v>
      </c>
      <c r="E473" s="25" t="str">
        <f>('Ingest Template'!M473)</f>
        <v/>
      </c>
      <c r="F473" s="40" t="str">
        <f t="array" ref="F473">INDEX(DropDown!$J$2:$J$63,MATCH(1,COUNTIF(E473,DropDown!$I$2:$I$63),0))</f>
        <v>#N/A</v>
      </c>
      <c r="G473" s="25"/>
      <c r="H473" s="25"/>
      <c r="I473" s="25"/>
      <c r="J473" s="25" t="str">
        <f>'Ingest Template'!B473</f>
        <v/>
      </c>
      <c r="K473" s="25" t="str">
        <f>IF('Ingest Template'!A472="Standard",'Ingest Template'!N472,"Competitive View")</f>
        <v>Competitive View</v>
      </c>
      <c r="L473" s="41" t="s">
        <v>145</v>
      </c>
      <c r="M473" s="25" t="str">
        <f>'Ingest Template'!D472</f>
        <v/>
      </c>
      <c r="N473" s="25"/>
      <c r="O473" s="25"/>
      <c r="P473" s="25"/>
      <c r="Q473" s="25"/>
      <c r="R473" s="25" t="str">
        <f>CONCATENATE('Ingest Template'!F472)</f>
        <v/>
      </c>
      <c r="S473" s="43" t="s">
        <v>160</v>
      </c>
      <c r="T473" s="25" t="str">
        <f>'Ingest Template'!W472</f>
        <v/>
      </c>
      <c r="U473" s="25"/>
      <c r="V473" s="25" t="str">
        <f>LOWER(SUBSTITUTE(SUBSTITUTE(SUBSTITUTE(SUBSTITUTE(SUBSTITUTE('Ingest Template'!Y472,"https:",""),"www.",""),"/",""),"?hl=en",""),"instagram.com",""))</f>
        <v/>
      </c>
      <c r="W473" s="34" t="str">
        <f>(IFERROR(vlookup('Ingest Template'!F473,DropDown!D:E,2,false)&amp;'Ingest Template'!C473,""))</f>
        <v/>
      </c>
      <c r="X473" s="25" t="str">
        <f>'Ingest Template'!AA472</f>
        <v/>
      </c>
      <c r="Y473" s="25"/>
      <c r="Z473" s="25"/>
      <c r="AA473" s="25"/>
      <c r="AB473" s="25" t="str">
        <f>'Ingest Template'!T472</f>
        <v/>
      </c>
      <c r="AC473" s="25"/>
      <c r="AD473" s="25" t="str">
        <f>'Ingest Template'!U472</f>
        <v/>
      </c>
      <c r="AE473" s="25" t="str">
        <f>'Ingest Template'!V472</f>
        <v/>
      </c>
      <c r="AF473" s="25"/>
      <c r="AG473" s="25" t="str">
        <f t="array" ref="AG473">IF('Ingest Template'!A472="Standard",(CONCATENATE(IF(ISBLANK('Ingest Template'!O472),"", 'Ingest Template'!O472&amp;"|DAR"),CHAR(10), IF(ISBLANK('Ingest Template'!P472),"", 'Ingest Template'!P472&amp;"|DAR"),CHAR(10), IF(ISBLANK('Ingest Template'!Q472),"", 'Ingest Template'!Q472&amp;"|DAR"))),(CONCATENATE(IF(ISBLANK('Ingest Template'!O472),"", 'Ingest Template'!O472&amp;"|Operations - Core Title"),CHAR(10), IF(ISBLANK('Ingest Template'!P472),"", 'Ingest Template'!P472&amp;"|Operations - Core Title"),CHAR(10), IF(ISBLANK('Ingest Template'!Q472),"", 'Ingest Template'!Q472&amp;"|Operations - Core Title"))))</f>
        <v>#|Operations - Core Title
#videoGame|Operations - Core Title
</v>
      </c>
      <c r="AH473" s="25"/>
      <c r="AI473" s="25"/>
      <c r="AJ473" s="50" t="str">
        <f>if('Ingest Template'!A472="Standard",'Ingest Template'!R472&amp; "|DAR|DAR|2021-01-01",'Ingest Template'!R472&amp; "|Operations - Core Title|Operations - Core Title")</f>
        <v>#N/A</v>
      </c>
      <c r="AK473" s="25"/>
      <c r="AL473" s="25" t="str">
        <f>if('Ingest Template'!A472="Standard",'Ingest Template'!S472&amp; "|2021-01-01",'Ingest Template'!S472)</f>
        <v>#N/A</v>
      </c>
      <c r="AM473" s="25"/>
    </row>
    <row r="474">
      <c r="A474" s="25"/>
      <c r="B474" s="25" t="str">
        <f>'Ingest Template'!C473&amp;IF('Ingest Template'!A473 = "Standard", " - DAR","")</f>
        <v/>
      </c>
      <c r="C474" s="34" t="s">
        <v>92</v>
      </c>
      <c r="D474" s="34" t="str">
        <f>CONCATENATE('Ingest Template'!E474&amp;Char(10)&amp;'Ingest Template'!G474&amp;Char(10)&amp;'Ingest Template'!H474&amp;Char(10)&amp;'Ingest Template'!I474&amp;Char(10)&amp;'Ingest Template'!J474&amp;Char(10)&amp;'Ingest Template'!K474&amp;Char(10)&amp;'Ingest Template'!L474)</f>
        <v>
</v>
      </c>
      <c r="E474" s="25" t="str">
        <f>('Ingest Template'!M474)</f>
        <v/>
      </c>
      <c r="F474" s="40" t="str">
        <f t="array" ref="F474">INDEX(DropDown!$J$2:$J$63,MATCH(1,COUNTIF(E474,DropDown!$I$2:$I$63),0))</f>
        <v>#N/A</v>
      </c>
      <c r="G474" s="25"/>
      <c r="H474" s="25"/>
      <c r="I474" s="25"/>
      <c r="J474" s="25" t="str">
        <f>'Ingest Template'!B474</f>
        <v/>
      </c>
      <c r="K474" s="25" t="str">
        <f>IF('Ingest Template'!A473="Standard",'Ingest Template'!N473,"Competitive View")</f>
        <v>Competitive View</v>
      </c>
      <c r="L474" s="41" t="s">
        <v>145</v>
      </c>
      <c r="M474" s="25" t="str">
        <f>'Ingest Template'!D473</f>
        <v/>
      </c>
      <c r="N474" s="25"/>
      <c r="O474" s="25"/>
      <c r="P474" s="25"/>
      <c r="Q474" s="25"/>
      <c r="R474" s="25" t="str">
        <f>CONCATENATE('Ingest Template'!F473)</f>
        <v/>
      </c>
      <c r="S474" s="43" t="s">
        <v>160</v>
      </c>
      <c r="T474" s="25" t="str">
        <f>'Ingest Template'!W473</f>
        <v/>
      </c>
      <c r="U474" s="25"/>
      <c r="V474" s="25" t="str">
        <f>LOWER(SUBSTITUTE(SUBSTITUTE(SUBSTITUTE(SUBSTITUTE(SUBSTITUTE('Ingest Template'!Y473,"https:",""),"www.",""),"/",""),"?hl=en",""),"instagram.com",""))</f>
        <v/>
      </c>
      <c r="W474" s="34" t="str">
        <f>(IFERROR(vlookup('Ingest Template'!F474,DropDown!D:E,2,false)&amp;'Ingest Template'!C474,""))</f>
        <v/>
      </c>
      <c r="X474" s="25" t="str">
        <f>'Ingest Template'!AA473</f>
        <v/>
      </c>
      <c r="Y474" s="25"/>
      <c r="Z474" s="25"/>
      <c r="AA474" s="25"/>
      <c r="AB474" s="25" t="str">
        <f>'Ingest Template'!T473</f>
        <v/>
      </c>
      <c r="AC474" s="25"/>
      <c r="AD474" s="25" t="str">
        <f>'Ingest Template'!U473</f>
        <v/>
      </c>
      <c r="AE474" s="25" t="str">
        <f>'Ingest Template'!V473</f>
        <v/>
      </c>
      <c r="AF474" s="25"/>
      <c r="AG474" s="25" t="str">
        <f t="array" ref="AG474">IF('Ingest Template'!A473="Standard",(CONCATENATE(IF(ISBLANK('Ingest Template'!O473),"", 'Ingest Template'!O473&amp;"|DAR"),CHAR(10), IF(ISBLANK('Ingest Template'!P473),"", 'Ingest Template'!P473&amp;"|DAR"),CHAR(10), IF(ISBLANK('Ingest Template'!Q473),"", 'Ingest Template'!Q473&amp;"|DAR"))),(CONCATENATE(IF(ISBLANK('Ingest Template'!O473),"", 'Ingest Template'!O473&amp;"|Operations - Core Title"),CHAR(10), IF(ISBLANK('Ingest Template'!P473),"", 'Ingest Template'!P473&amp;"|Operations - Core Title"),CHAR(10), IF(ISBLANK('Ingest Template'!Q473),"", 'Ingest Template'!Q473&amp;"|Operations - Core Title"))))</f>
        <v>#|Operations - Core Title
#videoGame|Operations - Core Title
</v>
      </c>
      <c r="AH474" s="25"/>
      <c r="AI474" s="25"/>
      <c r="AJ474" s="50" t="str">
        <f>if('Ingest Template'!A473="Standard",'Ingest Template'!R473&amp; "|DAR|DAR|2021-01-01",'Ingest Template'!R473&amp; "|Operations - Core Title|Operations - Core Title")</f>
        <v>#N/A</v>
      </c>
      <c r="AK474" s="25"/>
      <c r="AL474" s="25" t="str">
        <f>if('Ingest Template'!A473="Standard",'Ingest Template'!S473&amp; "|2021-01-01",'Ingest Template'!S473)</f>
        <v>#N/A</v>
      </c>
      <c r="AM474" s="25"/>
    </row>
    <row r="475">
      <c r="A475" s="25"/>
      <c r="B475" s="25" t="str">
        <f>'Ingest Template'!C474&amp;IF('Ingest Template'!A474 = "Standard", " - DAR","")</f>
        <v/>
      </c>
      <c r="C475" s="34" t="s">
        <v>92</v>
      </c>
      <c r="D475" s="34" t="str">
        <f>CONCATENATE('Ingest Template'!E475&amp;Char(10)&amp;'Ingest Template'!G475&amp;Char(10)&amp;'Ingest Template'!H475&amp;Char(10)&amp;'Ingest Template'!I475&amp;Char(10)&amp;'Ingest Template'!J475&amp;Char(10)&amp;'Ingest Template'!K475&amp;Char(10)&amp;'Ingest Template'!L475)</f>
        <v>
</v>
      </c>
      <c r="E475" s="25" t="str">
        <f>('Ingest Template'!M475)</f>
        <v/>
      </c>
      <c r="F475" s="40" t="str">
        <f t="array" ref="F475">INDEX(DropDown!$J$2:$J$63,MATCH(1,COUNTIF(E475,DropDown!$I$2:$I$63),0))</f>
        <v>#N/A</v>
      </c>
      <c r="G475" s="25"/>
      <c r="H475" s="25"/>
      <c r="I475" s="25"/>
      <c r="J475" s="25" t="str">
        <f>'Ingest Template'!B475</f>
        <v/>
      </c>
      <c r="K475" s="25" t="str">
        <f>IF('Ingest Template'!A474="Standard",'Ingest Template'!N474,"Competitive View")</f>
        <v>Competitive View</v>
      </c>
      <c r="L475" s="41" t="s">
        <v>145</v>
      </c>
      <c r="M475" s="25" t="str">
        <f>'Ingest Template'!D474</f>
        <v/>
      </c>
      <c r="N475" s="25"/>
      <c r="O475" s="25"/>
      <c r="P475" s="25"/>
      <c r="Q475" s="25"/>
      <c r="R475" s="25" t="str">
        <f>CONCATENATE('Ingest Template'!F474)</f>
        <v/>
      </c>
      <c r="S475" s="43" t="s">
        <v>160</v>
      </c>
      <c r="T475" s="25" t="str">
        <f>'Ingest Template'!W474</f>
        <v/>
      </c>
      <c r="U475" s="25"/>
      <c r="V475" s="25" t="str">
        <f>LOWER(SUBSTITUTE(SUBSTITUTE(SUBSTITUTE(SUBSTITUTE(SUBSTITUTE('Ingest Template'!Y474,"https:",""),"www.",""),"/",""),"?hl=en",""),"instagram.com",""))</f>
        <v/>
      </c>
      <c r="W475" s="34" t="str">
        <f>(IFERROR(vlookup('Ingest Template'!F475,DropDown!D:E,2,false)&amp;'Ingest Template'!C475,""))</f>
        <v/>
      </c>
      <c r="X475" s="25" t="str">
        <f>'Ingest Template'!AA474</f>
        <v/>
      </c>
      <c r="Y475" s="25"/>
      <c r="Z475" s="25"/>
      <c r="AA475" s="25"/>
      <c r="AB475" s="25" t="str">
        <f>'Ingest Template'!T474</f>
        <v/>
      </c>
      <c r="AC475" s="25"/>
      <c r="AD475" s="25" t="str">
        <f>'Ingest Template'!U474</f>
        <v/>
      </c>
      <c r="AE475" s="25" t="str">
        <f>'Ingest Template'!V474</f>
        <v/>
      </c>
      <c r="AF475" s="25"/>
      <c r="AG475" s="25" t="str">
        <f t="array" ref="AG475">IF('Ingest Template'!A474="Standard",(CONCATENATE(IF(ISBLANK('Ingest Template'!O474),"", 'Ingest Template'!O474&amp;"|DAR"),CHAR(10), IF(ISBLANK('Ingest Template'!P474),"", 'Ingest Template'!P474&amp;"|DAR"),CHAR(10), IF(ISBLANK('Ingest Template'!Q474),"", 'Ingest Template'!Q474&amp;"|DAR"))),(CONCATENATE(IF(ISBLANK('Ingest Template'!O474),"", 'Ingest Template'!O474&amp;"|Operations - Core Title"),CHAR(10), IF(ISBLANK('Ingest Template'!P474),"", 'Ingest Template'!P474&amp;"|Operations - Core Title"),CHAR(10), IF(ISBLANK('Ingest Template'!Q474),"", 'Ingest Template'!Q474&amp;"|Operations - Core Title"))))</f>
        <v>#|Operations - Core Title
#videoGame|Operations - Core Title
</v>
      </c>
      <c r="AH475" s="25"/>
      <c r="AI475" s="25"/>
      <c r="AJ475" s="50" t="str">
        <f>if('Ingest Template'!A474="Standard",'Ingest Template'!R474&amp; "|DAR|DAR|2021-01-01",'Ingest Template'!R474&amp; "|Operations - Core Title|Operations - Core Title")</f>
        <v>#N/A</v>
      </c>
      <c r="AK475" s="25"/>
      <c r="AL475" s="25" t="str">
        <f>if('Ingest Template'!A474="Standard",'Ingest Template'!S474&amp; "|2021-01-01",'Ingest Template'!S474)</f>
        <v>#N/A</v>
      </c>
      <c r="AM475" s="25"/>
    </row>
    <row r="476">
      <c r="A476" s="25"/>
      <c r="B476" s="25" t="str">
        <f>'Ingest Template'!C475&amp;IF('Ingest Template'!A475 = "Standard", " - DAR","")</f>
        <v/>
      </c>
      <c r="C476" s="34" t="s">
        <v>92</v>
      </c>
      <c r="D476" s="34" t="str">
        <f>CONCATENATE('Ingest Template'!E476&amp;Char(10)&amp;'Ingest Template'!G476&amp;Char(10)&amp;'Ingest Template'!H476&amp;Char(10)&amp;'Ingest Template'!I476&amp;Char(10)&amp;'Ingest Template'!J476&amp;Char(10)&amp;'Ingest Template'!K476&amp;Char(10)&amp;'Ingest Template'!L476)</f>
        <v>
</v>
      </c>
      <c r="E476" s="25" t="str">
        <f>('Ingest Template'!M476)</f>
        <v/>
      </c>
      <c r="F476" s="40" t="str">
        <f t="array" ref="F476">INDEX(DropDown!$J$2:$J$63,MATCH(1,COUNTIF(E476,DropDown!$I$2:$I$63),0))</f>
        <v>#N/A</v>
      </c>
      <c r="G476" s="25"/>
      <c r="H476" s="25"/>
      <c r="I476" s="25"/>
      <c r="J476" s="25" t="str">
        <f>'Ingest Template'!B476</f>
        <v/>
      </c>
      <c r="K476" s="25" t="str">
        <f>IF('Ingest Template'!A475="Standard",'Ingest Template'!N475,"Competitive View")</f>
        <v>Competitive View</v>
      </c>
      <c r="L476" s="41" t="s">
        <v>145</v>
      </c>
      <c r="M476" s="25" t="str">
        <f>'Ingest Template'!D475</f>
        <v/>
      </c>
      <c r="N476" s="25"/>
      <c r="O476" s="25"/>
      <c r="P476" s="25"/>
      <c r="Q476" s="25"/>
      <c r="R476" s="25" t="str">
        <f>CONCATENATE('Ingest Template'!F475)</f>
        <v/>
      </c>
      <c r="S476" s="43" t="s">
        <v>160</v>
      </c>
      <c r="T476" s="25" t="str">
        <f>'Ingest Template'!W475</f>
        <v/>
      </c>
      <c r="U476" s="25"/>
      <c r="V476" s="25" t="str">
        <f>LOWER(SUBSTITUTE(SUBSTITUTE(SUBSTITUTE(SUBSTITUTE(SUBSTITUTE('Ingest Template'!Y475,"https:",""),"www.",""),"/",""),"?hl=en",""),"instagram.com",""))</f>
        <v/>
      </c>
      <c r="W476" s="34" t="str">
        <f>(IFERROR(vlookup('Ingest Template'!F476,DropDown!D:E,2,false)&amp;'Ingest Template'!C476,""))</f>
        <v/>
      </c>
      <c r="X476" s="25" t="str">
        <f>'Ingest Template'!AA475</f>
        <v/>
      </c>
      <c r="Y476" s="25"/>
      <c r="Z476" s="25"/>
      <c r="AA476" s="25"/>
      <c r="AB476" s="25" t="str">
        <f>'Ingest Template'!T475</f>
        <v/>
      </c>
      <c r="AC476" s="25"/>
      <c r="AD476" s="25" t="str">
        <f>'Ingest Template'!U475</f>
        <v/>
      </c>
      <c r="AE476" s="25" t="str">
        <f>'Ingest Template'!V475</f>
        <v/>
      </c>
      <c r="AF476" s="25"/>
      <c r="AG476" s="25" t="str">
        <f t="array" ref="AG476">IF('Ingest Template'!A475="Standard",(CONCATENATE(IF(ISBLANK('Ingest Template'!O475),"", 'Ingest Template'!O475&amp;"|DAR"),CHAR(10), IF(ISBLANK('Ingest Template'!P475),"", 'Ingest Template'!P475&amp;"|DAR"),CHAR(10), IF(ISBLANK('Ingest Template'!Q475),"", 'Ingest Template'!Q475&amp;"|DAR"))),(CONCATENATE(IF(ISBLANK('Ingest Template'!O475),"", 'Ingest Template'!O475&amp;"|Operations - Core Title"),CHAR(10), IF(ISBLANK('Ingest Template'!P475),"", 'Ingest Template'!P475&amp;"|Operations - Core Title"),CHAR(10), IF(ISBLANK('Ingest Template'!Q475),"", 'Ingest Template'!Q475&amp;"|Operations - Core Title"))))</f>
        <v>#|Operations - Core Title
#videoGame|Operations - Core Title
</v>
      </c>
      <c r="AH476" s="25"/>
      <c r="AI476" s="25"/>
      <c r="AJ476" s="50" t="str">
        <f>if('Ingest Template'!A475="Standard",'Ingest Template'!R475&amp; "|DAR|DAR|2021-01-01",'Ingest Template'!R475&amp; "|Operations - Core Title|Operations - Core Title")</f>
        <v>#N/A</v>
      </c>
      <c r="AK476" s="25"/>
      <c r="AL476" s="25" t="str">
        <f>if('Ingest Template'!A475="Standard",'Ingest Template'!S475&amp; "|2021-01-01",'Ingest Template'!S475)</f>
        <v>#N/A</v>
      </c>
      <c r="AM476" s="25"/>
    </row>
    <row r="477">
      <c r="A477" s="25"/>
      <c r="B477" s="25" t="str">
        <f>'Ingest Template'!C476&amp;IF('Ingest Template'!A476 = "Standard", " - DAR","")</f>
        <v/>
      </c>
      <c r="C477" s="34" t="s">
        <v>92</v>
      </c>
      <c r="D477" s="34" t="str">
        <f>CONCATENATE('Ingest Template'!E477&amp;Char(10)&amp;'Ingest Template'!G477&amp;Char(10)&amp;'Ingest Template'!H477&amp;Char(10)&amp;'Ingest Template'!I477&amp;Char(10)&amp;'Ingest Template'!J477&amp;Char(10)&amp;'Ingest Template'!K477&amp;Char(10)&amp;'Ingest Template'!L477)</f>
        <v>
</v>
      </c>
      <c r="E477" s="25" t="str">
        <f>('Ingest Template'!M477)</f>
        <v/>
      </c>
      <c r="F477" s="40" t="str">
        <f t="array" ref="F477">INDEX(DropDown!$J$2:$J$63,MATCH(1,COUNTIF(E477,DropDown!$I$2:$I$63),0))</f>
        <v>#N/A</v>
      </c>
      <c r="G477" s="25"/>
      <c r="H477" s="25"/>
      <c r="I477" s="25"/>
      <c r="J477" s="25" t="str">
        <f>'Ingest Template'!B477</f>
        <v/>
      </c>
      <c r="K477" s="25" t="str">
        <f>IF('Ingest Template'!A476="Standard",'Ingest Template'!N476,"Competitive View")</f>
        <v>Competitive View</v>
      </c>
      <c r="L477" s="41" t="s">
        <v>145</v>
      </c>
      <c r="M477" s="25" t="str">
        <f>'Ingest Template'!D476</f>
        <v/>
      </c>
      <c r="N477" s="25"/>
      <c r="O477" s="25"/>
      <c r="P477" s="25"/>
      <c r="Q477" s="25"/>
      <c r="R477" s="25" t="str">
        <f>CONCATENATE('Ingest Template'!F476)</f>
        <v/>
      </c>
      <c r="S477" s="43" t="s">
        <v>160</v>
      </c>
      <c r="T477" s="25" t="str">
        <f>'Ingest Template'!W476</f>
        <v/>
      </c>
      <c r="U477" s="25"/>
      <c r="V477" s="25" t="str">
        <f>LOWER(SUBSTITUTE(SUBSTITUTE(SUBSTITUTE(SUBSTITUTE(SUBSTITUTE('Ingest Template'!Y476,"https:",""),"www.",""),"/",""),"?hl=en",""),"instagram.com",""))</f>
        <v/>
      </c>
      <c r="W477" s="34" t="str">
        <f>(IFERROR(vlookup('Ingest Template'!F477,DropDown!D:E,2,false)&amp;'Ingest Template'!C477,""))</f>
        <v/>
      </c>
      <c r="X477" s="25" t="str">
        <f>'Ingest Template'!AA476</f>
        <v/>
      </c>
      <c r="Y477" s="25"/>
      <c r="Z477" s="25"/>
      <c r="AA477" s="25"/>
      <c r="AB477" s="25" t="str">
        <f>'Ingest Template'!T476</f>
        <v/>
      </c>
      <c r="AC477" s="25"/>
      <c r="AD477" s="25" t="str">
        <f>'Ingest Template'!U476</f>
        <v/>
      </c>
      <c r="AE477" s="25" t="str">
        <f>'Ingest Template'!V476</f>
        <v/>
      </c>
      <c r="AF477" s="25"/>
      <c r="AG477" s="25" t="str">
        <f t="array" ref="AG477">IF('Ingest Template'!A476="Standard",(CONCATENATE(IF(ISBLANK('Ingest Template'!O476),"", 'Ingest Template'!O476&amp;"|DAR"),CHAR(10), IF(ISBLANK('Ingest Template'!P476),"", 'Ingest Template'!P476&amp;"|DAR"),CHAR(10), IF(ISBLANK('Ingest Template'!Q476),"", 'Ingest Template'!Q476&amp;"|DAR"))),(CONCATENATE(IF(ISBLANK('Ingest Template'!O476),"", 'Ingest Template'!O476&amp;"|Operations - Core Title"),CHAR(10), IF(ISBLANK('Ingest Template'!P476),"", 'Ingest Template'!P476&amp;"|Operations - Core Title"),CHAR(10), IF(ISBLANK('Ingest Template'!Q476),"", 'Ingest Template'!Q476&amp;"|Operations - Core Title"))))</f>
        <v>#|Operations - Core Title
#videoGame|Operations - Core Title
</v>
      </c>
      <c r="AH477" s="25"/>
      <c r="AI477" s="25"/>
      <c r="AJ477" s="50" t="str">
        <f>if('Ingest Template'!A476="Standard",'Ingest Template'!R476&amp; "|DAR|DAR|2021-01-01",'Ingest Template'!R476&amp; "|Operations - Core Title|Operations - Core Title")</f>
        <v>#N/A</v>
      </c>
      <c r="AK477" s="25"/>
      <c r="AL477" s="25" t="str">
        <f>if('Ingest Template'!A476="Standard",'Ingest Template'!S476&amp; "|2021-01-01",'Ingest Template'!S476)</f>
        <v>#N/A</v>
      </c>
      <c r="AM477" s="25"/>
    </row>
    <row r="478">
      <c r="A478" s="25"/>
      <c r="B478" s="25" t="str">
        <f>'Ingest Template'!C477&amp;IF('Ingest Template'!A477 = "Standard", " - DAR","")</f>
        <v/>
      </c>
      <c r="C478" s="34" t="s">
        <v>92</v>
      </c>
      <c r="D478" s="34" t="str">
        <f>CONCATENATE('Ingest Template'!E478&amp;Char(10)&amp;'Ingest Template'!G478&amp;Char(10)&amp;'Ingest Template'!H478&amp;Char(10)&amp;'Ingest Template'!I478&amp;Char(10)&amp;'Ingest Template'!J478&amp;Char(10)&amp;'Ingest Template'!K478&amp;Char(10)&amp;'Ingest Template'!L478)</f>
        <v>
</v>
      </c>
      <c r="E478" s="25" t="str">
        <f>('Ingest Template'!M478)</f>
        <v/>
      </c>
      <c r="F478" s="40" t="str">
        <f t="array" ref="F478">INDEX(DropDown!$J$2:$J$63,MATCH(1,COUNTIF(E478,DropDown!$I$2:$I$63),0))</f>
        <v>#N/A</v>
      </c>
      <c r="G478" s="25"/>
      <c r="H478" s="25"/>
      <c r="I478" s="25"/>
      <c r="J478" s="25" t="str">
        <f>'Ingest Template'!B478</f>
        <v/>
      </c>
      <c r="K478" s="25" t="str">
        <f>IF('Ingest Template'!A477="Standard",'Ingest Template'!N477,"Competitive View")</f>
        <v>Competitive View</v>
      </c>
      <c r="L478" s="41" t="s">
        <v>145</v>
      </c>
      <c r="M478" s="25" t="str">
        <f>'Ingest Template'!D477</f>
        <v/>
      </c>
      <c r="N478" s="25"/>
      <c r="O478" s="25"/>
      <c r="P478" s="25"/>
      <c r="Q478" s="25"/>
      <c r="R478" s="25" t="str">
        <f>CONCATENATE('Ingest Template'!F477)</f>
        <v/>
      </c>
      <c r="S478" s="43" t="s">
        <v>160</v>
      </c>
      <c r="T478" s="25" t="str">
        <f>'Ingest Template'!W477</f>
        <v/>
      </c>
      <c r="U478" s="25"/>
      <c r="V478" s="25" t="str">
        <f>LOWER(SUBSTITUTE(SUBSTITUTE(SUBSTITUTE(SUBSTITUTE(SUBSTITUTE('Ingest Template'!Y477,"https:",""),"www.",""),"/",""),"?hl=en",""),"instagram.com",""))</f>
        <v/>
      </c>
      <c r="W478" s="34" t="str">
        <f>(IFERROR(vlookup('Ingest Template'!F478,DropDown!D:E,2,false)&amp;'Ingest Template'!C478,""))</f>
        <v/>
      </c>
      <c r="X478" s="25" t="str">
        <f>'Ingest Template'!AA477</f>
        <v/>
      </c>
      <c r="Y478" s="25"/>
      <c r="Z478" s="25"/>
      <c r="AA478" s="25"/>
      <c r="AB478" s="25" t="str">
        <f>'Ingest Template'!T477</f>
        <v/>
      </c>
      <c r="AC478" s="25"/>
      <c r="AD478" s="25" t="str">
        <f>'Ingest Template'!U477</f>
        <v/>
      </c>
      <c r="AE478" s="25" t="str">
        <f>'Ingest Template'!V477</f>
        <v/>
      </c>
      <c r="AF478" s="25"/>
      <c r="AG478" s="25" t="str">
        <f t="array" ref="AG478">IF('Ingest Template'!A477="Standard",(CONCATENATE(IF(ISBLANK('Ingest Template'!O477),"", 'Ingest Template'!O477&amp;"|DAR"),CHAR(10), IF(ISBLANK('Ingest Template'!P477),"", 'Ingest Template'!P477&amp;"|DAR"),CHAR(10), IF(ISBLANK('Ingest Template'!Q477),"", 'Ingest Template'!Q477&amp;"|DAR"))),(CONCATENATE(IF(ISBLANK('Ingest Template'!O477),"", 'Ingest Template'!O477&amp;"|Operations - Core Title"),CHAR(10), IF(ISBLANK('Ingest Template'!P477),"", 'Ingest Template'!P477&amp;"|Operations - Core Title"),CHAR(10), IF(ISBLANK('Ingest Template'!Q477),"", 'Ingest Template'!Q477&amp;"|Operations - Core Title"))))</f>
        <v>#|Operations - Core Title
#videoGame|Operations - Core Title
</v>
      </c>
      <c r="AH478" s="25"/>
      <c r="AI478" s="25"/>
      <c r="AJ478" s="50" t="str">
        <f>if('Ingest Template'!A477="Standard",'Ingest Template'!R477&amp; "|DAR|DAR|2021-01-01",'Ingest Template'!R477&amp; "|Operations - Core Title|Operations - Core Title")</f>
        <v>#N/A</v>
      </c>
      <c r="AK478" s="25"/>
      <c r="AL478" s="25" t="str">
        <f>if('Ingest Template'!A477="Standard",'Ingest Template'!S477&amp; "|2021-01-01",'Ingest Template'!S477)</f>
        <v>#N/A</v>
      </c>
      <c r="AM478" s="25"/>
    </row>
    <row r="479">
      <c r="A479" s="25"/>
      <c r="B479" s="25" t="str">
        <f>'Ingest Template'!C478&amp;IF('Ingest Template'!A478 = "Standard", " - DAR","")</f>
        <v/>
      </c>
      <c r="C479" s="34" t="s">
        <v>92</v>
      </c>
      <c r="D479" s="34" t="str">
        <f>CONCATENATE('Ingest Template'!E479&amp;Char(10)&amp;'Ingest Template'!G479&amp;Char(10)&amp;'Ingest Template'!H479&amp;Char(10)&amp;'Ingest Template'!I479&amp;Char(10)&amp;'Ingest Template'!J479&amp;Char(10)&amp;'Ingest Template'!K479&amp;Char(10)&amp;'Ingest Template'!L479)</f>
        <v>
</v>
      </c>
      <c r="E479" s="25" t="str">
        <f>('Ingest Template'!M479)</f>
        <v/>
      </c>
      <c r="F479" s="40" t="str">
        <f t="array" ref="F479">INDEX(DropDown!$J$2:$J$63,MATCH(1,COUNTIF(E479,DropDown!$I$2:$I$63),0))</f>
        <v>#N/A</v>
      </c>
      <c r="G479" s="25"/>
      <c r="H479" s="25"/>
      <c r="I479" s="25"/>
      <c r="J479" s="25" t="str">
        <f>'Ingest Template'!B479</f>
        <v/>
      </c>
      <c r="K479" s="25" t="str">
        <f>IF('Ingest Template'!A478="Standard",'Ingest Template'!N478,"Competitive View")</f>
        <v>Competitive View</v>
      </c>
      <c r="L479" s="41" t="s">
        <v>145</v>
      </c>
      <c r="M479" s="25" t="str">
        <f>'Ingest Template'!D478</f>
        <v/>
      </c>
      <c r="N479" s="25"/>
      <c r="O479" s="25"/>
      <c r="P479" s="25"/>
      <c r="Q479" s="25"/>
      <c r="R479" s="25" t="str">
        <f>CONCATENATE('Ingest Template'!F478)</f>
        <v/>
      </c>
      <c r="S479" s="43" t="s">
        <v>160</v>
      </c>
      <c r="T479" s="25" t="str">
        <f>'Ingest Template'!W478</f>
        <v/>
      </c>
      <c r="U479" s="25"/>
      <c r="V479" s="25" t="str">
        <f>LOWER(SUBSTITUTE(SUBSTITUTE(SUBSTITUTE(SUBSTITUTE(SUBSTITUTE('Ingest Template'!Y478,"https:",""),"www.",""),"/",""),"?hl=en",""),"instagram.com",""))</f>
        <v/>
      </c>
      <c r="W479" s="34" t="str">
        <f>(IFERROR(vlookup('Ingest Template'!F479,DropDown!D:E,2,false)&amp;'Ingest Template'!C479,""))</f>
        <v/>
      </c>
      <c r="X479" s="25" t="str">
        <f>'Ingest Template'!AA478</f>
        <v/>
      </c>
      <c r="Y479" s="25"/>
      <c r="Z479" s="25"/>
      <c r="AA479" s="25"/>
      <c r="AB479" s="25" t="str">
        <f>'Ingest Template'!T478</f>
        <v/>
      </c>
      <c r="AC479" s="25"/>
      <c r="AD479" s="25" t="str">
        <f>'Ingest Template'!U478</f>
        <v/>
      </c>
      <c r="AE479" s="25" t="str">
        <f>'Ingest Template'!V478</f>
        <v/>
      </c>
      <c r="AF479" s="25"/>
      <c r="AG479" s="25" t="str">
        <f t="array" ref="AG479">IF('Ingest Template'!A478="Standard",(CONCATENATE(IF(ISBLANK('Ingest Template'!O478),"", 'Ingest Template'!O478&amp;"|DAR"),CHAR(10), IF(ISBLANK('Ingest Template'!P478),"", 'Ingest Template'!P478&amp;"|DAR"),CHAR(10), IF(ISBLANK('Ingest Template'!Q478),"", 'Ingest Template'!Q478&amp;"|DAR"))),(CONCATENATE(IF(ISBLANK('Ingest Template'!O478),"", 'Ingest Template'!O478&amp;"|Operations - Core Title"),CHAR(10), IF(ISBLANK('Ingest Template'!P478),"", 'Ingest Template'!P478&amp;"|Operations - Core Title"),CHAR(10), IF(ISBLANK('Ingest Template'!Q478),"", 'Ingest Template'!Q478&amp;"|Operations - Core Title"))))</f>
        <v>#|Operations - Core Title
#videoGame|Operations - Core Title
</v>
      </c>
      <c r="AH479" s="25"/>
      <c r="AI479" s="25"/>
      <c r="AJ479" s="50" t="str">
        <f>if('Ingest Template'!A478="Standard",'Ingest Template'!R478&amp; "|DAR|DAR|2021-01-01",'Ingest Template'!R478&amp; "|Operations - Core Title|Operations - Core Title")</f>
        <v>#N/A</v>
      </c>
      <c r="AK479" s="25"/>
      <c r="AL479" s="25" t="str">
        <f>if('Ingest Template'!A478="Standard",'Ingest Template'!S478&amp; "|2021-01-01",'Ingest Template'!S478)</f>
        <v>#N/A</v>
      </c>
      <c r="AM479" s="25"/>
    </row>
    <row r="480">
      <c r="A480" s="25"/>
      <c r="B480" s="25" t="str">
        <f>'Ingest Template'!C479&amp;IF('Ingest Template'!A479 = "Standard", " - DAR","")</f>
        <v/>
      </c>
      <c r="C480" s="34" t="s">
        <v>92</v>
      </c>
      <c r="D480" s="34" t="str">
        <f>CONCATENATE('Ingest Template'!E480&amp;Char(10)&amp;'Ingest Template'!G480&amp;Char(10)&amp;'Ingest Template'!H480&amp;Char(10)&amp;'Ingest Template'!I480&amp;Char(10)&amp;'Ingest Template'!J480&amp;Char(10)&amp;'Ingest Template'!K480&amp;Char(10)&amp;'Ingest Template'!L480)</f>
        <v>
</v>
      </c>
      <c r="E480" s="25" t="str">
        <f>('Ingest Template'!M480)</f>
        <v/>
      </c>
      <c r="F480" s="40" t="str">
        <f t="array" ref="F480">INDEX(DropDown!$J$2:$J$63,MATCH(1,COUNTIF(E480,DropDown!$I$2:$I$63),0))</f>
        <v>#N/A</v>
      </c>
      <c r="G480" s="25"/>
      <c r="H480" s="25"/>
      <c r="I480" s="25"/>
      <c r="J480" s="25" t="str">
        <f>'Ingest Template'!B480</f>
        <v/>
      </c>
      <c r="K480" s="25" t="str">
        <f>IF('Ingest Template'!A479="Standard",'Ingest Template'!N479,"Competitive View")</f>
        <v>Competitive View</v>
      </c>
      <c r="L480" s="41" t="s">
        <v>145</v>
      </c>
      <c r="M480" s="25" t="str">
        <f>'Ingest Template'!D479</f>
        <v/>
      </c>
      <c r="N480" s="25"/>
      <c r="O480" s="25"/>
      <c r="P480" s="25"/>
      <c r="Q480" s="25"/>
      <c r="R480" s="25" t="str">
        <f>CONCATENATE('Ingest Template'!F479)</f>
        <v/>
      </c>
      <c r="S480" s="43" t="s">
        <v>160</v>
      </c>
      <c r="T480" s="25" t="str">
        <f>'Ingest Template'!W479</f>
        <v/>
      </c>
      <c r="U480" s="25"/>
      <c r="V480" s="25" t="str">
        <f>LOWER(SUBSTITUTE(SUBSTITUTE(SUBSTITUTE(SUBSTITUTE(SUBSTITUTE('Ingest Template'!Y479,"https:",""),"www.",""),"/",""),"?hl=en",""),"instagram.com",""))</f>
        <v/>
      </c>
      <c r="W480" s="34" t="str">
        <f>(IFERROR(vlookup('Ingest Template'!F480,DropDown!D:E,2,false)&amp;'Ingest Template'!C480,""))</f>
        <v/>
      </c>
      <c r="X480" s="25" t="str">
        <f>'Ingest Template'!AA479</f>
        <v/>
      </c>
      <c r="Y480" s="25"/>
      <c r="Z480" s="25"/>
      <c r="AA480" s="25"/>
      <c r="AB480" s="25" t="str">
        <f>'Ingest Template'!T479</f>
        <v/>
      </c>
      <c r="AC480" s="25"/>
      <c r="AD480" s="25" t="str">
        <f>'Ingest Template'!U479</f>
        <v/>
      </c>
      <c r="AE480" s="25" t="str">
        <f>'Ingest Template'!V479</f>
        <v/>
      </c>
      <c r="AF480" s="25"/>
      <c r="AG480" s="25" t="str">
        <f t="array" ref="AG480">IF('Ingest Template'!A479="Standard",(CONCATENATE(IF(ISBLANK('Ingest Template'!O479),"", 'Ingest Template'!O479&amp;"|DAR"),CHAR(10), IF(ISBLANK('Ingest Template'!P479),"", 'Ingest Template'!P479&amp;"|DAR"),CHAR(10), IF(ISBLANK('Ingest Template'!Q479),"", 'Ingest Template'!Q479&amp;"|DAR"))),(CONCATENATE(IF(ISBLANK('Ingest Template'!O479),"", 'Ingest Template'!O479&amp;"|Operations - Core Title"),CHAR(10), IF(ISBLANK('Ingest Template'!P479),"", 'Ingest Template'!P479&amp;"|Operations - Core Title"),CHAR(10), IF(ISBLANK('Ingest Template'!Q479),"", 'Ingest Template'!Q479&amp;"|Operations - Core Title"))))</f>
        <v>#|Operations - Core Title
#videoGame|Operations - Core Title
</v>
      </c>
      <c r="AH480" s="25"/>
      <c r="AI480" s="25"/>
      <c r="AJ480" s="50" t="str">
        <f>if('Ingest Template'!A479="Standard",'Ingest Template'!R479&amp; "|DAR|DAR|2021-01-01",'Ingest Template'!R479&amp; "|Operations - Core Title|Operations - Core Title")</f>
        <v>#N/A</v>
      </c>
      <c r="AK480" s="25"/>
      <c r="AL480" s="25" t="str">
        <f>if('Ingest Template'!A479="Standard",'Ingest Template'!S479&amp; "|2021-01-01",'Ingest Template'!S479)</f>
        <v>#N/A</v>
      </c>
      <c r="AM480" s="25"/>
    </row>
    <row r="481">
      <c r="A481" s="25"/>
      <c r="B481" s="25" t="str">
        <f>'Ingest Template'!C480&amp;IF('Ingest Template'!A480 = "Standard", " - DAR","")</f>
        <v/>
      </c>
      <c r="C481" s="34" t="s">
        <v>92</v>
      </c>
      <c r="D481" s="34" t="str">
        <f>CONCATENATE('Ingest Template'!E481&amp;Char(10)&amp;'Ingest Template'!G481&amp;Char(10)&amp;'Ingest Template'!H481&amp;Char(10)&amp;'Ingest Template'!I481&amp;Char(10)&amp;'Ingest Template'!J481&amp;Char(10)&amp;'Ingest Template'!K481&amp;Char(10)&amp;'Ingest Template'!L481)</f>
        <v>
</v>
      </c>
      <c r="E481" s="25" t="str">
        <f>('Ingest Template'!M481)</f>
        <v/>
      </c>
      <c r="F481" s="40" t="str">
        <f t="array" ref="F481">INDEX(DropDown!$J$2:$J$63,MATCH(1,COUNTIF(E481,DropDown!$I$2:$I$63),0))</f>
        <v>#N/A</v>
      </c>
      <c r="G481" s="25"/>
      <c r="H481" s="25"/>
      <c r="I481" s="25"/>
      <c r="J481" s="25" t="str">
        <f>'Ingest Template'!B481</f>
        <v/>
      </c>
      <c r="K481" s="25" t="str">
        <f>IF('Ingest Template'!A480="Standard",'Ingest Template'!N480,"Competitive View")</f>
        <v>Competitive View</v>
      </c>
      <c r="L481" s="41" t="s">
        <v>145</v>
      </c>
      <c r="M481" s="25" t="str">
        <f>'Ingest Template'!D480</f>
        <v/>
      </c>
      <c r="N481" s="25"/>
      <c r="O481" s="25"/>
      <c r="P481" s="25"/>
      <c r="Q481" s="25"/>
      <c r="R481" s="25" t="str">
        <f>CONCATENATE('Ingest Template'!F480)</f>
        <v/>
      </c>
      <c r="S481" s="43" t="s">
        <v>160</v>
      </c>
      <c r="T481" s="25" t="str">
        <f>'Ingest Template'!W480</f>
        <v/>
      </c>
      <c r="U481" s="25"/>
      <c r="V481" s="25" t="str">
        <f>LOWER(SUBSTITUTE(SUBSTITUTE(SUBSTITUTE(SUBSTITUTE(SUBSTITUTE('Ingest Template'!Y480,"https:",""),"www.",""),"/",""),"?hl=en",""),"instagram.com",""))</f>
        <v/>
      </c>
      <c r="W481" s="34" t="str">
        <f>(IFERROR(vlookup('Ingest Template'!F481,DropDown!D:E,2,false)&amp;'Ingest Template'!C481,""))</f>
        <v/>
      </c>
      <c r="X481" s="25" t="str">
        <f>'Ingest Template'!AA480</f>
        <v/>
      </c>
      <c r="Y481" s="25"/>
      <c r="Z481" s="25"/>
      <c r="AA481" s="25"/>
      <c r="AB481" s="25" t="str">
        <f>'Ingest Template'!T480</f>
        <v/>
      </c>
      <c r="AC481" s="25"/>
      <c r="AD481" s="25" t="str">
        <f>'Ingest Template'!U480</f>
        <v/>
      </c>
      <c r="AE481" s="25" t="str">
        <f>'Ingest Template'!V480</f>
        <v/>
      </c>
      <c r="AF481" s="25"/>
      <c r="AG481" s="25" t="str">
        <f t="array" ref="AG481">IF('Ingest Template'!A480="Standard",(CONCATENATE(IF(ISBLANK('Ingest Template'!O480),"", 'Ingest Template'!O480&amp;"|DAR"),CHAR(10), IF(ISBLANK('Ingest Template'!P480),"", 'Ingest Template'!P480&amp;"|DAR"),CHAR(10), IF(ISBLANK('Ingest Template'!Q480),"", 'Ingest Template'!Q480&amp;"|DAR"))),(CONCATENATE(IF(ISBLANK('Ingest Template'!O480),"", 'Ingest Template'!O480&amp;"|Operations - Core Title"),CHAR(10), IF(ISBLANK('Ingest Template'!P480),"", 'Ingest Template'!P480&amp;"|Operations - Core Title"),CHAR(10), IF(ISBLANK('Ingest Template'!Q480),"", 'Ingest Template'!Q480&amp;"|Operations - Core Title"))))</f>
        <v>#|Operations - Core Title
#videoGame|Operations - Core Title
</v>
      </c>
      <c r="AH481" s="25"/>
      <c r="AI481" s="25"/>
      <c r="AJ481" s="50" t="str">
        <f>if('Ingest Template'!A480="Standard",'Ingest Template'!R480&amp; "|DAR|DAR|2021-01-01",'Ingest Template'!R480&amp; "|Operations - Core Title|Operations - Core Title")</f>
        <v>#N/A</v>
      </c>
      <c r="AK481" s="25"/>
      <c r="AL481" s="25" t="str">
        <f>if('Ingest Template'!A480="Standard",'Ingest Template'!S480&amp; "|2021-01-01",'Ingest Template'!S480)</f>
        <v>#N/A</v>
      </c>
      <c r="AM481" s="25"/>
    </row>
    <row r="482">
      <c r="A482" s="25"/>
      <c r="B482" s="25" t="str">
        <f>'Ingest Template'!C481&amp;IF('Ingest Template'!A481 = "Standard", " - DAR","")</f>
        <v/>
      </c>
      <c r="C482" s="34" t="s">
        <v>92</v>
      </c>
      <c r="D482" s="34" t="str">
        <f>CONCATENATE('Ingest Template'!E482&amp;Char(10)&amp;'Ingest Template'!G482&amp;Char(10)&amp;'Ingest Template'!H482&amp;Char(10)&amp;'Ingest Template'!I482&amp;Char(10)&amp;'Ingest Template'!J482&amp;Char(10)&amp;'Ingest Template'!K482&amp;Char(10)&amp;'Ingest Template'!L482)</f>
        <v>
</v>
      </c>
      <c r="E482" s="25" t="str">
        <f>('Ingest Template'!M482)</f>
        <v/>
      </c>
      <c r="F482" s="40" t="str">
        <f t="array" ref="F482">INDEX(DropDown!$J$2:$J$63,MATCH(1,COUNTIF(E482,DropDown!$I$2:$I$63),0))</f>
        <v>#N/A</v>
      </c>
      <c r="G482" s="25"/>
      <c r="H482" s="25"/>
      <c r="I482" s="25"/>
      <c r="J482" s="25" t="str">
        <f>'Ingest Template'!B482</f>
        <v/>
      </c>
      <c r="K482" s="25" t="str">
        <f>IF('Ingest Template'!A481="Standard",'Ingest Template'!N481,"Competitive View")</f>
        <v>Competitive View</v>
      </c>
      <c r="L482" s="41" t="s">
        <v>145</v>
      </c>
      <c r="M482" s="25" t="str">
        <f>'Ingest Template'!D481</f>
        <v/>
      </c>
      <c r="N482" s="25"/>
      <c r="O482" s="25"/>
      <c r="P482" s="25"/>
      <c r="Q482" s="25"/>
      <c r="R482" s="25" t="str">
        <f>CONCATENATE('Ingest Template'!F481)</f>
        <v/>
      </c>
      <c r="S482" s="43" t="s">
        <v>160</v>
      </c>
      <c r="T482" s="25" t="str">
        <f>'Ingest Template'!W481</f>
        <v/>
      </c>
      <c r="U482" s="25"/>
      <c r="V482" s="25" t="str">
        <f>LOWER(SUBSTITUTE(SUBSTITUTE(SUBSTITUTE(SUBSTITUTE(SUBSTITUTE('Ingest Template'!Y481,"https:",""),"www.",""),"/",""),"?hl=en",""),"instagram.com",""))</f>
        <v/>
      </c>
      <c r="W482" s="34" t="str">
        <f>(IFERROR(vlookup('Ingest Template'!F482,DropDown!D:E,2,false)&amp;'Ingest Template'!C482,""))</f>
        <v/>
      </c>
      <c r="X482" s="25" t="str">
        <f>'Ingest Template'!AA481</f>
        <v/>
      </c>
      <c r="Y482" s="25"/>
      <c r="Z482" s="25"/>
      <c r="AA482" s="25"/>
      <c r="AB482" s="25" t="str">
        <f>'Ingest Template'!T481</f>
        <v/>
      </c>
      <c r="AC482" s="25"/>
      <c r="AD482" s="25" t="str">
        <f>'Ingest Template'!U481</f>
        <v/>
      </c>
      <c r="AE482" s="25" t="str">
        <f>'Ingest Template'!V481</f>
        <v/>
      </c>
      <c r="AF482" s="25"/>
      <c r="AG482" s="25" t="str">
        <f t="array" ref="AG482">IF('Ingest Template'!A481="Standard",(CONCATENATE(IF(ISBLANK('Ingest Template'!O481),"", 'Ingest Template'!O481&amp;"|DAR"),CHAR(10), IF(ISBLANK('Ingest Template'!P481),"", 'Ingest Template'!P481&amp;"|DAR"),CHAR(10), IF(ISBLANK('Ingest Template'!Q481),"", 'Ingest Template'!Q481&amp;"|DAR"))),(CONCATENATE(IF(ISBLANK('Ingest Template'!O481),"", 'Ingest Template'!O481&amp;"|Operations - Core Title"),CHAR(10), IF(ISBLANK('Ingest Template'!P481),"", 'Ingest Template'!P481&amp;"|Operations - Core Title"),CHAR(10), IF(ISBLANK('Ingest Template'!Q481),"", 'Ingest Template'!Q481&amp;"|Operations - Core Title"))))</f>
        <v>#|Operations - Core Title
#videoGame|Operations - Core Title
</v>
      </c>
      <c r="AH482" s="25"/>
      <c r="AI482" s="25"/>
      <c r="AJ482" s="50" t="str">
        <f>if('Ingest Template'!A481="Standard",'Ingest Template'!R481&amp; "|DAR|DAR|2021-01-01",'Ingest Template'!R481&amp; "|Operations - Core Title|Operations - Core Title")</f>
        <v>#N/A</v>
      </c>
      <c r="AK482" s="25"/>
      <c r="AL482" s="25" t="str">
        <f>if('Ingest Template'!A481="Standard",'Ingest Template'!S481&amp; "|2021-01-01",'Ingest Template'!S481)</f>
        <v>#N/A</v>
      </c>
      <c r="AM482" s="25"/>
    </row>
    <row r="483">
      <c r="A483" s="25"/>
      <c r="B483" s="25" t="str">
        <f>'Ingest Template'!C482&amp;IF('Ingest Template'!A482 = "Standard", " - DAR","")</f>
        <v/>
      </c>
      <c r="C483" s="34" t="s">
        <v>92</v>
      </c>
      <c r="D483" s="34" t="str">
        <f>CONCATENATE('Ingest Template'!E483&amp;Char(10)&amp;'Ingest Template'!G483&amp;Char(10)&amp;'Ingest Template'!H483&amp;Char(10)&amp;'Ingest Template'!I483&amp;Char(10)&amp;'Ingest Template'!J483&amp;Char(10)&amp;'Ingest Template'!K483&amp;Char(10)&amp;'Ingest Template'!L483)</f>
        <v>
</v>
      </c>
      <c r="E483" s="25" t="str">
        <f>('Ingest Template'!M483)</f>
        <v/>
      </c>
      <c r="F483" s="40" t="str">
        <f t="array" ref="F483">INDEX(DropDown!$J$2:$J$63,MATCH(1,COUNTIF(E483,DropDown!$I$2:$I$63),0))</f>
        <v>#N/A</v>
      </c>
      <c r="G483" s="25"/>
      <c r="H483" s="25"/>
      <c r="I483" s="25"/>
      <c r="J483" s="25" t="str">
        <f>'Ingest Template'!B483</f>
        <v/>
      </c>
      <c r="K483" s="25" t="str">
        <f>IF('Ingest Template'!A482="Standard",'Ingest Template'!N482,"Competitive View")</f>
        <v>Competitive View</v>
      </c>
      <c r="L483" s="41" t="s">
        <v>145</v>
      </c>
      <c r="M483" s="25" t="str">
        <f>'Ingest Template'!D482</f>
        <v/>
      </c>
      <c r="N483" s="25"/>
      <c r="O483" s="25"/>
      <c r="P483" s="25"/>
      <c r="Q483" s="25"/>
      <c r="R483" s="25" t="str">
        <f>CONCATENATE('Ingest Template'!F482)</f>
        <v/>
      </c>
      <c r="S483" s="43" t="s">
        <v>160</v>
      </c>
      <c r="T483" s="25" t="str">
        <f>'Ingest Template'!W482</f>
        <v/>
      </c>
      <c r="U483" s="25"/>
      <c r="V483" s="25" t="str">
        <f>LOWER(SUBSTITUTE(SUBSTITUTE(SUBSTITUTE(SUBSTITUTE(SUBSTITUTE('Ingest Template'!Y482,"https:",""),"www.",""),"/",""),"?hl=en",""),"instagram.com",""))</f>
        <v/>
      </c>
      <c r="W483" s="34" t="str">
        <f>(IFERROR(vlookup('Ingest Template'!F483,DropDown!D:E,2,false)&amp;'Ingest Template'!C483,""))</f>
        <v/>
      </c>
      <c r="X483" s="25" t="str">
        <f>'Ingest Template'!AA482</f>
        <v/>
      </c>
      <c r="Y483" s="25"/>
      <c r="Z483" s="25"/>
      <c r="AA483" s="25"/>
      <c r="AB483" s="25" t="str">
        <f>'Ingest Template'!T482</f>
        <v/>
      </c>
      <c r="AC483" s="25"/>
      <c r="AD483" s="25" t="str">
        <f>'Ingest Template'!U482</f>
        <v/>
      </c>
      <c r="AE483" s="25" t="str">
        <f>'Ingest Template'!V482</f>
        <v/>
      </c>
      <c r="AF483" s="25"/>
      <c r="AG483" s="25" t="str">
        <f t="array" ref="AG483">IF('Ingest Template'!A482="Standard",(CONCATENATE(IF(ISBLANK('Ingest Template'!O482),"", 'Ingest Template'!O482&amp;"|DAR"),CHAR(10), IF(ISBLANK('Ingest Template'!P482),"", 'Ingest Template'!P482&amp;"|DAR"),CHAR(10), IF(ISBLANK('Ingest Template'!Q482),"", 'Ingest Template'!Q482&amp;"|DAR"))),(CONCATENATE(IF(ISBLANK('Ingest Template'!O482),"", 'Ingest Template'!O482&amp;"|Operations - Core Title"),CHAR(10), IF(ISBLANK('Ingest Template'!P482),"", 'Ingest Template'!P482&amp;"|Operations - Core Title"),CHAR(10), IF(ISBLANK('Ingest Template'!Q482),"", 'Ingest Template'!Q482&amp;"|Operations - Core Title"))))</f>
        <v>#|Operations - Core Title
#videoGame|Operations - Core Title
</v>
      </c>
      <c r="AH483" s="25"/>
      <c r="AI483" s="25"/>
      <c r="AJ483" s="50" t="str">
        <f>if('Ingest Template'!A482="Standard",'Ingest Template'!R482&amp; "|DAR|DAR|2021-01-01",'Ingest Template'!R482&amp; "|Operations - Core Title|Operations - Core Title")</f>
        <v>#N/A</v>
      </c>
      <c r="AK483" s="25"/>
      <c r="AL483" s="25" t="str">
        <f>if('Ingest Template'!A482="Standard",'Ingest Template'!S482&amp; "|2021-01-01",'Ingest Template'!S482)</f>
        <v>#N/A</v>
      </c>
      <c r="AM483" s="25"/>
    </row>
    <row r="484">
      <c r="A484" s="25"/>
      <c r="B484" s="25" t="str">
        <f>'Ingest Template'!C483&amp;IF('Ingest Template'!A483 = "Standard", " - DAR","")</f>
        <v/>
      </c>
      <c r="C484" s="34" t="s">
        <v>92</v>
      </c>
      <c r="D484" s="34" t="str">
        <f>CONCATENATE('Ingest Template'!E484&amp;Char(10)&amp;'Ingest Template'!G484&amp;Char(10)&amp;'Ingest Template'!H484&amp;Char(10)&amp;'Ingest Template'!I484&amp;Char(10)&amp;'Ingest Template'!J484&amp;Char(10)&amp;'Ingest Template'!K484&amp;Char(10)&amp;'Ingest Template'!L484)</f>
        <v>
</v>
      </c>
      <c r="E484" s="25" t="str">
        <f>('Ingest Template'!M484)</f>
        <v/>
      </c>
      <c r="F484" s="40" t="str">
        <f t="array" ref="F484">INDEX(DropDown!$J$2:$J$63,MATCH(1,COUNTIF(E484,DropDown!$I$2:$I$63),0))</f>
        <v>#N/A</v>
      </c>
      <c r="G484" s="25"/>
      <c r="H484" s="25"/>
      <c r="I484" s="25"/>
      <c r="J484" s="25" t="str">
        <f>'Ingest Template'!B484</f>
        <v/>
      </c>
      <c r="K484" s="25" t="str">
        <f>IF('Ingest Template'!A483="Standard",'Ingest Template'!N483,"Competitive View")</f>
        <v>Competitive View</v>
      </c>
      <c r="L484" s="41" t="s">
        <v>145</v>
      </c>
      <c r="M484" s="25" t="str">
        <f>'Ingest Template'!D483</f>
        <v/>
      </c>
      <c r="N484" s="25"/>
      <c r="O484" s="25"/>
      <c r="P484" s="25"/>
      <c r="Q484" s="25"/>
      <c r="R484" s="25" t="str">
        <f>CONCATENATE('Ingest Template'!F483)</f>
        <v/>
      </c>
      <c r="S484" s="43" t="s">
        <v>160</v>
      </c>
      <c r="T484" s="25" t="str">
        <f>'Ingest Template'!W483</f>
        <v/>
      </c>
      <c r="U484" s="25"/>
      <c r="V484" s="25" t="str">
        <f>LOWER(SUBSTITUTE(SUBSTITUTE(SUBSTITUTE(SUBSTITUTE(SUBSTITUTE('Ingest Template'!Y483,"https:",""),"www.",""),"/",""),"?hl=en",""),"instagram.com",""))</f>
        <v/>
      </c>
      <c r="W484" s="34" t="str">
        <f>(IFERROR(vlookup('Ingest Template'!F484,DropDown!D:E,2,false)&amp;'Ingest Template'!C484,""))</f>
        <v/>
      </c>
      <c r="X484" s="25" t="str">
        <f>'Ingest Template'!AA483</f>
        <v/>
      </c>
      <c r="Y484" s="25"/>
      <c r="Z484" s="25"/>
      <c r="AA484" s="25"/>
      <c r="AB484" s="25" t="str">
        <f>'Ingest Template'!T483</f>
        <v/>
      </c>
      <c r="AC484" s="25"/>
      <c r="AD484" s="25" t="str">
        <f>'Ingest Template'!U483</f>
        <v/>
      </c>
      <c r="AE484" s="25" t="str">
        <f>'Ingest Template'!V483</f>
        <v/>
      </c>
      <c r="AF484" s="25"/>
      <c r="AG484" s="25" t="str">
        <f t="array" ref="AG484">IF('Ingest Template'!A483="Standard",(CONCATENATE(IF(ISBLANK('Ingest Template'!O483),"", 'Ingest Template'!O483&amp;"|DAR"),CHAR(10), IF(ISBLANK('Ingest Template'!P483),"", 'Ingest Template'!P483&amp;"|DAR"),CHAR(10), IF(ISBLANK('Ingest Template'!Q483),"", 'Ingest Template'!Q483&amp;"|DAR"))),(CONCATENATE(IF(ISBLANK('Ingest Template'!O483),"", 'Ingest Template'!O483&amp;"|Operations - Core Title"),CHAR(10), IF(ISBLANK('Ingest Template'!P483),"", 'Ingest Template'!P483&amp;"|Operations - Core Title"),CHAR(10), IF(ISBLANK('Ingest Template'!Q483),"", 'Ingest Template'!Q483&amp;"|Operations - Core Title"))))</f>
        <v>#|Operations - Core Title
#videoGame|Operations - Core Title
</v>
      </c>
      <c r="AH484" s="25"/>
      <c r="AI484" s="25"/>
      <c r="AJ484" s="50" t="str">
        <f>if('Ingest Template'!A483="Standard",'Ingest Template'!R483&amp; "|DAR|DAR|2021-01-01",'Ingest Template'!R483&amp; "|Operations - Core Title|Operations - Core Title")</f>
        <v>#N/A</v>
      </c>
      <c r="AK484" s="25"/>
      <c r="AL484" s="25" t="str">
        <f>if('Ingest Template'!A483="Standard",'Ingest Template'!S483&amp; "|2021-01-01",'Ingest Template'!S483)</f>
        <v>#N/A</v>
      </c>
      <c r="AM484" s="25"/>
    </row>
    <row r="485">
      <c r="A485" s="25"/>
      <c r="B485" s="25" t="str">
        <f>'Ingest Template'!C484&amp;IF('Ingest Template'!A484 = "Standard", " - DAR","")</f>
        <v/>
      </c>
      <c r="C485" s="34" t="s">
        <v>92</v>
      </c>
      <c r="D485" s="34" t="str">
        <f>CONCATENATE('Ingest Template'!E485&amp;Char(10)&amp;'Ingest Template'!G485&amp;Char(10)&amp;'Ingest Template'!H485&amp;Char(10)&amp;'Ingest Template'!I485&amp;Char(10)&amp;'Ingest Template'!J485&amp;Char(10)&amp;'Ingest Template'!K485&amp;Char(10)&amp;'Ingest Template'!L485)</f>
        <v>
</v>
      </c>
      <c r="E485" s="25" t="str">
        <f>('Ingest Template'!M485)</f>
        <v/>
      </c>
      <c r="F485" s="40" t="str">
        <f t="array" ref="F485">INDEX(DropDown!$J$2:$J$63,MATCH(1,COUNTIF(E485,DropDown!$I$2:$I$63),0))</f>
        <v>#N/A</v>
      </c>
      <c r="G485" s="25"/>
      <c r="H485" s="25"/>
      <c r="I485" s="25"/>
      <c r="J485" s="25" t="str">
        <f>'Ingest Template'!B485</f>
        <v/>
      </c>
      <c r="K485" s="25" t="str">
        <f>IF('Ingest Template'!A484="Standard",'Ingest Template'!N484,"Competitive View")</f>
        <v>Competitive View</v>
      </c>
      <c r="L485" s="41" t="s">
        <v>145</v>
      </c>
      <c r="M485" s="25" t="str">
        <f>'Ingest Template'!D484</f>
        <v/>
      </c>
      <c r="N485" s="25"/>
      <c r="O485" s="25"/>
      <c r="P485" s="25"/>
      <c r="Q485" s="25"/>
      <c r="R485" s="25" t="str">
        <f>CONCATENATE('Ingest Template'!F484)</f>
        <v/>
      </c>
      <c r="S485" s="43" t="s">
        <v>160</v>
      </c>
      <c r="T485" s="25" t="str">
        <f>'Ingest Template'!W484</f>
        <v/>
      </c>
      <c r="U485" s="25"/>
      <c r="V485" s="25" t="str">
        <f>LOWER(SUBSTITUTE(SUBSTITUTE(SUBSTITUTE(SUBSTITUTE(SUBSTITUTE('Ingest Template'!Y484,"https:",""),"www.",""),"/",""),"?hl=en",""),"instagram.com",""))</f>
        <v/>
      </c>
      <c r="W485" s="34" t="str">
        <f>(IFERROR(vlookup('Ingest Template'!F485,DropDown!D:E,2,false)&amp;'Ingest Template'!C485,""))</f>
        <v/>
      </c>
      <c r="X485" s="25" t="str">
        <f>'Ingest Template'!AA484</f>
        <v/>
      </c>
      <c r="Y485" s="25"/>
      <c r="Z485" s="25"/>
      <c r="AA485" s="25"/>
      <c r="AB485" s="25" t="str">
        <f>'Ingest Template'!T484</f>
        <v/>
      </c>
      <c r="AC485" s="25"/>
      <c r="AD485" s="25" t="str">
        <f>'Ingest Template'!U484</f>
        <v/>
      </c>
      <c r="AE485" s="25" t="str">
        <f>'Ingest Template'!V484</f>
        <v/>
      </c>
      <c r="AF485" s="25"/>
      <c r="AG485" s="25" t="str">
        <f t="array" ref="AG485">IF('Ingest Template'!A484="Standard",(CONCATENATE(IF(ISBLANK('Ingest Template'!O484),"", 'Ingest Template'!O484&amp;"|DAR"),CHAR(10), IF(ISBLANK('Ingest Template'!P484),"", 'Ingest Template'!P484&amp;"|DAR"),CHAR(10), IF(ISBLANK('Ingest Template'!Q484),"", 'Ingest Template'!Q484&amp;"|DAR"))),(CONCATENATE(IF(ISBLANK('Ingest Template'!O484),"", 'Ingest Template'!O484&amp;"|Operations - Core Title"),CHAR(10), IF(ISBLANK('Ingest Template'!P484),"", 'Ingest Template'!P484&amp;"|Operations - Core Title"),CHAR(10), IF(ISBLANK('Ingest Template'!Q484),"", 'Ingest Template'!Q484&amp;"|Operations - Core Title"))))</f>
        <v>#|Operations - Core Title
#videoGame|Operations - Core Title
</v>
      </c>
      <c r="AH485" s="25"/>
      <c r="AI485" s="25"/>
      <c r="AJ485" s="50" t="str">
        <f>if('Ingest Template'!A484="Standard",'Ingest Template'!R484&amp; "|DAR|DAR|2021-01-01",'Ingest Template'!R484&amp; "|Operations - Core Title|Operations - Core Title")</f>
        <v>#N/A</v>
      </c>
      <c r="AK485" s="25"/>
      <c r="AL485" s="25" t="str">
        <f>if('Ingest Template'!A484="Standard",'Ingest Template'!S484&amp; "|2021-01-01",'Ingest Template'!S484)</f>
        <v>#N/A</v>
      </c>
      <c r="AM485" s="25"/>
    </row>
    <row r="486">
      <c r="A486" s="25"/>
      <c r="B486" s="25" t="str">
        <f>'Ingest Template'!C485&amp;IF('Ingest Template'!A485 = "Standard", " - DAR","")</f>
        <v/>
      </c>
      <c r="C486" s="34" t="s">
        <v>92</v>
      </c>
      <c r="D486" s="34" t="str">
        <f>CONCATENATE('Ingest Template'!E486&amp;Char(10)&amp;'Ingest Template'!G486&amp;Char(10)&amp;'Ingest Template'!H486&amp;Char(10)&amp;'Ingest Template'!I486&amp;Char(10)&amp;'Ingest Template'!J486&amp;Char(10)&amp;'Ingest Template'!K486&amp;Char(10)&amp;'Ingest Template'!L486)</f>
        <v>
</v>
      </c>
      <c r="E486" s="25" t="str">
        <f>('Ingest Template'!M486)</f>
        <v/>
      </c>
      <c r="F486" s="40" t="str">
        <f t="array" ref="F486">INDEX(DropDown!$J$2:$J$63,MATCH(1,COUNTIF(E486,DropDown!$I$2:$I$63),0))</f>
        <v>#N/A</v>
      </c>
      <c r="G486" s="25"/>
      <c r="H486" s="25"/>
      <c r="I486" s="25"/>
      <c r="J486" s="25" t="str">
        <f>'Ingest Template'!B486</f>
        <v/>
      </c>
      <c r="K486" s="25" t="str">
        <f>IF('Ingest Template'!A485="Standard",'Ingest Template'!N485,"Competitive View")</f>
        <v>Competitive View</v>
      </c>
      <c r="L486" s="41" t="s">
        <v>145</v>
      </c>
      <c r="M486" s="25" t="str">
        <f>'Ingest Template'!D485</f>
        <v/>
      </c>
      <c r="N486" s="25"/>
      <c r="O486" s="25"/>
      <c r="P486" s="25"/>
      <c r="Q486" s="25"/>
      <c r="R486" s="25" t="str">
        <f>CONCATENATE('Ingest Template'!F485)</f>
        <v/>
      </c>
      <c r="S486" s="43" t="s">
        <v>160</v>
      </c>
      <c r="T486" s="25" t="str">
        <f>'Ingest Template'!W485</f>
        <v/>
      </c>
      <c r="U486" s="25"/>
      <c r="V486" s="25" t="str">
        <f>LOWER(SUBSTITUTE(SUBSTITUTE(SUBSTITUTE(SUBSTITUTE(SUBSTITUTE('Ingest Template'!Y485,"https:",""),"www.",""),"/",""),"?hl=en",""),"instagram.com",""))</f>
        <v/>
      </c>
      <c r="W486" s="34" t="str">
        <f>(IFERROR(vlookup('Ingest Template'!F486,DropDown!D:E,2,false)&amp;'Ingest Template'!C486,""))</f>
        <v/>
      </c>
      <c r="X486" s="25" t="str">
        <f>'Ingest Template'!AA485</f>
        <v/>
      </c>
      <c r="Y486" s="25"/>
      <c r="Z486" s="25"/>
      <c r="AA486" s="25"/>
      <c r="AB486" s="25" t="str">
        <f>'Ingest Template'!T485</f>
        <v/>
      </c>
      <c r="AC486" s="25"/>
      <c r="AD486" s="25" t="str">
        <f>'Ingest Template'!U485</f>
        <v/>
      </c>
      <c r="AE486" s="25" t="str">
        <f>'Ingest Template'!V485</f>
        <v/>
      </c>
      <c r="AF486" s="25"/>
      <c r="AG486" s="25" t="str">
        <f t="array" ref="AG486">IF('Ingest Template'!A485="Standard",(CONCATENATE(IF(ISBLANK('Ingest Template'!O485),"", 'Ingest Template'!O485&amp;"|DAR"),CHAR(10), IF(ISBLANK('Ingest Template'!P485),"", 'Ingest Template'!P485&amp;"|DAR"),CHAR(10), IF(ISBLANK('Ingest Template'!Q485),"", 'Ingest Template'!Q485&amp;"|DAR"))),(CONCATENATE(IF(ISBLANK('Ingest Template'!O485),"", 'Ingest Template'!O485&amp;"|Operations - Core Title"),CHAR(10), IF(ISBLANK('Ingest Template'!P485),"", 'Ingest Template'!P485&amp;"|Operations - Core Title"),CHAR(10), IF(ISBLANK('Ingest Template'!Q485),"", 'Ingest Template'!Q485&amp;"|Operations - Core Title"))))</f>
        <v>#|Operations - Core Title
#videoGame|Operations - Core Title
</v>
      </c>
      <c r="AH486" s="25"/>
      <c r="AI486" s="25"/>
      <c r="AJ486" s="50" t="str">
        <f>if('Ingest Template'!A485="Standard",'Ingest Template'!R485&amp; "|DAR|DAR|2021-01-01",'Ingest Template'!R485&amp; "|Operations - Core Title|Operations - Core Title")</f>
        <v>#N/A</v>
      </c>
      <c r="AK486" s="25"/>
      <c r="AL486" s="25" t="str">
        <f>if('Ingest Template'!A485="Standard",'Ingest Template'!S485&amp; "|2021-01-01",'Ingest Template'!S485)</f>
        <v>#N/A</v>
      </c>
      <c r="AM486" s="25"/>
    </row>
    <row r="487">
      <c r="A487" s="25"/>
      <c r="B487" s="25" t="str">
        <f>'Ingest Template'!C486&amp;IF('Ingest Template'!A486 = "Standard", " - DAR","")</f>
        <v/>
      </c>
      <c r="C487" s="34" t="s">
        <v>92</v>
      </c>
      <c r="D487" s="34" t="str">
        <f>CONCATENATE('Ingest Template'!E487&amp;Char(10)&amp;'Ingest Template'!G487&amp;Char(10)&amp;'Ingest Template'!H487&amp;Char(10)&amp;'Ingest Template'!I487&amp;Char(10)&amp;'Ingest Template'!J487&amp;Char(10)&amp;'Ingest Template'!K487&amp;Char(10)&amp;'Ingest Template'!L487)</f>
        <v>
</v>
      </c>
      <c r="E487" s="25" t="str">
        <f>('Ingest Template'!M487)</f>
        <v/>
      </c>
      <c r="F487" s="40" t="str">
        <f t="array" ref="F487">INDEX(DropDown!$J$2:$J$63,MATCH(1,COUNTIF(E487,DropDown!$I$2:$I$63),0))</f>
        <v>#N/A</v>
      </c>
      <c r="G487" s="25"/>
      <c r="H487" s="25"/>
      <c r="I487" s="25"/>
      <c r="J487" s="25" t="str">
        <f>'Ingest Template'!B487</f>
        <v/>
      </c>
      <c r="K487" s="25" t="str">
        <f>IF('Ingest Template'!A486="Standard",'Ingest Template'!N486,"Competitive View")</f>
        <v>Competitive View</v>
      </c>
      <c r="L487" s="41" t="s">
        <v>145</v>
      </c>
      <c r="M487" s="25" t="str">
        <f>'Ingest Template'!D486</f>
        <v/>
      </c>
      <c r="N487" s="25"/>
      <c r="O487" s="25"/>
      <c r="P487" s="25"/>
      <c r="Q487" s="25"/>
      <c r="R487" s="25" t="str">
        <f>CONCATENATE('Ingest Template'!F486)</f>
        <v/>
      </c>
      <c r="S487" s="43" t="s">
        <v>160</v>
      </c>
      <c r="T487" s="25" t="str">
        <f>'Ingest Template'!W486</f>
        <v/>
      </c>
      <c r="U487" s="25"/>
      <c r="V487" s="25" t="str">
        <f>LOWER(SUBSTITUTE(SUBSTITUTE(SUBSTITUTE(SUBSTITUTE(SUBSTITUTE('Ingest Template'!Y486,"https:",""),"www.",""),"/",""),"?hl=en",""),"instagram.com",""))</f>
        <v/>
      </c>
      <c r="W487" s="34" t="str">
        <f>(IFERROR(vlookup('Ingest Template'!F487,DropDown!D:E,2,false)&amp;'Ingest Template'!C487,""))</f>
        <v/>
      </c>
      <c r="X487" s="25" t="str">
        <f>'Ingest Template'!AA486</f>
        <v/>
      </c>
      <c r="Y487" s="25"/>
      <c r="Z487" s="25"/>
      <c r="AA487" s="25"/>
      <c r="AB487" s="25" t="str">
        <f>'Ingest Template'!T486</f>
        <v/>
      </c>
      <c r="AC487" s="25"/>
      <c r="AD487" s="25" t="str">
        <f>'Ingest Template'!U486</f>
        <v/>
      </c>
      <c r="AE487" s="25" t="str">
        <f>'Ingest Template'!V486</f>
        <v/>
      </c>
      <c r="AF487" s="25"/>
      <c r="AG487" s="25" t="str">
        <f t="array" ref="AG487">IF('Ingest Template'!A486="Standard",(CONCATENATE(IF(ISBLANK('Ingest Template'!O486),"", 'Ingest Template'!O486&amp;"|DAR"),CHAR(10), IF(ISBLANK('Ingest Template'!P486),"", 'Ingest Template'!P486&amp;"|DAR"),CHAR(10), IF(ISBLANK('Ingest Template'!Q486),"", 'Ingest Template'!Q486&amp;"|DAR"))),(CONCATENATE(IF(ISBLANK('Ingest Template'!O486),"", 'Ingest Template'!O486&amp;"|Operations - Core Title"),CHAR(10), IF(ISBLANK('Ingest Template'!P486),"", 'Ingest Template'!P486&amp;"|Operations - Core Title"),CHAR(10), IF(ISBLANK('Ingest Template'!Q486),"", 'Ingest Template'!Q486&amp;"|Operations - Core Title"))))</f>
        <v>#|Operations - Core Title
#videoGame|Operations - Core Title
</v>
      </c>
      <c r="AH487" s="25"/>
      <c r="AI487" s="25"/>
      <c r="AJ487" s="50" t="str">
        <f>if('Ingest Template'!A486="Standard",'Ingest Template'!R486&amp; "|DAR|DAR|2021-01-01",'Ingest Template'!R486&amp; "|Operations - Core Title|Operations - Core Title")</f>
        <v>#N/A</v>
      </c>
      <c r="AK487" s="25"/>
      <c r="AL487" s="25" t="str">
        <f>if('Ingest Template'!A486="Standard",'Ingest Template'!S486&amp; "|2021-01-01",'Ingest Template'!S486)</f>
        <v>#N/A</v>
      </c>
      <c r="AM487" s="25"/>
    </row>
    <row r="488">
      <c r="A488" s="25"/>
      <c r="B488" s="25" t="str">
        <f>'Ingest Template'!C487&amp;IF('Ingest Template'!A487 = "Standard", " - DAR","")</f>
        <v/>
      </c>
      <c r="C488" s="34" t="s">
        <v>92</v>
      </c>
      <c r="D488" s="34" t="str">
        <f>CONCATENATE('Ingest Template'!E488&amp;Char(10)&amp;'Ingest Template'!G488&amp;Char(10)&amp;'Ingest Template'!H488&amp;Char(10)&amp;'Ingest Template'!I488&amp;Char(10)&amp;'Ingest Template'!J488&amp;Char(10)&amp;'Ingest Template'!K488&amp;Char(10)&amp;'Ingest Template'!L488)</f>
        <v>
</v>
      </c>
      <c r="E488" s="25" t="str">
        <f>('Ingest Template'!M488)</f>
        <v/>
      </c>
      <c r="F488" s="40" t="str">
        <f t="array" ref="F488">INDEX(DropDown!$J$2:$J$63,MATCH(1,COUNTIF(E488,DropDown!$I$2:$I$63),0))</f>
        <v>#N/A</v>
      </c>
      <c r="G488" s="25"/>
      <c r="H488" s="25"/>
      <c r="I488" s="25"/>
      <c r="J488" s="25" t="str">
        <f>'Ingest Template'!B488</f>
        <v/>
      </c>
      <c r="K488" s="25" t="str">
        <f>IF('Ingest Template'!A487="Standard",'Ingest Template'!N487,"Competitive View")</f>
        <v>Competitive View</v>
      </c>
      <c r="L488" s="41" t="s">
        <v>145</v>
      </c>
      <c r="M488" s="25" t="str">
        <f>'Ingest Template'!D487</f>
        <v/>
      </c>
      <c r="N488" s="25"/>
      <c r="O488" s="25"/>
      <c r="P488" s="25"/>
      <c r="Q488" s="25"/>
      <c r="R488" s="25" t="str">
        <f>CONCATENATE('Ingest Template'!F487)</f>
        <v/>
      </c>
      <c r="S488" s="43" t="s">
        <v>160</v>
      </c>
      <c r="T488" s="25" t="str">
        <f>'Ingest Template'!W487</f>
        <v/>
      </c>
      <c r="U488" s="25"/>
      <c r="V488" s="25" t="str">
        <f>LOWER(SUBSTITUTE(SUBSTITUTE(SUBSTITUTE(SUBSTITUTE(SUBSTITUTE('Ingest Template'!Y487,"https:",""),"www.",""),"/",""),"?hl=en",""),"instagram.com",""))</f>
        <v/>
      </c>
      <c r="W488" s="34" t="str">
        <f>(IFERROR(vlookup('Ingest Template'!F488,DropDown!D:E,2,false)&amp;'Ingest Template'!C488,""))</f>
        <v/>
      </c>
      <c r="X488" s="25" t="str">
        <f>'Ingest Template'!AA487</f>
        <v/>
      </c>
      <c r="Y488" s="25"/>
      <c r="Z488" s="25"/>
      <c r="AA488" s="25"/>
      <c r="AB488" s="25" t="str">
        <f>'Ingest Template'!T487</f>
        <v/>
      </c>
      <c r="AC488" s="25"/>
      <c r="AD488" s="25" t="str">
        <f>'Ingest Template'!U487</f>
        <v/>
      </c>
      <c r="AE488" s="25" t="str">
        <f>'Ingest Template'!V487</f>
        <v/>
      </c>
      <c r="AF488" s="25"/>
      <c r="AG488" s="25" t="str">
        <f t="array" ref="AG488">IF('Ingest Template'!A487="Standard",(CONCATENATE(IF(ISBLANK('Ingest Template'!O487),"", 'Ingest Template'!O487&amp;"|DAR"),CHAR(10), IF(ISBLANK('Ingest Template'!P487),"", 'Ingest Template'!P487&amp;"|DAR"),CHAR(10), IF(ISBLANK('Ingest Template'!Q487),"", 'Ingest Template'!Q487&amp;"|DAR"))),(CONCATENATE(IF(ISBLANK('Ingest Template'!O487),"", 'Ingest Template'!O487&amp;"|Operations - Core Title"),CHAR(10), IF(ISBLANK('Ingest Template'!P487),"", 'Ingest Template'!P487&amp;"|Operations - Core Title"),CHAR(10), IF(ISBLANK('Ingest Template'!Q487),"", 'Ingest Template'!Q487&amp;"|Operations - Core Title"))))</f>
        <v>#|Operations - Core Title
#videoGame|Operations - Core Title
</v>
      </c>
      <c r="AH488" s="25"/>
      <c r="AI488" s="25"/>
      <c r="AJ488" s="50" t="str">
        <f>if('Ingest Template'!A487="Standard",'Ingest Template'!R487&amp; "|DAR|DAR|2021-01-01",'Ingest Template'!R487&amp; "|Operations - Core Title|Operations - Core Title")</f>
        <v>#N/A</v>
      </c>
      <c r="AK488" s="25"/>
      <c r="AL488" s="25" t="str">
        <f>if('Ingest Template'!A487="Standard",'Ingest Template'!S487&amp; "|2021-01-01",'Ingest Template'!S487)</f>
        <v>#N/A</v>
      </c>
      <c r="AM488" s="25"/>
    </row>
    <row r="489">
      <c r="A489" s="25"/>
      <c r="B489" s="25" t="str">
        <f>'Ingest Template'!C488&amp;IF('Ingest Template'!A488 = "Standard", " - DAR","")</f>
        <v/>
      </c>
      <c r="C489" s="34" t="s">
        <v>92</v>
      </c>
      <c r="D489" s="34" t="str">
        <f>CONCATENATE('Ingest Template'!E489&amp;Char(10)&amp;'Ingest Template'!G489&amp;Char(10)&amp;'Ingest Template'!H489&amp;Char(10)&amp;'Ingest Template'!I489&amp;Char(10)&amp;'Ingest Template'!J489&amp;Char(10)&amp;'Ingest Template'!K489&amp;Char(10)&amp;'Ingest Template'!L489)</f>
        <v>
</v>
      </c>
      <c r="E489" s="25" t="str">
        <f>('Ingest Template'!M489)</f>
        <v/>
      </c>
      <c r="F489" s="40" t="str">
        <f t="array" ref="F489">INDEX(DropDown!$J$2:$J$63,MATCH(1,COUNTIF(E489,DropDown!$I$2:$I$63),0))</f>
        <v>#N/A</v>
      </c>
      <c r="G489" s="25"/>
      <c r="H489" s="25"/>
      <c r="I489" s="25"/>
      <c r="J489" s="25" t="str">
        <f>'Ingest Template'!B489</f>
        <v/>
      </c>
      <c r="K489" s="25" t="str">
        <f>IF('Ingest Template'!A488="Standard",'Ingest Template'!N488,"Competitive View")</f>
        <v>Competitive View</v>
      </c>
      <c r="L489" s="41" t="s">
        <v>145</v>
      </c>
      <c r="M489" s="25" t="str">
        <f>'Ingest Template'!D488</f>
        <v/>
      </c>
      <c r="N489" s="25"/>
      <c r="O489" s="25"/>
      <c r="P489" s="25"/>
      <c r="Q489" s="25"/>
      <c r="R489" s="25" t="str">
        <f>CONCATENATE('Ingest Template'!F488)</f>
        <v/>
      </c>
      <c r="S489" s="43" t="s">
        <v>160</v>
      </c>
      <c r="T489" s="25" t="str">
        <f>'Ingest Template'!W488</f>
        <v/>
      </c>
      <c r="U489" s="25"/>
      <c r="V489" s="25" t="str">
        <f>LOWER(SUBSTITUTE(SUBSTITUTE(SUBSTITUTE(SUBSTITUTE(SUBSTITUTE('Ingest Template'!Y488,"https:",""),"www.",""),"/",""),"?hl=en",""),"instagram.com",""))</f>
        <v/>
      </c>
      <c r="W489" s="34" t="str">
        <f>(IFERROR(vlookup('Ingest Template'!F489,DropDown!D:E,2,false)&amp;'Ingest Template'!C489,""))</f>
        <v/>
      </c>
      <c r="X489" s="25" t="str">
        <f>'Ingest Template'!AA488</f>
        <v/>
      </c>
      <c r="Y489" s="25"/>
      <c r="Z489" s="25"/>
      <c r="AA489" s="25"/>
      <c r="AB489" s="25" t="str">
        <f>'Ingest Template'!T488</f>
        <v/>
      </c>
      <c r="AC489" s="25"/>
      <c r="AD489" s="25" t="str">
        <f>'Ingest Template'!U488</f>
        <v/>
      </c>
      <c r="AE489" s="25" t="str">
        <f>'Ingest Template'!V488</f>
        <v/>
      </c>
      <c r="AF489" s="25"/>
      <c r="AG489" s="25" t="str">
        <f t="array" ref="AG489">IF('Ingest Template'!A488="Standard",(CONCATENATE(IF(ISBLANK('Ingest Template'!O488),"", 'Ingest Template'!O488&amp;"|DAR"),CHAR(10), IF(ISBLANK('Ingest Template'!P488),"", 'Ingest Template'!P488&amp;"|DAR"),CHAR(10), IF(ISBLANK('Ingest Template'!Q488),"", 'Ingest Template'!Q488&amp;"|DAR"))),(CONCATENATE(IF(ISBLANK('Ingest Template'!O488),"", 'Ingest Template'!O488&amp;"|Operations - Core Title"),CHAR(10), IF(ISBLANK('Ingest Template'!P488),"", 'Ingest Template'!P488&amp;"|Operations - Core Title"),CHAR(10), IF(ISBLANK('Ingest Template'!Q488),"", 'Ingest Template'!Q488&amp;"|Operations - Core Title"))))</f>
        <v>#|Operations - Core Title
#videoGame|Operations - Core Title
</v>
      </c>
      <c r="AH489" s="25"/>
      <c r="AI489" s="25"/>
      <c r="AJ489" s="50" t="str">
        <f>if('Ingest Template'!A488="Standard",'Ingest Template'!R488&amp; "|DAR|DAR|2021-01-01",'Ingest Template'!R488&amp; "|Operations - Core Title|Operations - Core Title")</f>
        <v>#N/A</v>
      </c>
      <c r="AK489" s="25"/>
      <c r="AL489" s="25" t="str">
        <f>if('Ingest Template'!A488="Standard",'Ingest Template'!S488&amp; "|2021-01-01",'Ingest Template'!S488)</f>
        <v>#N/A</v>
      </c>
      <c r="AM489" s="25"/>
    </row>
    <row r="490">
      <c r="A490" s="25"/>
      <c r="B490" s="25" t="str">
        <f>'Ingest Template'!C489&amp;IF('Ingest Template'!A489 = "Standard", " - DAR","")</f>
        <v/>
      </c>
      <c r="C490" s="34" t="s">
        <v>92</v>
      </c>
      <c r="D490" s="34" t="str">
        <f>CONCATENATE('Ingest Template'!E490&amp;Char(10)&amp;'Ingest Template'!G490&amp;Char(10)&amp;'Ingest Template'!H490&amp;Char(10)&amp;'Ingest Template'!I490&amp;Char(10)&amp;'Ingest Template'!J490&amp;Char(10)&amp;'Ingest Template'!K490&amp;Char(10)&amp;'Ingest Template'!L490)</f>
        <v>
</v>
      </c>
      <c r="E490" s="25" t="str">
        <f>('Ingest Template'!M490)</f>
        <v/>
      </c>
      <c r="F490" s="40" t="str">
        <f t="array" ref="F490">INDEX(DropDown!$J$2:$J$63,MATCH(1,COUNTIF(E490,DropDown!$I$2:$I$63),0))</f>
        <v>#N/A</v>
      </c>
      <c r="G490" s="25"/>
      <c r="H490" s="25"/>
      <c r="I490" s="25"/>
      <c r="J490" s="25" t="str">
        <f>'Ingest Template'!B490</f>
        <v/>
      </c>
      <c r="K490" s="25" t="str">
        <f>IF('Ingest Template'!A489="Standard",'Ingest Template'!N489,"Competitive View")</f>
        <v>Competitive View</v>
      </c>
      <c r="L490" s="41" t="s">
        <v>145</v>
      </c>
      <c r="M490" s="25" t="str">
        <f>'Ingest Template'!D489</f>
        <v/>
      </c>
      <c r="N490" s="25"/>
      <c r="O490" s="25"/>
      <c r="P490" s="25"/>
      <c r="Q490" s="25"/>
      <c r="R490" s="25" t="str">
        <f>CONCATENATE('Ingest Template'!F489)</f>
        <v/>
      </c>
      <c r="S490" s="43" t="s">
        <v>160</v>
      </c>
      <c r="T490" s="25" t="str">
        <f>'Ingest Template'!W489</f>
        <v/>
      </c>
      <c r="U490" s="25"/>
      <c r="V490" s="25" t="str">
        <f>LOWER(SUBSTITUTE(SUBSTITUTE(SUBSTITUTE(SUBSTITUTE(SUBSTITUTE('Ingest Template'!Y489,"https:",""),"www.",""),"/",""),"?hl=en",""),"instagram.com",""))</f>
        <v/>
      </c>
      <c r="W490" s="34" t="str">
        <f>(IFERROR(vlookup('Ingest Template'!F490,DropDown!D:E,2,false)&amp;'Ingest Template'!C490,""))</f>
        <v/>
      </c>
      <c r="X490" s="25" t="str">
        <f>'Ingest Template'!AA489</f>
        <v/>
      </c>
      <c r="Y490" s="25"/>
      <c r="Z490" s="25"/>
      <c r="AA490" s="25"/>
      <c r="AB490" s="25" t="str">
        <f>'Ingest Template'!T489</f>
        <v/>
      </c>
      <c r="AC490" s="25"/>
      <c r="AD490" s="25" t="str">
        <f>'Ingest Template'!U489</f>
        <v/>
      </c>
      <c r="AE490" s="25" t="str">
        <f>'Ingest Template'!V489</f>
        <v/>
      </c>
      <c r="AF490" s="25"/>
      <c r="AG490" s="25" t="str">
        <f t="array" ref="AG490">IF('Ingest Template'!A489="Standard",(CONCATENATE(IF(ISBLANK('Ingest Template'!O489),"", 'Ingest Template'!O489&amp;"|DAR"),CHAR(10), IF(ISBLANK('Ingest Template'!P489),"", 'Ingest Template'!P489&amp;"|DAR"),CHAR(10), IF(ISBLANK('Ingest Template'!Q489),"", 'Ingest Template'!Q489&amp;"|DAR"))),(CONCATENATE(IF(ISBLANK('Ingest Template'!O489),"", 'Ingest Template'!O489&amp;"|Operations - Core Title"),CHAR(10), IF(ISBLANK('Ingest Template'!P489),"", 'Ingest Template'!P489&amp;"|Operations - Core Title"),CHAR(10), IF(ISBLANK('Ingest Template'!Q489),"", 'Ingest Template'!Q489&amp;"|Operations - Core Title"))))</f>
        <v>#|Operations - Core Title
#videoGame|Operations - Core Title
</v>
      </c>
      <c r="AH490" s="25"/>
      <c r="AI490" s="25"/>
      <c r="AJ490" s="50" t="str">
        <f>if('Ingest Template'!A489="Standard",'Ingest Template'!R489&amp; "|DAR|DAR|2021-01-01",'Ingest Template'!R489&amp; "|Operations - Core Title|Operations - Core Title")</f>
        <v>#N/A</v>
      </c>
      <c r="AK490" s="25"/>
      <c r="AL490" s="25" t="str">
        <f>if('Ingest Template'!A489="Standard",'Ingest Template'!S489&amp; "|2021-01-01",'Ingest Template'!S489)</f>
        <v>#N/A</v>
      </c>
      <c r="AM490" s="25"/>
    </row>
    <row r="491">
      <c r="A491" s="25"/>
      <c r="B491" s="25" t="str">
        <f>'Ingest Template'!C490&amp;IF('Ingest Template'!A490 = "Standard", " - DAR","")</f>
        <v/>
      </c>
      <c r="C491" s="34" t="s">
        <v>92</v>
      </c>
      <c r="D491" s="34" t="str">
        <f>CONCATENATE('Ingest Template'!E491&amp;Char(10)&amp;'Ingest Template'!G491&amp;Char(10)&amp;'Ingest Template'!H491&amp;Char(10)&amp;'Ingest Template'!I491&amp;Char(10)&amp;'Ingest Template'!J491&amp;Char(10)&amp;'Ingest Template'!K491&amp;Char(10)&amp;'Ingest Template'!L491)</f>
        <v>
</v>
      </c>
      <c r="E491" s="25" t="str">
        <f>('Ingest Template'!M491)</f>
        <v/>
      </c>
      <c r="F491" s="40" t="str">
        <f t="array" ref="F491">INDEX(DropDown!$J$2:$J$63,MATCH(1,COUNTIF(E491,DropDown!$I$2:$I$63),0))</f>
        <v>#N/A</v>
      </c>
      <c r="G491" s="25"/>
      <c r="H491" s="25"/>
      <c r="I491" s="25"/>
      <c r="J491" s="25" t="str">
        <f>'Ingest Template'!B491</f>
        <v/>
      </c>
      <c r="K491" s="25" t="str">
        <f>IF('Ingest Template'!A490="Standard",'Ingest Template'!N490,"Competitive View")</f>
        <v>Competitive View</v>
      </c>
      <c r="L491" s="41" t="s">
        <v>145</v>
      </c>
      <c r="M491" s="25" t="str">
        <f>'Ingest Template'!D490</f>
        <v/>
      </c>
      <c r="N491" s="25"/>
      <c r="O491" s="25"/>
      <c r="P491" s="25"/>
      <c r="Q491" s="25"/>
      <c r="R491" s="25" t="str">
        <f>CONCATENATE('Ingest Template'!F490)</f>
        <v/>
      </c>
      <c r="S491" s="43" t="s">
        <v>160</v>
      </c>
      <c r="T491" s="25" t="str">
        <f>'Ingest Template'!W490</f>
        <v/>
      </c>
      <c r="U491" s="25"/>
      <c r="V491" s="25" t="str">
        <f>LOWER(SUBSTITUTE(SUBSTITUTE(SUBSTITUTE(SUBSTITUTE(SUBSTITUTE('Ingest Template'!Y490,"https:",""),"www.",""),"/",""),"?hl=en",""),"instagram.com",""))</f>
        <v/>
      </c>
      <c r="W491" s="34" t="str">
        <f>(IFERROR(vlookup('Ingest Template'!F491,DropDown!D:E,2,false)&amp;'Ingest Template'!C491,""))</f>
        <v/>
      </c>
      <c r="X491" s="25" t="str">
        <f>'Ingest Template'!AA490</f>
        <v/>
      </c>
      <c r="Y491" s="25"/>
      <c r="Z491" s="25"/>
      <c r="AA491" s="25"/>
      <c r="AB491" s="25" t="str">
        <f>'Ingest Template'!T490</f>
        <v/>
      </c>
      <c r="AC491" s="25"/>
      <c r="AD491" s="25" t="str">
        <f>'Ingest Template'!U490</f>
        <v/>
      </c>
      <c r="AE491" s="25" t="str">
        <f>'Ingest Template'!V490</f>
        <v/>
      </c>
      <c r="AF491" s="25"/>
      <c r="AG491" s="25" t="str">
        <f t="array" ref="AG491">IF('Ingest Template'!A490="Standard",(CONCATENATE(IF(ISBLANK('Ingest Template'!O490),"", 'Ingest Template'!O490&amp;"|DAR"),CHAR(10), IF(ISBLANK('Ingest Template'!P490),"", 'Ingest Template'!P490&amp;"|DAR"),CHAR(10), IF(ISBLANK('Ingest Template'!Q490),"", 'Ingest Template'!Q490&amp;"|DAR"))),(CONCATENATE(IF(ISBLANK('Ingest Template'!O490),"", 'Ingest Template'!O490&amp;"|Operations - Core Title"),CHAR(10), IF(ISBLANK('Ingest Template'!P490),"", 'Ingest Template'!P490&amp;"|Operations - Core Title"),CHAR(10), IF(ISBLANK('Ingest Template'!Q490),"", 'Ingest Template'!Q490&amp;"|Operations - Core Title"))))</f>
        <v>#|Operations - Core Title
#videoGame|Operations - Core Title
</v>
      </c>
      <c r="AH491" s="25"/>
      <c r="AI491" s="25"/>
      <c r="AJ491" s="50" t="str">
        <f>if('Ingest Template'!A490="Standard",'Ingest Template'!R490&amp; "|DAR|DAR|2021-01-01",'Ingest Template'!R490&amp; "|Operations - Core Title|Operations - Core Title")</f>
        <v>#N/A</v>
      </c>
      <c r="AK491" s="25"/>
      <c r="AL491" s="25" t="str">
        <f>if('Ingest Template'!A490="Standard",'Ingest Template'!S490&amp; "|2021-01-01",'Ingest Template'!S490)</f>
        <v>#N/A</v>
      </c>
      <c r="AM491" s="25"/>
    </row>
    <row r="492">
      <c r="A492" s="25"/>
      <c r="B492" s="25" t="str">
        <f>'Ingest Template'!C491&amp;IF('Ingest Template'!A491 = "Standard", " - DAR","")</f>
        <v/>
      </c>
      <c r="C492" s="34" t="s">
        <v>92</v>
      </c>
      <c r="D492" s="34" t="str">
        <f>CONCATENATE('Ingest Template'!E492&amp;Char(10)&amp;'Ingest Template'!G492&amp;Char(10)&amp;'Ingest Template'!H492&amp;Char(10)&amp;'Ingest Template'!I492&amp;Char(10)&amp;'Ingest Template'!J492&amp;Char(10)&amp;'Ingest Template'!K492&amp;Char(10)&amp;'Ingest Template'!L492)</f>
        <v>
</v>
      </c>
      <c r="E492" s="25" t="str">
        <f>('Ingest Template'!M492)</f>
        <v/>
      </c>
      <c r="F492" s="40" t="str">
        <f t="array" ref="F492">INDEX(DropDown!$J$2:$J$63,MATCH(1,COUNTIF(E492,DropDown!$I$2:$I$63),0))</f>
        <v>#N/A</v>
      </c>
      <c r="G492" s="25"/>
      <c r="H492" s="25"/>
      <c r="I492" s="25"/>
      <c r="J492" s="25" t="str">
        <f>'Ingest Template'!B492</f>
        <v/>
      </c>
      <c r="K492" s="25" t="str">
        <f>IF('Ingest Template'!A491="Standard",'Ingest Template'!N491,"Competitive View")</f>
        <v>Competitive View</v>
      </c>
      <c r="L492" s="41" t="s">
        <v>145</v>
      </c>
      <c r="M492" s="25" t="str">
        <f>'Ingest Template'!D491</f>
        <v/>
      </c>
      <c r="N492" s="25"/>
      <c r="O492" s="25"/>
      <c r="P492" s="25"/>
      <c r="Q492" s="25"/>
      <c r="R492" s="25" t="str">
        <f>CONCATENATE('Ingest Template'!F491)</f>
        <v/>
      </c>
      <c r="S492" s="43" t="s">
        <v>160</v>
      </c>
      <c r="T492" s="25" t="str">
        <f>'Ingest Template'!W491</f>
        <v/>
      </c>
      <c r="U492" s="25"/>
      <c r="V492" s="25" t="str">
        <f>LOWER(SUBSTITUTE(SUBSTITUTE(SUBSTITUTE(SUBSTITUTE(SUBSTITUTE('Ingest Template'!Y491,"https:",""),"www.",""),"/",""),"?hl=en",""),"instagram.com",""))</f>
        <v/>
      </c>
      <c r="W492" s="34" t="str">
        <f>(IFERROR(vlookup('Ingest Template'!F492,DropDown!D:E,2,false)&amp;'Ingest Template'!C492,""))</f>
        <v/>
      </c>
      <c r="X492" s="25" t="str">
        <f>'Ingest Template'!AA491</f>
        <v/>
      </c>
      <c r="Y492" s="25"/>
      <c r="Z492" s="25"/>
      <c r="AA492" s="25"/>
      <c r="AB492" s="25" t="str">
        <f>'Ingest Template'!T491</f>
        <v/>
      </c>
      <c r="AC492" s="25"/>
      <c r="AD492" s="25" t="str">
        <f>'Ingest Template'!U491</f>
        <v/>
      </c>
      <c r="AE492" s="25" t="str">
        <f>'Ingest Template'!V491</f>
        <v/>
      </c>
      <c r="AF492" s="25"/>
      <c r="AG492" s="25" t="str">
        <f t="array" ref="AG492">IF('Ingest Template'!A491="Standard",(CONCATENATE(IF(ISBLANK('Ingest Template'!O491),"", 'Ingest Template'!O491&amp;"|DAR"),CHAR(10), IF(ISBLANK('Ingest Template'!P491),"", 'Ingest Template'!P491&amp;"|DAR"),CHAR(10), IF(ISBLANK('Ingest Template'!Q491),"", 'Ingest Template'!Q491&amp;"|DAR"))),(CONCATENATE(IF(ISBLANK('Ingest Template'!O491),"", 'Ingest Template'!O491&amp;"|Operations - Core Title"),CHAR(10), IF(ISBLANK('Ingest Template'!P491),"", 'Ingest Template'!P491&amp;"|Operations - Core Title"),CHAR(10), IF(ISBLANK('Ingest Template'!Q491),"", 'Ingest Template'!Q491&amp;"|Operations - Core Title"))))</f>
        <v>#|Operations - Core Title
#videoGame|Operations - Core Title
</v>
      </c>
      <c r="AH492" s="25"/>
      <c r="AI492" s="25"/>
      <c r="AJ492" s="50" t="str">
        <f>if('Ingest Template'!A491="Standard",'Ingest Template'!R491&amp; "|DAR|DAR|2021-01-01",'Ingest Template'!R491&amp; "|Operations - Core Title|Operations - Core Title")</f>
        <v>#N/A</v>
      </c>
      <c r="AK492" s="25"/>
      <c r="AL492" s="25" t="str">
        <f>if('Ingest Template'!A491="Standard",'Ingest Template'!S491&amp; "|2021-01-01",'Ingest Template'!S491)</f>
        <v>#N/A</v>
      </c>
      <c r="AM492" s="25"/>
    </row>
    <row r="493">
      <c r="A493" s="25"/>
      <c r="B493" s="25" t="str">
        <f>'Ingest Template'!C492&amp;IF('Ingest Template'!A492 = "Standard", " - DAR","")</f>
        <v/>
      </c>
      <c r="C493" s="34" t="s">
        <v>92</v>
      </c>
      <c r="D493" s="34" t="str">
        <f>CONCATENATE('Ingest Template'!E493&amp;Char(10)&amp;'Ingest Template'!G493&amp;Char(10)&amp;'Ingest Template'!H493&amp;Char(10)&amp;'Ingest Template'!I493&amp;Char(10)&amp;'Ingest Template'!J493&amp;Char(10)&amp;'Ingest Template'!K493&amp;Char(10)&amp;'Ingest Template'!L493)</f>
        <v>
</v>
      </c>
      <c r="E493" s="25" t="str">
        <f>('Ingest Template'!M493)</f>
        <v/>
      </c>
      <c r="F493" s="40" t="str">
        <f t="array" ref="F493">INDEX(DropDown!$J$2:$J$63,MATCH(1,COUNTIF(E493,DropDown!$I$2:$I$63),0))</f>
        <v>#N/A</v>
      </c>
      <c r="G493" s="25"/>
      <c r="H493" s="25"/>
      <c r="I493" s="25"/>
      <c r="J493" s="25" t="str">
        <f>'Ingest Template'!B493</f>
        <v/>
      </c>
      <c r="K493" s="25" t="str">
        <f>IF('Ingest Template'!A492="Standard",'Ingest Template'!N492,"Competitive View")</f>
        <v>Competitive View</v>
      </c>
      <c r="L493" s="41" t="s">
        <v>145</v>
      </c>
      <c r="M493" s="25" t="str">
        <f>'Ingest Template'!D492</f>
        <v/>
      </c>
      <c r="N493" s="25"/>
      <c r="O493" s="25"/>
      <c r="P493" s="25"/>
      <c r="Q493" s="25"/>
      <c r="R493" s="25" t="str">
        <f>CONCATENATE('Ingest Template'!F492)</f>
        <v/>
      </c>
      <c r="S493" s="43" t="s">
        <v>160</v>
      </c>
      <c r="T493" s="25" t="str">
        <f>'Ingest Template'!W492</f>
        <v/>
      </c>
      <c r="U493" s="25"/>
      <c r="V493" s="25" t="str">
        <f>LOWER(SUBSTITUTE(SUBSTITUTE(SUBSTITUTE(SUBSTITUTE(SUBSTITUTE('Ingest Template'!Y492,"https:",""),"www.",""),"/",""),"?hl=en",""),"instagram.com",""))</f>
        <v/>
      </c>
      <c r="W493" s="34" t="str">
        <f>(IFERROR(vlookup('Ingest Template'!F493,DropDown!D:E,2,false)&amp;'Ingest Template'!C493,""))</f>
        <v/>
      </c>
      <c r="X493" s="25" t="str">
        <f>'Ingest Template'!AA492</f>
        <v/>
      </c>
      <c r="Y493" s="25"/>
      <c r="Z493" s="25"/>
      <c r="AA493" s="25"/>
      <c r="AB493" s="25" t="str">
        <f>'Ingest Template'!T492</f>
        <v/>
      </c>
      <c r="AC493" s="25"/>
      <c r="AD493" s="25" t="str">
        <f>'Ingest Template'!U492</f>
        <v/>
      </c>
      <c r="AE493" s="25" t="str">
        <f>'Ingest Template'!V492</f>
        <v/>
      </c>
      <c r="AF493" s="25"/>
      <c r="AG493" s="25" t="str">
        <f t="array" ref="AG493">IF('Ingest Template'!A492="Standard",(CONCATENATE(IF(ISBLANK('Ingest Template'!O492),"", 'Ingest Template'!O492&amp;"|DAR"),CHAR(10), IF(ISBLANK('Ingest Template'!P492),"", 'Ingest Template'!P492&amp;"|DAR"),CHAR(10), IF(ISBLANK('Ingest Template'!Q492),"", 'Ingest Template'!Q492&amp;"|DAR"))),(CONCATENATE(IF(ISBLANK('Ingest Template'!O492),"", 'Ingest Template'!O492&amp;"|Operations - Core Title"),CHAR(10), IF(ISBLANK('Ingest Template'!P492),"", 'Ingest Template'!P492&amp;"|Operations - Core Title"),CHAR(10), IF(ISBLANK('Ingest Template'!Q492),"", 'Ingest Template'!Q492&amp;"|Operations - Core Title"))))</f>
        <v>#|Operations - Core Title
#videoGame|Operations - Core Title
</v>
      </c>
      <c r="AH493" s="25"/>
      <c r="AI493" s="25"/>
      <c r="AJ493" s="50" t="str">
        <f>if('Ingest Template'!A492="Standard",'Ingest Template'!R492&amp; "|DAR|DAR|2021-01-01",'Ingest Template'!R492&amp; "|Operations - Core Title|Operations - Core Title")</f>
        <v>#N/A</v>
      </c>
      <c r="AK493" s="25"/>
      <c r="AL493" s="25" t="str">
        <f>if('Ingest Template'!A492="Standard",'Ingest Template'!S492&amp; "|2021-01-01",'Ingest Template'!S492)</f>
        <v>#N/A</v>
      </c>
      <c r="AM493" s="25"/>
    </row>
    <row r="494">
      <c r="A494" s="25"/>
      <c r="B494" s="25" t="str">
        <f>'Ingest Template'!C493&amp;IF('Ingest Template'!A493 = "Standard", " - DAR","")</f>
        <v/>
      </c>
      <c r="C494" s="34" t="s">
        <v>92</v>
      </c>
      <c r="D494" s="34" t="str">
        <f>CONCATENATE('Ingest Template'!E494&amp;Char(10)&amp;'Ingest Template'!G494&amp;Char(10)&amp;'Ingest Template'!H494&amp;Char(10)&amp;'Ingest Template'!I494&amp;Char(10)&amp;'Ingest Template'!J494&amp;Char(10)&amp;'Ingest Template'!K494&amp;Char(10)&amp;'Ingest Template'!L494)</f>
        <v>
</v>
      </c>
      <c r="E494" s="25" t="str">
        <f>('Ingest Template'!M494)</f>
        <v/>
      </c>
      <c r="F494" s="40" t="str">
        <f t="array" ref="F494">INDEX(DropDown!$J$2:$J$63,MATCH(1,COUNTIF(E494,DropDown!$I$2:$I$63),0))</f>
        <v>#N/A</v>
      </c>
      <c r="G494" s="25"/>
      <c r="H494" s="25"/>
      <c r="I494" s="25"/>
      <c r="J494" s="25" t="str">
        <f>'Ingest Template'!B494</f>
        <v/>
      </c>
      <c r="K494" s="25" t="str">
        <f>IF('Ingest Template'!A493="Standard",'Ingest Template'!N493,"Competitive View")</f>
        <v>Competitive View</v>
      </c>
      <c r="L494" s="41" t="s">
        <v>145</v>
      </c>
      <c r="M494" s="25" t="str">
        <f>'Ingest Template'!D493</f>
        <v/>
      </c>
      <c r="N494" s="25"/>
      <c r="O494" s="25"/>
      <c r="P494" s="25"/>
      <c r="Q494" s="25"/>
      <c r="R494" s="25" t="str">
        <f>CONCATENATE('Ingest Template'!F493)</f>
        <v/>
      </c>
      <c r="S494" s="43" t="s">
        <v>160</v>
      </c>
      <c r="T494" s="25" t="str">
        <f>'Ingest Template'!W493</f>
        <v/>
      </c>
      <c r="U494" s="25"/>
      <c r="V494" s="25" t="str">
        <f>LOWER(SUBSTITUTE(SUBSTITUTE(SUBSTITUTE(SUBSTITUTE(SUBSTITUTE('Ingest Template'!Y493,"https:",""),"www.",""),"/",""),"?hl=en",""),"instagram.com",""))</f>
        <v/>
      </c>
      <c r="W494" s="34" t="str">
        <f>(IFERROR(vlookup('Ingest Template'!F494,DropDown!D:E,2,false)&amp;'Ingest Template'!C494,""))</f>
        <v/>
      </c>
      <c r="X494" s="25" t="str">
        <f>'Ingest Template'!AA493</f>
        <v/>
      </c>
      <c r="Y494" s="25"/>
      <c r="Z494" s="25"/>
      <c r="AA494" s="25"/>
      <c r="AB494" s="25" t="str">
        <f>'Ingest Template'!T493</f>
        <v/>
      </c>
      <c r="AC494" s="25"/>
      <c r="AD494" s="25" t="str">
        <f>'Ingest Template'!U493</f>
        <v/>
      </c>
      <c r="AE494" s="25" t="str">
        <f>'Ingest Template'!V493</f>
        <v/>
      </c>
      <c r="AF494" s="25"/>
      <c r="AG494" s="25" t="str">
        <f t="array" ref="AG494">IF('Ingest Template'!A493="Standard",(CONCATENATE(IF(ISBLANK('Ingest Template'!O493),"", 'Ingest Template'!O493&amp;"|DAR"),CHAR(10), IF(ISBLANK('Ingest Template'!P493),"", 'Ingest Template'!P493&amp;"|DAR"),CHAR(10), IF(ISBLANK('Ingest Template'!Q493),"", 'Ingest Template'!Q493&amp;"|DAR"))),(CONCATENATE(IF(ISBLANK('Ingest Template'!O493),"", 'Ingest Template'!O493&amp;"|Operations - Core Title"),CHAR(10), IF(ISBLANK('Ingest Template'!P493),"", 'Ingest Template'!P493&amp;"|Operations - Core Title"),CHAR(10), IF(ISBLANK('Ingest Template'!Q493),"", 'Ingest Template'!Q493&amp;"|Operations - Core Title"))))</f>
        <v>#|Operations - Core Title
#videoGame|Operations - Core Title
</v>
      </c>
      <c r="AH494" s="25"/>
      <c r="AI494" s="25"/>
      <c r="AJ494" s="50" t="str">
        <f>if('Ingest Template'!A493="Standard",'Ingest Template'!R493&amp; "|DAR|DAR|2021-01-01",'Ingest Template'!R493&amp; "|Operations - Core Title|Operations - Core Title")</f>
        <v>#N/A</v>
      </c>
      <c r="AK494" s="25"/>
      <c r="AL494" s="25" t="str">
        <f>if('Ingest Template'!A493="Standard",'Ingest Template'!S493&amp; "|2021-01-01",'Ingest Template'!S493)</f>
        <v>#N/A</v>
      </c>
      <c r="AM494" s="25"/>
    </row>
    <row r="495">
      <c r="A495" s="25"/>
      <c r="B495" s="25" t="str">
        <f>'Ingest Template'!C494&amp;IF('Ingest Template'!A494 = "Standard", " - DAR","")</f>
        <v/>
      </c>
      <c r="C495" s="34" t="s">
        <v>92</v>
      </c>
      <c r="D495" s="34" t="str">
        <f>CONCATENATE('Ingest Template'!E495&amp;Char(10)&amp;'Ingest Template'!G495&amp;Char(10)&amp;'Ingest Template'!H495&amp;Char(10)&amp;'Ingest Template'!I495&amp;Char(10)&amp;'Ingest Template'!J495&amp;Char(10)&amp;'Ingest Template'!K495&amp;Char(10)&amp;'Ingest Template'!L495)</f>
        <v>
</v>
      </c>
      <c r="E495" s="25" t="str">
        <f>('Ingest Template'!M495)</f>
        <v/>
      </c>
      <c r="F495" s="40" t="str">
        <f t="array" ref="F495">INDEX(DropDown!$J$2:$J$63,MATCH(1,COUNTIF(E495,DropDown!$I$2:$I$63),0))</f>
        <v>#N/A</v>
      </c>
      <c r="G495" s="25"/>
      <c r="H495" s="25"/>
      <c r="I495" s="25"/>
      <c r="J495" s="25" t="str">
        <f>'Ingest Template'!B495</f>
        <v/>
      </c>
      <c r="K495" s="25" t="str">
        <f>IF('Ingest Template'!A494="Standard",'Ingest Template'!N494,"Competitive View")</f>
        <v>Competitive View</v>
      </c>
      <c r="L495" s="41" t="s">
        <v>145</v>
      </c>
      <c r="M495" s="25" t="str">
        <f>'Ingest Template'!D494</f>
        <v/>
      </c>
      <c r="N495" s="25"/>
      <c r="O495" s="25"/>
      <c r="P495" s="25"/>
      <c r="Q495" s="25"/>
      <c r="R495" s="25" t="str">
        <f>CONCATENATE('Ingest Template'!F494)</f>
        <v/>
      </c>
      <c r="S495" s="43" t="s">
        <v>160</v>
      </c>
      <c r="T495" s="25" t="str">
        <f>'Ingest Template'!W494</f>
        <v/>
      </c>
      <c r="U495" s="25"/>
      <c r="V495" s="25" t="str">
        <f>LOWER(SUBSTITUTE(SUBSTITUTE(SUBSTITUTE(SUBSTITUTE(SUBSTITUTE('Ingest Template'!Y494,"https:",""),"www.",""),"/",""),"?hl=en",""),"instagram.com",""))</f>
        <v/>
      </c>
      <c r="W495" s="34" t="str">
        <f>(IFERROR(vlookup('Ingest Template'!F495,DropDown!D:E,2,false)&amp;'Ingest Template'!C495,""))</f>
        <v/>
      </c>
      <c r="X495" s="25" t="str">
        <f>'Ingest Template'!AA494</f>
        <v/>
      </c>
      <c r="Y495" s="25"/>
      <c r="Z495" s="25"/>
      <c r="AA495" s="25"/>
      <c r="AB495" s="25" t="str">
        <f>'Ingest Template'!T494</f>
        <v/>
      </c>
      <c r="AC495" s="25"/>
      <c r="AD495" s="25" t="str">
        <f>'Ingest Template'!U494</f>
        <v/>
      </c>
      <c r="AE495" s="25" t="str">
        <f>'Ingest Template'!V494</f>
        <v/>
      </c>
      <c r="AF495" s="25"/>
      <c r="AG495" s="25" t="str">
        <f t="array" ref="AG495">IF('Ingest Template'!A494="Standard",(CONCATENATE(IF(ISBLANK('Ingest Template'!O494),"", 'Ingest Template'!O494&amp;"|DAR"),CHAR(10), IF(ISBLANK('Ingest Template'!P494),"", 'Ingest Template'!P494&amp;"|DAR"),CHAR(10), IF(ISBLANK('Ingest Template'!Q494),"", 'Ingest Template'!Q494&amp;"|DAR"))),(CONCATENATE(IF(ISBLANK('Ingest Template'!O494),"", 'Ingest Template'!O494&amp;"|Operations - Core Title"),CHAR(10), IF(ISBLANK('Ingest Template'!P494),"", 'Ingest Template'!P494&amp;"|Operations - Core Title"),CHAR(10), IF(ISBLANK('Ingest Template'!Q494),"", 'Ingest Template'!Q494&amp;"|Operations - Core Title"))))</f>
        <v>#|Operations - Core Title
#videoGame|Operations - Core Title
</v>
      </c>
      <c r="AH495" s="25"/>
      <c r="AI495" s="25"/>
      <c r="AJ495" s="50" t="str">
        <f>if('Ingest Template'!A494="Standard",'Ingest Template'!R494&amp; "|DAR|DAR|2021-01-01",'Ingest Template'!R494&amp; "|Operations - Core Title|Operations - Core Title")</f>
        <v>#N/A</v>
      </c>
      <c r="AK495" s="25"/>
      <c r="AL495" s="25" t="str">
        <f>if('Ingest Template'!A494="Standard",'Ingest Template'!S494&amp; "|2021-01-01",'Ingest Template'!S494)</f>
        <v>#N/A</v>
      </c>
      <c r="AM495" s="25"/>
    </row>
    <row r="496">
      <c r="A496" s="25"/>
      <c r="B496" s="25" t="str">
        <f>'Ingest Template'!C495&amp;IF('Ingest Template'!A495 = "Standard", " - DAR","")</f>
        <v/>
      </c>
      <c r="C496" s="34" t="s">
        <v>92</v>
      </c>
      <c r="D496" s="34" t="str">
        <f>CONCATENATE('Ingest Template'!E496&amp;Char(10)&amp;'Ingest Template'!G496&amp;Char(10)&amp;'Ingest Template'!H496&amp;Char(10)&amp;'Ingest Template'!I496&amp;Char(10)&amp;'Ingest Template'!J496&amp;Char(10)&amp;'Ingest Template'!K496&amp;Char(10)&amp;'Ingest Template'!L496)</f>
        <v>
</v>
      </c>
      <c r="E496" s="25" t="str">
        <f>('Ingest Template'!M496)</f>
        <v/>
      </c>
      <c r="F496" s="40" t="str">
        <f t="array" ref="F496">INDEX(DropDown!$J$2:$J$63,MATCH(1,COUNTIF(E496,DropDown!$I$2:$I$63),0))</f>
        <v>#N/A</v>
      </c>
      <c r="G496" s="25"/>
      <c r="H496" s="25"/>
      <c r="I496" s="25"/>
      <c r="J496" s="25" t="str">
        <f>'Ingest Template'!B496</f>
        <v/>
      </c>
      <c r="K496" s="25" t="str">
        <f>IF('Ingest Template'!A495="Standard",'Ingest Template'!N495,"Competitive View")</f>
        <v>Competitive View</v>
      </c>
      <c r="L496" s="41" t="s">
        <v>145</v>
      </c>
      <c r="M496" s="25" t="str">
        <f>'Ingest Template'!D495</f>
        <v/>
      </c>
      <c r="N496" s="25"/>
      <c r="O496" s="25"/>
      <c r="P496" s="25"/>
      <c r="Q496" s="25"/>
      <c r="R496" s="25" t="str">
        <f>CONCATENATE('Ingest Template'!F495)</f>
        <v/>
      </c>
      <c r="S496" s="43" t="s">
        <v>160</v>
      </c>
      <c r="T496" s="25" t="str">
        <f>'Ingest Template'!W495</f>
        <v/>
      </c>
      <c r="U496" s="25"/>
      <c r="V496" s="25" t="str">
        <f>LOWER(SUBSTITUTE(SUBSTITUTE(SUBSTITUTE(SUBSTITUTE(SUBSTITUTE('Ingest Template'!Y495,"https:",""),"www.",""),"/",""),"?hl=en",""),"instagram.com",""))</f>
        <v/>
      </c>
      <c r="W496" s="34" t="str">
        <f>(IFERROR(vlookup('Ingest Template'!F496,DropDown!D:E,2,false)&amp;'Ingest Template'!C496,""))</f>
        <v/>
      </c>
      <c r="X496" s="25" t="str">
        <f>'Ingest Template'!AA495</f>
        <v/>
      </c>
      <c r="Y496" s="25"/>
      <c r="Z496" s="25"/>
      <c r="AA496" s="25"/>
      <c r="AB496" s="25" t="str">
        <f>'Ingest Template'!T495</f>
        <v/>
      </c>
      <c r="AC496" s="25"/>
      <c r="AD496" s="25" t="str">
        <f>'Ingest Template'!U495</f>
        <v/>
      </c>
      <c r="AE496" s="25" t="str">
        <f>'Ingest Template'!V495</f>
        <v/>
      </c>
      <c r="AF496" s="25"/>
      <c r="AG496" s="25" t="str">
        <f t="array" ref="AG496">IF('Ingest Template'!A495="Standard",(CONCATENATE(IF(ISBLANK('Ingest Template'!O495),"", 'Ingest Template'!O495&amp;"|DAR"),CHAR(10), IF(ISBLANK('Ingest Template'!P495),"", 'Ingest Template'!P495&amp;"|DAR"),CHAR(10), IF(ISBLANK('Ingest Template'!Q495),"", 'Ingest Template'!Q495&amp;"|DAR"))),(CONCATENATE(IF(ISBLANK('Ingest Template'!O495),"", 'Ingest Template'!O495&amp;"|Operations - Core Title"),CHAR(10), IF(ISBLANK('Ingest Template'!P495),"", 'Ingest Template'!P495&amp;"|Operations - Core Title"),CHAR(10), IF(ISBLANK('Ingest Template'!Q495),"", 'Ingest Template'!Q495&amp;"|Operations - Core Title"))))</f>
        <v>#|Operations - Core Title
#videoGame|Operations - Core Title
</v>
      </c>
      <c r="AH496" s="25"/>
      <c r="AI496" s="25"/>
      <c r="AJ496" s="50" t="str">
        <f>if('Ingest Template'!A495="Standard",'Ingest Template'!R495&amp; "|DAR|DAR|2021-01-01",'Ingest Template'!R495&amp; "|Operations - Core Title|Operations - Core Title")</f>
        <v>#N/A</v>
      </c>
      <c r="AK496" s="25"/>
      <c r="AL496" s="25" t="str">
        <f>if('Ingest Template'!A495="Standard",'Ingest Template'!S495&amp; "|2021-01-01",'Ingest Template'!S495)</f>
        <v>#N/A</v>
      </c>
      <c r="AM496" s="25"/>
    </row>
    <row r="497">
      <c r="A497" s="25"/>
      <c r="B497" s="25" t="str">
        <f>'Ingest Template'!C496&amp;IF('Ingest Template'!A496 = "Standard", " - DAR","")</f>
        <v/>
      </c>
      <c r="C497" s="34" t="s">
        <v>92</v>
      </c>
      <c r="D497" s="34" t="str">
        <f>CONCATENATE('Ingest Template'!E497&amp;Char(10)&amp;'Ingest Template'!G497&amp;Char(10)&amp;'Ingest Template'!H497&amp;Char(10)&amp;'Ingest Template'!I497&amp;Char(10)&amp;'Ingest Template'!J497&amp;Char(10)&amp;'Ingest Template'!K497&amp;Char(10)&amp;'Ingest Template'!L497)</f>
        <v>
</v>
      </c>
      <c r="E497" s="25" t="str">
        <f>('Ingest Template'!M497)</f>
        <v/>
      </c>
      <c r="F497" s="40" t="str">
        <f t="array" ref="F497">INDEX(DropDown!$J$2:$J$63,MATCH(1,COUNTIF(E497,DropDown!$I$2:$I$63),0))</f>
        <v>#N/A</v>
      </c>
      <c r="G497" s="25"/>
      <c r="H497" s="25"/>
      <c r="I497" s="25"/>
      <c r="J497" s="25" t="str">
        <f>'Ingest Template'!B497</f>
        <v/>
      </c>
      <c r="K497" s="25" t="str">
        <f>IF('Ingest Template'!A496="Standard",'Ingest Template'!N496,"Competitive View")</f>
        <v>Competitive View</v>
      </c>
      <c r="L497" s="41" t="s">
        <v>145</v>
      </c>
      <c r="M497" s="25" t="str">
        <f>'Ingest Template'!D496</f>
        <v/>
      </c>
      <c r="N497" s="25"/>
      <c r="O497" s="25"/>
      <c r="P497" s="25"/>
      <c r="Q497" s="25"/>
      <c r="R497" s="25" t="str">
        <f>CONCATENATE('Ingest Template'!F496)</f>
        <v/>
      </c>
      <c r="S497" s="43" t="s">
        <v>160</v>
      </c>
      <c r="T497" s="25" t="str">
        <f>'Ingest Template'!W496</f>
        <v/>
      </c>
      <c r="U497" s="25"/>
      <c r="V497" s="25" t="str">
        <f>LOWER(SUBSTITUTE(SUBSTITUTE(SUBSTITUTE(SUBSTITUTE(SUBSTITUTE('Ingest Template'!Y496,"https:",""),"www.",""),"/",""),"?hl=en",""),"instagram.com",""))</f>
        <v/>
      </c>
      <c r="W497" s="34" t="str">
        <f>(IFERROR(vlookup('Ingest Template'!F497,DropDown!D:E,2,false)&amp;'Ingest Template'!C497,""))</f>
        <v/>
      </c>
      <c r="X497" s="25" t="str">
        <f>'Ingest Template'!AA496</f>
        <v/>
      </c>
      <c r="Y497" s="25"/>
      <c r="Z497" s="25"/>
      <c r="AA497" s="25"/>
      <c r="AB497" s="25" t="str">
        <f>'Ingest Template'!T496</f>
        <v/>
      </c>
      <c r="AC497" s="25"/>
      <c r="AD497" s="25" t="str">
        <f>'Ingest Template'!U496</f>
        <v/>
      </c>
      <c r="AE497" s="25" t="str">
        <f>'Ingest Template'!V496</f>
        <v/>
      </c>
      <c r="AF497" s="25"/>
      <c r="AG497" s="25" t="str">
        <f t="array" ref="AG497">IF('Ingest Template'!A496="Standard",(CONCATENATE(IF(ISBLANK('Ingest Template'!O496),"", 'Ingest Template'!O496&amp;"|DAR"),CHAR(10), IF(ISBLANK('Ingest Template'!P496),"", 'Ingest Template'!P496&amp;"|DAR"),CHAR(10), IF(ISBLANK('Ingest Template'!Q496),"", 'Ingest Template'!Q496&amp;"|DAR"))),(CONCATENATE(IF(ISBLANK('Ingest Template'!O496),"", 'Ingest Template'!O496&amp;"|Operations - Core Title"),CHAR(10), IF(ISBLANK('Ingest Template'!P496),"", 'Ingest Template'!P496&amp;"|Operations - Core Title"),CHAR(10), IF(ISBLANK('Ingest Template'!Q496),"", 'Ingest Template'!Q496&amp;"|Operations - Core Title"))))</f>
        <v>#|Operations - Core Title
#videoGame|Operations - Core Title
</v>
      </c>
      <c r="AH497" s="25"/>
      <c r="AI497" s="25"/>
      <c r="AJ497" s="50" t="str">
        <f>if('Ingest Template'!A496="Standard",'Ingest Template'!R496&amp; "|DAR|DAR|2021-01-01",'Ingest Template'!R496&amp; "|Operations - Core Title|Operations - Core Title")</f>
        <v>#N/A</v>
      </c>
      <c r="AK497" s="25"/>
      <c r="AL497" s="25" t="str">
        <f>if('Ingest Template'!A496="Standard",'Ingest Template'!S496&amp; "|2021-01-01",'Ingest Template'!S496)</f>
        <v>#N/A</v>
      </c>
      <c r="AM497" s="25"/>
    </row>
    <row r="498">
      <c r="A498" s="25"/>
      <c r="B498" s="25" t="str">
        <f>'Ingest Template'!C497&amp;IF('Ingest Template'!A497 = "Standard", " - DAR","")</f>
        <v/>
      </c>
      <c r="C498" s="34" t="s">
        <v>92</v>
      </c>
      <c r="D498" s="34" t="str">
        <f>CONCATENATE('Ingest Template'!E498&amp;Char(10)&amp;'Ingest Template'!G498&amp;Char(10)&amp;'Ingest Template'!H498&amp;Char(10)&amp;'Ingest Template'!I498&amp;Char(10)&amp;'Ingest Template'!J498&amp;Char(10)&amp;'Ingest Template'!K498&amp;Char(10)&amp;'Ingest Template'!L498)</f>
        <v>
</v>
      </c>
      <c r="E498" s="25" t="str">
        <f>('Ingest Template'!M498)</f>
        <v/>
      </c>
      <c r="F498" s="40" t="str">
        <f t="array" ref="F498">INDEX(DropDown!$J$2:$J$63,MATCH(1,COUNTIF(E498,DropDown!$I$2:$I$63),0))</f>
        <v>#N/A</v>
      </c>
      <c r="G498" s="25"/>
      <c r="H498" s="25"/>
      <c r="I498" s="25"/>
      <c r="J498" s="25" t="str">
        <f>'Ingest Template'!B498</f>
        <v/>
      </c>
      <c r="K498" s="25" t="str">
        <f>IF('Ingest Template'!A497="Standard",'Ingest Template'!N497,"Competitive View")</f>
        <v>Competitive View</v>
      </c>
      <c r="L498" s="41" t="s">
        <v>145</v>
      </c>
      <c r="M498" s="25" t="str">
        <f>'Ingest Template'!D497</f>
        <v/>
      </c>
      <c r="N498" s="25"/>
      <c r="O498" s="25"/>
      <c r="P498" s="25"/>
      <c r="Q498" s="25"/>
      <c r="R498" s="25" t="str">
        <f>CONCATENATE('Ingest Template'!F497)</f>
        <v/>
      </c>
      <c r="S498" s="43" t="s">
        <v>160</v>
      </c>
      <c r="T498" s="25" t="str">
        <f>'Ingest Template'!W497</f>
        <v/>
      </c>
      <c r="U498" s="25"/>
      <c r="V498" s="25" t="str">
        <f>LOWER(SUBSTITUTE(SUBSTITUTE(SUBSTITUTE(SUBSTITUTE(SUBSTITUTE('Ingest Template'!Y497,"https:",""),"www.",""),"/",""),"?hl=en",""),"instagram.com",""))</f>
        <v/>
      </c>
      <c r="W498" s="34" t="str">
        <f>(IFERROR(vlookup('Ingest Template'!F498,DropDown!D:E,2,false)&amp;'Ingest Template'!C498,""))</f>
        <v/>
      </c>
      <c r="X498" s="25" t="str">
        <f>'Ingest Template'!AA497</f>
        <v/>
      </c>
      <c r="Y498" s="25"/>
      <c r="Z498" s="25"/>
      <c r="AA498" s="25"/>
      <c r="AB498" s="25" t="str">
        <f>'Ingest Template'!T497</f>
        <v/>
      </c>
      <c r="AC498" s="25"/>
      <c r="AD498" s="25" t="str">
        <f>'Ingest Template'!U497</f>
        <v/>
      </c>
      <c r="AE498" s="25" t="str">
        <f>'Ingest Template'!V497</f>
        <v/>
      </c>
      <c r="AF498" s="25"/>
      <c r="AG498" s="25" t="str">
        <f t="array" ref="AG498">IF('Ingest Template'!A497="Standard",(CONCATENATE(IF(ISBLANK('Ingest Template'!O497),"", 'Ingest Template'!O497&amp;"|DAR"),CHAR(10), IF(ISBLANK('Ingest Template'!P497),"", 'Ingest Template'!P497&amp;"|DAR"),CHAR(10), IF(ISBLANK('Ingest Template'!Q497),"", 'Ingest Template'!Q497&amp;"|DAR"))),(CONCATENATE(IF(ISBLANK('Ingest Template'!O497),"", 'Ingest Template'!O497&amp;"|Operations - Core Title"),CHAR(10), IF(ISBLANK('Ingest Template'!P497),"", 'Ingest Template'!P497&amp;"|Operations - Core Title"),CHAR(10), IF(ISBLANK('Ingest Template'!Q497),"", 'Ingest Template'!Q497&amp;"|Operations - Core Title"))))</f>
        <v>#|Operations - Core Title
#videoGame|Operations - Core Title
</v>
      </c>
      <c r="AH498" s="25"/>
      <c r="AI498" s="25"/>
      <c r="AJ498" s="50" t="str">
        <f>if('Ingest Template'!A497="Standard",'Ingest Template'!R497&amp; "|DAR|DAR|2021-01-01",'Ingest Template'!R497&amp; "|Operations - Core Title|Operations - Core Title")</f>
        <v>#N/A</v>
      </c>
      <c r="AK498" s="25"/>
      <c r="AL498" s="25" t="str">
        <f>if('Ingest Template'!A497="Standard",'Ingest Template'!S497&amp; "|2021-01-01",'Ingest Template'!S497)</f>
        <v>#N/A</v>
      </c>
      <c r="AM498" s="25"/>
    </row>
    <row r="499">
      <c r="A499" s="25"/>
      <c r="B499" s="25" t="str">
        <f>'Ingest Template'!C498&amp;IF('Ingest Template'!A498 = "Standard", " - DAR","")</f>
        <v/>
      </c>
      <c r="C499" s="34" t="s">
        <v>92</v>
      </c>
      <c r="D499" s="34" t="str">
        <f>CONCATENATE('Ingest Template'!E499&amp;Char(10)&amp;'Ingest Template'!G499&amp;Char(10)&amp;'Ingest Template'!H499&amp;Char(10)&amp;'Ingest Template'!I499&amp;Char(10)&amp;'Ingest Template'!J499&amp;Char(10)&amp;'Ingest Template'!K499&amp;Char(10)&amp;'Ingest Template'!L499)</f>
        <v>
</v>
      </c>
      <c r="E499" s="25" t="str">
        <f>('Ingest Template'!M499)</f>
        <v/>
      </c>
      <c r="F499" s="40" t="str">
        <f t="array" ref="F499">INDEX(DropDown!$J$2:$J$63,MATCH(1,COUNTIF(E499,DropDown!$I$2:$I$63),0))</f>
        <v>#N/A</v>
      </c>
      <c r="G499" s="25"/>
      <c r="H499" s="25"/>
      <c r="I499" s="25"/>
      <c r="J499" s="25" t="str">
        <f>'Ingest Template'!B499</f>
        <v/>
      </c>
      <c r="K499" s="25" t="str">
        <f>IF('Ingest Template'!A498="Standard",'Ingest Template'!N498,"Competitive View")</f>
        <v>Competitive View</v>
      </c>
      <c r="L499" s="41" t="s">
        <v>145</v>
      </c>
      <c r="M499" s="25" t="str">
        <f>'Ingest Template'!D498</f>
        <v/>
      </c>
      <c r="N499" s="25"/>
      <c r="O499" s="25"/>
      <c r="P499" s="25"/>
      <c r="Q499" s="25"/>
      <c r="R499" s="25" t="str">
        <f>CONCATENATE('Ingest Template'!F498)</f>
        <v/>
      </c>
      <c r="S499" s="43" t="s">
        <v>160</v>
      </c>
      <c r="T499" s="25" t="str">
        <f>'Ingest Template'!W498</f>
        <v/>
      </c>
      <c r="U499" s="25"/>
      <c r="V499" s="25" t="str">
        <f>LOWER(SUBSTITUTE(SUBSTITUTE(SUBSTITUTE(SUBSTITUTE(SUBSTITUTE('Ingest Template'!Y498,"https:",""),"www.",""),"/",""),"?hl=en",""),"instagram.com",""))</f>
        <v/>
      </c>
      <c r="W499" s="34" t="str">
        <f>(IFERROR(vlookup('Ingest Template'!F499,DropDown!D:E,2,false)&amp;'Ingest Template'!C499,""))</f>
        <v/>
      </c>
      <c r="X499" s="25" t="str">
        <f>'Ingest Template'!AA498</f>
        <v/>
      </c>
      <c r="Y499" s="25"/>
      <c r="Z499" s="25"/>
      <c r="AA499" s="25"/>
      <c r="AB499" s="25" t="str">
        <f>'Ingest Template'!T498</f>
        <v/>
      </c>
      <c r="AC499" s="25"/>
      <c r="AD499" s="25" t="str">
        <f>'Ingest Template'!U498</f>
        <v/>
      </c>
      <c r="AE499" s="25" t="str">
        <f>'Ingest Template'!V498</f>
        <v/>
      </c>
      <c r="AF499" s="25"/>
      <c r="AG499" s="25" t="str">
        <f t="array" ref="AG499">IF('Ingest Template'!A498="Standard",(CONCATENATE(IF(ISBLANK('Ingest Template'!O498),"", 'Ingest Template'!O498&amp;"|DAR"),CHAR(10), IF(ISBLANK('Ingest Template'!P498),"", 'Ingest Template'!P498&amp;"|DAR"),CHAR(10), IF(ISBLANK('Ingest Template'!Q498),"", 'Ingest Template'!Q498&amp;"|DAR"))),(CONCATENATE(IF(ISBLANK('Ingest Template'!O498),"", 'Ingest Template'!O498&amp;"|Operations - Core Title"),CHAR(10), IF(ISBLANK('Ingest Template'!P498),"", 'Ingest Template'!P498&amp;"|Operations - Core Title"),CHAR(10), IF(ISBLANK('Ingest Template'!Q498),"", 'Ingest Template'!Q498&amp;"|Operations - Core Title"))))</f>
        <v>#|Operations - Core Title
#videoGame|Operations - Core Title
</v>
      </c>
      <c r="AH499" s="25"/>
      <c r="AI499" s="25"/>
      <c r="AJ499" s="50" t="str">
        <f>if('Ingest Template'!A498="Standard",'Ingest Template'!R498&amp; "|DAR|DAR|2021-01-01",'Ingest Template'!R498&amp; "|Operations - Core Title|Operations - Core Title")</f>
        <v>#N/A</v>
      </c>
      <c r="AK499" s="25"/>
      <c r="AL499" s="25" t="str">
        <f>if('Ingest Template'!A498="Standard",'Ingest Template'!S498&amp; "|2021-01-01",'Ingest Template'!S498)</f>
        <v>#N/A</v>
      </c>
      <c r="AM499" s="25"/>
    </row>
    <row r="500">
      <c r="A500" s="25"/>
      <c r="B500" s="25" t="str">
        <f>'Ingest Template'!C499&amp;IF('Ingest Template'!A499 = "Standard", " - DAR","")</f>
        <v/>
      </c>
      <c r="C500" s="34" t="s">
        <v>92</v>
      </c>
      <c r="D500" s="34" t="str">
        <f>CONCATENATE('Ingest Template'!E500&amp;Char(10)&amp;'Ingest Template'!G500&amp;Char(10)&amp;'Ingest Template'!H500&amp;Char(10)&amp;'Ingest Template'!I500&amp;Char(10)&amp;'Ingest Template'!J500&amp;Char(10)&amp;'Ingest Template'!K500&amp;Char(10)&amp;'Ingest Template'!L500)</f>
        <v>
</v>
      </c>
      <c r="E500" s="25" t="str">
        <f>('Ingest Template'!M500)</f>
        <v/>
      </c>
      <c r="F500" s="40" t="str">
        <f t="array" ref="F500">INDEX(DropDown!$J$2:$J$63,MATCH(1,COUNTIF(E500,DropDown!$I$2:$I$63),0))</f>
        <v>#N/A</v>
      </c>
      <c r="G500" s="25"/>
      <c r="H500" s="25"/>
      <c r="I500" s="25"/>
      <c r="J500" s="25" t="str">
        <f>'Ingest Template'!B500</f>
        <v/>
      </c>
      <c r="K500" s="25" t="str">
        <f>IF('Ingest Template'!A499="Standard",'Ingest Template'!N499,"Competitive View")</f>
        <v>Competitive View</v>
      </c>
      <c r="L500" s="41" t="s">
        <v>145</v>
      </c>
      <c r="M500" s="25" t="str">
        <f>'Ingest Template'!D499</f>
        <v/>
      </c>
      <c r="N500" s="25"/>
      <c r="O500" s="25"/>
      <c r="P500" s="25"/>
      <c r="Q500" s="25"/>
      <c r="R500" s="25" t="str">
        <f>CONCATENATE('Ingest Template'!F499)</f>
        <v/>
      </c>
      <c r="S500" s="43" t="s">
        <v>160</v>
      </c>
      <c r="T500" s="25" t="str">
        <f>'Ingest Template'!W499</f>
        <v/>
      </c>
      <c r="U500" s="25"/>
      <c r="V500" s="25" t="str">
        <f>LOWER(SUBSTITUTE(SUBSTITUTE(SUBSTITUTE(SUBSTITUTE(SUBSTITUTE('Ingest Template'!Y499,"https:",""),"www.",""),"/",""),"?hl=en",""),"instagram.com",""))</f>
        <v/>
      </c>
      <c r="W500" s="34" t="str">
        <f>(IFERROR(vlookup('Ingest Template'!F500,DropDown!D:E,2,false)&amp;'Ingest Template'!C500,""))</f>
        <v/>
      </c>
      <c r="X500" s="25" t="str">
        <f>'Ingest Template'!AA499</f>
        <v/>
      </c>
      <c r="Y500" s="25"/>
      <c r="Z500" s="25"/>
      <c r="AA500" s="25"/>
      <c r="AB500" s="25" t="str">
        <f>'Ingest Template'!T499</f>
        <v/>
      </c>
      <c r="AC500" s="25"/>
      <c r="AD500" s="25" t="str">
        <f>'Ingest Template'!U499</f>
        <v/>
      </c>
      <c r="AE500" s="25" t="str">
        <f>'Ingest Template'!V499</f>
        <v/>
      </c>
      <c r="AF500" s="25"/>
      <c r="AG500" s="25" t="str">
        <f t="array" ref="AG500">IF('Ingest Template'!A499="Standard",(CONCATENATE(IF(ISBLANK('Ingest Template'!O499),"", 'Ingest Template'!O499&amp;"|DAR"),CHAR(10), IF(ISBLANK('Ingest Template'!P499),"", 'Ingest Template'!P499&amp;"|DAR"),CHAR(10), IF(ISBLANK('Ingest Template'!Q499),"", 'Ingest Template'!Q499&amp;"|DAR"))),(CONCATENATE(IF(ISBLANK('Ingest Template'!O499),"", 'Ingest Template'!O499&amp;"|Operations - Core Title"),CHAR(10), IF(ISBLANK('Ingest Template'!P499),"", 'Ingest Template'!P499&amp;"|Operations - Core Title"),CHAR(10), IF(ISBLANK('Ingest Template'!Q499),"", 'Ingest Template'!Q499&amp;"|Operations - Core Title"))))</f>
        <v>#|Operations - Core Title
#videoGame|Operations - Core Title
</v>
      </c>
      <c r="AH500" s="25"/>
      <c r="AI500" s="25"/>
      <c r="AJ500" s="50" t="str">
        <f>if('Ingest Template'!A499="Standard",'Ingest Template'!R499&amp; "|DAR|DAR|2021-01-01",'Ingest Template'!R499&amp; "|Operations - Core Title|Operations - Core Title")</f>
        <v>#N/A</v>
      </c>
      <c r="AK500" s="25"/>
      <c r="AL500" s="25" t="str">
        <f>if('Ingest Template'!A499="Standard",'Ingest Template'!S499&amp; "|2021-01-01",'Ingest Template'!S499)</f>
        <v>#N/A</v>
      </c>
      <c r="AM500" s="25"/>
    </row>
    <row r="501">
      <c r="A501" s="25"/>
      <c r="B501" s="25" t="str">
        <f>'Ingest Template'!C500&amp;IF('Ingest Template'!A500 = "Standard", " - DAR","")</f>
        <v/>
      </c>
      <c r="C501" s="34" t="s">
        <v>92</v>
      </c>
      <c r="D501" s="34" t="str">
        <f>CONCATENATE('Ingest Template'!E501&amp;Char(10)&amp;'Ingest Template'!G501&amp;Char(10)&amp;'Ingest Template'!H501&amp;Char(10)&amp;'Ingest Template'!I501&amp;Char(10)&amp;'Ingest Template'!J501&amp;Char(10)&amp;'Ingest Template'!K501&amp;Char(10)&amp;'Ingest Template'!L501)</f>
        <v>
</v>
      </c>
      <c r="E501" s="25" t="str">
        <f>('Ingest Template'!M501)</f>
        <v/>
      </c>
      <c r="F501" s="40" t="str">
        <f t="array" ref="F501">INDEX(DropDown!$J$2:$J$63,MATCH(1,COUNTIF(E501,DropDown!$I$2:$I$63),0))</f>
        <v>#N/A</v>
      </c>
      <c r="G501" s="25"/>
      <c r="H501" s="25"/>
      <c r="I501" s="25"/>
      <c r="J501" s="25" t="str">
        <f>'Ingest Template'!B501</f>
        <v/>
      </c>
      <c r="K501" s="25" t="str">
        <f>IF('Ingest Template'!A500="Standard",'Ingest Template'!N500,"Competitive View")</f>
        <v>Competitive View</v>
      </c>
      <c r="L501" s="41" t="s">
        <v>145</v>
      </c>
      <c r="M501" s="25" t="str">
        <f>'Ingest Template'!D500</f>
        <v/>
      </c>
      <c r="N501" s="25"/>
      <c r="O501" s="25"/>
      <c r="P501" s="25"/>
      <c r="Q501" s="25"/>
      <c r="R501" s="25" t="str">
        <f>CONCATENATE('Ingest Template'!F500)</f>
        <v/>
      </c>
      <c r="S501" s="43" t="s">
        <v>160</v>
      </c>
      <c r="T501" s="25" t="str">
        <f>'Ingest Template'!W500</f>
        <v/>
      </c>
      <c r="U501" s="25"/>
      <c r="V501" s="25" t="str">
        <f>LOWER(SUBSTITUTE(SUBSTITUTE(SUBSTITUTE(SUBSTITUTE(SUBSTITUTE('Ingest Template'!Y500,"https:",""),"www.",""),"/",""),"?hl=en",""),"instagram.com",""))</f>
        <v/>
      </c>
      <c r="W501" s="34" t="str">
        <f>(IFERROR(vlookup('Ingest Template'!F501,DropDown!D:E,2,false)&amp;'Ingest Template'!C501,""))</f>
        <v/>
      </c>
      <c r="X501" s="25" t="str">
        <f>'Ingest Template'!AA500</f>
        <v/>
      </c>
      <c r="Y501" s="25"/>
      <c r="Z501" s="25"/>
      <c r="AA501" s="25"/>
      <c r="AB501" s="25" t="str">
        <f>'Ingest Template'!T500</f>
        <v/>
      </c>
      <c r="AC501" s="25"/>
      <c r="AD501" s="25" t="str">
        <f>'Ingest Template'!U500</f>
        <v/>
      </c>
      <c r="AE501" s="25" t="str">
        <f>'Ingest Template'!V500</f>
        <v/>
      </c>
      <c r="AF501" s="25"/>
      <c r="AG501" s="25" t="str">
        <f t="array" ref="AG501">IF('Ingest Template'!A500="Standard",(CONCATENATE(IF(ISBLANK('Ingest Template'!O500),"", 'Ingest Template'!O500&amp;"|DAR"),CHAR(10), IF(ISBLANK('Ingest Template'!P500),"", 'Ingest Template'!P500&amp;"|DAR"),CHAR(10), IF(ISBLANK('Ingest Template'!Q500),"", 'Ingest Template'!Q500&amp;"|DAR"))),(CONCATENATE(IF(ISBLANK('Ingest Template'!O500),"", 'Ingest Template'!O500&amp;"|Operations - Core Title"),CHAR(10), IF(ISBLANK('Ingest Template'!P500),"", 'Ingest Template'!P500&amp;"|Operations - Core Title"),CHAR(10), IF(ISBLANK('Ingest Template'!Q500),"", 'Ingest Template'!Q500&amp;"|Operations - Core Title"))))</f>
        <v>#|Operations - Core Title
#videoGame|Operations - Core Title
</v>
      </c>
      <c r="AH501" s="25"/>
      <c r="AI501" s="25"/>
      <c r="AJ501" s="50" t="str">
        <f>if('Ingest Template'!A500="Standard",'Ingest Template'!R500&amp; "|DAR|DAR|2021-01-01",'Ingest Template'!R500&amp; "|Operations - Core Title|Operations - Core Title")</f>
        <v>#N/A</v>
      </c>
      <c r="AK501" s="25"/>
      <c r="AL501" s="25" t="str">
        <f>if('Ingest Template'!A500="Standard",'Ingest Template'!S500&amp; "|2021-01-01",'Ingest Template'!S500)</f>
        <v>#N/A</v>
      </c>
      <c r="AM501" s="25"/>
    </row>
    <row r="502">
      <c r="A502" s="25"/>
      <c r="B502" s="25" t="str">
        <f>'Ingest Template'!C501&amp;IF('Ingest Template'!A501 = "Standard", " - DAR","")</f>
        <v/>
      </c>
      <c r="C502" s="34" t="s">
        <v>92</v>
      </c>
      <c r="D502" s="34" t="str">
        <f>CONCATENATE('Ingest Template'!E502&amp;Char(10)&amp;'Ingest Template'!G502&amp;Char(10)&amp;'Ingest Template'!H502&amp;Char(10)&amp;'Ingest Template'!I502&amp;Char(10)&amp;'Ingest Template'!J502&amp;Char(10)&amp;'Ingest Template'!K502&amp;Char(10)&amp;'Ingest Template'!L502)</f>
        <v>
</v>
      </c>
      <c r="E502" s="25" t="str">
        <f>('Ingest Template'!M502)</f>
        <v/>
      </c>
      <c r="F502" s="40" t="str">
        <f t="array" ref="F502">INDEX(DropDown!$J$2:$J$63,MATCH(1,COUNTIF(E502,DropDown!$I$2:$I$63),0))</f>
        <v>#N/A</v>
      </c>
      <c r="G502" s="25"/>
      <c r="H502" s="25"/>
      <c r="I502" s="25"/>
      <c r="J502" s="25" t="str">
        <f>'Ingest Template'!B502</f>
        <v/>
      </c>
      <c r="K502" s="25" t="str">
        <f>IF('Ingest Template'!A501="Standard",'Ingest Template'!N501,"Competitive View")</f>
        <v>Competitive View</v>
      </c>
      <c r="L502" s="41" t="s">
        <v>145</v>
      </c>
      <c r="M502" s="25" t="str">
        <f>'Ingest Template'!D501</f>
        <v/>
      </c>
      <c r="N502" s="25"/>
      <c r="O502" s="25"/>
      <c r="P502" s="25"/>
      <c r="Q502" s="25"/>
      <c r="R502" s="25" t="str">
        <f>CONCATENATE('Ingest Template'!F501)</f>
        <v/>
      </c>
      <c r="S502" s="43" t="s">
        <v>160</v>
      </c>
      <c r="T502" s="25" t="str">
        <f>'Ingest Template'!W501</f>
        <v/>
      </c>
      <c r="U502" s="25"/>
      <c r="V502" s="25" t="str">
        <f>LOWER(SUBSTITUTE(SUBSTITUTE(SUBSTITUTE(SUBSTITUTE(SUBSTITUTE('Ingest Template'!Y501,"https:",""),"www.",""),"/",""),"?hl=en",""),"instagram.com",""))</f>
        <v/>
      </c>
      <c r="W502" s="34" t="str">
        <f>(IFERROR(vlookup('Ingest Template'!F502,DropDown!D:E,2,false)&amp;'Ingest Template'!C502,""))</f>
        <v/>
      </c>
      <c r="X502" s="25" t="str">
        <f>'Ingest Template'!AA501</f>
        <v/>
      </c>
      <c r="Y502" s="25"/>
      <c r="Z502" s="25"/>
      <c r="AA502" s="25"/>
      <c r="AB502" s="25" t="str">
        <f>'Ingest Template'!T501</f>
        <v/>
      </c>
      <c r="AC502" s="25"/>
      <c r="AD502" s="25" t="str">
        <f>'Ingest Template'!U501</f>
        <v/>
      </c>
      <c r="AE502" s="25" t="str">
        <f>'Ingest Template'!V501</f>
        <v/>
      </c>
      <c r="AF502" s="25"/>
      <c r="AG502" s="25" t="str">
        <f t="array" ref="AG502">IF('Ingest Template'!A501="Standard",(CONCATENATE(IF(ISBLANK('Ingest Template'!O501),"", 'Ingest Template'!O501&amp;"|DAR"),CHAR(10), IF(ISBLANK('Ingest Template'!P501),"", 'Ingest Template'!P501&amp;"|DAR"),CHAR(10), IF(ISBLANK('Ingest Template'!Q501),"", 'Ingest Template'!Q501&amp;"|DAR"))),(CONCATENATE(IF(ISBLANK('Ingest Template'!O501),"", 'Ingest Template'!O501&amp;"|Operations - Core Title"),CHAR(10), IF(ISBLANK('Ingest Template'!P501),"", 'Ingest Template'!P501&amp;"|Operations - Core Title"),CHAR(10), IF(ISBLANK('Ingest Template'!Q501),"", 'Ingest Template'!Q501&amp;"|Operations - Core Title"))))</f>
        <v>#|Operations - Core Title
#videoGame|Operations - Core Title
</v>
      </c>
      <c r="AH502" s="25"/>
      <c r="AI502" s="25"/>
      <c r="AJ502" s="50" t="str">
        <f>if('Ingest Template'!A501="Standard",'Ingest Template'!R501&amp; "|DAR|DAR|2021-01-01",'Ingest Template'!R501&amp; "|Operations - Core Title|Operations - Core Title")</f>
        <v>#N/A</v>
      </c>
      <c r="AK502" s="25"/>
      <c r="AL502" s="25" t="str">
        <f>if('Ingest Template'!A501="Standard",'Ingest Template'!S501&amp; "|2021-01-01",'Ingest Template'!S501)</f>
        <v>#N/A</v>
      </c>
      <c r="AM502" s="25"/>
    </row>
    <row r="503">
      <c r="A503" s="25"/>
      <c r="B503" s="25" t="str">
        <f>'Ingest Template'!C502&amp;IF('Ingest Template'!A502 = "Standard", " - DAR","")</f>
        <v/>
      </c>
      <c r="C503" s="34" t="s">
        <v>92</v>
      </c>
      <c r="D503" s="34" t="str">
        <f>CONCATENATE('Ingest Template'!E503&amp;Char(10)&amp;'Ingest Template'!G503&amp;Char(10)&amp;'Ingest Template'!H503&amp;Char(10)&amp;'Ingest Template'!I503&amp;Char(10)&amp;'Ingest Template'!J503&amp;Char(10)&amp;'Ingest Template'!K503&amp;Char(10)&amp;'Ingest Template'!L503)</f>
        <v>
</v>
      </c>
      <c r="E503" s="25" t="str">
        <f>('Ingest Template'!M503)</f>
        <v/>
      </c>
      <c r="F503" s="40" t="str">
        <f t="array" ref="F503">INDEX(DropDown!$J$2:$J$63,MATCH(1,COUNTIF(E503,DropDown!$I$2:$I$63),0))</f>
        <v>#N/A</v>
      </c>
      <c r="G503" s="25"/>
      <c r="H503" s="25"/>
      <c r="I503" s="25"/>
      <c r="J503" s="25" t="str">
        <f>'Ingest Template'!B503</f>
        <v/>
      </c>
      <c r="K503" s="25" t="str">
        <f>IF('Ingest Template'!A502="Standard",'Ingest Template'!N502,"Competitive View")</f>
        <v>Competitive View</v>
      </c>
      <c r="L503" s="41" t="s">
        <v>145</v>
      </c>
      <c r="M503" s="25" t="str">
        <f>'Ingest Template'!D502</f>
        <v/>
      </c>
      <c r="N503" s="25"/>
      <c r="O503" s="25"/>
      <c r="P503" s="25"/>
      <c r="Q503" s="25"/>
      <c r="R503" s="25" t="str">
        <f>CONCATENATE('Ingest Template'!F502)</f>
        <v/>
      </c>
      <c r="S503" s="43" t="s">
        <v>160</v>
      </c>
      <c r="T503" s="25" t="str">
        <f>'Ingest Template'!W502</f>
        <v/>
      </c>
      <c r="U503" s="25"/>
      <c r="V503" s="25" t="str">
        <f>LOWER(SUBSTITUTE(SUBSTITUTE(SUBSTITUTE(SUBSTITUTE(SUBSTITUTE('Ingest Template'!Y502,"https:",""),"www.",""),"/",""),"?hl=en",""),"instagram.com",""))</f>
        <v/>
      </c>
      <c r="W503" s="34" t="str">
        <f>(IFERROR(vlookup('Ingest Template'!F503,DropDown!D:E,2,false)&amp;'Ingest Template'!C503,""))</f>
        <v/>
      </c>
      <c r="X503" s="25" t="str">
        <f>'Ingest Template'!AA502</f>
        <v/>
      </c>
      <c r="Y503" s="25"/>
      <c r="Z503" s="25"/>
      <c r="AA503" s="25"/>
      <c r="AB503" s="25" t="str">
        <f>'Ingest Template'!T502</f>
        <v/>
      </c>
      <c r="AC503" s="25"/>
      <c r="AD503" s="25" t="str">
        <f>'Ingest Template'!U502</f>
        <v/>
      </c>
      <c r="AE503" s="25" t="str">
        <f>'Ingest Template'!V502</f>
        <v/>
      </c>
      <c r="AF503" s="25"/>
      <c r="AG503" s="25" t="str">
        <f t="array" ref="AG503">IF('Ingest Template'!A502="Standard",(CONCATENATE(IF(ISBLANK('Ingest Template'!O502),"", 'Ingest Template'!O502&amp;"|DAR"),CHAR(10), IF(ISBLANK('Ingest Template'!P502),"", 'Ingest Template'!P502&amp;"|DAR"),CHAR(10), IF(ISBLANK('Ingest Template'!Q502),"", 'Ingest Template'!Q502&amp;"|DAR"))),(CONCATENATE(IF(ISBLANK('Ingest Template'!O502),"", 'Ingest Template'!O502&amp;"|Operations - Core Title"),CHAR(10), IF(ISBLANK('Ingest Template'!P502),"", 'Ingest Template'!P502&amp;"|Operations - Core Title"),CHAR(10), IF(ISBLANK('Ingest Template'!Q502),"", 'Ingest Template'!Q502&amp;"|Operations - Core Title"))))</f>
        <v>#|Operations - Core Title
#videoGame|Operations - Core Title
</v>
      </c>
      <c r="AH503" s="25"/>
      <c r="AI503" s="25"/>
      <c r="AJ503" s="50" t="str">
        <f>if('Ingest Template'!A502="Standard",'Ingest Template'!R502&amp; "|DAR|DAR|2021-01-01",'Ingest Template'!R502&amp; "|Operations - Core Title|Operations - Core Title")</f>
        <v>#N/A</v>
      </c>
      <c r="AK503" s="25"/>
      <c r="AL503" s="25" t="str">
        <f>if('Ingest Template'!A502="Standard",'Ingest Template'!S502&amp; "|2021-01-01",'Ingest Template'!S502)</f>
        <v>#N/A</v>
      </c>
      <c r="AM503" s="25"/>
    </row>
    <row r="504">
      <c r="A504" s="25"/>
      <c r="B504" s="25" t="str">
        <f>'Ingest Template'!C503&amp;IF('Ingest Template'!A503 = "Standard", " - DAR","")</f>
        <v/>
      </c>
      <c r="C504" s="34" t="s">
        <v>92</v>
      </c>
      <c r="D504" s="34" t="str">
        <f>CONCATENATE('Ingest Template'!E504&amp;Char(10)&amp;'Ingest Template'!G504&amp;Char(10)&amp;'Ingest Template'!H504&amp;Char(10)&amp;'Ingest Template'!I504&amp;Char(10)&amp;'Ingest Template'!J504&amp;Char(10)&amp;'Ingest Template'!K504&amp;Char(10)&amp;'Ingest Template'!L504)</f>
        <v>
</v>
      </c>
      <c r="E504" s="25" t="str">
        <f>('Ingest Template'!M504)</f>
        <v/>
      </c>
      <c r="F504" s="40" t="str">
        <f t="array" ref="F504">INDEX(DropDown!$J$2:$J$63,MATCH(1,COUNTIF(E504,DropDown!$I$2:$I$63),0))</f>
        <v>#N/A</v>
      </c>
      <c r="G504" s="25"/>
      <c r="H504" s="25"/>
      <c r="I504" s="25"/>
      <c r="J504" s="25" t="str">
        <f>'Ingest Template'!B504</f>
        <v/>
      </c>
      <c r="K504" s="25" t="str">
        <f>IF('Ingest Template'!A503="Standard",'Ingest Template'!N503,"Competitive View")</f>
        <v>Competitive View</v>
      </c>
      <c r="L504" s="41" t="s">
        <v>145</v>
      </c>
      <c r="M504" s="25" t="str">
        <f>'Ingest Template'!D503</f>
        <v/>
      </c>
      <c r="N504" s="25"/>
      <c r="O504" s="25"/>
      <c r="P504" s="25"/>
      <c r="Q504" s="25"/>
      <c r="R504" s="25" t="str">
        <f>CONCATENATE('Ingest Template'!F503)</f>
        <v/>
      </c>
      <c r="S504" s="43" t="s">
        <v>160</v>
      </c>
      <c r="T504" s="25" t="str">
        <f>'Ingest Template'!W503</f>
        <v/>
      </c>
      <c r="U504" s="25"/>
      <c r="V504" s="25" t="str">
        <f>LOWER(SUBSTITUTE(SUBSTITUTE(SUBSTITUTE(SUBSTITUTE(SUBSTITUTE('Ingest Template'!Y503,"https:",""),"www.",""),"/",""),"?hl=en",""),"instagram.com",""))</f>
        <v/>
      </c>
      <c r="W504" s="34" t="str">
        <f>(IFERROR(vlookup('Ingest Template'!F504,DropDown!D:E,2,false)&amp;'Ingest Template'!C504,""))</f>
        <v/>
      </c>
      <c r="X504" s="25" t="str">
        <f>'Ingest Template'!AA503</f>
        <v/>
      </c>
      <c r="Y504" s="25"/>
      <c r="Z504" s="25"/>
      <c r="AA504" s="25"/>
      <c r="AB504" s="25" t="str">
        <f>'Ingest Template'!T503</f>
        <v/>
      </c>
      <c r="AC504" s="25"/>
      <c r="AD504" s="25" t="str">
        <f>'Ingest Template'!U503</f>
        <v/>
      </c>
      <c r="AE504" s="25" t="str">
        <f>'Ingest Template'!V503</f>
        <v/>
      </c>
      <c r="AF504" s="25"/>
      <c r="AG504" s="25" t="str">
        <f t="array" ref="AG504">IF('Ingest Template'!A503="Standard",(CONCATENATE(IF(ISBLANK('Ingest Template'!O503),"", 'Ingest Template'!O503&amp;"|DAR"),CHAR(10), IF(ISBLANK('Ingest Template'!P503),"", 'Ingest Template'!P503&amp;"|DAR"),CHAR(10), IF(ISBLANK('Ingest Template'!Q503),"", 'Ingest Template'!Q503&amp;"|DAR"))),(CONCATENATE(IF(ISBLANK('Ingest Template'!O503),"", 'Ingest Template'!O503&amp;"|Operations - Core Title"),CHAR(10), IF(ISBLANK('Ingest Template'!P503),"", 'Ingest Template'!P503&amp;"|Operations - Core Title"),CHAR(10), IF(ISBLANK('Ingest Template'!Q503),"", 'Ingest Template'!Q503&amp;"|Operations - Core Title"))))</f>
        <v>#|Operations - Core Title
#videoGame|Operations - Core Title
</v>
      </c>
      <c r="AH504" s="25"/>
      <c r="AI504" s="25"/>
      <c r="AJ504" s="50" t="str">
        <f>if('Ingest Template'!A503="Standard",'Ingest Template'!R503&amp; "|DAR|DAR|2021-01-01",'Ingest Template'!R503&amp; "|Operations - Core Title|Operations - Core Title")</f>
        <v>#N/A</v>
      </c>
      <c r="AK504" s="25"/>
      <c r="AL504" s="25" t="str">
        <f>if('Ingest Template'!A503="Standard",'Ingest Template'!S503&amp; "|2021-01-01",'Ingest Template'!S503)</f>
        <v>#N/A</v>
      </c>
      <c r="AM504" s="25"/>
    </row>
    <row r="505">
      <c r="A505" s="25"/>
      <c r="B505" s="25" t="str">
        <f>'Ingest Template'!C504&amp;IF('Ingest Template'!A504 = "Standard", " - DAR","")</f>
        <v/>
      </c>
      <c r="C505" s="34" t="s">
        <v>92</v>
      </c>
      <c r="D505" s="34" t="str">
        <f>CONCATENATE('Ingest Template'!E505&amp;Char(10)&amp;'Ingest Template'!G505&amp;Char(10)&amp;'Ingest Template'!H505&amp;Char(10)&amp;'Ingest Template'!I505&amp;Char(10)&amp;'Ingest Template'!J505&amp;Char(10)&amp;'Ingest Template'!K505&amp;Char(10)&amp;'Ingest Template'!L505)</f>
        <v>
</v>
      </c>
      <c r="E505" s="25" t="str">
        <f>('Ingest Template'!M505)</f>
        <v/>
      </c>
      <c r="F505" s="40" t="str">
        <f t="array" ref="F505">INDEX(DropDown!$J$2:$J$63,MATCH(1,COUNTIF(E505,DropDown!$I$2:$I$63),0))</f>
        <v>#N/A</v>
      </c>
      <c r="G505" s="25"/>
      <c r="H505" s="25"/>
      <c r="I505" s="25"/>
      <c r="J505" s="25" t="str">
        <f>'Ingest Template'!B505</f>
        <v/>
      </c>
      <c r="K505" s="25" t="str">
        <f>IF('Ingest Template'!A504="Standard",'Ingest Template'!N504,"Competitive View")</f>
        <v>Competitive View</v>
      </c>
      <c r="L505" s="41" t="s">
        <v>145</v>
      </c>
      <c r="M505" s="25" t="str">
        <f>'Ingest Template'!D504</f>
        <v/>
      </c>
      <c r="N505" s="25"/>
      <c r="O505" s="25"/>
      <c r="P505" s="25"/>
      <c r="Q505" s="25"/>
      <c r="R505" s="25" t="str">
        <f>CONCATENATE('Ingest Template'!F504)</f>
        <v/>
      </c>
      <c r="S505" s="43" t="s">
        <v>160</v>
      </c>
      <c r="T505" s="25" t="str">
        <f>'Ingest Template'!W504</f>
        <v/>
      </c>
      <c r="U505" s="25"/>
      <c r="V505" s="25" t="str">
        <f>LOWER(SUBSTITUTE(SUBSTITUTE(SUBSTITUTE(SUBSTITUTE(SUBSTITUTE('Ingest Template'!Y504,"https:",""),"www.",""),"/",""),"?hl=en",""),"instagram.com",""))</f>
        <v/>
      </c>
      <c r="W505" s="34" t="str">
        <f>(IFERROR(vlookup('Ingest Template'!F505,DropDown!D:E,2,false)&amp;'Ingest Template'!C505,""))</f>
        <v/>
      </c>
      <c r="X505" s="25" t="str">
        <f>'Ingest Template'!AA504</f>
        <v/>
      </c>
      <c r="Y505" s="25"/>
      <c r="Z505" s="25"/>
      <c r="AA505" s="25"/>
      <c r="AB505" s="25" t="str">
        <f>'Ingest Template'!T504</f>
        <v/>
      </c>
      <c r="AC505" s="25"/>
      <c r="AD505" s="25" t="str">
        <f>'Ingest Template'!U504</f>
        <v/>
      </c>
      <c r="AE505" s="25" t="str">
        <f>'Ingest Template'!V504</f>
        <v/>
      </c>
      <c r="AF505" s="25"/>
      <c r="AG505" s="25" t="str">
        <f t="array" ref="AG505">IF('Ingest Template'!A504="Standard",(CONCATENATE(IF(ISBLANK('Ingest Template'!O504),"", 'Ingest Template'!O504&amp;"|DAR"),CHAR(10), IF(ISBLANK('Ingest Template'!P504),"", 'Ingest Template'!P504&amp;"|DAR"),CHAR(10), IF(ISBLANK('Ingest Template'!Q504),"", 'Ingest Template'!Q504&amp;"|DAR"))),(CONCATENATE(IF(ISBLANK('Ingest Template'!O504),"", 'Ingest Template'!O504&amp;"|Operations - Core Title"),CHAR(10), IF(ISBLANK('Ingest Template'!P504),"", 'Ingest Template'!P504&amp;"|Operations - Core Title"),CHAR(10), IF(ISBLANK('Ingest Template'!Q504),"", 'Ingest Template'!Q504&amp;"|Operations - Core Title"))))</f>
        <v>#|Operations - Core Title
#videoGame|Operations - Core Title
</v>
      </c>
      <c r="AH505" s="25"/>
      <c r="AI505" s="25"/>
      <c r="AJ505" s="50" t="str">
        <f>if('Ingest Template'!A504="Standard",'Ingest Template'!R504&amp; "|DAR|DAR|2021-01-01",'Ingest Template'!R504&amp; "|Operations - Core Title|Operations - Core Title")</f>
        <v>#N/A</v>
      </c>
      <c r="AK505" s="25"/>
      <c r="AL505" s="25" t="str">
        <f>if('Ingest Template'!A504="Standard",'Ingest Template'!S504&amp; "|2021-01-01",'Ingest Template'!S504)</f>
        <v>#N/A</v>
      </c>
      <c r="AM505" s="25"/>
    </row>
    <row r="506">
      <c r="A506" s="25"/>
      <c r="B506" s="25" t="str">
        <f>'Ingest Template'!C505&amp;IF('Ingest Template'!A505 = "Standard", " - DAR","")</f>
        <v/>
      </c>
      <c r="C506" s="34" t="s">
        <v>92</v>
      </c>
      <c r="D506" s="34" t="str">
        <f>CONCATENATE('Ingest Template'!E506&amp;Char(10)&amp;'Ingest Template'!G506&amp;Char(10)&amp;'Ingest Template'!H506&amp;Char(10)&amp;'Ingest Template'!I506&amp;Char(10)&amp;'Ingest Template'!J506&amp;Char(10)&amp;'Ingest Template'!K506&amp;Char(10)&amp;'Ingest Template'!L506)</f>
        <v>
</v>
      </c>
      <c r="E506" s="25" t="str">
        <f>('Ingest Template'!M506)</f>
        <v/>
      </c>
      <c r="F506" s="40" t="str">
        <f t="array" ref="F506">INDEX(DropDown!$J$2:$J$63,MATCH(1,COUNTIF(E506,DropDown!$I$2:$I$63),0))</f>
        <v>#N/A</v>
      </c>
      <c r="G506" s="25"/>
      <c r="H506" s="25"/>
      <c r="I506" s="25"/>
      <c r="J506" s="25" t="str">
        <f>'Ingest Template'!B506</f>
        <v/>
      </c>
      <c r="K506" s="25" t="str">
        <f>IF('Ingest Template'!A505="Standard",'Ingest Template'!N505,"Competitive View")</f>
        <v>Competitive View</v>
      </c>
      <c r="L506" s="41" t="s">
        <v>145</v>
      </c>
      <c r="M506" s="25" t="str">
        <f>'Ingest Template'!D505</f>
        <v/>
      </c>
      <c r="N506" s="25"/>
      <c r="O506" s="25"/>
      <c r="P506" s="25"/>
      <c r="Q506" s="25"/>
      <c r="R506" s="25" t="str">
        <f>CONCATENATE('Ingest Template'!F505)</f>
        <v/>
      </c>
      <c r="S506" s="43" t="s">
        <v>160</v>
      </c>
      <c r="T506" s="25" t="str">
        <f>'Ingest Template'!W505</f>
        <v/>
      </c>
      <c r="U506" s="25"/>
      <c r="V506" s="25" t="str">
        <f>LOWER(SUBSTITUTE(SUBSTITUTE(SUBSTITUTE(SUBSTITUTE(SUBSTITUTE('Ingest Template'!Y505,"https:",""),"www.",""),"/",""),"?hl=en",""),"instagram.com",""))</f>
        <v/>
      </c>
      <c r="W506" s="34" t="str">
        <f>(IFERROR(vlookup('Ingest Template'!F506,DropDown!D:E,2,false)&amp;'Ingest Template'!C506,""))</f>
        <v/>
      </c>
      <c r="X506" s="25" t="str">
        <f>'Ingest Template'!AA505</f>
        <v/>
      </c>
      <c r="Y506" s="25"/>
      <c r="Z506" s="25"/>
      <c r="AA506" s="25"/>
      <c r="AB506" s="25" t="str">
        <f>'Ingest Template'!T505</f>
        <v/>
      </c>
      <c r="AC506" s="25"/>
      <c r="AD506" s="25" t="str">
        <f>'Ingest Template'!U505</f>
        <v/>
      </c>
      <c r="AE506" s="25" t="str">
        <f>'Ingest Template'!V505</f>
        <v/>
      </c>
      <c r="AF506" s="25"/>
      <c r="AG506" s="25" t="str">
        <f t="array" ref="AG506">IF('Ingest Template'!A505="Standard",(CONCATENATE(IF(ISBLANK('Ingest Template'!O505),"", 'Ingest Template'!O505&amp;"|DAR"),CHAR(10), IF(ISBLANK('Ingest Template'!P505),"", 'Ingest Template'!P505&amp;"|DAR"),CHAR(10), IF(ISBLANK('Ingest Template'!Q505),"", 'Ingest Template'!Q505&amp;"|DAR"))),(CONCATENATE(IF(ISBLANK('Ingest Template'!O505),"", 'Ingest Template'!O505&amp;"|Operations - Core Title"),CHAR(10), IF(ISBLANK('Ingest Template'!P505),"", 'Ingest Template'!P505&amp;"|Operations - Core Title"),CHAR(10), IF(ISBLANK('Ingest Template'!Q505),"", 'Ingest Template'!Q505&amp;"|Operations - Core Title"))))</f>
        <v>#|Operations - Core Title
#videoGame|Operations - Core Title
</v>
      </c>
      <c r="AH506" s="25"/>
      <c r="AI506" s="25"/>
      <c r="AJ506" s="50" t="str">
        <f>if('Ingest Template'!A505="Standard",'Ingest Template'!R505&amp; "|DAR|DAR|2021-01-01",'Ingest Template'!R505&amp; "|Operations - Core Title|Operations - Core Title")</f>
        <v>#N/A</v>
      </c>
      <c r="AK506" s="25"/>
      <c r="AL506" s="25" t="str">
        <f>if('Ingest Template'!A505="Standard",'Ingest Template'!S505&amp; "|2021-01-01",'Ingest Template'!S505)</f>
        <v>#N/A</v>
      </c>
      <c r="AM506" s="25"/>
    </row>
    <row r="507">
      <c r="A507" s="25"/>
      <c r="B507" s="25" t="str">
        <f>'Ingest Template'!C506&amp;IF('Ingest Template'!A506 = "Standard", " - DAR","")</f>
        <v/>
      </c>
      <c r="C507" s="34" t="s">
        <v>92</v>
      </c>
      <c r="D507" s="34" t="str">
        <f>CONCATENATE('Ingest Template'!E507&amp;Char(10)&amp;'Ingest Template'!G507&amp;Char(10)&amp;'Ingest Template'!H507&amp;Char(10)&amp;'Ingest Template'!I507&amp;Char(10)&amp;'Ingest Template'!J507&amp;Char(10)&amp;'Ingest Template'!K507&amp;Char(10)&amp;'Ingest Template'!L507)</f>
        <v>
</v>
      </c>
      <c r="E507" s="25" t="str">
        <f>('Ingest Template'!M507)</f>
        <v/>
      </c>
      <c r="F507" s="40" t="str">
        <f t="array" ref="F507">INDEX(DropDown!$J$2:$J$63,MATCH(1,COUNTIF(E507,DropDown!$I$2:$I$63),0))</f>
        <v>#N/A</v>
      </c>
      <c r="G507" s="25"/>
      <c r="H507" s="25"/>
      <c r="I507" s="25"/>
      <c r="J507" s="25" t="str">
        <f>'Ingest Template'!B507</f>
        <v/>
      </c>
      <c r="K507" s="25" t="str">
        <f>IF('Ingest Template'!A506="Standard",'Ingest Template'!N506,"Competitive View")</f>
        <v>Competitive View</v>
      </c>
      <c r="L507" s="41" t="s">
        <v>145</v>
      </c>
      <c r="M507" s="25" t="str">
        <f>'Ingest Template'!D506</f>
        <v/>
      </c>
      <c r="N507" s="25"/>
      <c r="O507" s="25"/>
      <c r="P507" s="25"/>
      <c r="Q507" s="25"/>
      <c r="R507" s="25" t="str">
        <f>CONCATENATE('Ingest Template'!F506)</f>
        <v/>
      </c>
      <c r="S507" s="43" t="s">
        <v>160</v>
      </c>
      <c r="T507" s="25" t="str">
        <f>'Ingest Template'!W506</f>
        <v/>
      </c>
      <c r="U507" s="25"/>
      <c r="V507" s="25" t="str">
        <f>LOWER(SUBSTITUTE(SUBSTITUTE(SUBSTITUTE(SUBSTITUTE(SUBSTITUTE('Ingest Template'!Y506,"https:",""),"www.",""),"/",""),"?hl=en",""),"instagram.com",""))</f>
        <v/>
      </c>
      <c r="W507" s="34" t="str">
        <f>(IFERROR(vlookup('Ingest Template'!F507,DropDown!D:E,2,false)&amp;'Ingest Template'!C507,""))</f>
        <v/>
      </c>
      <c r="X507" s="25" t="str">
        <f>'Ingest Template'!AA506</f>
        <v/>
      </c>
      <c r="Y507" s="25"/>
      <c r="Z507" s="25"/>
      <c r="AA507" s="25"/>
      <c r="AB507" s="25" t="str">
        <f>'Ingest Template'!T506</f>
        <v/>
      </c>
      <c r="AC507" s="25"/>
      <c r="AD507" s="25" t="str">
        <f>'Ingest Template'!U506</f>
        <v/>
      </c>
      <c r="AE507" s="25" t="str">
        <f>'Ingest Template'!V506</f>
        <v/>
      </c>
      <c r="AF507" s="25"/>
      <c r="AG507" s="25" t="str">
        <f t="array" ref="AG507">IF('Ingest Template'!A506="Standard",(CONCATENATE(IF(ISBLANK('Ingest Template'!O506),"", 'Ingest Template'!O506&amp;"|DAR"),CHAR(10), IF(ISBLANK('Ingest Template'!P506),"", 'Ingest Template'!P506&amp;"|DAR"),CHAR(10), IF(ISBLANK('Ingest Template'!Q506),"", 'Ingest Template'!Q506&amp;"|DAR"))),(CONCATENATE(IF(ISBLANK('Ingest Template'!O506),"", 'Ingest Template'!O506&amp;"|Operations - Core Title"),CHAR(10), IF(ISBLANK('Ingest Template'!P506),"", 'Ingest Template'!P506&amp;"|Operations - Core Title"),CHAR(10), IF(ISBLANK('Ingest Template'!Q506),"", 'Ingest Template'!Q506&amp;"|Operations - Core Title"))))</f>
        <v>#|Operations - Core Title
#videoGame|Operations - Core Title
</v>
      </c>
      <c r="AH507" s="25"/>
      <c r="AI507" s="25"/>
      <c r="AJ507" s="50" t="str">
        <f>if('Ingest Template'!A506="Standard",'Ingest Template'!R506&amp; "|DAR|DAR|2021-01-01",'Ingest Template'!R506&amp; "|Operations - Core Title|Operations - Core Title")</f>
        <v>#N/A</v>
      </c>
      <c r="AK507" s="25"/>
      <c r="AL507" s="25" t="str">
        <f>if('Ingest Template'!A506="Standard",'Ingest Template'!S506&amp; "|2021-01-01",'Ingest Template'!S506)</f>
        <v>#N/A</v>
      </c>
      <c r="AM507" s="25"/>
    </row>
    <row r="508">
      <c r="A508" s="25"/>
      <c r="B508" s="25" t="str">
        <f>'Ingest Template'!C507&amp;IF('Ingest Template'!A507 = "Standard", " - DAR","")</f>
        <v/>
      </c>
      <c r="C508" s="34" t="s">
        <v>92</v>
      </c>
      <c r="D508" s="34" t="str">
        <f>CONCATENATE('Ingest Template'!E508&amp;Char(10)&amp;'Ingest Template'!G508&amp;Char(10)&amp;'Ingest Template'!H508&amp;Char(10)&amp;'Ingest Template'!I508&amp;Char(10)&amp;'Ingest Template'!J508&amp;Char(10)&amp;'Ingest Template'!K508&amp;Char(10)&amp;'Ingest Template'!L508)</f>
        <v>
</v>
      </c>
      <c r="E508" s="25" t="str">
        <f>('Ingest Template'!M508)</f>
        <v/>
      </c>
      <c r="F508" s="40" t="str">
        <f t="array" ref="F508">INDEX(DropDown!$J$2:$J$63,MATCH(1,COUNTIF(E508,DropDown!$I$2:$I$63),0))</f>
        <v>#N/A</v>
      </c>
      <c r="G508" s="25"/>
      <c r="H508" s="25"/>
      <c r="I508" s="25"/>
      <c r="J508" s="25" t="str">
        <f>'Ingest Template'!B508</f>
        <v/>
      </c>
      <c r="K508" s="25" t="str">
        <f>IF('Ingest Template'!A507="Standard",'Ingest Template'!N507,"Competitive View")</f>
        <v>Competitive View</v>
      </c>
      <c r="L508" s="41" t="s">
        <v>145</v>
      </c>
      <c r="M508" s="25" t="str">
        <f>'Ingest Template'!D507</f>
        <v/>
      </c>
      <c r="N508" s="25"/>
      <c r="O508" s="25"/>
      <c r="P508" s="25"/>
      <c r="Q508" s="25"/>
      <c r="R508" s="25" t="str">
        <f>CONCATENATE('Ingest Template'!F507)</f>
        <v/>
      </c>
      <c r="S508" s="43" t="s">
        <v>160</v>
      </c>
      <c r="T508" s="25" t="str">
        <f>'Ingest Template'!W507</f>
        <v/>
      </c>
      <c r="U508" s="25"/>
      <c r="V508" s="25" t="str">
        <f>LOWER(SUBSTITUTE(SUBSTITUTE(SUBSTITUTE(SUBSTITUTE(SUBSTITUTE('Ingest Template'!Y507,"https:",""),"www.",""),"/",""),"?hl=en",""),"instagram.com",""))</f>
        <v/>
      </c>
      <c r="W508" s="34" t="str">
        <f>(IFERROR(vlookup('Ingest Template'!F508,DropDown!D:E,2,false)&amp;'Ingest Template'!C508,""))</f>
        <v/>
      </c>
      <c r="X508" s="25" t="str">
        <f>'Ingest Template'!AA507</f>
        <v/>
      </c>
      <c r="Y508" s="25"/>
      <c r="Z508" s="25"/>
      <c r="AA508" s="25"/>
      <c r="AB508" s="25" t="str">
        <f>'Ingest Template'!T507</f>
        <v/>
      </c>
      <c r="AC508" s="25"/>
      <c r="AD508" s="25" t="str">
        <f>'Ingest Template'!U507</f>
        <v/>
      </c>
      <c r="AE508" s="25" t="str">
        <f>'Ingest Template'!V507</f>
        <v/>
      </c>
      <c r="AF508" s="25"/>
      <c r="AG508" s="25" t="str">
        <f t="array" ref="AG508">IF('Ingest Template'!A507="Standard",(CONCATENATE(IF(ISBLANK('Ingest Template'!O507),"", 'Ingest Template'!O507&amp;"|DAR"),CHAR(10), IF(ISBLANK('Ingest Template'!P507),"", 'Ingest Template'!P507&amp;"|DAR"),CHAR(10), IF(ISBLANK('Ingest Template'!Q507),"", 'Ingest Template'!Q507&amp;"|DAR"))),(CONCATENATE(IF(ISBLANK('Ingest Template'!O507),"", 'Ingest Template'!O507&amp;"|Operations - Core Title"),CHAR(10), IF(ISBLANK('Ingest Template'!P507),"", 'Ingest Template'!P507&amp;"|Operations - Core Title"),CHAR(10), IF(ISBLANK('Ingest Template'!Q507),"", 'Ingest Template'!Q507&amp;"|Operations - Core Title"))))</f>
        <v>#|Operations - Core Title
#videoGame|Operations - Core Title
</v>
      </c>
      <c r="AH508" s="25"/>
      <c r="AI508" s="25"/>
      <c r="AJ508" s="50" t="str">
        <f>if('Ingest Template'!A507="Standard",'Ingest Template'!R507&amp; "|DAR|DAR|2021-01-01",'Ingest Template'!R507&amp; "|Operations - Core Title|Operations - Core Title")</f>
        <v>#N/A</v>
      </c>
      <c r="AK508" s="25"/>
      <c r="AL508" s="25" t="str">
        <f>if('Ingest Template'!A507="Standard",'Ingest Template'!S507&amp; "|2021-01-01",'Ingest Template'!S507)</f>
        <v>#N/A</v>
      </c>
      <c r="AM508" s="25"/>
    </row>
    <row r="509">
      <c r="A509" s="25"/>
      <c r="B509" s="25" t="str">
        <f>'Ingest Template'!C508&amp;IF('Ingest Template'!A508 = "Standard", " - DAR","")</f>
        <v/>
      </c>
      <c r="C509" s="34" t="s">
        <v>92</v>
      </c>
      <c r="D509" s="34" t="str">
        <f>CONCATENATE('Ingest Template'!E509&amp;Char(10)&amp;'Ingest Template'!G509&amp;Char(10)&amp;'Ingest Template'!H509&amp;Char(10)&amp;'Ingest Template'!I509&amp;Char(10)&amp;'Ingest Template'!J509&amp;Char(10)&amp;'Ingest Template'!K509&amp;Char(10)&amp;'Ingest Template'!L509)</f>
        <v>
</v>
      </c>
      <c r="E509" s="25" t="str">
        <f>('Ingest Template'!M509)</f>
        <v/>
      </c>
      <c r="F509" s="40" t="str">
        <f t="array" ref="F509">INDEX(DropDown!$J$2:$J$63,MATCH(1,COUNTIF(E509,DropDown!$I$2:$I$63),0))</f>
        <v>#N/A</v>
      </c>
      <c r="G509" s="25"/>
      <c r="H509" s="25"/>
      <c r="I509" s="25"/>
      <c r="J509" s="25" t="str">
        <f>'Ingest Template'!B509</f>
        <v/>
      </c>
      <c r="K509" s="25" t="str">
        <f>IF('Ingest Template'!A508="Standard",'Ingest Template'!N508,"Competitive View")</f>
        <v>Competitive View</v>
      </c>
      <c r="L509" s="41" t="s">
        <v>145</v>
      </c>
      <c r="M509" s="25" t="str">
        <f>'Ingest Template'!D508</f>
        <v/>
      </c>
      <c r="N509" s="25"/>
      <c r="O509" s="25"/>
      <c r="P509" s="25"/>
      <c r="Q509" s="25"/>
      <c r="R509" s="25" t="str">
        <f>CONCATENATE('Ingest Template'!F508)</f>
        <v/>
      </c>
      <c r="S509" s="43" t="s">
        <v>160</v>
      </c>
      <c r="T509" s="25" t="str">
        <f>'Ingest Template'!W508</f>
        <v/>
      </c>
      <c r="U509" s="25"/>
      <c r="V509" s="25" t="str">
        <f>LOWER(SUBSTITUTE(SUBSTITUTE(SUBSTITUTE(SUBSTITUTE(SUBSTITUTE('Ingest Template'!Y508,"https:",""),"www.",""),"/",""),"?hl=en",""),"instagram.com",""))</f>
        <v/>
      </c>
      <c r="W509" s="34" t="str">
        <f>(IFERROR(vlookup('Ingest Template'!F509,DropDown!D:E,2,false)&amp;'Ingest Template'!C509,""))</f>
        <v/>
      </c>
      <c r="X509" s="25" t="str">
        <f>'Ingest Template'!AA508</f>
        <v/>
      </c>
      <c r="Y509" s="25"/>
      <c r="Z509" s="25"/>
      <c r="AA509" s="25"/>
      <c r="AB509" s="25" t="str">
        <f>'Ingest Template'!T508</f>
        <v/>
      </c>
      <c r="AC509" s="25"/>
      <c r="AD509" s="25" t="str">
        <f>'Ingest Template'!U508</f>
        <v/>
      </c>
      <c r="AE509" s="25" t="str">
        <f>'Ingest Template'!V508</f>
        <v/>
      </c>
      <c r="AF509" s="25"/>
      <c r="AG509" s="25" t="str">
        <f t="array" ref="AG509">IF('Ingest Template'!A508="Standard",(CONCATENATE(IF(ISBLANK('Ingest Template'!O508),"", 'Ingest Template'!O508&amp;"|DAR"),CHAR(10), IF(ISBLANK('Ingest Template'!P508),"", 'Ingest Template'!P508&amp;"|DAR"),CHAR(10), IF(ISBLANK('Ingest Template'!Q508),"", 'Ingest Template'!Q508&amp;"|DAR"))),(CONCATENATE(IF(ISBLANK('Ingest Template'!O508),"", 'Ingest Template'!O508&amp;"|Operations - Core Title"),CHAR(10), IF(ISBLANK('Ingest Template'!P508),"", 'Ingest Template'!P508&amp;"|Operations - Core Title"),CHAR(10), IF(ISBLANK('Ingest Template'!Q508),"", 'Ingest Template'!Q508&amp;"|Operations - Core Title"))))</f>
        <v>#|Operations - Core Title
#videoGame|Operations - Core Title
</v>
      </c>
      <c r="AH509" s="25"/>
      <c r="AI509" s="25"/>
      <c r="AJ509" s="50" t="str">
        <f>if('Ingest Template'!A508="Standard",'Ingest Template'!R508&amp; "|DAR|DAR|2021-01-01",'Ingest Template'!R508&amp; "|Operations - Core Title|Operations - Core Title")</f>
        <v>#N/A</v>
      </c>
      <c r="AK509" s="25"/>
      <c r="AL509" s="25" t="str">
        <f>if('Ingest Template'!A508="Standard",'Ingest Template'!S508&amp; "|2021-01-01",'Ingest Template'!S508)</f>
        <v>#N/A</v>
      </c>
      <c r="AM509" s="25"/>
    </row>
    <row r="510">
      <c r="A510" s="25"/>
      <c r="B510" s="25" t="str">
        <f>'Ingest Template'!C509&amp;IF('Ingest Template'!A509 = "Standard", " - DAR","")</f>
        <v/>
      </c>
      <c r="C510" s="34" t="s">
        <v>92</v>
      </c>
      <c r="D510" s="34" t="str">
        <f>CONCATENATE('Ingest Template'!E510&amp;Char(10)&amp;'Ingest Template'!G510&amp;Char(10)&amp;'Ingest Template'!H510&amp;Char(10)&amp;'Ingest Template'!I510&amp;Char(10)&amp;'Ingest Template'!J510&amp;Char(10)&amp;'Ingest Template'!K510&amp;Char(10)&amp;'Ingest Template'!L510)</f>
        <v>
</v>
      </c>
      <c r="E510" s="25" t="str">
        <f>('Ingest Template'!M510)</f>
        <v/>
      </c>
      <c r="F510" s="40" t="str">
        <f t="array" ref="F510">INDEX(DropDown!$J$2:$J$63,MATCH(1,COUNTIF(E510,DropDown!$I$2:$I$63),0))</f>
        <v>#N/A</v>
      </c>
      <c r="G510" s="25"/>
      <c r="H510" s="25"/>
      <c r="I510" s="25"/>
      <c r="J510" s="25" t="str">
        <f>'Ingest Template'!B510</f>
        <v/>
      </c>
      <c r="K510" s="25" t="str">
        <f>IF('Ingest Template'!A509="Standard",'Ingest Template'!N509,"Competitive View")</f>
        <v>Competitive View</v>
      </c>
      <c r="L510" s="41" t="s">
        <v>145</v>
      </c>
      <c r="M510" s="25" t="str">
        <f>'Ingest Template'!D509</f>
        <v/>
      </c>
      <c r="N510" s="25"/>
      <c r="O510" s="25"/>
      <c r="P510" s="25"/>
      <c r="Q510" s="25"/>
      <c r="R510" s="25" t="str">
        <f>CONCATENATE('Ingest Template'!F509)</f>
        <v/>
      </c>
      <c r="S510" s="43" t="s">
        <v>160</v>
      </c>
      <c r="T510" s="25" t="str">
        <f>'Ingest Template'!W509</f>
        <v/>
      </c>
      <c r="U510" s="25"/>
      <c r="V510" s="25" t="str">
        <f>LOWER(SUBSTITUTE(SUBSTITUTE(SUBSTITUTE(SUBSTITUTE(SUBSTITUTE('Ingest Template'!Y509,"https:",""),"www.",""),"/",""),"?hl=en",""),"instagram.com",""))</f>
        <v/>
      </c>
      <c r="W510" s="34" t="str">
        <f>(IFERROR(vlookup('Ingest Template'!F510,DropDown!D:E,2,false)&amp;'Ingest Template'!C510,""))</f>
        <v/>
      </c>
      <c r="X510" s="25" t="str">
        <f>'Ingest Template'!AA509</f>
        <v/>
      </c>
      <c r="Y510" s="25"/>
      <c r="Z510" s="25"/>
      <c r="AA510" s="25"/>
      <c r="AB510" s="25" t="str">
        <f>'Ingest Template'!T509</f>
        <v/>
      </c>
      <c r="AC510" s="25"/>
      <c r="AD510" s="25" t="str">
        <f>'Ingest Template'!U509</f>
        <v/>
      </c>
      <c r="AE510" s="25" t="str">
        <f>'Ingest Template'!V509</f>
        <v/>
      </c>
      <c r="AF510" s="25"/>
      <c r="AG510" s="25" t="str">
        <f t="array" ref="AG510">IF('Ingest Template'!A509="Standard",(CONCATENATE(IF(ISBLANK('Ingest Template'!O509),"", 'Ingest Template'!O509&amp;"|DAR"),CHAR(10), IF(ISBLANK('Ingest Template'!P509),"", 'Ingest Template'!P509&amp;"|DAR"),CHAR(10), IF(ISBLANK('Ingest Template'!Q509),"", 'Ingest Template'!Q509&amp;"|DAR"))),(CONCATENATE(IF(ISBLANK('Ingest Template'!O509),"", 'Ingest Template'!O509&amp;"|Operations - Core Title"),CHAR(10), IF(ISBLANK('Ingest Template'!P509),"", 'Ingest Template'!P509&amp;"|Operations - Core Title"),CHAR(10), IF(ISBLANK('Ingest Template'!Q509),"", 'Ingest Template'!Q509&amp;"|Operations - Core Title"))))</f>
        <v>#|Operations - Core Title
#videoGame|Operations - Core Title
</v>
      </c>
      <c r="AH510" s="25"/>
      <c r="AI510" s="25"/>
      <c r="AJ510" s="50" t="str">
        <f>if('Ingest Template'!A509="Standard",'Ingest Template'!R509&amp; "|DAR|DAR|2021-01-01",'Ingest Template'!R509&amp; "|Operations - Core Title|Operations - Core Title")</f>
        <v>#N/A</v>
      </c>
      <c r="AK510" s="25"/>
      <c r="AL510" s="25" t="str">
        <f>if('Ingest Template'!A509="Standard",'Ingest Template'!S509&amp; "|2021-01-01",'Ingest Template'!S509)</f>
        <v>#N/A</v>
      </c>
      <c r="AM510" s="25"/>
    </row>
    <row r="511">
      <c r="A511" s="25"/>
      <c r="B511" s="25" t="str">
        <f>'Ingest Template'!C510&amp;IF('Ingest Template'!A510 = "Standard", " - DAR","")</f>
        <v/>
      </c>
      <c r="C511" s="34" t="s">
        <v>92</v>
      </c>
      <c r="D511" s="34" t="str">
        <f>CONCATENATE('Ingest Template'!E511&amp;Char(10)&amp;'Ingest Template'!G511&amp;Char(10)&amp;'Ingest Template'!H511&amp;Char(10)&amp;'Ingest Template'!I511&amp;Char(10)&amp;'Ingest Template'!J511&amp;Char(10)&amp;'Ingest Template'!K511&amp;Char(10)&amp;'Ingest Template'!L511)</f>
        <v>
</v>
      </c>
      <c r="E511" s="25" t="str">
        <f>('Ingest Template'!M511)</f>
        <v/>
      </c>
      <c r="F511" s="40" t="str">
        <f t="array" ref="F511">INDEX(DropDown!$J$2:$J$63,MATCH(1,COUNTIF(E511,DropDown!$I$2:$I$63),0))</f>
        <v>#N/A</v>
      </c>
      <c r="G511" s="25"/>
      <c r="H511" s="25"/>
      <c r="I511" s="25"/>
      <c r="J511" s="25" t="str">
        <f>'Ingest Template'!B511</f>
        <v/>
      </c>
      <c r="K511" s="25" t="str">
        <f>IF('Ingest Template'!A510="Standard",'Ingest Template'!N510,"Competitive View")</f>
        <v>Competitive View</v>
      </c>
      <c r="L511" s="41" t="s">
        <v>145</v>
      </c>
      <c r="M511" s="25" t="str">
        <f>'Ingest Template'!D510</f>
        <v/>
      </c>
      <c r="N511" s="25"/>
      <c r="O511" s="25"/>
      <c r="P511" s="25"/>
      <c r="Q511" s="25"/>
      <c r="R511" s="25" t="str">
        <f>CONCATENATE('Ingest Template'!F510)</f>
        <v/>
      </c>
      <c r="S511" s="43" t="s">
        <v>160</v>
      </c>
      <c r="T511" s="25" t="str">
        <f>'Ingest Template'!W510</f>
        <v/>
      </c>
      <c r="U511" s="25"/>
      <c r="V511" s="25" t="str">
        <f>LOWER(SUBSTITUTE(SUBSTITUTE(SUBSTITUTE(SUBSTITUTE(SUBSTITUTE('Ingest Template'!Y510,"https:",""),"www.",""),"/",""),"?hl=en",""),"instagram.com",""))</f>
        <v/>
      </c>
      <c r="W511" s="34" t="str">
        <f>(IFERROR(vlookup('Ingest Template'!F511,DropDown!D:E,2,false)&amp;'Ingest Template'!C511,""))</f>
        <v/>
      </c>
      <c r="X511" s="25" t="str">
        <f>'Ingest Template'!AA510</f>
        <v/>
      </c>
      <c r="Y511" s="25"/>
      <c r="Z511" s="25"/>
      <c r="AA511" s="25"/>
      <c r="AB511" s="25" t="str">
        <f>'Ingest Template'!T510</f>
        <v/>
      </c>
      <c r="AC511" s="25"/>
      <c r="AD511" s="25" t="str">
        <f>'Ingest Template'!U510</f>
        <v/>
      </c>
      <c r="AE511" s="25" t="str">
        <f>'Ingest Template'!V510</f>
        <v/>
      </c>
      <c r="AF511" s="25"/>
      <c r="AG511" s="25" t="str">
        <f t="array" ref="AG511">IF('Ingest Template'!A510="Standard",(CONCATENATE(IF(ISBLANK('Ingest Template'!O510),"", 'Ingest Template'!O510&amp;"|DAR"),CHAR(10), IF(ISBLANK('Ingest Template'!P510),"", 'Ingest Template'!P510&amp;"|DAR"),CHAR(10), IF(ISBLANK('Ingest Template'!Q510),"", 'Ingest Template'!Q510&amp;"|DAR"))),(CONCATENATE(IF(ISBLANK('Ingest Template'!O510),"", 'Ingest Template'!O510&amp;"|Operations - Core Title"),CHAR(10), IF(ISBLANK('Ingest Template'!P510),"", 'Ingest Template'!P510&amp;"|Operations - Core Title"),CHAR(10), IF(ISBLANK('Ingest Template'!Q510),"", 'Ingest Template'!Q510&amp;"|Operations - Core Title"))))</f>
        <v>#|Operations - Core Title
#videoGame|Operations - Core Title
</v>
      </c>
      <c r="AH511" s="25"/>
      <c r="AI511" s="25"/>
      <c r="AJ511" s="50" t="str">
        <f>if('Ingest Template'!A510="Standard",'Ingest Template'!R510&amp; "|DAR|DAR|2021-01-01",'Ingest Template'!R510&amp; "|Operations - Core Title|Operations - Core Title")</f>
        <v>#N/A</v>
      </c>
      <c r="AK511" s="25"/>
      <c r="AL511" s="25" t="str">
        <f>if('Ingest Template'!A510="Standard",'Ingest Template'!S510&amp; "|2021-01-01",'Ingest Template'!S510)</f>
        <v>#N/A</v>
      </c>
      <c r="AM511" s="25"/>
    </row>
    <row r="512">
      <c r="A512" s="25"/>
      <c r="B512" s="25" t="str">
        <f>'Ingest Template'!C511&amp;IF('Ingest Template'!A511 = "Standard", " - DAR","")</f>
        <v/>
      </c>
      <c r="C512" s="34" t="s">
        <v>92</v>
      </c>
      <c r="D512" s="34" t="str">
        <f>CONCATENATE('Ingest Template'!E512&amp;Char(10)&amp;'Ingest Template'!G512&amp;Char(10)&amp;'Ingest Template'!H512&amp;Char(10)&amp;'Ingest Template'!I512&amp;Char(10)&amp;'Ingest Template'!J512&amp;Char(10)&amp;'Ingest Template'!K512&amp;Char(10)&amp;'Ingest Template'!L512)</f>
        <v>
</v>
      </c>
      <c r="E512" s="25" t="str">
        <f>('Ingest Template'!M512)</f>
        <v/>
      </c>
      <c r="F512" s="40" t="str">
        <f t="array" ref="F512">INDEX(DropDown!$J$2:$J$63,MATCH(1,COUNTIF(E512,DropDown!$I$2:$I$63),0))</f>
        <v>#N/A</v>
      </c>
      <c r="G512" s="25"/>
      <c r="H512" s="25"/>
      <c r="I512" s="25"/>
      <c r="J512" s="25" t="str">
        <f>'Ingest Template'!B512</f>
        <v/>
      </c>
      <c r="K512" s="25" t="str">
        <f>IF('Ingest Template'!A511="Standard",'Ingest Template'!N511,"Competitive View")</f>
        <v>Competitive View</v>
      </c>
      <c r="L512" s="41" t="s">
        <v>145</v>
      </c>
      <c r="M512" s="25" t="str">
        <f>'Ingest Template'!D511</f>
        <v/>
      </c>
      <c r="N512" s="25"/>
      <c r="O512" s="25"/>
      <c r="P512" s="25"/>
      <c r="Q512" s="25"/>
      <c r="R512" s="25" t="str">
        <f>CONCATENATE('Ingest Template'!F511)</f>
        <v/>
      </c>
      <c r="S512" s="43" t="s">
        <v>160</v>
      </c>
      <c r="T512" s="25" t="str">
        <f>'Ingest Template'!W511</f>
        <v/>
      </c>
      <c r="U512" s="25"/>
      <c r="V512" s="25" t="str">
        <f>LOWER(SUBSTITUTE(SUBSTITUTE(SUBSTITUTE(SUBSTITUTE(SUBSTITUTE('Ingest Template'!Y511,"https:",""),"www.",""),"/",""),"?hl=en",""),"instagram.com",""))</f>
        <v/>
      </c>
      <c r="W512" s="34" t="str">
        <f>(IFERROR(vlookup('Ingest Template'!F512,DropDown!D:E,2,false)&amp;'Ingest Template'!C512,""))</f>
        <v/>
      </c>
      <c r="X512" s="25" t="str">
        <f>'Ingest Template'!AA511</f>
        <v/>
      </c>
      <c r="Y512" s="25"/>
      <c r="Z512" s="25"/>
      <c r="AA512" s="25"/>
      <c r="AB512" s="25" t="str">
        <f>'Ingest Template'!T511</f>
        <v/>
      </c>
      <c r="AC512" s="25"/>
      <c r="AD512" s="25" t="str">
        <f>'Ingest Template'!U511</f>
        <v/>
      </c>
      <c r="AE512" s="25" t="str">
        <f>'Ingest Template'!V511</f>
        <v/>
      </c>
      <c r="AF512" s="25"/>
      <c r="AG512" s="25" t="str">
        <f t="array" ref="AG512">IF('Ingest Template'!A511="Standard",(CONCATENATE(IF(ISBLANK('Ingest Template'!O511),"", 'Ingest Template'!O511&amp;"|DAR"),CHAR(10), IF(ISBLANK('Ingest Template'!P511),"", 'Ingest Template'!P511&amp;"|DAR"),CHAR(10), IF(ISBLANK('Ingest Template'!Q511),"", 'Ingest Template'!Q511&amp;"|DAR"))),(CONCATENATE(IF(ISBLANK('Ingest Template'!O511),"", 'Ingest Template'!O511&amp;"|Operations - Core Title"),CHAR(10), IF(ISBLANK('Ingest Template'!P511),"", 'Ingest Template'!P511&amp;"|Operations - Core Title"),CHAR(10), IF(ISBLANK('Ingest Template'!Q511),"", 'Ingest Template'!Q511&amp;"|Operations - Core Title"))))</f>
        <v>#|Operations - Core Title
#videoGame|Operations - Core Title
</v>
      </c>
      <c r="AH512" s="25"/>
      <c r="AI512" s="25"/>
      <c r="AJ512" s="50" t="str">
        <f>if('Ingest Template'!A511="Standard",'Ingest Template'!R511&amp; "|DAR|DAR|2021-01-01",'Ingest Template'!R511&amp; "|Operations - Core Title|Operations - Core Title")</f>
        <v>#N/A</v>
      </c>
      <c r="AK512" s="25"/>
      <c r="AL512" s="25" t="str">
        <f>if('Ingest Template'!A511="Standard",'Ingest Template'!S511&amp; "|2021-01-01",'Ingest Template'!S511)</f>
        <v>#N/A</v>
      </c>
      <c r="AM512" s="25"/>
    </row>
    <row r="513">
      <c r="A513" s="25"/>
      <c r="B513" s="25" t="str">
        <f>'Ingest Template'!C512&amp;IF('Ingest Template'!A512 = "Standard", " - DAR","")</f>
        <v/>
      </c>
      <c r="C513" s="34" t="s">
        <v>92</v>
      </c>
      <c r="D513" s="34" t="str">
        <f>CONCATENATE('Ingest Template'!E513&amp;Char(10)&amp;'Ingest Template'!G513&amp;Char(10)&amp;'Ingest Template'!H513&amp;Char(10)&amp;'Ingest Template'!I513&amp;Char(10)&amp;'Ingest Template'!J513&amp;Char(10)&amp;'Ingest Template'!K513&amp;Char(10)&amp;'Ingest Template'!L513)</f>
        <v>
</v>
      </c>
      <c r="E513" s="25" t="str">
        <f>('Ingest Template'!M513)</f>
        <v/>
      </c>
      <c r="F513" s="40" t="str">
        <f t="array" ref="F513">INDEX(DropDown!$J$2:$J$63,MATCH(1,COUNTIF(E513,DropDown!$I$2:$I$63),0))</f>
        <v>#N/A</v>
      </c>
      <c r="G513" s="25"/>
      <c r="H513" s="25"/>
      <c r="I513" s="25"/>
      <c r="J513" s="25" t="str">
        <f>'Ingest Template'!B513</f>
        <v/>
      </c>
      <c r="K513" s="25" t="str">
        <f>IF('Ingest Template'!A512="Standard",'Ingest Template'!N512,"Competitive View")</f>
        <v>Competitive View</v>
      </c>
      <c r="L513" s="41" t="s">
        <v>145</v>
      </c>
      <c r="M513" s="25" t="str">
        <f>'Ingest Template'!D512</f>
        <v/>
      </c>
      <c r="N513" s="25"/>
      <c r="O513" s="25"/>
      <c r="P513" s="25"/>
      <c r="Q513" s="25"/>
      <c r="R513" s="25" t="str">
        <f>CONCATENATE('Ingest Template'!F512)</f>
        <v/>
      </c>
      <c r="S513" s="43" t="s">
        <v>160</v>
      </c>
      <c r="T513" s="25" t="str">
        <f>'Ingest Template'!W512</f>
        <v/>
      </c>
      <c r="U513" s="25"/>
      <c r="V513" s="25" t="str">
        <f>LOWER(SUBSTITUTE(SUBSTITUTE(SUBSTITUTE(SUBSTITUTE(SUBSTITUTE('Ingest Template'!Y512,"https:",""),"www.",""),"/",""),"?hl=en",""),"instagram.com",""))</f>
        <v/>
      </c>
      <c r="W513" s="34" t="str">
        <f>(IFERROR(vlookup('Ingest Template'!F513,DropDown!D:E,2,false)&amp;'Ingest Template'!C513,""))</f>
        <v/>
      </c>
      <c r="X513" s="25" t="str">
        <f>'Ingest Template'!AA512</f>
        <v/>
      </c>
      <c r="Y513" s="25"/>
      <c r="Z513" s="25"/>
      <c r="AA513" s="25"/>
      <c r="AB513" s="25" t="str">
        <f>'Ingest Template'!T512</f>
        <v/>
      </c>
      <c r="AC513" s="25"/>
      <c r="AD513" s="25" t="str">
        <f>'Ingest Template'!U512</f>
        <v/>
      </c>
      <c r="AE513" s="25" t="str">
        <f>'Ingest Template'!V512</f>
        <v/>
      </c>
      <c r="AF513" s="25"/>
      <c r="AG513" s="25" t="str">
        <f t="array" ref="AG513">IF('Ingest Template'!A512="Standard",(CONCATENATE(IF(ISBLANK('Ingest Template'!O512),"", 'Ingest Template'!O512&amp;"|DAR"),CHAR(10), IF(ISBLANK('Ingest Template'!P512),"", 'Ingest Template'!P512&amp;"|DAR"),CHAR(10), IF(ISBLANK('Ingest Template'!Q512),"", 'Ingest Template'!Q512&amp;"|DAR"))),(CONCATENATE(IF(ISBLANK('Ingest Template'!O512),"", 'Ingest Template'!O512&amp;"|Operations - Core Title"),CHAR(10), IF(ISBLANK('Ingest Template'!P512),"", 'Ingest Template'!P512&amp;"|Operations - Core Title"),CHAR(10), IF(ISBLANK('Ingest Template'!Q512),"", 'Ingest Template'!Q512&amp;"|Operations - Core Title"))))</f>
        <v>#|Operations - Core Title
#videoGame|Operations - Core Title
</v>
      </c>
      <c r="AH513" s="25"/>
      <c r="AI513" s="25"/>
      <c r="AJ513" s="50" t="str">
        <f>if('Ingest Template'!A512="Standard",'Ingest Template'!R512&amp; "|DAR|DAR|2021-01-01",'Ingest Template'!R512&amp; "|Operations - Core Title|Operations - Core Title")</f>
        <v>#N/A</v>
      </c>
      <c r="AK513" s="25"/>
      <c r="AL513" s="25" t="str">
        <f>if('Ingest Template'!A512="Standard",'Ingest Template'!S512&amp; "|2021-01-01",'Ingest Template'!S512)</f>
        <v>#N/A</v>
      </c>
      <c r="AM513" s="25"/>
    </row>
    <row r="514">
      <c r="A514" s="25"/>
      <c r="B514" s="25" t="str">
        <f>'Ingest Template'!C513&amp;IF('Ingest Template'!A513 = "Standard", " - DAR","")</f>
        <v/>
      </c>
      <c r="C514" s="34" t="s">
        <v>92</v>
      </c>
      <c r="D514" s="34" t="str">
        <f>CONCATENATE('Ingest Template'!E514&amp;Char(10)&amp;'Ingest Template'!G514&amp;Char(10)&amp;'Ingest Template'!H514&amp;Char(10)&amp;'Ingest Template'!I514&amp;Char(10)&amp;'Ingest Template'!J514&amp;Char(10)&amp;'Ingest Template'!K514&amp;Char(10)&amp;'Ingest Template'!L514)</f>
        <v>
</v>
      </c>
      <c r="E514" s="25" t="str">
        <f>('Ingest Template'!M514)</f>
        <v/>
      </c>
      <c r="F514" s="40" t="str">
        <f t="array" ref="F514">INDEX(DropDown!$J$2:$J$63,MATCH(1,COUNTIF(E514,DropDown!$I$2:$I$63),0))</f>
        <v>#N/A</v>
      </c>
      <c r="G514" s="25"/>
      <c r="H514" s="25"/>
      <c r="I514" s="25"/>
      <c r="J514" s="25" t="str">
        <f>'Ingest Template'!B514</f>
        <v/>
      </c>
      <c r="K514" s="25" t="str">
        <f>IF('Ingest Template'!A513="Standard",'Ingest Template'!N513,"Competitive View")</f>
        <v>Competitive View</v>
      </c>
      <c r="L514" s="41" t="s">
        <v>145</v>
      </c>
      <c r="M514" s="25" t="str">
        <f>'Ingest Template'!D513</f>
        <v/>
      </c>
      <c r="N514" s="25"/>
      <c r="O514" s="25"/>
      <c r="P514" s="25"/>
      <c r="Q514" s="25"/>
      <c r="R514" s="25" t="str">
        <f>CONCATENATE('Ingest Template'!F513)</f>
        <v/>
      </c>
      <c r="S514" s="43" t="s">
        <v>160</v>
      </c>
      <c r="T514" s="25" t="str">
        <f>'Ingest Template'!W513</f>
        <v/>
      </c>
      <c r="U514" s="25"/>
      <c r="V514" s="25" t="str">
        <f>LOWER(SUBSTITUTE(SUBSTITUTE(SUBSTITUTE(SUBSTITUTE(SUBSTITUTE('Ingest Template'!Y513,"https:",""),"www.",""),"/",""),"?hl=en",""),"instagram.com",""))</f>
        <v/>
      </c>
      <c r="W514" s="34" t="str">
        <f>(IFERROR(vlookup('Ingest Template'!F514,DropDown!D:E,2,false)&amp;'Ingest Template'!C514,""))</f>
        <v/>
      </c>
      <c r="X514" s="25" t="str">
        <f>'Ingest Template'!AA513</f>
        <v/>
      </c>
      <c r="Y514" s="25"/>
      <c r="Z514" s="25"/>
      <c r="AA514" s="25"/>
      <c r="AB514" s="25" t="str">
        <f>'Ingest Template'!T513</f>
        <v/>
      </c>
      <c r="AC514" s="25"/>
      <c r="AD514" s="25" t="str">
        <f>'Ingest Template'!U513</f>
        <v/>
      </c>
      <c r="AE514" s="25" t="str">
        <f>'Ingest Template'!V513</f>
        <v/>
      </c>
      <c r="AF514" s="25"/>
      <c r="AG514" s="25" t="str">
        <f t="array" ref="AG514">IF('Ingest Template'!A513="Standard",(CONCATENATE(IF(ISBLANK('Ingest Template'!O513),"", 'Ingest Template'!O513&amp;"|DAR"),CHAR(10), IF(ISBLANK('Ingest Template'!P513),"", 'Ingest Template'!P513&amp;"|DAR"),CHAR(10), IF(ISBLANK('Ingest Template'!Q513),"", 'Ingest Template'!Q513&amp;"|DAR"))),(CONCATENATE(IF(ISBLANK('Ingest Template'!O513),"", 'Ingest Template'!O513&amp;"|Operations - Core Title"),CHAR(10), IF(ISBLANK('Ingest Template'!P513),"", 'Ingest Template'!P513&amp;"|Operations - Core Title"),CHAR(10), IF(ISBLANK('Ingest Template'!Q513),"", 'Ingest Template'!Q513&amp;"|Operations - Core Title"))))</f>
        <v>#|Operations - Core Title
#videoGame|Operations - Core Title
</v>
      </c>
      <c r="AH514" s="25"/>
      <c r="AI514" s="25"/>
      <c r="AJ514" s="50" t="str">
        <f>if('Ingest Template'!A513="Standard",'Ingest Template'!R513&amp; "|DAR|DAR|2021-01-01",'Ingest Template'!R513&amp; "|Operations - Core Title|Operations - Core Title")</f>
        <v>#N/A</v>
      </c>
      <c r="AK514" s="25"/>
      <c r="AL514" s="25" t="str">
        <f>if('Ingest Template'!A513="Standard",'Ingest Template'!S513&amp; "|2021-01-01",'Ingest Template'!S513)</f>
        <v>#N/A</v>
      </c>
      <c r="AM514" s="25"/>
    </row>
    <row r="515">
      <c r="A515" s="25"/>
      <c r="B515" s="25" t="str">
        <f>'Ingest Template'!C514&amp;IF('Ingest Template'!A514 = "Standard", " - DAR","")</f>
        <v/>
      </c>
      <c r="C515" s="34" t="s">
        <v>92</v>
      </c>
      <c r="D515" s="34" t="str">
        <f>CONCATENATE('Ingest Template'!E515&amp;Char(10)&amp;'Ingest Template'!G515&amp;Char(10)&amp;'Ingest Template'!H515&amp;Char(10)&amp;'Ingest Template'!I515&amp;Char(10)&amp;'Ingest Template'!J515&amp;Char(10)&amp;'Ingest Template'!K515&amp;Char(10)&amp;'Ingest Template'!L515)</f>
        <v>
</v>
      </c>
      <c r="E515" s="25" t="str">
        <f>('Ingest Template'!M515)</f>
        <v/>
      </c>
      <c r="F515" s="40" t="str">
        <f t="array" ref="F515">INDEX(DropDown!$J$2:$J$63,MATCH(1,COUNTIF(E515,DropDown!$I$2:$I$63),0))</f>
        <v>#N/A</v>
      </c>
      <c r="G515" s="25"/>
      <c r="H515" s="25"/>
      <c r="I515" s="25"/>
      <c r="J515" s="25" t="str">
        <f>'Ingest Template'!B515</f>
        <v/>
      </c>
      <c r="K515" s="25" t="str">
        <f>IF('Ingest Template'!A514="Standard",'Ingest Template'!N514,"Competitive View")</f>
        <v>Competitive View</v>
      </c>
      <c r="L515" s="41" t="s">
        <v>145</v>
      </c>
      <c r="M515" s="25" t="str">
        <f>'Ingest Template'!D514</f>
        <v/>
      </c>
      <c r="N515" s="25"/>
      <c r="O515" s="25"/>
      <c r="P515" s="25"/>
      <c r="Q515" s="25"/>
      <c r="R515" s="25" t="str">
        <f>CONCATENATE('Ingest Template'!F514)</f>
        <v/>
      </c>
      <c r="S515" s="43" t="s">
        <v>160</v>
      </c>
      <c r="T515" s="25" t="str">
        <f>'Ingest Template'!W514</f>
        <v/>
      </c>
      <c r="U515" s="25"/>
      <c r="V515" s="25" t="str">
        <f>LOWER(SUBSTITUTE(SUBSTITUTE(SUBSTITUTE(SUBSTITUTE(SUBSTITUTE('Ingest Template'!Y514,"https:",""),"www.",""),"/",""),"?hl=en",""),"instagram.com",""))</f>
        <v/>
      </c>
      <c r="W515" s="34" t="str">
        <f>(IFERROR(vlookup('Ingest Template'!F515,DropDown!D:E,2,false)&amp;'Ingest Template'!C515,""))</f>
        <v/>
      </c>
      <c r="X515" s="25" t="str">
        <f>'Ingest Template'!AA514</f>
        <v/>
      </c>
      <c r="Y515" s="25"/>
      <c r="Z515" s="25"/>
      <c r="AA515" s="25"/>
      <c r="AB515" s="25" t="str">
        <f>'Ingest Template'!T514</f>
        <v/>
      </c>
      <c r="AC515" s="25"/>
      <c r="AD515" s="25" t="str">
        <f>'Ingest Template'!U514</f>
        <v/>
      </c>
      <c r="AE515" s="25" t="str">
        <f>'Ingest Template'!V514</f>
        <v/>
      </c>
      <c r="AF515" s="25"/>
      <c r="AG515" s="25" t="str">
        <f t="array" ref="AG515">IF('Ingest Template'!A514="Standard",(CONCATENATE(IF(ISBLANK('Ingest Template'!O514),"", 'Ingest Template'!O514&amp;"|DAR"),CHAR(10), IF(ISBLANK('Ingest Template'!P514),"", 'Ingest Template'!P514&amp;"|DAR"),CHAR(10), IF(ISBLANK('Ingest Template'!Q514),"", 'Ingest Template'!Q514&amp;"|DAR"))),(CONCATENATE(IF(ISBLANK('Ingest Template'!O514),"", 'Ingest Template'!O514&amp;"|Operations - Core Title"),CHAR(10), IF(ISBLANK('Ingest Template'!P514),"", 'Ingest Template'!P514&amp;"|Operations - Core Title"),CHAR(10), IF(ISBLANK('Ingest Template'!Q514),"", 'Ingest Template'!Q514&amp;"|Operations - Core Title"))))</f>
        <v>#|Operations - Core Title
#videoGame|Operations - Core Title
</v>
      </c>
      <c r="AH515" s="25"/>
      <c r="AI515" s="25"/>
      <c r="AJ515" s="50" t="str">
        <f>if('Ingest Template'!A514="Standard",'Ingest Template'!R514&amp; "|DAR|DAR|2021-01-01",'Ingest Template'!R514&amp; "|Operations - Core Title|Operations - Core Title")</f>
        <v>#N/A</v>
      </c>
      <c r="AK515" s="25"/>
      <c r="AL515" s="25" t="str">
        <f>if('Ingest Template'!A514="Standard",'Ingest Template'!S514&amp; "|2021-01-01",'Ingest Template'!S514)</f>
        <v>#N/A</v>
      </c>
      <c r="AM515" s="25"/>
    </row>
    <row r="516">
      <c r="A516" s="25"/>
      <c r="B516" s="25" t="str">
        <f>'Ingest Template'!C515&amp;IF('Ingest Template'!A515 = "Standard", " - DAR","")</f>
        <v/>
      </c>
      <c r="C516" s="34" t="s">
        <v>92</v>
      </c>
      <c r="D516" s="34" t="str">
        <f>CONCATENATE('Ingest Template'!E516&amp;Char(10)&amp;'Ingest Template'!G516&amp;Char(10)&amp;'Ingest Template'!H516&amp;Char(10)&amp;'Ingest Template'!I516&amp;Char(10)&amp;'Ingest Template'!J516&amp;Char(10)&amp;'Ingest Template'!K516&amp;Char(10)&amp;'Ingest Template'!L516)</f>
        <v>
</v>
      </c>
      <c r="E516" s="25" t="str">
        <f>('Ingest Template'!M516)</f>
        <v/>
      </c>
      <c r="F516" s="40" t="str">
        <f t="array" ref="F516">INDEX(DropDown!$J$2:$J$63,MATCH(1,COUNTIF(E516,DropDown!$I$2:$I$63),0))</f>
        <v>#N/A</v>
      </c>
      <c r="G516" s="25"/>
      <c r="H516" s="25"/>
      <c r="I516" s="25"/>
      <c r="J516" s="25" t="str">
        <f>'Ingest Template'!B516</f>
        <v/>
      </c>
      <c r="K516" s="25" t="str">
        <f>IF('Ingest Template'!A515="Standard",'Ingest Template'!N515,"Competitive View")</f>
        <v>Competitive View</v>
      </c>
      <c r="L516" s="41" t="s">
        <v>145</v>
      </c>
      <c r="M516" s="25" t="str">
        <f>'Ingest Template'!D515</f>
        <v/>
      </c>
      <c r="N516" s="25"/>
      <c r="O516" s="25"/>
      <c r="P516" s="25"/>
      <c r="Q516" s="25"/>
      <c r="R516" s="25" t="str">
        <f>CONCATENATE('Ingest Template'!F515)</f>
        <v/>
      </c>
      <c r="S516" s="43" t="s">
        <v>160</v>
      </c>
      <c r="T516" s="25" t="str">
        <f>'Ingest Template'!W515</f>
        <v/>
      </c>
      <c r="U516" s="25"/>
      <c r="V516" s="25" t="str">
        <f>LOWER(SUBSTITUTE(SUBSTITUTE(SUBSTITUTE(SUBSTITUTE(SUBSTITUTE('Ingest Template'!Y515,"https:",""),"www.",""),"/",""),"?hl=en",""),"instagram.com",""))</f>
        <v/>
      </c>
      <c r="W516" s="34" t="str">
        <f>(IFERROR(vlookup('Ingest Template'!F516,DropDown!D:E,2,false)&amp;'Ingest Template'!C516,""))</f>
        <v/>
      </c>
      <c r="X516" s="25" t="str">
        <f>'Ingest Template'!AA515</f>
        <v/>
      </c>
      <c r="Y516" s="25"/>
      <c r="Z516" s="25"/>
      <c r="AA516" s="25"/>
      <c r="AB516" s="25" t="str">
        <f>'Ingest Template'!T515</f>
        <v/>
      </c>
      <c r="AC516" s="25"/>
      <c r="AD516" s="25" t="str">
        <f>'Ingest Template'!U515</f>
        <v/>
      </c>
      <c r="AE516" s="25" t="str">
        <f>'Ingest Template'!V515</f>
        <v/>
      </c>
      <c r="AF516" s="25"/>
      <c r="AG516" s="25" t="str">
        <f t="array" ref="AG516">IF('Ingest Template'!A515="Standard",(CONCATENATE(IF(ISBLANK('Ingest Template'!O515),"", 'Ingest Template'!O515&amp;"|DAR"),CHAR(10), IF(ISBLANK('Ingest Template'!P515),"", 'Ingest Template'!P515&amp;"|DAR"),CHAR(10), IF(ISBLANK('Ingest Template'!Q515),"", 'Ingest Template'!Q515&amp;"|DAR"))),(CONCATENATE(IF(ISBLANK('Ingest Template'!O515),"", 'Ingest Template'!O515&amp;"|Operations - Core Title"),CHAR(10), IF(ISBLANK('Ingest Template'!P515),"", 'Ingest Template'!P515&amp;"|Operations - Core Title"),CHAR(10), IF(ISBLANK('Ingest Template'!Q515),"", 'Ingest Template'!Q515&amp;"|Operations - Core Title"))))</f>
        <v>#|Operations - Core Title
#videoGame|Operations - Core Title
</v>
      </c>
      <c r="AH516" s="25"/>
      <c r="AI516" s="25"/>
      <c r="AJ516" s="50" t="str">
        <f>if('Ingest Template'!A515="Standard",'Ingest Template'!R515&amp; "|DAR|DAR|2021-01-01",'Ingest Template'!R515&amp; "|Operations - Core Title|Operations - Core Title")</f>
        <v>#N/A</v>
      </c>
      <c r="AK516" s="25"/>
      <c r="AL516" s="25" t="str">
        <f>if('Ingest Template'!A515="Standard",'Ingest Template'!S515&amp; "|2021-01-01",'Ingest Template'!S515)</f>
        <v>#N/A</v>
      </c>
      <c r="AM516" s="25"/>
    </row>
    <row r="517">
      <c r="A517" s="25"/>
      <c r="B517" s="25" t="str">
        <f>'Ingest Template'!C516&amp;IF('Ingest Template'!A516 = "Standard", " - DAR","")</f>
        <v/>
      </c>
      <c r="C517" s="34" t="s">
        <v>92</v>
      </c>
      <c r="D517" s="34" t="str">
        <f>CONCATENATE('Ingest Template'!E517&amp;Char(10)&amp;'Ingest Template'!G517&amp;Char(10)&amp;'Ingest Template'!H517&amp;Char(10)&amp;'Ingest Template'!I517&amp;Char(10)&amp;'Ingest Template'!J517&amp;Char(10)&amp;'Ingest Template'!K517&amp;Char(10)&amp;'Ingest Template'!L517)</f>
        <v>
</v>
      </c>
      <c r="E517" s="25" t="str">
        <f>('Ingest Template'!M517)</f>
        <v/>
      </c>
      <c r="F517" s="40" t="str">
        <f t="array" ref="F517">INDEX(DropDown!$J$2:$J$63,MATCH(1,COUNTIF(E517,DropDown!$I$2:$I$63),0))</f>
        <v>#N/A</v>
      </c>
      <c r="G517" s="25"/>
      <c r="H517" s="25"/>
      <c r="I517" s="25"/>
      <c r="J517" s="25" t="str">
        <f>'Ingest Template'!B517</f>
        <v/>
      </c>
      <c r="K517" s="25" t="str">
        <f>IF('Ingest Template'!A516="Standard",'Ingest Template'!N516,"Competitive View")</f>
        <v>Competitive View</v>
      </c>
      <c r="L517" s="41" t="s">
        <v>145</v>
      </c>
      <c r="M517" s="25" t="str">
        <f>'Ingest Template'!D516</f>
        <v/>
      </c>
      <c r="N517" s="25"/>
      <c r="O517" s="25"/>
      <c r="P517" s="25"/>
      <c r="Q517" s="25"/>
      <c r="R517" s="25" t="str">
        <f>CONCATENATE('Ingest Template'!F516)</f>
        <v/>
      </c>
      <c r="S517" s="43" t="s">
        <v>160</v>
      </c>
      <c r="T517" s="25" t="str">
        <f>'Ingest Template'!W516</f>
        <v/>
      </c>
      <c r="U517" s="25"/>
      <c r="V517" s="25" t="str">
        <f>LOWER(SUBSTITUTE(SUBSTITUTE(SUBSTITUTE(SUBSTITUTE(SUBSTITUTE('Ingest Template'!Y516,"https:",""),"www.",""),"/",""),"?hl=en",""),"instagram.com",""))</f>
        <v/>
      </c>
      <c r="W517" s="34" t="str">
        <f>(IFERROR(vlookup('Ingest Template'!F517,DropDown!D:E,2,false)&amp;'Ingest Template'!C517,""))</f>
        <v/>
      </c>
      <c r="X517" s="25" t="str">
        <f>'Ingest Template'!AA516</f>
        <v/>
      </c>
      <c r="Y517" s="25"/>
      <c r="Z517" s="25"/>
      <c r="AA517" s="25"/>
      <c r="AB517" s="25" t="str">
        <f>'Ingest Template'!T516</f>
        <v/>
      </c>
      <c r="AC517" s="25"/>
      <c r="AD517" s="25" t="str">
        <f>'Ingest Template'!U516</f>
        <v/>
      </c>
      <c r="AE517" s="25" t="str">
        <f>'Ingest Template'!V516</f>
        <v/>
      </c>
      <c r="AF517" s="25"/>
      <c r="AG517" s="25" t="str">
        <f t="array" ref="AG517">IF('Ingest Template'!A516="Standard",(CONCATENATE(IF(ISBLANK('Ingest Template'!O516),"", 'Ingest Template'!O516&amp;"|DAR"),CHAR(10), IF(ISBLANK('Ingest Template'!P516),"", 'Ingest Template'!P516&amp;"|DAR"),CHAR(10), IF(ISBLANK('Ingest Template'!Q516),"", 'Ingest Template'!Q516&amp;"|DAR"))),(CONCATENATE(IF(ISBLANK('Ingest Template'!O516),"", 'Ingest Template'!O516&amp;"|Operations - Core Title"),CHAR(10), IF(ISBLANK('Ingest Template'!P516),"", 'Ingest Template'!P516&amp;"|Operations - Core Title"),CHAR(10), IF(ISBLANK('Ingest Template'!Q516),"", 'Ingest Template'!Q516&amp;"|Operations - Core Title"))))</f>
        <v>#|Operations - Core Title
#videoGame|Operations - Core Title
</v>
      </c>
      <c r="AH517" s="25"/>
      <c r="AI517" s="25"/>
      <c r="AJ517" s="50" t="str">
        <f>if('Ingest Template'!A516="Standard",'Ingest Template'!R516&amp; "|DAR|DAR|2021-01-01",'Ingest Template'!R516&amp; "|Operations - Core Title|Operations - Core Title")</f>
        <v>#N/A</v>
      </c>
      <c r="AK517" s="25"/>
      <c r="AL517" s="25" t="str">
        <f>if('Ingest Template'!A516="Standard",'Ingest Template'!S516&amp; "|2021-01-01",'Ingest Template'!S516)</f>
        <v>#N/A</v>
      </c>
      <c r="AM517" s="25"/>
    </row>
    <row r="518">
      <c r="A518" s="25"/>
      <c r="B518" s="25" t="str">
        <f>'Ingest Template'!C517&amp;IF('Ingest Template'!A517 = "Standard", " - DAR","")</f>
        <v/>
      </c>
      <c r="C518" s="34" t="s">
        <v>92</v>
      </c>
      <c r="D518" s="34" t="str">
        <f>CONCATENATE('Ingest Template'!E518&amp;Char(10)&amp;'Ingest Template'!G518&amp;Char(10)&amp;'Ingest Template'!H518&amp;Char(10)&amp;'Ingest Template'!I518&amp;Char(10)&amp;'Ingest Template'!J518&amp;Char(10)&amp;'Ingest Template'!K518&amp;Char(10)&amp;'Ingest Template'!L518)</f>
        <v>
</v>
      </c>
      <c r="E518" s="25" t="str">
        <f>('Ingest Template'!M518)</f>
        <v/>
      </c>
      <c r="F518" s="40" t="str">
        <f t="array" ref="F518">INDEX(DropDown!$J$2:$J$63,MATCH(1,COUNTIF(E518,DropDown!$I$2:$I$63),0))</f>
        <v>#N/A</v>
      </c>
      <c r="G518" s="25"/>
      <c r="H518" s="25"/>
      <c r="I518" s="25"/>
      <c r="J518" s="25" t="str">
        <f>'Ingest Template'!B518</f>
        <v/>
      </c>
      <c r="K518" s="25" t="str">
        <f>IF('Ingest Template'!A517="Standard",'Ingest Template'!N517,"Competitive View")</f>
        <v>Competitive View</v>
      </c>
      <c r="L518" s="41" t="s">
        <v>145</v>
      </c>
      <c r="M518" s="25" t="str">
        <f>'Ingest Template'!D517</f>
        <v/>
      </c>
      <c r="N518" s="25"/>
      <c r="O518" s="25"/>
      <c r="P518" s="25"/>
      <c r="Q518" s="25"/>
      <c r="R518" s="25" t="str">
        <f>CONCATENATE('Ingest Template'!F517)</f>
        <v/>
      </c>
      <c r="S518" s="43" t="s">
        <v>160</v>
      </c>
      <c r="T518" s="25" t="str">
        <f>'Ingest Template'!W517</f>
        <v/>
      </c>
      <c r="U518" s="25"/>
      <c r="V518" s="25" t="str">
        <f>LOWER(SUBSTITUTE(SUBSTITUTE(SUBSTITUTE(SUBSTITUTE(SUBSTITUTE('Ingest Template'!Y517,"https:",""),"www.",""),"/",""),"?hl=en",""),"instagram.com",""))</f>
        <v/>
      </c>
      <c r="W518" s="34" t="str">
        <f>(IFERROR(vlookup('Ingest Template'!F518,DropDown!D:E,2,false)&amp;'Ingest Template'!C518,""))</f>
        <v/>
      </c>
      <c r="X518" s="25" t="str">
        <f>'Ingest Template'!AA517</f>
        <v/>
      </c>
      <c r="Y518" s="25"/>
      <c r="Z518" s="25"/>
      <c r="AA518" s="25"/>
      <c r="AB518" s="25" t="str">
        <f>'Ingest Template'!T517</f>
        <v/>
      </c>
      <c r="AC518" s="25"/>
      <c r="AD518" s="25" t="str">
        <f>'Ingest Template'!U517</f>
        <v/>
      </c>
      <c r="AE518" s="25" t="str">
        <f>'Ingest Template'!V517</f>
        <v/>
      </c>
      <c r="AF518" s="25"/>
      <c r="AG518" s="25" t="str">
        <f t="array" ref="AG518">IF('Ingest Template'!A517="Standard",(CONCATENATE(IF(ISBLANK('Ingest Template'!O517),"", 'Ingest Template'!O517&amp;"|DAR"),CHAR(10), IF(ISBLANK('Ingest Template'!P517),"", 'Ingest Template'!P517&amp;"|DAR"),CHAR(10), IF(ISBLANK('Ingest Template'!Q517),"", 'Ingest Template'!Q517&amp;"|DAR"))),(CONCATENATE(IF(ISBLANK('Ingest Template'!O517),"", 'Ingest Template'!O517&amp;"|Operations - Core Title"),CHAR(10), IF(ISBLANK('Ingest Template'!P517),"", 'Ingest Template'!P517&amp;"|Operations - Core Title"),CHAR(10), IF(ISBLANK('Ingest Template'!Q517),"", 'Ingest Template'!Q517&amp;"|Operations - Core Title"))))</f>
        <v>#|Operations - Core Title
#videoGame|Operations - Core Title
</v>
      </c>
      <c r="AH518" s="25"/>
      <c r="AI518" s="25"/>
      <c r="AJ518" s="50" t="str">
        <f>if('Ingest Template'!A517="Standard",'Ingest Template'!R517&amp; "|DAR|DAR|2021-01-01",'Ingest Template'!R517&amp; "|Operations - Core Title|Operations - Core Title")</f>
        <v>#N/A</v>
      </c>
      <c r="AK518" s="25"/>
      <c r="AL518" s="25" t="str">
        <f>if('Ingest Template'!A517="Standard",'Ingest Template'!S517&amp; "|2021-01-01",'Ingest Template'!S517)</f>
        <v>#N/A</v>
      </c>
      <c r="AM518" s="25"/>
    </row>
    <row r="519">
      <c r="A519" s="25"/>
      <c r="B519" s="25" t="str">
        <f>'Ingest Template'!C518&amp;IF('Ingest Template'!A518 = "Standard", " - DAR","")</f>
        <v/>
      </c>
      <c r="C519" s="34" t="s">
        <v>92</v>
      </c>
      <c r="D519" s="34" t="str">
        <f>CONCATENATE('Ingest Template'!E519&amp;Char(10)&amp;'Ingest Template'!G519&amp;Char(10)&amp;'Ingest Template'!H519&amp;Char(10)&amp;'Ingest Template'!I519&amp;Char(10)&amp;'Ingest Template'!J519&amp;Char(10)&amp;'Ingest Template'!K519&amp;Char(10)&amp;'Ingest Template'!L519)</f>
        <v>
</v>
      </c>
      <c r="E519" s="25" t="str">
        <f>('Ingest Template'!M519)</f>
        <v/>
      </c>
      <c r="F519" s="40" t="str">
        <f t="array" ref="F519">INDEX(DropDown!$J$2:$J$63,MATCH(1,COUNTIF(E519,DropDown!$I$2:$I$63),0))</f>
        <v>#N/A</v>
      </c>
      <c r="G519" s="25"/>
      <c r="H519" s="25"/>
      <c r="I519" s="25"/>
      <c r="J519" s="25" t="str">
        <f>'Ingest Template'!B519</f>
        <v/>
      </c>
      <c r="K519" s="25" t="str">
        <f>IF('Ingest Template'!A518="Standard",'Ingest Template'!N518,"Competitive View")</f>
        <v>Competitive View</v>
      </c>
      <c r="L519" s="41" t="s">
        <v>145</v>
      </c>
      <c r="M519" s="25" t="str">
        <f>'Ingest Template'!D518</f>
        <v/>
      </c>
      <c r="N519" s="25"/>
      <c r="O519" s="25"/>
      <c r="P519" s="25"/>
      <c r="Q519" s="25"/>
      <c r="R519" s="25" t="str">
        <f>CONCATENATE('Ingest Template'!F518)</f>
        <v/>
      </c>
      <c r="S519" s="43" t="s">
        <v>160</v>
      </c>
      <c r="T519" s="25" t="str">
        <f>'Ingest Template'!W518</f>
        <v/>
      </c>
      <c r="U519" s="25"/>
      <c r="V519" s="25" t="str">
        <f>LOWER(SUBSTITUTE(SUBSTITUTE(SUBSTITUTE(SUBSTITUTE(SUBSTITUTE('Ingest Template'!Y518,"https:",""),"www.",""),"/",""),"?hl=en",""),"instagram.com",""))</f>
        <v/>
      </c>
      <c r="W519" s="34" t="str">
        <f>(IFERROR(vlookup('Ingest Template'!F519,DropDown!D:E,2,false)&amp;'Ingest Template'!C519,""))</f>
        <v/>
      </c>
      <c r="X519" s="25" t="str">
        <f>'Ingest Template'!AA518</f>
        <v/>
      </c>
      <c r="Y519" s="25"/>
      <c r="Z519" s="25"/>
      <c r="AA519" s="25"/>
      <c r="AB519" s="25" t="str">
        <f>'Ingest Template'!T518</f>
        <v/>
      </c>
      <c r="AC519" s="25"/>
      <c r="AD519" s="25" t="str">
        <f>'Ingest Template'!U518</f>
        <v/>
      </c>
      <c r="AE519" s="25" t="str">
        <f>'Ingest Template'!V518</f>
        <v/>
      </c>
      <c r="AF519" s="25"/>
      <c r="AG519" s="25" t="str">
        <f t="array" ref="AG519">IF('Ingest Template'!A518="Standard",(CONCATENATE(IF(ISBLANK('Ingest Template'!O518),"", 'Ingest Template'!O518&amp;"|DAR"),CHAR(10), IF(ISBLANK('Ingest Template'!P518),"", 'Ingest Template'!P518&amp;"|DAR"),CHAR(10), IF(ISBLANK('Ingest Template'!Q518),"", 'Ingest Template'!Q518&amp;"|DAR"))),(CONCATENATE(IF(ISBLANK('Ingest Template'!O518),"", 'Ingest Template'!O518&amp;"|Operations - Core Title"),CHAR(10), IF(ISBLANK('Ingest Template'!P518),"", 'Ingest Template'!P518&amp;"|Operations - Core Title"),CHAR(10), IF(ISBLANK('Ingest Template'!Q518),"", 'Ingest Template'!Q518&amp;"|Operations - Core Title"))))</f>
        <v>#|Operations - Core Title
#videoGame|Operations - Core Title
</v>
      </c>
      <c r="AH519" s="25"/>
      <c r="AI519" s="25"/>
      <c r="AJ519" s="50" t="str">
        <f>if('Ingest Template'!A518="Standard",'Ingest Template'!R518&amp; "|DAR|DAR|2021-01-01",'Ingest Template'!R518&amp; "|Operations - Core Title|Operations - Core Title")</f>
        <v>#N/A</v>
      </c>
      <c r="AK519" s="25"/>
      <c r="AL519" s="25" t="str">
        <f>if('Ingest Template'!A518="Standard",'Ingest Template'!S518&amp; "|2021-01-01",'Ingest Template'!S518)</f>
        <v>#N/A</v>
      </c>
      <c r="AM519" s="25"/>
    </row>
    <row r="520">
      <c r="A520" s="25"/>
      <c r="B520" s="25" t="str">
        <f>'Ingest Template'!C519&amp;IF('Ingest Template'!A519 = "Standard", " - DAR","")</f>
        <v/>
      </c>
      <c r="C520" s="34" t="s">
        <v>92</v>
      </c>
      <c r="D520" s="34" t="str">
        <f>CONCATENATE('Ingest Template'!E520&amp;Char(10)&amp;'Ingest Template'!G520&amp;Char(10)&amp;'Ingest Template'!H520&amp;Char(10)&amp;'Ingest Template'!I520&amp;Char(10)&amp;'Ingest Template'!J520&amp;Char(10)&amp;'Ingest Template'!K520&amp;Char(10)&amp;'Ingest Template'!L520)</f>
        <v>
</v>
      </c>
      <c r="E520" s="25" t="str">
        <f>('Ingest Template'!M520)</f>
        <v/>
      </c>
      <c r="F520" s="40" t="str">
        <f t="array" ref="F520">INDEX(DropDown!$J$2:$J$63,MATCH(1,COUNTIF(E520,DropDown!$I$2:$I$63),0))</f>
        <v>#N/A</v>
      </c>
      <c r="G520" s="25"/>
      <c r="H520" s="25"/>
      <c r="I520" s="25"/>
      <c r="J520" s="25" t="str">
        <f>'Ingest Template'!B520</f>
        <v/>
      </c>
      <c r="K520" s="25" t="str">
        <f>IF('Ingest Template'!A519="Standard",'Ingest Template'!N519,"Competitive View")</f>
        <v>Competitive View</v>
      </c>
      <c r="L520" s="41" t="s">
        <v>145</v>
      </c>
      <c r="M520" s="25" t="str">
        <f>'Ingest Template'!D519</f>
        <v/>
      </c>
      <c r="N520" s="25"/>
      <c r="O520" s="25"/>
      <c r="P520" s="25"/>
      <c r="Q520" s="25"/>
      <c r="R520" s="25" t="str">
        <f>CONCATENATE('Ingest Template'!F519)</f>
        <v/>
      </c>
      <c r="S520" s="43" t="s">
        <v>160</v>
      </c>
      <c r="T520" s="25" t="str">
        <f>'Ingest Template'!W519</f>
        <v/>
      </c>
      <c r="U520" s="25"/>
      <c r="V520" s="25" t="str">
        <f>LOWER(SUBSTITUTE(SUBSTITUTE(SUBSTITUTE(SUBSTITUTE(SUBSTITUTE('Ingest Template'!Y519,"https:",""),"www.",""),"/",""),"?hl=en",""),"instagram.com",""))</f>
        <v/>
      </c>
      <c r="W520" s="34" t="str">
        <f>(IFERROR(vlookup('Ingest Template'!F520,DropDown!D:E,2,false)&amp;'Ingest Template'!C520,""))</f>
        <v/>
      </c>
      <c r="X520" s="25" t="str">
        <f>'Ingest Template'!AA519</f>
        <v/>
      </c>
      <c r="Y520" s="25"/>
      <c r="Z520" s="25"/>
      <c r="AA520" s="25"/>
      <c r="AB520" s="25" t="str">
        <f>'Ingest Template'!T519</f>
        <v/>
      </c>
      <c r="AC520" s="25"/>
      <c r="AD520" s="25" t="str">
        <f>'Ingest Template'!U519</f>
        <v/>
      </c>
      <c r="AE520" s="25" t="str">
        <f>'Ingest Template'!V519</f>
        <v/>
      </c>
      <c r="AF520" s="25"/>
      <c r="AG520" s="25" t="str">
        <f t="array" ref="AG520">IF('Ingest Template'!A519="Standard",(CONCATENATE(IF(ISBLANK('Ingest Template'!O519),"", 'Ingest Template'!O519&amp;"|DAR"),CHAR(10), IF(ISBLANK('Ingest Template'!P519),"", 'Ingest Template'!P519&amp;"|DAR"),CHAR(10), IF(ISBLANK('Ingest Template'!Q519),"", 'Ingest Template'!Q519&amp;"|DAR"))),(CONCATENATE(IF(ISBLANK('Ingest Template'!O519),"", 'Ingest Template'!O519&amp;"|Operations - Core Title"),CHAR(10), IF(ISBLANK('Ingest Template'!P519),"", 'Ingest Template'!P519&amp;"|Operations - Core Title"),CHAR(10), IF(ISBLANK('Ingest Template'!Q519),"", 'Ingest Template'!Q519&amp;"|Operations - Core Title"))))</f>
        <v>#|Operations - Core Title
#videoGame|Operations - Core Title
</v>
      </c>
      <c r="AH520" s="25"/>
      <c r="AI520" s="25"/>
      <c r="AJ520" s="50" t="str">
        <f>if('Ingest Template'!A519="Standard",'Ingest Template'!R519&amp; "|DAR|DAR|2021-01-01",'Ingest Template'!R519&amp; "|Operations - Core Title|Operations - Core Title")</f>
        <v>#N/A</v>
      </c>
      <c r="AK520" s="25"/>
      <c r="AL520" s="25" t="str">
        <f>if('Ingest Template'!A519="Standard",'Ingest Template'!S519&amp; "|2021-01-01",'Ingest Template'!S519)</f>
        <v>#N/A</v>
      </c>
      <c r="AM520" s="25"/>
    </row>
    <row r="521">
      <c r="A521" s="25"/>
      <c r="B521" s="25" t="str">
        <f>'Ingest Template'!C520&amp;IF('Ingest Template'!A520 = "Standard", " - DAR","")</f>
        <v/>
      </c>
      <c r="C521" s="34" t="s">
        <v>92</v>
      </c>
      <c r="D521" s="34" t="str">
        <f>CONCATENATE('Ingest Template'!E521&amp;Char(10)&amp;'Ingest Template'!G521&amp;Char(10)&amp;'Ingest Template'!H521&amp;Char(10)&amp;'Ingest Template'!I521&amp;Char(10)&amp;'Ingest Template'!J521&amp;Char(10)&amp;'Ingest Template'!K521&amp;Char(10)&amp;'Ingest Template'!L521)</f>
        <v>
</v>
      </c>
      <c r="E521" s="25" t="str">
        <f>('Ingest Template'!M521)</f>
        <v/>
      </c>
      <c r="F521" s="40" t="str">
        <f t="array" ref="F521">INDEX(DropDown!$J$2:$J$63,MATCH(1,COUNTIF(E521,DropDown!$I$2:$I$63),0))</f>
        <v>#N/A</v>
      </c>
      <c r="G521" s="25"/>
      <c r="H521" s="25"/>
      <c r="I521" s="25"/>
      <c r="J521" s="25" t="str">
        <f>'Ingest Template'!B521</f>
        <v/>
      </c>
      <c r="K521" s="25" t="str">
        <f>IF('Ingest Template'!A520="Standard",'Ingest Template'!N520,"Competitive View")</f>
        <v>Competitive View</v>
      </c>
      <c r="L521" s="41" t="s">
        <v>145</v>
      </c>
      <c r="M521" s="25" t="str">
        <f>'Ingest Template'!D520</f>
        <v/>
      </c>
      <c r="N521" s="25"/>
      <c r="O521" s="25"/>
      <c r="P521" s="25"/>
      <c r="Q521" s="25"/>
      <c r="R521" s="25" t="str">
        <f>CONCATENATE('Ingest Template'!F520)</f>
        <v/>
      </c>
      <c r="S521" s="43" t="s">
        <v>160</v>
      </c>
      <c r="T521" s="25" t="str">
        <f>'Ingest Template'!W520</f>
        <v/>
      </c>
      <c r="U521" s="25"/>
      <c r="V521" s="25" t="str">
        <f>LOWER(SUBSTITUTE(SUBSTITUTE(SUBSTITUTE(SUBSTITUTE(SUBSTITUTE('Ingest Template'!Y520,"https:",""),"www.",""),"/",""),"?hl=en",""),"instagram.com",""))</f>
        <v/>
      </c>
      <c r="W521" s="34" t="str">
        <f>(IFERROR(vlookup('Ingest Template'!F521,DropDown!D:E,2,false)&amp;'Ingest Template'!C521,""))</f>
        <v/>
      </c>
      <c r="X521" s="25" t="str">
        <f>'Ingest Template'!AA520</f>
        <v/>
      </c>
      <c r="Y521" s="25"/>
      <c r="Z521" s="25"/>
      <c r="AA521" s="25"/>
      <c r="AB521" s="25" t="str">
        <f>'Ingest Template'!T520</f>
        <v/>
      </c>
      <c r="AC521" s="25"/>
      <c r="AD521" s="25" t="str">
        <f>'Ingest Template'!U520</f>
        <v/>
      </c>
      <c r="AE521" s="25" t="str">
        <f>'Ingest Template'!V520</f>
        <v/>
      </c>
      <c r="AF521" s="25"/>
      <c r="AG521" s="25" t="str">
        <f t="array" ref="AG521">IF('Ingest Template'!A520="Standard",(CONCATENATE(IF(ISBLANK('Ingest Template'!O520),"", 'Ingest Template'!O520&amp;"|DAR"),CHAR(10), IF(ISBLANK('Ingest Template'!P520),"", 'Ingest Template'!P520&amp;"|DAR"),CHAR(10), IF(ISBLANK('Ingest Template'!Q520),"", 'Ingest Template'!Q520&amp;"|DAR"))),(CONCATENATE(IF(ISBLANK('Ingest Template'!O520),"", 'Ingest Template'!O520&amp;"|Operations - Core Title"),CHAR(10), IF(ISBLANK('Ingest Template'!P520),"", 'Ingest Template'!P520&amp;"|Operations - Core Title"),CHAR(10), IF(ISBLANK('Ingest Template'!Q520),"", 'Ingest Template'!Q520&amp;"|Operations - Core Title"))))</f>
        <v>#|Operations - Core Title
#videoGame|Operations - Core Title
</v>
      </c>
      <c r="AH521" s="25"/>
      <c r="AI521" s="25"/>
      <c r="AJ521" s="50" t="str">
        <f>if('Ingest Template'!A520="Standard",'Ingest Template'!R520&amp; "|DAR|DAR|2021-01-01",'Ingest Template'!R520&amp; "|Operations - Core Title|Operations - Core Title")</f>
        <v>#N/A</v>
      </c>
      <c r="AK521" s="25"/>
      <c r="AL521" s="25" t="str">
        <f>if('Ingest Template'!A520="Standard",'Ingest Template'!S520&amp; "|2021-01-01",'Ingest Template'!S520)</f>
        <v>#N/A</v>
      </c>
      <c r="AM521" s="25"/>
    </row>
    <row r="522">
      <c r="A522" s="25"/>
      <c r="B522" s="25" t="str">
        <f>'Ingest Template'!C521&amp;IF('Ingest Template'!A521 = "Standard", " - DAR","")</f>
        <v/>
      </c>
      <c r="C522" s="34" t="s">
        <v>92</v>
      </c>
      <c r="D522" s="34" t="str">
        <f>CONCATENATE('Ingest Template'!E522&amp;Char(10)&amp;'Ingest Template'!G522&amp;Char(10)&amp;'Ingest Template'!H522&amp;Char(10)&amp;'Ingest Template'!I522&amp;Char(10)&amp;'Ingest Template'!J522&amp;Char(10)&amp;'Ingest Template'!K522&amp;Char(10)&amp;'Ingest Template'!L522)</f>
        <v>
</v>
      </c>
      <c r="E522" s="25" t="str">
        <f>('Ingest Template'!M522)</f>
        <v/>
      </c>
      <c r="F522" s="40" t="str">
        <f t="array" ref="F522">INDEX(DropDown!$J$2:$J$63,MATCH(1,COUNTIF(E522,DropDown!$I$2:$I$63),0))</f>
        <v>#N/A</v>
      </c>
      <c r="G522" s="25"/>
      <c r="H522" s="25"/>
      <c r="I522" s="25"/>
      <c r="J522" s="25" t="str">
        <f>'Ingest Template'!B522</f>
        <v/>
      </c>
      <c r="K522" s="25" t="str">
        <f>IF('Ingest Template'!A521="Standard",'Ingest Template'!N521,"Competitive View")</f>
        <v>Competitive View</v>
      </c>
      <c r="L522" s="41" t="s">
        <v>145</v>
      </c>
      <c r="M522" s="25" t="str">
        <f>'Ingest Template'!D521</f>
        <v/>
      </c>
      <c r="N522" s="25"/>
      <c r="O522" s="25"/>
      <c r="P522" s="25"/>
      <c r="Q522" s="25"/>
      <c r="R522" s="25" t="str">
        <f>CONCATENATE('Ingest Template'!F521)</f>
        <v/>
      </c>
      <c r="S522" s="43" t="s">
        <v>160</v>
      </c>
      <c r="T522" s="25" t="str">
        <f>'Ingest Template'!W521</f>
        <v/>
      </c>
      <c r="U522" s="25"/>
      <c r="V522" s="25" t="str">
        <f>LOWER(SUBSTITUTE(SUBSTITUTE(SUBSTITUTE(SUBSTITUTE(SUBSTITUTE('Ingest Template'!Y521,"https:",""),"www.",""),"/",""),"?hl=en",""),"instagram.com",""))</f>
        <v/>
      </c>
      <c r="W522" s="34" t="str">
        <f>(IFERROR(vlookup('Ingest Template'!F522,DropDown!D:E,2,false)&amp;'Ingest Template'!C522,""))</f>
        <v/>
      </c>
      <c r="X522" s="25" t="str">
        <f>'Ingest Template'!AA521</f>
        <v/>
      </c>
      <c r="Y522" s="25"/>
      <c r="Z522" s="25"/>
      <c r="AA522" s="25"/>
      <c r="AB522" s="25" t="str">
        <f>'Ingest Template'!T521</f>
        <v/>
      </c>
      <c r="AC522" s="25"/>
      <c r="AD522" s="25" t="str">
        <f>'Ingest Template'!U521</f>
        <v/>
      </c>
      <c r="AE522" s="25" t="str">
        <f>'Ingest Template'!V521</f>
        <v/>
      </c>
      <c r="AF522" s="25"/>
      <c r="AG522" s="25" t="str">
        <f t="array" ref="AG522">IF('Ingest Template'!A521="Standard",(CONCATENATE(IF(ISBLANK('Ingest Template'!O521),"", 'Ingest Template'!O521&amp;"|DAR"),CHAR(10), IF(ISBLANK('Ingest Template'!P521),"", 'Ingest Template'!P521&amp;"|DAR"),CHAR(10), IF(ISBLANK('Ingest Template'!Q521),"", 'Ingest Template'!Q521&amp;"|DAR"))),(CONCATENATE(IF(ISBLANK('Ingest Template'!O521),"", 'Ingest Template'!O521&amp;"|Operations - Core Title"),CHAR(10), IF(ISBLANK('Ingest Template'!P521),"", 'Ingest Template'!P521&amp;"|Operations - Core Title"),CHAR(10), IF(ISBLANK('Ingest Template'!Q521),"", 'Ingest Template'!Q521&amp;"|Operations - Core Title"))))</f>
        <v>#|Operations - Core Title
#videoGame|Operations - Core Title
</v>
      </c>
      <c r="AH522" s="25"/>
      <c r="AI522" s="25"/>
      <c r="AJ522" s="50" t="str">
        <f>if('Ingest Template'!A521="Standard",'Ingest Template'!R521&amp; "|DAR|DAR|2021-01-01",'Ingest Template'!R521&amp; "|Operations - Core Title|Operations - Core Title")</f>
        <v>#N/A</v>
      </c>
      <c r="AK522" s="25"/>
      <c r="AL522" s="25" t="str">
        <f>if('Ingest Template'!A521="Standard",'Ingest Template'!S521&amp; "|2021-01-01",'Ingest Template'!S521)</f>
        <v>#N/A</v>
      </c>
      <c r="AM522" s="25"/>
    </row>
    <row r="523">
      <c r="A523" s="25"/>
      <c r="B523" s="25" t="str">
        <f>'Ingest Template'!C522&amp;IF('Ingest Template'!A522 = "Standard", " - DAR","")</f>
        <v/>
      </c>
      <c r="C523" s="34" t="s">
        <v>92</v>
      </c>
      <c r="D523" s="34" t="str">
        <f>CONCATENATE('Ingest Template'!E523&amp;Char(10)&amp;'Ingest Template'!G523&amp;Char(10)&amp;'Ingest Template'!H523&amp;Char(10)&amp;'Ingest Template'!I523&amp;Char(10)&amp;'Ingest Template'!J523&amp;Char(10)&amp;'Ingest Template'!K523&amp;Char(10)&amp;'Ingest Template'!L523)</f>
        <v>
</v>
      </c>
      <c r="E523" s="25" t="str">
        <f>('Ingest Template'!M523)</f>
        <v/>
      </c>
      <c r="F523" s="40" t="str">
        <f t="array" ref="F523">INDEX(DropDown!$J$2:$J$63,MATCH(1,COUNTIF(E523,DropDown!$I$2:$I$63),0))</f>
        <v>#N/A</v>
      </c>
      <c r="G523" s="25"/>
      <c r="H523" s="25"/>
      <c r="I523" s="25"/>
      <c r="J523" s="25" t="str">
        <f>'Ingest Template'!B523</f>
        <v/>
      </c>
      <c r="K523" s="25" t="str">
        <f>IF('Ingest Template'!A522="Standard",'Ingest Template'!N522,"Competitive View")</f>
        <v>Competitive View</v>
      </c>
      <c r="L523" s="41" t="s">
        <v>145</v>
      </c>
      <c r="M523" s="25" t="str">
        <f>'Ingest Template'!D522</f>
        <v/>
      </c>
      <c r="N523" s="25"/>
      <c r="O523" s="25"/>
      <c r="P523" s="25"/>
      <c r="Q523" s="25"/>
      <c r="R523" s="25" t="str">
        <f>CONCATENATE('Ingest Template'!F522)</f>
        <v/>
      </c>
      <c r="S523" s="43" t="s">
        <v>160</v>
      </c>
      <c r="T523" s="25" t="str">
        <f>'Ingest Template'!W522</f>
        <v/>
      </c>
      <c r="U523" s="25"/>
      <c r="V523" s="25" t="str">
        <f>LOWER(SUBSTITUTE(SUBSTITUTE(SUBSTITUTE(SUBSTITUTE(SUBSTITUTE('Ingest Template'!Y522,"https:",""),"www.",""),"/",""),"?hl=en",""),"instagram.com",""))</f>
        <v/>
      </c>
      <c r="W523" s="34" t="str">
        <f>(IFERROR(vlookup('Ingest Template'!F523,DropDown!D:E,2,false)&amp;'Ingest Template'!C523,""))</f>
        <v/>
      </c>
      <c r="X523" s="25" t="str">
        <f>'Ingest Template'!AA522</f>
        <v/>
      </c>
      <c r="Y523" s="25"/>
      <c r="Z523" s="25"/>
      <c r="AA523" s="25"/>
      <c r="AB523" s="25" t="str">
        <f>'Ingest Template'!T522</f>
        <v/>
      </c>
      <c r="AC523" s="25"/>
      <c r="AD523" s="25" t="str">
        <f>'Ingest Template'!U522</f>
        <v/>
      </c>
      <c r="AE523" s="25" t="str">
        <f>'Ingest Template'!V522</f>
        <v/>
      </c>
      <c r="AF523" s="25"/>
      <c r="AG523" s="25" t="str">
        <f t="array" ref="AG523">IF('Ingest Template'!A522="Standard",(CONCATENATE(IF(ISBLANK('Ingest Template'!O522),"", 'Ingest Template'!O522&amp;"|DAR"),CHAR(10), IF(ISBLANK('Ingest Template'!P522),"", 'Ingest Template'!P522&amp;"|DAR"),CHAR(10), IF(ISBLANK('Ingest Template'!Q522),"", 'Ingest Template'!Q522&amp;"|DAR"))),(CONCATENATE(IF(ISBLANK('Ingest Template'!O522),"", 'Ingest Template'!O522&amp;"|Operations - Core Title"),CHAR(10), IF(ISBLANK('Ingest Template'!P522),"", 'Ingest Template'!P522&amp;"|Operations - Core Title"),CHAR(10), IF(ISBLANK('Ingest Template'!Q522),"", 'Ingest Template'!Q522&amp;"|Operations - Core Title"))))</f>
        <v>#|Operations - Core Title
#videoGame|Operations - Core Title
</v>
      </c>
      <c r="AH523" s="25"/>
      <c r="AI523" s="25"/>
      <c r="AJ523" s="50" t="str">
        <f>if('Ingest Template'!A522="Standard",'Ingest Template'!R522&amp; "|DAR|DAR|2021-01-01",'Ingest Template'!R522&amp; "|Operations - Core Title|Operations - Core Title")</f>
        <v>#N/A</v>
      </c>
      <c r="AK523" s="25"/>
      <c r="AL523" s="25" t="str">
        <f>if('Ingest Template'!A522="Standard",'Ingest Template'!S522&amp; "|2021-01-01",'Ingest Template'!S522)</f>
        <v>#N/A</v>
      </c>
      <c r="AM523" s="25"/>
    </row>
    <row r="524">
      <c r="A524" s="25"/>
      <c r="B524" s="25" t="str">
        <f>'Ingest Template'!C523&amp;IF('Ingest Template'!A523 = "Standard", " - DAR","")</f>
        <v/>
      </c>
      <c r="C524" s="34" t="s">
        <v>92</v>
      </c>
      <c r="D524" s="34" t="str">
        <f>CONCATENATE('Ingest Template'!E524&amp;Char(10)&amp;'Ingest Template'!G524&amp;Char(10)&amp;'Ingest Template'!H524&amp;Char(10)&amp;'Ingest Template'!I524&amp;Char(10)&amp;'Ingest Template'!J524&amp;Char(10)&amp;'Ingest Template'!K524&amp;Char(10)&amp;'Ingest Template'!L524)</f>
        <v>
</v>
      </c>
      <c r="E524" s="25" t="str">
        <f>('Ingest Template'!M524)</f>
        <v/>
      </c>
      <c r="F524" s="40" t="str">
        <f t="array" ref="F524">INDEX(DropDown!$J$2:$J$63,MATCH(1,COUNTIF(E524,DropDown!$I$2:$I$63),0))</f>
        <v>#N/A</v>
      </c>
      <c r="G524" s="25"/>
      <c r="H524" s="25"/>
      <c r="I524" s="25"/>
      <c r="J524" s="25" t="str">
        <f>'Ingest Template'!B524</f>
        <v/>
      </c>
      <c r="K524" s="25" t="str">
        <f>IF('Ingest Template'!A523="Standard",'Ingest Template'!N523,"Competitive View")</f>
        <v>Competitive View</v>
      </c>
      <c r="L524" s="41" t="s">
        <v>145</v>
      </c>
      <c r="M524" s="25" t="str">
        <f>'Ingest Template'!D523</f>
        <v/>
      </c>
      <c r="N524" s="25"/>
      <c r="O524" s="25"/>
      <c r="P524" s="25"/>
      <c r="Q524" s="25"/>
      <c r="R524" s="25" t="str">
        <f>CONCATENATE('Ingest Template'!F523)</f>
        <v/>
      </c>
      <c r="S524" s="43" t="s">
        <v>160</v>
      </c>
      <c r="T524" s="25" t="str">
        <f>'Ingest Template'!W523</f>
        <v/>
      </c>
      <c r="U524" s="25"/>
      <c r="V524" s="25" t="str">
        <f>LOWER(SUBSTITUTE(SUBSTITUTE(SUBSTITUTE(SUBSTITUTE(SUBSTITUTE('Ingest Template'!Y523,"https:",""),"www.",""),"/",""),"?hl=en",""),"instagram.com",""))</f>
        <v/>
      </c>
      <c r="W524" s="34" t="str">
        <f>(IFERROR(vlookup('Ingest Template'!F524,DropDown!D:E,2,false)&amp;'Ingest Template'!C524,""))</f>
        <v/>
      </c>
      <c r="X524" s="25" t="str">
        <f>'Ingest Template'!AA523</f>
        <v/>
      </c>
      <c r="Y524" s="25"/>
      <c r="Z524" s="25"/>
      <c r="AA524" s="25"/>
      <c r="AB524" s="25" t="str">
        <f>'Ingest Template'!T523</f>
        <v/>
      </c>
      <c r="AC524" s="25"/>
      <c r="AD524" s="25" t="str">
        <f>'Ingest Template'!U523</f>
        <v/>
      </c>
      <c r="AE524" s="25" t="str">
        <f>'Ingest Template'!V523</f>
        <v/>
      </c>
      <c r="AF524" s="25"/>
      <c r="AG524" s="25" t="str">
        <f t="array" ref="AG524">IF('Ingest Template'!A523="Standard",(CONCATENATE(IF(ISBLANK('Ingest Template'!O523),"", 'Ingest Template'!O523&amp;"|DAR"),CHAR(10), IF(ISBLANK('Ingest Template'!P523),"", 'Ingest Template'!P523&amp;"|DAR"),CHAR(10), IF(ISBLANK('Ingest Template'!Q523),"", 'Ingest Template'!Q523&amp;"|DAR"))),(CONCATENATE(IF(ISBLANK('Ingest Template'!O523),"", 'Ingest Template'!O523&amp;"|Operations - Core Title"),CHAR(10), IF(ISBLANK('Ingest Template'!P523),"", 'Ingest Template'!P523&amp;"|Operations - Core Title"),CHAR(10), IF(ISBLANK('Ingest Template'!Q523),"", 'Ingest Template'!Q523&amp;"|Operations - Core Title"))))</f>
        <v>#|Operations - Core Title
#videoGame|Operations - Core Title
</v>
      </c>
      <c r="AH524" s="25"/>
      <c r="AI524" s="25"/>
      <c r="AJ524" s="50" t="str">
        <f>if('Ingest Template'!A523="Standard",'Ingest Template'!R523&amp; "|DAR|DAR|2021-01-01",'Ingest Template'!R523&amp; "|Operations - Core Title|Operations - Core Title")</f>
        <v>#N/A</v>
      </c>
      <c r="AK524" s="25"/>
      <c r="AL524" s="25" t="str">
        <f>if('Ingest Template'!A523="Standard",'Ingest Template'!S523&amp; "|2021-01-01",'Ingest Template'!S523)</f>
        <v>#N/A</v>
      </c>
      <c r="AM524" s="25"/>
    </row>
    <row r="525">
      <c r="A525" s="25"/>
      <c r="B525" s="25" t="str">
        <f>'Ingest Template'!C524&amp;IF('Ingest Template'!A524 = "Standard", " - DAR","")</f>
        <v/>
      </c>
      <c r="C525" s="34" t="s">
        <v>92</v>
      </c>
      <c r="D525" s="34" t="str">
        <f>CONCATENATE('Ingest Template'!E525&amp;Char(10)&amp;'Ingest Template'!G525&amp;Char(10)&amp;'Ingest Template'!H525&amp;Char(10)&amp;'Ingest Template'!I525&amp;Char(10)&amp;'Ingest Template'!J525&amp;Char(10)&amp;'Ingest Template'!K525&amp;Char(10)&amp;'Ingest Template'!L525)</f>
        <v>
</v>
      </c>
      <c r="E525" s="25" t="str">
        <f>('Ingest Template'!M525)</f>
        <v/>
      </c>
      <c r="F525" s="40" t="str">
        <f t="array" ref="F525">INDEX(DropDown!$J$2:$J$63,MATCH(1,COUNTIF(E525,DropDown!$I$2:$I$63),0))</f>
        <v>#N/A</v>
      </c>
      <c r="G525" s="25"/>
      <c r="H525" s="25"/>
      <c r="I525" s="25"/>
      <c r="J525" s="25" t="str">
        <f>'Ingest Template'!B525</f>
        <v/>
      </c>
      <c r="K525" s="25" t="str">
        <f>IF('Ingest Template'!A524="Standard",'Ingest Template'!N524,"Competitive View")</f>
        <v>Competitive View</v>
      </c>
      <c r="L525" s="41" t="s">
        <v>145</v>
      </c>
      <c r="M525" s="25" t="str">
        <f>'Ingest Template'!D524</f>
        <v/>
      </c>
      <c r="N525" s="25"/>
      <c r="O525" s="25"/>
      <c r="P525" s="25"/>
      <c r="Q525" s="25"/>
      <c r="R525" s="25" t="str">
        <f>CONCATENATE('Ingest Template'!F524)</f>
        <v/>
      </c>
      <c r="S525" s="43" t="s">
        <v>160</v>
      </c>
      <c r="T525" s="25" t="str">
        <f>'Ingest Template'!W524</f>
        <v/>
      </c>
      <c r="U525" s="25"/>
      <c r="V525" s="25" t="str">
        <f>LOWER(SUBSTITUTE(SUBSTITUTE(SUBSTITUTE(SUBSTITUTE(SUBSTITUTE('Ingest Template'!Y524,"https:",""),"www.",""),"/",""),"?hl=en",""),"instagram.com",""))</f>
        <v/>
      </c>
      <c r="W525" s="34" t="str">
        <f>(IFERROR(vlookup('Ingest Template'!F525,DropDown!D:E,2,false)&amp;'Ingest Template'!C525,""))</f>
        <v/>
      </c>
      <c r="X525" s="25" t="str">
        <f>'Ingest Template'!AA524</f>
        <v/>
      </c>
      <c r="Y525" s="25"/>
      <c r="Z525" s="25"/>
      <c r="AA525" s="25"/>
      <c r="AB525" s="25" t="str">
        <f>'Ingest Template'!T524</f>
        <v/>
      </c>
      <c r="AC525" s="25"/>
      <c r="AD525" s="25" t="str">
        <f>'Ingest Template'!U524</f>
        <v/>
      </c>
      <c r="AE525" s="25" t="str">
        <f>'Ingest Template'!V524</f>
        <v/>
      </c>
      <c r="AF525" s="25"/>
      <c r="AG525" s="25" t="str">
        <f t="array" ref="AG525">IF('Ingest Template'!A524="Standard",(CONCATENATE(IF(ISBLANK('Ingest Template'!O524),"", 'Ingest Template'!O524&amp;"|DAR"),CHAR(10), IF(ISBLANK('Ingest Template'!P524),"", 'Ingest Template'!P524&amp;"|DAR"),CHAR(10), IF(ISBLANK('Ingest Template'!Q524),"", 'Ingest Template'!Q524&amp;"|DAR"))),(CONCATENATE(IF(ISBLANK('Ingest Template'!O524),"", 'Ingest Template'!O524&amp;"|Operations - Core Title"),CHAR(10), IF(ISBLANK('Ingest Template'!P524),"", 'Ingest Template'!P524&amp;"|Operations - Core Title"),CHAR(10), IF(ISBLANK('Ingest Template'!Q524),"", 'Ingest Template'!Q524&amp;"|Operations - Core Title"))))</f>
        <v>#|Operations - Core Title
#videoGame|Operations - Core Title
</v>
      </c>
      <c r="AH525" s="25"/>
      <c r="AI525" s="25"/>
      <c r="AJ525" s="50" t="str">
        <f>if('Ingest Template'!A524="Standard",'Ingest Template'!R524&amp; "|DAR|DAR|2021-01-01",'Ingest Template'!R524&amp; "|Operations - Core Title|Operations - Core Title")</f>
        <v>#N/A</v>
      </c>
      <c r="AK525" s="25"/>
      <c r="AL525" s="25" t="str">
        <f>if('Ingest Template'!A524="Standard",'Ingest Template'!S524&amp; "|2021-01-01",'Ingest Template'!S524)</f>
        <v>#N/A</v>
      </c>
      <c r="AM525" s="25"/>
    </row>
    <row r="526">
      <c r="A526" s="25"/>
      <c r="B526" s="25" t="str">
        <f>'Ingest Template'!C525&amp;IF('Ingest Template'!A525 = "Standard", " - DAR","")</f>
        <v/>
      </c>
      <c r="C526" s="34" t="s">
        <v>92</v>
      </c>
      <c r="D526" s="34" t="str">
        <f>CONCATENATE('Ingest Template'!E526&amp;Char(10)&amp;'Ingest Template'!G526&amp;Char(10)&amp;'Ingest Template'!H526&amp;Char(10)&amp;'Ingest Template'!I526&amp;Char(10)&amp;'Ingest Template'!J526&amp;Char(10)&amp;'Ingest Template'!K526&amp;Char(10)&amp;'Ingest Template'!L526)</f>
        <v>
</v>
      </c>
      <c r="E526" s="25" t="str">
        <f>('Ingest Template'!M526)</f>
        <v/>
      </c>
      <c r="F526" s="40" t="str">
        <f t="array" ref="F526">INDEX(DropDown!$J$2:$J$63,MATCH(1,COUNTIF(E526,DropDown!$I$2:$I$63),0))</f>
        <v>#N/A</v>
      </c>
      <c r="G526" s="25"/>
      <c r="H526" s="25"/>
      <c r="I526" s="25"/>
      <c r="J526" s="25" t="str">
        <f>'Ingest Template'!B526</f>
        <v/>
      </c>
      <c r="K526" s="25" t="str">
        <f>IF('Ingest Template'!A525="Standard",'Ingest Template'!N525,"Competitive View")</f>
        <v>Competitive View</v>
      </c>
      <c r="L526" s="41" t="s">
        <v>145</v>
      </c>
      <c r="M526" s="25" t="str">
        <f>'Ingest Template'!D525</f>
        <v/>
      </c>
      <c r="N526" s="25"/>
      <c r="O526" s="25"/>
      <c r="P526" s="25"/>
      <c r="Q526" s="25"/>
      <c r="R526" s="25" t="str">
        <f>CONCATENATE('Ingest Template'!F525)</f>
        <v/>
      </c>
      <c r="S526" s="43" t="s">
        <v>160</v>
      </c>
      <c r="T526" s="25" t="str">
        <f>'Ingest Template'!W525</f>
        <v/>
      </c>
      <c r="U526" s="25"/>
      <c r="V526" s="25" t="str">
        <f>LOWER(SUBSTITUTE(SUBSTITUTE(SUBSTITUTE(SUBSTITUTE(SUBSTITUTE('Ingest Template'!Y525,"https:",""),"www.",""),"/",""),"?hl=en",""),"instagram.com",""))</f>
        <v/>
      </c>
      <c r="W526" s="34" t="str">
        <f>(IFERROR(vlookup('Ingest Template'!F526,DropDown!D:E,2,false)&amp;'Ingest Template'!C526,""))</f>
        <v/>
      </c>
      <c r="X526" s="25" t="str">
        <f>'Ingest Template'!AA525</f>
        <v/>
      </c>
      <c r="Y526" s="25"/>
      <c r="Z526" s="25"/>
      <c r="AA526" s="25"/>
      <c r="AB526" s="25" t="str">
        <f>'Ingest Template'!T525</f>
        <v/>
      </c>
      <c r="AC526" s="25"/>
      <c r="AD526" s="25" t="str">
        <f>'Ingest Template'!U525</f>
        <v/>
      </c>
      <c r="AE526" s="25" t="str">
        <f>'Ingest Template'!V525</f>
        <v/>
      </c>
      <c r="AF526" s="25"/>
      <c r="AG526" s="25" t="str">
        <f t="array" ref="AG526">IF('Ingest Template'!A525="Standard",(CONCATENATE(IF(ISBLANK('Ingest Template'!O525),"", 'Ingest Template'!O525&amp;"|DAR"),CHAR(10), IF(ISBLANK('Ingest Template'!P525),"", 'Ingest Template'!P525&amp;"|DAR"),CHAR(10), IF(ISBLANK('Ingest Template'!Q525),"", 'Ingest Template'!Q525&amp;"|DAR"))),(CONCATENATE(IF(ISBLANK('Ingest Template'!O525),"", 'Ingest Template'!O525&amp;"|Operations - Core Title"),CHAR(10), IF(ISBLANK('Ingest Template'!P525),"", 'Ingest Template'!P525&amp;"|Operations - Core Title"),CHAR(10), IF(ISBLANK('Ingest Template'!Q525),"", 'Ingest Template'!Q525&amp;"|Operations - Core Title"))))</f>
        <v>#|Operations - Core Title
#videoGame|Operations - Core Title
</v>
      </c>
      <c r="AH526" s="25"/>
      <c r="AI526" s="25"/>
      <c r="AJ526" s="50" t="str">
        <f>if('Ingest Template'!A525="Standard",'Ingest Template'!R525&amp; "|DAR|DAR|2021-01-01",'Ingest Template'!R525&amp; "|Operations - Core Title|Operations - Core Title")</f>
        <v>#N/A</v>
      </c>
      <c r="AK526" s="25"/>
      <c r="AL526" s="25" t="str">
        <f>if('Ingest Template'!A525="Standard",'Ingest Template'!S525&amp; "|2021-01-01",'Ingest Template'!S525)</f>
        <v>#N/A</v>
      </c>
      <c r="AM526" s="25"/>
    </row>
    <row r="527">
      <c r="A527" s="25"/>
      <c r="B527" s="25" t="str">
        <f>'Ingest Template'!C526&amp;IF('Ingest Template'!A526 = "Standard", " - DAR","")</f>
        <v/>
      </c>
      <c r="C527" s="34" t="s">
        <v>92</v>
      </c>
      <c r="D527" s="34" t="str">
        <f>CONCATENATE('Ingest Template'!E527&amp;Char(10)&amp;'Ingest Template'!G527&amp;Char(10)&amp;'Ingest Template'!H527&amp;Char(10)&amp;'Ingest Template'!I527&amp;Char(10)&amp;'Ingest Template'!J527&amp;Char(10)&amp;'Ingest Template'!K527&amp;Char(10)&amp;'Ingest Template'!L527)</f>
        <v>
</v>
      </c>
      <c r="E527" s="25" t="str">
        <f>('Ingest Template'!M527)</f>
        <v/>
      </c>
      <c r="F527" s="40" t="str">
        <f t="array" ref="F527">INDEX(DropDown!$J$2:$J$63,MATCH(1,COUNTIF(E527,DropDown!$I$2:$I$63),0))</f>
        <v>#N/A</v>
      </c>
      <c r="G527" s="25"/>
      <c r="H527" s="25"/>
      <c r="I527" s="25"/>
      <c r="J527" s="25" t="str">
        <f>'Ingest Template'!B527</f>
        <v/>
      </c>
      <c r="K527" s="25" t="str">
        <f>IF('Ingest Template'!A526="Standard",'Ingest Template'!N526,"Competitive View")</f>
        <v>Competitive View</v>
      </c>
      <c r="L527" s="41" t="s">
        <v>145</v>
      </c>
      <c r="M527" s="25" t="str">
        <f>'Ingest Template'!D526</f>
        <v/>
      </c>
      <c r="N527" s="25"/>
      <c r="O527" s="25"/>
      <c r="P527" s="25"/>
      <c r="Q527" s="25"/>
      <c r="R527" s="25" t="str">
        <f>CONCATENATE('Ingest Template'!F526)</f>
        <v/>
      </c>
      <c r="S527" s="43" t="s">
        <v>160</v>
      </c>
      <c r="T527" s="25" t="str">
        <f>'Ingest Template'!W526</f>
        <v/>
      </c>
      <c r="U527" s="25"/>
      <c r="V527" s="25" t="str">
        <f>LOWER(SUBSTITUTE(SUBSTITUTE(SUBSTITUTE(SUBSTITUTE(SUBSTITUTE('Ingest Template'!Y526,"https:",""),"www.",""),"/",""),"?hl=en",""),"instagram.com",""))</f>
        <v/>
      </c>
      <c r="W527" s="34" t="str">
        <f>(IFERROR(vlookup('Ingest Template'!F527,DropDown!D:E,2,false)&amp;'Ingest Template'!C527,""))</f>
        <v/>
      </c>
      <c r="X527" s="25" t="str">
        <f>'Ingest Template'!AA526</f>
        <v/>
      </c>
      <c r="Y527" s="25"/>
      <c r="Z527" s="25"/>
      <c r="AA527" s="25"/>
      <c r="AB527" s="25" t="str">
        <f>'Ingest Template'!T526</f>
        <v/>
      </c>
      <c r="AC527" s="25"/>
      <c r="AD527" s="25" t="str">
        <f>'Ingest Template'!U526</f>
        <v/>
      </c>
      <c r="AE527" s="25" t="str">
        <f>'Ingest Template'!V526</f>
        <v/>
      </c>
      <c r="AF527" s="25"/>
      <c r="AG527" s="25" t="str">
        <f t="array" ref="AG527">IF('Ingest Template'!A526="Standard",(CONCATENATE(IF(ISBLANK('Ingest Template'!O526),"", 'Ingest Template'!O526&amp;"|DAR"),CHAR(10), IF(ISBLANK('Ingest Template'!P526),"", 'Ingest Template'!P526&amp;"|DAR"),CHAR(10), IF(ISBLANK('Ingest Template'!Q526),"", 'Ingest Template'!Q526&amp;"|DAR"))),(CONCATENATE(IF(ISBLANK('Ingest Template'!O526),"", 'Ingest Template'!O526&amp;"|Operations - Core Title"),CHAR(10), IF(ISBLANK('Ingest Template'!P526),"", 'Ingest Template'!P526&amp;"|Operations - Core Title"),CHAR(10), IF(ISBLANK('Ingest Template'!Q526),"", 'Ingest Template'!Q526&amp;"|Operations - Core Title"))))</f>
        <v>#|Operations - Core Title
#videoGame|Operations - Core Title
</v>
      </c>
      <c r="AH527" s="25"/>
      <c r="AI527" s="25"/>
      <c r="AJ527" s="50" t="str">
        <f>if('Ingest Template'!A526="Standard",'Ingest Template'!R526&amp; "|DAR|DAR|2021-01-01",'Ingest Template'!R526&amp; "|Operations - Core Title|Operations - Core Title")</f>
        <v>#N/A</v>
      </c>
      <c r="AK527" s="25"/>
      <c r="AL527" s="25" t="str">
        <f>if('Ingest Template'!A526="Standard",'Ingest Template'!S526&amp; "|2021-01-01",'Ingest Template'!S526)</f>
        <v>#N/A</v>
      </c>
      <c r="AM527" s="25"/>
    </row>
    <row r="528">
      <c r="A528" s="25"/>
      <c r="B528" s="25" t="str">
        <f>'Ingest Template'!C527&amp;IF('Ingest Template'!A527 = "Standard", " - DAR","")</f>
        <v/>
      </c>
      <c r="C528" s="34" t="s">
        <v>92</v>
      </c>
      <c r="D528" s="34" t="str">
        <f>CONCATENATE('Ingest Template'!E528&amp;Char(10)&amp;'Ingest Template'!G528&amp;Char(10)&amp;'Ingest Template'!H528&amp;Char(10)&amp;'Ingest Template'!I528&amp;Char(10)&amp;'Ingest Template'!J528&amp;Char(10)&amp;'Ingest Template'!K528&amp;Char(10)&amp;'Ingest Template'!L528)</f>
        <v>
</v>
      </c>
      <c r="E528" s="25" t="str">
        <f>('Ingest Template'!M528)</f>
        <v/>
      </c>
      <c r="F528" s="40" t="str">
        <f t="array" ref="F528">INDEX(DropDown!$J$2:$J$63,MATCH(1,COUNTIF(E528,DropDown!$I$2:$I$63),0))</f>
        <v>#N/A</v>
      </c>
      <c r="G528" s="25"/>
      <c r="H528" s="25"/>
      <c r="I528" s="25"/>
      <c r="J528" s="25" t="str">
        <f>'Ingest Template'!B528</f>
        <v/>
      </c>
      <c r="K528" s="25" t="str">
        <f>IF('Ingest Template'!A527="Standard",'Ingest Template'!N527,"Competitive View")</f>
        <v>Competitive View</v>
      </c>
      <c r="L528" s="41" t="s">
        <v>145</v>
      </c>
      <c r="M528" s="25" t="str">
        <f>'Ingest Template'!D527</f>
        <v/>
      </c>
      <c r="N528" s="25"/>
      <c r="O528" s="25"/>
      <c r="P528" s="25"/>
      <c r="Q528" s="25"/>
      <c r="R528" s="25" t="str">
        <f>CONCATENATE('Ingest Template'!F527)</f>
        <v/>
      </c>
      <c r="S528" s="43" t="s">
        <v>160</v>
      </c>
      <c r="T528" s="25" t="str">
        <f>'Ingest Template'!W527</f>
        <v/>
      </c>
      <c r="U528" s="25"/>
      <c r="V528" s="25" t="str">
        <f>LOWER(SUBSTITUTE(SUBSTITUTE(SUBSTITUTE(SUBSTITUTE(SUBSTITUTE('Ingest Template'!Y527,"https:",""),"www.",""),"/",""),"?hl=en",""),"instagram.com",""))</f>
        <v/>
      </c>
      <c r="W528" s="34" t="str">
        <f>(IFERROR(vlookup('Ingest Template'!F528,DropDown!D:E,2,false)&amp;'Ingest Template'!C528,""))</f>
        <v/>
      </c>
      <c r="X528" s="25" t="str">
        <f>'Ingest Template'!AA527</f>
        <v/>
      </c>
      <c r="Y528" s="25"/>
      <c r="Z528" s="25"/>
      <c r="AA528" s="25"/>
      <c r="AB528" s="25" t="str">
        <f>'Ingest Template'!T527</f>
        <v/>
      </c>
      <c r="AC528" s="25"/>
      <c r="AD528" s="25" t="str">
        <f>'Ingest Template'!U527</f>
        <v/>
      </c>
      <c r="AE528" s="25" t="str">
        <f>'Ingest Template'!V527</f>
        <v/>
      </c>
      <c r="AF528" s="25"/>
      <c r="AG528" s="25" t="str">
        <f t="array" ref="AG528">IF('Ingest Template'!A527="Standard",(CONCATENATE(IF(ISBLANK('Ingest Template'!O527),"", 'Ingest Template'!O527&amp;"|DAR"),CHAR(10), IF(ISBLANK('Ingest Template'!P527),"", 'Ingest Template'!P527&amp;"|DAR"),CHAR(10), IF(ISBLANK('Ingest Template'!Q527),"", 'Ingest Template'!Q527&amp;"|DAR"))),(CONCATENATE(IF(ISBLANK('Ingest Template'!O527),"", 'Ingest Template'!O527&amp;"|Operations - Core Title"),CHAR(10), IF(ISBLANK('Ingest Template'!P527),"", 'Ingest Template'!P527&amp;"|Operations - Core Title"),CHAR(10), IF(ISBLANK('Ingest Template'!Q527),"", 'Ingest Template'!Q527&amp;"|Operations - Core Title"))))</f>
        <v>#|Operations - Core Title
#videoGame|Operations - Core Title
</v>
      </c>
      <c r="AH528" s="25"/>
      <c r="AI528" s="25"/>
      <c r="AJ528" s="50" t="str">
        <f>if('Ingest Template'!A527="Standard",'Ingest Template'!R527&amp; "|DAR|DAR|2021-01-01",'Ingest Template'!R527&amp; "|Operations - Core Title|Operations - Core Title")</f>
        <v>#N/A</v>
      </c>
      <c r="AK528" s="25"/>
      <c r="AL528" s="25" t="str">
        <f>if('Ingest Template'!A527="Standard",'Ingest Template'!S527&amp; "|2021-01-01",'Ingest Template'!S527)</f>
        <v>#N/A</v>
      </c>
      <c r="AM528" s="25"/>
    </row>
    <row r="529">
      <c r="A529" s="25"/>
      <c r="B529" s="25" t="str">
        <f>'Ingest Template'!C528&amp;IF('Ingest Template'!A528 = "Standard", " - DAR","")</f>
        <v/>
      </c>
      <c r="C529" s="34" t="s">
        <v>92</v>
      </c>
      <c r="D529" s="34" t="str">
        <f>CONCATENATE('Ingest Template'!E529&amp;Char(10)&amp;'Ingest Template'!G529&amp;Char(10)&amp;'Ingest Template'!H529&amp;Char(10)&amp;'Ingest Template'!I529&amp;Char(10)&amp;'Ingest Template'!J529&amp;Char(10)&amp;'Ingest Template'!K529&amp;Char(10)&amp;'Ingest Template'!L529)</f>
        <v>
</v>
      </c>
      <c r="E529" s="25" t="str">
        <f>('Ingest Template'!M529)</f>
        <v/>
      </c>
      <c r="F529" s="40" t="str">
        <f t="array" ref="F529">INDEX(DropDown!$J$2:$J$63,MATCH(1,COUNTIF(E529,DropDown!$I$2:$I$63),0))</f>
        <v>#N/A</v>
      </c>
      <c r="G529" s="25"/>
      <c r="H529" s="25"/>
      <c r="I529" s="25"/>
      <c r="J529" s="25" t="str">
        <f>'Ingest Template'!B529</f>
        <v/>
      </c>
      <c r="K529" s="25" t="str">
        <f>IF('Ingest Template'!A528="Standard",'Ingest Template'!N528,"Competitive View")</f>
        <v>Competitive View</v>
      </c>
      <c r="L529" s="41" t="s">
        <v>145</v>
      </c>
      <c r="M529" s="25" t="str">
        <f>'Ingest Template'!D528</f>
        <v/>
      </c>
      <c r="N529" s="25"/>
      <c r="O529" s="25"/>
      <c r="P529" s="25"/>
      <c r="Q529" s="25"/>
      <c r="R529" s="25" t="str">
        <f>CONCATENATE('Ingest Template'!F528)</f>
        <v/>
      </c>
      <c r="S529" s="43" t="s">
        <v>160</v>
      </c>
      <c r="T529" s="25" t="str">
        <f>'Ingest Template'!W528</f>
        <v/>
      </c>
      <c r="U529" s="25"/>
      <c r="V529" s="25" t="str">
        <f>LOWER(SUBSTITUTE(SUBSTITUTE(SUBSTITUTE(SUBSTITUTE(SUBSTITUTE('Ingest Template'!Y528,"https:",""),"www.",""),"/",""),"?hl=en",""),"instagram.com",""))</f>
        <v/>
      </c>
      <c r="W529" s="34" t="str">
        <f>(IFERROR(vlookup('Ingest Template'!F529,DropDown!D:E,2,false)&amp;'Ingest Template'!C529,""))</f>
        <v/>
      </c>
      <c r="X529" s="25" t="str">
        <f>'Ingest Template'!AA528</f>
        <v/>
      </c>
      <c r="Y529" s="25"/>
      <c r="Z529" s="25"/>
      <c r="AA529" s="25"/>
      <c r="AB529" s="25" t="str">
        <f>'Ingest Template'!T528</f>
        <v/>
      </c>
      <c r="AC529" s="25"/>
      <c r="AD529" s="25" t="str">
        <f>'Ingest Template'!U528</f>
        <v/>
      </c>
      <c r="AE529" s="25" t="str">
        <f>'Ingest Template'!V528</f>
        <v/>
      </c>
      <c r="AF529" s="25"/>
      <c r="AG529" s="25" t="str">
        <f t="array" ref="AG529">IF('Ingest Template'!A528="Standard",(CONCATENATE(IF(ISBLANK('Ingest Template'!O528),"", 'Ingest Template'!O528&amp;"|DAR"),CHAR(10), IF(ISBLANK('Ingest Template'!P528),"", 'Ingest Template'!P528&amp;"|DAR"),CHAR(10), IF(ISBLANK('Ingest Template'!Q528),"", 'Ingest Template'!Q528&amp;"|DAR"))),(CONCATENATE(IF(ISBLANK('Ingest Template'!O528),"", 'Ingest Template'!O528&amp;"|Operations - Core Title"),CHAR(10), IF(ISBLANK('Ingest Template'!P528),"", 'Ingest Template'!P528&amp;"|Operations - Core Title"),CHAR(10), IF(ISBLANK('Ingest Template'!Q528),"", 'Ingest Template'!Q528&amp;"|Operations - Core Title"))))</f>
        <v>#|Operations - Core Title
#videoGame|Operations - Core Title
</v>
      </c>
      <c r="AH529" s="25"/>
      <c r="AI529" s="25"/>
      <c r="AJ529" s="50" t="str">
        <f>if('Ingest Template'!A528="Standard",'Ingest Template'!R528&amp; "|DAR|DAR|2021-01-01",'Ingest Template'!R528&amp; "|Operations - Core Title|Operations - Core Title")</f>
        <v>#N/A</v>
      </c>
      <c r="AK529" s="25"/>
      <c r="AL529" s="25" t="str">
        <f>if('Ingest Template'!A528="Standard",'Ingest Template'!S528&amp; "|2021-01-01",'Ingest Template'!S528)</f>
        <v>#N/A</v>
      </c>
      <c r="AM529" s="25"/>
    </row>
    <row r="530">
      <c r="A530" s="25"/>
      <c r="B530" s="25" t="str">
        <f>'Ingest Template'!C529&amp;IF('Ingest Template'!A529 = "Standard", " - DAR","")</f>
        <v/>
      </c>
      <c r="C530" s="34" t="s">
        <v>92</v>
      </c>
      <c r="D530" s="34" t="str">
        <f>CONCATENATE('Ingest Template'!E530&amp;Char(10)&amp;'Ingest Template'!G530&amp;Char(10)&amp;'Ingest Template'!H530&amp;Char(10)&amp;'Ingest Template'!I530&amp;Char(10)&amp;'Ingest Template'!J530&amp;Char(10)&amp;'Ingest Template'!K530&amp;Char(10)&amp;'Ingest Template'!L530)</f>
        <v>
</v>
      </c>
      <c r="E530" s="25" t="str">
        <f>('Ingest Template'!M530)</f>
        <v/>
      </c>
      <c r="F530" s="40" t="str">
        <f t="array" ref="F530">INDEX(DropDown!$J$2:$J$63,MATCH(1,COUNTIF(E530,DropDown!$I$2:$I$63),0))</f>
        <v>#N/A</v>
      </c>
      <c r="G530" s="25"/>
      <c r="H530" s="25"/>
      <c r="I530" s="25"/>
      <c r="J530" s="25" t="str">
        <f>'Ingest Template'!B530</f>
        <v/>
      </c>
      <c r="K530" s="25" t="str">
        <f>IF('Ingest Template'!A529="Standard",'Ingest Template'!N529,"Competitive View")</f>
        <v>Competitive View</v>
      </c>
      <c r="L530" s="41" t="s">
        <v>145</v>
      </c>
      <c r="M530" s="25" t="str">
        <f>'Ingest Template'!D529</f>
        <v/>
      </c>
      <c r="N530" s="25"/>
      <c r="O530" s="25"/>
      <c r="P530" s="25"/>
      <c r="Q530" s="25"/>
      <c r="R530" s="25" t="str">
        <f>CONCATENATE('Ingest Template'!F529)</f>
        <v/>
      </c>
      <c r="S530" s="43" t="s">
        <v>160</v>
      </c>
      <c r="T530" s="25" t="str">
        <f>'Ingest Template'!W529</f>
        <v/>
      </c>
      <c r="U530" s="25"/>
      <c r="V530" s="25" t="str">
        <f>LOWER(SUBSTITUTE(SUBSTITUTE(SUBSTITUTE(SUBSTITUTE(SUBSTITUTE('Ingest Template'!Y529,"https:",""),"www.",""),"/",""),"?hl=en",""),"instagram.com",""))</f>
        <v/>
      </c>
      <c r="W530" s="34" t="str">
        <f>(IFERROR(vlookup('Ingest Template'!F530,DropDown!D:E,2,false)&amp;'Ingest Template'!C530,""))</f>
        <v/>
      </c>
      <c r="X530" s="25" t="str">
        <f>'Ingest Template'!AA529</f>
        <v/>
      </c>
      <c r="Y530" s="25"/>
      <c r="Z530" s="25"/>
      <c r="AA530" s="25"/>
      <c r="AB530" s="25" t="str">
        <f>'Ingest Template'!T529</f>
        <v/>
      </c>
      <c r="AC530" s="25"/>
      <c r="AD530" s="25" t="str">
        <f>'Ingest Template'!U529</f>
        <v/>
      </c>
      <c r="AE530" s="25" t="str">
        <f>'Ingest Template'!V529</f>
        <v/>
      </c>
      <c r="AF530" s="25"/>
      <c r="AG530" s="25" t="str">
        <f t="array" ref="AG530">IF('Ingest Template'!A529="Standard",(CONCATENATE(IF(ISBLANK('Ingest Template'!O529),"", 'Ingest Template'!O529&amp;"|DAR"),CHAR(10), IF(ISBLANK('Ingest Template'!P529),"", 'Ingest Template'!P529&amp;"|DAR"),CHAR(10), IF(ISBLANK('Ingest Template'!Q529),"", 'Ingest Template'!Q529&amp;"|DAR"))),(CONCATENATE(IF(ISBLANK('Ingest Template'!O529),"", 'Ingest Template'!O529&amp;"|Operations - Core Title"),CHAR(10), IF(ISBLANK('Ingest Template'!P529),"", 'Ingest Template'!P529&amp;"|Operations - Core Title"),CHAR(10), IF(ISBLANK('Ingest Template'!Q529),"", 'Ingest Template'!Q529&amp;"|Operations - Core Title"))))</f>
        <v>#|Operations - Core Title
#videoGame|Operations - Core Title
</v>
      </c>
      <c r="AH530" s="25"/>
      <c r="AI530" s="25"/>
      <c r="AJ530" s="50" t="str">
        <f>if('Ingest Template'!A529="Standard",'Ingest Template'!R529&amp; "|DAR|DAR|2021-01-01",'Ingest Template'!R529&amp; "|Operations - Core Title|Operations - Core Title")</f>
        <v>#N/A</v>
      </c>
      <c r="AK530" s="25"/>
      <c r="AL530" s="25" t="str">
        <f>if('Ingest Template'!A529="Standard",'Ingest Template'!S529&amp; "|2021-01-01",'Ingest Template'!S529)</f>
        <v>#N/A</v>
      </c>
      <c r="AM530" s="25"/>
    </row>
    <row r="531">
      <c r="A531" s="25"/>
      <c r="B531" s="25" t="str">
        <f>'Ingest Template'!C530&amp;IF('Ingest Template'!A530 = "Standard", " - DAR","")</f>
        <v/>
      </c>
      <c r="C531" s="34" t="s">
        <v>92</v>
      </c>
      <c r="D531" s="34" t="str">
        <f>CONCATENATE('Ingest Template'!E531&amp;Char(10)&amp;'Ingest Template'!G531&amp;Char(10)&amp;'Ingest Template'!H531&amp;Char(10)&amp;'Ingest Template'!I531&amp;Char(10)&amp;'Ingest Template'!J531&amp;Char(10)&amp;'Ingest Template'!K531&amp;Char(10)&amp;'Ingest Template'!L531)</f>
        <v>
</v>
      </c>
      <c r="E531" s="25" t="str">
        <f>('Ingest Template'!M531)</f>
        <v/>
      </c>
      <c r="F531" s="40" t="str">
        <f t="array" ref="F531">INDEX(DropDown!$J$2:$J$63,MATCH(1,COUNTIF(E531,DropDown!$I$2:$I$63),0))</f>
        <v>#N/A</v>
      </c>
      <c r="G531" s="25"/>
      <c r="H531" s="25"/>
      <c r="I531" s="25"/>
      <c r="J531" s="25" t="str">
        <f>'Ingest Template'!B531</f>
        <v/>
      </c>
      <c r="K531" s="25" t="str">
        <f>IF('Ingest Template'!A530="Standard",'Ingest Template'!N530,"Competitive View")</f>
        <v>Competitive View</v>
      </c>
      <c r="L531" s="41" t="s">
        <v>145</v>
      </c>
      <c r="M531" s="25" t="str">
        <f>'Ingest Template'!D530</f>
        <v/>
      </c>
      <c r="N531" s="25"/>
      <c r="O531" s="25"/>
      <c r="P531" s="25"/>
      <c r="Q531" s="25"/>
      <c r="R531" s="25" t="str">
        <f>CONCATENATE('Ingest Template'!F530)</f>
        <v/>
      </c>
      <c r="S531" s="43" t="s">
        <v>160</v>
      </c>
      <c r="T531" s="25" t="str">
        <f>'Ingest Template'!W530</f>
        <v/>
      </c>
      <c r="U531" s="25"/>
      <c r="V531" s="25" t="str">
        <f>LOWER(SUBSTITUTE(SUBSTITUTE(SUBSTITUTE(SUBSTITUTE(SUBSTITUTE('Ingest Template'!Y530,"https:",""),"www.",""),"/",""),"?hl=en",""),"instagram.com",""))</f>
        <v/>
      </c>
      <c r="W531" s="34" t="str">
        <f>(IFERROR(vlookup('Ingest Template'!F531,DropDown!D:E,2,false)&amp;'Ingest Template'!C531,""))</f>
        <v/>
      </c>
      <c r="X531" s="25" t="str">
        <f>'Ingest Template'!AA530</f>
        <v/>
      </c>
      <c r="Y531" s="25"/>
      <c r="Z531" s="25"/>
      <c r="AA531" s="25"/>
      <c r="AB531" s="25" t="str">
        <f>'Ingest Template'!T530</f>
        <v/>
      </c>
      <c r="AC531" s="25"/>
      <c r="AD531" s="25" t="str">
        <f>'Ingest Template'!U530</f>
        <v/>
      </c>
      <c r="AE531" s="25" t="str">
        <f>'Ingest Template'!V530</f>
        <v/>
      </c>
      <c r="AF531" s="25"/>
      <c r="AG531" s="25" t="str">
        <f t="array" ref="AG531">IF('Ingest Template'!A530="Standard",(CONCATENATE(IF(ISBLANK('Ingest Template'!O530),"", 'Ingest Template'!O530&amp;"|DAR"),CHAR(10), IF(ISBLANK('Ingest Template'!P530),"", 'Ingest Template'!P530&amp;"|DAR"),CHAR(10), IF(ISBLANK('Ingest Template'!Q530),"", 'Ingest Template'!Q530&amp;"|DAR"))),(CONCATENATE(IF(ISBLANK('Ingest Template'!O530),"", 'Ingest Template'!O530&amp;"|Operations - Core Title"),CHAR(10), IF(ISBLANK('Ingest Template'!P530),"", 'Ingest Template'!P530&amp;"|Operations - Core Title"),CHAR(10), IF(ISBLANK('Ingest Template'!Q530),"", 'Ingest Template'!Q530&amp;"|Operations - Core Title"))))</f>
        <v>#|Operations - Core Title
#videoGame|Operations - Core Title
</v>
      </c>
      <c r="AH531" s="25"/>
      <c r="AI531" s="25"/>
      <c r="AJ531" s="50" t="str">
        <f>if('Ingest Template'!A530="Standard",'Ingest Template'!R530&amp; "|DAR|DAR|2021-01-01",'Ingest Template'!R530&amp; "|Operations - Core Title|Operations - Core Title")</f>
        <v>#N/A</v>
      </c>
      <c r="AK531" s="25"/>
      <c r="AL531" s="25" t="str">
        <f>if('Ingest Template'!A530="Standard",'Ingest Template'!S530&amp; "|2021-01-01",'Ingest Template'!S530)</f>
        <v>#N/A</v>
      </c>
      <c r="AM531" s="25"/>
    </row>
    <row r="532">
      <c r="A532" s="25"/>
      <c r="B532" s="25" t="str">
        <f>'Ingest Template'!C531&amp;IF('Ingest Template'!A531 = "Standard", " - DAR","")</f>
        <v/>
      </c>
      <c r="C532" s="34" t="s">
        <v>92</v>
      </c>
      <c r="D532" s="34" t="str">
        <f>CONCATENATE('Ingest Template'!E532&amp;Char(10)&amp;'Ingest Template'!G532&amp;Char(10)&amp;'Ingest Template'!H532&amp;Char(10)&amp;'Ingest Template'!I532&amp;Char(10)&amp;'Ingest Template'!J532&amp;Char(10)&amp;'Ingest Template'!K532&amp;Char(10)&amp;'Ingest Template'!L532)</f>
        <v>
</v>
      </c>
      <c r="E532" s="25" t="str">
        <f>('Ingest Template'!M532)</f>
        <v/>
      </c>
      <c r="F532" s="40" t="str">
        <f t="array" ref="F532">INDEX(DropDown!$J$2:$J$63,MATCH(1,COUNTIF(E532,DropDown!$I$2:$I$63),0))</f>
        <v>#N/A</v>
      </c>
      <c r="G532" s="25"/>
      <c r="H532" s="25"/>
      <c r="I532" s="25"/>
      <c r="J532" s="25" t="str">
        <f>'Ingest Template'!B532</f>
        <v/>
      </c>
      <c r="K532" s="25" t="str">
        <f>IF('Ingest Template'!A531="Standard",'Ingest Template'!N531,"Competitive View")</f>
        <v>Competitive View</v>
      </c>
      <c r="L532" s="41" t="s">
        <v>145</v>
      </c>
      <c r="M532" s="25" t="str">
        <f>'Ingest Template'!D531</f>
        <v/>
      </c>
      <c r="N532" s="25"/>
      <c r="O532" s="25"/>
      <c r="P532" s="25"/>
      <c r="Q532" s="25"/>
      <c r="R532" s="25" t="str">
        <f>CONCATENATE('Ingest Template'!F531)</f>
        <v/>
      </c>
      <c r="S532" s="43" t="s">
        <v>160</v>
      </c>
      <c r="T532" s="25" t="str">
        <f>'Ingest Template'!W531</f>
        <v/>
      </c>
      <c r="U532" s="25"/>
      <c r="V532" s="25" t="str">
        <f>LOWER(SUBSTITUTE(SUBSTITUTE(SUBSTITUTE(SUBSTITUTE(SUBSTITUTE('Ingest Template'!Y531,"https:",""),"www.",""),"/",""),"?hl=en",""),"instagram.com",""))</f>
        <v/>
      </c>
      <c r="W532" s="34" t="str">
        <f>(IFERROR(vlookup('Ingest Template'!F532,DropDown!D:E,2,false)&amp;'Ingest Template'!C532,""))</f>
        <v/>
      </c>
      <c r="X532" s="25" t="str">
        <f>'Ingest Template'!AA531</f>
        <v/>
      </c>
      <c r="Y532" s="25"/>
      <c r="Z532" s="25"/>
      <c r="AA532" s="25"/>
      <c r="AB532" s="25" t="str">
        <f>'Ingest Template'!T531</f>
        <v/>
      </c>
      <c r="AC532" s="25"/>
      <c r="AD532" s="25" t="str">
        <f>'Ingest Template'!U531</f>
        <v/>
      </c>
      <c r="AE532" s="25" t="str">
        <f>'Ingest Template'!V531</f>
        <v/>
      </c>
      <c r="AF532" s="25"/>
      <c r="AG532" s="25" t="str">
        <f t="array" ref="AG532">IF('Ingest Template'!A531="Standard",(CONCATENATE(IF(ISBLANK('Ingest Template'!O531),"", 'Ingest Template'!O531&amp;"|DAR"),CHAR(10), IF(ISBLANK('Ingest Template'!P531),"", 'Ingest Template'!P531&amp;"|DAR"),CHAR(10), IF(ISBLANK('Ingest Template'!Q531),"", 'Ingest Template'!Q531&amp;"|DAR"))),(CONCATENATE(IF(ISBLANK('Ingest Template'!O531),"", 'Ingest Template'!O531&amp;"|Operations - Core Title"),CHAR(10), IF(ISBLANK('Ingest Template'!P531),"", 'Ingest Template'!P531&amp;"|Operations - Core Title"),CHAR(10), IF(ISBLANK('Ingest Template'!Q531),"", 'Ingest Template'!Q531&amp;"|Operations - Core Title"))))</f>
        <v>#|Operations - Core Title
#videoGame|Operations - Core Title
</v>
      </c>
      <c r="AH532" s="25"/>
      <c r="AI532" s="25"/>
      <c r="AJ532" s="50" t="str">
        <f>if('Ingest Template'!A531="Standard",'Ingest Template'!R531&amp; "|DAR|DAR|2021-01-01",'Ingest Template'!R531&amp; "|Operations - Core Title|Operations - Core Title")</f>
        <v>#N/A</v>
      </c>
      <c r="AK532" s="25"/>
      <c r="AL532" s="25" t="str">
        <f>if('Ingest Template'!A531="Standard",'Ingest Template'!S531&amp; "|2021-01-01",'Ingest Template'!S531)</f>
        <v>#N/A</v>
      </c>
      <c r="AM532" s="25"/>
    </row>
    <row r="533">
      <c r="A533" s="25"/>
      <c r="B533" s="25" t="str">
        <f>'Ingest Template'!C532&amp;IF('Ingest Template'!A532 = "Standard", " - DAR","")</f>
        <v/>
      </c>
      <c r="C533" s="34" t="s">
        <v>92</v>
      </c>
      <c r="D533" s="34" t="str">
        <f>CONCATENATE('Ingest Template'!E533&amp;Char(10)&amp;'Ingest Template'!G533&amp;Char(10)&amp;'Ingest Template'!H533&amp;Char(10)&amp;'Ingest Template'!I533&amp;Char(10)&amp;'Ingest Template'!J533&amp;Char(10)&amp;'Ingest Template'!K533&amp;Char(10)&amp;'Ingest Template'!L533)</f>
        <v>
</v>
      </c>
      <c r="E533" s="25" t="str">
        <f>('Ingest Template'!M533)</f>
        <v/>
      </c>
      <c r="F533" s="40" t="str">
        <f t="array" ref="F533">INDEX(DropDown!$J$2:$J$63,MATCH(1,COUNTIF(E533,DropDown!$I$2:$I$63),0))</f>
        <v>#N/A</v>
      </c>
      <c r="G533" s="25"/>
      <c r="H533" s="25"/>
      <c r="I533" s="25"/>
      <c r="J533" s="25" t="str">
        <f>'Ingest Template'!B533</f>
        <v/>
      </c>
      <c r="K533" s="25" t="str">
        <f>IF('Ingest Template'!A532="Standard",'Ingest Template'!N532,"Competitive View")</f>
        <v>Competitive View</v>
      </c>
      <c r="L533" s="41" t="s">
        <v>145</v>
      </c>
      <c r="M533" s="25" t="str">
        <f>'Ingest Template'!D532</f>
        <v/>
      </c>
      <c r="N533" s="25"/>
      <c r="O533" s="25"/>
      <c r="P533" s="25"/>
      <c r="Q533" s="25"/>
      <c r="R533" s="25" t="str">
        <f>CONCATENATE('Ingest Template'!F532)</f>
        <v/>
      </c>
      <c r="S533" s="43" t="s">
        <v>160</v>
      </c>
      <c r="T533" s="25" t="str">
        <f>'Ingest Template'!W532</f>
        <v/>
      </c>
      <c r="U533" s="25"/>
      <c r="V533" s="25" t="str">
        <f>LOWER(SUBSTITUTE(SUBSTITUTE(SUBSTITUTE(SUBSTITUTE(SUBSTITUTE('Ingest Template'!Y532,"https:",""),"www.",""),"/",""),"?hl=en",""),"instagram.com",""))</f>
        <v/>
      </c>
      <c r="W533" s="34" t="str">
        <f>(IFERROR(vlookup('Ingest Template'!F533,DropDown!D:E,2,false)&amp;'Ingest Template'!C533,""))</f>
        <v/>
      </c>
      <c r="X533" s="25" t="str">
        <f>'Ingest Template'!AA532</f>
        <v/>
      </c>
      <c r="Y533" s="25"/>
      <c r="Z533" s="25"/>
      <c r="AA533" s="25"/>
      <c r="AB533" s="25" t="str">
        <f>'Ingest Template'!T532</f>
        <v/>
      </c>
      <c r="AC533" s="25"/>
      <c r="AD533" s="25" t="str">
        <f>'Ingest Template'!U532</f>
        <v/>
      </c>
      <c r="AE533" s="25" t="str">
        <f>'Ingest Template'!V532</f>
        <v/>
      </c>
      <c r="AF533" s="25"/>
      <c r="AG533" s="25" t="str">
        <f t="array" ref="AG533">IF('Ingest Template'!A532="Standard",(CONCATENATE(IF(ISBLANK('Ingest Template'!O532),"", 'Ingest Template'!O532&amp;"|DAR"),CHAR(10), IF(ISBLANK('Ingest Template'!P532),"", 'Ingest Template'!P532&amp;"|DAR"),CHAR(10), IF(ISBLANK('Ingest Template'!Q532),"", 'Ingest Template'!Q532&amp;"|DAR"))),(CONCATENATE(IF(ISBLANK('Ingest Template'!O532),"", 'Ingest Template'!O532&amp;"|Operations - Core Title"),CHAR(10), IF(ISBLANK('Ingest Template'!P532),"", 'Ingest Template'!P532&amp;"|Operations - Core Title"),CHAR(10), IF(ISBLANK('Ingest Template'!Q532),"", 'Ingest Template'!Q532&amp;"|Operations - Core Title"))))</f>
        <v>#|Operations - Core Title
#videoGame|Operations - Core Title
</v>
      </c>
      <c r="AH533" s="25"/>
      <c r="AI533" s="25"/>
      <c r="AJ533" s="50" t="str">
        <f>if('Ingest Template'!A532="Standard",'Ingest Template'!R532&amp; "|DAR|DAR|2021-01-01",'Ingest Template'!R532&amp; "|Operations - Core Title|Operations - Core Title")</f>
        <v>#N/A</v>
      </c>
      <c r="AK533" s="25"/>
      <c r="AL533" s="25" t="str">
        <f>if('Ingest Template'!A532="Standard",'Ingest Template'!S532&amp; "|2021-01-01",'Ingest Template'!S532)</f>
        <v>#N/A</v>
      </c>
      <c r="AM533" s="25"/>
    </row>
    <row r="534">
      <c r="A534" s="25"/>
      <c r="B534" s="25" t="str">
        <f>'Ingest Template'!C533&amp;IF('Ingest Template'!A533 = "Standard", " - DAR","")</f>
        <v/>
      </c>
      <c r="C534" s="34" t="s">
        <v>92</v>
      </c>
      <c r="D534" s="34" t="str">
        <f>CONCATENATE('Ingest Template'!E534&amp;Char(10)&amp;'Ingest Template'!G534&amp;Char(10)&amp;'Ingest Template'!H534&amp;Char(10)&amp;'Ingest Template'!I534&amp;Char(10)&amp;'Ingest Template'!J534&amp;Char(10)&amp;'Ingest Template'!K534&amp;Char(10)&amp;'Ingest Template'!L534)</f>
        <v>
</v>
      </c>
      <c r="E534" s="25" t="str">
        <f>('Ingest Template'!M534)</f>
        <v/>
      </c>
      <c r="F534" s="40" t="str">
        <f t="array" ref="F534">INDEX(DropDown!$J$2:$J$63,MATCH(1,COUNTIF(E534,DropDown!$I$2:$I$63),0))</f>
        <v>#N/A</v>
      </c>
      <c r="G534" s="25"/>
      <c r="H534" s="25"/>
      <c r="I534" s="25"/>
      <c r="J534" s="25" t="str">
        <f>'Ingest Template'!B534</f>
        <v/>
      </c>
      <c r="K534" s="25" t="str">
        <f>IF('Ingest Template'!A533="Standard",'Ingest Template'!N533,"Competitive View")</f>
        <v>Competitive View</v>
      </c>
      <c r="L534" s="41" t="s">
        <v>145</v>
      </c>
      <c r="M534" s="25" t="str">
        <f>'Ingest Template'!D533</f>
        <v/>
      </c>
      <c r="N534" s="25"/>
      <c r="O534" s="25"/>
      <c r="P534" s="25"/>
      <c r="Q534" s="25"/>
      <c r="R534" s="25" t="str">
        <f>CONCATENATE('Ingest Template'!F533)</f>
        <v/>
      </c>
      <c r="S534" s="43" t="s">
        <v>160</v>
      </c>
      <c r="T534" s="25" t="str">
        <f>'Ingest Template'!W533</f>
        <v/>
      </c>
      <c r="U534" s="25"/>
      <c r="V534" s="25" t="str">
        <f>LOWER(SUBSTITUTE(SUBSTITUTE(SUBSTITUTE(SUBSTITUTE(SUBSTITUTE('Ingest Template'!Y533,"https:",""),"www.",""),"/",""),"?hl=en",""),"instagram.com",""))</f>
        <v/>
      </c>
      <c r="W534" s="34" t="str">
        <f>(IFERROR(vlookup('Ingest Template'!F534,DropDown!D:E,2,false)&amp;'Ingest Template'!C534,""))</f>
        <v/>
      </c>
      <c r="X534" s="25" t="str">
        <f>'Ingest Template'!AA533</f>
        <v/>
      </c>
      <c r="Y534" s="25"/>
      <c r="Z534" s="25"/>
      <c r="AA534" s="25"/>
      <c r="AB534" s="25" t="str">
        <f>'Ingest Template'!T533</f>
        <v/>
      </c>
      <c r="AC534" s="25"/>
      <c r="AD534" s="25" t="str">
        <f>'Ingest Template'!U533</f>
        <v/>
      </c>
      <c r="AE534" s="25" t="str">
        <f>'Ingest Template'!V533</f>
        <v/>
      </c>
      <c r="AF534" s="25"/>
      <c r="AG534" s="25" t="str">
        <f t="array" ref="AG534">IF('Ingest Template'!A533="Standard",(CONCATENATE(IF(ISBLANK('Ingest Template'!O533),"", 'Ingest Template'!O533&amp;"|DAR"),CHAR(10), IF(ISBLANK('Ingest Template'!P533),"", 'Ingest Template'!P533&amp;"|DAR"),CHAR(10), IF(ISBLANK('Ingest Template'!Q533),"", 'Ingest Template'!Q533&amp;"|DAR"))),(CONCATENATE(IF(ISBLANK('Ingest Template'!O533),"", 'Ingest Template'!O533&amp;"|Operations - Core Title"),CHAR(10), IF(ISBLANK('Ingest Template'!P533),"", 'Ingest Template'!P533&amp;"|Operations - Core Title"),CHAR(10), IF(ISBLANK('Ingest Template'!Q533),"", 'Ingest Template'!Q533&amp;"|Operations - Core Title"))))</f>
        <v>#|Operations - Core Title
#videoGame|Operations - Core Title
</v>
      </c>
      <c r="AH534" s="25"/>
      <c r="AI534" s="25"/>
      <c r="AJ534" s="50" t="str">
        <f>if('Ingest Template'!A533="Standard",'Ingest Template'!R533&amp; "|DAR|DAR|2021-01-01",'Ingest Template'!R533&amp; "|Operations - Core Title|Operations - Core Title")</f>
        <v>#N/A</v>
      </c>
      <c r="AK534" s="25"/>
      <c r="AL534" s="25" t="str">
        <f>if('Ingest Template'!A533="Standard",'Ingest Template'!S533&amp; "|2021-01-01",'Ingest Template'!S533)</f>
        <v>#N/A</v>
      </c>
      <c r="AM534" s="25"/>
    </row>
    <row r="535">
      <c r="A535" s="25"/>
      <c r="B535" s="25" t="str">
        <f>'Ingest Template'!C534&amp;IF('Ingest Template'!A534 = "Standard", " - DAR","")</f>
        <v/>
      </c>
      <c r="C535" s="34" t="s">
        <v>92</v>
      </c>
      <c r="D535" s="34" t="str">
        <f>CONCATENATE('Ingest Template'!E535&amp;Char(10)&amp;'Ingest Template'!G535&amp;Char(10)&amp;'Ingest Template'!H535&amp;Char(10)&amp;'Ingest Template'!I535&amp;Char(10)&amp;'Ingest Template'!J535&amp;Char(10)&amp;'Ingest Template'!K535&amp;Char(10)&amp;'Ingest Template'!L535)</f>
        <v>
</v>
      </c>
      <c r="E535" s="25" t="str">
        <f>('Ingest Template'!M535)</f>
        <v/>
      </c>
      <c r="F535" s="40" t="str">
        <f t="array" ref="F535">INDEX(DropDown!$J$2:$J$63,MATCH(1,COUNTIF(E535,DropDown!$I$2:$I$63),0))</f>
        <v>#N/A</v>
      </c>
      <c r="G535" s="25"/>
      <c r="H535" s="25"/>
      <c r="I535" s="25"/>
      <c r="J535" s="25" t="str">
        <f>'Ingest Template'!B535</f>
        <v/>
      </c>
      <c r="K535" s="25" t="str">
        <f>IF('Ingest Template'!A534="Standard",'Ingest Template'!N534,"Competitive View")</f>
        <v>Competitive View</v>
      </c>
      <c r="L535" s="41" t="s">
        <v>145</v>
      </c>
      <c r="M535" s="25" t="str">
        <f>'Ingest Template'!D534</f>
        <v/>
      </c>
      <c r="N535" s="25"/>
      <c r="O535" s="25"/>
      <c r="P535" s="25"/>
      <c r="Q535" s="25"/>
      <c r="R535" s="25" t="str">
        <f>CONCATENATE('Ingest Template'!F534)</f>
        <v/>
      </c>
      <c r="S535" s="43" t="s">
        <v>160</v>
      </c>
      <c r="T535" s="25" t="str">
        <f>'Ingest Template'!W534</f>
        <v/>
      </c>
      <c r="U535" s="25"/>
      <c r="V535" s="25" t="str">
        <f>LOWER(SUBSTITUTE(SUBSTITUTE(SUBSTITUTE(SUBSTITUTE(SUBSTITUTE('Ingest Template'!Y534,"https:",""),"www.",""),"/",""),"?hl=en",""),"instagram.com",""))</f>
        <v/>
      </c>
      <c r="W535" s="34" t="str">
        <f>(IFERROR(vlookup('Ingest Template'!F535,DropDown!D:E,2,false)&amp;'Ingest Template'!C535,""))</f>
        <v/>
      </c>
      <c r="X535" s="25" t="str">
        <f>'Ingest Template'!AA534</f>
        <v/>
      </c>
      <c r="Y535" s="25"/>
      <c r="Z535" s="25"/>
      <c r="AA535" s="25"/>
      <c r="AB535" s="25" t="str">
        <f>'Ingest Template'!T534</f>
        <v/>
      </c>
      <c r="AC535" s="25"/>
      <c r="AD535" s="25" t="str">
        <f>'Ingest Template'!U534</f>
        <v/>
      </c>
      <c r="AE535" s="25" t="str">
        <f>'Ingest Template'!V534</f>
        <v/>
      </c>
      <c r="AF535" s="25"/>
      <c r="AG535" s="25" t="str">
        <f t="array" ref="AG535">IF('Ingest Template'!A534="Standard",(CONCATENATE(IF(ISBLANK('Ingest Template'!O534),"", 'Ingest Template'!O534&amp;"|DAR"),CHAR(10), IF(ISBLANK('Ingest Template'!P534),"", 'Ingest Template'!P534&amp;"|DAR"),CHAR(10), IF(ISBLANK('Ingest Template'!Q534),"", 'Ingest Template'!Q534&amp;"|DAR"))),(CONCATENATE(IF(ISBLANK('Ingest Template'!O534),"", 'Ingest Template'!O534&amp;"|Operations - Core Title"),CHAR(10), IF(ISBLANK('Ingest Template'!P534),"", 'Ingest Template'!P534&amp;"|Operations - Core Title"),CHAR(10), IF(ISBLANK('Ingest Template'!Q534),"", 'Ingest Template'!Q534&amp;"|Operations - Core Title"))))</f>
        <v>#|Operations - Core Title
#videoGame|Operations - Core Title
</v>
      </c>
      <c r="AH535" s="25"/>
      <c r="AI535" s="25"/>
      <c r="AJ535" s="50" t="str">
        <f>if('Ingest Template'!A534="Standard",'Ingest Template'!R534&amp; "|DAR|DAR|2021-01-01",'Ingest Template'!R534&amp; "|Operations - Core Title|Operations - Core Title")</f>
        <v>#N/A</v>
      </c>
      <c r="AK535" s="25"/>
      <c r="AL535" s="25" t="str">
        <f>if('Ingest Template'!A534="Standard",'Ingest Template'!S534&amp; "|2021-01-01",'Ingest Template'!S534)</f>
        <v>#N/A</v>
      </c>
      <c r="AM535" s="25"/>
    </row>
    <row r="536">
      <c r="A536" s="25"/>
      <c r="B536" s="25" t="str">
        <f>'Ingest Template'!C535&amp;IF('Ingest Template'!A535 = "Standard", " - DAR","")</f>
        <v/>
      </c>
      <c r="C536" s="34" t="s">
        <v>92</v>
      </c>
      <c r="D536" s="34" t="str">
        <f>CONCATENATE('Ingest Template'!E536&amp;Char(10)&amp;'Ingest Template'!G536&amp;Char(10)&amp;'Ingest Template'!H536&amp;Char(10)&amp;'Ingest Template'!I536&amp;Char(10)&amp;'Ingest Template'!J536&amp;Char(10)&amp;'Ingest Template'!K536&amp;Char(10)&amp;'Ingest Template'!L536)</f>
        <v>
</v>
      </c>
      <c r="E536" s="25" t="str">
        <f>('Ingest Template'!M536)</f>
        <v/>
      </c>
      <c r="F536" s="40" t="str">
        <f t="array" ref="F536">INDEX(DropDown!$J$2:$J$63,MATCH(1,COUNTIF(E536,DropDown!$I$2:$I$63),0))</f>
        <v>#N/A</v>
      </c>
      <c r="G536" s="25"/>
      <c r="H536" s="25"/>
      <c r="I536" s="25"/>
      <c r="J536" s="25" t="str">
        <f>'Ingest Template'!B536</f>
        <v/>
      </c>
      <c r="K536" s="25" t="str">
        <f>IF('Ingest Template'!A535="Standard",'Ingest Template'!N535,"Competitive View")</f>
        <v>Competitive View</v>
      </c>
      <c r="L536" s="41" t="s">
        <v>145</v>
      </c>
      <c r="M536" s="25" t="str">
        <f>'Ingest Template'!D535</f>
        <v/>
      </c>
      <c r="N536" s="25"/>
      <c r="O536" s="25"/>
      <c r="P536" s="25"/>
      <c r="Q536" s="25"/>
      <c r="R536" s="25" t="str">
        <f>CONCATENATE('Ingest Template'!F535)</f>
        <v/>
      </c>
      <c r="S536" s="43" t="s">
        <v>160</v>
      </c>
      <c r="T536" s="25" t="str">
        <f>'Ingest Template'!W535</f>
        <v/>
      </c>
      <c r="U536" s="25"/>
      <c r="V536" s="25" t="str">
        <f>LOWER(SUBSTITUTE(SUBSTITUTE(SUBSTITUTE(SUBSTITUTE(SUBSTITUTE('Ingest Template'!Y535,"https:",""),"www.",""),"/",""),"?hl=en",""),"instagram.com",""))</f>
        <v/>
      </c>
      <c r="W536" s="34" t="str">
        <f>(IFERROR(vlookup('Ingest Template'!F536,DropDown!D:E,2,false)&amp;'Ingest Template'!C536,""))</f>
        <v/>
      </c>
      <c r="X536" s="25" t="str">
        <f>'Ingest Template'!AA535</f>
        <v/>
      </c>
      <c r="Y536" s="25"/>
      <c r="Z536" s="25"/>
      <c r="AA536" s="25"/>
      <c r="AB536" s="25" t="str">
        <f>'Ingest Template'!T535</f>
        <v/>
      </c>
      <c r="AC536" s="25"/>
      <c r="AD536" s="25" t="str">
        <f>'Ingest Template'!U535</f>
        <v/>
      </c>
      <c r="AE536" s="25" t="str">
        <f>'Ingest Template'!V535</f>
        <v/>
      </c>
      <c r="AF536" s="25"/>
      <c r="AG536" s="25" t="str">
        <f t="array" ref="AG536">IF('Ingest Template'!A535="Standard",(CONCATENATE(IF(ISBLANK('Ingest Template'!O535),"", 'Ingest Template'!O535&amp;"|DAR"),CHAR(10), IF(ISBLANK('Ingest Template'!P535),"", 'Ingest Template'!P535&amp;"|DAR"),CHAR(10), IF(ISBLANK('Ingest Template'!Q535),"", 'Ingest Template'!Q535&amp;"|DAR"))),(CONCATENATE(IF(ISBLANK('Ingest Template'!O535),"", 'Ingest Template'!O535&amp;"|Operations - Core Title"),CHAR(10), IF(ISBLANK('Ingest Template'!P535),"", 'Ingest Template'!P535&amp;"|Operations - Core Title"),CHAR(10), IF(ISBLANK('Ingest Template'!Q535),"", 'Ingest Template'!Q535&amp;"|Operations - Core Title"))))</f>
        <v>#|Operations - Core Title
#videoGame|Operations - Core Title
</v>
      </c>
      <c r="AH536" s="25"/>
      <c r="AI536" s="25"/>
      <c r="AJ536" s="50" t="str">
        <f>if('Ingest Template'!A535="Standard",'Ingest Template'!R535&amp; "|DAR|DAR|2021-01-01",'Ingest Template'!R535&amp; "|Operations - Core Title|Operations - Core Title")</f>
        <v>#N/A</v>
      </c>
      <c r="AK536" s="25"/>
      <c r="AL536" s="25" t="str">
        <f>if('Ingest Template'!A535="Standard",'Ingest Template'!S535&amp; "|2021-01-01",'Ingest Template'!S535)</f>
        <v>#N/A</v>
      </c>
      <c r="AM536" s="25"/>
    </row>
    <row r="537">
      <c r="A537" s="25"/>
      <c r="B537" s="25" t="str">
        <f>'Ingest Template'!C536&amp;IF('Ingest Template'!A536 = "Standard", " - DAR","")</f>
        <v/>
      </c>
      <c r="C537" s="34" t="s">
        <v>92</v>
      </c>
      <c r="D537" s="34" t="str">
        <f>CONCATENATE('Ingest Template'!E537&amp;Char(10)&amp;'Ingest Template'!G537&amp;Char(10)&amp;'Ingest Template'!H537&amp;Char(10)&amp;'Ingest Template'!I537&amp;Char(10)&amp;'Ingest Template'!J537&amp;Char(10)&amp;'Ingest Template'!K537&amp;Char(10)&amp;'Ingest Template'!L537)</f>
        <v>
</v>
      </c>
      <c r="E537" s="25" t="str">
        <f>('Ingest Template'!M537)</f>
        <v/>
      </c>
      <c r="F537" s="40" t="str">
        <f t="array" ref="F537">INDEX(DropDown!$J$2:$J$63,MATCH(1,COUNTIF(E537,DropDown!$I$2:$I$63),0))</f>
        <v>#N/A</v>
      </c>
      <c r="G537" s="25"/>
      <c r="H537" s="25"/>
      <c r="I537" s="25"/>
      <c r="J537" s="25" t="str">
        <f>'Ingest Template'!B537</f>
        <v/>
      </c>
      <c r="K537" s="25" t="str">
        <f>IF('Ingest Template'!A536="Standard",'Ingest Template'!N536,"Competitive View")</f>
        <v>Competitive View</v>
      </c>
      <c r="L537" s="41" t="s">
        <v>145</v>
      </c>
      <c r="M537" s="25" t="str">
        <f>'Ingest Template'!D536</f>
        <v/>
      </c>
      <c r="N537" s="25"/>
      <c r="O537" s="25"/>
      <c r="P537" s="25"/>
      <c r="Q537" s="25"/>
      <c r="R537" s="25" t="str">
        <f>CONCATENATE('Ingest Template'!F536)</f>
        <v/>
      </c>
      <c r="S537" s="43" t="s">
        <v>160</v>
      </c>
      <c r="T537" s="25" t="str">
        <f>'Ingest Template'!W536</f>
        <v/>
      </c>
      <c r="U537" s="25"/>
      <c r="V537" s="25" t="str">
        <f>LOWER(SUBSTITUTE(SUBSTITUTE(SUBSTITUTE(SUBSTITUTE(SUBSTITUTE('Ingest Template'!Y536,"https:",""),"www.",""),"/",""),"?hl=en",""),"instagram.com",""))</f>
        <v/>
      </c>
      <c r="W537" s="34" t="str">
        <f>(IFERROR(vlookup('Ingest Template'!F537,DropDown!D:E,2,false)&amp;'Ingest Template'!C537,""))</f>
        <v/>
      </c>
      <c r="X537" s="25" t="str">
        <f>'Ingest Template'!AA536</f>
        <v/>
      </c>
      <c r="Y537" s="25"/>
      <c r="Z537" s="25"/>
      <c r="AA537" s="25"/>
      <c r="AB537" s="25" t="str">
        <f>'Ingest Template'!T536</f>
        <v/>
      </c>
      <c r="AC537" s="25"/>
      <c r="AD537" s="25" t="str">
        <f>'Ingest Template'!U536</f>
        <v/>
      </c>
      <c r="AE537" s="25" t="str">
        <f>'Ingest Template'!V536</f>
        <v/>
      </c>
      <c r="AF537" s="25"/>
      <c r="AG537" s="25" t="str">
        <f t="array" ref="AG537">IF('Ingest Template'!A536="Standard",(CONCATENATE(IF(ISBLANK('Ingest Template'!O536),"", 'Ingest Template'!O536&amp;"|DAR"),CHAR(10), IF(ISBLANK('Ingest Template'!P536),"", 'Ingest Template'!P536&amp;"|DAR"),CHAR(10), IF(ISBLANK('Ingest Template'!Q536),"", 'Ingest Template'!Q536&amp;"|DAR"))),(CONCATENATE(IF(ISBLANK('Ingest Template'!O536),"", 'Ingest Template'!O536&amp;"|Operations - Core Title"),CHAR(10), IF(ISBLANK('Ingest Template'!P536),"", 'Ingest Template'!P536&amp;"|Operations - Core Title"),CHAR(10), IF(ISBLANK('Ingest Template'!Q536),"", 'Ingest Template'!Q536&amp;"|Operations - Core Title"))))</f>
        <v>#|Operations - Core Title
#videoGame|Operations - Core Title
</v>
      </c>
      <c r="AH537" s="25"/>
      <c r="AI537" s="25"/>
      <c r="AJ537" s="50" t="str">
        <f>if('Ingest Template'!A536="Standard",'Ingest Template'!R536&amp; "|DAR|DAR|2021-01-01",'Ingest Template'!R536&amp; "|Operations - Core Title|Operations - Core Title")</f>
        <v>#N/A</v>
      </c>
      <c r="AK537" s="25"/>
      <c r="AL537" s="25" t="str">
        <f>if('Ingest Template'!A536="Standard",'Ingest Template'!S536&amp; "|2021-01-01",'Ingest Template'!S536)</f>
        <v>#N/A</v>
      </c>
      <c r="AM537" s="25"/>
    </row>
    <row r="538">
      <c r="A538" s="25"/>
      <c r="B538" s="25" t="str">
        <f>'Ingest Template'!C537&amp;IF('Ingest Template'!A537 = "Standard", " - DAR","")</f>
        <v/>
      </c>
      <c r="C538" s="34" t="s">
        <v>92</v>
      </c>
      <c r="D538" s="34" t="str">
        <f>CONCATENATE('Ingest Template'!E538&amp;Char(10)&amp;'Ingest Template'!G538&amp;Char(10)&amp;'Ingest Template'!H538&amp;Char(10)&amp;'Ingest Template'!I538&amp;Char(10)&amp;'Ingest Template'!J538&amp;Char(10)&amp;'Ingest Template'!K538&amp;Char(10)&amp;'Ingest Template'!L538)</f>
        <v>
</v>
      </c>
      <c r="E538" s="25" t="str">
        <f>('Ingest Template'!M538)</f>
        <v/>
      </c>
      <c r="F538" s="40" t="str">
        <f t="array" ref="F538">INDEX(DropDown!$J$2:$J$63,MATCH(1,COUNTIF(E538,DropDown!$I$2:$I$63),0))</f>
        <v>#N/A</v>
      </c>
      <c r="G538" s="25"/>
      <c r="H538" s="25"/>
      <c r="I538" s="25"/>
      <c r="J538" s="25" t="str">
        <f>'Ingest Template'!B538</f>
        <v/>
      </c>
      <c r="K538" s="25" t="str">
        <f>IF('Ingest Template'!A537="Standard",'Ingest Template'!N537,"Competitive View")</f>
        <v>Competitive View</v>
      </c>
      <c r="L538" s="41" t="s">
        <v>145</v>
      </c>
      <c r="M538" s="25" t="str">
        <f>'Ingest Template'!D537</f>
        <v/>
      </c>
      <c r="N538" s="25"/>
      <c r="O538" s="25"/>
      <c r="P538" s="25"/>
      <c r="Q538" s="25"/>
      <c r="R538" s="25" t="str">
        <f>CONCATENATE('Ingest Template'!F537)</f>
        <v/>
      </c>
      <c r="S538" s="43" t="s">
        <v>160</v>
      </c>
      <c r="T538" s="25" t="str">
        <f>'Ingest Template'!W537</f>
        <v/>
      </c>
      <c r="U538" s="25"/>
      <c r="V538" s="25" t="str">
        <f>LOWER(SUBSTITUTE(SUBSTITUTE(SUBSTITUTE(SUBSTITUTE(SUBSTITUTE('Ingest Template'!Y537,"https:",""),"www.",""),"/",""),"?hl=en",""),"instagram.com",""))</f>
        <v/>
      </c>
      <c r="W538" s="34" t="str">
        <f>(IFERROR(vlookup('Ingest Template'!F538,DropDown!D:E,2,false)&amp;'Ingest Template'!C538,""))</f>
        <v/>
      </c>
      <c r="X538" s="25" t="str">
        <f>'Ingest Template'!AA537</f>
        <v/>
      </c>
      <c r="Y538" s="25"/>
      <c r="Z538" s="25"/>
      <c r="AA538" s="25"/>
      <c r="AB538" s="25" t="str">
        <f>'Ingest Template'!T537</f>
        <v/>
      </c>
      <c r="AC538" s="25"/>
      <c r="AD538" s="25" t="str">
        <f>'Ingest Template'!U537</f>
        <v/>
      </c>
      <c r="AE538" s="25" t="str">
        <f>'Ingest Template'!V537</f>
        <v/>
      </c>
      <c r="AF538" s="25"/>
      <c r="AG538" s="25" t="str">
        <f t="array" ref="AG538">IF('Ingest Template'!A537="Standard",(CONCATENATE(IF(ISBLANK('Ingest Template'!O537),"", 'Ingest Template'!O537&amp;"|DAR"),CHAR(10), IF(ISBLANK('Ingest Template'!P537),"", 'Ingest Template'!P537&amp;"|DAR"),CHAR(10), IF(ISBLANK('Ingest Template'!Q537),"", 'Ingest Template'!Q537&amp;"|DAR"))),(CONCATENATE(IF(ISBLANK('Ingest Template'!O537),"", 'Ingest Template'!O537&amp;"|Operations - Core Title"),CHAR(10), IF(ISBLANK('Ingest Template'!P537),"", 'Ingest Template'!P537&amp;"|Operations - Core Title"),CHAR(10), IF(ISBLANK('Ingest Template'!Q537),"", 'Ingest Template'!Q537&amp;"|Operations - Core Title"))))</f>
        <v>#|Operations - Core Title
#videoGame|Operations - Core Title
</v>
      </c>
      <c r="AH538" s="25"/>
      <c r="AI538" s="25"/>
      <c r="AJ538" s="50" t="str">
        <f>if('Ingest Template'!A537="Standard",'Ingest Template'!R537&amp; "|DAR|DAR|2021-01-01",'Ingest Template'!R537&amp; "|Operations - Core Title|Operations - Core Title")</f>
        <v>#N/A</v>
      </c>
      <c r="AK538" s="25"/>
      <c r="AL538" s="25" t="str">
        <f>if('Ingest Template'!A537="Standard",'Ingest Template'!S537&amp; "|2021-01-01",'Ingest Template'!S537)</f>
        <v>#N/A</v>
      </c>
      <c r="AM538" s="25"/>
    </row>
    <row r="539">
      <c r="A539" s="25"/>
      <c r="B539" s="25" t="str">
        <f>'Ingest Template'!C538&amp;IF('Ingest Template'!A538 = "Standard", " - DAR","")</f>
        <v/>
      </c>
      <c r="C539" s="34" t="s">
        <v>92</v>
      </c>
      <c r="D539" s="34" t="str">
        <f>CONCATENATE('Ingest Template'!E539&amp;Char(10)&amp;'Ingest Template'!G539&amp;Char(10)&amp;'Ingest Template'!H539&amp;Char(10)&amp;'Ingest Template'!I539&amp;Char(10)&amp;'Ingest Template'!J539&amp;Char(10)&amp;'Ingest Template'!K539&amp;Char(10)&amp;'Ingest Template'!L539)</f>
        <v>
</v>
      </c>
      <c r="E539" s="25" t="str">
        <f>('Ingest Template'!M539)</f>
        <v/>
      </c>
      <c r="F539" s="40" t="str">
        <f t="array" ref="F539">INDEX(DropDown!$J$2:$J$63,MATCH(1,COUNTIF(E539,DropDown!$I$2:$I$63),0))</f>
        <v>#N/A</v>
      </c>
      <c r="G539" s="25"/>
      <c r="H539" s="25"/>
      <c r="I539" s="25"/>
      <c r="J539" s="25" t="str">
        <f>'Ingest Template'!B539</f>
        <v/>
      </c>
      <c r="K539" s="25" t="str">
        <f>IF('Ingest Template'!A538="Standard",'Ingest Template'!N538,"Competitive View")</f>
        <v>Competitive View</v>
      </c>
      <c r="L539" s="41" t="s">
        <v>145</v>
      </c>
      <c r="M539" s="25" t="str">
        <f>'Ingest Template'!D538</f>
        <v/>
      </c>
      <c r="N539" s="25"/>
      <c r="O539" s="25"/>
      <c r="P539" s="25"/>
      <c r="Q539" s="25"/>
      <c r="R539" s="25" t="str">
        <f>CONCATENATE('Ingest Template'!F538)</f>
        <v/>
      </c>
      <c r="S539" s="43" t="s">
        <v>160</v>
      </c>
      <c r="T539" s="25" t="str">
        <f>'Ingest Template'!W538</f>
        <v/>
      </c>
      <c r="U539" s="25"/>
      <c r="V539" s="25" t="str">
        <f>LOWER(SUBSTITUTE(SUBSTITUTE(SUBSTITUTE(SUBSTITUTE(SUBSTITUTE('Ingest Template'!Y538,"https:",""),"www.",""),"/",""),"?hl=en",""),"instagram.com",""))</f>
        <v/>
      </c>
      <c r="W539" s="34" t="str">
        <f>(IFERROR(vlookup('Ingest Template'!F539,DropDown!D:E,2,false)&amp;'Ingest Template'!C539,""))</f>
        <v/>
      </c>
      <c r="X539" s="25" t="str">
        <f>'Ingest Template'!AA538</f>
        <v/>
      </c>
      <c r="Y539" s="25"/>
      <c r="Z539" s="25"/>
      <c r="AA539" s="25"/>
      <c r="AB539" s="25" t="str">
        <f>'Ingest Template'!T538</f>
        <v/>
      </c>
      <c r="AC539" s="25"/>
      <c r="AD539" s="25" t="str">
        <f>'Ingest Template'!U538</f>
        <v/>
      </c>
      <c r="AE539" s="25" t="str">
        <f>'Ingest Template'!V538</f>
        <v/>
      </c>
      <c r="AF539" s="25"/>
      <c r="AG539" s="25" t="str">
        <f t="array" ref="AG539">IF('Ingest Template'!A538="Standard",(CONCATENATE(IF(ISBLANK('Ingest Template'!O538),"", 'Ingest Template'!O538&amp;"|DAR"),CHAR(10), IF(ISBLANK('Ingest Template'!P538),"", 'Ingest Template'!P538&amp;"|DAR"),CHAR(10), IF(ISBLANK('Ingest Template'!Q538),"", 'Ingest Template'!Q538&amp;"|DAR"))),(CONCATENATE(IF(ISBLANK('Ingest Template'!O538),"", 'Ingest Template'!O538&amp;"|Operations - Core Title"),CHAR(10), IF(ISBLANK('Ingest Template'!P538),"", 'Ingest Template'!P538&amp;"|Operations - Core Title"),CHAR(10), IF(ISBLANK('Ingest Template'!Q538),"", 'Ingest Template'!Q538&amp;"|Operations - Core Title"))))</f>
        <v>#|Operations - Core Title
#videoGame|Operations - Core Title
</v>
      </c>
      <c r="AH539" s="25"/>
      <c r="AI539" s="25"/>
      <c r="AJ539" s="50" t="str">
        <f>if('Ingest Template'!A538="Standard",'Ingest Template'!R538&amp; "|DAR|DAR|2021-01-01",'Ingest Template'!R538&amp; "|Operations - Core Title|Operations - Core Title")</f>
        <v>#N/A</v>
      </c>
      <c r="AK539" s="25"/>
      <c r="AL539" s="25" t="str">
        <f>if('Ingest Template'!A538="Standard",'Ingest Template'!S538&amp; "|2021-01-01",'Ingest Template'!S538)</f>
        <v>#N/A</v>
      </c>
      <c r="AM539" s="25"/>
    </row>
    <row r="540">
      <c r="A540" s="25"/>
      <c r="B540" s="25" t="str">
        <f>'Ingest Template'!C539&amp;IF('Ingest Template'!A539 = "Standard", " - DAR","")</f>
        <v/>
      </c>
      <c r="C540" s="34" t="s">
        <v>92</v>
      </c>
      <c r="D540" s="34" t="str">
        <f>CONCATENATE('Ingest Template'!E540&amp;Char(10)&amp;'Ingest Template'!G540&amp;Char(10)&amp;'Ingest Template'!H540&amp;Char(10)&amp;'Ingest Template'!I540&amp;Char(10)&amp;'Ingest Template'!J540&amp;Char(10)&amp;'Ingest Template'!K540&amp;Char(10)&amp;'Ingest Template'!L540)</f>
        <v>
</v>
      </c>
      <c r="E540" s="25" t="str">
        <f>('Ingest Template'!M540)</f>
        <v/>
      </c>
      <c r="F540" s="40" t="str">
        <f t="array" ref="F540">INDEX(DropDown!$J$2:$J$63,MATCH(1,COUNTIF(E540,DropDown!$I$2:$I$63),0))</f>
        <v>#N/A</v>
      </c>
      <c r="G540" s="25"/>
      <c r="H540" s="25"/>
      <c r="I540" s="25"/>
      <c r="J540" s="25" t="str">
        <f>'Ingest Template'!B540</f>
        <v/>
      </c>
      <c r="K540" s="25" t="str">
        <f>IF('Ingest Template'!A539="Standard",'Ingest Template'!N539,"Competitive View")</f>
        <v>Competitive View</v>
      </c>
      <c r="L540" s="41" t="s">
        <v>145</v>
      </c>
      <c r="M540" s="25" t="str">
        <f>'Ingest Template'!D539</f>
        <v/>
      </c>
      <c r="N540" s="25"/>
      <c r="O540" s="25"/>
      <c r="P540" s="25"/>
      <c r="Q540" s="25"/>
      <c r="R540" s="25" t="str">
        <f>CONCATENATE('Ingest Template'!F539)</f>
        <v/>
      </c>
      <c r="S540" s="43" t="s">
        <v>160</v>
      </c>
      <c r="T540" s="25" t="str">
        <f>'Ingest Template'!W539</f>
        <v/>
      </c>
      <c r="U540" s="25"/>
      <c r="V540" s="25" t="str">
        <f>LOWER(SUBSTITUTE(SUBSTITUTE(SUBSTITUTE(SUBSTITUTE(SUBSTITUTE('Ingest Template'!Y539,"https:",""),"www.",""),"/",""),"?hl=en",""),"instagram.com",""))</f>
        <v/>
      </c>
      <c r="W540" s="34" t="str">
        <f>(IFERROR(vlookup('Ingest Template'!F540,DropDown!D:E,2,false)&amp;'Ingest Template'!C540,""))</f>
        <v/>
      </c>
      <c r="X540" s="25" t="str">
        <f>'Ingest Template'!AA539</f>
        <v/>
      </c>
      <c r="Y540" s="25"/>
      <c r="Z540" s="25"/>
      <c r="AA540" s="25"/>
      <c r="AB540" s="25" t="str">
        <f>'Ingest Template'!T539</f>
        <v/>
      </c>
      <c r="AC540" s="25"/>
      <c r="AD540" s="25" t="str">
        <f>'Ingest Template'!U539</f>
        <v/>
      </c>
      <c r="AE540" s="25" t="str">
        <f>'Ingest Template'!V539</f>
        <v/>
      </c>
      <c r="AF540" s="25"/>
      <c r="AG540" s="25" t="str">
        <f t="array" ref="AG540">IF('Ingest Template'!A539="Standard",(CONCATENATE(IF(ISBLANK('Ingest Template'!O539),"", 'Ingest Template'!O539&amp;"|DAR"),CHAR(10), IF(ISBLANK('Ingest Template'!P539),"", 'Ingest Template'!P539&amp;"|DAR"),CHAR(10), IF(ISBLANK('Ingest Template'!Q539),"", 'Ingest Template'!Q539&amp;"|DAR"))),(CONCATENATE(IF(ISBLANK('Ingest Template'!O539),"", 'Ingest Template'!O539&amp;"|Operations - Core Title"),CHAR(10), IF(ISBLANK('Ingest Template'!P539),"", 'Ingest Template'!P539&amp;"|Operations - Core Title"),CHAR(10), IF(ISBLANK('Ingest Template'!Q539),"", 'Ingest Template'!Q539&amp;"|Operations - Core Title"))))</f>
        <v>#|Operations - Core Title
#videoGame|Operations - Core Title
</v>
      </c>
      <c r="AH540" s="25"/>
      <c r="AI540" s="25"/>
      <c r="AJ540" s="50" t="str">
        <f>if('Ingest Template'!A539="Standard",'Ingest Template'!R539&amp; "|DAR|DAR|2021-01-01",'Ingest Template'!R539&amp; "|Operations - Core Title|Operations - Core Title")</f>
        <v>#N/A</v>
      </c>
      <c r="AK540" s="25"/>
      <c r="AL540" s="25" t="str">
        <f>if('Ingest Template'!A539="Standard",'Ingest Template'!S539&amp; "|2021-01-01",'Ingest Template'!S539)</f>
        <v>#N/A</v>
      </c>
      <c r="AM540" s="25"/>
    </row>
    <row r="541">
      <c r="A541" s="25"/>
      <c r="B541" s="25" t="str">
        <f>'Ingest Template'!C540&amp;IF('Ingest Template'!A540 = "Standard", " - DAR","")</f>
        <v/>
      </c>
      <c r="C541" s="34" t="s">
        <v>92</v>
      </c>
      <c r="D541" s="34" t="str">
        <f>CONCATENATE('Ingest Template'!E541&amp;Char(10)&amp;'Ingest Template'!G541&amp;Char(10)&amp;'Ingest Template'!H541&amp;Char(10)&amp;'Ingest Template'!I541&amp;Char(10)&amp;'Ingest Template'!J541&amp;Char(10)&amp;'Ingest Template'!K541&amp;Char(10)&amp;'Ingest Template'!L541)</f>
        <v>
</v>
      </c>
      <c r="E541" s="25" t="str">
        <f>('Ingest Template'!M541)</f>
        <v/>
      </c>
      <c r="F541" s="40" t="str">
        <f t="array" ref="F541">INDEX(DropDown!$J$2:$J$63,MATCH(1,COUNTIF(E541,DropDown!$I$2:$I$63),0))</f>
        <v>#N/A</v>
      </c>
      <c r="G541" s="25"/>
      <c r="H541" s="25"/>
      <c r="I541" s="25"/>
      <c r="J541" s="25" t="str">
        <f>'Ingest Template'!B541</f>
        <v/>
      </c>
      <c r="K541" s="25" t="str">
        <f>IF('Ingest Template'!A540="Standard",'Ingest Template'!N540,"Competitive View")</f>
        <v>Competitive View</v>
      </c>
      <c r="L541" s="41" t="s">
        <v>145</v>
      </c>
      <c r="M541" s="25" t="str">
        <f>'Ingest Template'!D540</f>
        <v/>
      </c>
      <c r="N541" s="25"/>
      <c r="O541" s="25"/>
      <c r="P541" s="25"/>
      <c r="Q541" s="25"/>
      <c r="R541" s="25" t="str">
        <f>CONCATENATE('Ingest Template'!F540)</f>
        <v/>
      </c>
      <c r="S541" s="43" t="s">
        <v>160</v>
      </c>
      <c r="T541" s="25" t="str">
        <f>'Ingest Template'!W540</f>
        <v/>
      </c>
      <c r="U541" s="25"/>
      <c r="V541" s="25" t="str">
        <f>LOWER(SUBSTITUTE(SUBSTITUTE(SUBSTITUTE(SUBSTITUTE(SUBSTITUTE('Ingest Template'!Y540,"https:",""),"www.",""),"/",""),"?hl=en",""),"instagram.com",""))</f>
        <v/>
      </c>
      <c r="W541" s="34" t="str">
        <f>(IFERROR(vlookup('Ingest Template'!F541,DropDown!D:E,2,false)&amp;'Ingest Template'!C541,""))</f>
        <v/>
      </c>
      <c r="X541" s="25" t="str">
        <f>'Ingest Template'!AA540</f>
        <v/>
      </c>
      <c r="Y541" s="25"/>
      <c r="Z541" s="25"/>
      <c r="AA541" s="25"/>
      <c r="AB541" s="25" t="str">
        <f>'Ingest Template'!T540</f>
        <v/>
      </c>
      <c r="AC541" s="25"/>
      <c r="AD541" s="25" t="str">
        <f>'Ingest Template'!U540</f>
        <v/>
      </c>
      <c r="AE541" s="25" t="str">
        <f>'Ingest Template'!V540</f>
        <v/>
      </c>
      <c r="AF541" s="25"/>
      <c r="AG541" s="25" t="str">
        <f t="array" ref="AG541">IF('Ingest Template'!A540="Standard",(CONCATENATE(IF(ISBLANK('Ingest Template'!O540),"", 'Ingest Template'!O540&amp;"|DAR"),CHAR(10), IF(ISBLANK('Ingest Template'!P540),"", 'Ingest Template'!P540&amp;"|DAR"),CHAR(10), IF(ISBLANK('Ingest Template'!Q540),"", 'Ingest Template'!Q540&amp;"|DAR"))),(CONCATENATE(IF(ISBLANK('Ingest Template'!O540),"", 'Ingest Template'!O540&amp;"|Operations - Core Title"),CHAR(10), IF(ISBLANK('Ingest Template'!P540),"", 'Ingest Template'!P540&amp;"|Operations - Core Title"),CHAR(10), IF(ISBLANK('Ingest Template'!Q540),"", 'Ingest Template'!Q540&amp;"|Operations - Core Title"))))</f>
        <v>#|Operations - Core Title
#videoGame|Operations - Core Title
</v>
      </c>
      <c r="AH541" s="25"/>
      <c r="AI541" s="25"/>
      <c r="AJ541" s="50" t="str">
        <f>if('Ingest Template'!A540="Standard",'Ingest Template'!R540&amp; "|DAR|DAR|2021-01-01",'Ingest Template'!R540&amp; "|Operations - Core Title|Operations - Core Title")</f>
        <v>#N/A</v>
      </c>
      <c r="AK541" s="25"/>
      <c r="AL541" s="25" t="str">
        <f>if('Ingest Template'!A540="Standard",'Ingest Template'!S540&amp; "|2021-01-01",'Ingest Template'!S540)</f>
        <v>#N/A</v>
      </c>
      <c r="AM541" s="25"/>
    </row>
    <row r="542">
      <c r="A542" s="25"/>
      <c r="B542" s="25" t="str">
        <f>'Ingest Template'!C541&amp;IF('Ingest Template'!A541 = "Standard", " - DAR","")</f>
        <v/>
      </c>
      <c r="C542" s="34" t="s">
        <v>92</v>
      </c>
      <c r="D542" s="34" t="str">
        <f>CONCATENATE('Ingest Template'!E542&amp;Char(10)&amp;'Ingest Template'!G542&amp;Char(10)&amp;'Ingest Template'!H542&amp;Char(10)&amp;'Ingest Template'!I542&amp;Char(10)&amp;'Ingest Template'!J542&amp;Char(10)&amp;'Ingest Template'!K542&amp;Char(10)&amp;'Ingest Template'!L542)</f>
        <v>
</v>
      </c>
      <c r="E542" s="25" t="str">
        <f>('Ingest Template'!M542)</f>
        <v/>
      </c>
      <c r="F542" s="40" t="str">
        <f t="array" ref="F542">INDEX(DropDown!$J$2:$J$63,MATCH(1,COUNTIF(E542,DropDown!$I$2:$I$63),0))</f>
        <v>#N/A</v>
      </c>
      <c r="G542" s="25"/>
      <c r="H542" s="25"/>
      <c r="I542" s="25"/>
      <c r="J542" s="25" t="str">
        <f>'Ingest Template'!B542</f>
        <v/>
      </c>
      <c r="K542" s="25" t="str">
        <f>IF('Ingest Template'!A541="Standard",'Ingest Template'!N541,"Competitive View")</f>
        <v>Competitive View</v>
      </c>
      <c r="L542" s="41" t="s">
        <v>145</v>
      </c>
      <c r="M542" s="25" t="str">
        <f>'Ingest Template'!D541</f>
        <v/>
      </c>
      <c r="N542" s="25"/>
      <c r="O542" s="25"/>
      <c r="P542" s="25"/>
      <c r="Q542" s="25"/>
      <c r="R542" s="25" t="str">
        <f>CONCATENATE('Ingest Template'!F541)</f>
        <v/>
      </c>
      <c r="S542" s="43" t="s">
        <v>160</v>
      </c>
      <c r="T542" s="25" t="str">
        <f>'Ingest Template'!W541</f>
        <v/>
      </c>
      <c r="U542" s="25"/>
      <c r="V542" s="25" t="str">
        <f>LOWER(SUBSTITUTE(SUBSTITUTE(SUBSTITUTE(SUBSTITUTE(SUBSTITUTE('Ingest Template'!Y541,"https:",""),"www.",""),"/",""),"?hl=en",""),"instagram.com",""))</f>
        <v/>
      </c>
      <c r="W542" s="34" t="str">
        <f>(IFERROR(vlookup('Ingest Template'!F542,DropDown!D:E,2,false)&amp;'Ingest Template'!C542,""))</f>
        <v/>
      </c>
      <c r="X542" s="25" t="str">
        <f>'Ingest Template'!AA541</f>
        <v/>
      </c>
      <c r="Y542" s="25"/>
      <c r="Z542" s="25"/>
      <c r="AA542" s="25"/>
      <c r="AB542" s="25" t="str">
        <f>'Ingest Template'!T541</f>
        <v/>
      </c>
      <c r="AC542" s="25"/>
      <c r="AD542" s="25" t="str">
        <f>'Ingest Template'!U541</f>
        <v/>
      </c>
      <c r="AE542" s="25" t="str">
        <f>'Ingest Template'!V541</f>
        <v/>
      </c>
      <c r="AF542" s="25"/>
      <c r="AG542" s="25" t="str">
        <f t="array" ref="AG542">IF('Ingest Template'!A541="Standard",(CONCATENATE(IF(ISBLANK('Ingest Template'!O541),"", 'Ingest Template'!O541&amp;"|DAR"),CHAR(10), IF(ISBLANK('Ingest Template'!P541),"", 'Ingest Template'!P541&amp;"|DAR"),CHAR(10), IF(ISBLANK('Ingest Template'!Q541),"", 'Ingest Template'!Q541&amp;"|DAR"))),(CONCATENATE(IF(ISBLANK('Ingest Template'!O541),"", 'Ingest Template'!O541&amp;"|Operations - Core Title"),CHAR(10), IF(ISBLANK('Ingest Template'!P541),"", 'Ingest Template'!P541&amp;"|Operations - Core Title"),CHAR(10), IF(ISBLANK('Ingest Template'!Q541),"", 'Ingest Template'!Q541&amp;"|Operations - Core Title"))))</f>
        <v>#|Operations - Core Title
#videoGame|Operations - Core Title
</v>
      </c>
      <c r="AH542" s="25"/>
      <c r="AI542" s="25"/>
      <c r="AJ542" s="50" t="str">
        <f>if('Ingest Template'!A541="Standard",'Ingest Template'!R541&amp; "|DAR|DAR|2021-01-01",'Ingest Template'!R541&amp; "|Operations - Core Title|Operations - Core Title")</f>
        <v>#N/A</v>
      </c>
      <c r="AK542" s="25"/>
      <c r="AL542" s="25" t="str">
        <f>if('Ingest Template'!A541="Standard",'Ingest Template'!S541&amp; "|2021-01-01",'Ingest Template'!S541)</f>
        <v>#N/A</v>
      </c>
      <c r="AM542" s="25"/>
    </row>
    <row r="543">
      <c r="A543" s="25"/>
      <c r="B543" s="25" t="str">
        <f>'Ingest Template'!C542&amp;IF('Ingest Template'!A542 = "Standard", " - DAR","")</f>
        <v/>
      </c>
      <c r="C543" s="34" t="s">
        <v>92</v>
      </c>
      <c r="D543" s="34" t="str">
        <f>CONCATENATE('Ingest Template'!E543&amp;Char(10)&amp;'Ingest Template'!G543&amp;Char(10)&amp;'Ingest Template'!H543&amp;Char(10)&amp;'Ingest Template'!I543&amp;Char(10)&amp;'Ingest Template'!J543&amp;Char(10)&amp;'Ingest Template'!K543&amp;Char(10)&amp;'Ingest Template'!L543)</f>
        <v>
</v>
      </c>
      <c r="E543" s="25" t="str">
        <f>('Ingest Template'!M543)</f>
        <v/>
      </c>
      <c r="F543" s="40" t="str">
        <f t="array" ref="F543">INDEX(DropDown!$J$2:$J$63,MATCH(1,COUNTIF(E543,DropDown!$I$2:$I$63),0))</f>
        <v>#N/A</v>
      </c>
      <c r="G543" s="25"/>
      <c r="H543" s="25"/>
      <c r="I543" s="25"/>
      <c r="J543" s="25" t="str">
        <f>'Ingest Template'!B543</f>
        <v/>
      </c>
      <c r="K543" s="25" t="str">
        <f>IF('Ingest Template'!A542="Standard",'Ingest Template'!N542,"Competitive View")</f>
        <v>Competitive View</v>
      </c>
      <c r="L543" s="41" t="s">
        <v>145</v>
      </c>
      <c r="M543" s="25" t="str">
        <f>'Ingest Template'!D542</f>
        <v/>
      </c>
      <c r="N543" s="25"/>
      <c r="O543" s="25"/>
      <c r="P543" s="25"/>
      <c r="Q543" s="25"/>
      <c r="R543" s="25" t="str">
        <f>CONCATENATE('Ingest Template'!F542)</f>
        <v/>
      </c>
      <c r="S543" s="43" t="s">
        <v>160</v>
      </c>
      <c r="T543" s="25" t="str">
        <f>'Ingest Template'!W542</f>
        <v/>
      </c>
      <c r="U543" s="25"/>
      <c r="V543" s="25" t="str">
        <f>LOWER(SUBSTITUTE(SUBSTITUTE(SUBSTITUTE(SUBSTITUTE(SUBSTITUTE('Ingest Template'!Y542,"https:",""),"www.",""),"/",""),"?hl=en",""),"instagram.com",""))</f>
        <v/>
      </c>
      <c r="W543" s="34" t="str">
        <f>(IFERROR(vlookup('Ingest Template'!F543,DropDown!D:E,2,false)&amp;'Ingest Template'!C543,""))</f>
        <v/>
      </c>
      <c r="X543" s="25" t="str">
        <f>'Ingest Template'!AA542</f>
        <v/>
      </c>
      <c r="Y543" s="25"/>
      <c r="Z543" s="25"/>
      <c r="AA543" s="25"/>
      <c r="AB543" s="25" t="str">
        <f>'Ingest Template'!T542</f>
        <v/>
      </c>
      <c r="AC543" s="25"/>
      <c r="AD543" s="25" t="str">
        <f>'Ingest Template'!U542</f>
        <v/>
      </c>
      <c r="AE543" s="25" t="str">
        <f>'Ingest Template'!V542</f>
        <v/>
      </c>
      <c r="AF543" s="25"/>
      <c r="AG543" s="25" t="str">
        <f t="array" ref="AG543">IF('Ingest Template'!A542="Standard",(CONCATENATE(IF(ISBLANK('Ingest Template'!O542),"", 'Ingest Template'!O542&amp;"|DAR"),CHAR(10), IF(ISBLANK('Ingest Template'!P542),"", 'Ingest Template'!P542&amp;"|DAR"),CHAR(10), IF(ISBLANK('Ingest Template'!Q542),"", 'Ingest Template'!Q542&amp;"|DAR"))),(CONCATENATE(IF(ISBLANK('Ingest Template'!O542),"", 'Ingest Template'!O542&amp;"|Operations - Core Title"),CHAR(10), IF(ISBLANK('Ingest Template'!P542),"", 'Ingest Template'!P542&amp;"|Operations - Core Title"),CHAR(10), IF(ISBLANK('Ingest Template'!Q542),"", 'Ingest Template'!Q542&amp;"|Operations - Core Title"))))</f>
        <v>#|Operations - Core Title
#videoGame|Operations - Core Title
</v>
      </c>
      <c r="AH543" s="25"/>
      <c r="AI543" s="25"/>
      <c r="AJ543" s="50" t="str">
        <f>if('Ingest Template'!A542="Standard",'Ingest Template'!R542&amp; "|DAR|DAR|2021-01-01",'Ingest Template'!R542&amp; "|Operations - Core Title|Operations - Core Title")</f>
        <v>#N/A</v>
      </c>
      <c r="AK543" s="25"/>
      <c r="AL543" s="25" t="str">
        <f>if('Ingest Template'!A542="Standard",'Ingest Template'!S542&amp; "|2021-01-01",'Ingest Template'!S542)</f>
        <v>#N/A</v>
      </c>
      <c r="AM543" s="25"/>
    </row>
    <row r="544">
      <c r="A544" s="25"/>
      <c r="B544" s="25" t="str">
        <f>'Ingest Template'!C543&amp;IF('Ingest Template'!A543 = "Standard", " - DAR","")</f>
        <v/>
      </c>
      <c r="C544" s="34" t="s">
        <v>92</v>
      </c>
      <c r="D544" s="34" t="str">
        <f>CONCATENATE('Ingest Template'!E544&amp;Char(10)&amp;'Ingest Template'!G544&amp;Char(10)&amp;'Ingest Template'!H544&amp;Char(10)&amp;'Ingest Template'!I544&amp;Char(10)&amp;'Ingest Template'!J544&amp;Char(10)&amp;'Ingest Template'!K544&amp;Char(10)&amp;'Ingest Template'!L544)</f>
        <v>
</v>
      </c>
      <c r="E544" s="25" t="str">
        <f>('Ingest Template'!M544)</f>
        <v/>
      </c>
      <c r="F544" s="40" t="str">
        <f t="array" ref="F544">INDEX(DropDown!$J$2:$J$63,MATCH(1,COUNTIF(E544,DropDown!$I$2:$I$63),0))</f>
        <v>#N/A</v>
      </c>
      <c r="G544" s="25"/>
      <c r="H544" s="25"/>
      <c r="I544" s="25"/>
      <c r="J544" s="25" t="str">
        <f>'Ingest Template'!B544</f>
        <v/>
      </c>
      <c r="K544" s="25" t="str">
        <f>IF('Ingest Template'!A543="Standard",'Ingest Template'!N543,"Competitive View")</f>
        <v>Competitive View</v>
      </c>
      <c r="L544" s="41" t="s">
        <v>145</v>
      </c>
      <c r="M544" s="25" t="str">
        <f>'Ingest Template'!D543</f>
        <v/>
      </c>
      <c r="N544" s="25"/>
      <c r="O544" s="25"/>
      <c r="P544" s="25"/>
      <c r="Q544" s="25"/>
      <c r="R544" s="25" t="str">
        <f>CONCATENATE('Ingest Template'!F543)</f>
        <v/>
      </c>
      <c r="S544" s="43" t="s">
        <v>160</v>
      </c>
      <c r="T544" s="25" t="str">
        <f>'Ingest Template'!W543</f>
        <v/>
      </c>
      <c r="U544" s="25"/>
      <c r="V544" s="25" t="str">
        <f>LOWER(SUBSTITUTE(SUBSTITUTE(SUBSTITUTE(SUBSTITUTE(SUBSTITUTE('Ingest Template'!Y543,"https:",""),"www.",""),"/",""),"?hl=en",""),"instagram.com",""))</f>
        <v/>
      </c>
      <c r="W544" s="34" t="str">
        <f>(IFERROR(vlookup('Ingest Template'!F544,DropDown!D:E,2,false)&amp;'Ingest Template'!C544,""))</f>
        <v/>
      </c>
      <c r="X544" s="25" t="str">
        <f>'Ingest Template'!AA543</f>
        <v/>
      </c>
      <c r="Y544" s="25"/>
      <c r="Z544" s="25"/>
      <c r="AA544" s="25"/>
      <c r="AB544" s="25" t="str">
        <f>'Ingest Template'!T543</f>
        <v/>
      </c>
      <c r="AC544" s="25"/>
      <c r="AD544" s="25" t="str">
        <f>'Ingest Template'!U543</f>
        <v/>
      </c>
      <c r="AE544" s="25" t="str">
        <f>'Ingest Template'!V543</f>
        <v/>
      </c>
      <c r="AF544" s="25"/>
      <c r="AG544" s="25" t="str">
        <f t="array" ref="AG544">IF('Ingest Template'!A543="Standard",(CONCATENATE(IF(ISBLANK('Ingest Template'!O543),"", 'Ingest Template'!O543&amp;"|DAR"),CHAR(10), IF(ISBLANK('Ingest Template'!P543),"", 'Ingest Template'!P543&amp;"|DAR"),CHAR(10), IF(ISBLANK('Ingest Template'!Q543),"", 'Ingest Template'!Q543&amp;"|DAR"))),(CONCATENATE(IF(ISBLANK('Ingest Template'!O543),"", 'Ingest Template'!O543&amp;"|Operations - Core Title"),CHAR(10), IF(ISBLANK('Ingest Template'!P543),"", 'Ingest Template'!P543&amp;"|Operations - Core Title"),CHAR(10), IF(ISBLANK('Ingest Template'!Q543),"", 'Ingest Template'!Q543&amp;"|Operations - Core Title"))))</f>
        <v>#|Operations - Core Title
#videoGame|Operations - Core Title
</v>
      </c>
      <c r="AH544" s="25"/>
      <c r="AI544" s="25"/>
      <c r="AJ544" s="50" t="str">
        <f>if('Ingest Template'!A543="Standard",'Ingest Template'!R543&amp; "|DAR|DAR|2021-01-01",'Ingest Template'!R543&amp; "|Operations - Core Title|Operations - Core Title")</f>
        <v>#N/A</v>
      </c>
      <c r="AK544" s="25"/>
      <c r="AL544" s="25" t="str">
        <f>if('Ingest Template'!A543="Standard",'Ingest Template'!S543&amp; "|2021-01-01",'Ingest Template'!S543)</f>
        <v>#N/A</v>
      </c>
      <c r="AM544" s="25"/>
    </row>
    <row r="545">
      <c r="A545" s="25"/>
      <c r="B545" s="25" t="str">
        <f>'Ingest Template'!C544&amp;IF('Ingest Template'!A544 = "Standard", " - DAR","")</f>
        <v/>
      </c>
      <c r="C545" s="34" t="s">
        <v>92</v>
      </c>
      <c r="D545" s="34" t="str">
        <f>CONCATENATE('Ingest Template'!E545&amp;Char(10)&amp;'Ingest Template'!G545&amp;Char(10)&amp;'Ingest Template'!H545&amp;Char(10)&amp;'Ingest Template'!I545&amp;Char(10)&amp;'Ingest Template'!J545&amp;Char(10)&amp;'Ingest Template'!K545&amp;Char(10)&amp;'Ingest Template'!L545)</f>
        <v>
</v>
      </c>
      <c r="E545" s="25" t="str">
        <f>('Ingest Template'!M545)</f>
        <v/>
      </c>
      <c r="F545" s="40" t="str">
        <f t="array" ref="F545">INDEX(DropDown!$J$2:$J$63,MATCH(1,COUNTIF(E545,DropDown!$I$2:$I$63),0))</f>
        <v>#N/A</v>
      </c>
      <c r="G545" s="25"/>
      <c r="H545" s="25"/>
      <c r="I545" s="25"/>
      <c r="J545" s="25" t="str">
        <f>'Ingest Template'!B545</f>
        <v/>
      </c>
      <c r="K545" s="25" t="str">
        <f>IF('Ingest Template'!A544="Standard",'Ingest Template'!N544,"Competitive View")</f>
        <v>Competitive View</v>
      </c>
      <c r="L545" s="41" t="s">
        <v>145</v>
      </c>
      <c r="M545" s="25" t="str">
        <f>'Ingest Template'!D544</f>
        <v/>
      </c>
      <c r="N545" s="25"/>
      <c r="O545" s="25"/>
      <c r="P545" s="25"/>
      <c r="Q545" s="25"/>
      <c r="R545" s="25" t="str">
        <f>CONCATENATE('Ingest Template'!F544)</f>
        <v/>
      </c>
      <c r="S545" s="43" t="s">
        <v>160</v>
      </c>
      <c r="T545" s="25" t="str">
        <f>'Ingest Template'!W544</f>
        <v/>
      </c>
      <c r="U545" s="25"/>
      <c r="V545" s="25" t="str">
        <f>LOWER(SUBSTITUTE(SUBSTITUTE(SUBSTITUTE(SUBSTITUTE(SUBSTITUTE('Ingest Template'!Y544,"https:",""),"www.",""),"/",""),"?hl=en",""),"instagram.com",""))</f>
        <v/>
      </c>
      <c r="W545" s="34" t="str">
        <f>(IFERROR(vlookup('Ingest Template'!F545,DropDown!D:E,2,false)&amp;'Ingest Template'!C545,""))</f>
        <v/>
      </c>
      <c r="X545" s="25" t="str">
        <f>'Ingest Template'!AA544</f>
        <v/>
      </c>
      <c r="Y545" s="25"/>
      <c r="Z545" s="25"/>
      <c r="AA545" s="25"/>
      <c r="AB545" s="25" t="str">
        <f>'Ingest Template'!T544</f>
        <v/>
      </c>
      <c r="AC545" s="25"/>
      <c r="AD545" s="25" t="str">
        <f>'Ingest Template'!U544</f>
        <v/>
      </c>
      <c r="AE545" s="25" t="str">
        <f>'Ingest Template'!V544</f>
        <v/>
      </c>
      <c r="AF545" s="25"/>
      <c r="AG545" s="25" t="str">
        <f t="array" ref="AG545">IF('Ingest Template'!A544="Standard",(CONCATENATE(IF(ISBLANK('Ingest Template'!O544),"", 'Ingest Template'!O544&amp;"|DAR"),CHAR(10), IF(ISBLANK('Ingest Template'!P544),"", 'Ingest Template'!P544&amp;"|DAR"),CHAR(10), IF(ISBLANK('Ingest Template'!Q544),"", 'Ingest Template'!Q544&amp;"|DAR"))),(CONCATENATE(IF(ISBLANK('Ingest Template'!O544),"", 'Ingest Template'!O544&amp;"|Operations - Core Title"),CHAR(10), IF(ISBLANK('Ingest Template'!P544),"", 'Ingest Template'!P544&amp;"|Operations - Core Title"),CHAR(10), IF(ISBLANK('Ingest Template'!Q544),"", 'Ingest Template'!Q544&amp;"|Operations - Core Title"))))</f>
        <v>#|Operations - Core Title
#videoGame|Operations - Core Title
</v>
      </c>
      <c r="AH545" s="25"/>
      <c r="AI545" s="25"/>
      <c r="AJ545" s="50" t="str">
        <f>if('Ingest Template'!A544="Standard",'Ingest Template'!R544&amp; "|DAR|DAR|2021-01-01",'Ingest Template'!R544&amp; "|Operations - Core Title|Operations - Core Title")</f>
        <v>#N/A</v>
      </c>
      <c r="AK545" s="25"/>
      <c r="AL545" s="25" t="str">
        <f>if('Ingest Template'!A544="Standard",'Ingest Template'!S544&amp; "|2021-01-01",'Ingest Template'!S544)</f>
        <v>#N/A</v>
      </c>
      <c r="AM545" s="25"/>
    </row>
    <row r="546">
      <c r="A546" s="25"/>
      <c r="B546" s="25" t="str">
        <f>'Ingest Template'!C545&amp;IF('Ingest Template'!A545 = "Standard", " - DAR","")</f>
        <v/>
      </c>
      <c r="C546" s="34" t="s">
        <v>92</v>
      </c>
      <c r="D546" s="34" t="str">
        <f>CONCATENATE('Ingest Template'!E546&amp;Char(10)&amp;'Ingest Template'!G546&amp;Char(10)&amp;'Ingest Template'!H546&amp;Char(10)&amp;'Ingest Template'!I546&amp;Char(10)&amp;'Ingest Template'!J546&amp;Char(10)&amp;'Ingest Template'!K546&amp;Char(10)&amp;'Ingest Template'!L546)</f>
        <v>
</v>
      </c>
      <c r="E546" s="25" t="str">
        <f>('Ingest Template'!M546)</f>
        <v/>
      </c>
      <c r="F546" s="40" t="str">
        <f t="array" ref="F546">INDEX(DropDown!$J$2:$J$63,MATCH(1,COUNTIF(E546,DropDown!$I$2:$I$63),0))</f>
        <v>#N/A</v>
      </c>
      <c r="G546" s="25"/>
      <c r="H546" s="25"/>
      <c r="I546" s="25"/>
      <c r="J546" s="25" t="str">
        <f>'Ingest Template'!B546</f>
        <v/>
      </c>
      <c r="K546" s="25" t="str">
        <f>IF('Ingest Template'!A545="Standard",'Ingest Template'!N545,"Competitive View")</f>
        <v>Competitive View</v>
      </c>
      <c r="L546" s="41" t="s">
        <v>145</v>
      </c>
      <c r="M546" s="25" t="str">
        <f>'Ingest Template'!D545</f>
        <v/>
      </c>
      <c r="N546" s="25"/>
      <c r="O546" s="25"/>
      <c r="P546" s="25"/>
      <c r="Q546" s="25"/>
      <c r="R546" s="25" t="str">
        <f>CONCATENATE('Ingest Template'!F545)</f>
        <v/>
      </c>
      <c r="S546" s="43" t="s">
        <v>160</v>
      </c>
      <c r="T546" s="25" t="str">
        <f>'Ingest Template'!W545</f>
        <v/>
      </c>
      <c r="U546" s="25"/>
      <c r="V546" s="25" t="str">
        <f>LOWER(SUBSTITUTE(SUBSTITUTE(SUBSTITUTE(SUBSTITUTE(SUBSTITUTE('Ingest Template'!Y545,"https:",""),"www.",""),"/",""),"?hl=en",""),"instagram.com",""))</f>
        <v/>
      </c>
      <c r="W546" s="34" t="str">
        <f>(IFERROR(vlookup('Ingest Template'!F546,DropDown!D:E,2,false)&amp;'Ingest Template'!C546,""))</f>
        <v/>
      </c>
      <c r="X546" s="25" t="str">
        <f>'Ingest Template'!AA545</f>
        <v/>
      </c>
      <c r="Y546" s="25"/>
      <c r="Z546" s="25"/>
      <c r="AA546" s="25"/>
      <c r="AB546" s="25" t="str">
        <f>'Ingest Template'!T545</f>
        <v/>
      </c>
      <c r="AC546" s="25"/>
      <c r="AD546" s="25" t="str">
        <f>'Ingest Template'!U545</f>
        <v/>
      </c>
      <c r="AE546" s="25" t="str">
        <f>'Ingest Template'!V545</f>
        <v/>
      </c>
      <c r="AF546" s="25"/>
      <c r="AG546" s="25" t="str">
        <f t="array" ref="AG546">IF('Ingest Template'!A545="Standard",(CONCATENATE(IF(ISBLANK('Ingest Template'!O545),"", 'Ingest Template'!O545&amp;"|DAR"),CHAR(10), IF(ISBLANK('Ingest Template'!P545),"", 'Ingest Template'!P545&amp;"|DAR"),CHAR(10), IF(ISBLANK('Ingest Template'!Q545),"", 'Ingest Template'!Q545&amp;"|DAR"))),(CONCATENATE(IF(ISBLANK('Ingest Template'!O545),"", 'Ingest Template'!O545&amp;"|Operations - Core Title"),CHAR(10), IF(ISBLANK('Ingest Template'!P545),"", 'Ingest Template'!P545&amp;"|Operations - Core Title"),CHAR(10), IF(ISBLANK('Ingest Template'!Q545),"", 'Ingest Template'!Q545&amp;"|Operations - Core Title"))))</f>
        <v>#|Operations - Core Title
#videoGame|Operations - Core Title
</v>
      </c>
      <c r="AH546" s="25"/>
      <c r="AI546" s="25"/>
      <c r="AJ546" s="50" t="str">
        <f>if('Ingest Template'!A545="Standard",'Ingest Template'!R545&amp; "|DAR|DAR|2021-01-01",'Ingest Template'!R545&amp; "|Operations - Core Title|Operations - Core Title")</f>
        <v>#N/A</v>
      </c>
      <c r="AK546" s="25"/>
      <c r="AL546" s="25" t="str">
        <f>if('Ingest Template'!A545="Standard",'Ingest Template'!S545&amp; "|2021-01-01",'Ingest Template'!S545)</f>
        <v>#N/A</v>
      </c>
      <c r="AM546" s="25"/>
    </row>
    <row r="547">
      <c r="A547" s="25"/>
      <c r="B547" s="25" t="str">
        <f>'Ingest Template'!C546&amp;IF('Ingest Template'!A546 = "Standard", " - DAR","")</f>
        <v/>
      </c>
      <c r="C547" s="34" t="s">
        <v>92</v>
      </c>
      <c r="D547" s="34" t="str">
        <f>CONCATENATE('Ingest Template'!E547&amp;Char(10)&amp;'Ingest Template'!G547&amp;Char(10)&amp;'Ingest Template'!H547&amp;Char(10)&amp;'Ingest Template'!I547&amp;Char(10)&amp;'Ingest Template'!J547&amp;Char(10)&amp;'Ingest Template'!K547&amp;Char(10)&amp;'Ingest Template'!L547)</f>
        <v>
</v>
      </c>
      <c r="E547" s="25" t="str">
        <f>('Ingest Template'!M547)</f>
        <v/>
      </c>
      <c r="F547" s="40" t="str">
        <f t="array" ref="F547">INDEX(DropDown!$J$2:$J$63,MATCH(1,COUNTIF(E547,DropDown!$I$2:$I$63),0))</f>
        <v>#N/A</v>
      </c>
      <c r="G547" s="25"/>
      <c r="H547" s="25"/>
      <c r="I547" s="25"/>
      <c r="J547" s="25" t="str">
        <f>'Ingest Template'!B547</f>
        <v/>
      </c>
      <c r="K547" s="25" t="str">
        <f>IF('Ingest Template'!A546="Standard",'Ingest Template'!N546,"Competitive View")</f>
        <v>Competitive View</v>
      </c>
      <c r="L547" s="41" t="s">
        <v>145</v>
      </c>
      <c r="M547" s="25" t="str">
        <f>'Ingest Template'!D546</f>
        <v/>
      </c>
      <c r="N547" s="25"/>
      <c r="O547" s="25"/>
      <c r="P547" s="25"/>
      <c r="Q547" s="25"/>
      <c r="R547" s="25" t="str">
        <f>CONCATENATE('Ingest Template'!F546)</f>
        <v/>
      </c>
      <c r="S547" s="43" t="s">
        <v>160</v>
      </c>
      <c r="T547" s="25" t="str">
        <f>'Ingest Template'!W546</f>
        <v/>
      </c>
      <c r="U547" s="25"/>
      <c r="V547" s="25" t="str">
        <f>LOWER(SUBSTITUTE(SUBSTITUTE(SUBSTITUTE(SUBSTITUTE(SUBSTITUTE('Ingest Template'!Y546,"https:",""),"www.",""),"/",""),"?hl=en",""),"instagram.com",""))</f>
        <v/>
      </c>
      <c r="W547" s="34" t="str">
        <f>(IFERROR(vlookup('Ingest Template'!F547,DropDown!D:E,2,false)&amp;'Ingest Template'!C547,""))</f>
        <v/>
      </c>
      <c r="X547" s="25" t="str">
        <f>'Ingest Template'!AA546</f>
        <v/>
      </c>
      <c r="Y547" s="25"/>
      <c r="Z547" s="25"/>
      <c r="AA547" s="25"/>
      <c r="AB547" s="25" t="str">
        <f>'Ingest Template'!T546</f>
        <v/>
      </c>
      <c r="AC547" s="25"/>
      <c r="AD547" s="25" t="str">
        <f>'Ingest Template'!U546</f>
        <v/>
      </c>
      <c r="AE547" s="25" t="str">
        <f>'Ingest Template'!V546</f>
        <v/>
      </c>
      <c r="AF547" s="25"/>
      <c r="AG547" s="25" t="str">
        <f t="array" ref="AG547">IF('Ingest Template'!A546="Standard",(CONCATENATE(IF(ISBLANK('Ingest Template'!O546),"", 'Ingest Template'!O546&amp;"|DAR"),CHAR(10), IF(ISBLANK('Ingest Template'!P546),"", 'Ingest Template'!P546&amp;"|DAR"),CHAR(10), IF(ISBLANK('Ingest Template'!Q546),"", 'Ingest Template'!Q546&amp;"|DAR"))),(CONCATENATE(IF(ISBLANK('Ingest Template'!O546),"", 'Ingest Template'!O546&amp;"|Operations - Core Title"),CHAR(10), IF(ISBLANK('Ingest Template'!P546),"", 'Ingest Template'!P546&amp;"|Operations - Core Title"),CHAR(10), IF(ISBLANK('Ingest Template'!Q546),"", 'Ingest Template'!Q546&amp;"|Operations - Core Title"))))</f>
        <v>#|Operations - Core Title
#videoGame|Operations - Core Title
</v>
      </c>
      <c r="AH547" s="25"/>
      <c r="AI547" s="25"/>
      <c r="AJ547" s="50" t="str">
        <f>if('Ingest Template'!A546="Standard",'Ingest Template'!R546&amp; "|DAR|DAR|2021-01-01",'Ingest Template'!R546&amp; "|Operations - Core Title|Operations - Core Title")</f>
        <v>#N/A</v>
      </c>
      <c r="AK547" s="25"/>
      <c r="AL547" s="25" t="str">
        <f>if('Ingest Template'!A546="Standard",'Ingest Template'!S546&amp; "|2021-01-01",'Ingest Template'!S546)</f>
        <v>#N/A</v>
      </c>
      <c r="AM547" s="25"/>
    </row>
    <row r="548">
      <c r="A548" s="25"/>
      <c r="B548" s="25" t="str">
        <f>'Ingest Template'!C547&amp;IF('Ingest Template'!A547 = "Standard", " - DAR","")</f>
        <v/>
      </c>
      <c r="C548" s="34" t="s">
        <v>92</v>
      </c>
      <c r="D548" s="34" t="str">
        <f>CONCATENATE('Ingest Template'!E548&amp;Char(10)&amp;'Ingest Template'!G548&amp;Char(10)&amp;'Ingest Template'!H548&amp;Char(10)&amp;'Ingest Template'!I548&amp;Char(10)&amp;'Ingest Template'!J548&amp;Char(10)&amp;'Ingest Template'!K548&amp;Char(10)&amp;'Ingest Template'!L548)</f>
        <v>
</v>
      </c>
      <c r="E548" s="25" t="str">
        <f>('Ingest Template'!M548)</f>
        <v/>
      </c>
      <c r="F548" s="40" t="str">
        <f t="array" ref="F548">INDEX(DropDown!$J$2:$J$63,MATCH(1,COUNTIF(E548,DropDown!$I$2:$I$63),0))</f>
        <v>#N/A</v>
      </c>
      <c r="G548" s="25"/>
      <c r="H548" s="25"/>
      <c r="I548" s="25"/>
      <c r="J548" s="25" t="str">
        <f>'Ingest Template'!B548</f>
        <v/>
      </c>
      <c r="K548" s="25" t="str">
        <f>IF('Ingest Template'!A547="Standard",'Ingest Template'!N547,"Competitive View")</f>
        <v>Competitive View</v>
      </c>
      <c r="L548" s="41" t="s">
        <v>145</v>
      </c>
      <c r="M548" s="25" t="str">
        <f>'Ingest Template'!D547</f>
        <v/>
      </c>
      <c r="N548" s="25"/>
      <c r="O548" s="25"/>
      <c r="P548" s="25"/>
      <c r="Q548" s="25"/>
      <c r="R548" s="25" t="str">
        <f>CONCATENATE('Ingest Template'!F547)</f>
        <v/>
      </c>
      <c r="S548" s="43" t="s">
        <v>160</v>
      </c>
      <c r="T548" s="25" t="str">
        <f>'Ingest Template'!W547</f>
        <v/>
      </c>
      <c r="U548" s="25"/>
      <c r="V548" s="25" t="str">
        <f>LOWER(SUBSTITUTE(SUBSTITUTE(SUBSTITUTE(SUBSTITUTE(SUBSTITUTE('Ingest Template'!Y547,"https:",""),"www.",""),"/",""),"?hl=en",""),"instagram.com",""))</f>
        <v/>
      </c>
      <c r="W548" s="34" t="str">
        <f>(IFERROR(vlookup('Ingest Template'!F548,DropDown!D:E,2,false)&amp;'Ingest Template'!C548,""))</f>
        <v/>
      </c>
      <c r="X548" s="25" t="str">
        <f>'Ingest Template'!AA547</f>
        <v/>
      </c>
      <c r="Y548" s="25"/>
      <c r="Z548" s="25"/>
      <c r="AA548" s="25"/>
      <c r="AB548" s="25" t="str">
        <f>'Ingest Template'!T547</f>
        <v/>
      </c>
      <c r="AC548" s="25"/>
      <c r="AD548" s="25" t="str">
        <f>'Ingest Template'!U547</f>
        <v/>
      </c>
      <c r="AE548" s="25" t="str">
        <f>'Ingest Template'!V547</f>
        <v/>
      </c>
      <c r="AF548" s="25"/>
      <c r="AG548" s="25" t="str">
        <f t="array" ref="AG548">IF('Ingest Template'!A547="Standard",(CONCATENATE(IF(ISBLANK('Ingest Template'!O547),"", 'Ingest Template'!O547&amp;"|DAR"),CHAR(10), IF(ISBLANK('Ingest Template'!P547),"", 'Ingest Template'!P547&amp;"|DAR"),CHAR(10), IF(ISBLANK('Ingest Template'!Q547),"", 'Ingest Template'!Q547&amp;"|DAR"))),(CONCATENATE(IF(ISBLANK('Ingest Template'!O547),"", 'Ingest Template'!O547&amp;"|Operations - Core Title"),CHAR(10), IF(ISBLANK('Ingest Template'!P547),"", 'Ingest Template'!P547&amp;"|Operations - Core Title"),CHAR(10), IF(ISBLANK('Ingest Template'!Q547),"", 'Ingest Template'!Q547&amp;"|Operations - Core Title"))))</f>
        <v>#|Operations - Core Title
#videoGame|Operations - Core Title
</v>
      </c>
      <c r="AH548" s="25"/>
      <c r="AI548" s="25"/>
      <c r="AJ548" s="50" t="str">
        <f>if('Ingest Template'!A547="Standard",'Ingest Template'!R547&amp; "|DAR|DAR|2021-01-01",'Ingest Template'!R547&amp; "|Operations - Core Title|Operations - Core Title")</f>
        <v>#N/A</v>
      </c>
      <c r="AK548" s="25"/>
      <c r="AL548" s="25" t="str">
        <f>if('Ingest Template'!A547="Standard",'Ingest Template'!S547&amp; "|2021-01-01",'Ingest Template'!S547)</f>
        <v>#N/A</v>
      </c>
      <c r="AM548" s="25"/>
    </row>
    <row r="549">
      <c r="A549" s="25"/>
      <c r="B549" s="25" t="str">
        <f>'Ingest Template'!C548&amp;IF('Ingest Template'!A548 = "Standard", " - DAR","")</f>
        <v/>
      </c>
      <c r="C549" s="34" t="s">
        <v>92</v>
      </c>
      <c r="D549" s="34" t="str">
        <f>CONCATENATE('Ingest Template'!E549&amp;Char(10)&amp;'Ingest Template'!G549&amp;Char(10)&amp;'Ingest Template'!H549&amp;Char(10)&amp;'Ingest Template'!I549&amp;Char(10)&amp;'Ingest Template'!J549&amp;Char(10)&amp;'Ingest Template'!K549&amp;Char(10)&amp;'Ingest Template'!L549)</f>
        <v>
</v>
      </c>
      <c r="E549" s="25" t="str">
        <f>('Ingest Template'!M549)</f>
        <v/>
      </c>
      <c r="F549" s="40" t="str">
        <f t="array" ref="F549">INDEX(DropDown!$J$2:$J$63,MATCH(1,COUNTIF(E549,DropDown!$I$2:$I$63),0))</f>
        <v>#N/A</v>
      </c>
      <c r="G549" s="25"/>
      <c r="H549" s="25"/>
      <c r="I549" s="25"/>
      <c r="J549" s="25" t="str">
        <f>'Ingest Template'!B549</f>
        <v/>
      </c>
      <c r="K549" s="25" t="str">
        <f>IF('Ingest Template'!A548="Standard",'Ingest Template'!N548,"Competitive View")</f>
        <v>Competitive View</v>
      </c>
      <c r="L549" s="41" t="s">
        <v>145</v>
      </c>
      <c r="M549" s="25" t="str">
        <f>'Ingest Template'!D548</f>
        <v/>
      </c>
      <c r="N549" s="25"/>
      <c r="O549" s="25"/>
      <c r="P549" s="25"/>
      <c r="Q549" s="25"/>
      <c r="R549" s="25" t="str">
        <f>CONCATENATE('Ingest Template'!F548)</f>
        <v/>
      </c>
      <c r="S549" s="43" t="s">
        <v>160</v>
      </c>
      <c r="T549" s="25" t="str">
        <f>'Ingest Template'!W548</f>
        <v/>
      </c>
      <c r="U549" s="25"/>
      <c r="V549" s="25" t="str">
        <f>LOWER(SUBSTITUTE(SUBSTITUTE(SUBSTITUTE(SUBSTITUTE(SUBSTITUTE('Ingest Template'!Y548,"https:",""),"www.",""),"/",""),"?hl=en",""),"instagram.com",""))</f>
        <v/>
      </c>
      <c r="W549" s="34" t="str">
        <f>(IFERROR(vlookup('Ingest Template'!F549,DropDown!D:E,2,false)&amp;'Ingest Template'!C549,""))</f>
        <v/>
      </c>
      <c r="X549" s="25" t="str">
        <f>'Ingest Template'!AA548</f>
        <v/>
      </c>
      <c r="Y549" s="25"/>
      <c r="Z549" s="25"/>
      <c r="AA549" s="25"/>
      <c r="AB549" s="25" t="str">
        <f>'Ingest Template'!T548</f>
        <v/>
      </c>
      <c r="AC549" s="25"/>
      <c r="AD549" s="25" t="str">
        <f>'Ingest Template'!U548</f>
        <v/>
      </c>
      <c r="AE549" s="25" t="str">
        <f>'Ingest Template'!V548</f>
        <v/>
      </c>
      <c r="AF549" s="25"/>
      <c r="AG549" s="25" t="str">
        <f t="array" ref="AG549">IF('Ingest Template'!A548="Standard",(CONCATENATE(IF(ISBLANK('Ingest Template'!O548),"", 'Ingest Template'!O548&amp;"|DAR"),CHAR(10), IF(ISBLANK('Ingest Template'!P548),"", 'Ingest Template'!P548&amp;"|DAR"),CHAR(10), IF(ISBLANK('Ingest Template'!Q548),"", 'Ingest Template'!Q548&amp;"|DAR"))),(CONCATENATE(IF(ISBLANK('Ingest Template'!O548),"", 'Ingest Template'!O548&amp;"|Operations - Core Title"),CHAR(10), IF(ISBLANK('Ingest Template'!P548),"", 'Ingest Template'!P548&amp;"|Operations - Core Title"),CHAR(10), IF(ISBLANK('Ingest Template'!Q548),"", 'Ingest Template'!Q548&amp;"|Operations - Core Title"))))</f>
        <v>#|Operations - Core Title
#videoGame|Operations - Core Title
</v>
      </c>
      <c r="AH549" s="25"/>
      <c r="AI549" s="25"/>
      <c r="AJ549" s="50" t="str">
        <f>if('Ingest Template'!A548="Standard",'Ingest Template'!R548&amp; "|DAR|DAR|2021-01-01",'Ingest Template'!R548&amp; "|Operations - Core Title|Operations - Core Title")</f>
        <v>#N/A</v>
      </c>
      <c r="AK549" s="25"/>
      <c r="AL549" s="25" t="str">
        <f>if('Ingest Template'!A548="Standard",'Ingest Template'!S548&amp; "|2021-01-01",'Ingest Template'!S548)</f>
        <v>#N/A</v>
      </c>
      <c r="AM549" s="25"/>
    </row>
    <row r="550">
      <c r="A550" s="25"/>
      <c r="B550" s="25" t="str">
        <f>'Ingest Template'!C549&amp;IF('Ingest Template'!A549 = "Standard", " - DAR","")</f>
        <v/>
      </c>
      <c r="C550" s="34" t="s">
        <v>92</v>
      </c>
      <c r="D550" s="34" t="str">
        <f>CONCATENATE('Ingest Template'!E550&amp;Char(10)&amp;'Ingest Template'!G550&amp;Char(10)&amp;'Ingest Template'!H550&amp;Char(10)&amp;'Ingest Template'!I550&amp;Char(10)&amp;'Ingest Template'!J550&amp;Char(10)&amp;'Ingest Template'!K550&amp;Char(10)&amp;'Ingest Template'!L550)</f>
        <v>
</v>
      </c>
      <c r="E550" s="25" t="str">
        <f>('Ingest Template'!M550)</f>
        <v/>
      </c>
      <c r="F550" s="40" t="str">
        <f t="array" ref="F550">INDEX(DropDown!$J$2:$J$63,MATCH(1,COUNTIF(E550,DropDown!$I$2:$I$63),0))</f>
        <v>#N/A</v>
      </c>
      <c r="G550" s="25"/>
      <c r="H550" s="25"/>
      <c r="I550" s="25"/>
      <c r="J550" s="25" t="str">
        <f>'Ingest Template'!B550</f>
        <v/>
      </c>
      <c r="K550" s="25" t="str">
        <f>IF('Ingest Template'!A549="Standard",'Ingest Template'!N549,"Competitive View")</f>
        <v>Competitive View</v>
      </c>
      <c r="L550" s="41" t="s">
        <v>145</v>
      </c>
      <c r="M550" s="25" t="str">
        <f>'Ingest Template'!D549</f>
        <v/>
      </c>
      <c r="N550" s="25"/>
      <c r="O550" s="25"/>
      <c r="P550" s="25"/>
      <c r="Q550" s="25"/>
      <c r="R550" s="25" t="str">
        <f>CONCATENATE('Ingest Template'!F549)</f>
        <v/>
      </c>
      <c r="S550" s="43" t="s">
        <v>160</v>
      </c>
      <c r="T550" s="25" t="str">
        <f>'Ingest Template'!W549</f>
        <v/>
      </c>
      <c r="U550" s="25"/>
      <c r="V550" s="25" t="str">
        <f>LOWER(SUBSTITUTE(SUBSTITUTE(SUBSTITUTE(SUBSTITUTE(SUBSTITUTE('Ingest Template'!Y549,"https:",""),"www.",""),"/",""),"?hl=en",""),"instagram.com",""))</f>
        <v/>
      </c>
      <c r="W550" s="34" t="str">
        <f>(IFERROR(vlookup('Ingest Template'!F550,DropDown!D:E,2,false)&amp;'Ingest Template'!C550,""))</f>
        <v/>
      </c>
      <c r="X550" s="25" t="str">
        <f>'Ingest Template'!AA549</f>
        <v/>
      </c>
      <c r="Y550" s="25"/>
      <c r="Z550" s="25"/>
      <c r="AA550" s="25"/>
      <c r="AB550" s="25" t="str">
        <f>'Ingest Template'!T549</f>
        <v/>
      </c>
      <c r="AC550" s="25"/>
      <c r="AD550" s="25" t="str">
        <f>'Ingest Template'!U549</f>
        <v/>
      </c>
      <c r="AE550" s="25" t="str">
        <f>'Ingest Template'!V549</f>
        <v/>
      </c>
      <c r="AF550" s="25"/>
      <c r="AG550" s="25" t="str">
        <f t="array" ref="AG550">IF('Ingest Template'!A549="Standard",(CONCATENATE(IF(ISBLANK('Ingest Template'!O549),"", 'Ingest Template'!O549&amp;"|DAR"),CHAR(10), IF(ISBLANK('Ingest Template'!P549),"", 'Ingest Template'!P549&amp;"|DAR"),CHAR(10), IF(ISBLANK('Ingest Template'!Q549),"", 'Ingest Template'!Q549&amp;"|DAR"))),(CONCATENATE(IF(ISBLANK('Ingest Template'!O549),"", 'Ingest Template'!O549&amp;"|Operations - Core Title"),CHAR(10), IF(ISBLANK('Ingest Template'!P549),"", 'Ingest Template'!P549&amp;"|Operations - Core Title"),CHAR(10), IF(ISBLANK('Ingest Template'!Q549),"", 'Ingest Template'!Q549&amp;"|Operations - Core Title"))))</f>
        <v>#|Operations - Core Title
#videoGame|Operations - Core Title
</v>
      </c>
      <c r="AH550" s="25"/>
      <c r="AI550" s="25"/>
      <c r="AJ550" s="50" t="str">
        <f>if('Ingest Template'!A549="Standard",'Ingest Template'!R549&amp; "|DAR|DAR|2021-01-01",'Ingest Template'!R549&amp; "|Operations - Core Title|Operations - Core Title")</f>
        <v>#N/A</v>
      </c>
      <c r="AK550" s="25"/>
      <c r="AL550" s="25" t="str">
        <f>if('Ingest Template'!A549="Standard",'Ingest Template'!S549&amp; "|2021-01-01",'Ingest Template'!S549)</f>
        <v>#N/A</v>
      </c>
      <c r="AM550" s="25"/>
    </row>
    <row r="551">
      <c r="A551" s="25"/>
      <c r="B551" s="25" t="str">
        <f>'Ingest Template'!C550&amp;IF('Ingest Template'!A550 = "Standard", " - DAR","")</f>
        <v/>
      </c>
      <c r="C551" s="34" t="s">
        <v>92</v>
      </c>
      <c r="D551" s="34" t="str">
        <f>CONCATENATE('Ingest Template'!E551&amp;Char(10)&amp;'Ingest Template'!G551&amp;Char(10)&amp;'Ingest Template'!H551&amp;Char(10)&amp;'Ingest Template'!I551&amp;Char(10)&amp;'Ingest Template'!J551&amp;Char(10)&amp;'Ingest Template'!K551&amp;Char(10)&amp;'Ingest Template'!L551)</f>
        <v>
</v>
      </c>
      <c r="E551" s="25" t="str">
        <f>('Ingest Template'!M551)</f>
        <v/>
      </c>
      <c r="F551" s="40" t="str">
        <f t="array" ref="F551">INDEX(DropDown!$J$2:$J$63,MATCH(1,COUNTIF(E551,DropDown!$I$2:$I$63),0))</f>
        <v>#N/A</v>
      </c>
      <c r="G551" s="25"/>
      <c r="H551" s="25"/>
      <c r="I551" s="25"/>
      <c r="J551" s="25" t="str">
        <f>'Ingest Template'!B551</f>
        <v/>
      </c>
      <c r="K551" s="25" t="str">
        <f>IF('Ingest Template'!A550="Standard",'Ingest Template'!N550,"Competitive View")</f>
        <v>Competitive View</v>
      </c>
      <c r="L551" s="41" t="s">
        <v>145</v>
      </c>
      <c r="M551" s="25" t="str">
        <f>'Ingest Template'!D550</f>
        <v/>
      </c>
      <c r="N551" s="25"/>
      <c r="O551" s="25"/>
      <c r="P551" s="25"/>
      <c r="Q551" s="25"/>
      <c r="R551" s="25" t="str">
        <f>CONCATENATE('Ingest Template'!F550)</f>
        <v/>
      </c>
      <c r="S551" s="43" t="s">
        <v>160</v>
      </c>
      <c r="T551" s="25" t="str">
        <f>'Ingest Template'!W550</f>
        <v/>
      </c>
      <c r="U551" s="25"/>
      <c r="V551" s="25" t="str">
        <f>LOWER(SUBSTITUTE(SUBSTITUTE(SUBSTITUTE(SUBSTITUTE(SUBSTITUTE('Ingest Template'!Y550,"https:",""),"www.",""),"/",""),"?hl=en",""),"instagram.com",""))</f>
        <v/>
      </c>
      <c r="W551" s="34" t="str">
        <f>(IFERROR(vlookup('Ingest Template'!F551,DropDown!D:E,2,false)&amp;'Ingest Template'!C551,""))</f>
        <v/>
      </c>
      <c r="X551" s="25" t="str">
        <f>'Ingest Template'!AA550</f>
        <v/>
      </c>
      <c r="Y551" s="25"/>
      <c r="Z551" s="25"/>
      <c r="AA551" s="25"/>
      <c r="AB551" s="25" t="str">
        <f>'Ingest Template'!T550</f>
        <v/>
      </c>
      <c r="AC551" s="25"/>
      <c r="AD551" s="25" t="str">
        <f>'Ingest Template'!U550</f>
        <v/>
      </c>
      <c r="AE551" s="25" t="str">
        <f>'Ingest Template'!V550</f>
        <v/>
      </c>
      <c r="AF551" s="25"/>
      <c r="AG551" s="25" t="str">
        <f t="array" ref="AG551">IF('Ingest Template'!A550="Standard",(CONCATENATE(IF(ISBLANK('Ingest Template'!O550),"", 'Ingest Template'!O550&amp;"|DAR"),CHAR(10), IF(ISBLANK('Ingest Template'!P550),"", 'Ingest Template'!P550&amp;"|DAR"),CHAR(10), IF(ISBLANK('Ingest Template'!Q550),"", 'Ingest Template'!Q550&amp;"|DAR"))),(CONCATENATE(IF(ISBLANK('Ingest Template'!O550),"", 'Ingest Template'!O550&amp;"|Operations - Core Title"),CHAR(10), IF(ISBLANK('Ingest Template'!P550),"", 'Ingest Template'!P550&amp;"|Operations - Core Title"),CHAR(10), IF(ISBLANK('Ingest Template'!Q550),"", 'Ingest Template'!Q550&amp;"|Operations - Core Title"))))</f>
        <v>#|Operations - Core Title
#videoGame|Operations - Core Title
</v>
      </c>
      <c r="AH551" s="25"/>
      <c r="AI551" s="25"/>
      <c r="AJ551" s="50" t="str">
        <f>if('Ingest Template'!A550="Standard",'Ingest Template'!R550&amp; "|DAR|DAR|2021-01-01",'Ingest Template'!R550&amp; "|Operations - Core Title|Operations - Core Title")</f>
        <v>#N/A</v>
      </c>
      <c r="AK551" s="25"/>
      <c r="AL551" s="25" t="str">
        <f>if('Ingest Template'!A550="Standard",'Ingest Template'!S550&amp; "|2021-01-01",'Ingest Template'!S550)</f>
        <v>#N/A</v>
      </c>
      <c r="AM551" s="25"/>
    </row>
    <row r="552">
      <c r="A552" s="25"/>
      <c r="B552" s="25" t="str">
        <f>'Ingest Template'!C551&amp;IF('Ingest Template'!A551 = "Standard", " - DAR","")</f>
        <v/>
      </c>
      <c r="C552" s="34" t="s">
        <v>92</v>
      </c>
      <c r="D552" s="34" t="str">
        <f>CONCATENATE('Ingest Template'!E552&amp;Char(10)&amp;'Ingest Template'!G552&amp;Char(10)&amp;'Ingest Template'!H552&amp;Char(10)&amp;'Ingest Template'!I552&amp;Char(10)&amp;'Ingest Template'!J552&amp;Char(10)&amp;'Ingest Template'!K552&amp;Char(10)&amp;'Ingest Template'!L552)</f>
        <v>
</v>
      </c>
      <c r="E552" s="25" t="str">
        <f>('Ingest Template'!M552)</f>
        <v/>
      </c>
      <c r="F552" s="40" t="str">
        <f t="array" ref="F552">INDEX(DropDown!$J$2:$J$63,MATCH(1,COUNTIF(E552,DropDown!$I$2:$I$63),0))</f>
        <v>#N/A</v>
      </c>
      <c r="G552" s="25"/>
      <c r="H552" s="25"/>
      <c r="I552" s="25"/>
      <c r="J552" s="25" t="str">
        <f>'Ingest Template'!B552</f>
        <v/>
      </c>
      <c r="K552" s="25" t="str">
        <f>IF('Ingest Template'!A551="Standard",'Ingest Template'!N551,"Competitive View")</f>
        <v>Competitive View</v>
      </c>
      <c r="L552" s="41" t="s">
        <v>145</v>
      </c>
      <c r="M552" s="25" t="str">
        <f>'Ingest Template'!D551</f>
        <v/>
      </c>
      <c r="N552" s="25"/>
      <c r="O552" s="25"/>
      <c r="P552" s="25"/>
      <c r="Q552" s="25"/>
      <c r="R552" s="25" t="str">
        <f>CONCATENATE('Ingest Template'!F551)</f>
        <v/>
      </c>
      <c r="S552" s="43" t="s">
        <v>160</v>
      </c>
      <c r="T552" s="25" t="str">
        <f>'Ingest Template'!W551</f>
        <v/>
      </c>
      <c r="U552" s="25"/>
      <c r="V552" s="25" t="str">
        <f>LOWER(SUBSTITUTE(SUBSTITUTE(SUBSTITUTE(SUBSTITUTE(SUBSTITUTE('Ingest Template'!Y551,"https:",""),"www.",""),"/",""),"?hl=en",""),"instagram.com",""))</f>
        <v/>
      </c>
      <c r="W552" s="34" t="str">
        <f>(IFERROR(vlookup('Ingest Template'!F552,DropDown!D:E,2,false)&amp;'Ingest Template'!C552,""))</f>
        <v/>
      </c>
      <c r="X552" s="25" t="str">
        <f>'Ingest Template'!AA551</f>
        <v/>
      </c>
      <c r="Y552" s="25"/>
      <c r="Z552" s="25"/>
      <c r="AA552" s="25"/>
      <c r="AB552" s="25" t="str">
        <f>'Ingest Template'!T551</f>
        <v/>
      </c>
      <c r="AC552" s="25"/>
      <c r="AD552" s="25" t="str">
        <f>'Ingest Template'!U551</f>
        <v/>
      </c>
      <c r="AE552" s="25" t="str">
        <f>'Ingest Template'!V551</f>
        <v/>
      </c>
      <c r="AF552" s="25"/>
      <c r="AG552" s="25" t="str">
        <f t="array" ref="AG552">IF('Ingest Template'!A551="Standard",(CONCATENATE(IF(ISBLANK('Ingest Template'!O551),"", 'Ingest Template'!O551&amp;"|DAR"),CHAR(10), IF(ISBLANK('Ingest Template'!P551),"", 'Ingest Template'!P551&amp;"|DAR"),CHAR(10), IF(ISBLANK('Ingest Template'!Q551),"", 'Ingest Template'!Q551&amp;"|DAR"))),(CONCATENATE(IF(ISBLANK('Ingest Template'!O551),"", 'Ingest Template'!O551&amp;"|Operations - Core Title"),CHAR(10), IF(ISBLANK('Ingest Template'!P551),"", 'Ingest Template'!P551&amp;"|Operations - Core Title"),CHAR(10), IF(ISBLANK('Ingest Template'!Q551),"", 'Ingest Template'!Q551&amp;"|Operations - Core Title"))))</f>
        <v>#|Operations - Core Title
#videoGame|Operations - Core Title
</v>
      </c>
      <c r="AH552" s="25"/>
      <c r="AI552" s="25"/>
      <c r="AJ552" s="50" t="str">
        <f>if('Ingest Template'!A551="Standard",'Ingest Template'!R551&amp; "|DAR|DAR|2021-01-01",'Ingest Template'!R551&amp; "|Operations - Core Title|Operations - Core Title")</f>
        <v>#N/A</v>
      </c>
      <c r="AK552" s="25"/>
      <c r="AL552" s="25" t="str">
        <f>if('Ingest Template'!A551="Standard",'Ingest Template'!S551&amp; "|2021-01-01",'Ingest Template'!S551)</f>
        <v>#N/A</v>
      </c>
      <c r="AM552" s="25"/>
    </row>
    <row r="553">
      <c r="A553" s="25"/>
      <c r="B553" s="25" t="str">
        <f>'Ingest Template'!C552&amp;IF('Ingest Template'!A552 = "Standard", " - DAR","")</f>
        <v/>
      </c>
      <c r="C553" s="34" t="s">
        <v>92</v>
      </c>
      <c r="D553" s="34" t="str">
        <f>CONCATENATE('Ingest Template'!E553&amp;Char(10)&amp;'Ingest Template'!G553&amp;Char(10)&amp;'Ingest Template'!H553&amp;Char(10)&amp;'Ingest Template'!I553&amp;Char(10)&amp;'Ingest Template'!J553&amp;Char(10)&amp;'Ingest Template'!K553&amp;Char(10)&amp;'Ingest Template'!L553)</f>
        <v>
</v>
      </c>
      <c r="E553" s="25" t="str">
        <f>('Ingest Template'!M553)</f>
        <v/>
      </c>
      <c r="F553" s="40" t="str">
        <f t="array" ref="F553">INDEX(DropDown!$J$2:$J$63,MATCH(1,COUNTIF(E553,DropDown!$I$2:$I$63),0))</f>
        <v>#N/A</v>
      </c>
      <c r="G553" s="25"/>
      <c r="H553" s="25"/>
      <c r="I553" s="25"/>
      <c r="J553" s="25" t="str">
        <f>'Ingest Template'!B553</f>
        <v/>
      </c>
      <c r="K553" s="25" t="str">
        <f>IF('Ingest Template'!A552="Standard",'Ingest Template'!N552,"Competitive View")</f>
        <v>Competitive View</v>
      </c>
      <c r="L553" s="41" t="s">
        <v>145</v>
      </c>
      <c r="M553" s="25" t="str">
        <f>'Ingest Template'!D552</f>
        <v/>
      </c>
      <c r="N553" s="25"/>
      <c r="O553" s="25"/>
      <c r="P553" s="25"/>
      <c r="Q553" s="25"/>
      <c r="R553" s="25" t="str">
        <f>CONCATENATE('Ingest Template'!F552)</f>
        <v/>
      </c>
      <c r="S553" s="43" t="s">
        <v>160</v>
      </c>
      <c r="T553" s="25" t="str">
        <f>'Ingest Template'!W552</f>
        <v/>
      </c>
      <c r="U553" s="25"/>
      <c r="V553" s="25" t="str">
        <f>LOWER(SUBSTITUTE(SUBSTITUTE(SUBSTITUTE(SUBSTITUTE(SUBSTITUTE('Ingest Template'!Y552,"https:",""),"www.",""),"/",""),"?hl=en",""),"instagram.com",""))</f>
        <v/>
      </c>
      <c r="W553" s="34" t="str">
        <f>(IFERROR(vlookup('Ingest Template'!F553,DropDown!D:E,2,false)&amp;'Ingest Template'!C553,""))</f>
        <v/>
      </c>
      <c r="X553" s="25" t="str">
        <f>'Ingest Template'!AA552</f>
        <v/>
      </c>
      <c r="Y553" s="25"/>
      <c r="Z553" s="25"/>
      <c r="AA553" s="25"/>
      <c r="AB553" s="25" t="str">
        <f>'Ingest Template'!T552</f>
        <v/>
      </c>
      <c r="AC553" s="25"/>
      <c r="AD553" s="25" t="str">
        <f>'Ingest Template'!U552</f>
        <v/>
      </c>
      <c r="AE553" s="25" t="str">
        <f>'Ingest Template'!V552</f>
        <v/>
      </c>
      <c r="AF553" s="25"/>
      <c r="AG553" s="25" t="str">
        <f t="array" ref="AG553">IF('Ingest Template'!A552="Standard",(CONCATENATE(IF(ISBLANK('Ingest Template'!O552),"", 'Ingest Template'!O552&amp;"|DAR"),CHAR(10), IF(ISBLANK('Ingest Template'!P552),"", 'Ingest Template'!P552&amp;"|DAR"),CHAR(10), IF(ISBLANK('Ingest Template'!Q552),"", 'Ingest Template'!Q552&amp;"|DAR"))),(CONCATENATE(IF(ISBLANK('Ingest Template'!O552),"", 'Ingest Template'!O552&amp;"|Operations - Core Title"),CHAR(10), IF(ISBLANK('Ingest Template'!P552),"", 'Ingest Template'!P552&amp;"|Operations - Core Title"),CHAR(10), IF(ISBLANK('Ingest Template'!Q552),"", 'Ingest Template'!Q552&amp;"|Operations - Core Title"))))</f>
        <v>#|Operations - Core Title
#videoGame|Operations - Core Title
</v>
      </c>
      <c r="AH553" s="25"/>
      <c r="AI553" s="25"/>
      <c r="AJ553" s="50" t="str">
        <f>if('Ingest Template'!A552="Standard",'Ingest Template'!R552&amp; "|DAR|DAR|2021-01-01",'Ingest Template'!R552&amp; "|Operations - Core Title|Operations - Core Title")</f>
        <v>#N/A</v>
      </c>
      <c r="AK553" s="25"/>
      <c r="AL553" s="25" t="str">
        <f>if('Ingest Template'!A552="Standard",'Ingest Template'!S552&amp; "|2021-01-01",'Ingest Template'!S552)</f>
        <v>#N/A</v>
      </c>
      <c r="AM553" s="25"/>
    </row>
    <row r="554">
      <c r="A554" s="25"/>
      <c r="B554" s="25" t="str">
        <f>'Ingest Template'!C553&amp;IF('Ingest Template'!A553 = "Standard", " - DAR","")</f>
        <v/>
      </c>
      <c r="C554" s="34" t="s">
        <v>92</v>
      </c>
      <c r="D554" s="34" t="str">
        <f>CONCATENATE('Ingest Template'!E554&amp;Char(10)&amp;'Ingest Template'!G554&amp;Char(10)&amp;'Ingest Template'!H554&amp;Char(10)&amp;'Ingest Template'!I554&amp;Char(10)&amp;'Ingest Template'!J554&amp;Char(10)&amp;'Ingest Template'!K554&amp;Char(10)&amp;'Ingest Template'!L554)</f>
        <v>
</v>
      </c>
      <c r="E554" s="25" t="str">
        <f>('Ingest Template'!M554)</f>
        <v/>
      </c>
      <c r="F554" s="40" t="str">
        <f t="array" ref="F554">INDEX(DropDown!$J$2:$J$63,MATCH(1,COUNTIF(E554,DropDown!$I$2:$I$63),0))</f>
        <v>#N/A</v>
      </c>
      <c r="G554" s="25"/>
      <c r="H554" s="25"/>
      <c r="I554" s="25"/>
      <c r="J554" s="25" t="str">
        <f>'Ingest Template'!B554</f>
        <v/>
      </c>
      <c r="K554" s="25" t="str">
        <f>IF('Ingest Template'!A553="Standard",'Ingest Template'!N553,"Competitive View")</f>
        <v>Competitive View</v>
      </c>
      <c r="L554" s="41" t="s">
        <v>145</v>
      </c>
      <c r="M554" s="25" t="str">
        <f>'Ingest Template'!D553</f>
        <v/>
      </c>
      <c r="N554" s="25"/>
      <c r="O554" s="25"/>
      <c r="P554" s="25"/>
      <c r="Q554" s="25"/>
      <c r="R554" s="25" t="str">
        <f>CONCATENATE('Ingest Template'!F553)</f>
        <v/>
      </c>
      <c r="S554" s="43" t="s">
        <v>160</v>
      </c>
      <c r="T554" s="25" t="str">
        <f>'Ingest Template'!W553</f>
        <v/>
      </c>
      <c r="U554" s="25"/>
      <c r="V554" s="25" t="str">
        <f>LOWER(SUBSTITUTE(SUBSTITUTE(SUBSTITUTE(SUBSTITUTE(SUBSTITUTE('Ingest Template'!Y553,"https:",""),"www.",""),"/",""),"?hl=en",""),"instagram.com",""))</f>
        <v/>
      </c>
      <c r="W554" s="34" t="str">
        <f>(IFERROR(vlookup('Ingest Template'!F554,DropDown!D:E,2,false)&amp;'Ingest Template'!C554,""))</f>
        <v/>
      </c>
      <c r="X554" s="25" t="str">
        <f>'Ingest Template'!AA553</f>
        <v/>
      </c>
      <c r="Y554" s="25"/>
      <c r="Z554" s="25"/>
      <c r="AA554" s="25"/>
      <c r="AB554" s="25" t="str">
        <f>'Ingest Template'!T553</f>
        <v/>
      </c>
      <c r="AC554" s="25"/>
      <c r="AD554" s="25" t="str">
        <f>'Ingest Template'!U553</f>
        <v/>
      </c>
      <c r="AE554" s="25" t="str">
        <f>'Ingest Template'!V553</f>
        <v/>
      </c>
      <c r="AF554" s="25"/>
      <c r="AG554" s="25" t="str">
        <f t="array" ref="AG554">IF('Ingest Template'!A553="Standard",(CONCATENATE(IF(ISBLANK('Ingest Template'!O553),"", 'Ingest Template'!O553&amp;"|DAR"),CHAR(10), IF(ISBLANK('Ingest Template'!P553),"", 'Ingest Template'!P553&amp;"|DAR"),CHAR(10), IF(ISBLANK('Ingest Template'!Q553),"", 'Ingest Template'!Q553&amp;"|DAR"))),(CONCATENATE(IF(ISBLANK('Ingest Template'!O553),"", 'Ingest Template'!O553&amp;"|Operations - Core Title"),CHAR(10), IF(ISBLANK('Ingest Template'!P553),"", 'Ingest Template'!P553&amp;"|Operations - Core Title"),CHAR(10), IF(ISBLANK('Ingest Template'!Q553),"", 'Ingest Template'!Q553&amp;"|Operations - Core Title"))))</f>
        <v>#|Operations - Core Title
#videoGame|Operations - Core Title
</v>
      </c>
      <c r="AH554" s="25"/>
      <c r="AI554" s="25"/>
      <c r="AJ554" s="50" t="str">
        <f>if('Ingest Template'!A553="Standard",'Ingest Template'!R553&amp; "|DAR|DAR|2021-01-01",'Ingest Template'!R553&amp; "|Operations - Core Title|Operations - Core Title")</f>
        <v>#N/A</v>
      </c>
      <c r="AK554" s="25"/>
      <c r="AL554" s="25" t="str">
        <f>if('Ingest Template'!A553="Standard",'Ingest Template'!S553&amp; "|2021-01-01",'Ingest Template'!S553)</f>
        <v>#N/A</v>
      </c>
      <c r="AM554" s="25"/>
    </row>
    <row r="555">
      <c r="A555" s="25"/>
      <c r="B555" s="25" t="str">
        <f>'Ingest Template'!C554&amp;IF('Ingest Template'!A554 = "Standard", " - DAR","")</f>
        <v/>
      </c>
      <c r="C555" s="34" t="s">
        <v>92</v>
      </c>
      <c r="D555" s="34" t="str">
        <f>CONCATENATE('Ingest Template'!E555&amp;Char(10)&amp;'Ingest Template'!G555&amp;Char(10)&amp;'Ingest Template'!H555&amp;Char(10)&amp;'Ingest Template'!I555&amp;Char(10)&amp;'Ingest Template'!J555&amp;Char(10)&amp;'Ingest Template'!K555&amp;Char(10)&amp;'Ingest Template'!L555)</f>
        <v>
</v>
      </c>
      <c r="E555" s="25" t="str">
        <f>('Ingest Template'!M555)</f>
        <v/>
      </c>
      <c r="F555" s="40" t="str">
        <f t="array" ref="F555">INDEX(DropDown!$J$2:$J$63,MATCH(1,COUNTIF(E555,DropDown!$I$2:$I$63),0))</f>
        <v>#N/A</v>
      </c>
      <c r="G555" s="25"/>
      <c r="H555" s="25"/>
      <c r="I555" s="25"/>
      <c r="J555" s="25" t="str">
        <f>'Ingest Template'!B555</f>
        <v/>
      </c>
      <c r="K555" s="25" t="str">
        <f>IF('Ingest Template'!A554="Standard",'Ingest Template'!N554,"Competitive View")</f>
        <v>Competitive View</v>
      </c>
      <c r="L555" s="41" t="s">
        <v>145</v>
      </c>
      <c r="M555" s="25" t="str">
        <f>'Ingest Template'!D554</f>
        <v/>
      </c>
      <c r="N555" s="25"/>
      <c r="O555" s="25"/>
      <c r="P555" s="25"/>
      <c r="Q555" s="25"/>
      <c r="R555" s="25" t="str">
        <f>CONCATENATE('Ingest Template'!F554)</f>
        <v/>
      </c>
      <c r="S555" s="43" t="s">
        <v>160</v>
      </c>
      <c r="T555" s="25" t="str">
        <f>'Ingest Template'!W554</f>
        <v/>
      </c>
      <c r="U555" s="25"/>
      <c r="V555" s="25" t="str">
        <f>LOWER(SUBSTITUTE(SUBSTITUTE(SUBSTITUTE(SUBSTITUTE(SUBSTITUTE('Ingest Template'!Y554,"https:",""),"www.",""),"/",""),"?hl=en",""),"instagram.com",""))</f>
        <v/>
      </c>
      <c r="W555" s="34" t="str">
        <f>(IFERROR(vlookup('Ingest Template'!F555,DropDown!D:E,2,false)&amp;'Ingest Template'!C555,""))</f>
        <v/>
      </c>
      <c r="X555" s="25" t="str">
        <f>'Ingest Template'!AA554</f>
        <v/>
      </c>
      <c r="Y555" s="25"/>
      <c r="Z555" s="25"/>
      <c r="AA555" s="25"/>
      <c r="AB555" s="25" t="str">
        <f>'Ingest Template'!T554</f>
        <v/>
      </c>
      <c r="AC555" s="25"/>
      <c r="AD555" s="25" t="str">
        <f>'Ingest Template'!U554</f>
        <v/>
      </c>
      <c r="AE555" s="25" t="str">
        <f>'Ingest Template'!V554</f>
        <v/>
      </c>
      <c r="AF555" s="25"/>
      <c r="AG555" s="25" t="str">
        <f t="array" ref="AG555">IF('Ingest Template'!A554="Standard",(CONCATENATE(IF(ISBLANK('Ingest Template'!O554),"", 'Ingest Template'!O554&amp;"|DAR"),CHAR(10), IF(ISBLANK('Ingest Template'!P554),"", 'Ingest Template'!P554&amp;"|DAR"),CHAR(10), IF(ISBLANK('Ingest Template'!Q554),"", 'Ingest Template'!Q554&amp;"|DAR"))),(CONCATENATE(IF(ISBLANK('Ingest Template'!O554),"", 'Ingest Template'!O554&amp;"|Operations - Core Title"),CHAR(10), IF(ISBLANK('Ingest Template'!P554),"", 'Ingest Template'!P554&amp;"|Operations - Core Title"),CHAR(10), IF(ISBLANK('Ingest Template'!Q554),"", 'Ingest Template'!Q554&amp;"|Operations - Core Title"))))</f>
        <v>#|Operations - Core Title
#videoGame|Operations - Core Title
</v>
      </c>
      <c r="AH555" s="25"/>
      <c r="AI555" s="25"/>
      <c r="AJ555" s="50" t="str">
        <f>if('Ingest Template'!A554="Standard",'Ingest Template'!R554&amp; "|DAR|DAR|2021-01-01",'Ingest Template'!R554&amp; "|Operations - Core Title|Operations - Core Title")</f>
        <v>#N/A</v>
      </c>
      <c r="AK555" s="25"/>
      <c r="AL555" s="25" t="str">
        <f>if('Ingest Template'!A554="Standard",'Ingest Template'!S554&amp; "|2021-01-01",'Ingest Template'!S554)</f>
        <v>#N/A</v>
      </c>
      <c r="AM555" s="25"/>
    </row>
    <row r="556">
      <c r="A556" s="25"/>
      <c r="B556" s="25" t="str">
        <f>'Ingest Template'!C555&amp;IF('Ingest Template'!A555 = "Standard", " - DAR","")</f>
        <v/>
      </c>
      <c r="C556" s="34" t="s">
        <v>92</v>
      </c>
      <c r="D556" s="34" t="str">
        <f>CONCATENATE('Ingest Template'!E556&amp;Char(10)&amp;'Ingest Template'!G556&amp;Char(10)&amp;'Ingest Template'!H556&amp;Char(10)&amp;'Ingest Template'!I556&amp;Char(10)&amp;'Ingest Template'!J556&amp;Char(10)&amp;'Ingest Template'!K556&amp;Char(10)&amp;'Ingest Template'!L556)</f>
        <v>
</v>
      </c>
      <c r="E556" s="25" t="str">
        <f>('Ingest Template'!M556)</f>
        <v/>
      </c>
      <c r="F556" s="40" t="str">
        <f t="array" ref="F556">INDEX(DropDown!$J$2:$J$63,MATCH(1,COUNTIF(E556,DropDown!$I$2:$I$63),0))</f>
        <v>#N/A</v>
      </c>
      <c r="G556" s="25"/>
      <c r="H556" s="25"/>
      <c r="I556" s="25"/>
      <c r="J556" s="25" t="str">
        <f>'Ingest Template'!B556</f>
        <v/>
      </c>
      <c r="K556" s="25" t="str">
        <f>IF('Ingest Template'!A555="Standard",'Ingest Template'!N555,"Competitive View")</f>
        <v>Competitive View</v>
      </c>
      <c r="L556" s="41" t="s">
        <v>145</v>
      </c>
      <c r="M556" s="25" t="str">
        <f>'Ingest Template'!D555</f>
        <v/>
      </c>
      <c r="N556" s="25"/>
      <c r="O556" s="25"/>
      <c r="P556" s="25"/>
      <c r="Q556" s="25"/>
      <c r="R556" s="25" t="str">
        <f>CONCATENATE('Ingest Template'!F555)</f>
        <v/>
      </c>
      <c r="S556" s="43" t="s">
        <v>160</v>
      </c>
      <c r="T556" s="25" t="str">
        <f>'Ingest Template'!W555</f>
        <v/>
      </c>
      <c r="U556" s="25"/>
      <c r="V556" s="25" t="str">
        <f>LOWER(SUBSTITUTE(SUBSTITUTE(SUBSTITUTE(SUBSTITUTE(SUBSTITUTE('Ingest Template'!Y555,"https:",""),"www.",""),"/",""),"?hl=en",""),"instagram.com",""))</f>
        <v/>
      </c>
      <c r="W556" s="34" t="str">
        <f>(IFERROR(vlookup('Ingest Template'!F556,DropDown!D:E,2,false)&amp;'Ingest Template'!C556,""))</f>
        <v/>
      </c>
      <c r="X556" s="25" t="str">
        <f>'Ingest Template'!AA555</f>
        <v/>
      </c>
      <c r="Y556" s="25"/>
      <c r="Z556" s="25"/>
      <c r="AA556" s="25"/>
      <c r="AB556" s="25" t="str">
        <f>'Ingest Template'!T555</f>
        <v/>
      </c>
      <c r="AC556" s="25"/>
      <c r="AD556" s="25" t="str">
        <f>'Ingest Template'!U555</f>
        <v/>
      </c>
      <c r="AE556" s="25" t="str">
        <f>'Ingest Template'!V555</f>
        <v/>
      </c>
      <c r="AF556" s="25"/>
      <c r="AG556" s="25" t="str">
        <f t="array" ref="AG556">IF('Ingest Template'!A555="Standard",(CONCATENATE(IF(ISBLANK('Ingest Template'!O555),"", 'Ingest Template'!O555&amp;"|DAR"),CHAR(10), IF(ISBLANK('Ingest Template'!P555),"", 'Ingest Template'!P555&amp;"|DAR"),CHAR(10), IF(ISBLANK('Ingest Template'!Q555),"", 'Ingest Template'!Q555&amp;"|DAR"))),(CONCATENATE(IF(ISBLANK('Ingest Template'!O555),"", 'Ingest Template'!O555&amp;"|Operations - Core Title"),CHAR(10), IF(ISBLANK('Ingest Template'!P555),"", 'Ingest Template'!P555&amp;"|Operations - Core Title"),CHAR(10), IF(ISBLANK('Ingest Template'!Q555),"", 'Ingest Template'!Q555&amp;"|Operations - Core Title"))))</f>
        <v>#|Operations - Core Title
#videoGame|Operations - Core Title
</v>
      </c>
      <c r="AH556" s="25"/>
      <c r="AI556" s="25"/>
      <c r="AJ556" s="50" t="str">
        <f>if('Ingest Template'!A555="Standard",'Ingest Template'!R555&amp; "|DAR|DAR|2021-01-01",'Ingest Template'!R555&amp; "|Operations - Core Title|Operations - Core Title")</f>
        <v>#N/A</v>
      </c>
      <c r="AK556" s="25"/>
      <c r="AL556" s="25" t="str">
        <f>if('Ingest Template'!A555="Standard",'Ingest Template'!S555&amp; "|2021-01-01",'Ingest Template'!S555)</f>
        <v>#N/A</v>
      </c>
      <c r="AM556" s="25"/>
    </row>
    <row r="557">
      <c r="A557" s="25"/>
      <c r="B557" s="25" t="str">
        <f>'Ingest Template'!C556&amp;IF('Ingest Template'!A556 = "Standard", " - DAR","")</f>
        <v/>
      </c>
      <c r="C557" s="34" t="s">
        <v>92</v>
      </c>
      <c r="D557" s="34" t="str">
        <f>CONCATENATE('Ingest Template'!E557&amp;Char(10)&amp;'Ingest Template'!G557&amp;Char(10)&amp;'Ingest Template'!H557&amp;Char(10)&amp;'Ingest Template'!I557&amp;Char(10)&amp;'Ingest Template'!J557&amp;Char(10)&amp;'Ingest Template'!K557&amp;Char(10)&amp;'Ingest Template'!L557)</f>
        <v>
</v>
      </c>
      <c r="E557" s="25" t="str">
        <f>('Ingest Template'!M557)</f>
        <v/>
      </c>
      <c r="F557" s="40" t="str">
        <f t="array" ref="F557">INDEX(DropDown!$J$2:$J$63,MATCH(1,COUNTIF(E557,DropDown!$I$2:$I$63),0))</f>
        <v>#N/A</v>
      </c>
      <c r="G557" s="25"/>
      <c r="H557" s="25"/>
      <c r="I557" s="25"/>
      <c r="J557" s="25" t="str">
        <f>'Ingest Template'!B557</f>
        <v/>
      </c>
      <c r="K557" s="25" t="str">
        <f>IF('Ingest Template'!A556="Standard",'Ingest Template'!N556,"Competitive View")</f>
        <v>Competitive View</v>
      </c>
      <c r="L557" s="41" t="s">
        <v>145</v>
      </c>
      <c r="M557" s="25" t="str">
        <f>'Ingest Template'!D556</f>
        <v/>
      </c>
      <c r="N557" s="25"/>
      <c r="O557" s="25"/>
      <c r="P557" s="25"/>
      <c r="Q557" s="25"/>
      <c r="R557" s="25" t="str">
        <f>CONCATENATE('Ingest Template'!F556)</f>
        <v/>
      </c>
      <c r="S557" s="43" t="s">
        <v>160</v>
      </c>
      <c r="T557" s="25" t="str">
        <f>'Ingest Template'!W556</f>
        <v/>
      </c>
      <c r="U557" s="25"/>
      <c r="V557" s="25" t="str">
        <f>LOWER(SUBSTITUTE(SUBSTITUTE(SUBSTITUTE(SUBSTITUTE(SUBSTITUTE('Ingest Template'!Y556,"https:",""),"www.",""),"/",""),"?hl=en",""),"instagram.com",""))</f>
        <v/>
      </c>
      <c r="W557" s="34" t="str">
        <f>(IFERROR(vlookup('Ingest Template'!F557,DropDown!D:E,2,false)&amp;'Ingest Template'!C557,""))</f>
        <v/>
      </c>
      <c r="X557" s="25" t="str">
        <f>'Ingest Template'!AA556</f>
        <v/>
      </c>
      <c r="Y557" s="25"/>
      <c r="Z557" s="25"/>
      <c r="AA557" s="25"/>
      <c r="AB557" s="25" t="str">
        <f>'Ingest Template'!T556</f>
        <v/>
      </c>
      <c r="AC557" s="25"/>
      <c r="AD557" s="25" t="str">
        <f>'Ingest Template'!U556</f>
        <v/>
      </c>
      <c r="AE557" s="25" t="str">
        <f>'Ingest Template'!V556</f>
        <v/>
      </c>
      <c r="AF557" s="25"/>
      <c r="AG557" s="25" t="str">
        <f t="array" ref="AG557">IF('Ingest Template'!A556="Standard",(CONCATENATE(IF(ISBLANK('Ingest Template'!O556),"", 'Ingest Template'!O556&amp;"|DAR"),CHAR(10), IF(ISBLANK('Ingest Template'!P556),"", 'Ingest Template'!P556&amp;"|DAR"),CHAR(10), IF(ISBLANK('Ingest Template'!Q556),"", 'Ingest Template'!Q556&amp;"|DAR"))),(CONCATENATE(IF(ISBLANK('Ingest Template'!O556),"", 'Ingest Template'!O556&amp;"|Operations - Core Title"),CHAR(10), IF(ISBLANK('Ingest Template'!P556),"", 'Ingest Template'!P556&amp;"|Operations - Core Title"),CHAR(10), IF(ISBLANK('Ingest Template'!Q556),"", 'Ingest Template'!Q556&amp;"|Operations - Core Title"))))</f>
        <v>#|Operations - Core Title
#videoGame|Operations - Core Title
</v>
      </c>
      <c r="AH557" s="25"/>
      <c r="AI557" s="25"/>
      <c r="AJ557" s="50" t="str">
        <f>if('Ingest Template'!A556="Standard",'Ingest Template'!R556&amp; "|DAR|DAR|2021-01-01",'Ingest Template'!R556&amp; "|Operations - Core Title|Operations - Core Title")</f>
        <v>#N/A</v>
      </c>
      <c r="AK557" s="25"/>
      <c r="AL557" s="25" t="str">
        <f>if('Ingest Template'!A556="Standard",'Ingest Template'!S556&amp; "|2021-01-01",'Ingest Template'!S556)</f>
        <v>#N/A</v>
      </c>
      <c r="AM557" s="25"/>
    </row>
    <row r="558">
      <c r="A558" s="25"/>
      <c r="B558" s="25" t="str">
        <f>'Ingest Template'!C557&amp;IF('Ingest Template'!A557 = "Standard", " - DAR","")</f>
        <v/>
      </c>
      <c r="C558" s="34" t="s">
        <v>92</v>
      </c>
      <c r="D558" s="34" t="str">
        <f>CONCATENATE('Ingest Template'!E558&amp;Char(10)&amp;'Ingest Template'!G558&amp;Char(10)&amp;'Ingest Template'!H558&amp;Char(10)&amp;'Ingest Template'!I558&amp;Char(10)&amp;'Ingest Template'!J558&amp;Char(10)&amp;'Ingest Template'!K558&amp;Char(10)&amp;'Ingest Template'!L558)</f>
        <v>
</v>
      </c>
      <c r="E558" s="25" t="str">
        <f>('Ingest Template'!M558)</f>
        <v/>
      </c>
      <c r="F558" s="40" t="str">
        <f t="array" ref="F558">INDEX(DropDown!$J$2:$J$63,MATCH(1,COUNTIF(E558,DropDown!$I$2:$I$63),0))</f>
        <v>#N/A</v>
      </c>
      <c r="G558" s="25"/>
      <c r="H558" s="25"/>
      <c r="I558" s="25"/>
      <c r="J558" s="25" t="str">
        <f>'Ingest Template'!B558</f>
        <v/>
      </c>
      <c r="K558" s="25" t="str">
        <f>IF('Ingest Template'!A557="Standard",'Ingest Template'!N557,"Competitive View")</f>
        <v>Competitive View</v>
      </c>
      <c r="L558" s="41" t="s">
        <v>145</v>
      </c>
      <c r="M558" s="25" t="str">
        <f>'Ingest Template'!D557</f>
        <v/>
      </c>
      <c r="N558" s="25"/>
      <c r="O558" s="25"/>
      <c r="P558" s="25"/>
      <c r="Q558" s="25"/>
      <c r="R558" s="25" t="str">
        <f>CONCATENATE('Ingest Template'!F557)</f>
        <v/>
      </c>
      <c r="S558" s="43" t="s">
        <v>160</v>
      </c>
      <c r="T558" s="25" t="str">
        <f>'Ingest Template'!W557</f>
        <v/>
      </c>
      <c r="U558" s="25"/>
      <c r="V558" s="25" t="str">
        <f>LOWER(SUBSTITUTE(SUBSTITUTE(SUBSTITUTE(SUBSTITUTE(SUBSTITUTE('Ingest Template'!Y557,"https:",""),"www.",""),"/",""),"?hl=en",""),"instagram.com",""))</f>
        <v/>
      </c>
      <c r="W558" s="34" t="str">
        <f>(IFERROR(vlookup('Ingest Template'!F558,DropDown!D:E,2,false)&amp;'Ingest Template'!C558,""))</f>
        <v/>
      </c>
      <c r="X558" s="25" t="str">
        <f>'Ingest Template'!AA557</f>
        <v/>
      </c>
      <c r="Y558" s="25"/>
      <c r="Z558" s="25"/>
      <c r="AA558" s="25"/>
      <c r="AB558" s="25" t="str">
        <f>'Ingest Template'!T557</f>
        <v/>
      </c>
      <c r="AC558" s="25"/>
      <c r="AD558" s="25" t="str">
        <f>'Ingest Template'!U557</f>
        <v/>
      </c>
      <c r="AE558" s="25" t="str">
        <f>'Ingest Template'!V557</f>
        <v/>
      </c>
      <c r="AF558" s="25"/>
      <c r="AG558" s="25" t="str">
        <f t="array" ref="AG558">IF('Ingest Template'!A557="Standard",(CONCATENATE(IF(ISBLANK('Ingest Template'!O557),"", 'Ingest Template'!O557&amp;"|DAR"),CHAR(10), IF(ISBLANK('Ingest Template'!P557),"", 'Ingest Template'!P557&amp;"|DAR"),CHAR(10), IF(ISBLANK('Ingest Template'!Q557),"", 'Ingest Template'!Q557&amp;"|DAR"))),(CONCATENATE(IF(ISBLANK('Ingest Template'!O557),"", 'Ingest Template'!O557&amp;"|Operations - Core Title"),CHAR(10), IF(ISBLANK('Ingest Template'!P557),"", 'Ingest Template'!P557&amp;"|Operations - Core Title"),CHAR(10), IF(ISBLANK('Ingest Template'!Q557),"", 'Ingest Template'!Q557&amp;"|Operations - Core Title"))))</f>
        <v>#|Operations - Core Title
#videoGame|Operations - Core Title
</v>
      </c>
      <c r="AH558" s="25"/>
      <c r="AI558" s="25"/>
      <c r="AJ558" s="50" t="str">
        <f>if('Ingest Template'!A557="Standard",'Ingest Template'!R557&amp; "|DAR|DAR|2021-01-01",'Ingest Template'!R557&amp; "|Operations - Core Title|Operations - Core Title")</f>
        <v>#N/A</v>
      </c>
      <c r="AK558" s="25"/>
      <c r="AL558" s="25" t="str">
        <f>if('Ingest Template'!A557="Standard",'Ingest Template'!S557&amp; "|2021-01-01",'Ingest Template'!S557)</f>
        <v>#N/A</v>
      </c>
      <c r="AM558" s="25"/>
    </row>
    <row r="559">
      <c r="A559" s="25"/>
      <c r="B559" s="25" t="str">
        <f>'Ingest Template'!C558&amp;IF('Ingest Template'!A558 = "Standard", " - DAR","")</f>
        <v/>
      </c>
      <c r="C559" s="34" t="s">
        <v>92</v>
      </c>
      <c r="D559" s="34" t="str">
        <f>CONCATENATE('Ingest Template'!E559&amp;Char(10)&amp;'Ingest Template'!G559&amp;Char(10)&amp;'Ingest Template'!H559&amp;Char(10)&amp;'Ingest Template'!I559&amp;Char(10)&amp;'Ingest Template'!J559&amp;Char(10)&amp;'Ingest Template'!K559&amp;Char(10)&amp;'Ingest Template'!L559)</f>
        <v>
</v>
      </c>
      <c r="E559" s="25" t="str">
        <f>('Ingest Template'!M559)</f>
        <v/>
      </c>
      <c r="F559" s="40" t="str">
        <f t="array" ref="F559">INDEX(DropDown!$J$2:$J$63,MATCH(1,COUNTIF(E559,DropDown!$I$2:$I$63),0))</f>
        <v>#N/A</v>
      </c>
      <c r="G559" s="25"/>
      <c r="H559" s="25"/>
      <c r="I559" s="25"/>
      <c r="J559" s="25" t="str">
        <f>'Ingest Template'!B559</f>
        <v/>
      </c>
      <c r="K559" s="25" t="str">
        <f>IF('Ingest Template'!A558="Standard",'Ingest Template'!N558,"Competitive View")</f>
        <v>Competitive View</v>
      </c>
      <c r="L559" s="41" t="s">
        <v>145</v>
      </c>
      <c r="M559" s="25" t="str">
        <f>'Ingest Template'!D558</f>
        <v/>
      </c>
      <c r="N559" s="25"/>
      <c r="O559" s="25"/>
      <c r="P559" s="25"/>
      <c r="Q559" s="25"/>
      <c r="R559" s="25" t="str">
        <f>CONCATENATE('Ingest Template'!F558)</f>
        <v/>
      </c>
      <c r="S559" s="43" t="s">
        <v>160</v>
      </c>
      <c r="T559" s="25" t="str">
        <f>'Ingest Template'!W558</f>
        <v/>
      </c>
      <c r="U559" s="25"/>
      <c r="V559" s="25" t="str">
        <f>LOWER(SUBSTITUTE(SUBSTITUTE(SUBSTITUTE(SUBSTITUTE(SUBSTITUTE('Ingest Template'!Y558,"https:",""),"www.",""),"/",""),"?hl=en",""),"instagram.com",""))</f>
        <v/>
      </c>
      <c r="W559" s="34" t="str">
        <f>(IFERROR(vlookup('Ingest Template'!F559,DropDown!D:E,2,false)&amp;'Ingest Template'!C559,""))</f>
        <v/>
      </c>
      <c r="X559" s="25" t="str">
        <f>'Ingest Template'!AA558</f>
        <v/>
      </c>
      <c r="Y559" s="25"/>
      <c r="Z559" s="25"/>
      <c r="AA559" s="25"/>
      <c r="AB559" s="25" t="str">
        <f>'Ingest Template'!T558</f>
        <v/>
      </c>
      <c r="AC559" s="25"/>
      <c r="AD559" s="25" t="str">
        <f>'Ingest Template'!U558</f>
        <v/>
      </c>
      <c r="AE559" s="25" t="str">
        <f>'Ingest Template'!V558</f>
        <v/>
      </c>
      <c r="AF559" s="25"/>
      <c r="AG559" s="25" t="str">
        <f t="array" ref="AG559">IF('Ingest Template'!A558="Standard",(CONCATENATE(IF(ISBLANK('Ingest Template'!O558),"", 'Ingest Template'!O558&amp;"|DAR"),CHAR(10), IF(ISBLANK('Ingest Template'!P558),"", 'Ingest Template'!P558&amp;"|DAR"),CHAR(10), IF(ISBLANK('Ingest Template'!Q558),"", 'Ingest Template'!Q558&amp;"|DAR"))),(CONCATENATE(IF(ISBLANK('Ingest Template'!O558),"", 'Ingest Template'!O558&amp;"|Operations - Core Title"),CHAR(10), IF(ISBLANK('Ingest Template'!P558),"", 'Ingest Template'!P558&amp;"|Operations - Core Title"),CHAR(10), IF(ISBLANK('Ingest Template'!Q558),"", 'Ingest Template'!Q558&amp;"|Operations - Core Title"))))</f>
        <v>#|Operations - Core Title
#videoGame|Operations - Core Title
</v>
      </c>
      <c r="AH559" s="25"/>
      <c r="AI559" s="25"/>
      <c r="AJ559" s="50" t="str">
        <f>if('Ingest Template'!A558="Standard",'Ingest Template'!R558&amp; "|DAR|DAR|2021-01-01",'Ingest Template'!R558&amp; "|Operations - Core Title|Operations - Core Title")</f>
        <v>#N/A</v>
      </c>
      <c r="AK559" s="25"/>
      <c r="AL559" s="25" t="str">
        <f>if('Ingest Template'!A558="Standard",'Ingest Template'!S558&amp; "|2021-01-01",'Ingest Template'!S558)</f>
        <v>#N/A</v>
      </c>
      <c r="AM559" s="25"/>
    </row>
    <row r="560">
      <c r="A560" s="25"/>
      <c r="B560" s="25" t="str">
        <f>'Ingest Template'!C559&amp;IF('Ingest Template'!A559 = "Standard", " - DAR","")</f>
        <v/>
      </c>
      <c r="C560" s="34" t="s">
        <v>92</v>
      </c>
      <c r="D560" s="34" t="str">
        <f>CONCATENATE('Ingest Template'!E560&amp;Char(10)&amp;'Ingest Template'!G560&amp;Char(10)&amp;'Ingest Template'!H560&amp;Char(10)&amp;'Ingest Template'!I560&amp;Char(10)&amp;'Ingest Template'!J560&amp;Char(10)&amp;'Ingest Template'!K560&amp;Char(10)&amp;'Ingest Template'!L560)</f>
        <v>
</v>
      </c>
      <c r="E560" s="25" t="str">
        <f>('Ingest Template'!M560)</f>
        <v/>
      </c>
      <c r="F560" s="40" t="str">
        <f t="array" ref="F560">INDEX(DropDown!$J$2:$J$63,MATCH(1,COUNTIF(E560,DropDown!$I$2:$I$63),0))</f>
        <v>#N/A</v>
      </c>
      <c r="G560" s="25"/>
      <c r="H560" s="25"/>
      <c r="I560" s="25"/>
      <c r="J560" s="25" t="str">
        <f>'Ingest Template'!B560</f>
        <v/>
      </c>
      <c r="K560" s="25" t="str">
        <f>IF('Ingest Template'!A559="Standard",'Ingest Template'!N559,"Competitive View")</f>
        <v>Competitive View</v>
      </c>
      <c r="L560" s="41" t="s">
        <v>145</v>
      </c>
      <c r="M560" s="25" t="str">
        <f>'Ingest Template'!D559</f>
        <v/>
      </c>
      <c r="N560" s="25"/>
      <c r="O560" s="25"/>
      <c r="P560" s="25"/>
      <c r="Q560" s="25"/>
      <c r="R560" s="25" t="str">
        <f>CONCATENATE('Ingest Template'!F559)</f>
        <v/>
      </c>
      <c r="S560" s="43" t="s">
        <v>160</v>
      </c>
      <c r="T560" s="25" t="str">
        <f>'Ingest Template'!W559</f>
        <v/>
      </c>
      <c r="U560" s="25"/>
      <c r="V560" s="25" t="str">
        <f>LOWER(SUBSTITUTE(SUBSTITUTE(SUBSTITUTE(SUBSTITUTE(SUBSTITUTE('Ingest Template'!Y559,"https:",""),"www.",""),"/",""),"?hl=en",""),"instagram.com",""))</f>
        <v/>
      </c>
      <c r="W560" s="34" t="str">
        <f>(IFERROR(vlookup('Ingest Template'!F560,DropDown!D:E,2,false)&amp;'Ingest Template'!C560,""))</f>
        <v/>
      </c>
      <c r="X560" s="25" t="str">
        <f>'Ingest Template'!AA559</f>
        <v/>
      </c>
      <c r="Y560" s="25"/>
      <c r="Z560" s="25"/>
      <c r="AA560" s="25"/>
      <c r="AB560" s="25" t="str">
        <f>'Ingest Template'!T559</f>
        <v/>
      </c>
      <c r="AC560" s="25"/>
      <c r="AD560" s="25" t="str">
        <f>'Ingest Template'!U559</f>
        <v/>
      </c>
      <c r="AE560" s="25" t="str">
        <f>'Ingest Template'!V559</f>
        <v/>
      </c>
      <c r="AF560" s="25"/>
      <c r="AG560" s="25" t="str">
        <f t="array" ref="AG560">IF('Ingest Template'!A559="Standard",(CONCATENATE(IF(ISBLANK('Ingest Template'!O559),"", 'Ingest Template'!O559&amp;"|DAR"),CHAR(10), IF(ISBLANK('Ingest Template'!P559),"", 'Ingest Template'!P559&amp;"|DAR"),CHAR(10), IF(ISBLANK('Ingest Template'!Q559),"", 'Ingest Template'!Q559&amp;"|DAR"))),(CONCATENATE(IF(ISBLANK('Ingest Template'!O559),"", 'Ingest Template'!O559&amp;"|Operations - Core Title"),CHAR(10), IF(ISBLANK('Ingest Template'!P559),"", 'Ingest Template'!P559&amp;"|Operations - Core Title"),CHAR(10), IF(ISBLANK('Ingest Template'!Q559),"", 'Ingest Template'!Q559&amp;"|Operations - Core Title"))))</f>
        <v>#|Operations - Core Title
#videoGame|Operations - Core Title
</v>
      </c>
      <c r="AH560" s="25"/>
      <c r="AI560" s="25"/>
      <c r="AJ560" s="50" t="str">
        <f>if('Ingest Template'!A559="Standard",'Ingest Template'!R559&amp; "|DAR|DAR|2021-01-01",'Ingest Template'!R559&amp; "|Operations - Core Title|Operations - Core Title")</f>
        <v>#N/A</v>
      </c>
      <c r="AK560" s="25"/>
      <c r="AL560" s="25" t="str">
        <f>if('Ingest Template'!A559="Standard",'Ingest Template'!S559&amp; "|2021-01-01",'Ingest Template'!S559)</f>
        <v>#N/A</v>
      </c>
      <c r="AM560" s="25"/>
    </row>
    <row r="561">
      <c r="A561" s="25"/>
      <c r="B561" s="25" t="str">
        <f>'Ingest Template'!C560&amp;IF('Ingest Template'!A560 = "Standard", " - DAR","")</f>
        <v/>
      </c>
      <c r="C561" s="34" t="s">
        <v>92</v>
      </c>
      <c r="D561" s="34" t="str">
        <f>CONCATENATE('Ingest Template'!E561&amp;Char(10)&amp;'Ingest Template'!G561&amp;Char(10)&amp;'Ingest Template'!H561&amp;Char(10)&amp;'Ingest Template'!I561&amp;Char(10)&amp;'Ingest Template'!J561&amp;Char(10)&amp;'Ingest Template'!K561&amp;Char(10)&amp;'Ingest Template'!L561)</f>
        <v>
</v>
      </c>
      <c r="E561" s="25" t="str">
        <f>('Ingest Template'!M561)</f>
        <v/>
      </c>
      <c r="F561" s="40" t="str">
        <f t="array" ref="F561">INDEX(DropDown!$J$2:$J$63,MATCH(1,COUNTIF(E561,DropDown!$I$2:$I$63),0))</f>
        <v>#N/A</v>
      </c>
      <c r="G561" s="25"/>
      <c r="H561" s="25"/>
      <c r="I561" s="25"/>
      <c r="J561" s="25" t="str">
        <f>'Ingest Template'!B561</f>
        <v/>
      </c>
      <c r="K561" s="25" t="str">
        <f>IF('Ingest Template'!A560="Standard",'Ingest Template'!N560,"Competitive View")</f>
        <v>Competitive View</v>
      </c>
      <c r="L561" s="41" t="s">
        <v>145</v>
      </c>
      <c r="M561" s="25" t="str">
        <f>'Ingest Template'!D560</f>
        <v/>
      </c>
      <c r="N561" s="25"/>
      <c r="O561" s="25"/>
      <c r="P561" s="25"/>
      <c r="Q561" s="25"/>
      <c r="R561" s="25" t="str">
        <f>CONCATENATE('Ingest Template'!F560)</f>
        <v/>
      </c>
      <c r="S561" s="43" t="s">
        <v>160</v>
      </c>
      <c r="T561" s="25" t="str">
        <f>'Ingest Template'!W560</f>
        <v/>
      </c>
      <c r="U561" s="25"/>
      <c r="V561" s="25" t="str">
        <f>LOWER(SUBSTITUTE(SUBSTITUTE(SUBSTITUTE(SUBSTITUTE(SUBSTITUTE('Ingest Template'!Y560,"https:",""),"www.",""),"/",""),"?hl=en",""),"instagram.com",""))</f>
        <v/>
      </c>
      <c r="W561" s="34" t="str">
        <f>(IFERROR(vlookup('Ingest Template'!F561,DropDown!D:E,2,false)&amp;'Ingest Template'!C561,""))</f>
        <v/>
      </c>
      <c r="X561" s="25" t="str">
        <f>'Ingest Template'!AA560</f>
        <v/>
      </c>
      <c r="Y561" s="25"/>
      <c r="Z561" s="25"/>
      <c r="AA561" s="25"/>
      <c r="AB561" s="25" t="str">
        <f>'Ingest Template'!T560</f>
        <v/>
      </c>
      <c r="AC561" s="25"/>
      <c r="AD561" s="25" t="str">
        <f>'Ingest Template'!U560</f>
        <v/>
      </c>
      <c r="AE561" s="25" t="str">
        <f>'Ingest Template'!V560</f>
        <v/>
      </c>
      <c r="AF561" s="25"/>
      <c r="AG561" s="25" t="str">
        <f t="array" ref="AG561">IF('Ingest Template'!A560="Standard",(CONCATENATE(IF(ISBLANK('Ingest Template'!O560),"", 'Ingest Template'!O560&amp;"|DAR"),CHAR(10), IF(ISBLANK('Ingest Template'!P560),"", 'Ingest Template'!P560&amp;"|DAR"),CHAR(10), IF(ISBLANK('Ingest Template'!Q560),"", 'Ingest Template'!Q560&amp;"|DAR"))),(CONCATENATE(IF(ISBLANK('Ingest Template'!O560),"", 'Ingest Template'!O560&amp;"|Operations - Core Title"),CHAR(10), IF(ISBLANK('Ingest Template'!P560),"", 'Ingest Template'!P560&amp;"|Operations - Core Title"),CHAR(10), IF(ISBLANK('Ingest Template'!Q560),"", 'Ingest Template'!Q560&amp;"|Operations - Core Title"))))</f>
        <v>#|Operations - Core Title
#videoGame|Operations - Core Title
</v>
      </c>
      <c r="AH561" s="25"/>
      <c r="AI561" s="25"/>
      <c r="AJ561" s="50" t="str">
        <f>if('Ingest Template'!A560="Standard",'Ingest Template'!R560&amp; "|DAR|DAR|2021-01-01",'Ingest Template'!R560&amp; "|Operations - Core Title|Operations - Core Title")</f>
        <v>#N/A</v>
      </c>
      <c r="AK561" s="25"/>
      <c r="AL561" s="25" t="str">
        <f>if('Ingest Template'!A560="Standard",'Ingest Template'!S560&amp; "|2021-01-01",'Ingest Template'!S560)</f>
        <v>#N/A</v>
      </c>
      <c r="AM561" s="25"/>
    </row>
    <row r="562">
      <c r="A562" s="25"/>
      <c r="B562" s="25" t="str">
        <f>'Ingest Template'!C561&amp;IF('Ingest Template'!A561 = "Standard", " - DAR","")</f>
        <v/>
      </c>
      <c r="C562" s="34" t="s">
        <v>92</v>
      </c>
      <c r="D562" s="34" t="str">
        <f>CONCATENATE('Ingest Template'!E562&amp;Char(10)&amp;'Ingest Template'!G562&amp;Char(10)&amp;'Ingest Template'!H562&amp;Char(10)&amp;'Ingest Template'!I562&amp;Char(10)&amp;'Ingest Template'!J562&amp;Char(10)&amp;'Ingest Template'!K562&amp;Char(10)&amp;'Ingest Template'!L562)</f>
        <v>
</v>
      </c>
      <c r="E562" s="25" t="str">
        <f>('Ingest Template'!M562)</f>
        <v/>
      </c>
      <c r="F562" s="40" t="str">
        <f t="array" ref="F562">INDEX(DropDown!$J$2:$J$63,MATCH(1,COUNTIF(E562,DropDown!$I$2:$I$63),0))</f>
        <v>#N/A</v>
      </c>
      <c r="G562" s="25"/>
      <c r="H562" s="25"/>
      <c r="I562" s="25"/>
      <c r="J562" s="25" t="str">
        <f>'Ingest Template'!B562</f>
        <v/>
      </c>
      <c r="K562" s="25" t="str">
        <f>IF('Ingest Template'!A561="Standard",'Ingest Template'!N561,"Competitive View")</f>
        <v>Competitive View</v>
      </c>
      <c r="L562" s="41" t="s">
        <v>145</v>
      </c>
      <c r="M562" s="25" t="str">
        <f>'Ingest Template'!D561</f>
        <v/>
      </c>
      <c r="N562" s="25"/>
      <c r="O562" s="25"/>
      <c r="P562" s="25"/>
      <c r="Q562" s="25"/>
      <c r="R562" s="25" t="str">
        <f>CONCATENATE('Ingest Template'!F561)</f>
        <v/>
      </c>
      <c r="S562" s="43" t="s">
        <v>160</v>
      </c>
      <c r="T562" s="25" t="str">
        <f>'Ingest Template'!W561</f>
        <v/>
      </c>
      <c r="U562" s="25"/>
      <c r="V562" s="25" t="str">
        <f>LOWER(SUBSTITUTE(SUBSTITUTE(SUBSTITUTE(SUBSTITUTE(SUBSTITUTE('Ingest Template'!Y561,"https:",""),"www.",""),"/",""),"?hl=en",""),"instagram.com",""))</f>
        <v/>
      </c>
      <c r="W562" s="34" t="str">
        <f>(IFERROR(vlookup('Ingest Template'!F562,DropDown!D:E,2,false)&amp;'Ingest Template'!C562,""))</f>
        <v/>
      </c>
      <c r="X562" s="25" t="str">
        <f>'Ingest Template'!AA561</f>
        <v/>
      </c>
      <c r="Y562" s="25"/>
      <c r="Z562" s="25"/>
      <c r="AA562" s="25"/>
      <c r="AB562" s="25" t="str">
        <f>'Ingest Template'!T561</f>
        <v/>
      </c>
      <c r="AC562" s="25"/>
      <c r="AD562" s="25" t="str">
        <f>'Ingest Template'!U561</f>
        <v/>
      </c>
      <c r="AE562" s="25" t="str">
        <f>'Ingest Template'!V561</f>
        <v/>
      </c>
      <c r="AF562" s="25"/>
      <c r="AG562" s="25" t="str">
        <f t="array" ref="AG562">IF('Ingest Template'!A561="Standard",(CONCATENATE(IF(ISBLANK('Ingest Template'!O561),"", 'Ingest Template'!O561&amp;"|DAR"),CHAR(10), IF(ISBLANK('Ingest Template'!P561),"", 'Ingest Template'!P561&amp;"|DAR"),CHAR(10), IF(ISBLANK('Ingest Template'!Q561),"", 'Ingest Template'!Q561&amp;"|DAR"))),(CONCATENATE(IF(ISBLANK('Ingest Template'!O561),"", 'Ingest Template'!O561&amp;"|Operations - Core Title"),CHAR(10), IF(ISBLANK('Ingest Template'!P561),"", 'Ingest Template'!P561&amp;"|Operations - Core Title"),CHAR(10), IF(ISBLANK('Ingest Template'!Q561),"", 'Ingest Template'!Q561&amp;"|Operations - Core Title"))))</f>
        <v>#|Operations - Core Title
#videoGame|Operations - Core Title
</v>
      </c>
      <c r="AH562" s="25"/>
      <c r="AI562" s="25"/>
      <c r="AJ562" s="50" t="str">
        <f>if('Ingest Template'!A561="Standard",'Ingest Template'!R561&amp; "|DAR|DAR|2021-01-01",'Ingest Template'!R561&amp; "|Operations - Core Title|Operations - Core Title")</f>
        <v>#N/A</v>
      </c>
      <c r="AK562" s="25"/>
      <c r="AL562" s="25" t="str">
        <f>if('Ingest Template'!A561="Standard",'Ingest Template'!S561&amp; "|2021-01-01",'Ingest Template'!S561)</f>
        <v>#N/A</v>
      </c>
      <c r="AM562" s="25"/>
    </row>
    <row r="563">
      <c r="A563" s="25"/>
      <c r="B563" s="25" t="str">
        <f>'Ingest Template'!C562&amp;IF('Ingest Template'!A562 = "Standard", " - DAR","")</f>
        <v/>
      </c>
      <c r="C563" s="34" t="s">
        <v>92</v>
      </c>
      <c r="D563" s="34" t="str">
        <f>CONCATENATE('Ingest Template'!E563&amp;Char(10)&amp;'Ingest Template'!G563&amp;Char(10)&amp;'Ingest Template'!H563&amp;Char(10)&amp;'Ingest Template'!I563&amp;Char(10)&amp;'Ingest Template'!J563&amp;Char(10)&amp;'Ingest Template'!K563&amp;Char(10)&amp;'Ingest Template'!L563)</f>
        <v>
</v>
      </c>
      <c r="E563" s="25" t="str">
        <f>('Ingest Template'!M563)</f>
        <v/>
      </c>
      <c r="F563" s="40" t="str">
        <f t="array" ref="F563">INDEX(DropDown!$J$2:$J$63,MATCH(1,COUNTIF(E563,DropDown!$I$2:$I$63),0))</f>
        <v>#N/A</v>
      </c>
      <c r="G563" s="25"/>
      <c r="H563" s="25"/>
      <c r="I563" s="25"/>
      <c r="J563" s="25" t="str">
        <f>'Ingest Template'!B563</f>
        <v/>
      </c>
      <c r="K563" s="25" t="str">
        <f>IF('Ingest Template'!A562="Standard",'Ingest Template'!N562,"Competitive View")</f>
        <v>Competitive View</v>
      </c>
      <c r="L563" s="41" t="s">
        <v>145</v>
      </c>
      <c r="M563" s="25" t="str">
        <f>'Ingest Template'!D562</f>
        <v/>
      </c>
      <c r="N563" s="25"/>
      <c r="O563" s="25"/>
      <c r="P563" s="25"/>
      <c r="Q563" s="25"/>
      <c r="R563" s="25" t="str">
        <f>CONCATENATE('Ingest Template'!F562)</f>
        <v/>
      </c>
      <c r="S563" s="43" t="s">
        <v>160</v>
      </c>
      <c r="T563" s="25" t="str">
        <f>'Ingest Template'!W562</f>
        <v/>
      </c>
      <c r="U563" s="25"/>
      <c r="V563" s="25" t="str">
        <f>LOWER(SUBSTITUTE(SUBSTITUTE(SUBSTITUTE(SUBSTITUTE(SUBSTITUTE('Ingest Template'!Y562,"https:",""),"www.",""),"/",""),"?hl=en",""),"instagram.com",""))</f>
        <v/>
      </c>
      <c r="W563" s="34" t="str">
        <f>(IFERROR(vlookup('Ingest Template'!F563,DropDown!D:E,2,false)&amp;'Ingest Template'!C563,""))</f>
        <v/>
      </c>
      <c r="X563" s="25" t="str">
        <f>'Ingest Template'!AA562</f>
        <v/>
      </c>
      <c r="Y563" s="25"/>
      <c r="Z563" s="25"/>
      <c r="AA563" s="25"/>
      <c r="AB563" s="25" t="str">
        <f>'Ingest Template'!T562</f>
        <v/>
      </c>
      <c r="AC563" s="25"/>
      <c r="AD563" s="25" t="str">
        <f>'Ingest Template'!U562</f>
        <v/>
      </c>
      <c r="AE563" s="25" t="str">
        <f>'Ingest Template'!V562</f>
        <v/>
      </c>
      <c r="AF563" s="25"/>
      <c r="AG563" s="25" t="str">
        <f t="array" ref="AG563">IF('Ingest Template'!A562="Standard",(CONCATENATE(IF(ISBLANK('Ingest Template'!O562),"", 'Ingest Template'!O562&amp;"|DAR"),CHAR(10), IF(ISBLANK('Ingest Template'!P562),"", 'Ingest Template'!P562&amp;"|DAR"),CHAR(10), IF(ISBLANK('Ingest Template'!Q562),"", 'Ingest Template'!Q562&amp;"|DAR"))),(CONCATENATE(IF(ISBLANK('Ingest Template'!O562),"", 'Ingest Template'!O562&amp;"|Operations - Core Title"),CHAR(10), IF(ISBLANK('Ingest Template'!P562),"", 'Ingest Template'!P562&amp;"|Operations - Core Title"),CHAR(10), IF(ISBLANK('Ingest Template'!Q562),"", 'Ingest Template'!Q562&amp;"|Operations - Core Title"))))</f>
        <v>#|Operations - Core Title
#videoGame|Operations - Core Title
</v>
      </c>
      <c r="AH563" s="25"/>
      <c r="AI563" s="25"/>
      <c r="AJ563" s="50" t="str">
        <f>if('Ingest Template'!A562="Standard",'Ingest Template'!R562&amp; "|DAR|DAR|2021-01-01",'Ingest Template'!R562&amp; "|Operations - Core Title|Operations - Core Title")</f>
        <v>#N/A</v>
      </c>
      <c r="AK563" s="25"/>
      <c r="AL563" s="25" t="str">
        <f>if('Ingest Template'!A562="Standard",'Ingest Template'!S562&amp; "|2021-01-01",'Ingest Template'!S562)</f>
        <v>#N/A</v>
      </c>
      <c r="AM563" s="25"/>
    </row>
    <row r="564">
      <c r="A564" s="25"/>
      <c r="B564" s="25" t="str">
        <f>'Ingest Template'!C563&amp;IF('Ingest Template'!A563 = "Standard", " - DAR","")</f>
        <v/>
      </c>
      <c r="C564" s="34" t="s">
        <v>92</v>
      </c>
      <c r="D564" s="34" t="str">
        <f>CONCATENATE('Ingest Template'!E564&amp;Char(10)&amp;'Ingest Template'!G564&amp;Char(10)&amp;'Ingest Template'!H564&amp;Char(10)&amp;'Ingest Template'!I564&amp;Char(10)&amp;'Ingest Template'!J564&amp;Char(10)&amp;'Ingest Template'!K564&amp;Char(10)&amp;'Ingest Template'!L564)</f>
        <v>
</v>
      </c>
      <c r="E564" s="25" t="str">
        <f>('Ingest Template'!M564)</f>
        <v/>
      </c>
      <c r="F564" s="40" t="str">
        <f t="array" ref="F564">INDEX(DropDown!$J$2:$J$63,MATCH(1,COUNTIF(E564,DropDown!$I$2:$I$63),0))</f>
        <v>#N/A</v>
      </c>
      <c r="G564" s="25"/>
      <c r="H564" s="25"/>
      <c r="I564" s="25"/>
      <c r="J564" s="25" t="str">
        <f>'Ingest Template'!B564</f>
        <v/>
      </c>
      <c r="K564" s="25" t="str">
        <f>IF('Ingest Template'!A563="Standard",'Ingest Template'!N563,"Competitive View")</f>
        <v>Competitive View</v>
      </c>
      <c r="L564" s="41" t="s">
        <v>145</v>
      </c>
      <c r="M564" s="25" t="str">
        <f>'Ingest Template'!D563</f>
        <v/>
      </c>
      <c r="N564" s="25"/>
      <c r="O564" s="25"/>
      <c r="P564" s="25"/>
      <c r="Q564" s="25"/>
      <c r="R564" s="25" t="str">
        <f>CONCATENATE('Ingest Template'!F563)</f>
        <v/>
      </c>
      <c r="S564" s="43" t="s">
        <v>160</v>
      </c>
      <c r="T564" s="25" t="str">
        <f>'Ingest Template'!W563</f>
        <v/>
      </c>
      <c r="U564" s="25"/>
      <c r="V564" s="25" t="str">
        <f>LOWER(SUBSTITUTE(SUBSTITUTE(SUBSTITUTE(SUBSTITUTE(SUBSTITUTE('Ingest Template'!Y563,"https:",""),"www.",""),"/",""),"?hl=en",""),"instagram.com",""))</f>
        <v/>
      </c>
      <c r="W564" s="34" t="str">
        <f>(IFERROR(vlookup('Ingest Template'!F564,DropDown!D:E,2,false)&amp;'Ingest Template'!C564,""))</f>
        <v/>
      </c>
      <c r="X564" s="25" t="str">
        <f>'Ingest Template'!AA563</f>
        <v/>
      </c>
      <c r="Y564" s="25"/>
      <c r="Z564" s="25"/>
      <c r="AA564" s="25"/>
      <c r="AB564" s="25" t="str">
        <f>'Ingest Template'!T563</f>
        <v/>
      </c>
      <c r="AC564" s="25"/>
      <c r="AD564" s="25" t="str">
        <f>'Ingest Template'!U563</f>
        <v/>
      </c>
      <c r="AE564" s="25" t="str">
        <f>'Ingest Template'!V563</f>
        <v/>
      </c>
      <c r="AF564" s="25"/>
      <c r="AG564" s="25" t="str">
        <f t="array" ref="AG564">IF('Ingest Template'!A563="Standard",(CONCATENATE(IF(ISBLANK('Ingest Template'!O563),"", 'Ingest Template'!O563&amp;"|DAR"),CHAR(10), IF(ISBLANK('Ingest Template'!P563),"", 'Ingest Template'!P563&amp;"|DAR"),CHAR(10), IF(ISBLANK('Ingest Template'!Q563),"", 'Ingest Template'!Q563&amp;"|DAR"))),(CONCATENATE(IF(ISBLANK('Ingest Template'!O563),"", 'Ingest Template'!O563&amp;"|Operations - Core Title"),CHAR(10), IF(ISBLANK('Ingest Template'!P563),"", 'Ingest Template'!P563&amp;"|Operations - Core Title"),CHAR(10), IF(ISBLANK('Ingest Template'!Q563),"", 'Ingest Template'!Q563&amp;"|Operations - Core Title"))))</f>
        <v>#|Operations - Core Title
#videoGame|Operations - Core Title
</v>
      </c>
      <c r="AH564" s="25"/>
      <c r="AI564" s="25"/>
      <c r="AJ564" s="50" t="str">
        <f>if('Ingest Template'!A563="Standard",'Ingest Template'!R563&amp; "|DAR|DAR|2021-01-01",'Ingest Template'!R563&amp; "|Operations - Core Title|Operations - Core Title")</f>
        <v>#N/A</v>
      </c>
      <c r="AK564" s="25"/>
      <c r="AL564" s="25" t="str">
        <f>if('Ingest Template'!A563="Standard",'Ingest Template'!S563&amp; "|2021-01-01",'Ingest Template'!S563)</f>
        <v>#N/A</v>
      </c>
      <c r="AM564" s="25"/>
    </row>
    <row r="565">
      <c r="A565" s="25"/>
      <c r="B565" s="25" t="str">
        <f>'Ingest Template'!C564&amp;IF('Ingest Template'!A564 = "Standard", " - DAR","")</f>
        <v/>
      </c>
      <c r="C565" s="34" t="s">
        <v>92</v>
      </c>
      <c r="D565" s="34" t="str">
        <f>CONCATENATE('Ingest Template'!E565&amp;Char(10)&amp;'Ingest Template'!G565&amp;Char(10)&amp;'Ingest Template'!H565&amp;Char(10)&amp;'Ingest Template'!I565&amp;Char(10)&amp;'Ingest Template'!J565&amp;Char(10)&amp;'Ingest Template'!K565&amp;Char(10)&amp;'Ingest Template'!L565)</f>
        <v>
</v>
      </c>
      <c r="E565" s="25" t="str">
        <f>('Ingest Template'!M565)</f>
        <v/>
      </c>
      <c r="F565" s="40" t="str">
        <f t="array" ref="F565">INDEX(DropDown!$J$2:$J$63,MATCH(1,COUNTIF(E565,DropDown!$I$2:$I$63),0))</f>
        <v>#N/A</v>
      </c>
      <c r="G565" s="25"/>
      <c r="H565" s="25"/>
      <c r="I565" s="25"/>
      <c r="J565" s="25" t="str">
        <f>'Ingest Template'!B565</f>
        <v/>
      </c>
      <c r="K565" s="25" t="str">
        <f>IF('Ingest Template'!A564="Standard",'Ingest Template'!N564,"Competitive View")</f>
        <v>Competitive View</v>
      </c>
      <c r="L565" s="41" t="s">
        <v>145</v>
      </c>
      <c r="M565" s="25" t="str">
        <f>'Ingest Template'!D564</f>
        <v/>
      </c>
      <c r="N565" s="25"/>
      <c r="O565" s="25"/>
      <c r="P565" s="25"/>
      <c r="Q565" s="25"/>
      <c r="R565" s="25" t="str">
        <f>CONCATENATE('Ingest Template'!F564)</f>
        <v/>
      </c>
      <c r="S565" s="43" t="s">
        <v>160</v>
      </c>
      <c r="T565" s="25" t="str">
        <f>'Ingest Template'!W564</f>
        <v/>
      </c>
      <c r="U565" s="25"/>
      <c r="V565" s="25" t="str">
        <f>LOWER(SUBSTITUTE(SUBSTITUTE(SUBSTITUTE(SUBSTITUTE(SUBSTITUTE('Ingest Template'!Y564,"https:",""),"www.",""),"/",""),"?hl=en",""),"instagram.com",""))</f>
        <v/>
      </c>
      <c r="W565" s="34" t="str">
        <f>(IFERROR(vlookup('Ingest Template'!F565,DropDown!D:E,2,false)&amp;'Ingest Template'!C565,""))</f>
        <v/>
      </c>
      <c r="X565" s="25" t="str">
        <f>'Ingest Template'!AA564</f>
        <v/>
      </c>
      <c r="Y565" s="25"/>
      <c r="Z565" s="25"/>
      <c r="AA565" s="25"/>
      <c r="AB565" s="25" t="str">
        <f>'Ingest Template'!T564</f>
        <v/>
      </c>
      <c r="AC565" s="25"/>
      <c r="AD565" s="25" t="str">
        <f>'Ingest Template'!U564</f>
        <v/>
      </c>
      <c r="AE565" s="25" t="str">
        <f>'Ingest Template'!V564</f>
        <v/>
      </c>
      <c r="AF565" s="25"/>
      <c r="AG565" s="25" t="str">
        <f t="array" ref="AG565">IF('Ingest Template'!A564="Standard",(CONCATENATE(IF(ISBLANK('Ingest Template'!O564),"", 'Ingest Template'!O564&amp;"|DAR"),CHAR(10), IF(ISBLANK('Ingest Template'!P564),"", 'Ingest Template'!P564&amp;"|DAR"),CHAR(10), IF(ISBLANK('Ingest Template'!Q564),"", 'Ingest Template'!Q564&amp;"|DAR"))),(CONCATENATE(IF(ISBLANK('Ingest Template'!O564),"", 'Ingest Template'!O564&amp;"|Operations - Core Title"),CHAR(10), IF(ISBLANK('Ingest Template'!P564),"", 'Ingest Template'!P564&amp;"|Operations - Core Title"),CHAR(10), IF(ISBLANK('Ingest Template'!Q564),"", 'Ingest Template'!Q564&amp;"|Operations - Core Title"))))</f>
        <v>#|Operations - Core Title
#videoGame|Operations - Core Title
</v>
      </c>
      <c r="AH565" s="25"/>
      <c r="AI565" s="25"/>
      <c r="AJ565" s="50" t="str">
        <f>if('Ingest Template'!A564="Standard",'Ingest Template'!R564&amp; "|DAR|DAR|2021-01-01",'Ingest Template'!R564&amp; "|Operations - Core Title|Operations - Core Title")</f>
        <v>#N/A</v>
      </c>
      <c r="AK565" s="25"/>
      <c r="AL565" s="25" t="str">
        <f>if('Ingest Template'!A564="Standard",'Ingest Template'!S564&amp; "|2021-01-01",'Ingest Template'!S564)</f>
        <v>#N/A</v>
      </c>
      <c r="AM565" s="25"/>
    </row>
    <row r="566">
      <c r="A566" s="25"/>
      <c r="B566" s="25" t="str">
        <f>'Ingest Template'!C565&amp;IF('Ingest Template'!A565 = "Standard", " - DAR","")</f>
        <v/>
      </c>
      <c r="C566" s="34" t="s">
        <v>92</v>
      </c>
      <c r="D566" s="34" t="str">
        <f>CONCATENATE('Ingest Template'!E566&amp;Char(10)&amp;'Ingest Template'!G566&amp;Char(10)&amp;'Ingest Template'!H566&amp;Char(10)&amp;'Ingest Template'!I566&amp;Char(10)&amp;'Ingest Template'!J566&amp;Char(10)&amp;'Ingest Template'!K566&amp;Char(10)&amp;'Ingest Template'!L566)</f>
        <v>
</v>
      </c>
      <c r="E566" s="25" t="str">
        <f>('Ingest Template'!M566)</f>
        <v/>
      </c>
      <c r="F566" s="40" t="str">
        <f t="array" ref="F566">INDEX(DropDown!$J$2:$J$63,MATCH(1,COUNTIF(E566,DropDown!$I$2:$I$63),0))</f>
        <v>#N/A</v>
      </c>
      <c r="G566" s="25"/>
      <c r="H566" s="25"/>
      <c r="I566" s="25"/>
      <c r="J566" s="25" t="str">
        <f>'Ingest Template'!B566</f>
        <v/>
      </c>
      <c r="K566" s="25" t="str">
        <f>IF('Ingest Template'!A565="Standard",'Ingest Template'!N565,"Competitive View")</f>
        <v>Competitive View</v>
      </c>
      <c r="L566" s="41" t="s">
        <v>145</v>
      </c>
      <c r="M566" s="25" t="str">
        <f>'Ingest Template'!D565</f>
        <v/>
      </c>
      <c r="N566" s="25"/>
      <c r="O566" s="25"/>
      <c r="P566" s="25"/>
      <c r="Q566" s="25"/>
      <c r="R566" s="25" t="str">
        <f>CONCATENATE('Ingest Template'!F565)</f>
        <v/>
      </c>
      <c r="S566" s="43" t="s">
        <v>160</v>
      </c>
      <c r="T566" s="25" t="str">
        <f>'Ingest Template'!W565</f>
        <v/>
      </c>
      <c r="U566" s="25"/>
      <c r="V566" s="25" t="str">
        <f>LOWER(SUBSTITUTE(SUBSTITUTE(SUBSTITUTE(SUBSTITUTE(SUBSTITUTE('Ingest Template'!Y565,"https:",""),"www.",""),"/",""),"?hl=en",""),"instagram.com",""))</f>
        <v/>
      </c>
      <c r="W566" s="34" t="str">
        <f>(IFERROR(vlookup('Ingest Template'!F566,DropDown!D:E,2,false)&amp;'Ingest Template'!C566,""))</f>
        <v/>
      </c>
      <c r="X566" s="25" t="str">
        <f>'Ingest Template'!AA565</f>
        <v/>
      </c>
      <c r="Y566" s="25"/>
      <c r="Z566" s="25"/>
      <c r="AA566" s="25"/>
      <c r="AB566" s="25" t="str">
        <f>'Ingest Template'!T565</f>
        <v/>
      </c>
      <c r="AC566" s="25"/>
      <c r="AD566" s="25" t="str">
        <f>'Ingest Template'!U565</f>
        <v/>
      </c>
      <c r="AE566" s="25" t="str">
        <f>'Ingest Template'!V565</f>
        <v/>
      </c>
      <c r="AF566" s="25"/>
      <c r="AG566" s="25" t="str">
        <f t="array" ref="AG566">IF('Ingest Template'!A565="Standard",(CONCATENATE(IF(ISBLANK('Ingest Template'!O565),"", 'Ingest Template'!O565&amp;"|DAR"),CHAR(10), IF(ISBLANK('Ingest Template'!P565),"", 'Ingest Template'!P565&amp;"|DAR"),CHAR(10), IF(ISBLANK('Ingest Template'!Q565),"", 'Ingest Template'!Q565&amp;"|DAR"))),(CONCATENATE(IF(ISBLANK('Ingest Template'!O565),"", 'Ingest Template'!O565&amp;"|Operations - Core Title"),CHAR(10), IF(ISBLANK('Ingest Template'!P565),"", 'Ingest Template'!P565&amp;"|Operations - Core Title"),CHAR(10), IF(ISBLANK('Ingest Template'!Q565),"", 'Ingest Template'!Q565&amp;"|Operations - Core Title"))))</f>
        <v>#|Operations - Core Title
#videoGame|Operations - Core Title
</v>
      </c>
      <c r="AH566" s="25"/>
      <c r="AI566" s="25"/>
      <c r="AJ566" s="50" t="str">
        <f>if('Ingest Template'!A565="Standard",'Ingest Template'!R565&amp; "|DAR|DAR|2021-01-01",'Ingest Template'!R565&amp; "|Operations - Core Title|Operations - Core Title")</f>
        <v>#N/A</v>
      </c>
      <c r="AK566" s="25"/>
      <c r="AL566" s="25" t="str">
        <f>if('Ingest Template'!A565="Standard",'Ingest Template'!S565&amp; "|2021-01-01",'Ingest Template'!S565)</f>
        <v>#N/A</v>
      </c>
      <c r="AM566" s="25"/>
    </row>
    <row r="567">
      <c r="A567" s="25"/>
      <c r="B567" s="25" t="str">
        <f>'Ingest Template'!C566&amp;IF('Ingest Template'!A566 = "Standard", " - DAR","")</f>
        <v/>
      </c>
      <c r="C567" s="34" t="s">
        <v>92</v>
      </c>
      <c r="D567" s="34" t="str">
        <f>CONCATENATE('Ingest Template'!E567&amp;Char(10)&amp;'Ingest Template'!G567&amp;Char(10)&amp;'Ingest Template'!H567&amp;Char(10)&amp;'Ingest Template'!I567&amp;Char(10)&amp;'Ingest Template'!J567&amp;Char(10)&amp;'Ingest Template'!K567&amp;Char(10)&amp;'Ingest Template'!L567)</f>
        <v>
</v>
      </c>
      <c r="E567" s="25" t="str">
        <f>('Ingest Template'!M567)</f>
        <v/>
      </c>
      <c r="F567" s="40" t="str">
        <f t="array" ref="F567">INDEX(DropDown!$J$2:$J$63,MATCH(1,COUNTIF(E567,DropDown!$I$2:$I$63),0))</f>
        <v>#N/A</v>
      </c>
      <c r="G567" s="25"/>
      <c r="H567" s="25"/>
      <c r="I567" s="25"/>
      <c r="J567" s="25" t="str">
        <f>'Ingest Template'!B567</f>
        <v/>
      </c>
      <c r="K567" s="25" t="str">
        <f>IF('Ingest Template'!A566="Standard",'Ingest Template'!N566,"Competitive View")</f>
        <v>Competitive View</v>
      </c>
      <c r="L567" s="41" t="s">
        <v>145</v>
      </c>
      <c r="M567" s="25" t="str">
        <f>'Ingest Template'!D566</f>
        <v/>
      </c>
      <c r="N567" s="25"/>
      <c r="O567" s="25"/>
      <c r="P567" s="25"/>
      <c r="Q567" s="25"/>
      <c r="R567" s="25" t="str">
        <f>CONCATENATE('Ingest Template'!F566)</f>
        <v/>
      </c>
      <c r="S567" s="43" t="s">
        <v>160</v>
      </c>
      <c r="T567" s="25" t="str">
        <f>'Ingest Template'!W566</f>
        <v/>
      </c>
      <c r="U567" s="25"/>
      <c r="V567" s="25" t="str">
        <f>LOWER(SUBSTITUTE(SUBSTITUTE(SUBSTITUTE(SUBSTITUTE(SUBSTITUTE('Ingest Template'!Y566,"https:",""),"www.",""),"/",""),"?hl=en",""),"instagram.com",""))</f>
        <v/>
      </c>
      <c r="W567" s="34" t="str">
        <f>(IFERROR(vlookup('Ingest Template'!F567,DropDown!D:E,2,false)&amp;'Ingest Template'!C567,""))</f>
        <v/>
      </c>
      <c r="X567" s="25" t="str">
        <f>'Ingest Template'!AA566</f>
        <v/>
      </c>
      <c r="Y567" s="25"/>
      <c r="Z567" s="25"/>
      <c r="AA567" s="25"/>
      <c r="AB567" s="25" t="str">
        <f>'Ingest Template'!T566</f>
        <v/>
      </c>
      <c r="AC567" s="25"/>
      <c r="AD567" s="25" t="str">
        <f>'Ingest Template'!U566</f>
        <v/>
      </c>
      <c r="AE567" s="25" t="str">
        <f>'Ingest Template'!V566</f>
        <v/>
      </c>
      <c r="AF567" s="25"/>
      <c r="AG567" s="25" t="str">
        <f t="array" ref="AG567">IF('Ingest Template'!A566="Standard",(CONCATENATE(IF(ISBLANK('Ingest Template'!O566),"", 'Ingest Template'!O566&amp;"|DAR"),CHAR(10), IF(ISBLANK('Ingest Template'!P566),"", 'Ingest Template'!P566&amp;"|DAR"),CHAR(10), IF(ISBLANK('Ingest Template'!Q566),"", 'Ingest Template'!Q566&amp;"|DAR"))),(CONCATENATE(IF(ISBLANK('Ingest Template'!O566),"", 'Ingest Template'!O566&amp;"|Operations - Core Title"),CHAR(10), IF(ISBLANK('Ingest Template'!P566),"", 'Ingest Template'!P566&amp;"|Operations - Core Title"),CHAR(10), IF(ISBLANK('Ingest Template'!Q566),"", 'Ingest Template'!Q566&amp;"|Operations - Core Title"))))</f>
        <v>#|Operations - Core Title
#videoGame|Operations - Core Title
</v>
      </c>
      <c r="AH567" s="25"/>
      <c r="AI567" s="25"/>
      <c r="AJ567" s="50" t="str">
        <f>if('Ingest Template'!A566="Standard",'Ingest Template'!R566&amp; "|DAR|DAR|2021-01-01",'Ingest Template'!R566&amp; "|Operations - Core Title|Operations - Core Title")</f>
        <v>#N/A</v>
      </c>
      <c r="AK567" s="25"/>
      <c r="AL567" s="25" t="str">
        <f>if('Ingest Template'!A566="Standard",'Ingest Template'!S566&amp; "|2021-01-01",'Ingest Template'!S566)</f>
        <v>#N/A</v>
      </c>
      <c r="AM567" s="25"/>
    </row>
    <row r="568">
      <c r="A568" s="25"/>
      <c r="B568" s="25" t="str">
        <f>'Ingest Template'!C567&amp;IF('Ingest Template'!A567 = "Standard", " - DAR","")</f>
        <v/>
      </c>
      <c r="C568" s="34" t="s">
        <v>92</v>
      </c>
      <c r="D568" s="34" t="str">
        <f>CONCATENATE('Ingest Template'!E568&amp;Char(10)&amp;'Ingest Template'!G568&amp;Char(10)&amp;'Ingest Template'!H568&amp;Char(10)&amp;'Ingest Template'!I568&amp;Char(10)&amp;'Ingest Template'!J568&amp;Char(10)&amp;'Ingest Template'!K568&amp;Char(10)&amp;'Ingest Template'!L568)</f>
        <v>
</v>
      </c>
      <c r="E568" s="25" t="str">
        <f>('Ingest Template'!M568)</f>
        <v/>
      </c>
      <c r="F568" s="40" t="str">
        <f t="array" ref="F568">INDEX(DropDown!$J$2:$J$63,MATCH(1,COUNTIF(E568,DropDown!$I$2:$I$63),0))</f>
        <v>#N/A</v>
      </c>
      <c r="G568" s="25"/>
      <c r="H568" s="25"/>
      <c r="I568" s="25"/>
      <c r="J568" s="25" t="str">
        <f>'Ingest Template'!B568</f>
        <v/>
      </c>
      <c r="K568" s="25" t="str">
        <f>IF('Ingest Template'!A567="Standard",'Ingest Template'!N567,"Competitive View")</f>
        <v>Competitive View</v>
      </c>
      <c r="L568" s="41" t="s">
        <v>145</v>
      </c>
      <c r="M568" s="25" t="str">
        <f>'Ingest Template'!D567</f>
        <v/>
      </c>
      <c r="N568" s="25"/>
      <c r="O568" s="25"/>
      <c r="P568" s="25"/>
      <c r="Q568" s="25"/>
      <c r="R568" s="25" t="str">
        <f>CONCATENATE('Ingest Template'!F567)</f>
        <v/>
      </c>
      <c r="S568" s="43" t="s">
        <v>160</v>
      </c>
      <c r="T568" s="25" t="str">
        <f>'Ingest Template'!W567</f>
        <v/>
      </c>
      <c r="U568" s="25"/>
      <c r="V568" s="25" t="str">
        <f>LOWER(SUBSTITUTE(SUBSTITUTE(SUBSTITUTE(SUBSTITUTE(SUBSTITUTE('Ingest Template'!Y567,"https:",""),"www.",""),"/",""),"?hl=en",""),"instagram.com",""))</f>
        <v/>
      </c>
      <c r="W568" s="34" t="str">
        <f>(IFERROR(vlookup('Ingest Template'!F568,DropDown!D:E,2,false)&amp;'Ingest Template'!C568,""))</f>
        <v/>
      </c>
      <c r="X568" s="25" t="str">
        <f>'Ingest Template'!AA567</f>
        <v/>
      </c>
      <c r="Y568" s="25"/>
      <c r="Z568" s="25"/>
      <c r="AA568" s="25"/>
      <c r="AB568" s="25" t="str">
        <f>'Ingest Template'!T567</f>
        <v/>
      </c>
      <c r="AC568" s="25"/>
      <c r="AD568" s="25" t="str">
        <f>'Ingest Template'!U567</f>
        <v/>
      </c>
      <c r="AE568" s="25" t="str">
        <f>'Ingest Template'!V567</f>
        <v/>
      </c>
      <c r="AF568" s="25"/>
      <c r="AG568" s="25" t="str">
        <f t="array" ref="AG568">IF('Ingest Template'!A567="Standard",(CONCATENATE(IF(ISBLANK('Ingest Template'!O567),"", 'Ingest Template'!O567&amp;"|DAR"),CHAR(10), IF(ISBLANK('Ingest Template'!P567),"", 'Ingest Template'!P567&amp;"|DAR"),CHAR(10), IF(ISBLANK('Ingest Template'!Q567),"", 'Ingest Template'!Q567&amp;"|DAR"))),(CONCATENATE(IF(ISBLANK('Ingest Template'!O567),"", 'Ingest Template'!O567&amp;"|Operations - Core Title"),CHAR(10), IF(ISBLANK('Ingest Template'!P567),"", 'Ingest Template'!P567&amp;"|Operations - Core Title"),CHAR(10), IF(ISBLANK('Ingest Template'!Q567),"", 'Ingest Template'!Q567&amp;"|Operations - Core Title"))))</f>
        <v>#|Operations - Core Title
#videoGame|Operations - Core Title
</v>
      </c>
      <c r="AH568" s="25"/>
      <c r="AI568" s="25"/>
      <c r="AJ568" s="50" t="str">
        <f>if('Ingest Template'!A567="Standard",'Ingest Template'!R567&amp; "|DAR|DAR|2021-01-01",'Ingest Template'!R567&amp; "|Operations - Core Title|Operations - Core Title")</f>
        <v>#N/A</v>
      </c>
      <c r="AK568" s="25"/>
      <c r="AL568" s="25" t="str">
        <f>if('Ingest Template'!A567="Standard",'Ingest Template'!S567&amp; "|2021-01-01",'Ingest Template'!S567)</f>
        <v>#N/A</v>
      </c>
      <c r="AM568" s="25"/>
    </row>
    <row r="569">
      <c r="A569" s="25"/>
      <c r="B569" s="25" t="str">
        <f>'Ingest Template'!C568&amp;IF('Ingest Template'!A568 = "Standard", " - DAR","")</f>
        <v/>
      </c>
      <c r="C569" s="34" t="s">
        <v>92</v>
      </c>
      <c r="D569" s="34" t="str">
        <f>CONCATENATE('Ingest Template'!E569&amp;Char(10)&amp;'Ingest Template'!G569&amp;Char(10)&amp;'Ingest Template'!H569&amp;Char(10)&amp;'Ingest Template'!I569&amp;Char(10)&amp;'Ingest Template'!J569&amp;Char(10)&amp;'Ingest Template'!K569&amp;Char(10)&amp;'Ingest Template'!L569)</f>
        <v>
</v>
      </c>
      <c r="E569" s="25" t="str">
        <f>('Ingest Template'!M569)</f>
        <v/>
      </c>
      <c r="F569" s="40" t="str">
        <f t="array" ref="F569">INDEX(DropDown!$J$2:$J$63,MATCH(1,COUNTIF(E569,DropDown!$I$2:$I$63),0))</f>
        <v>#N/A</v>
      </c>
      <c r="G569" s="25"/>
      <c r="H569" s="25"/>
      <c r="I569" s="25"/>
      <c r="J569" s="25" t="str">
        <f>'Ingest Template'!B569</f>
        <v/>
      </c>
      <c r="K569" s="25" t="str">
        <f>IF('Ingest Template'!A568="Standard",'Ingest Template'!N568,"Competitive View")</f>
        <v>Competitive View</v>
      </c>
      <c r="L569" s="41" t="s">
        <v>145</v>
      </c>
      <c r="M569" s="25" t="str">
        <f>'Ingest Template'!D568</f>
        <v/>
      </c>
      <c r="N569" s="25"/>
      <c r="O569" s="25"/>
      <c r="P569" s="25"/>
      <c r="Q569" s="25"/>
      <c r="R569" s="25" t="str">
        <f>CONCATENATE('Ingest Template'!F568)</f>
        <v/>
      </c>
      <c r="S569" s="43" t="s">
        <v>160</v>
      </c>
      <c r="T569" s="25" t="str">
        <f>'Ingest Template'!W568</f>
        <v/>
      </c>
      <c r="U569" s="25"/>
      <c r="V569" s="25" t="str">
        <f>LOWER(SUBSTITUTE(SUBSTITUTE(SUBSTITUTE(SUBSTITUTE(SUBSTITUTE('Ingest Template'!Y568,"https:",""),"www.",""),"/",""),"?hl=en",""),"instagram.com",""))</f>
        <v/>
      </c>
      <c r="W569" s="34" t="str">
        <f>(IFERROR(vlookup('Ingest Template'!F569,DropDown!D:E,2,false)&amp;'Ingest Template'!C569,""))</f>
        <v/>
      </c>
      <c r="X569" s="25" t="str">
        <f>'Ingest Template'!AA568</f>
        <v/>
      </c>
      <c r="Y569" s="25"/>
      <c r="Z569" s="25"/>
      <c r="AA569" s="25"/>
      <c r="AB569" s="25" t="str">
        <f>'Ingest Template'!T568</f>
        <v/>
      </c>
      <c r="AC569" s="25"/>
      <c r="AD569" s="25" t="str">
        <f>'Ingest Template'!U568</f>
        <v/>
      </c>
      <c r="AE569" s="25" t="str">
        <f>'Ingest Template'!V568</f>
        <v/>
      </c>
      <c r="AF569" s="25"/>
      <c r="AG569" s="25" t="str">
        <f t="array" ref="AG569">IF('Ingest Template'!A568="Standard",(CONCATENATE(IF(ISBLANK('Ingest Template'!O568),"", 'Ingest Template'!O568&amp;"|DAR"),CHAR(10), IF(ISBLANK('Ingest Template'!P568),"", 'Ingest Template'!P568&amp;"|DAR"),CHAR(10), IF(ISBLANK('Ingest Template'!Q568),"", 'Ingest Template'!Q568&amp;"|DAR"))),(CONCATENATE(IF(ISBLANK('Ingest Template'!O568),"", 'Ingest Template'!O568&amp;"|Operations - Core Title"),CHAR(10), IF(ISBLANK('Ingest Template'!P568),"", 'Ingest Template'!P568&amp;"|Operations - Core Title"),CHAR(10), IF(ISBLANK('Ingest Template'!Q568),"", 'Ingest Template'!Q568&amp;"|Operations - Core Title"))))</f>
        <v>#|Operations - Core Title
#videoGame|Operations - Core Title
</v>
      </c>
      <c r="AH569" s="25"/>
      <c r="AI569" s="25"/>
      <c r="AJ569" s="50" t="str">
        <f>if('Ingest Template'!A568="Standard",'Ingest Template'!R568&amp; "|DAR|DAR|2021-01-01",'Ingest Template'!R568&amp; "|Operations - Core Title|Operations - Core Title")</f>
        <v>#N/A</v>
      </c>
      <c r="AK569" s="25"/>
      <c r="AL569" s="25" t="str">
        <f>if('Ingest Template'!A568="Standard",'Ingest Template'!S568&amp; "|2021-01-01",'Ingest Template'!S568)</f>
        <v>#N/A</v>
      </c>
      <c r="AM569" s="25"/>
    </row>
    <row r="570">
      <c r="A570" s="25"/>
      <c r="B570" s="25" t="str">
        <f>'Ingest Template'!C569&amp;IF('Ingest Template'!A569 = "Standard", " - DAR","")</f>
        <v/>
      </c>
      <c r="C570" s="34" t="s">
        <v>92</v>
      </c>
      <c r="D570" s="34" t="str">
        <f>CONCATENATE('Ingest Template'!E570&amp;Char(10)&amp;'Ingest Template'!G570&amp;Char(10)&amp;'Ingest Template'!H570&amp;Char(10)&amp;'Ingest Template'!I570&amp;Char(10)&amp;'Ingest Template'!J570&amp;Char(10)&amp;'Ingest Template'!K570&amp;Char(10)&amp;'Ingest Template'!L570)</f>
        <v>
</v>
      </c>
      <c r="E570" s="25" t="str">
        <f>('Ingest Template'!M570)</f>
        <v/>
      </c>
      <c r="F570" s="40" t="str">
        <f t="array" ref="F570">INDEX(DropDown!$J$2:$J$63,MATCH(1,COUNTIF(E570,DropDown!$I$2:$I$63),0))</f>
        <v>#N/A</v>
      </c>
      <c r="G570" s="25"/>
      <c r="H570" s="25"/>
      <c r="I570" s="25"/>
      <c r="J570" s="25" t="str">
        <f>'Ingest Template'!B570</f>
        <v/>
      </c>
      <c r="K570" s="25" t="str">
        <f>IF('Ingest Template'!A569="Standard",'Ingest Template'!N569,"Competitive View")</f>
        <v>Competitive View</v>
      </c>
      <c r="L570" s="41" t="s">
        <v>145</v>
      </c>
      <c r="M570" s="25" t="str">
        <f>'Ingest Template'!D569</f>
        <v/>
      </c>
      <c r="N570" s="25"/>
      <c r="O570" s="25"/>
      <c r="P570" s="25"/>
      <c r="Q570" s="25"/>
      <c r="R570" s="25" t="str">
        <f>CONCATENATE('Ingest Template'!F569)</f>
        <v/>
      </c>
      <c r="S570" s="43" t="s">
        <v>160</v>
      </c>
      <c r="T570" s="25" t="str">
        <f>'Ingest Template'!W569</f>
        <v/>
      </c>
      <c r="U570" s="25"/>
      <c r="V570" s="25" t="str">
        <f>LOWER(SUBSTITUTE(SUBSTITUTE(SUBSTITUTE(SUBSTITUTE(SUBSTITUTE('Ingest Template'!Y569,"https:",""),"www.",""),"/",""),"?hl=en",""),"instagram.com",""))</f>
        <v/>
      </c>
      <c r="W570" s="34" t="str">
        <f>(IFERROR(vlookup('Ingest Template'!F570,DropDown!D:E,2,false)&amp;'Ingest Template'!C570,""))</f>
        <v/>
      </c>
      <c r="X570" s="25" t="str">
        <f>'Ingest Template'!AA569</f>
        <v/>
      </c>
      <c r="Y570" s="25"/>
      <c r="Z570" s="25"/>
      <c r="AA570" s="25"/>
      <c r="AB570" s="25" t="str">
        <f>'Ingest Template'!T569</f>
        <v/>
      </c>
      <c r="AC570" s="25"/>
      <c r="AD570" s="25" t="str">
        <f>'Ingest Template'!U569</f>
        <v/>
      </c>
      <c r="AE570" s="25" t="str">
        <f>'Ingest Template'!V569</f>
        <v/>
      </c>
      <c r="AF570" s="25"/>
      <c r="AG570" s="25" t="str">
        <f t="array" ref="AG570">IF('Ingest Template'!A569="Standard",(CONCATENATE(IF(ISBLANK('Ingest Template'!O569),"", 'Ingest Template'!O569&amp;"|DAR"),CHAR(10), IF(ISBLANK('Ingest Template'!P569),"", 'Ingest Template'!P569&amp;"|DAR"),CHAR(10), IF(ISBLANK('Ingest Template'!Q569),"", 'Ingest Template'!Q569&amp;"|DAR"))),(CONCATENATE(IF(ISBLANK('Ingest Template'!O569),"", 'Ingest Template'!O569&amp;"|Operations - Core Title"),CHAR(10), IF(ISBLANK('Ingest Template'!P569),"", 'Ingest Template'!P569&amp;"|Operations - Core Title"),CHAR(10), IF(ISBLANK('Ingest Template'!Q569),"", 'Ingest Template'!Q569&amp;"|Operations - Core Title"))))</f>
        <v>#|Operations - Core Title
#videoGame|Operations - Core Title
</v>
      </c>
      <c r="AH570" s="25"/>
      <c r="AI570" s="25"/>
      <c r="AJ570" s="50" t="str">
        <f>if('Ingest Template'!A569="Standard",'Ingest Template'!R569&amp; "|DAR|DAR|2021-01-01",'Ingest Template'!R569&amp; "|Operations - Core Title|Operations - Core Title")</f>
        <v>#N/A</v>
      </c>
      <c r="AK570" s="25"/>
      <c r="AL570" s="25" t="str">
        <f>if('Ingest Template'!A569="Standard",'Ingest Template'!S569&amp; "|2021-01-01",'Ingest Template'!S569)</f>
        <v>#N/A</v>
      </c>
      <c r="AM570" s="25"/>
    </row>
    <row r="571">
      <c r="A571" s="25"/>
      <c r="B571" s="25" t="str">
        <f>'Ingest Template'!C570&amp;IF('Ingest Template'!A570 = "Standard", " - DAR","")</f>
        <v/>
      </c>
      <c r="C571" s="34" t="s">
        <v>92</v>
      </c>
      <c r="D571" s="34" t="str">
        <f>CONCATENATE('Ingest Template'!E571&amp;Char(10)&amp;'Ingest Template'!G571&amp;Char(10)&amp;'Ingest Template'!H571&amp;Char(10)&amp;'Ingest Template'!I571&amp;Char(10)&amp;'Ingest Template'!J571&amp;Char(10)&amp;'Ingest Template'!K571&amp;Char(10)&amp;'Ingest Template'!L571)</f>
        <v>
</v>
      </c>
      <c r="E571" s="25" t="str">
        <f>('Ingest Template'!M571)</f>
        <v/>
      </c>
      <c r="F571" s="40" t="str">
        <f t="array" ref="F571">INDEX(DropDown!$J$2:$J$63,MATCH(1,COUNTIF(E571,DropDown!$I$2:$I$63),0))</f>
        <v>#N/A</v>
      </c>
      <c r="G571" s="25"/>
      <c r="H571" s="25"/>
      <c r="I571" s="25"/>
      <c r="J571" s="25" t="str">
        <f>'Ingest Template'!B571</f>
        <v/>
      </c>
      <c r="K571" s="25" t="str">
        <f>IF('Ingest Template'!A570="Standard",'Ingest Template'!N570,"Competitive View")</f>
        <v>Competitive View</v>
      </c>
      <c r="L571" s="41" t="s">
        <v>145</v>
      </c>
      <c r="M571" s="25" t="str">
        <f>'Ingest Template'!D570</f>
        <v/>
      </c>
      <c r="N571" s="25"/>
      <c r="O571" s="25"/>
      <c r="P571" s="25"/>
      <c r="Q571" s="25"/>
      <c r="R571" s="25" t="str">
        <f>CONCATENATE('Ingest Template'!F570)</f>
        <v/>
      </c>
      <c r="S571" s="43" t="s">
        <v>160</v>
      </c>
      <c r="T571" s="25" t="str">
        <f>'Ingest Template'!W570</f>
        <v/>
      </c>
      <c r="U571" s="25"/>
      <c r="V571" s="25" t="str">
        <f>LOWER(SUBSTITUTE(SUBSTITUTE(SUBSTITUTE(SUBSTITUTE(SUBSTITUTE('Ingest Template'!Y570,"https:",""),"www.",""),"/",""),"?hl=en",""),"instagram.com",""))</f>
        <v/>
      </c>
      <c r="W571" s="34" t="str">
        <f>(IFERROR(vlookup('Ingest Template'!F571,DropDown!D:E,2,false)&amp;'Ingest Template'!C571,""))</f>
        <v/>
      </c>
      <c r="X571" s="25" t="str">
        <f>'Ingest Template'!AA570</f>
        <v/>
      </c>
      <c r="Y571" s="25"/>
      <c r="Z571" s="25"/>
      <c r="AA571" s="25"/>
      <c r="AB571" s="25" t="str">
        <f>'Ingest Template'!T570</f>
        <v/>
      </c>
      <c r="AC571" s="25"/>
      <c r="AD571" s="25" t="str">
        <f>'Ingest Template'!U570</f>
        <v/>
      </c>
      <c r="AE571" s="25" t="str">
        <f>'Ingest Template'!V570</f>
        <v/>
      </c>
      <c r="AF571" s="25"/>
      <c r="AG571" s="25" t="str">
        <f t="array" ref="AG571">IF('Ingest Template'!A570="Standard",(CONCATENATE(IF(ISBLANK('Ingest Template'!O570),"", 'Ingest Template'!O570&amp;"|DAR"),CHAR(10), IF(ISBLANK('Ingest Template'!P570),"", 'Ingest Template'!P570&amp;"|DAR"),CHAR(10), IF(ISBLANK('Ingest Template'!Q570),"", 'Ingest Template'!Q570&amp;"|DAR"))),(CONCATENATE(IF(ISBLANK('Ingest Template'!O570),"", 'Ingest Template'!O570&amp;"|Operations - Core Title"),CHAR(10), IF(ISBLANK('Ingest Template'!P570),"", 'Ingest Template'!P570&amp;"|Operations - Core Title"),CHAR(10), IF(ISBLANK('Ingest Template'!Q570),"", 'Ingest Template'!Q570&amp;"|Operations - Core Title"))))</f>
        <v>#|Operations - Core Title
#videoGame|Operations - Core Title
</v>
      </c>
      <c r="AH571" s="25"/>
      <c r="AI571" s="25"/>
      <c r="AJ571" s="50" t="str">
        <f>if('Ingest Template'!A570="Standard",'Ingest Template'!R570&amp; "|DAR|DAR|2021-01-01",'Ingest Template'!R570&amp; "|Operations - Core Title|Operations - Core Title")</f>
        <v>#N/A</v>
      </c>
      <c r="AK571" s="25"/>
      <c r="AL571" s="25" t="str">
        <f>if('Ingest Template'!A570="Standard",'Ingest Template'!S570&amp; "|2021-01-01",'Ingest Template'!S570)</f>
        <v>#N/A</v>
      </c>
      <c r="AM571" s="25"/>
    </row>
    <row r="572">
      <c r="A572" s="25"/>
      <c r="B572" s="25" t="str">
        <f>'Ingest Template'!C571&amp;IF('Ingest Template'!A571 = "Standard", " - DAR","")</f>
        <v/>
      </c>
      <c r="C572" s="34" t="s">
        <v>92</v>
      </c>
      <c r="D572" s="34" t="str">
        <f>CONCATENATE('Ingest Template'!E572&amp;Char(10)&amp;'Ingest Template'!G572&amp;Char(10)&amp;'Ingest Template'!H572&amp;Char(10)&amp;'Ingest Template'!I572&amp;Char(10)&amp;'Ingest Template'!J572&amp;Char(10)&amp;'Ingest Template'!K572&amp;Char(10)&amp;'Ingest Template'!L572)</f>
        <v>
</v>
      </c>
      <c r="E572" s="25" t="str">
        <f>('Ingest Template'!M572)</f>
        <v/>
      </c>
      <c r="F572" s="40" t="str">
        <f t="array" ref="F572">INDEX(DropDown!$J$2:$J$63,MATCH(1,COUNTIF(E572,DropDown!$I$2:$I$63),0))</f>
        <v>#N/A</v>
      </c>
      <c r="G572" s="25"/>
      <c r="H572" s="25"/>
      <c r="I572" s="25"/>
      <c r="J572" s="25" t="str">
        <f>'Ingest Template'!B572</f>
        <v/>
      </c>
      <c r="K572" s="25" t="str">
        <f>IF('Ingest Template'!A571="Standard",'Ingest Template'!N571,"Competitive View")</f>
        <v>Competitive View</v>
      </c>
      <c r="L572" s="41" t="s">
        <v>145</v>
      </c>
      <c r="M572" s="25" t="str">
        <f>'Ingest Template'!D571</f>
        <v/>
      </c>
      <c r="N572" s="25"/>
      <c r="O572" s="25"/>
      <c r="P572" s="25"/>
      <c r="Q572" s="25"/>
      <c r="R572" s="25" t="str">
        <f>CONCATENATE('Ingest Template'!F571)</f>
        <v/>
      </c>
      <c r="S572" s="43" t="s">
        <v>160</v>
      </c>
      <c r="T572" s="25" t="str">
        <f>'Ingest Template'!W571</f>
        <v/>
      </c>
      <c r="U572" s="25"/>
      <c r="V572" s="25" t="str">
        <f>LOWER(SUBSTITUTE(SUBSTITUTE(SUBSTITUTE(SUBSTITUTE(SUBSTITUTE('Ingest Template'!Y571,"https:",""),"www.",""),"/",""),"?hl=en",""),"instagram.com",""))</f>
        <v/>
      </c>
      <c r="W572" s="34" t="str">
        <f>(IFERROR(vlookup('Ingest Template'!F572,DropDown!D:E,2,false)&amp;'Ingest Template'!C572,""))</f>
        <v/>
      </c>
      <c r="X572" s="25" t="str">
        <f>'Ingest Template'!AA571</f>
        <v/>
      </c>
      <c r="Y572" s="25"/>
      <c r="Z572" s="25"/>
      <c r="AA572" s="25"/>
      <c r="AB572" s="25" t="str">
        <f>'Ingest Template'!T571</f>
        <v/>
      </c>
      <c r="AC572" s="25"/>
      <c r="AD572" s="25" t="str">
        <f>'Ingest Template'!U571</f>
        <v/>
      </c>
      <c r="AE572" s="25" t="str">
        <f>'Ingest Template'!V571</f>
        <v/>
      </c>
      <c r="AF572" s="25"/>
      <c r="AG572" s="25" t="str">
        <f t="array" ref="AG572">IF('Ingest Template'!A571="Standard",(CONCATENATE(IF(ISBLANK('Ingest Template'!O571),"", 'Ingest Template'!O571&amp;"|DAR"),CHAR(10), IF(ISBLANK('Ingest Template'!P571),"", 'Ingest Template'!P571&amp;"|DAR"),CHAR(10), IF(ISBLANK('Ingest Template'!Q571),"", 'Ingest Template'!Q571&amp;"|DAR"))),(CONCATENATE(IF(ISBLANK('Ingest Template'!O571),"", 'Ingest Template'!O571&amp;"|Operations - Core Title"),CHAR(10), IF(ISBLANK('Ingest Template'!P571),"", 'Ingest Template'!P571&amp;"|Operations - Core Title"),CHAR(10), IF(ISBLANK('Ingest Template'!Q571),"", 'Ingest Template'!Q571&amp;"|Operations - Core Title"))))</f>
        <v>#|Operations - Core Title
#videoGame|Operations - Core Title
</v>
      </c>
      <c r="AH572" s="25"/>
      <c r="AI572" s="25"/>
      <c r="AJ572" s="50" t="str">
        <f>if('Ingest Template'!A571="Standard",'Ingest Template'!R571&amp; "|DAR|DAR|2021-01-01",'Ingest Template'!R571&amp; "|Operations - Core Title|Operations - Core Title")</f>
        <v>#N/A</v>
      </c>
      <c r="AK572" s="25"/>
      <c r="AL572" s="25" t="str">
        <f>if('Ingest Template'!A571="Standard",'Ingest Template'!S571&amp; "|2021-01-01",'Ingest Template'!S571)</f>
        <v>#N/A</v>
      </c>
      <c r="AM572" s="25"/>
    </row>
    <row r="573">
      <c r="A573" s="25"/>
      <c r="B573" s="25" t="str">
        <f>'Ingest Template'!C572&amp;IF('Ingest Template'!A572 = "Standard", " - DAR","")</f>
        <v/>
      </c>
      <c r="C573" s="34" t="s">
        <v>92</v>
      </c>
      <c r="D573" s="34" t="str">
        <f>CONCATENATE('Ingest Template'!E573&amp;Char(10)&amp;'Ingest Template'!G573&amp;Char(10)&amp;'Ingest Template'!H573&amp;Char(10)&amp;'Ingest Template'!I573&amp;Char(10)&amp;'Ingest Template'!J573&amp;Char(10)&amp;'Ingest Template'!K573&amp;Char(10)&amp;'Ingest Template'!L573)</f>
        <v>
</v>
      </c>
      <c r="E573" s="25" t="str">
        <f>('Ingest Template'!M573)</f>
        <v/>
      </c>
      <c r="F573" s="40" t="str">
        <f t="array" ref="F573">INDEX(DropDown!$J$2:$J$63,MATCH(1,COUNTIF(E573,DropDown!$I$2:$I$63),0))</f>
        <v>#N/A</v>
      </c>
      <c r="G573" s="25"/>
      <c r="H573" s="25"/>
      <c r="I573" s="25"/>
      <c r="J573" s="25" t="str">
        <f>'Ingest Template'!B573</f>
        <v/>
      </c>
      <c r="K573" s="25" t="str">
        <f>IF('Ingest Template'!A572="Standard",'Ingest Template'!N572,"Competitive View")</f>
        <v>Competitive View</v>
      </c>
      <c r="L573" s="41" t="s">
        <v>145</v>
      </c>
      <c r="M573" s="25" t="str">
        <f>'Ingest Template'!D572</f>
        <v/>
      </c>
      <c r="N573" s="25"/>
      <c r="O573" s="25"/>
      <c r="P573" s="25"/>
      <c r="Q573" s="25"/>
      <c r="R573" s="25" t="str">
        <f>CONCATENATE('Ingest Template'!F572)</f>
        <v/>
      </c>
      <c r="S573" s="43" t="s">
        <v>160</v>
      </c>
      <c r="T573" s="25" t="str">
        <f>'Ingest Template'!W572</f>
        <v/>
      </c>
      <c r="U573" s="25"/>
      <c r="V573" s="25" t="str">
        <f>LOWER(SUBSTITUTE(SUBSTITUTE(SUBSTITUTE(SUBSTITUTE(SUBSTITUTE('Ingest Template'!Y572,"https:",""),"www.",""),"/",""),"?hl=en",""),"instagram.com",""))</f>
        <v/>
      </c>
      <c r="W573" s="34" t="str">
        <f>(IFERROR(vlookup('Ingest Template'!F573,DropDown!D:E,2,false)&amp;'Ingest Template'!C573,""))</f>
        <v/>
      </c>
      <c r="X573" s="25" t="str">
        <f>'Ingest Template'!AA572</f>
        <v/>
      </c>
      <c r="Y573" s="25"/>
      <c r="Z573" s="25"/>
      <c r="AA573" s="25"/>
      <c r="AB573" s="25" t="str">
        <f>'Ingest Template'!T572</f>
        <v/>
      </c>
      <c r="AC573" s="25"/>
      <c r="AD573" s="25" t="str">
        <f>'Ingest Template'!U572</f>
        <v/>
      </c>
      <c r="AE573" s="25" t="str">
        <f>'Ingest Template'!V572</f>
        <v/>
      </c>
      <c r="AF573" s="25"/>
      <c r="AG573" s="25" t="str">
        <f t="array" ref="AG573">IF('Ingest Template'!A572="Standard",(CONCATENATE(IF(ISBLANK('Ingest Template'!O572),"", 'Ingest Template'!O572&amp;"|DAR"),CHAR(10), IF(ISBLANK('Ingest Template'!P572),"", 'Ingest Template'!P572&amp;"|DAR"),CHAR(10), IF(ISBLANK('Ingest Template'!Q572),"", 'Ingest Template'!Q572&amp;"|DAR"))),(CONCATENATE(IF(ISBLANK('Ingest Template'!O572),"", 'Ingest Template'!O572&amp;"|Operations - Core Title"),CHAR(10), IF(ISBLANK('Ingest Template'!P572),"", 'Ingest Template'!P572&amp;"|Operations - Core Title"),CHAR(10), IF(ISBLANK('Ingest Template'!Q572),"", 'Ingest Template'!Q572&amp;"|Operations - Core Title"))))</f>
        <v>#|Operations - Core Title
#videoGame|Operations - Core Title
</v>
      </c>
      <c r="AH573" s="25"/>
      <c r="AI573" s="25"/>
      <c r="AJ573" s="50" t="str">
        <f>if('Ingest Template'!A572="Standard",'Ingest Template'!R572&amp; "|DAR|DAR|2021-01-01",'Ingest Template'!R572&amp; "|Operations - Core Title|Operations - Core Title")</f>
        <v>#N/A</v>
      </c>
      <c r="AK573" s="25"/>
      <c r="AL573" s="25" t="str">
        <f>if('Ingest Template'!A572="Standard",'Ingest Template'!S572&amp; "|2021-01-01",'Ingest Template'!S572)</f>
        <v>#N/A</v>
      </c>
      <c r="AM573" s="25"/>
    </row>
    <row r="574">
      <c r="A574" s="25"/>
      <c r="B574" s="25" t="str">
        <f>'Ingest Template'!C573&amp;IF('Ingest Template'!A573 = "Standard", " - DAR","")</f>
        <v/>
      </c>
      <c r="C574" s="34" t="s">
        <v>92</v>
      </c>
      <c r="D574" s="34" t="str">
        <f>CONCATENATE('Ingest Template'!E574&amp;Char(10)&amp;'Ingest Template'!G574&amp;Char(10)&amp;'Ingest Template'!H574&amp;Char(10)&amp;'Ingest Template'!I574&amp;Char(10)&amp;'Ingest Template'!J574&amp;Char(10)&amp;'Ingest Template'!K574&amp;Char(10)&amp;'Ingest Template'!L574)</f>
        <v>
</v>
      </c>
      <c r="E574" s="25" t="str">
        <f>('Ingest Template'!M574)</f>
        <v/>
      </c>
      <c r="F574" s="40" t="str">
        <f t="array" ref="F574">INDEX(DropDown!$J$2:$J$63,MATCH(1,COUNTIF(E574,DropDown!$I$2:$I$63),0))</f>
        <v>#N/A</v>
      </c>
      <c r="G574" s="25"/>
      <c r="H574" s="25"/>
      <c r="I574" s="25"/>
      <c r="J574" s="25" t="str">
        <f>'Ingest Template'!B574</f>
        <v/>
      </c>
      <c r="K574" s="25" t="str">
        <f>IF('Ingest Template'!A573="Standard",'Ingest Template'!N573,"Competitive View")</f>
        <v>Competitive View</v>
      </c>
      <c r="L574" s="41" t="s">
        <v>145</v>
      </c>
      <c r="M574" s="25" t="str">
        <f>'Ingest Template'!D573</f>
        <v/>
      </c>
      <c r="N574" s="25"/>
      <c r="O574" s="25"/>
      <c r="P574" s="25"/>
      <c r="Q574" s="25"/>
      <c r="R574" s="25" t="str">
        <f>CONCATENATE('Ingest Template'!F573)</f>
        <v/>
      </c>
      <c r="S574" s="43" t="s">
        <v>160</v>
      </c>
      <c r="T574" s="25" t="str">
        <f>'Ingest Template'!W573</f>
        <v/>
      </c>
      <c r="U574" s="25"/>
      <c r="V574" s="25" t="str">
        <f>LOWER(SUBSTITUTE(SUBSTITUTE(SUBSTITUTE(SUBSTITUTE(SUBSTITUTE('Ingest Template'!Y573,"https:",""),"www.",""),"/",""),"?hl=en",""),"instagram.com",""))</f>
        <v/>
      </c>
      <c r="W574" s="34" t="str">
        <f>(IFERROR(vlookup('Ingest Template'!F574,DropDown!D:E,2,false)&amp;'Ingest Template'!C574,""))</f>
        <v/>
      </c>
      <c r="X574" s="25" t="str">
        <f>'Ingest Template'!AA573</f>
        <v/>
      </c>
      <c r="Y574" s="25"/>
      <c r="Z574" s="25"/>
      <c r="AA574" s="25"/>
      <c r="AB574" s="25" t="str">
        <f>'Ingest Template'!T573</f>
        <v/>
      </c>
      <c r="AC574" s="25"/>
      <c r="AD574" s="25" t="str">
        <f>'Ingest Template'!U573</f>
        <v/>
      </c>
      <c r="AE574" s="25" t="str">
        <f>'Ingest Template'!V573</f>
        <v/>
      </c>
      <c r="AF574" s="25"/>
      <c r="AG574" s="25" t="str">
        <f t="array" ref="AG574">IF('Ingest Template'!A573="Standard",(CONCATENATE(IF(ISBLANK('Ingest Template'!O573),"", 'Ingest Template'!O573&amp;"|DAR"),CHAR(10), IF(ISBLANK('Ingest Template'!P573),"", 'Ingest Template'!P573&amp;"|DAR"),CHAR(10), IF(ISBLANK('Ingest Template'!Q573),"", 'Ingest Template'!Q573&amp;"|DAR"))),(CONCATENATE(IF(ISBLANK('Ingest Template'!O573),"", 'Ingest Template'!O573&amp;"|Operations - Core Title"),CHAR(10), IF(ISBLANK('Ingest Template'!P573),"", 'Ingest Template'!P573&amp;"|Operations - Core Title"),CHAR(10), IF(ISBLANK('Ingest Template'!Q573),"", 'Ingest Template'!Q573&amp;"|Operations - Core Title"))))</f>
        <v>#|Operations - Core Title
#videoGame|Operations - Core Title
</v>
      </c>
      <c r="AH574" s="25"/>
      <c r="AI574" s="25"/>
      <c r="AJ574" s="50" t="str">
        <f>if('Ingest Template'!A573="Standard",'Ingest Template'!R573&amp; "|DAR|DAR|2021-01-01",'Ingest Template'!R573&amp; "|Operations - Core Title|Operations - Core Title")</f>
        <v>#N/A</v>
      </c>
      <c r="AK574" s="25"/>
      <c r="AL574" s="25" t="str">
        <f>if('Ingest Template'!A573="Standard",'Ingest Template'!S573&amp; "|2021-01-01",'Ingest Template'!S573)</f>
        <v>#N/A</v>
      </c>
      <c r="AM574" s="25"/>
    </row>
    <row r="575">
      <c r="A575" s="25"/>
      <c r="B575" s="25" t="str">
        <f>'Ingest Template'!C574&amp;IF('Ingest Template'!A574 = "Standard", " - DAR","")</f>
        <v/>
      </c>
      <c r="C575" s="34" t="s">
        <v>92</v>
      </c>
      <c r="D575" s="34" t="str">
        <f>CONCATENATE('Ingest Template'!E575&amp;Char(10)&amp;'Ingest Template'!G575&amp;Char(10)&amp;'Ingest Template'!H575&amp;Char(10)&amp;'Ingest Template'!I575&amp;Char(10)&amp;'Ingest Template'!J575&amp;Char(10)&amp;'Ingest Template'!K575&amp;Char(10)&amp;'Ingest Template'!L575)</f>
        <v>
</v>
      </c>
      <c r="E575" s="25" t="str">
        <f>('Ingest Template'!M575)</f>
        <v/>
      </c>
      <c r="F575" s="40" t="str">
        <f t="array" ref="F575">INDEX(DropDown!$J$2:$J$63,MATCH(1,COUNTIF(E575,DropDown!$I$2:$I$63),0))</f>
        <v>#N/A</v>
      </c>
      <c r="G575" s="25"/>
      <c r="H575" s="25"/>
      <c r="I575" s="25"/>
      <c r="J575" s="25" t="str">
        <f>'Ingest Template'!B575</f>
        <v/>
      </c>
      <c r="K575" s="25" t="str">
        <f>IF('Ingest Template'!A574="Standard",'Ingest Template'!N574,"Competitive View")</f>
        <v>Competitive View</v>
      </c>
      <c r="L575" s="41" t="s">
        <v>145</v>
      </c>
      <c r="M575" s="25" t="str">
        <f>'Ingest Template'!D574</f>
        <v/>
      </c>
      <c r="N575" s="25"/>
      <c r="O575" s="25"/>
      <c r="P575" s="25"/>
      <c r="Q575" s="25"/>
      <c r="R575" s="25" t="str">
        <f>CONCATENATE('Ingest Template'!F574)</f>
        <v/>
      </c>
      <c r="S575" s="43" t="s">
        <v>160</v>
      </c>
      <c r="T575" s="25" t="str">
        <f>'Ingest Template'!W574</f>
        <v/>
      </c>
      <c r="U575" s="25"/>
      <c r="V575" s="25" t="str">
        <f>LOWER(SUBSTITUTE(SUBSTITUTE(SUBSTITUTE(SUBSTITUTE(SUBSTITUTE('Ingest Template'!Y574,"https:",""),"www.",""),"/",""),"?hl=en",""),"instagram.com",""))</f>
        <v/>
      </c>
      <c r="W575" s="34" t="str">
        <f>(IFERROR(vlookup('Ingest Template'!F575,DropDown!D:E,2,false)&amp;'Ingest Template'!C575,""))</f>
        <v/>
      </c>
      <c r="X575" s="25" t="str">
        <f>'Ingest Template'!AA574</f>
        <v/>
      </c>
      <c r="Y575" s="25"/>
      <c r="Z575" s="25"/>
      <c r="AA575" s="25"/>
      <c r="AB575" s="25" t="str">
        <f>'Ingest Template'!T574</f>
        <v/>
      </c>
      <c r="AC575" s="25"/>
      <c r="AD575" s="25" t="str">
        <f>'Ingest Template'!U574</f>
        <v/>
      </c>
      <c r="AE575" s="25" t="str">
        <f>'Ingest Template'!V574</f>
        <v/>
      </c>
      <c r="AF575" s="25"/>
      <c r="AG575" s="25" t="str">
        <f t="array" ref="AG575">IF('Ingest Template'!A574="Standard",(CONCATENATE(IF(ISBLANK('Ingest Template'!O574),"", 'Ingest Template'!O574&amp;"|DAR"),CHAR(10), IF(ISBLANK('Ingest Template'!P574),"", 'Ingest Template'!P574&amp;"|DAR"),CHAR(10), IF(ISBLANK('Ingest Template'!Q574),"", 'Ingest Template'!Q574&amp;"|DAR"))),(CONCATENATE(IF(ISBLANK('Ingest Template'!O574),"", 'Ingest Template'!O574&amp;"|Operations - Core Title"),CHAR(10), IF(ISBLANK('Ingest Template'!P574),"", 'Ingest Template'!P574&amp;"|Operations - Core Title"),CHAR(10), IF(ISBLANK('Ingest Template'!Q574),"", 'Ingest Template'!Q574&amp;"|Operations - Core Title"))))</f>
        <v>#|Operations - Core Title
#videoGame|Operations - Core Title
</v>
      </c>
      <c r="AH575" s="25"/>
      <c r="AI575" s="25"/>
      <c r="AJ575" s="50" t="str">
        <f>if('Ingest Template'!A574="Standard",'Ingest Template'!R574&amp; "|DAR|DAR|2021-01-01",'Ingest Template'!R574&amp; "|Operations - Core Title|Operations - Core Title")</f>
        <v>#N/A</v>
      </c>
      <c r="AK575" s="25"/>
      <c r="AL575" s="25" t="str">
        <f>if('Ingest Template'!A574="Standard",'Ingest Template'!S574&amp; "|2021-01-01",'Ingest Template'!S574)</f>
        <v>#N/A</v>
      </c>
      <c r="AM575" s="25"/>
    </row>
    <row r="576">
      <c r="A576" s="25"/>
      <c r="B576" s="25" t="str">
        <f>'Ingest Template'!C575&amp;IF('Ingest Template'!A575 = "Standard", " - DAR","")</f>
        <v/>
      </c>
      <c r="C576" s="34" t="s">
        <v>92</v>
      </c>
      <c r="D576" s="34" t="str">
        <f>CONCATENATE('Ingest Template'!E576&amp;Char(10)&amp;'Ingest Template'!G576&amp;Char(10)&amp;'Ingest Template'!H576&amp;Char(10)&amp;'Ingest Template'!I576&amp;Char(10)&amp;'Ingest Template'!J576&amp;Char(10)&amp;'Ingest Template'!K576&amp;Char(10)&amp;'Ingest Template'!L576)</f>
        <v>
</v>
      </c>
      <c r="E576" s="25" t="str">
        <f>('Ingest Template'!M576)</f>
        <v/>
      </c>
      <c r="F576" s="40" t="str">
        <f t="array" ref="F576">INDEX(DropDown!$J$2:$J$63,MATCH(1,COUNTIF(E576,DropDown!$I$2:$I$63),0))</f>
        <v>#N/A</v>
      </c>
      <c r="G576" s="25"/>
      <c r="H576" s="25"/>
      <c r="I576" s="25"/>
      <c r="J576" s="25" t="str">
        <f>'Ingest Template'!B576</f>
        <v/>
      </c>
      <c r="K576" s="25" t="str">
        <f>IF('Ingest Template'!A575="Standard",'Ingest Template'!N575,"Competitive View")</f>
        <v>Competitive View</v>
      </c>
      <c r="L576" s="41" t="s">
        <v>145</v>
      </c>
      <c r="M576" s="25" t="str">
        <f>'Ingest Template'!D575</f>
        <v/>
      </c>
      <c r="N576" s="25"/>
      <c r="O576" s="25"/>
      <c r="P576" s="25"/>
      <c r="Q576" s="25"/>
      <c r="R576" s="25" t="str">
        <f>CONCATENATE('Ingest Template'!F575)</f>
        <v/>
      </c>
      <c r="S576" s="43" t="s">
        <v>160</v>
      </c>
      <c r="T576" s="25" t="str">
        <f>'Ingest Template'!W575</f>
        <v/>
      </c>
      <c r="U576" s="25"/>
      <c r="V576" s="25" t="str">
        <f>LOWER(SUBSTITUTE(SUBSTITUTE(SUBSTITUTE(SUBSTITUTE(SUBSTITUTE('Ingest Template'!Y575,"https:",""),"www.",""),"/",""),"?hl=en",""),"instagram.com",""))</f>
        <v/>
      </c>
      <c r="W576" s="34" t="str">
        <f>(IFERROR(vlookup('Ingest Template'!F576,DropDown!D:E,2,false)&amp;'Ingest Template'!C576,""))</f>
        <v/>
      </c>
      <c r="X576" s="25" t="str">
        <f>'Ingest Template'!AA575</f>
        <v/>
      </c>
      <c r="Y576" s="25"/>
      <c r="Z576" s="25"/>
      <c r="AA576" s="25"/>
      <c r="AB576" s="25" t="str">
        <f>'Ingest Template'!T575</f>
        <v/>
      </c>
      <c r="AC576" s="25"/>
      <c r="AD576" s="25" t="str">
        <f>'Ingest Template'!U575</f>
        <v/>
      </c>
      <c r="AE576" s="25" t="str">
        <f>'Ingest Template'!V575</f>
        <v/>
      </c>
      <c r="AF576" s="25"/>
      <c r="AG576" s="25" t="str">
        <f t="array" ref="AG576">IF('Ingest Template'!A575="Standard",(CONCATENATE(IF(ISBLANK('Ingest Template'!O575),"", 'Ingest Template'!O575&amp;"|DAR"),CHAR(10), IF(ISBLANK('Ingest Template'!P575),"", 'Ingest Template'!P575&amp;"|DAR"),CHAR(10), IF(ISBLANK('Ingest Template'!Q575),"", 'Ingest Template'!Q575&amp;"|DAR"))),(CONCATENATE(IF(ISBLANK('Ingest Template'!O575),"", 'Ingest Template'!O575&amp;"|Operations - Core Title"),CHAR(10), IF(ISBLANK('Ingest Template'!P575),"", 'Ingest Template'!P575&amp;"|Operations - Core Title"),CHAR(10), IF(ISBLANK('Ingest Template'!Q575),"", 'Ingest Template'!Q575&amp;"|Operations - Core Title"))))</f>
        <v>#|Operations - Core Title
#videoGame|Operations - Core Title
</v>
      </c>
      <c r="AH576" s="25"/>
      <c r="AI576" s="25"/>
      <c r="AJ576" s="50" t="str">
        <f>if('Ingest Template'!A575="Standard",'Ingest Template'!R575&amp; "|DAR|DAR|2021-01-01",'Ingest Template'!R575&amp; "|Operations - Core Title|Operations - Core Title")</f>
        <v>#N/A</v>
      </c>
      <c r="AK576" s="25"/>
      <c r="AL576" s="25" t="str">
        <f>if('Ingest Template'!A575="Standard",'Ingest Template'!S575&amp; "|2021-01-01",'Ingest Template'!S575)</f>
        <v>#N/A</v>
      </c>
      <c r="AM576" s="25"/>
    </row>
    <row r="577">
      <c r="A577" s="25"/>
      <c r="B577" s="25" t="str">
        <f>'Ingest Template'!C576&amp;IF('Ingest Template'!A576 = "Standard", " - DAR","")</f>
        <v/>
      </c>
      <c r="C577" s="34" t="s">
        <v>92</v>
      </c>
      <c r="D577" s="34" t="str">
        <f>CONCATENATE('Ingest Template'!E577&amp;Char(10)&amp;'Ingest Template'!G577&amp;Char(10)&amp;'Ingest Template'!H577&amp;Char(10)&amp;'Ingest Template'!I577&amp;Char(10)&amp;'Ingest Template'!J577&amp;Char(10)&amp;'Ingest Template'!K577&amp;Char(10)&amp;'Ingest Template'!L577)</f>
        <v>
</v>
      </c>
      <c r="E577" s="25" t="str">
        <f>('Ingest Template'!M577)</f>
        <v/>
      </c>
      <c r="F577" s="40" t="str">
        <f t="array" ref="F577">INDEX(DropDown!$J$2:$J$63,MATCH(1,COUNTIF(E577,DropDown!$I$2:$I$63),0))</f>
        <v>#N/A</v>
      </c>
      <c r="G577" s="25"/>
      <c r="H577" s="25"/>
      <c r="I577" s="25"/>
      <c r="J577" s="25" t="str">
        <f>'Ingest Template'!B577</f>
        <v/>
      </c>
      <c r="K577" s="25" t="str">
        <f>IF('Ingest Template'!A576="Standard",'Ingest Template'!N576,"Competitive View")</f>
        <v>Competitive View</v>
      </c>
      <c r="L577" s="41" t="s">
        <v>145</v>
      </c>
      <c r="M577" s="25" t="str">
        <f>'Ingest Template'!D576</f>
        <v/>
      </c>
      <c r="N577" s="25"/>
      <c r="O577" s="25"/>
      <c r="P577" s="25"/>
      <c r="Q577" s="25"/>
      <c r="R577" s="25" t="str">
        <f>CONCATENATE('Ingest Template'!F576)</f>
        <v/>
      </c>
      <c r="S577" s="43" t="s">
        <v>160</v>
      </c>
      <c r="T577" s="25" t="str">
        <f>'Ingest Template'!W576</f>
        <v/>
      </c>
      <c r="U577" s="25"/>
      <c r="V577" s="25" t="str">
        <f>LOWER(SUBSTITUTE(SUBSTITUTE(SUBSTITUTE(SUBSTITUTE(SUBSTITUTE('Ingest Template'!Y576,"https:",""),"www.",""),"/",""),"?hl=en",""),"instagram.com",""))</f>
        <v/>
      </c>
      <c r="W577" s="34" t="str">
        <f>(IFERROR(vlookup('Ingest Template'!F577,DropDown!D:E,2,false)&amp;'Ingest Template'!C577,""))</f>
        <v/>
      </c>
      <c r="X577" s="25" t="str">
        <f>'Ingest Template'!AA576</f>
        <v/>
      </c>
      <c r="Y577" s="25"/>
      <c r="Z577" s="25"/>
      <c r="AA577" s="25"/>
      <c r="AB577" s="25" t="str">
        <f>'Ingest Template'!T576</f>
        <v/>
      </c>
      <c r="AC577" s="25"/>
      <c r="AD577" s="25" t="str">
        <f>'Ingest Template'!U576</f>
        <v/>
      </c>
      <c r="AE577" s="25" t="str">
        <f>'Ingest Template'!V576</f>
        <v/>
      </c>
      <c r="AF577" s="25"/>
      <c r="AG577" s="25" t="str">
        <f t="array" ref="AG577">IF('Ingest Template'!A576="Standard",(CONCATENATE(IF(ISBLANK('Ingest Template'!O576),"", 'Ingest Template'!O576&amp;"|DAR"),CHAR(10), IF(ISBLANK('Ingest Template'!P576),"", 'Ingest Template'!P576&amp;"|DAR"),CHAR(10), IF(ISBLANK('Ingest Template'!Q576),"", 'Ingest Template'!Q576&amp;"|DAR"))),(CONCATENATE(IF(ISBLANK('Ingest Template'!O576),"", 'Ingest Template'!O576&amp;"|Operations - Core Title"),CHAR(10), IF(ISBLANK('Ingest Template'!P576),"", 'Ingest Template'!P576&amp;"|Operations - Core Title"),CHAR(10), IF(ISBLANK('Ingest Template'!Q576),"", 'Ingest Template'!Q576&amp;"|Operations - Core Title"))))</f>
        <v>#|Operations - Core Title
#videoGame|Operations - Core Title
</v>
      </c>
      <c r="AH577" s="25"/>
      <c r="AI577" s="25"/>
      <c r="AJ577" s="50" t="str">
        <f>if('Ingest Template'!A576="Standard",'Ingest Template'!R576&amp; "|DAR|DAR|2021-01-01",'Ingest Template'!R576&amp; "|Operations - Core Title|Operations - Core Title")</f>
        <v>#N/A</v>
      </c>
      <c r="AK577" s="25"/>
      <c r="AL577" s="25" t="str">
        <f>if('Ingest Template'!A576="Standard",'Ingest Template'!S576&amp; "|2021-01-01",'Ingest Template'!S576)</f>
        <v>#N/A</v>
      </c>
      <c r="AM577" s="25"/>
    </row>
    <row r="578">
      <c r="A578" s="25"/>
      <c r="B578" s="25" t="str">
        <f>'Ingest Template'!C577&amp;IF('Ingest Template'!A577 = "Standard", " - DAR","")</f>
        <v/>
      </c>
      <c r="C578" s="34" t="s">
        <v>92</v>
      </c>
      <c r="D578" s="34" t="str">
        <f>CONCATENATE('Ingest Template'!E578&amp;Char(10)&amp;'Ingest Template'!G578&amp;Char(10)&amp;'Ingest Template'!H578&amp;Char(10)&amp;'Ingest Template'!I578&amp;Char(10)&amp;'Ingest Template'!J578&amp;Char(10)&amp;'Ingest Template'!K578&amp;Char(10)&amp;'Ingest Template'!L578)</f>
        <v>
</v>
      </c>
      <c r="E578" s="25" t="str">
        <f>('Ingest Template'!M578)</f>
        <v/>
      </c>
      <c r="F578" s="40" t="str">
        <f t="array" ref="F578">INDEX(DropDown!$J$2:$J$63,MATCH(1,COUNTIF(E578,DropDown!$I$2:$I$63),0))</f>
        <v>#N/A</v>
      </c>
      <c r="G578" s="25"/>
      <c r="H578" s="25"/>
      <c r="I578" s="25"/>
      <c r="J578" s="25" t="str">
        <f>'Ingest Template'!B578</f>
        <v/>
      </c>
      <c r="K578" s="25" t="str">
        <f>IF('Ingest Template'!A577="Standard",'Ingest Template'!N577,"Competitive View")</f>
        <v>Competitive View</v>
      </c>
      <c r="L578" s="41" t="s">
        <v>145</v>
      </c>
      <c r="M578" s="25" t="str">
        <f>'Ingest Template'!D577</f>
        <v/>
      </c>
      <c r="N578" s="25"/>
      <c r="O578" s="25"/>
      <c r="P578" s="25"/>
      <c r="Q578" s="25"/>
      <c r="R578" s="25" t="str">
        <f>CONCATENATE('Ingest Template'!F577)</f>
        <v/>
      </c>
      <c r="S578" s="43" t="s">
        <v>160</v>
      </c>
      <c r="T578" s="25" t="str">
        <f>'Ingest Template'!W577</f>
        <v/>
      </c>
      <c r="U578" s="25"/>
      <c r="V578" s="25" t="str">
        <f>LOWER(SUBSTITUTE(SUBSTITUTE(SUBSTITUTE(SUBSTITUTE(SUBSTITUTE('Ingest Template'!Y577,"https:",""),"www.",""),"/",""),"?hl=en",""),"instagram.com",""))</f>
        <v/>
      </c>
      <c r="W578" s="34" t="str">
        <f>(IFERROR(vlookup('Ingest Template'!F578,DropDown!D:E,2,false)&amp;'Ingest Template'!C578,""))</f>
        <v/>
      </c>
      <c r="X578" s="25" t="str">
        <f>'Ingest Template'!AA577</f>
        <v/>
      </c>
      <c r="Y578" s="25"/>
      <c r="Z578" s="25"/>
      <c r="AA578" s="25"/>
      <c r="AB578" s="25" t="str">
        <f>'Ingest Template'!T577</f>
        <v/>
      </c>
      <c r="AC578" s="25"/>
      <c r="AD578" s="25" t="str">
        <f>'Ingest Template'!U577</f>
        <v/>
      </c>
      <c r="AE578" s="25" t="str">
        <f>'Ingest Template'!V577</f>
        <v/>
      </c>
      <c r="AF578" s="25"/>
      <c r="AG578" s="25" t="str">
        <f t="array" ref="AG578">IF('Ingest Template'!A577="Standard",(CONCATENATE(IF(ISBLANK('Ingest Template'!O577),"", 'Ingest Template'!O577&amp;"|DAR"),CHAR(10), IF(ISBLANK('Ingest Template'!P577),"", 'Ingest Template'!P577&amp;"|DAR"),CHAR(10), IF(ISBLANK('Ingest Template'!Q577),"", 'Ingest Template'!Q577&amp;"|DAR"))),(CONCATENATE(IF(ISBLANK('Ingest Template'!O577),"", 'Ingest Template'!O577&amp;"|Operations - Core Title"),CHAR(10), IF(ISBLANK('Ingest Template'!P577),"", 'Ingest Template'!P577&amp;"|Operations - Core Title"),CHAR(10), IF(ISBLANK('Ingest Template'!Q577),"", 'Ingest Template'!Q577&amp;"|Operations - Core Title"))))</f>
        <v>#|Operations - Core Title
#videoGame|Operations - Core Title
</v>
      </c>
      <c r="AH578" s="25"/>
      <c r="AI578" s="25"/>
      <c r="AJ578" s="50" t="str">
        <f>if('Ingest Template'!A577="Standard",'Ingest Template'!R577&amp; "|DAR|DAR|2021-01-01",'Ingest Template'!R577&amp; "|Operations - Core Title|Operations - Core Title")</f>
        <v>#N/A</v>
      </c>
      <c r="AK578" s="25"/>
      <c r="AL578" s="25" t="str">
        <f>if('Ingest Template'!A577="Standard",'Ingest Template'!S577&amp; "|2021-01-01",'Ingest Template'!S577)</f>
        <v>#N/A</v>
      </c>
      <c r="AM578" s="25"/>
    </row>
    <row r="579">
      <c r="A579" s="25"/>
      <c r="B579" s="25" t="str">
        <f>'Ingest Template'!C578&amp;IF('Ingest Template'!A578 = "Standard", " - DAR","")</f>
        <v/>
      </c>
      <c r="C579" s="34" t="s">
        <v>92</v>
      </c>
      <c r="D579" s="34" t="str">
        <f>CONCATENATE('Ingest Template'!E579&amp;Char(10)&amp;'Ingest Template'!G579&amp;Char(10)&amp;'Ingest Template'!H579&amp;Char(10)&amp;'Ingest Template'!I579&amp;Char(10)&amp;'Ingest Template'!J579&amp;Char(10)&amp;'Ingest Template'!K579&amp;Char(10)&amp;'Ingest Template'!L579)</f>
        <v>
</v>
      </c>
      <c r="E579" s="25" t="str">
        <f>('Ingest Template'!M579)</f>
        <v/>
      </c>
      <c r="F579" s="40" t="str">
        <f t="array" ref="F579">INDEX(DropDown!$J$2:$J$63,MATCH(1,COUNTIF(E579,DropDown!$I$2:$I$63),0))</f>
        <v>#N/A</v>
      </c>
      <c r="G579" s="25"/>
      <c r="H579" s="25"/>
      <c r="I579" s="25"/>
      <c r="J579" s="25" t="str">
        <f>'Ingest Template'!B579</f>
        <v/>
      </c>
      <c r="K579" s="25" t="str">
        <f>IF('Ingest Template'!A578="Standard",'Ingest Template'!N578,"Competitive View")</f>
        <v>Competitive View</v>
      </c>
      <c r="L579" s="41" t="s">
        <v>145</v>
      </c>
      <c r="M579" s="25" t="str">
        <f>'Ingest Template'!D578</f>
        <v/>
      </c>
      <c r="N579" s="25"/>
      <c r="O579" s="25"/>
      <c r="P579" s="25"/>
      <c r="Q579" s="25"/>
      <c r="R579" s="25" t="str">
        <f>CONCATENATE('Ingest Template'!F578)</f>
        <v/>
      </c>
      <c r="S579" s="43" t="s">
        <v>160</v>
      </c>
      <c r="T579" s="25" t="str">
        <f>'Ingest Template'!W578</f>
        <v/>
      </c>
      <c r="U579" s="25"/>
      <c r="V579" s="25" t="str">
        <f>LOWER(SUBSTITUTE(SUBSTITUTE(SUBSTITUTE(SUBSTITUTE(SUBSTITUTE('Ingest Template'!Y578,"https:",""),"www.",""),"/",""),"?hl=en",""),"instagram.com",""))</f>
        <v/>
      </c>
      <c r="W579" s="34" t="str">
        <f>(IFERROR(vlookup('Ingest Template'!F579,DropDown!D:E,2,false)&amp;'Ingest Template'!C579,""))</f>
        <v/>
      </c>
      <c r="X579" s="25" t="str">
        <f>'Ingest Template'!AA578</f>
        <v/>
      </c>
      <c r="Y579" s="25"/>
      <c r="Z579" s="25"/>
      <c r="AA579" s="25"/>
      <c r="AB579" s="25" t="str">
        <f>'Ingest Template'!T578</f>
        <v/>
      </c>
      <c r="AC579" s="25"/>
      <c r="AD579" s="25" t="str">
        <f>'Ingest Template'!U578</f>
        <v/>
      </c>
      <c r="AE579" s="25" t="str">
        <f>'Ingest Template'!V578</f>
        <v/>
      </c>
      <c r="AF579" s="25"/>
      <c r="AG579" s="25" t="str">
        <f t="array" ref="AG579">IF('Ingest Template'!A578="Standard",(CONCATENATE(IF(ISBLANK('Ingest Template'!O578),"", 'Ingest Template'!O578&amp;"|DAR"),CHAR(10), IF(ISBLANK('Ingest Template'!P578),"", 'Ingest Template'!P578&amp;"|DAR"),CHAR(10), IF(ISBLANK('Ingest Template'!Q578),"", 'Ingest Template'!Q578&amp;"|DAR"))),(CONCATENATE(IF(ISBLANK('Ingest Template'!O578),"", 'Ingest Template'!O578&amp;"|Operations - Core Title"),CHAR(10), IF(ISBLANK('Ingest Template'!P578),"", 'Ingest Template'!P578&amp;"|Operations - Core Title"),CHAR(10), IF(ISBLANK('Ingest Template'!Q578),"", 'Ingest Template'!Q578&amp;"|Operations - Core Title"))))</f>
        <v>#|Operations - Core Title
#videoGame|Operations - Core Title
</v>
      </c>
      <c r="AH579" s="25"/>
      <c r="AI579" s="25"/>
      <c r="AJ579" s="50" t="str">
        <f>if('Ingest Template'!A578="Standard",'Ingest Template'!R578&amp; "|DAR|DAR|2021-01-01",'Ingest Template'!R578&amp; "|Operations - Core Title|Operations - Core Title")</f>
        <v>#N/A</v>
      </c>
      <c r="AK579" s="25"/>
      <c r="AL579" s="25" t="str">
        <f>if('Ingest Template'!A578="Standard",'Ingest Template'!S578&amp; "|2021-01-01",'Ingest Template'!S578)</f>
        <v>#N/A</v>
      </c>
      <c r="AM579" s="25"/>
    </row>
    <row r="580">
      <c r="A580" s="25"/>
      <c r="B580" s="25" t="str">
        <f>'Ingest Template'!C579&amp;IF('Ingest Template'!A579 = "Standard", " - DAR","")</f>
        <v/>
      </c>
      <c r="C580" s="34" t="s">
        <v>92</v>
      </c>
      <c r="D580" s="34" t="str">
        <f>CONCATENATE('Ingest Template'!E580&amp;Char(10)&amp;'Ingest Template'!G580&amp;Char(10)&amp;'Ingest Template'!H580&amp;Char(10)&amp;'Ingest Template'!I580&amp;Char(10)&amp;'Ingest Template'!J580&amp;Char(10)&amp;'Ingest Template'!K580&amp;Char(10)&amp;'Ingest Template'!L580)</f>
        <v>
</v>
      </c>
      <c r="E580" s="25" t="str">
        <f>('Ingest Template'!M580)</f>
        <v/>
      </c>
      <c r="F580" s="40" t="str">
        <f t="array" ref="F580">INDEX(DropDown!$J$2:$J$63,MATCH(1,COUNTIF(E580,DropDown!$I$2:$I$63),0))</f>
        <v>#N/A</v>
      </c>
      <c r="G580" s="25"/>
      <c r="H580" s="25"/>
      <c r="I580" s="25"/>
      <c r="J580" s="25" t="str">
        <f>'Ingest Template'!B580</f>
        <v/>
      </c>
      <c r="K580" s="25" t="str">
        <f>IF('Ingest Template'!A579="Standard",'Ingest Template'!N579,"Competitive View")</f>
        <v>Competitive View</v>
      </c>
      <c r="L580" s="41" t="s">
        <v>145</v>
      </c>
      <c r="M580" s="25" t="str">
        <f>'Ingest Template'!D579</f>
        <v/>
      </c>
      <c r="N580" s="25"/>
      <c r="O580" s="25"/>
      <c r="P580" s="25"/>
      <c r="Q580" s="25"/>
      <c r="R580" s="25" t="str">
        <f>CONCATENATE('Ingest Template'!F579)</f>
        <v/>
      </c>
      <c r="S580" s="43" t="s">
        <v>160</v>
      </c>
      <c r="T580" s="25" t="str">
        <f>'Ingest Template'!W579</f>
        <v/>
      </c>
      <c r="U580" s="25"/>
      <c r="V580" s="25" t="str">
        <f>LOWER(SUBSTITUTE(SUBSTITUTE(SUBSTITUTE(SUBSTITUTE(SUBSTITUTE('Ingest Template'!Y579,"https:",""),"www.",""),"/",""),"?hl=en",""),"instagram.com",""))</f>
        <v/>
      </c>
      <c r="W580" s="34" t="str">
        <f>(IFERROR(vlookup('Ingest Template'!F580,DropDown!D:E,2,false)&amp;'Ingest Template'!C580,""))</f>
        <v/>
      </c>
      <c r="X580" s="25" t="str">
        <f>'Ingest Template'!AA579</f>
        <v/>
      </c>
      <c r="Y580" s="25"/>
      <c r="Z580" s="25"/>
      <c r="AA580" s="25"/>
      <c r="AB580" s="25" t="str">
        <f>'Ingest Template'!T579</f>
        <v/>
      </c>
      <c r="AC580" s="25"/>
      <c r="AD580" s="25" t="str">
        <f>'Ingest Template'!U579</f>
        <v/>
      </c>
      <c r="AE580" s="25" t="str">
        <f>'Ingest Template'!V579</f>
        <v/>
      </c>
      <c r="AF580" s="25"/>
      <c r="AG580" s="25" t="str">
        <f t="array" ref="AG580">IF('Ingest Template'!A579="Standard",(CONCATENATE(IF(ISBLANK('Ingest Template'!O579),"", 'Ingest Template'!O579&amp;"|DAR"),CHAR(10), IF(ISBLANK('Ingest Template'!P579),"", 'Ingest Template'!P579&amp;"|DAR"),CHAR(10), IF(ISBLANK('Ingest Template'!Q579),"", 'Ingest Template'!Q579&amp;"|DAR"))),(CONCATENATE(IF(ISBLANK('Ingest Template'!O579),"", 'Ingest Template'!O579&amp;"|Operations - Core Title"),CHAR(10), IF(ISBLANK('Ingest Template'!P579),"", 'Ingest Template'!P579&amp;"|Operations - Core Title"),CHAR(10), IF(ISBLANK('Ingest Template'!Q579),"", 'Ingest Template'!Q579&amp;"|Operations - Core Title"))))</f>
        <v>#|Operations - Core Title
#videoGame|Operations - Core Title
</v>
      </c>
      <c r="AH580" s="25"/>
      <c r="AI580" s="25"/>
      <c r="AJ580" s="50" t="str">
        <f>if('Ingest Template'!A579="Standard",'Ingest Template'!R579&amp; "|DAR|DAR|2021-01-01",'Ingest Template'!R579&amp; "|Operations - Core Title|Operations - Core Title")</f>
        <v>#N/A</v>
      </c>
      <c r="AK580" s="25"/>
      <c r="AL580" s="25" t="str">
        <f>if('Ingest Template'!A579="Standard",'Ingest Template'!S579&amp; "|2021-01-01",'Ingest Template'!S579)</f>
        <v>#N/A</v>
      </c>
      <c r="AM580" s="25"/>
    </row>
    <row r="581">
      <c r="A581" s="25"/>
      <c r="B581" s="25" t="str">
        <f>'Ingest Template'!C580&amp;IF('Ingest Template'!A580 = "Standard", " - DAR","")</f>
        <v/>
      </c>
      <c r="C581" s="34" t="s">
        <v>92</v>
      </c>
      <c r="D581" s="34" t="str">
        <f>CONCATENATE('Ingest Template'!E581&amp;Char(10)&amp;'Ingest Template'!G581&amp;Char(10)&amp;'Ingest Template'!H581&amp;Char(10)&amp;'Ingest Template'!I581&amp;Char(10)&amp;'Ingest Template'!J581&amp;Char(10)&amp;'Ingest Template'!K581&amp;Char(10)&amp;'Ingest Template'!L581)</f>
        <v>
</v>
      </c>
      <c r="E581" s="25" t="str">
        <f>('Ingest Template'!M581)</f>
        <v/>
      </c>
      <c r="F581" s="40" t="str">
        <f t="array" ref="F581">INDEX(DropDown!$J$2:$J$63,MATCH(1,COUNTIF(E581,DropDown!$I$2:$I$63),0))</f>
        <v>#N/A</v>
      </c>
      <c r="G581" s="25"/>
      <c r="H581" s="25"/>
      <c r="I581" s="25"/>
      <c r="J581" s="25" t="str">
        <f>'Ingest Template'!B581</f>
        <v/>
      </c>
      <c r="K581" s="25" t="str">
        <f>IF('Ingest Template'!A580="Standard",'Ingest Template'!N580,"Competitive View")</f>
        <v>Competitive View</v>
      </c>
      <c r="L581" s="41" t="s">
        <v>145</v>
      </c>
      <c r="M581" s="25" t="str">
        <f>'Ingest Template'!D580</f>
        <v/>
      </c>
      <c r="N581" s="25"/>
      <c r="O581" s="25"/>
      <c r="P581" s="25"/>
      <c r="Q581" s="25"/>
      <c r="R581" s="25" t="str">
        <f>CONCATENATE('Ingest Template'!F580)</f>
        <v/>
      </c>
      <c r="S581" s="43" t="s">
        <v>160</v>
      </c>
      <c r="T581" s="25" t="str">
        <f>'Ingest Template'!W580</f>
        <v/>
      </c>
      <c r="U581" s="25"/>
      <c r="V581" s="25" t="str">
        <f>LOWER(SUBSTITUTE(SUBSTITUTE(SUBSTITUTE(SUBSTITUTE(SUBSTITUTE('Ingest Template'!Y580,"https:",""),"www.",""),"/",""),"?hl=en",""),"instagram.com",""))</f>
        <v/>
      </c>
      <c r="W581" s="34" t="str">
        <f>(IFERROR(vlookup('Ingest Template'!F581,DropDown!D:E,2,false)&amp;'Ingest Template'!C581,""))</f>
        <v/>
      </c>
      <c r="X581" s="25" t="str">
        <f>'Ingest Template'!AA580</f>
        <v/>
      </c>
      <c r="Y581" s="25"/>
      <c r="Z581" s="25"/>
      <c r="AA581" s="25"/>
      <c r="AB581" s="25" t="str">
        <f>'Ingest Template'!T580</f>
        <v/>
      </c>
      <c r="AC581" s="25"/>
      <c r="AD581" s="25" t="str">
        <f>'Ingest Template'!U580</f>
        <v/>
      </c>
      <c r="AE581" s="25" t="str">
        <f>'Ingest Template'!V580</f>
        <v/>
      </c>
      <c r="AF581" s="25"/>
      <c r="AG581" s="25" t="str">
        <f t="array" ref="AG581">IF('Ingest Template'!A580="Standard",(CONCATENATE(IF(ISBLANK('Ingest Template'!O580),"", 'Ingest Template'!O580&amp;"|DAR"),CHAR(10), IF(ISBLANK('Ingest Template'!P580),"", 'Ingest Template'!P580&amp;"|DAR"),CHAR(10), IF(ISBLANK('Ingest Template'!Q580),"", 'Ingest Template'!Q580&amp;"|DAR"))),(CONCATENATE(IF(ISBLANK('Ingest Template'!O580),"", 'Ingest Template'!O580&amp;"|Operations - Core Title"),CHAR(10), IF(ISBLANK('Ingest Template'!P580),"", 'Ingest Template'!P580&amp;"|Operations - Core Title"),CHAR(10), IF(ISBLANK('Ingest Template'!Q580),"", 'Ingest Template'!Q580&amp;"|Operations - Core Title"))))</f>
        <v>#|Operations - Core Title
#videoGame|Operations - Core Title
</v>
      </c>
      <c r="AH581" s="25"/>
      <c r="AI581" s="25"/>
      <c r="AJ581" s="50" t="str">
        <f>if('Ingest Template'!A580="Standard",'Ingest Template'!R580&amp; "|DAR|DAR|2021-01-01",'Ingest Template'!R580&amp; "|Operations - Core Title|Operations - Core Title")</f>
        <v>#N/A</v>
      </c>
      <c r="AK581" s="25"/>
      <c r="AL581" s="25" t="str">
        <f>if('Ingest Template'!A580="Standard",'Ingest Template'!S580&amp; "|2021-01-01",'Ingest Template'!S580)</f>
        <v>#N/A</v>
      </c>
      <c r="AM581" s="25"/>
    </row>
    <row r="582">
      <c r="A582" s="25"/>
      <c r="B582" s="25" t="str">
        <f>'Ingest Template'!C581&amp;IF('Ingest Template'!A581 = "Standard", " - DAR","")</f>
        <v/>
      </c>
      <c r="C582" s="34" t="s">
        <v>92</v>
      </c>
      <c r="D582" s="34" t="str">
        <f>CONCATENATE('Ingest Template'!E582&amp;Char(10)&amp;'Ingest Template'!G582&amp;Char(10)&amp;'Ingest Template'!H582&amp;Char(10)&amp;'Ingest Template'!I582&amp;Char(10)&amp;'Ingest Template'!J582&amp;Char(10)&amp;'Ingest Template'!K582&amp;Char(10)&amp;'Ingest Template'!L582)</f>
        <v>
</v>
      </c>
      <c r="E582" s="25" t="str">
        <f>('Ingest Template'!M582)</f>
        <v/>
      </c>
      <c r="F582" s="40" t="str">
        <f t="array" ref="F582">INDEX(DropDown!$J$2:$J$63,MATCH(1,COUNTIF(E582,DropDown!$I$2:$I$63),0))</f>
        <v>#N/A</v>
      </c>
      <c r="G582" s="25"/>
      <c r="H582" s="25"/>
      <c r="I582" s="25"/>
      <c r="J582" s="25" t="str">
        <f>'Ingest Template'!B582</f>
        <v/>
      </c>
      <c r="K582" s="25" t="str">
        <f>IF('Ingest Template'!A581="Standard",'Ingest Template'!N581,"Competitive View")</f>
        <v>Competitive View</v>
      </c>
      <c r="L582" s="41" t="s">
        <v>145</v>
      </c>
      <c r="M582" s="25" t="str">
        <f>'Ingest Template'!D581</f>
        <v/>
      </c>
      <c r="N582" s="25"/>
      <c r="O582" s="25"/>
      <c r="P582" s="25"/>
      <c r="Q582" s="25"/>
      <c r="R582" s="25" t="str">
        <f>CONCATENATE('Ingest Template'!F581)</f>
        <v/>
      </c>
      <c r="S582" s="43" t="s">
        <v>160</v>
      </c>
      <c r="T582" s="25" t="str">
        <f>'Ingest Template'!W581</f>
        <v/>
      </c>
      <c r="U582" s="25"/>
      <c r="V582" s="25" t="str">
        <f>LOWER(SUBSTITUTE(SUBSTITUTE(SUBSTITUTE(SUBSTITUTE(SUBSTITUTE('Ingest Template'!Y581,"https:",""),"www.",""),"/",""),"?hl=en",""),"instagram.com",""))</f>
        <v/>
      </c>
      <c r="W582" s="34" t="str">
        <f>(IFERROR(vlookup('Ingest Template'!F582,DropDown!D:E,2,false)&amp;'Ingest Template'!C582,""))</f>
        <v/>
      </c>
      <c r="X582" s="25" t="str">
        <f>'Ingest Template'!AA581</f>
        <v/>
      </c>
      <c r="Y582" s="25"/>
      <c r="Z582" s="25"/>
      <c r="AA582" s="25"/>
      <c r="AB582" s="25" t="str">
        <f>'Ingest Template'!T581</f>
        <v/>
      </c>
      <c r="AC582" s="25"/>
      <c r="AD582" s="25" t="str">
        <f>'Ingest Template'!U581</f>
        <v/>
      </c>
      <c r="AE582" s="25" t="str">
        <f>'Ingest Template'!V581</f>
        <v/>
      </c>
      <c r="AF582" s="25"/>
      <c r="AG582" s="25" t="str">
        <f t="array" ref="AG582">IF('Ingest Template'!A581="Standard",(CONCATENATE(IF(ISBLANK('Ingest Template'!O581),"", 'Ingest Template'!O581&amp;"|DAR"),CHAR(10), IF(ISBLANK('Ingest Template'!P581),"", 'Ingest Template'!P581&amp;"|DAR"),CHAR(10), IF(ISBLANK('Ingest Template'!Q581),"", 'Ingest Template'!Q581&amp;"|DAR"))),(CONCATENATE(IF(ISBLANK('Ingest Template'!O581),"", 'Ingest Template'!O581&amp;"|Operations - Core Title"),CHAR(10), IF(ISBLANK('Ingest Template'!P581),"", 'Ingest Template'!P581&amp;"|Operations - Core Title"),CHAR(10), IF(ISBLANK('Ingest Template'!Q581),"", 'Ingest Template'!Q581&amp;"|Operations - Core Title"))))</f>
        <v>#|Operations - Core Title
#videoGame|Operations - Core Title
</v>
      </c>
      <c r="AH582" s="25"/>
      <c r="AI582" s="25"/>
      <c r="AJ582" s="50" t="str">
        <f>if('Ingest Template'!A581="Standard",'Ingest Template'!R581&amp; "|DAR|DAR|2021-01-01",'Ingest Template'!R581&amp; "|Operations - Core Title|Operations - Core Title")</f>
        <v>#N/A</v>
      </c>
      <c r="AK582" s="25"/>
      <c r="AL582" s="25" t="str">
        <f>if('Ingest Template'!A581="Standard",'Ingest Template'!S581&amp; "|2021-01-01",'Ingest Template'!S581)</f>
        <v>#N/A</v>
      </c>
      <c r="AM582" s="25"/>
    </row>
    <row r="583">
      <c r="A583" s="25"/>
      <c r="B583" s="25" t="str">
        <f>'Ingest Template'!C582&amp;IF('Ingest Template'!A582 = "Standard", " - DAR","")</f>
        <v/>
      </c>
      <c r="C583" s="34" t="s">
        <v>92</v>
      </c>
      <c r="D583" s="34" t="str">
        <f>CONCATENATE('Ingest Template'!E583&amp;Char(10)&amp;'Ingest Template'!G583&amp;Char(10)&amp;'Ingest Template'!H583&amp;Char(10)&amp;'Ingest Template'!I583&amp;Char(10)&amp;'Ingest Template'!J583&amp;Char(10)&amp;'Ingest Template'!K583&amp;Char(10)&amp;'Ingest Template'!L583)</f>
        <v>
</v>
      </c>
      <c r="E583" s="25" t="str">
        <f>('Ingest Template'!M583)</f>
        <v/>
      </c>
      <c r="F583" s="40" t="str">
        <f t="array" ref="F583">INDEX(DropDown!$J$2:$J$63,MATCH(1,COUNTIF(E583,DropDown!$I$2:$I$63),0))</f>
        <v>#N/A</v>
      </c>
      <c r="G583" s="25"/>
      <c r="H583" s="25"/>
      <c r="I583" s="25"/>
      <c r="J583" s="25" t="str">
        <f>'Ingest Template'!B583</f>
        <v/>
      </c>
      <c r="K583" s="25" t="str">
        <f>IF('Ingest Template'!A582="Standard",'Ingest Template'!N582,"Competitive View")</f>
        <v>Competitive View</v>
      </c>
      <c r="L583" s="41" t="s">
        <v>145</v>
      </c>
      <c r="M583" s="25" t="str">
        <f>'Ingest Template'!D582</f>
        <v/>
      </c>
      <c r="N583" s="25"/>
      <c r="O583" s="25"/>
      <c r="P583" s="25"/>
      <c r="Q583" s="25"/>
      <c r="R583" s="25" t="str">
        <f>CONCATENATE('Ingest Template'!F582)</f>
        <v/>
      </c>
      <c r="S583" s="43" t="s">
        <v>160</v>
      </c>
      <c r="T583" s="25" t="str">
        <f>'Ingest Template'!W582</f>
        <v/>
      </c>
      <c r="U583" s="25"/>
      <c r="V583" s="25" t="str">
        <f>LOWER(SUBSTITUTE(SUBSTITUTE(SUBSTITUTE(SUBSTITUTE(SUBSTITUTE('Ingest Template'!Y582,"https:",""),"www.",""),"/",""),"?hl=en",""),"instagram.com",""))</f>
        <v/>
      </c>
      <c r="W583" s="34" t="str">
        <f>(IFERROR(vlookup('Ingest Template'!F583,DropDown!D:E,2,false)&amp;'Ingest Template'!C583,""))</f>
        <v/>
      </c>
      <c r="X583" s="25" t="str">
        <f>'Ingest Template'!AA582</f>
        <v/>
      </c>
      <c r="Y583" s="25"/>
      <c r="Z583" s="25"/>
      <c r="AA583" s="25"/>
      <c r="AB583" s="25" t="str">
        <f>'Ingest Template'!T582</f>
        <v/>
      </c>
      <c r="AC583" s="25"/>
      <c r="AD583" s="25" t="str">
        <f>'Ingest Template'!U582</f>
        <v/>
      </c>
      <c r="AE583" s="25" t="str">
        <f>'Ingest Template'!V582</f>
        <v/>
      </c>
      <c r="AF583" s="25"/>
      <c r="AG583" s="25" t="str">
        <f t="array" ref="AG583">IF('Ingest Template'!A582="Standard",(CONCATENATE(IF(ISBLANK('Ingest Template'!O582),"", 'Ingest Template'!O582&amp;"|DAR"),CHAR(10), IF(ISBLANK('Ingest Template'!P582),"", 'Ingest Template'!P582&amp;"|DAR"),CHAR(10), IF(ISBLANK('Ingest Template'!Q582),"", 'Ingest Template'!Q582&amp;"|DAR"))),(CONCATENATE(IF(ISBLANK('Ingest Template'!O582),"", 'Ingest Template'!O582&amp;"|Operations - Core Title"),CHAR(10), IF(ISBLANK('Ingest Template'!P582),"", 'Ingest Template'!P582&amp;"|Operations - Core Title"),CHAR(10), IF(ISBLANK('Ingest Template'!Q582),"", 'Ingest Template'!Q582&amp;"|Operations - Core Title"))))</f>
        <v>#|Operations - Core Title
#videoGame|Operations - Core Title
</v>
      </c>
      <c r="AH583" s="25"/>
      <c r="AI583" s="25"/>
      <c r="AJ583" s="50" t="str">
        <f>if('Ingest Template'!A582="Standard",'Ingest Template'!R582&amp; "|DAR|DAR|2021-01-01",'Ingest Template'!R582&amp; "|Operations - Core Title|Operations - Core Title")</f>
        <v>#N/A</v>
      </c>
      <c r="AK583" s="25"/>
      <c r="AL583" s="25" t="str">
        <f>if('Ingest Template'!A582="Standard",'Ingest Template'!S582&amp; "|2021-01-01",'Ingest Template'!S582)</f>
        <v>#N/A</v>
      </c>
      <c r="AM583" s="25"/>
    </row>
    <row r="584">
      <c r="A584" s="25"/>
      <c r="B584" s="25" t="str">
        <f>'Ingest Template'!C583&amp;IF('Ingest Template'!A583 = "Standard", " - DAR","")</f>
        <v/>
      </c>
      <c r="C584" s="34" t="s">
        <v>92</v>
      </c>
      <c r="D584" s="34" t="str">
        <f>CONCATENATE('Ingest Template'!E584&amp;Char(10)&amp;'Ingest Template'!G584&amp;Char(10)&amp;'Ingest Template'!H584&amp;Char(10)&amp;'Ingest Template'!I584&amp;Char(10)&amp;'Ingest Template'!J584&amp;Char(10)&amp;'Ingest Template'!K584&amp;Char(10)&amp;'Ingest Template'!L584)</f>
        <v>
</v>
      </c>
      <c r="E584" s="25" t="str">
        <f>('Ingest Template'!M584)</f>
        <v/>
      </c>
      <c r="F584" s="40" t="str">
        <f t="array" ref="F584">INDEX(DropDown!$J$2:$J$63,MATCH(1,COUNTIF(E584,DropDown!$I$2:$I$63),0))</f>
        <v>#N/A</v>
      </c>
      <c r="G584" s="25"/>
      <c r="H584" s="25"/>
      <c r="I584" s="25"/>
      <c r="J584" s="25" t="str">
        <f>'Ingest Template'!B584</f>
        <v/>
      </c>
      <c r="K584" s="25" t="str">
        <f>IF('Ingest Template'!A583="Standard",'Ingest Template'!N583,"Competitive View")</f>
        <v>Competitive View</v>
      </c>
      <c r="L584" s="41" t="s">
        <v>145</v>
      </c>
      <c r="M584" s="25" t="str">
        <f>'Ingest Template'!D583</f>
        <v/>
      </c>
      <c r="N584" s="25"/>
      <c r="O584" s="25"/>
      <c r="P584" s="25"/>
      <c r="Q584" s="25"/>
      <c r="R584" s="25" t="str">
        <f>CONCATENATE('Ingest Template'!F583)</f>
        <v/>
      </c>
      <c r="S584" s="43" t="s">
        <v>160</v>
      </c>
      <c r="T584" s="25" t="str">
        <f>'Ingest Template'!W583</f>
        <v/>
      </c>
      <c r="U584" s="25"/>
      <c r="V584" s="25" t="str">
        <f>LOWER(SUBSTITUTE(SUBSTITUTE(SUBSTITUTE(SUBSTITUTE(SUBSTITUTE('Ingest Template'!Y583,"https:",""),"www.",""),"/",""),"?hl=en",""),"instagram.com",""))</f>
        <v/>
      </c>
      <c r="W584" s="34" t="str">
        <f>(IFERROR(vlookup('Ingest Template'!F584,DropDown!D:E,2,false)&amp;'Ingest Template'!C584,""))</f>
        <v/>
      </c>
      <c r="X584" s="25" t="str">
        <f>'Ingest Template'!AA583</f>
        <v/>
      </c>
      <c r="Y584" s="25"/>
      <c r="Z584" s="25"/>
      <c r="AA584" s="25"/>
      <c r="AB584" s="25" t="str">
        <f>'Ingest Template'!T583</f>
        <v/>
      </c>
      <c r="AC584" s="25"/>
      <c r="AD584" s="25" t="str">
        <f>'Ingest Template'!U583</f>
        <v/>
      </c>
      <c r="AE584" s="25" t="str">
        <f>'Ingest Template'!V583</f>
        <v/>
      </c>
      <c r="AF584" s="25"/>
      <c r="AG584" s="25" t="str">
        <f t="array" ref="AG584">IF('Ingest Template'!A583="Standard",(CONCATENATE(IF(ISBLANK('Ingest Template'!O583),"", 'Ingest Template'!O583&amp;"|DAR"),CHAR(10), IF(ISBLANK('Ingest Template'!P583),"", 'Ingest Template'!P583&amp;"|DAR"),CHAR(10), IF(ISBLANK('Ingest Template'!Q583),"", 'Ingest Template'!Q583&amp;"|DAR"))),(CONCATENATE(IF(ISBLANK('Ingest Template'!O583),"", 'Ingest Template'!O583&amp;"|Operations - Core Title"),CHAR(10), IF(ISBLANK('Ingest Template'!P583),"", 'Ingest Template'!P583&amp;"|Operations - Core Title"),CHAR(10), IF(ISBLANK('Ingest Template'!Q583),"", 'Ingest Template'!Q583&amp;"|Operations - Core Title"))))</f>
        <v>#|Operations - Core Title
#videoGame|Operations - Core Title
</v>
      </c>
      <c r="AH584" s="25"/>
      <c r="AI584" s="25"/>
      <c r="AJ584" s="50" t="str">
        <f>if('Ingest Template'!A583="Standard",'Ingest Template'!R583&amp; "|DAR|DAR|2021-01-01",'Ingest Template'!R583&amp; "|Operations - Core Title|Operations - Core Title")</f>
        <v>#N/A</v>
      </c>
      <c r="AK584" s="25"/>
      <c r="AL584" s="25" t="str">
        <f>if('Ingest Template'!A583="Standard",'Ingest Template'!S583&amp; "|2021-01-01",'Ingest Template'!S583)</f>
        <v>#N/A</v>
      </c>
      <c r="AM584" s="25"/>
    </row>
    <row r="585">
      <c r="A585" s="25"/>
      <c r="B585" s="25" t="str">
        <f>'Ingest Template'!C584&amp;IF('Ingest Template'!A584 = "Standard", " - DAR","")</f>
        <v/>
      </c>
      <c r="C585" s="34" t="s">
        <v>92</v>
      </c>
      <c r="D585" s="34" t="str">
        <f>CONCATENATE('Ingest Template'!E585&amp;Char(10)&amp;'Ingest Template'!G585&amp;Char(10)&amp;'Ingest Template'!H585&amp;Char(10)&amp;'Ingest Template'!I585&amp;Char(10)&amp;'Ingest Template'!J585&amp;Char(10)&amp;'Ingest Template'!K585&amp;Char(10)&amp;'Ingest Template'!L585)</f>
        <v>
</v>
      </c>
      <c r="E585" s="25" t="str">
        <f>('Ingest Template'!M585)</f>
        <v/>
      </c>
      <c r="F585" s="40" t="str">
        <f t="array" ref="F585">INDEX(DropDown!$J$2:$J$63,MATCH(1,COUNTIF(E585,DropDown!$I$2:$I$63),0))</f>
        <v>#N/A</v>
      </c>
      <c r="G585" s="25"/>
      <c r="H585" s="25"/>
      <c r="I585" s="25"/>
      <c r="J585" s="25" t="str">
        <f>'Ingest Template'!B585</f>
        <v/>
      </c>
      <c r="K585" s="25" t="str">
        <f>IF('Ingest Template'!A584="Standard",'Ingest Template'!N584,"Competitive View")</f>
        <v>Competitive View</v>
      </c>
      <c r="L585" s="41" t="s">
        <v>145</v>
      </c>
      <c r="M585" s="25" t="str">
        <f>'Ingest Template'!D584</f>
        <v/>
      </c>
      <c r="N585" s="25"/>
      <c r="O585" s="25"/>
      <c r="P585" s="25"/>
      <c r="Q585" s="25"/>
      <c r="R585" s="25" t="str">
        <f>CONCATENATE('Ingest Template'!F584)</f>
        <v/>
      </c>
      <c r="S585" s="43" t="s">
        <v>160</v>
      </c>
      <c r="T585" s="25" t="str">
        <f>'Ingest Template'!W584</f>
        <v/>
      </c>
      <c r="U585" s="25"/>
      <c r="V585" s="25" t="str">
        <f>LOWER(SUBSTITUTE(SUBSTITUTE(SUBSTITUTE(SUBSTITUTE(SUBSTITUTE('Ingest Template'!Y584,"https:",""),"www.",""),"/",""),"?hl=en",""),"instagram.com",""))</f>
        <v/>
      </c>
      <c r="W585" s="34" t="str">
        <f>(IFERROR(vlookup('Ingest Template'!F585,DropDown!D:E,2,false)&amp;'Ingest Template'!C585,""))</f>
        <v/>
      </c>
      <c r="X585" s="25" t="str">
        <f>'Ingest Template'!AA584</f>
        <v/>
      </c>
      <c r="Y585" s="25"/>
      <c r="Z585" s="25"/>
      <c r="AA585" s="25"/>
      <c r="AB585" s="25" t="str">
        <f>'Ingest Template'!T584</f>
        <v/>
      </c>
      <c r="AC585" s="25"/>
      <c r="AD585" s="25" t="str">
        <f>'Ingest Template'!U584</f>
        <v/>
      </c>
      <c r="AE585" s="25" t="str">
        <f>'Ingest Template'!V584</f>
        <v/>
      </c>
      <c r="AF585" s="25"/>
      <c r="AG585" s="25" t="str">
        <f t="array" ref="AG585">IF('Ingest Template'!A584="Standard",(CONCATENATE(IF(ISBLANK('Ingest Template'!O584),"", 'Ingest Template'!O584&amp;"|DAR"),CHAR(10), IF(ISBLANK('Ingest Template'!P584),"", 'Ingest Template'!P584&amp;"|DAR"),CHAR(10), IF(ISBLANK('Ingest Template'!Q584),"", 'Ingest Template'!Q584&amp;"|DAR"))),(CONCATENATE(IF(ISBLANK('Ingest Template'!O584),"", 'Ingest Template'!O584&amp;"|Operations - Core Title"),CHAR(10), IF(ISBLANK('Ingest Template'!P584),"", 'Ingest Template'!P584&amp;"|Operations - Core Title"),CHAR(10), IF(ISBLANK('Ingest Template'!Q584),"", 'Ingest Template'!Q584&amp;"|Operations - Core Title"))))</f>
        <v>#|Operations - Core Title
#videoGame|Operations - Core Title
</v>
      </c>
      <c r="AH585" s="25"/>
      <c r="AI585" s="25"/>
      <c r="AJ585" s="50" t="str">
        <f>if('Ingest Template'!A584="Standard",'Ingest Template'!R584&amp; "|DAR|DAR|2021-01-01",'Ingest Template'!R584&amp; "|Operations - Core Title|Operations - Core Title")</f>
        <v>#N/A</v>
      </c>
      <c r="AK585" s="25"/>
      <c r="AL585" s="25" t="str">
        <f>if('Ingest Template'!A584="Standard",'Ingest Template'!S584&amp; "|2021-01-01",'Ingest Template'!S584)</f>
        <v>#N/A</v>
      </c>
      <c r="AM585" s="25"/>
    </row>
    <row r="586">
      <c r="A586" s="25"/>
      <c r="B586" s="25" t="str">
        <f>'Ingest Template'!C585&amp;IF('Ingest Template'!A585 = "Standard", " - DAR","")</f>
        <v/>
      </c>
      <c r="C586" s="34" t="s">
        <v>92</v>
      </c>
      <c r="D586" s="34" t="str">
        <f>CONCATENATE('Ingest Template'!E586&amp;Char(10)&amp;'Ingest Template'!G586&amp;Char(10)&amp;'Ingest Template'!H586&amp;Char(10)&amp;'Ingest Template'!I586&amp;Char(10)&amp;'Ingest Template'!J586&amp;Char(10)&amp;'Ingest Template'!K586&amp;Char(10)&amp;'Ingest Template'!L586)</f>
        <v>
</v>
      </c>
      <c r="E586" s="25" t="str">
        <f>('Ingest Template'!M586)</f>
        <v/>
      </c>
      <c r="F586" s="40" t="str">
        <f t="array" ref="F586">INDEX(DropDown!$J$2:$J$63,MATCH(1,COUNTIF(E586,DropDown!$I$2:$I$63),0))</f>
        <v>#N/A</v>
      </c>
      <c r="G586" s="25"/>
      <c r="H586" s="25"/>
      <c r="I586" s="25"/>
      <c r="J586" s="25" t="str">
        <f>'Ingest Template'!B586</f>
        <v/>
      </c>
      <c r="K586" s="25" t="str">
        <f>IF('Ingest Template'!A585="Standard",'Ingest Template'!N585,"Competitive View")</f>
        <v>Competitive View</v>
      </c>
      <c r="L586" s="41" t="s">
        <v>145</v>
      </c>
      <c r="M586" s="25" t="str">
        <f>'Ingest Template'!D585</f>
        <v/>
      </c>
      <c r="N586" s="25"/>
      <c r="O586" s="25"/>
      <c r="P586" s="25"/>
      <c r="Q586" s="25"/>
      <c r="R586" s="25" t="str">
        <f>CONCATENATE('Ingest Template'!F585)</f>
        <v/>
      </c>
      <c r="S586" s="43" t="s">
        <v>160</v>
      </c>
      <c r="T586" s="25" t="str">
        <f>'Ingest Template'!W585</f>
        <v/>
      </c>
      <c r="U586" s="25"/>
      <c r="V586" s="25" t="str">
        <f>LOWER(SUBSTITUTE(SUBSTITUTE(SUBSTITUTE(SUBSTITUTE(SUBSTITUTE('Ingest Template'!Y585,"https:",""),"www.",""),"/",""),"?hl=en",""),"instagram.com",""))</f>
        <v/>
      </c>
      <c r="W586" s="34" t="str">
        <f>(IFERROR(vlookup('Ingest Template'!F586,DropDown!D:E,2,false)&amp;'Ingest Template'!C586,""))</f>
        <v/>
      </c>
      <c r="X586" s="25" t="str">
        <f>'Ingest Template'!AA585</f>
        <v/>
      </c>
      <c r="Y586" s="25"/>
      <c r="Z586" s="25"/>
      <c r="AA586" s="25"/>
      <c r="AB586" s="25" t="str">
        <f>'Ingest Template'!T585</f>
        <v/>
      </c>
      <c r="AC586" s="25"/>
      <c r="AD586" s="25" t="str">
        <f>'Ingest Template'!U585</f>
        <v/>
      </c>
      <c r="AE586" s="25" t="str">
        <f>'Ingest Template'!V585</f>
        <v/>
      </c>
      <c r="AF586" s="25"/>
      <c r="AG586" s="25" t="str">
        <f t="array" ref="AG586">IF('Ingest Template'!A585="Standard",(CONCATENATE(IF(ISBLANK('Ingest Template'!O585),"", 'Ingest Template'!O585&amp;"|DAR"),CHAR(10), IF(ISBLANK('Ingest Template'!P585),"", 'Ingest Template'!P585&amp;"|DAR"),CHAR(10), IF(ISBLANK('Ingest Template'!Q585),"", 'Ingest Template'!Q585&amp;"|DAR"))),(CONCATENATE(IF(ISBLANK('Ingest Template'!O585),"", 'Ingest Template'!O585&amp;"|Operations - Core Title"),CHAR(10), IF(ISBLANK('Ingest Template'!P585),"", 'Ingest Template'!P585&amp;"|Operations - Core Title"),CHAR(10), IF(ISBLANK('Ingest Template'!Q585),"", 'Ingest Template'!Q585&amp;"|Operations - Core Title"))))</f>
        <v>#|Operations - Core Title
#videoGame|Operations - Core Title
</v>
      </c>
      <c r="AH586" s="25"/>
      <c r="AI586" s="25"/>
      <c r="AJ586" s="50" t="str">
        <f>if('Ingest Template'!A585="Standard",'Ingest Template'!R585&amp; "|DAR|DAR|2021-01-01",'Ingest Template'!R585&amp; "|Operations - Core Title|Operations - Core Title")</f>
        <v>#N/A</v>
      </c>
      <c r="AK586" s="25"/>
      <c r="AL586" s="25" t="str">
        <f>if('Ingest Template'!A585="Standard",'Ingest Template'!S585&amp; "|2021-01-01",'Ingest Template'!S585)</f>
        <v>#N/A</v>
      </c>
      <c r="AM586" s="25"/>
    </row>
    <row r="587">
      <c r="A587" s="25"/>
      <c r="B587" s="25" t="str">
        <f>'Ingest Template'!C586&amp;IF('Ingest Template'!A586 = "Standard", " - DAR","")</f>
        <v/>
      </c>
      <c r="C587" s="34" t="s">
        <v>92</v>
      </c>
      <c r="D587" s="34" t="str">
        <f>CONCATENATE('Ingest Template'!E587&amp;Char(10)&amp;'Ingest Template'!G587&amp;Char(10)&amp;'Ingest Template'!H587&amp;Char(10)&amp;'Ingest Template'!I587&amp;Char(10)&amp;'Ingest Template'!J587&amp;Char(10)&amp;'Ingest Template'!K587&amp;Char(10)&amp;'Ingest Template'!L587)</f>
        <v>
</v>
      </c>
      <c r="E587" s="25" t="str">
        <f>('Ingest Template'!M587)</f>
        <v/>
      </c>
      <c r="F587" s="40" t="str">
        <f t="array" ref="F587">INDEX(DropDown!$J$2:$J$63,MATCH(1,COUNTIF(E587,DropDown!$I$2:$I$63),0))</f>
        <v>#N/A</v>
      </c>
      <c r="G587" s="25"/>
      <c r="H587" s="25"/>
      <c r="I587" s="25"/>
      <c r="J587" s="25" t="str">
        <f>'Ingest Template'!B587</f>
        <v/>
      </c>
      <c r="K587" s="25" t="str">
        <f>IF('Ingest Template'!A586="Standard",'Ingest Template'!N586,"Competitive View")</f>
        <v>Competitive View</v>
      </c>
      <c r="L587" s="41" t="s">
        <v>145</v>
      </c>
      <c r="M587" s="25" t="str">
        <f>'Ingest Template'!D586</f>
        <v/>
      </c>
      <c r="N587" s="25"/>
      <c r="O587" s="25"/>
      <c r="P587" s="25"/>
      <c r="Q587" s="25"/>
      <c r="R587" s="25" t="str">
        <f>CONCATENATE('Ingest Template'!F586)</f>
        <v/>
      </c>
      <c r="S587" s="43" t="s">
        <v>160</v>
      </c>
      <c r="T587" s="25" t="str">
        <f>'Ingest Template'!W586</f>
        <v/>
      </c>
      <c r="U587" s="25"/>
      <c r="V587" s="25" t="str">
        <f>LOWER(SUBSTITUTE(SUBSTITUTE(SUBSTITUTE(SUBSTITUTE(SUBSTITUTE('Ingest Template'!Y586,"https:",""),"www.",""),"/",""),"?hl=en",""),"instagram.com",""))</f>
        <v/>
      </c>
      <c r="W587" s="34" t="str">
        <f>(IFERROR(vlookup('Ingest Template'!F587,DropDown!D:E,2,false)&amp;'Ingest Template'!C587,""))</f>
        <v/>
      </c>
      <c r="X587" s="25" t="str">
        <f>'Ingest Template'!AA586</f>
        <v/>
      </c>
      <c r="Y587" s="25"/>
      <c r="Z587" s="25"/>
      <c r="AA587" s="25"/>
      <c r="AB587" s="25" t="str">
        <f>'Ingest Template'!T586</f>
        <v/>
      </c>
      <c r="AC587" s="25"/>
      <c r="AD587" s="25" t="str">
        <f>'Ingest Template'!U586</f>
        <v/>
      </c>
      <c r="AE587" s="25" t="str">
        <f>'Ingest Template'!V586</f>
        <v/>
      </c>
      <c r="AF587" s="25"/>
      <c r="AG587" s="25" t="str">
        <f t="array" ref="AG587">IF('Ingest Template'!A586="Standard",(CONCATENATE(IF(ISBLANK('Ingest Template'!O586),"", 'Ingest Template'!O586&amp;"|DAR"),CHAR(10), IF(ISBLANK('Ingest Template'!P586),"", 'Ingest Template'!P586&amp;"|DAR"),CHAR(10), IF(ISBLANK('Ingest Template'!Q586),"", 'Ingest Template'!Q586&amp;"|DAR"))),(CONCATENATE(IF(ISBLANK('Ingest Template'!O586),"", 'Ingest Template'!O586&amp;"|Operations - Core Title"),CHAR(10), IF(ISBLANK('Ingest Template'!P586),"", 'Ingest Template'!P586&amp;"|Operations - Core Title"),CHAR(10), IF(ISBLANK('Ingest Template'!Q586),"", 'Ingest Template'!Q586&amp;"|Operations - Core Title"))))</f>
        <v>#|Operations - Core Title
#videoGame|Operations - Core Title
</v>
      </c>
      <c r="AH587" s="25"/>
      <c r="AI587" s="25"/>
      <c r="AJ587" s="50" t="str">
        <f>if('Ingest Template'!A586="Standard",'Ingest Template'!R586&amp; "|DAR|DAR|2021-01-01",'Ingest Template'!R586&amp; "|Operations - Core Title|Operations - Core Title")</f>
        <v>#N/A</v>
      </c>
      <c r="AK587" s="25"/>
      <c r="AL587" s="25" t="str">
        <f>if('Ingest Template'!A586="Standard",'Ingest Template'!S586&amp; "|2021-01-01",'Ingest Template'!S586)</f>
        <v>#N/A</v>
      </c>
      <c r="AM587" s="25"/>
    </row>
    <row r="588">
      <c r="A588" s="25"/>
      <c r="B588" s="25" t="str">
        <f>'Ingest Template'!C587&amp;IF('Ingest Template'!A587 = "Standard", " - DAR","")</f>
        <v/>
      </c>
      <c r="C588" s="34" t="s">
        <v>92</v>
      </c>
      <c r="D588" s="34" t="str">
        <f>CONCATENATE('Ingest Template'!E588&amp;Char(10)&amp;'Ingest Template'!G588&amp;Char(10)&amp;'Ingest Template'!H588&amp;Char(10)&amp;'Ingest Template'!I588&amp;Char(10)&amp;'Ingest Template'!J588&amp;Char(10)&amp;'Ingest Template'!K588&amp;Char(10)&amp;'Ingest Template'!L588)</f>
        <v>
</v>
      </c>
      <c r="E588" s="25" t="str">
        <f>('Ingest Template'!M588)</f>
        <v/>
      </c>
      <c r="F588" s="40" t="str">
        <f t="array" ref="F588">INDEX(DropDown!$J$2:$J$63,MATCH(1,COUNTIF(E588,DropDown!$I$2:$I$63),0))</f>
        <v>#N/A</v>
      </c>
      <c r="G588" s="25"/>
      <c r="H588" s="25"/>
      <c r="I588" s="25"/>
      <c r="J588" s="25" t="str">
        <f>'Ingest Template'!B588</f>
        <v/>
      </c>
      <c r="K588" s="25" t="str">
        <f>IF('Ingest Template'!A587="Standard",'Ingest Template'!N587,"Competitive View")</f>
        <v>Competitive View</v>
      </c>
      <c r="L588" s="41" t="s">
        <v>145</v>
      </c>
      <c r="M588" s="25" t="str">
        <f>'Ingest Template'!D587</f>
        <v/>
      </c>
      <c r="N588" s="25"/>
      <c r="O588" s="25"/>
      <c r="P588" s="25"/>
      <c r="Q588" s="25"/>
      <c r="R588" s="25" t="str">
        <f>CONCATENATE('Ingest Template'!F587)</f>
        <v/>
      </c>
      <c r="S588" s="43" t="s">
        <v>160</v>
      </c>
      <c r="T588" s="25" t="str">
        <f>'Ingest Template'!W587</f>
        <v/>
      </c>
      <c r="U588" s="25"/>
      <c r="V588" s="25" t="str">
        <f>LOWER(SUBSTITUTE(SUBSTITUTE(SUBSTITUTE(SUBSTITUTE(SUBSTITUTE('Ingest Template'!Y587,"https:",""),"www.",""),"/",""),"?hl=en",""),"instagram.com",""))</f>
        <v/>
      </c>
      <c r="W588" s="34" t="str">
        <f>(IFERROR(vlookup('Ingest Template'!F588,DropDown!D:E,2,false)&amp;'Ingest Template'!C588,""))</f>
        <v/>
      </c>
      <c r="X588" s="25" t="str">
        <f>'Ingest Template'!AA587</f>
        <v/>
      </c>
      <c r="Y588" s="25"/>
      <c r="Z588" s="25"/>
      <c r="AA588" s="25"/>
      <c r="AB588" s="25" t="str">
        <f>'Ingest Template'!T587</f>
        <v/>
      </c>
      <c r="AC588" s="25"/>
      <c r="AD588" s="25" t="str">
        <f>'Ingest Template'!U587</f>
        <v/>
      </c>
      <c r="AE588" s="25" t="str">
        <f>'Ingest Template'!V587</f>
        <v/>
      </c>
      <c r="AF588" s="25"/>
      <c r="AG588" s="25" t="str">
        <f t="array" ref="AG588">IF('Ingest Template'!A587="Standard",(CONCATENATE(IF(ISBLANK('Ingest Template'!O587),"", 'Ingest Template'!O587&amp;"|DAR"),CHAR(10), IF(ISBLANK('Ingest Template'!P587),"", 'Ingest Template'!P587&amp;"|DAR"),CHAR(10), IF(ISBLANK('Ingest Template'!Q587),"", 'Ingest Template'!Q587&amp;"|DAR"))),(CONCATENATE(IF(ISBLANK('Ingest Template'!O587),"", 'Ingest Template'!O587&amp;"|Operations - Core Title"),CHAR(10), IF(ISBLANK('Ingest Template'!P587),"", 'Ingest Template'!P587&amp;"|Operations - Core Title"),CHAR(10), IF(ISBLANK('Ingest Template'!Q587),"", 'Ingest Template'!Q587&amp;"|Operations - Core Title"))))</f>
        <v>#|Operations - Core Title
#videoGame|Operations - Core Title
</v>
      </c>
      <c r="AH588" s="25"/>
      <c r="AI588" s="25"/>
      <c r="AJ588" s="50" t="str">
        <f>if('Ingest Template'!A587="Standard",'Ingest Template'!R587&amp; "|DAR|DAR|2021-01-01",'Ingest Template'!R587&amp; "|Operations - Core Title|Operations - Core Title")</f>
        <v>#N/A</v>
      </c>
      <c r="AK588" s="25"/>
      <c r="AL588" s="25" t="str">
        <f>if('Ingest Template'!A587="Standard",'Ingest Template'!S587&amp; "|2021-01-01",'Ingest Template'!S587)</f>
        <v>#N/A</v>
      </c>
      <c r="AM588" s="25"/>
    </row>
    <row r="589">
      <c r="A589" s="25"/>
      <c r="B589" s="25" t="str">
        <f>'Ingest Template'!C588&amp;IF('Ingest Template'!A588 = "Standard", " - DAR","")</f>
        <v/>
      </c>
      <c r="C589" s="34" t="s">
        <v>92</v>
      </c>
      <c r="D589" s="34" t="str">
        <f>CONCATENATE('Ingest Template'!E589&amp;Char(10)&amp;'Ingest Template'!G589&amp;Char(10)&amp;'Ingest Template'!H589&amp;Char(10)&amp;'Ingest Template'!I589&amp;Char(10)&amp;'Ingest Template'!J589&amp;Char(10)&amp;'Ingest Template'!K589&amp;Char(10)&amp;'Ingest Template'!L589)</f>
        <v>
</v>
      </c>
      <c r="E589" s="25" t="str">
        <f>('Ingest Template'!M589)</f>
        <v/>
      </c>
      <c r="F589" s="40" t="str">
        <f t="array" ref="F589">INDEX(DropDown!$J$2:$J$63,MATCH(1,COUNTIF(E589,DropDown!$I$2:$I$63),0))</f>
        <v>#N/A</v>
      </c>
      <c r="G589" s="25"/>
      <c r="H589" s="25"/>
      <c r="I589" s="25"/>
      <c r="J589" s="25" t="str">
        <f>'Ingest Template'!B589</f>
        <v/>
      </c>
      <c r="K589" s="25" t="str">
        <f>IF('Ingest Template'!A588="Standard",'Ingest Template'!N588,"Competitive View")</f>
        <v>Competitive View</v>
      </c>
      <c r="L589" s="41" t="s">
        <v>145</v>
      </c>
      <c r="M589" s="25" t="str">
        <f>'Ingest Template'!D588</f>
        <v/>
      </c>
      <c r="N589" s="25"/>
      <c r="O589" s="25"/>
      <c r="P589" s="25"/>
      <c r="Q589" s="25"/>
      <c r="R589" s="25" t="str">
        <f>CONCATENATE('Ingest Template'!F588)</f>
        <v/>
      </c>
      <c r="S589" s="43" t="s">
        <v>160</v>
      </c>
      <c r="T589" s="25" t="str">
        <f>'Ingest Template'!W588</f>
        <v/>
      </c>
      <c r="U589" s="25"/>
      <c r="V589" s="25" t="str">
        <f>LOWER(SUBSTITUTE(SUBSTITUTE(SUBSTITUTE(SUBSTITUTE(SUBSTITUTE('Ingest Template'!Y588,"https:",""),"www.",""),"/",""),"?hl=en",""),"instagram.com",""))</f>
        <v/>
      </c>
      <c r="W589" s="34" t="str">
        <f>(IFERROR(vlookup('Ingest Template'!F589,DropDown!D:E,2,false)&amp;'Ingest Template'!C589,""))</f>
        <v/>
      </c>
      <c r="X589" s="25" t="str">
        <f>'Ingest Template'!AA588</f>
        <v/>
      </c>
      <c r="Y589" s="25"/>
      <c r="Z589" s="25"/>
      <c r="AA589" s="25"/>
      <c r="AB589" s="25" t="str">
        <f>'Ingest Template'!T588</f>
        <v/>
      </c>
      <c r="AC589" s="25"/>
      <c r="AD589" s="25" t="str">
        <f>'Ingest Template'!U588</f>
        <v/>
      </c>
      <c r="AE589" s="25" t="str">
        <f>'Ingest Template'!V588</f>
        <v/>
      </c>
      <c r="AF589" s="25"/>
      <c r="AG589" s="25" t="str">
        <f t="array" ref="AG589">IF('Ingest Template'!A588="Standard",(CONCATENATE(IF(ISBLANK('Ingest Template'!O588),"", 'Ingest Template'!O588&amp;"|DAR"),CHAR(10), IF(ISBLANK('Ingest Template'!P588),"", 'Ingest Template'!P588&amp;"|DAR"),CHAR(10), IF(ISBLANK('Ingest Template'!Q588),"", 'Ingest Template'!Q588&amp;"|DAR"))),(CONCATENATE(IF(ISBLANK('Ingest Template'!O588),"", 'Ingest Template'!O588&amp;"|Operations - Core Title"),CHAR(10), IF(ISBLANK('Ingest Template'!P588),"", 'Ingest Template'!P588&amp;"|Operations - Core Title"),CHAR(10), IF(ISBLANK('Ingest Template'!Q588),"", 'Ingest Template'!Q588&amp;"|Operations - Core Title"))))</f>
        <v>#|Operations - Core Title
#videoGame|Operations - Core Title
</v>
      </c>
      <c r="AH589" s="25"/>
      <c r="AI589" s="25"/>
      <c r="AJ589" s="50" t="str">
        <f>if('Ingest Template'!A588="Standard",'Ingest Template'!R588&amp; "|DAR|DAR|2021-01-01",'Ingest Template'!R588&amp; "|Operations - Core Title|Operations - Core Title")</f>
        <v>#N/A</v>
      </c>
      <c r="AK589" s="25"/>
      <c r="AL589" s="25" t="str">
        <f>if('Ingest Template'!A588="Standard",'Ingest Template'!S588&amp; "|2021-01-01",'Ingest Template'!S588)</f>
        <v>#N/A</v>
      </c>
      <c r="AM589" s="25"/>
    </row>
    <row r="590">
      <c r="A590" s="25"/>
      <c r="B590" s="25" t="str">
        <f>'Ingest Template'!C589&amp;IF('Ingest Template'!A589 = "Standard", " - DAR","")</f>
        <v/>
      </c>
      <c r="C590" s="34" t="s">
        <v>92</v>
      </c>
      <c r="D590" s="34" t="str">
        <f>CONCATENATE('Ingest Template'!E590&amp;Char(10)&amp;'Ingest Template'!G590&amp;Char(10)&amp;'Ingest Template'!H590&amp;Char(10)&amp;'Ingest Template'!I590&amp;Char(10)&amp;'Ingest Template'!J590&amp;Char(10)&amp;'Ingest Template'!K590&amp;Char(10)&amp;'Ingest Template'!L590)</f>
        <v>
</v>
      </c>
      <c r="E590" s="25" t="str">
        <f>('Ingest Template'!M590)</f>
        <v/>
      </c>
      <c r="F590" s="40" t="str">
        <f t="array" ref="F590">INDEX(DropDown!$J$2:$J$63,MATCH(1,COUNTIF(E590,DropDown!$I$2:$I$63),0))</f>
        <v>#N/A</v>
      </c>
      <c r="G590" s="25"/>
      <c r="H590" s="25"/>
      <c r="I590" s="25"/>
      <c r="J590" s="25" t="str">
        <f>'Ingest Template'!B590</f>
        <v/>
      </c>
      <c r="K590" s="25" t="str">
        <f>IF('Ingest Template'!A589="Standard",'Ingest Template'!N589,"Competitive View")</f>
        <v>Competitive View</v>
      </c>
      <c r="L590" s="41" t="s">
        <v>145</v>
      </c>
      <c r="M590" s="25" t="str">
        <f>'Ingest Template'!D589</f>
        <v/>
      </c>
      <c r="N590" s="25"/>
      <c r="O590" s="25"/>
      <c r="P590" s="25"/>
      <c r="Q590" s="25"/>
      <c r="R590" s="25" t="str">
        <f>CONCATENATE('Ingest Template'!F589)</f>
        <v/>
      </c>
      <c r="S590" s="43" t="s">
        <v>160</v>
      </c>
      <c r="T590" s="25" t="str">
        <f>'Ingest Template'!W589</f>
        <v/>
      </c>
      <c r="U590" s="25"/>
      <c r="V590" s="25" t="str">
        <f>LOWER(SUBSTITUTE(SUBSTITUTE(SUBSTITUTE(SUBSTITUTE(SUBSTITUTE('Ingest Template'!Y589,"https:",""),"www.",""),"/",""),"?hl=en",""),"instagram.com",""))</f>
        <v/>
      </c>
      <c r="W590" s="34" t="str">
        <f>(IFERROR(vlookup('Ingest Template'!F590,DropDown!D:E,2,false)&amp;'Ingest Template'!C590,""))</f>
        <v/>
      </c>
      <c r="X590" s="25" t="str">
        <f>'Ingest Template'!AA589</f>
        <v/>
      </c>
      <c r="Y590" s="25"/>
      <c r="Z590" s="25"/>
      <c r="AA590" s="25"/>
      <c r="AB590" s="25" t="str">
        <f>'Ingest Template'!T589</f>
        <v/>
      </c>
      <c r="AC590" s="25"/>
      <c r="AD590" s="25" t="str">
        <f>'Ingest Template'!U589</f>
        <v/>
      </c>
      <c r="AE590" s="25" t="str">
        <f>'Ingest Template'!V589</f>
        <v/>
      </c>
      <c r="AF590" s="25"/>
      <c r="AG590" s="25" t="str">
        <f t="array" ref="AG590">IF('Ingest Template'!A589="Standard",(CONCATENATE(IF(ISBLANK('Ingest Template'!O589),"", 'Ingest Template'!O589&amp;"|DAR"),CHAR(10), IF(ISBLANK('Ingest Template'!P589),"", 'Ingest Template'!P589&amp;"|DAR"),CHAR(10), IF(ISBLANK('Ingest Template'!Q589),"", 'Ingest Template'!Q589&amp;"|DAR"))),(CONCATENATE(IF(ISBLANK('Ingest Template'!O589),"", 'Ingest Template'!O589&amp;"|Operations - Core Title"),CHAR(10), IF(ISBLANK('Ingest Template'!P589),"", 'Ingest Template'!P589&amp;"|Operations - Core Title"),CHAR(10), IF(ISBLANK('Ingest Template'!Q589),"", 'Ingest Template'!Q589&amp;"|Operations - Core Title"))))</f>
        <v>#|Operations - Core Title
#videoGame|Operations - Core Title
</v>
      </c>
      <c r="AH590" s="25"/>
      <c r="AI590" s="25"/>
      <c r="AJ590" s="50" t="str">
        <f>if('Ingest Template'!A589="Standard",'Ingest Template'!R589&amp; "|DAR|DAR|2021-01-01",'Ingest Template'!R589&amp; "|Operations - Core Title|Operations - Core Title")</f>
        <v>#N/A</v>
      </c>
      <c r="AK590" s="25"/>
      <c r="AL590" s="25" t="str">
        <f>if('Ingest Template'!A589="Standard",'Ingest Template'!S589&amp; "|2021-01-01",'Ingest Template'!S589)</f>
        <v>#N/A</v>
      </c>
      <c r="AM590" s="25"/>
    </row>
    <row r="591">
      <c r="A591" s="25"/>
      <c r="B591" s="25" t="str">
        <f>'Ingest Template'!C590&amp;IF('Ingest Template'!A590 = "Standard", " - DAR","")</f>
        <v/>
      </c>
      <c r="C591" s="34" t="s">
        <v>92</v>
      </c>
      <c r="D591" s="34" t="str">
        <f>CONCATENATE('Ingest Template'!E591&amp;Char(10)&amp;'Ingest Template'!G591&amp;Char(10)&amp;'Ingest Template'!H591&amp;Char(10)&amp;'Ingest Template'!I591&amp;Char(10)&amp;'Ingest Template'!J591&amp;Char(10)&amp;'Ingest Template'!K591&amp;Char(10)&amp;'Ingest Template'!L591)</f>
        <v>
</v>
      </c>
      <c r="E591" s="25" t="str">
        <f>('Ingest Template'!M591)</f>
        <v/>
      </c>
      <c r="F591" s="40" t="str">
        <f t="array" ref="F591">INDEX(DropDown!$J$2:$J$63,MATCH(1,COUNTIF(E591,DropDown!$I$2:$I$63),0))</f>
        <v>#N/A</v>
      </c>
      <c r="G591" s="25"/>
      <c r="H591" s="25"/>
      <c r="I591" s="25"/>
      <c r="J591" s="25" t="str">
        <f>'Ingest Template'!B591</f>
        <v/>
      </c>
      <c r="K591" s="25" t="str">
        <f>IF('Ingest Template'!A590="Standard",'Ingest Template'!N590,"Competitive View")</f>
        <v>Competitive View</v>
      </c>
      <c r="L591" s="41" t="s">
        <v>145</v>
      </c>
      <c r="M591" s="25" t="str">
        <f>'Ingest Template'!D590</f>
        <v/>
      </c>
      <c r="N591" s="25"/>
      <c r="O591" s="25"/>
      <c r="P591" s="25"/>
      <c r="Q591" s="25"/>
      <c r="R591" s="25" t="str">
        <f>CONCATENATE('Ingest Template'!F590)</f>
        <v/>
      </c>
      <c r="S591" s="43" t="s">
        <v>160</v>
      </c>
      <c r="T591" s="25" t="str">
        <f>'Ingest Template'!W590</f>
        <v/>
      </c>
      <c r="U591" s="25"/>
      <c r="V591" s="25" t="str">
        <f>LOWER(SUBSTITUTE(SUBSTITUTE(SUBSTITUTE(SUBSTITUTE(SUBSTITUTE('Ingest Template'!Y590,"https:",""),"www.",""),"/",""),"?hl=en",""),"instagram.com",""))</f>
        <v/>
      </c>
      <c r="W591" s="34" t="str">
        <f>(IFERROR(vlookup('Ingest Template'!F591,DropDown!D:E,2,false)&amp;'Ingest Template'!C591,""))</f>
        <v/>
      </c>
      <c r="X591" s="25" t="str">
        <f>'Ingest Template'!AA590</f>
        <v/>
      </c>
      <c r="Y591" s="25"/>
      <c r="Z591" s="25"/>
      <c r="AA591" s="25"/>
      <c r="AB591" s="25" t="str">
        <f>'Ingest Template'!T590</f>
        <v/>
      </c>
      <c r="AC591" s="25"/>
      <c r="AD591" s="25" t="str">
        <f>'Ingest Template'!U590</f>
        <v/>
      </c>
      <c r="AE591" s="25" t="str">
        <f>'Ingest Template'!V590</f>
        <v/>
      </c>
      <c r="AF591" s="25"/>
      <c r="AG591" s="25" t="str">
        <f t="array" ref="AG591">IF('Ingest Template'!A590="Standard",(CONCATENATE(IF(ISBLANK('Ingest Template'!O590),"", 'Ingest Template'!O590&amp;"|DAR"),CHAR(10), IF(ISBLANK('Ingest Template'!P590),"", 'Ingest Template'!P590&amp;"|DAR"),CHAR(10), IF(ISBLANK('Ingest Template'!Q590),"", 'Ingest Template'!Q590&amp;"|DAR"))),(CONCATENATE(IF(ISBLANK('Ingest Template'!O590),"", 'Ingest Template'!O590&amp;"|Operations - Core Title"),CHAR(10), IF(ISBLANK('Ingest Template'!P590),"", 'Ingest Template'!P590&amp;"|Operations - Core Title"),CHAR(10), IF(ISBLANK('Ingest Template'!Q590),"", 'Ingest Template'!Q590&amp;"|Operations - Core Title"))))</f>
        <v>#|Operations - Core Title
#videoGame|Operations - Core Title
</v>
      </c>
      <c r="AH591" s="25"/>
      <c r="AI591" s="25"/>
      <c r="AJ591" s="50" t="str">
        <f>if('Ingest Template'!A590="Standard",'Ingest Template'!R590&amp; "|DAR|DAR|2021-01-01",'Ingest Template'!R590&amp; "|Operations - Core Title|Operations - Core Title")</f>
        <v>#N/A</v>
      </c>
      <c r="AK591" s="25"/>
      <c r="AL591" s="25" t="str">
        <f>if('Ingest Template'!A590="Standard",'Ingest Template'!S590&amp; "|2021-01-01",'Ingest Template'!S590)</f>
        <v>#N/A</v>
      </c>
      <c r="AM591" s="25"/>
    </row>
    <row r="592">
      <c r="A592" s="25"/>
      <c r="B592" s="25" t="str">
        <f>'Ingest Template'!C591&amp;IF('Ingest Template'!A591 = "Standard", " - DAR","")</f>
        <v/>
      </c>
      <c r="C592" s="34" t="s">
        <v>92</v>
      </c>
      <c r="D592" s="34" t="str">
        <f>CONCATENATE('Ingest Template'!E592&amp;Char(10)&amp;'Ingest Template'!G592&amp;Char(10)&amp;'Ingest Template'!H592&amp;Char(10)&amp;'Ingest Template'!I592&amp;Char(10)&amp;'Ingest Template'!J592&amp;Char(10)&amp;'Ingest Template'!K592&amp;Char(10)&amp;'Ingest Template'!L592)</f>
        <v>
</v>
      </c>
      <c r="E592" s="25" t="str">
        <f>('Ingest Template'!M592)</f>
        <v/>
      </c>
      <c r="F592" s="40" t="str">
        <f t="array" ref="F592">INDEX(DropDown!$J$2:$J$63,MATCH(1,COUNTIF(E592,DropDown!$I$2:$I$63),0))</f>
        <v>#N/A</v>
      </c>
      <c r="G592" s="25"/>
      <c r="H592" s="25"/>
      <c r="I592" s="25"/>
      <c r="J592" s="25" t="str">
        <f>'Ingest Template'!B592</f>
        <v/>
      </c>
      <c r="K592" s="25" t="str">
        <f>IF('Ingest Template'!A591="Standard",'Ingest Template'!N591,"Competitive View")</f>
        <v>Competitive View</v>
      </c>
      <c r="L592" s="41" t="s">
        <v>145</v>
      </c>
      <c r="M592" s="25" t="str">
        <f>'Ingest Template'!D591</f>
        <v/>
      </c>
      <c r="N592" s="25"/>
      <c r="O592" s="25"/>
      <c r="P592" s="25"/>
      <c r="Q592" s="25"/>
      <c r="R592" s="25" t="str">
        <f>CONCATENATE('Ingest Template'!F591)</f>
        <v/>
      </c>
      <c r="S592" s="43" t="s">
        <v>160</v>
      </c>
      <c r="T592" s="25" t="str">
        <f>'Ingest Template'!W591</f>
        <v/>
      </c>
      <c r="U592" s="25"/>
      <c r="V592" s="25" t="str">
        <f>LOWER(SUBSTITUTE(SUBSTITUTE(SUBSTITUTE(SUBSTITUTE(SUBSTITUTE('Ingest Template'!Y591,"https:",""),"www.",""),"/",""),"?hl=en",""),"instagram.com",""))</f>
        <v/>
      </c>
      <c r="W592" s="34" t="str">
        <f>(IFERROR(vlookup('Ingest Template'!F592,DropDown!D:E,2,false)&amp;'Ingest Template'!C592,""))</f>
        <v/>
      </c>
      <c r="X592" s="25" t="str">
        <f>'Ingest Template'!AA591</f>
        <v/>
      </c>
      <c r="Y592" s="25"/>
      <c r="Z592" s="25"/>
      <c r="AA592" s="25"/>
      <c r="AB592" s="25" t="str">
        <f>'Ingest Template'!T591</f>
        <v/>
      </c>
      <c r="AC592" s="25"/>
      <c r="AD592" s="25" t="str">
        <f>'Ingest Template'!U591</f>
        <v/>
      </c>
      <c r="AE592" s="25" t="str">
        <f>'Ingest Template'!V591</f>
        <v/>
      </c>
      <c r="AF592" s="25"/>
      <c r="AG592" s="25" t="str">
        <f t="array" ref="AG592">IF('Ingest Template'!A591="Standard",(CONCATENATE(IF(ISBLANK('Ingest Template'!O591),"", 'Ingest Template'!O591&amp;"|DAR"),CHAR(10), IF(ISBLANK('Ingest Template'!P591),"", 'Ingest Template'!P591&amp;"|DAR"),CHAR(10), IF(ISBLANK('Ingest Template'!Q591),"", 'Ingest Template'!Q591&amp;"|DAR"))),(CONCATENATE(IF(ISBLANK('Ingest Template'!O591),"", 'Ingest Template'!O591&amp;"|Operations - Core Title"),CHAR(10), IF(ISBLANK('Ingest Template'!P591),"", 'Ingest Template'!P591&amp;"|Operations - Core Title"),CHAR(10), IF(ISBLANK('Ingest Template'!Q591),"", 'Ingest Template'!Q591&amp;"|Operations - Core Title"))))</f>
        <v>#|Operations - Core Title
#videoGame|Operations - Core Title
</v>
      </c>
      <c r="AH592" s="25"/>
      <c r="AI592" s="25"/>
      <c r="AJ592" s="50" t="str">
        <f>if('Ingest Template'!A591="Standard",'Ingest Template'!R591&amp; "|DAR|DAR|2021-01-01",'Ingest Template'!R591&amp; "|Operations - Core Title|Operations - Core Title")</f>
        <v>#N/A</v>
      </c>
      <c r="AK592" s="25"/>
      <c r="AL592" s="25" t="str">
        <f>if('Ingest Template'!A591="Standard",'Ingest Template'!S591&amp; "|2021-01-01",'Ingest Template'!S591)</f>
        <v>#N/A</v>
      </c>
      <c r="AM592" s="25"/>
    </row>
    <row r="593">
      <c r="A593" s="25"/>
      <c r="B593" s="25" t="str">
        <f>'Ingest Template'!C592&amp;IF('Ingest Template'!A592 = "Standard", " - DAR","")</f>
        <v/>
      </c>
      <c r="C593" s="34" t="s">
        <v>92</v>
      </c>
      <c r="D593" s="34" t="str">
        <f>CONCATENATE('Ingest Template'!E593&amp;Char(10)&amp;'Ingest Template'!G593&amp;Char(10)&amp;'Ingest Template'!H593&amp;Char(10)&amp;'Ingest Template'!I593&amp;Char(10)&amp;'Ingest Template'!J593&amp;Char(10)&amp;'Ingest Template'!K593&amp;Char(10)&amp;'Ingest Template'!L593)</f>
        <v>
</v>
      </c>
      <c r="E593" s="25" t="str">
        <f>('Ingest Template'!M593)</f>
        <v/>
      </c>
      <c r="F593" s="40" t="str">
        <f t="array" ref="F593">INDEX(DropDown!$J$2:$J$63,MATCH(1,COUNTIF(E593,DropDown!$I$2:$I$63),0))</f>
        <v>#N/A</v>
      </c>
      <c r="G593" s="25"/>
      <c r="H593" s="25"/>
      <c r="I593" s="25"/>
      <c r="J593" s="25" t="str">
        <f>'Ingest Template'!B593</f>
        <v/>
      </c>
      <c r="K593" s="25" t="str">
        <f>IF('Ingest Template'!A592="Standard",'Ingest Template'!N592,"Competitive View")</f>
        <v>Competitive View</v>
      </c>
      <c r="L593" s="41" t="s">
        <v>145</v>
      </c>
      <c r="M593" s="25" t="str">
        <f>'Ingest Template'!D592</f>
        <v/>
      </c>
      <c r="N593" s="25"/>
      <c r="O593" s="25"/>
      <c r="P593" s="25"/>
      <c r="Q593" s="25"/>
      <c r="R593" s="25" t="str">
        <f>CONCATENATE('Ingest Template'!F592)</f>
        <v/>
      </c>
      <c r="S593" s="43" t="s">
        <v>160</v>
      </c>
      <c r="T593" s="25" t="str">
        <f>'Ingest Template'!W592</f>
        <v/>
      </c>
      <c r="U593" s="25"/>
      <c r="V593" s="25" t="str">
        <f>LOWER(SUBSTITUTE(SUBSTITUTE(SUBSTITUTE(SUBSTITUTE(SUBSTITUTE('Ingest Template'!Y592,"https:",""),"www.",""),"/",""),"?hl=en",""),"instagram.com",""))</f>
        <v/>
      </c>
      <c r="W593" s="34" t="str">
        <f>(IFERROR(vlookup('Ingest Template'!F593,DropDown!D:E,2,false)&amp;'Ingest Template'!C593,""))</f>
        <v/>
      </c>
      <c r="X593" s="25" t="str">
        <f>'Ingest Template'!AA592</f>
        <v/>
      </c>
      <c r="Y593" s="25"/>
      <c r="Z593" s="25"/>
      <c r="AA593" s="25"/>
      <c r="AB593" s="25" t="str">
        <f>'Ingest Template'!T592</f>
        <v/>
      </c>
      <c r="AC593" s="25"/>
      <c r="AD593" s="25" t="str">
        <f>'Ingest Template'!U592</f>
        <v/>
      </c>
      <c r="AE593" s="25" t="str">
        <f>'Ingest Template'!V592</f>
        <v/>
      </c>
      <c r="AF593" s="25"/>
      <c r="AG593" s="25" t="str">
        <f t="array" ref="AG593">IF('Ingest Template'!A592="Standard",(CONCATENATE(IF(ISBLANK('Ingest Template'!O592),"", 'Ingest Template'!O592&amp;"|DAR"),CHAR(10), IF(ISBLANK('Ingest Template'!P592),"", 'Ingest Template'!P592&amp;"|DAR"),CHAR(10), IF(ISBLANK('Ingest Template'!Q592),"", 'Ingest Template'!Q592&amp;"|DAR"))),(CONCATENATE(IF(ISBLANK('Ingest Template'!O592),"", 'Ingest Template'!O592&amp;"|Operations - Core Title"),CHAR(10), IF(ISBLANK('Ingest Template'!P592),"", 'Ingest Template'!P592&amp;"|Operations - Core Title"),CHAR(10), IF(ISBLANK('Ingest Template'!Q592),"", 'Ingest Template'!Q592&amp;"|Operations - Core Title"))))</f>
        <v>#|Operations - Core Title
#videoGame|Operations - Core Title
</v>
      </c>
      <c r="AH593" s="25"/>
      <c r="AI593" s="25"/>
      <c r="AJ593" s="50" t="str">
        <f>if('Ingest Template'!A592="Standard",'Ingest Template'!R592&amp; "|DAR|DAR|2021-01-01",'Ingest Template'!R592&amp; "|Operations - Core Title|Operations - Core Title")</f>
        <v>#N/A</v>
      </c>
      <c r="AK593" s="25"/>
      <c r="AL593" s="25" t="str">
        <f>if('Ingest Template'!A592="Standard",'Ingest Template'!S592&amp; "|2021-01-01",'Ingest Template'!S592)</f>
        <v>#N/A</v>
      </c>
      <c r="AM593" s="25"/>
    </row>
    <row r="594">
      <c r="A594" s="25"/>
      <c r="B594" s="25" t="str">
        <f>'Ingest Template'!C593&amp;IF('Ingest Template'!A593 = "Standard", " - DAR","")</f>
        <v/>
      </c>
      <c r="C594" s="34" t="s">
        <v>92</v>
      </c>
      <c r="D594" s="34" t="str">
        <f>CONCATENATE('Ingest Template'!E594&amp;Char(10)&amp;'Ingest Template'!G594&amp;Char(10)&amp;'Ingest Template'!H594&amp;Char(10)&amp;'Ingest Template'!I594&amp;Char(10)&amp;'Ingest Template'!J594&amp;Char(10)&amp;'Ingest Template'!K594&amp;Char(10)&amp;'Ingest Template'!L594)</f>
        <v>
</v>
      </c>
      <c r="E594" s="25" t="str">
        <f>('Ingest Template'!M594)</f>
        <v/>
      </c>
      <c r="F594" s="40" t="str">
        <f t="array" ref="F594">INDEX(DropDown!$J$2:$J$63,MATCH(1,COUNTIF(E594,DropDown!$I$2:$I$63),0))</f>
        <v>#N/A</v>
      </c>
      <c r="G594" s="25"/>
      <c r="H594" s="25"/>
      <c r="I594" s="25"/>
      <c r="J594" s="25" t="str">
        <f>'Ingest Template'!B594</f>
        <v/>
      </c>
      <c r="K594" s="25" t="str">
        <f>IF('Ingest Template'!A593="Standard",'Ingest Template'!N593,"Competitive View")</f>
        <v>Competitive View</v>
      </c>
      <c r="L594" s="41" t="s">
        <v>145</v>
      </c>
      <c r="M594" s="25" t="str">
        <f>'Ingest Template'!D593</f>
        <v/>
      </c>
      <c r="N594" s="25"/>
      <c r="O594" s="25"/>
      <c r="P594" s="25"/>
      <c r="Q594" s="25"/>
      <c r="R594" s="25" t="str">
        <f>CONCATENATE('Ingest Template'!F593)</f>
        <v/>
      </c>
      <c r="S594" s="43" t="s">
        <v>160</v>
      </c>
      <c r="T594" s="25" t="str">
        <f>'Ingest Template'!W593</f>
        <v/>
      </c>
      <c r="U594" s="25"/>
      <c r="V594" s="25" t="str">
        <f>LOWER(SUBSTITUTE(SUBSTITUTE(SUBSTITUTE(SUBSTITUTE(SUBSTITUTE('Ingest Template'!Y593,"https:",""),"www.",""),"/",""),"?hl=en",""),"instagram.com",""))</f>
        <v/>
      </c>
      <c r="W594" s="34" t="str">
        <f>(IFERROR(vlookup('Ingest Template'!F594,DropDown!D:E,2,false)&amp;'Ingest Template'!C594,""))</f>
        <v/>
      </c>
      <c r="X594" s="25" t="str">
        <f>'Ingest Template'!AA593</f>
        <v/>
      </c>
      <c r="Y594" s="25"/>
      <c r="Z594" s="25"/>
      <c r="AA594" s="25"/>
      <c r="AB594" s="25" t="str">
        <f>'Ingest Template'!T593</f>
        <v/>
      </c>
      <c r="AC594" s="25"/>
      <c r="AD594" s="25" t="str">
        <f>'Ingest Template'!U593</f>
        <v/>
      </c>
      <c r="AE594" s="25" t="str">
        <f>'Ingest Template'!V593</f>
        <v/>
      </c>
      <c r="AF594" s="25"/>
      <c r="AG594" s="25" t="str">
        <f t="array" ref="AG594">IF('Ingest Template'!A593="Standard",(CONCATENATE(IF(ISBLANK('Ingest Template'!O593),"", 'Ingest Template'!O593&amp;"|DAR"),CHAR(10), IF(ISBLANK('Ingest Template'!P593),"", 'Ingest Template'!P593&amp;"|DAR"),CHAR(10), IF(ISBLANK('Ingest Template'!Q593),"", 'Ingest Template'!Q593&amp;"|DAR"))),(CONCATENATE(IF(ISBLANK('Ingest Template'!O593),"", 'Ingest Template'!O593&amp;"|Operations - Core Title"),CHAR(10), IF(ISBLANK('Ingest Template'!P593),"", 'Ingest Template'!P593&amp;"|Operations - Core Title"),CHAR(10), IF(ISBLANK('Ingest Template'!Q593),"", 'Ingest Template'!Q593&amp;"|Operations - Core Title"))))</f>
        <v>#|Operations - Core Title
#videoGame|Operations - Core Title
</v>
      </c>
      <c r="AH594" s="25"/>
      <c r="AI594" s="25"/>
      <c r="AJ594" s="50" t="str">
        <f>if('Ingest Template'!A593="Standard",'Ingest Template'!R593&amp; "|DAR|DAR|2021-01-01",'Ingest Template'!R593&amp; "|Operations - Core Title|Operations - Core Title")</f>
        <v>#N/A</v>
      </c>
      <c r="AK594" s="25"/>
      <c r="AL594" s="25" t="str">
        <f>if('Ingest Template'!A593="Standard",'Ingest Template'!S593&amp; "|2021-01-01",'Ingest Template'!S593)</f>
        <v>#N/A</v>
      </c>
      <c r="AM594" s="25"/>
    </row>
    <row r="595">
      <c r="A595" s="25"/>
      <c r="B595" s="25" t="str">
        <f>'Ingest Template'!C594&amp;IF('Ingest Template'!A594 = "Standard", " - DAR","")</f>
        <v/>
      </c>
      <c r="C595" s="34" t="s">
        <v>92</v>
      </c>
      <c r="D595" s="34" t="str">
        <f>CONCATENATE('Ingest Template'!E595&amp;Char(10)&amp;'Ingest Template'!G595&amp;Char(10)&amp;'Ingest Template'!H595&amp;Char(10)&amp;'Ingest Template'!I595&amp;Char(10)&amp;'Ingest Template'!J595&amp;Char(10)&amp;'Ingest Template'!K595&amp;Char(10)&amp;'Ingest Template'!L595)</f>
        <v>
</v>
      </c>
      <c r="E595" s="25" t="str">
        <f>('Ingest Template'!M595)</f>
        <v/>
      </c>
      <c r="F595" s="40" t="str">
        <f t="array" ref="F595">INDEX(DropDown!$J$2:$J$63,MATCH(1,COUNTIF(E595,DropDown!$I$2:$I$63),0))</f>
        <v>#N/A</v>
      </c>
      <c r="G595" s="25"/>
      <c r="H595" s="25"/>
      <c r="I595" s="25"/>
      <c r="J595" s="25" t="str">
        <f>'Ingest Template'!B595</f>
        <v/>
      </c>
      <c r="K595" s="25" t="str">
        <f>IF('Ingest Template'!A594="Standard",'Ingest Template'!N594,"Competitive View")</f>
        <v>Competitive View</v>
      </c>
      <c r="L595" s="41" t="s">
        <v>145</v>
      </c>
      <c r="M595" s="25" t="str">
        <f>'Ingest Template'!D594</f>
        <v/>
      </c>
      <c r="N595" s="25"/>
      <c r="O595" s="25"/>
      <c r="P595" s="25"/>
      <c r="Q595" s="25"/>
      <c r="R595" s="25" t="str">
        <f>CONCATENATE('Ingest Template'!F594)</f>
        <v/>
      </c>
      <c r="S595" s="43" t="s">
        <v>160</v>
      </c>
      <c r="T595" s="25" t="str">
        <f>'Ingest Template'!W594</f>
        <v/>
      </c>
      <c r="U595" s="25"/>
      <c r="V595" s="25" t="str">
        <f>LOWER(SUBSTITUTE(SUBSTITUTE(SUBSTITUTE(SUBSTITUTE(SUBSTITUTE('Ingest Template'!Y594,"https:",""),"www.",""),"/",""),"?hl=en",""),"instagram.com",""))</f>
        <v/>
      </c>
      <c r="W595" s="34" t="str">
        <f>(IFERROR(vlookup('Ingest Template'!F595,DropDown!D:E,2,false)&amp;'Ingest Template'!C595,""))</f>
        <v/>
      </c>
      <c r="X595" s="25" t="str">
        <f>'Ingest Template'!AA594</f>
        <v/>
      </c>
      <c r="Y595" s="25"/>
      <c r="Z595" s="25"/>
      <c r="AA595" s="25"/>
      <c r="AB595" s="25" t="str">
        <f>'Ingest Template'!T594</f>
        <v/>
      </c>
      <c r="AC595" s="25"/>
      <c r="AD595" s="25" t="str">
        <f>'Ingest Template'!U594</f>
        <v/>
      </c>
      <c r="AE595" s="25" t="str">
        <f>'Ingest Template'!V594</f>
        <v/>
      </c>
      <c r="AF595" s="25"/>
      <c r="AG595" s="25" t="str">
        <f t="array" ref="AG595">IF('Ingest Template'!A594="Standard",(CONCATENATE(IF(ISBLANK('Ingest Template'!O594),"", 'Ingest Template'!O594&amp;"|DAR"),CHAR(10), IF(ISBLANK('Ingest Template'!P594),"", 'Ingest Template'!P594&amp;"|DAR"),CHAR(10), IF(ISBLANK('Ingest Template'!Q594),"", 'Ingest Template'!Q594&amp;"|DAR"))),(CONCATENATE(IF(ISBLANK('Ingest Template'!O594),"", 'Ingest Template'!O594&amp;"|Operations - Core Title"),CHAR(10), IF(ISBLANK('Ingest Template'!P594),"", 'Ingest Template'!P594&amp;"|Operations - Core Title"),CHAR(10), IF(ISBLANK('Ingest Template'!Q594),"", 'Ingest Template'!Q594&amp;"|Operations - Core Title"))))</f>
        <v>#|Operations - Core Title
#videoGame|Operations - Core Title
</v>
      </c>
      <c r="AH595" s="25"/>
      <c r="AI595" s="25"/>
      <c r="AJ595" s="50" t="str">
        <f>if('Ingest Template'!A594="Standard",'Ingest Template'!R594&amp; "|DAR|DAR|2021-01-01",'Ingest Template'!R594&amp; "|Operations - Core Title|Operations - Core Title")</f>
        <v>#N/A</v>
      </c>
      <c r="AK595" s="25"/>
      <c r="AL595" s="25" t="str">
        <f>if('Ingest Template'!A594="Standard",'Ingest Template'!S594&amp; "|2021-01-01",'Ingest Template'!S594)</f>
        <v>#N/A</v>
      </c>
      <c r="AM595" s="25"/>
    </row>
    <row r="596">
      <c r="A596" s="25"/>
      <c r="B596" s="25" t="str">
        <f>'Ingest Template'!C595&amp;IF('Ingest Template'!A595 = "Standard", " - DAR","")</f>
        <v/>
      </c>
      <c r="C596" s="34" t="s">
        <v>92</v>
      </c>
      <c r="D596" s="34" t="str">
        <f>CONCATENATE('Ingest Template'!E596&amp;Char(10)&amp;'Ingest Template'!G596&amp;Char(10)&amp;'Ingest Template'!H596&amp;Char(10)&amp;'Ingest Template'!I596&amp;Char(10)&amp;'Ingest Template'!J596&amp;Char(10)&amp;'Ingest Template'!K596&amp;Char(10)&amp;'Ingest Template'!L596)</f>
        <v>
</v>
      </c>
      <c r="E596" s="25" t="str">
        <f>('Ingest Template'!M596)</f>
        <v/>
      </c>
      <c r="F596" s="40" t="str">
        <f t="array" ref="F596">INDEX(DropDown!$J$2:$J$63,MATCH(1,COUNTIF(E596,DropDown!$I$2:$I$63),0))</f>
        <v>#N/A</v>
      </c>
      <c r="G596" s="25"/>
      <c r="H596" s="25"/>
      <c r="I596" s="25"/>
      <c r="J596" s="25" t="str">
        <f>'Ingest Template'!B596</f>
        <v/>
      </c>
      <c r="K596" s="25" t="str">
        <f>IF('Ingest Template'!A595="Standard",'Ingest Template'!N595,"Competitive View")</f>
        <v>Competitive View</v>
      </c>
      <c r="L596" s="41" t="s">
        <v>145</v>
      </c>
      <c r="M596" s="25" t="str">
        <f>'Ingest Template'!D595</f>
        <v/>
      </c>
      <c r="N596" s="25"/>
      <c r="O596" s="25"/>
      <c r="P596" s="25"/>
      <c r="Q596" s="25"/>
      <c r="R596" s="25" t="str">
        <f>CONCATENATE('Ingest Template'!F595)</f>
        <v/>
      </c>
      <c r="S596" s="43" t="s">
        <v>160</v>
      </c>
      <c r="T596" s="25" t="str">
        <f>'Ingest Template'!W595</f>
        <v/>
      </c>
      <c r="U596" s="25"/>
      <c r="V596" s="25" t="str">
        <f>LOWER(SUBSTITUTE(SUBSTITUTE(SUBSTITUTE(SUBSTITUTE(SUBSTITUTE('Ingest Template'!Y595,"https:",""),"www.",""),"/",""),"?hl=en",""),"instagram.com",""))</f>
        <v/>
      </c>
      <c r="W596" s="34" t="str">
        <f>(IFERROR(vlookup('Ingest Template'!F596,DropDown!D:E,2,false)&amp;'Ingest Template'!C596,""))</f>
        <v/>
      </c>
      <c r="X596" s="25" t="str">
        <f>'Ingest Template'!AA595</f>
        <v/>
      </c>
      <c r="Y596" s="25"/>
      <c r="Z596" s="25"/>
      <c r="AA596" s="25"/>
      <c r="AB596" s="25" t="str">
        <f>'Ingest Template'!T595</f>
        <v/>
      </c>
      <c r="AC596" s="25"/>
      <c r="AD596" s="25" t="str">
        <f>'Ingest Template'!U595</f>
        <v/>
      </c>
      <c r="AE596" s="25" t="str">
        <f>'Ingest Template'!V595</f>
        <v/>
      </c>
      <c r="AF596" s="25"/>
      <c r="AG596" s="25" t="str">
        <f t="array" ref="AG596">IF('Ingest Template'!A595="Standard",(CONCATENATE(IF(ISBLANK('Ingest Template'!O595),"", 'Ingest Template'!O595&amp;"|DAR"),CHAR(10), IF(ISBLANK('Ingest Template'!P595),"", 'Ingest Template'!P595&amp;"|DAR"),CHAR(10), IF(ISBLANK('Ingest Template'!Q595),"", 'Ingest Template'!Q595&amp;"|DAR"))),(CONCATENATE(IF(ISBLANK('Ingest Template'!O595),"", 'Ingest Template'!O595&amp;"|Operations - Core Title"),CHAR(10), IF(ISBLANK('Ingest Template'!P595),"", 'Ingest Template'!P595&amp;"|Operations - Core Title"),CHAR(10), IF(ISBLANK('Ingest Template'!Q595),"", 'Ingest Template'!Q595&amp;"|Operations - Core Title"))))</f>
        <v>#|Operations - Core Title
#videoGame|Operations - Core Title
</v>
      </c>
      <c r="AH596" s="25"/>
      <c r="AI596" s="25"/>
      <c r="AJ596" s="50" t="str">
        <f>if('Ingest Template'!A595="Standard",'Ingest Template'!R595&amp; "|DAR|DAR|2021-01-01",'Ingest Template'!R595&amp; "|Operations - Core Title|Operations - Core Title")</f>
        <v>#N/A</v>
      </c>
      <c r="AK596" s="25"/>
      <c r="AL596" s="25" t="str">
        <f>if('Ingest Template'!A595="Standard",'Ingest Template'!S595&amp; "|2021-01-01",'Ingest Template'!S595)</f>
        <v>#N/A</v>
      </c>
      <c r="AM596" s="25"/>
    </row>
    <row r="597">
      <c r="A597" s="25"/>
      <c r="B597" s="25" t="str">
        <f>'Ingest Template'!C596&amp;IF('Ingest Template'!A596 = "Standard", " - DAR","")</f>
        <v/>
      </c>
      <c r="C597" s="34" t="s">
        <v>92</v>
      </c>
      <c r="D597" s="34" t="str">
        <f>CONCATENATE('Ingest Template'!E597&amp;Char(10)&amp;'Ingest Template'!G597&amp;Char(10)&amp;'Ingest Template'!H597&amp;Char(10)&amp;'Ingest Template'!I597&amp;Char(10)&amp;'Ingest Template'!J597&amp;Char(10)&amp;'Ingest Template'!K597&amp;Char(10)&amp;'Ingest Template'!L597)</f>
        <v>
</v>
      </c>
      <c r="E597" s="25" t="str">
        <f>('Ingest Template'!M597)</f>
        <v/>
      </c>
      <c r="F597" s="40" t="str">
        <f t="array" ref="F597">INDEX(DropDown!$J$2:$J$63,MATCH(1,COUNTIF(E597,DropDown!$I$2:$I$63),0))</f>
        <v>#N/A</v>
      </c>
      <c r="G597" s="25"/>
      <c r="H597" s="25"/>
      <c r="I597" s="25"/>
      <c r="J597" s="25" t="str">
        <f>'Ingest Template'!B597</f>
        <v/>
      </c>
      <c r="K597" s="25" t="str">
        <f>IF('Ingest Template'!A596="Standard",'Ingest Template'!N596,"Competitive View")</f>
        <v>Competitive View</v>
      </c>
      <c r="L597" s="41" t="s">
        <v>145</v>
      </c>
      <c r="M597" s="25" t="str">
        <f>'Ingest Template'!D596</f>
        <v/>
      </c>
      <c r="N597" s="25"/>
      <c r="O597" s="25"/>
      <c r="P597" s="25"/>
      <c r="Q597" s="25"/>
      <c r="R597" s="25" t="str">
        <f>CONCATENATE('Ingest Template'!F596)</f>
        <v/>
      </c>
      <c r="S597" s="43" t="s">
        <v>160</v>
      </c>
      <c r="T597" s="25" t="str">
        <f>'Ingest Template'!W596</f>
        <v/>
      </c>
      <c r="U597" s="25"/>
      <c r="V597" s="25" t="str">
        <f>LOWER(SUBSTITUTE(SUBSTITUTE(SUBSTITUTE(SUBSTITUTE(SUBSTITUTE('Ingest Template'!Y596,"https:",""),"www.",""),"/",""),"?hl=en",""),"instagram.com",""))</f>
        <v/>
      </c>
      <c r="W597" s="34" t="str">
        <f>(IFERROR(vlookup('Ingest Template'!F597,DropDown!D:E,2,false)&amp;'Ingest Template'!C597,""))</f>
        <v/>
      </c>
      <c r="X597" s="25" t="str">
        <f>'Ingest Template'!AA596</f>
        <v/>
      </c>
      <c r="Y597" s="25"/>
      <c r="Z597" s="25"/>
      <c r="AA597" s="25"/>
      <c r="AB597" s="25" t="str">
        <f>'Ingest Template'!T596</f>
        <v/>
      </c>
      <c r="AC597" s="25"/>
      <c r="AD597" s="25" t="str">
        <f>'Ingest Template'!U596</f>
        <v/>
      </c>
      <c r="AE597" s="25" t="str">
        <f>'Ingest Template'!V596</f>
        <v/>
      </c>
      <c r="AF597" s="25"/>
      <c r="AG597" s="25" t="str">
        <f t="array" ref="AG597">IF('Ingest Template'!A596="Standard",(CONCATENATE(IF(ISBLANK('Ingest Template'!O596),"", 'Ingest Template'!O596&amp;"|DAR"),CHAR(10), IF(ISBLANK('Ingest Template'!P596),"", 'Ingest Template'!P596&amp;"|DAR"),CHAR(10), IF(ISBLANK('Ingest Template'!Q596),"", 'Ingest Template'!Q596&amp;"|DAR"))),(CONCATENATE(IF(ISBLANK('Ingest Template'!O596),"", 'Ingest Template'!O596&amp;"|Operations - Core Title"),CHAR(10), IF(ISBLANK('Ingest Template'!P596),"", 'Ingest Template'!P596&amp;"|Operations - Core Title"),CHAR(10), IF(ISBLANK('Ingest Template'!Q596),"", 'Ingest Template'!Q596&amp;"|Operations - Core Title"))))</f>
        <v>#|Operations - Core Title
#videoGame|Operations - Core Title
</v>
      </c>
      <c r="AH597" s="25"/>
      <c r="AI597" s="25"/>
      <c r="AJ597" s="50" t="str">
        <f>if('Ingest Template'!A596="Standard",'Ingest Template'!R596&amp; "|DAR|DAR|2021-01-01",'Ingest Template'!R596&amp; "|Operations - Core Title|Operations - Core Title")</f>
        <v>#N/A</v>
      </c>
      <c r="AK597" s="25"/>
      <c r="AL597" s="25" t="str">
        <f>if('Ingest Template'!A596="Standard",'Ingest Template'!S596&amp; "|2021-01-01",'Ingest Template'!S596)</f>
        <v>#N/A</v>
      </c>
      <c r="AM597" s="25"/>
    </row>
    <row r="598">
      <c r="A598" s="25"/>
      <c r="B598" s="25" t="str">
        <f>'Ingest Template'!C597&amp;IF('Ingest Template'!A597 = "Standard", " - DAR","")</f>
        <v/>
      </c>
      <c r="C598" s="34" t="s">
        <v>92</v>
      </c>
      <c r="D598" s="34" t="str">
        <f>CONCATENATE('Ingest Template'!E598&amp;Char(10)&amp;'Ingest Template'!G598&amp;Char(10)&amp;'Ingest Template'!H598&amp;Char(10)&amp;'Ingest Template'!I598&amp;Char(10)&amp;'Ingest Template'!J598&amp;Char(10)&amp;'Ingest Template'!K598&amp;Char(10)&amp;'Ingest Template'!L598)</f>
        <v>
</v>
      </c>
      <c r="E598" s="25" t="str">
        <f>('Ingest Template'!M598)</f>
        <v/>
      </c>
      <c r="F598" s="40" t="str">
        <f t="array" ref="F598">INDEX(DropDown!$J$2:$J$63,MATCH(1,COUNTIF(E598,DropDown!$I$2:$I$63),0))</f>
        <v>#N/A</v>
      </c>
      <c r="G598" s="25"/>
      <c r="H598" s="25"/>
      <c r="I598" s="25"/>
      <c r="J598" s="25" t="str">
        <f>'Ingest Template'!B598</f>
        <v/>
      </c>
      <c r="K598" s="25" t="str">
        <f>IF('Ingest Template'!A597="Standard",'Ingest Template'!N597,"Competitive View")</f>
        <v>Competitive View</v>
      </c>
      <c r="L598" s="41" t="s">
        <v>145</v>
      </c>
      <c r="M598" s="25" t="str">
        <f>'Ingest Template'!D597</f>
        <v/>
      </c>
      <c r="N598" s="25"/>
      <c r="O598" s="25"/>
      <c r="P598" s="25"/>
      <c r="Q598" s="25"/>
      <c r="R598" s="25" t="str">
        <f>CONCATENATE('Ingest Template'!F597)</f>
        <v/>
      </c>
      <c r="S598" s="43" t="s">
        <v>160</v>
      </c>
      <c r="T598" s="25" t="str">
        <f>'Ingest Template'!W597</f>
        <v/>
      </c>
      <c r="U598" s="25"/>
      <c r="V598" s="25" t="str">
        <f>LOWER(SUBSTITUTE(SUBSTITUTE(SUBSTITUTE(SUBSTITUTE(SUBSTITUTE('Ingest Template'!Y597,"https:",""),"www.",""),"/",""),"?hl=en",""),"instagram.com",""))</f>
        <v/>
      </c>
      <c r="W598" s="34" t="str">
        <f>(IFERROR(vlookup('Ingest Template'!F598,DropDown!D:E,2,false)&amp;'Ingest Template'!C598,""))</f>
        <v/>
      </c>
      <c r="X598" s="25" t="str">
        <f>'Ingest Template'!AA597</f>
        <v/>
      </c>
      <c r="Y598" s="25"/>
      <c r="Z598" s="25"/>
      <c r="AA598" s="25"/>
      <c r="AB598" s="25" t="str">
        <f>'Ingest Template'!T597</f>
        <v/>
      </c>
      <c r="AC598" s="25"/>
      <c r="AD598" s="25" t="str">
        <f>'Ingest Template'!U597</f>
        <v/>
      </c>
      <c r="AE598" s="25" t="str">
        <f>'Ingest Template'!V597</f>
        <v/>
      </c>
      <c r="AF598" s="25"/>
      <c r="AG598" s="25" t="str">
        <f t="array" ref="AG598">IF('Ingest Template'!A597="Standard",(CONCATENATE(IF(ISBLANK('Ingest Template'!O597),"", 'Ingest Template'!O597&amp;"|DAR"),CHAR(10), IF(ISBLANK('Ingest Template'!P597),"", 'Ingest Template'!P597&amp;"|DAR"),CHAR(10), IF(ISBLANK('Ingest Template'!Q597),"", 'Ingest Template'!Q597&amp;"|DAR"))),(CONCATENATE(IF(ISBLANK('Ingest Template'!O597),"", 'Ingest Template'!O597&amp;"|Operations - Core Title"),CHAR(10), IF(ISBLANK('Ingest Template'!P597),"", 'Ingest Template'!P597&amp;"|Operations - Core Title"),CHAR(10), IF(ISBLANK('Ingest Template'!Q597),"", 'Ingest Template'!Q597&amp;"|Operations - Core Title"))))</f>
        <v>#|Operations - Core Title
#videoGame|Operations - Core Title
</v>
      </c>
      <c r="AH598" s="25"/>
      <c r="AI598" s="25"/>
      <c r="AJ598" s="50" t="str">
        <f>if('Ingest Template'!A597="Standard",'Ingest Template'!R597&amp; "|DAR|DAR|2021-01-01",'Ingest Template'!R597&amp; "|Operations - Core Title|Operations - Core Title")</f>
        <v>#N/A</v>
      </c>
      <c r="AK598" s="25"/>
      <c r="AL598" s="25" t="str">
        <f>if('Ingest Template'!A597="Standard",'Ingest Template'!S597&amp; "|2021-01-01",'Ingest Template'!S597)</f>
        <v>#N/A</v>
      </c>
      <c r="AM598" s="25"/>
    </row>
    <row r="599">
      <c r="A599" s="25"/>
      <c r="B599" s="25" t="str">
        <f>'Ingest Template'!C598&amp;IF('Ingest Template'!A598 = "Standard", " - DAR","")</f>
        <v/>
      </c>
      <c r="C599" s="34" t="s">
        <v>92</v>
      </c>
      <c r="D599" s="34" t="str">
        <f>CONCATENATE('Ingest Template'!E599&amp;Char(10)&amp;'Ingest Template'!G599&amp;Char(10)&amp;'Ingest Template'!H599&amp;Char(10)&amp;'Ingest Template'!I599&amp;Char(10)&amp;'Ingest Template'!J599&amp;Char(10)&amp;'Ingest Template'!K599&amp;Char(10)&amp;'Ingest Template'!L599)</f>
        <v>
</v>
      </c>
      <c r="E599" s="25" t="str">
        <f>('Ingest Template'!M599)</f>
        <v/>
      </c>
      <c r="F599" s="40" t="str">
        <f t="array" ref="F599">INDEX(DropDown!$J$2:$J$63,MATCH(1,COUNTIF(E599,DropDown!$I$2:$I$63),0))</f>
        <v>#N/A</v>
      </c>
      <c r="G599" s="25"/>
      <c r="H599" s="25"/>
      <c r="I599" s="25"/>
      <c r="J599" s="25" t="str">
        <f>'Ingest Template'!B599</f>
        <v/>
      </c>
      <c r="K599" s="25" t="str">
        <f>IF('Ingest Template'!A598="Standard",'Ingest Template'!N598,"Competitive View")</f>
        <v>Competitive View</v>
      </c>
      <c r="L599" s="41" t="s">
        <v>145</v>
      </c>
      <c r="M599" s="25" t="str">
        <f>'Ingest Template'!D598</f>
        <v/>
      </c>
      <c r="N599" s="25"/>
      <c r="O599" s="25"/>
      <c r="P599" s="25"/>
      <c r="Q599" s="25"/>
      <c r="R599" s="25" t="str">
        <f>CONCATENATE('Ingest Template'!F598)</f>
        <v/>
      </c>
      <c r="S599" s="43" t="s">
        <v>160</v>
      </c>
      <c r="T599" s="25" t="str">
        <f>'Ingest Template'!W598</f>
        <v/>
      </c>
      <c r="U599" s="25"/>
      <c r="V599" s="25" t="str">
        <f>LOWER(SUBSTITUTE(SUBSTITUTE(SUBSTITUTE(SUBSTITUTE(SUBSTITUTE('Ingest Template'!Y598,"https:",""),"www.",""),"/",""),"?hl=en",""),"instagram.com",""))</f>
        <v/>
      </c>
      <c r="W599" s="34" t="str">
        <f>(IFERROR(vlookup('Ingest Template'!F599,DropDown!D:E,2,false)&amp;'Ingest Template'!C599,""))</f>
        <v/>
      </c>
      <c r="X599" s="25" t="str">
        <f>'Ingest Template'!AA598</f>
        <v/>
      </c>
      <c r="Y599" s="25"/>
      <c r="Z599" s="25"/>
      <c r="AA599" s="25"/>
      <c r="AB599" s="25" t="str">
        <f>'Ingest Template'!T598</f>
        <v/>
      </c>
      <c r="AC599" s="25"/>
      <c r="AD599" s="25" t="str">
        <f>'Ingest Template'!U598</f>
        <v/>
      </c>
      <c r="AE599" s="25" t="str">
        <f>'Ingest Template'!V598</f>
        <v/>
      </c>
      <c r="AF599" s="25"/>
      <c r="AG599" s="25" t="str">
        <f t="array" ref="AG599">IF('Ingest Template'!A598="Standard",(CONCATENATE(IF(ISBLANK('Ingest Template'!O598),"", 'Ingest Template'!O598&amp;"|DAR"),CHAR(10), IF(ISBLANK('Ingest Template'!P598),"", 'Ingest Template'!P598&amp;"|DAR"),CHAR(10), IF(ISBLANK('Ingest Template'!Q598),"", 'Ingest Template'!Q598&amp;"|DAR"))),(CONCATENATE(IF(ISBLANK('Ingest Template'!O598),"", 'Ingest Template'!O598&amp;"|Operations - Core Title"),CHAR(10), IF(ISBLANK('Ingest Template'!P598),"", 'Ingest Template'!P598&amp;"|Operations - Core Title"),CHAR(10), IF(ISBLANK('Ingest Template'!Q598),"", 'Ingest Template'!Q598&amp;"|Operations - Core Title"))))</f>
        <v>#|Operations - Core Title
#videoGame|Operations - Core Title
</v>
      </c>
      <c r="AH599" s="25"/>
      <c r="AI599" s="25"/>
      <c r="AJ599" s="50" t="str">
        <f>if('Ingest Template'!A598="Standard",'Ingest Template'!R598&amp; "|DAR|DAR|2021-01-01",'Ingest Template'!R598&amp; "|Operations - Core Title|Operations - Core Title")</f>
        <v>#N/A</v>
      </c>
      <c r="AK599" s="25"/>
      <c r="AL599" s="25" t="str">
        <f>if('Ingest Template'!A598="Standard",'Ingest Template'!S598&amp; "|2021-01-01",'Ingest Template'!S598)</f>
        <v>#N/A</v>
      </c>
      <c r="AM599" s="25"/>
    </row>
    <row r="600">
      <c r="A600" s="25"/>
      <c r="B600" s="25" t="str">
        <f>'Ingest Template'!C599&amp;IF('Ingest Template'!A599 = "Standard", " - DAR","")</f>
        <v/>
      </c>
      <c r="C600" s="34" t="s">
        <v>92</v>
      </c>
      <c r="D600" s="34" t="str">
        <f>CONCATENATE('Ingest Template'!E600&amp;Char(10)&amp;'Ingest Template'!G600&amp;Char(10)&amp;'Ingest Template'!H600&amp;Char(10)&amp;'Ingest Template'!I600&amp;Char(10)&amp;'Ingest Template'!J600&amp;Char(10)&amp;'Ingest Template'!K600&amp;Char(10)&amp;'Ingest Template'!L600)</f>
        <v>
</v>
      </c>
      <c r="E600" s="25" t="str">
        <f>('Ingest Template'!M600)</f>
        <v/>
      </c>
      <c r="F600" s="40" t="str">
        <f t="array" ref="F600">INDEX(DropDown!$J$2:$J$63,MATCH(1,COUNTIF(E600,DropDown!$I$2:$I$63),0))</f>
        <v>#N/A</v>
      </c>
      <c r="G600" s="25"/>
      <c r="H600" s="25"/>
      <c r="I600" s="25"/>
      <c r="J600" s="25" t="str">
        <f>'Ingest Template'!B600</f>
        <v/>
      </c>
      <c r="K600" s="25" t="str">
        <f>IF('Ingest Template'!A599="Standard",'Ingest Template'!N599,"Competitive View")</f>
        <v>Competitive View</v>
      </c>
      <c r="L600" s="41" t="s">
        <v>145</v>
      </c>
      <c r="M600" s="25" t="str">
        <f>'Ingest Template'!D599</f>
        <v/>
      </c>
      <c r="N600" s="25"/>
      <c r="O600" s="25"/>
      <c r="P600" s="25"/>
      <c r="Q600" s="25"/>
      <c r="R600" s="25" t="str">
        <f>CONCATENATE('Ingest Template'!F599)</f>
        <v/>
      </c>
      <c r="S600" s="43" t="s">
        <v>160</v>
      </c>
      <c r="T600" s="25" t="str">
        <f>'Ingest Template'!W599</f>
        <v/>
      </c>
      <c r="U600" s="25"/>
      <c r="V600" s="25" t="str">
        <f>LOWER(SUBSTITUTE(SUBSTITUTE(SUBSTITUTE(SUBSTITUTE(SUBSTITUTE('Ingest Template'!Y599,"https:",""),"www.",""),"/",""),"?hl=en",""),"instagram.com",""))</f>
        <v/>
      </c>
      <c r="W600" s="34" t="str">
        <f>(IFERROR(vlookup('Ingest Template'!F600,DropDown!D:E,2,false)&amp;'Ingest Template'!C600,""))</f>
        <v/>
      </c>
      <c r="X600" s="25" t="str">
        <f>'Ingest Template'!AA599</f>
        <v/>
      </c>
      <c r="Y600" s="25"/>
      <c r="Z600" s="25"/>
      <c r="AA600" s="25"/>
      <c r="AB600" s="25" t="str">
        <f>'Ingest Template'!T599</f>
        <v/>
      </c>
      <c r="AC600" s="25"/>
      <c r="AD600" s="25" t="str">
        <f>'Ingest Template'!U599</f>
        <v/>
      </c>
      <c r="AE600" s="25" t="str">
        <f>'Ingest Template'!V599</f>
        <v/>
      </c>
      <c r="AF600" s="25"/>
      <c r="AG600" s="25" t="str">
        <f t="array" ref="AG600">IF('Ingest Template'!A599="Standard",(CONCATENATE(IF(ISBLANK('Ingest Template'!O599),"", 'Ingest Template'!O599&amp;"|DAR"),CHAR(10), IF(ISBLANK('Ingest Template'!P599),"", 'Ingest Template'!P599&amp;"|DAR"),CHAR(10), IF(ISBLANK('Ingest Template'!Q599),"", 'Ingest Template'!Q599&amp;"|DAR"))),(CONCATENATE(IF(ISBLANK('Ingest Template'!O599),"", 'Ingest Template'!O599&amp;"|Operations - Core Title"),CHAR(10), IF(ISBLANK('Ingest Template'!P599),"", 'Ingest Template'!P599&amp;"|Operations - Core Title"),CHAR(10), IF(ISBLANK('Ingest Template'!Q599),"", 'Ingest Template'!Q599&amp;"|Operations - Core Title"))))</f>
        <v>#|Operations - Core Title
#videoGame|Operations - Core Title
</v>
      </c>
      <c r="AH600" s="25"/>
      <c r="AI600" s="25"/>
      <c r="AJ600" s="50" t="str">
        <f>if('Ingest Template'!A599="Standard",'Ingest Template'!R599&amp; "|DAR|DAR|2021-01-01",'Ingest Template'!R599&amp; "|Operations - Core Title|Operations - Core Title")</f>
        <v>#N/A</v>
      </c>
      <c r="AK600" s="25"/>
      <c r="AL600" s="25" t="str">
        <f>if('Ingest Template'!A599="Standard",'Ingest Template'!S599&amp; "|2021-01-01",'Ingest Template'!S599)</f>
        <v>#N/A</v>
      </c>
      <c r="AM600" s="25"/>
    </row>
    <row r="601">
      <c r="A601" s="25"/>
      <c r="B601" s="25" t="str">
        <f>'Ingest Template'!C600&amp;IF('Ingest Template'!A600 = "Standard", " - DAR","")</f>
        <v/>
      </c>
      <c r="C601" s="34" t="s">
        <v>92</v>
      </c>
      <c r="D601" s="34" t="str">
        <f>CONCATENATE('Ingest Template'!E601&amp;Char(10)&amp;'Ingest Template'!G601&amp;Char(10)&amp;'Ingest Template'!H601&amp;Char(10)&amp;'Ingest Template'!I601&amp;Char(10)&amp;'Ingest Template'!J601&amp;Char(10)&amp;'Ingest Template'!K601&amp;Char(10)&amp;'Ingest Template'!L601)</f>
        <v>
</v>
      </c>
      <c r="E601" s="25" t="str">
        <f>('Ingest Template'!M601)</f>
        <v/>
      </c>
      <c r="F601" s="40" t="str">
        <f t="array" ref="F601">INDEX(DropDown!$J$2:$J$63,MATCH(1,COUNTIF(E601,DropDown!$I$2:$I$63),0))</f>
        <v>#N/A</v>
      </c>
      <c r="G601" s="25"/>
      <c r="H601" s="25"/>
      <c r="I601" s="25"/>
      <c r="J601" s="25" t="str">
        <f>'Ingest Template'!B601</f>
        <v/>
      </c>
      <c r="K601" s="25" t="str">
        <f>IF('Ingest Template'!A600="Standard",'Ingest Template'!N600,"Competitive View")</f>
        <v>Competitive View</v>
      </c>
      <c r="L601" s="41" t="s">
        <v>145</v>
      </c>
      <c r="M601" s="25" t="str">
        <f>'Ingest Template'!D600</f>
        <v/>
      </c>
      <c r="N601" s="25"/>
      <c r="O601" s="25"/>
      <c r="P601" s="25"/>
      <c r="Q601" s="25"/>
      <c r="R601" s="25" t="str">
        <f>CONCATENATE('Ingest Template'!F600)</f>
        <v/>
      </c>
      <c r="S601" s="43" t="s">
        <v>160</v>
      </c>
      <c r="T601" s="25" t="str">
        <f>'Ingest Template'!W600</f>
        <v/>
      </c>
      <c r="U601" s="25"/>
      <c r="V601" s="25" t="str">
        <f>LOWER(SUBSTITUTE(SUBSTITUTE(SUBSTITUTE(SUBSTITUTE(SUBSTITUTE('Ingest Template'!Y600,"https:",""),"www.",""),"/",""),"?hl=en",""),"instagram.com",""))</f>
        <v/>
      </c>
      <c r="W601" s="34" t="str">
        <f>(IFERROR(vlookup('Ingest Template'!F601,DropDown!D:E,2,false)&amp;'Ingest Template'!C601,""))</f>
        <v/>
      </c>
      <c r="X601" s="25" t="str">
        <f>'Ingest Template'!AA600</f>
        <v/>
      </c>
      <c r="Y601" s="25"/>
      <c r="Z601" s="25"/>
      <c r="AA601" s="25"/>
      <c r="AB601" s="25" t="str">
        <f>'Ingest Template'!T600</f>
        <v/>
      </c>
      <c r="AC601" s="25"/>
      <c r="AD601" s="25" t="str">
        <f>'Ingest Template'!U600</f>
        <v/>
      </c>
      <c r="AE601" s="25" t="str">
        <f>'Ingest Template'!V600</f>
        <v/>
      </c>
      <c r="AF601" s="25"/>
      <c r="AG601" s="25" t="str">
        <f t="array" ref="AG601">IF('Ingest Template'!A600="Standard",(CONCATENATE(IF(ISBLANK('Ingest Template'!O600),"", 'Ingest Template'!O600&amp;"|DAR"),CHAR(10), IF(ISBLANK('Ingest Template'!P600),"", 'Ingest Template'!P600&amp;"|DAR"),CHAR(10), IF(ISBLANK('Ingest Template'!Q600),"", 'Ingest Template'!Q600&amp;"|DAR"))),(CONCATENATE(IF(ISBLANK('Ingest Template'!O600),"", 'Ingest Template'!O600&amp;"|Operations - Core Title"),CHAR(10), IF(ISBLANK('Ingest Template'!P600),"", 'Ingest Template'!P600&amp;"|Operations - Core Title"),CHAR(10), IF(ISBLANK('Ingest Template'!Q600),"", 'Ingest Template'!Q600&amp;"|Operations - Core Title"))))</f>
        <v>#|Operations - Core Title
#videoGame|Operations - Core Title
</v>
      </c>
      <c r="AH601" s="25"/>
      <c r="AI601" s="25"/>
      <c r="AJ601" s="50" t="str">
        <f>if('Ingest Template'!A600="Standard",'Ingest Template'!R600&amp; "|DAR|DAR|2021-01-01",'Ingest Template'!R600&amp; "|Operations - Core Title|Operations - Core Title")</f>
        <v>#N/A</v>
      </c>
      <c r="AK601" s="25"/>
      <c r="AL601" s="25" t="str">
        <f>if('Ingest Template'!A600="Standard",'Ingest Template'!S600&amp; "|2021-01-01",'Ingest Template'!S600)</f>
        <v>#N/A</v>
      </c>
      <c r="AM601" s="25"/>
    </row>
    <row r="602">
      <c r="A602" s="25"/>
      <c r="B602" s="25" t="str">
        <f>'Ingest Template'!C601&amp;IF('Ingest Template'!A601 = "Standard", " - DAR","")</f>
        <v/>
      </c>
      <c r="C602" s="34" t="s">
        <v>92</v>
      </c>
      <c r="D602" s="34" t="str">
        <f>CONCATENATE('Ingest Template'!E602&amp;Char(10)&amp;'Ingest Template'!G602&amp;Char(10)&amp;'Ingest Template'!H602&amp;Char(10)&amp;'Ingest Template'!I602&amp;Char(10)&amp;'Ingest Template'!J602&amp;Char(10)&amp;'Ingest Template'!K602&amp;Char(10)&amp;'Ingest Template'!L602)</f>
        <v>
</v>
      </c>
      <c r="E602" s="25" t="str">
        <f>('Ingest Template'!M602)</f>
        <v/>
      </c>
      <c r="F602" s="40" t="str">
        <f t="array" ref="F602">INDEX(DropDown!$J$2:$J$63,MATCH(1,COUNTIF(E602,DropDown!$I$2:$I$63),0))</f>
        <v>#N/A</v>
      </c>
      <c r="G602" s="25"/>
      <c r="H602" s="25"/>
      <c r="I602" s="25"/>
      <c r="J602" s="25" t="str">
        <f>'Ingest Template'!B602</f>
        <v/>
      </c>
      <c r="K602" s="25" t="str">
        <f>IF('Ingest Template'!A601="Standard",'Ingest Template'!N601,"Competitive View")</f>
        <v>Competitive View</v>
      </c>
      <c r="L602" s="41" t="s">
        <v>145</v>
      </c>
      <c r="M602" s="25" t="str">
        <f>'Ingest Template'!D601</f>
        <v/>
      </c>
      <c r="N602" s="25"/>
      <c r="O602" s="25"/>
      <c r="P602" s="25"/>
      <c r="Q602" s="25"/>
      <c r="R602" s="25" t="str">
        <f>CONCATENATE('Ingest Template'!F601)</f>
        <v/>
      </c>
      <c r="S602" s="43" t="s">
        <v>160</v>
      </c>
      <c r="T602" s="25" t="str">
        <f>'Ingest Template'!W601</f>
        <v/>
      </c>
      <c r="U602" s="25"/>
      <c r="V602" s="25" t="str">
        <f>LOWER(SUBSTITUTE(SUBSTITUTE(SUBSTITUTE(SUBSTITUTE(SUBSTITUTE('Ingest Template'!Y601,"https:",""),"www.",""),"/",""),"?hl=en",""),"instagram.com",""))</f>
        <v/>
      </c>
      <c r="W602" s="34" t="str">
        <f>(IFERROR(vlookup('Ingest Template'!F602,DropDown!D:E,2,false)&amp;'Ingest Template'!C602,""))</f>
        <v/>
      </c>
      <c r="X602" s="25" t="str">
        <f>'Ingest Template'!AA601</f>
        <v/>
      </c>
      <c r="Y602" s="25"/>
      <c r="Z602" s="25"/>
      <c r="AA602" s="25"/>
      <c r="AB602" s="25" t="str">
        <f>'Ingest Template'!T601</f>
        <v/>
      </c>
      <c r="AC602" s="25"/>
      <c r="AD602" s="25" t="str">
        <f>'Ingest Template'!U601</f>
        <v/>
      </c>
      <c r="AE602" s="25" t="str">
        <f>'Ingest Template'!V601</f>
        <v/>
      </c>
      <c r="AF602" s="25"/>
      <c r="AG602" s="25" t="str">
        <f t="array" ref="AG602">IF('Ingest Template'!A601="Standard",(CONCATENATE(IF(ISBLANK('Ingest Template'!O601),"", 'Ingest Template'!O601&amp;"|DAR"),CHAR(10), IF(ISBLANK('Ingest Template'!P601),"", 'Ingest Template'!P601&amp;"|DAR"),CHAR(10), IF(ISBLANK('Ingest Template'!Q601),"", 'Ingest Template'!Q601&amp;"|DAR"))),(CONCATENATE(IF(ISBLANK('Ingest Template'!O601),"", 'Ingest Template'!O601&amp;"|Operations - Core Title"),CHAR(10), IF(ISBLANK('Ingest Template'!P601),"", 'Ingest Template'!P601&amp;"|Operations - Core Title"),CHAR(10), IF(ISBLANK('Ingest Template'!Q601),"", 'Ingest Template'!Q601&amp;"|Operations - Core Title"))))</f>
        <v>#|Operations - Core Title
#videoGame|Operations - Core Title
</v>
      </c>
      <c r="AH602" s="25"/>
      <c r="AI602" s="25"/>
      <c r="AJ602" s="50" t="str">
        <f>if('Ingest Template'!A601="Standard",'Ingest Template'!R601&amp; "|DAR|DAR|2021-01-01",'Ingest Template'!R601&amp; "|Operations - Core Title|Operations - Core Title")</f>
        <v>#N/A</v>
      </c>
      <c r="AK602" s="25"/>
      <c r="AL602" s="25" t="str">
        <f>if('Ingest Template'!A601="Standard",'Ingest Template'!S601&amp; "|2021-01-01",'Ingest Template'!S601)</f>
        <v>#N/A</v>
      </c>
      <c r="AM602" s="25"/>
    </row>
    <row r="603">
      <c r="A603" s="25"/>
      <c r="B603" s="25" t="str">
        <f>'Ingest Template'!C602&amp;IF('Ingest Template'!A602 = "Standard", " - DAR","")</f>
        <v/>
      </c>
      <c r="C603" s="34" t="s">
        <v>92</v>
      </c>
      <c r="D603" s="34" t="str">
        <f>CONCATENATE('Ingest Template'!E603&amp;Char(10)&amp;'Ingest Template'!G603&amp;Char(10)&amp;'Ingest Template'!H603&amp;Char(10)&amp;'Ingest Template'!I603&amp;Char(10)&amp;'Ingest Template'!J603&amp;Char(10)&amp;'Ingest Template'!K603&amp;Char(10)&amp;'Ingest Template'!L603)</f>
        <v>
</v>
      </c>
      <c r="E603" s="25" t="str">
        <f>('Ingest Template'!M603)</f>
        <v/>
      </c>
      <c r="F603" s="40" t="str">
        <f t="array" ref="F603">INDEX(DropDown!$J$2:$J$63,MATCH(1,COUNTIF(E603,DropDown!$I$2:$I$63),0))</f>
        <v>#N/A</v>
      </c>
      <c r="G603" s="25"/>
      <c r="H603" s="25"/>
      <c r="I603" s="25"/>
      <c r="J603" s="25" t="str">
        <f>'Ingest Template'!B603</f>
        <v/>
      </c>
      <c r="K603" s="25" t="str">
        <f>IF('Ingest Template'!A602="Standard",'Ingest Template'!N602,"Competitive View")</f>
        <v>Competitive View</v>
      </c>
      <c r="L603" s="41" t="s">
        <v>145</v>
      </c>
      <c r="M603" s="25" t="str">
        <f>'Ingest Template'!D602</f>
        <v/>
      </c>
      <c r="N603" s="25"/>
      <c r="O603" s="25"/>
      <c r="P603" s="25"/>
      <c r="Q603" s="25"/>
      <c r="R603" s="25" t="str">
        <f>CONCATENATE('Ingest Template'!F602)</f>
        <v/>
      </c>
      <c r="S603" s="43" t="s">
        <v>160</v>
      </c>
      <c r="T603" s="25" t="str">
        <f>'Ingest Template'!W602</f>
        <v/>
      </c>
      <c r="U603" s="25"/>
      <c r="V603" s="25" t="str">
        <f>LOWER(SUBSTITUTE(SUBSTITUTE(SUBSTITUTE(SUBSTITUTE(SUBSTITUTE('Ingest Template'!Y602,"https:",""),"www.",""),"/",""),"?hl=en",""),"instagram.com",""))</f>
        <v/>
      </c>
      <c r="W603" s="34" t="str">
        <f>(IFERROR(vlookup('Ingest Template'!F603,DropDown!D:E,2,false)&amp;'Ingest Template'!C603,""))</f>
        <v/>
      </c>
      <c r="X603" s="25" t="str">
        <f>'Ingest Template'!AA602</f>
        <v/>
      </c>
      <c r="Y603" s="25"/>
      <c r="Z603" s="25"/>
      <c r="AA603" s="25"/>
      <c r="AB603" s="25" t="str">
        <f>'Ingest Template'!T602</f>
        <v/>
      </c>
      <c r="AC603" s="25"/>
      <c r="AD603" s="25" t="str">
        <f>'Ingest Template'!U602</f>
        <v/>
      </c>
      <c r="AE603" s="25" t="str">
        <f>'Ingest Template'!V602</f>
        <v/>
      </c>
      <c r="AF603" s="25"/>
      <c r="AG603" s="25" t="str">
        <f t="array" ref="AG603">IF('Ingest Template'!A602="Standard",(CONCATENATE(IF(ISBLANK('Ingest Template'!O602),"", 'Ingest Template'!O602&amp;"|DAR"),CHAR(10), IF(ISBLANK('Ingest Template'!P602),"", 'Ingest Template'!P602&amp;"|DAR"),CHAR(10), IF(ISBLANK('Ingest Template'!Q602),"", 'Ingest Template'!Q602&amp;"|DAR"))),(CONCATENATE(IF(ISBLANK('Ingest Template'!O602),"", 'Ingest Template'!O602&amp;"|Operations - Core Title"),CHAR(10), IF(ISBLANK('Ingest Template'!P602),"", 'Ingest Template'!P602&amp;"|Operations - Core Title"),CHAR(10), IF(ISBLANK('Ingest Template'!Q602),"", 'Ingest Template'!Q602&amp;"|Operations - Core Title"))))</f>
        <v>#|Operations - Core Title
#videoGame|Operations - Core Title
</v>
      </c>
      <c r="AH603" s="25"/>
      <c r="AI603" s="25"/>
      <c r="AJ603" s="50" t="str">
        <f>if('Ingest Template'!A602="Standard",'Ingest Template'!R602&amp; "|DAR|DAR|2021-01-01",'Ingest Template'!R602&amp; "|Operations - Core Title|Operations - Core Title")</f>
        <v>#N/A</v>
      </c>
      <c r="AK603" s="25"/>
      <c r="AL603" s="25" t="str">
        <f>if('Ingest Template'!A602="Standard",'Ingest Template'!S602&amp; "|2021-01-01",'Ingest Template'!S602)</f>
        <v>#N/A</v>
      </c>
      <c r="AM603" s="25"/>
    </row>
    <row r="604">
      <c r="A604" s="25"/>
      <c r="B604" s="25" t="str">
        <f>'Ingest Template'!C603&amp;IF('Ingest Template'!A603 = "Standard", " - DAR","")</f>
        <v/>
      </c>
      <c r="C604" s="34" t="s">
        <v>92</v>
      </c>
      <c r="D604" s="34" t="str">
        <f>CONCATENATE('Ingest Template'!E604&amp;Char(10)&amp;'Ingest Template'!G604&amp;Char(10)&amp;'Ingest Template'!H604&amp;Char(10)&amp;'Ingest Template'!I604&amp;Char(10)&amp;'Ingest Template'!J604&amp;Char(10)&amp;'Ingest Template'!K604&amp;Char(10)&amp;'Ingest Template'!L604)</f>
        <v>
</v>
      </c>
      <c r="E604" s="25" t="str">
        <f>('Ingest Template'!M604)</f>
        <v/>
      </c>
      <c r="F604" s="40" t="str">
        <f t="array" ref="F604">INDEX(DropDown!$J$2:$J$63,MATCH(1,COUNTIF(E604,DropDown!$I$2:$I$63),0))</f>
        <v>#N/A</v>
      </c>
      <c r="G604" s="25"/>
      <c r="H604" s="25"/>
      <c r="I604" s="25"/>
      <c r="J604" s="25" t="str">
        <f>'Ingest Template'!B604</f>
        <v/>
      </c>
      <c r="K604" s="25" t="str">
        <f>IF('Ingest Template'!A603="Standard",'Ingest Template'!N603,"Competitive View")</f>
        <v>Competitive View</v>
      </c>
      <c r="L604" s="41" t="s">
        <v>145</v>
      </c>
      <c r="M604" s="25" t="str">
        <f>'Ingest Template'!D603</f>
        <v/>
      </c>
      <c r="N604" s="25"/>
      <c r="O604" s="25"/>
      <c r="P604" s="25"/>
      <c r="Q604" s="25"/>
      <c r="R604" s="25" t="str">
        <f>CONCATENATE('Ingest Template'!F603)</f>
        <v/>
      </c>
      <c r="S604" s="43" t="s">
        <v>160</v>
      </c>
      <c r="T604" s="25" t="str">
        <f>'Ingest Template'!W603</f>
        <v/>
      </c>
      <c r="U604" s="25"/>
      <c r="V604" s="25" t="str">
        <f>LOWER(SUBSTITUTE(SUBSTITUTE(SUBSTITUTE(SUBSTITUTE(SUBSTITUTE('Ingest Template'!Y603,"https:",""),"www.",""),"/",""),"?hl=en",""),"instagram.com",""))</f>
        <v/>
      </c>
      <c r="W604" s="34" t="str">
        <f>(IFERROR(vlookup('Ingest Template'!F604,DropDown!D:E,2,false)&amp;'Ingest Template'!C604,""))</f>
        <v/>
      </c>
      <c r="X604" s="25" t="str">
        <f>'Ingest Template'!AA603</f>
        <v/>
      </c>
      <c r="Y604" s="25"/>
      <c r="Z604" s="25"/>
      <c r="AA604" s="25"/>
      <c r="AB604" s="25" t="str">
        <f>'Ingest Template'!T603</f>
        <v/>
      </c>
      <c r="AC604" s="25"/>
      <c r="AD604" s="25" t="str">
        <f>'Ingest Template'!U603</f>
        <v/>
      </c>
      <c r="AE604" s="25" t="str">
        <f>'Ingest Template'!V603</f>
        <v/>
      </c>
      <c r="AF604" s="25"/>
      <c r="AG604" s="25" t="str">
        <f t="array" ref="AG604">IF('Ingest Template'!A603="Standard",(CONCATENATE(IF(ISBLANK('Ingest Template'!O603),"", 'Ingest Template'!O603&amp;"|DAR"),CHAR(10), IF(ISBLANK('Ingest Template'!P603),"", 'Ingest Template'!P603&amp;"|DAR"),CHAR(10), IF(ISBLANK('Ingest Template'!Q603),"", 'Ingest Template'!Q603&amp;"|DAR"))),(CONCATENATE(IF(ISBLANK('Ingest Template'!O603),"", 'Ingest Template'!O603&amp;"|Operations - Core Title"),CHAR(10), IF(ISBLANK('Ingest Template'!P603),"", 'Ingest Template'!P603&amp;"|Operations - Core Title"),CHAR(10), IF(ISBLANK('Ingest Template'!Q603),"", 'Ingest Template'!Q603&amp;"|Operations - Core Title"))))</f>
        <v>#|Operations - Core Title
#videoGame|Operations - Core Title
</v>
      </c>
      <c r="AH604" s="25"/>
      <c r="AI604" s="25"/>
      <c r="AJ604" s="50" t="str">
        <f>if('Ingest Template'!A603="Standard",'Ingest Template'!R603&amp; "|DAR|DAR|2021-01-01",'Ingest Template'!R603&amp; "|Operations - Core Title|Operations - Core Title")</f>
        <v>#N/A</v>
      </c>
      <c r="AK604" s="25"/>
      <c r="AL604" s="25" t="str">
        <f>if('Ingest Template'!A603="Standard",'Ingest Template'!S603&amp; "|2021-01-01",'Ingest Template'!S603)</f>
        <v>#N/A</v>
      </c>
      <c r="AM604" s="25"/>
    </row>
    <row r="605">
      <c r="A605" s="25"/>
      <c r="B605" s="25" t="str">
        <f>'Ingest Template'!C604&amp;IF('Ingest Template'!A604 = "Standard", " - DAR","")</f>
        <v/>
      </c>
      <c r="C605" s="34" t="s">
        <v>92</v>
      </c>
      <c r="D605" s="34" t="str">
        <f>CONCATENATE('Ingest Template'!E605&amp;Char(10)&amp;'Ingest Template'!G605&amp;Char(10)&amp;'Ingest Template'!H605&amp;Char(10)&amp;'Ingest Template'!I605&amp;Char(10)&amp;'Ingest Template'!J605&amp;Char(10)&amp;'Ingest Template'!K605&amp;Char(10)&amp;'Ingest Template'!L605)</f>
        <v>
</v>
      </c>
      <c r="E605" s="25" t="str">
        <f>('Ingest Template'!M605)</f>
        <v/>
      </c>
      <c r="F605" s="40" t="str">
        <f t="array" ref="F605">INDEX(DropDown!$J$2:$J$63,MATCH(1,COUNTIF(E605,DropDown!$I$2:$I$63),0))</f>
        <v>#N/A</v>
      </c>
      <c r="G605" s="25"/>
      <c r="H605" s="25"/>
      <c r="I605" s="25"/>
      <c r="J605" s="25" t="str">
        <f>'Ingest Template'!B605</f>
        <v/>
      </c>
      <c r="K605" s="25" t="str">
        <f>IF('Ingest Template'!A604="Standard",'Ingest Template'!N604,"Competitive View")</f>
        <v>Competitive View</v>
      </c>
      <c r="L605" s="41" t="s">
        <v>145</v>
      </c>
      <c r="M605" s="25" t="str">
        <f>'Ingest Template'!D604</f>
        <v/>
      </c>
      <c r="N605" s="25"/>
      <c r="O605" s="25"/>
      <c r="P605" s="25"/>
      <c r="Q605" s="25"/>
      <c r="R605" s="25" t="str">
        <f>CONCATENATE('Ingest Template'!F604)</f>
        <v/>
      </c>
      <c r="S605" s="43" t="s">
        <v>160</v>
      </c>
      <c r="T605" s="25" t="str">
        <f>'Ingest Template'!W604</f>
        <v/>
      </c>
      <c r="U605" s="25"/>
      <c r="V605" s="25" t="str">
        <f>LOWER(SUBSTITUTE(SUBSTITUTE(SUBSTITUTE(SUBSTITUTE(SUBSTITUTE('Ingest Template'!Y604,"https:",""),"www.",""),"/",""),"?hl=en",""),"instagram.com",""))</f>
        <v/>
      </c>
      <c r="W605" s="34" t="str">
        <f>(IFERROR(vlookup('Ingest Template'!F605,DropDown!D:E,2,false)&amp;'Ingest Template'!C605,""))</f>
        <v/>
      </c>
      <c r="X605" s="25" t="str">
        <f>'Ingest Template'!AA604</f>
        <v/>
      </c>
      <c r="Y605" s="25"/>
      <c r="Z605" s="25"/>
      <c r="AA605" s="25"/>
      <c r="AB605" s="25" t="str">
        <f>'Ingest Template'!T604</f>
        <v/>
      </c>
      <c r="AC605" s="25"/>
      <c r="AD605" s="25" t="str">
        <f>'Ingest Template'!U604</f>
        <v/>
      </c>
      <c r="AE605" s="25" t="str">
        <f>'Ingest Template'!V604</f>
        <v/>
      </c>
      <c r="AF605" s="25"/>
      <c r="AG605" s="25" t="str">
        <f t="array" ref="AG605">IF('Ingest Template'!A604="Standard",(CONCATENATE(IF(ISBLANK('Ingest Template'!O604),"", 'Ingest Template'!O604&amp;"|DAR"),CHAR(10), IF(ISBLANK('Ingest Template'!P604),"", 'Ingest Template'!P604&amp;"|DAR"),CHAR(10), IF(ISBLANK('Ingest Template'!Q604),"", 'Ingest Template'!Q604&amp;"|DAR"))),(CONCATENATE(IF(ISBLANK('Ingest Template'!O604),"", 'Ingest Template'!O604&amp;"|Operations - Core Title"),CHAR(10), IF(ISBLANK('Ingest Template'!P604),"", 'Ingest Template'!P604&amp;"|Operations - Core Title"),CHAR(10), IF(ISBLANK('Ingest Template'!Q604),"", 'Ingest Template'!Q604&amp;"|Operations - Core Title"))))</f>
        <v>#|Operations - Core Title
#videoGame|Operations - Core Title
</v>
      </c>
      <c r="AH605" s="25"/>
      <c r="AI605" s="25"/>
      <c r="AJ605" s="50" t="str">
        <f>if('Ingest Template'!A604="Standard",'Ingest Template'!R604&amp; "|DAR|DAR|2021-01-01",'Ingest Template'!R604&amp; "|Operations - Core Title|Operations - Core Title")</f>
        <v>#N/A</v>
      </c>
      <c r="AK605" s="25"/>
      <c r="AL605" s="25" t="str">
        <f>if('Ingest Template'!A604="Standard",'Ingest Template'!S604&amp; "|2021-01-01",'Ingest Template'!S604)</f>
        <v>#N/A</v>
      </c>
      <c r="AM605" s="25"/>
    </row>
    <row r="606">
      <c r="A606" s="25"/>
      <c r="B606" s="25" t="str">
        <f>'Ingest Template'!C605&amp;IF('Ingest Template'!A605 = "Standard", " - DAR","")</f>
        <v/>
      </c>
      <c r="C606" s="34" t="s">
        <v>92</v>
      </c>
      <c r="D606" s="34" t="str">
        <f>CONCATENATE('Ingest Template'!E606&amp;Char(10)&amp;'Ingest Template'!G606&amp;Char(10)&amp;'Ingest Template'!H606&amp;Char(10)&amp;'Ingest Template'!I606&amp;Char(10)&amp;'Ingest Template'!J606&amp;Char(10)&amp;'Ingest Template'!K606&amp;Char(10)&amp;'Ingest Template'!L606)</f>
        <v>
</v>
      </c>
      <c r="E606" s="25" t="str">
        <f>('Ingest Template'!M606)</f>
        <v/>
      </c>
      <c r="F606" s="40" t="str">
        <f t="array" ref="F606">INDEX(DropDown!$J$2:$J$63,MATCH(1,COUNTIF(E606,DropDown!$I$2:$I$63),0))</f>
        <v>#N/A</v>
      </c>
      <c r="G606" s="25"/>
      <c r="H606" s="25"/>
      <c r="I606" s="25"/>
      <c r="J606" s="25" t="str">
        <f>'Ingest Template'!B606</f>
        <v/>
      </c>
      <c r="K606" s="25" t="str">
        <f>IF('Ingest Template'!A605="Standard",'Ingest Template'!N605,"Competitive View")</f>
        <v>Competitive View</v>
      </c>
      <c r="L606" s="41" t="s">
        <v>145</v>
      </c>
      <c r="M606" s="25" t="str">
        <f>'Ingest Template'!D605</f>
        <v/>
      </c>
      <c r="N606" s="25"/>
      <c r="O606" s="25"/>
      <c r="P606" s="25"/>
      <c r="Q606" s="25"/>
      <c r="R606" s="25" t="str">
        <f>CONCATENATE('Ingest Template'!F605)</f>
        <v/>
      </c>
      <c r="S606" s="43" t="s">
        <v>160</v>
      </c>
      <c r="T606" s="25" t="str">
        <f>'Ingest Template'!W605</f>
        <v/>
      </c>
      <c r="U606" s="25"/>
      <c r="V606" s="25" t="str">
        <f>LOWER(SUBSTITUTE(SUBSTITUTE(SUBSTITUTE(SUBSTITUTE(SUBSTITUTE('Ingest Template'!Y605,"https:",""),"www.",""),"/",""),"?hl=en",""),"instagram.com",""))</f>
        <v/>
      </c>
      <c r="W606" s="34" t="str">
        <f>(IFERROR(vlookup('Ingest Template'!F606,DropDown!D:E,2,false)&amp;'Ingest Template'!C606,""))</f>
        <v/>
      </c>
      <c r="X606" s="25" t="str">
        <f>'Ingest Template'!AA605</f>
        <v/>
      </c>
      <c r="Y606" s="25"/>
      <c r="Z606" s="25"/>
      <c r="AA606" s="25"/>
      <c r="AB606" s="25" t="str">
        <f>'Ingest Template'!T605</f>
        <v/>
      </c>
      <c r="AC606" s="25"/>
      <c r="AD606" s="25" t="str">
        <f>'Ingest Template'!U605</f>
        <v/>
      </c>
      <c r="AE606" s="25" t="str">
        <f>'Ingest Template'!V605</f>
        <v/>
      </c>
      <c r="AF606" s="25"/>
      <c r="AG606" s="25" t="str">
        <f t="array" ref="AG606">IF('Ingest Template'!A605="Standard",(CONCATENATE(IF(ISBLANK('Ingest Template'!O605),"", 'Ingest Template'!O605&amp;"|DAR"),CHAR(10), IF(ISBLANK('Ingest Template'!P605),"", 'Ingest Template'!P605&amp;"|DAR"),CHAR(10), IF(ISBLANK('Ingest Template'!Q605),"", 'Ingest Template'!Q605&amp;"|DAR"))),(CONCATENATE(IF(ISBLANK('Ingest Template'!O605),"", 'Ingest Template'!O605&amp;"|Operations - Core Title"),CHAR(10), IF(ISBLANK('Ingest Template'!P605),"", 'Ingest Template'!P605&amp;"|Operations - Core Title"),CHAR(10), IF(ISBLANK('Ingest Template'!Q605),"", 'Ingest Template'!Q605&amp;"|Operations - Core Title"))))</f>
        <v>#|Operations - Core Title
#videoGame|Operations - Core Title
</v>
      </c>
      <c r="AH606" s="25"/>
      <c r="AI606" s="25"/>
      <c r="AJ606" s="50" t="str">
        <f>if('Ingest Template'!A605="Standard",'Ingest Template'!R605&amp; "|DAR|DAR|2021-01-01",'Ingest Template'!R605&amp; "|Operations - Core Title|Operations - Core Title")</f>
        <v>#N/A</v>
      </c>
      <c r="AK606" s="25"/>
      <c r="AL606" s="25" t="str">
        <f>if('Ingest Template'!A605="Standard",'Ingest Template'!S605&amp; "|2021-01-01",'Ingest Template'!S605)</f>
        <v>#N/A</v>
      </c>
      <c r="AM606" s="25"/>
    </row>
    <row r="607">
      <c r="A607" s="25"/>
      <c r="B607" s="25" t="str">
        <f>'Ingest Template'!C606&amp;IF('Ingest Template'!A606 = "Standard", " - DAR","")</f>
        <v/>
      </c>
      <c r="C607" s="34" t="s">
        <v>92</v>
      </c>
      <c r="D607" s="34" t="str">
        <f>CONCATENATE('Ingest Template'!E607&amp;Char(10)&amp;'Ingest Template'!G607&amp;Char(10)&amp;'Ingest Template'!H607&amp;Char(10)&amp;'Ingest Template'!I607&amp;Char(10)&amp;'Ingest Template'!J607&amp;Char(10)&amp;'Ingest Template'!K607&amp;Char(10)&amp;'Ingest Template'!L607)</f>
        <v>
</v>
      </c>
      <c r="E607" s="25" t="str">
        <f>('Ingest Template'!M607)</f>
        <v/>
      </c>
      <c r="F607" s="40" t="str">
        <f t="array" ref="F607">INDEX(DropDown!$J$2:$J$63,MATCH(1,COUNTIF(E607,DropDown!$I$2:$I$63),0))</f>
        <v>#N/A</v>
      </c>
      <c r="G607" s="25"/>
      <c r="H607" s="25"/>
      <c r="I607" s="25"/>
      <c r="J607" s="25" t="str">
        <f>'Ingest Template'!B607</f>
        <v/>
      </c>
      <c r="K607" s="25" t="str">
        <f>IF('Ingest Template'!A606="Standard",'Ingest Template'!N606,"Competitive View")</f>
        <v>Competitive View</v>
      </c>
      <c r="L607" s="41" t="s">
        <v>145</v>
      </c>
      <c r="M607" s="25" t="str">
        <f>'Ingest Template'!D606</f>
        <v/>
      </c>
      <c r="N607" s="25"/>
      <c r="O607" s="25"/>
      <c r="P607" s="25"/>
      <c r="Q607" s="25"/>
      <c r="R607" s="25" t="str">
        <f>CONCATENATE('Ingest Template'!F606)</f>
        <v/>
      </c>
      <c r="S607" s="43" t="s">
        <v>160</v>
      </c>
      <c r="T607" s="25" t="str">
        <f>'Ingest Template'!W606</f>
        <v/>
      </c>
      <c r="U607" s="25"/>
      <c r="V607" s="25" t="str">
        <f>LOWER(SUBSTITUTE(SUBSTITUTE(SUBSTITUTE(SUBSTITUTE(SUBSTITUTE('Ingest Template'!Y606,"https:",""),"www.",""),"/",""),"?hl=en",""),"instagram.com",""))</f>
        <v/>
      </c>
      <c r="W607" s="34" t="str">
        <f>(IFERROR(vlookup('Ingest Template'!F607,DropDown!D:E,2,false)&amp;'Ingest Template'!C607,""))</f>
        <v/>
      </c>
      <c r="X607" s="25" t="str">
        <f>'Ingest Template'!AA606</f>
        <v/>
      </c>
      <c r="Y607" s="25"/>
      <c r="Z607" s="25"/>
      <c r="AA607" s="25"/>
      <c r="AB607" s="25" t="str">
        <f>'Ingest Template'!T606</f>
        <v/>
      </c>
      <c r="AC607" s="25"/>
      <c r="AD607" s="25" t="str">
        <f>'Ingest Template'!U606</f>
        <v/>
      </c>
      <c r="AE607" s="25" t="str">
        <f>'Ingest Template'!V606</f>
        <v/>
      </c>
      <c r="AF607" s="25"/>
      <c r="AG607" s="25" t="str">
        <f t="array" ref="AG607">IF('Ingest Template'!A606="Standard",(CONCATENATE(IF(ISBLANK('Ingest Template'!O606),"", 'Ingest Template'!O606&amp;"|DAR"),CHAR(10), IF(ISBLANK('Ingest Template'!P606),"", 'Ingest Template'!P606&amp;"|DAR"),CHAR(10), IF(ISBLANK('Ingest Template'!Q606),"", 'Ingest Template'!Q606&amp;"|DAR"))),(CONCATENATE(IF(ISBLANK('Ingest Template'!O606),"", 'Ingest Template'!O606&amp;"|Operations - Core Title"),CHAR(10), IF(ISBLANK('Ingest Template'!P606),"", 'Ingest Template'!P606&amp;"|Operations - Core Title"),CHAR(10), IF(ISBLANK('Ingest Template'!Q606),"", 'Ingest Template'!Q606&amp;"|Operations - Core Title"))))</f>
        <v>#|Operations - Core Title
#videoGame|Operations - Core Title
</v>
      </c>
      <c r="AH607" s="25"/>
      <c r="AI607" s="25"/>
      <c r="AJ607" s="50" t="str">
        <f>if('Ingest Template'!A606="Standard",'Ingest Template'!R606&amp; "|DAR|DAR|2021-01-01",'Ingest Template'!R606&amp; "|Operations - Core Title|Operations - Core Title")</f>
        <v>#N/A</v>
      </c>
      <c r="AK607" s="25"/>
      <c r="AL607" s="25" t="str">
        <f>if('Ingest Template'!A606="Standard",'Ingest Template'!S606&amp; "|2021-01-01",'Ingest Template'!S606)</f>
        <v>#N/A</v>
      </c>
      <c r="AM607" s="25"/>
    </row>
    <row r="608">
      <c r="A608" s="25"/>
      <c r="B608" s="25" t="str">
        <f>'Ingest Template'!C607&amp;IF('Ingest Template'!A607 = "Standard", " - DAR","")</f>
        <v/>
      </c>
      <c r="C608" s="34" t="s">
        <v>92</v>
      </c>
      <c r="D608" s="34" t="str">
        <f>CONCATENATE('Ingest Template'!E608&amp;Char(10)&amp;'Ingest Template'!G608&amp;Char(10)&amp;'Ingest Template'!H608&amp;Char(10)&amp;'Ingest Template'!I608&amp;Char(10)&amp;'Ingest Template'!J608&amp;Char(10)&amp;'Ingest Template'!K608&amp;Char(10)&amp;'Ingest Template'!L608)</f>
        <v>
</v>
      </c>
      <c r="E608" s="25" t="str">
        <f>('Ingest Template'!M608)</f>
        <v/>
      </c>
      <c r="F608" s="40" t="str">
        <f t="array" ref="F608">INDEX(DropDown!$J$2:$J$63,MATCH(1,COUNTIF(E608,DropDown!$I$2:$I$63),0))</f>
        <v>#N/A</v>
      </c>
      <c r="G608" s="25"/>
      <c r="H608" s="25"/>
      <c r="I608" s="25"/>
      <c r="J608" s="25" t="str">
        <f>'Ingest Template'!B608</f>
        <v/>
      </c>
      <c r="K608" s="25" t="str">
        <f>IF('Ingest Template'!A607="Standard",'Ingest Template'!N607,"Competitive View")</f>
        <v>Competitive View</v>
      </c>
      <c r="L608" s="41" t="s">
        <v>145</v>
      </c>
      <c r="M608" s="25" t="str">
        <f>'Ingest Template'!D607</f>
        <v/>
      </c>
      <c r="N608" s="25"/>
      <c r="O608" s="25"/>
      <c r="P608" s="25"/>
      <c r="Q608" s="25"/>
      <c r="R608" s="25" t="str">
        <f>CONCATENATE('Ingest Template'!F607)</f>
        <v/>
      </c>
      <c r="S608" s="43" t="s">
        <v>160</v>
      </c>
      <c r="T608" s="25" t="str">
        <f>'Ingest Template'!W607</f>
        <v/>
      </c>
      <c r="U608" s="25"/>
      <c r="V608" s="25" t="str">
        <f>LOWER(SUBSTITUTE(SUBSTITUTE(SUBSTITUTE(SUBSTITUTE(SUBSTITUTE('Ingest Template'!Y607,"https:",""),"www.",""),"/",""),"?hl=en",""),"instagram.com",""))</f>
        <v/>
      </c>
      <c r="W608" s="34" t="str">
        <f>(IFERROR(vlookup('Ingest Template'!F608,DropDown!D:E,2,false)&amp;'Ingest Template'!C608,""))</f>
        <v/>
      </c>
      <c r="X608" s="25" t="str">
        <f>'Ingest Template'!AA607</f>
        <v/>
      </c>
      <c r="Y608" s="25"/>
      <c r="Z608" s="25"/>
      <c r="AA608" s="25"/>
      <c r="AB608" s="25" t="str">
        <f>'Ingest Template'!T607</f>
        <v/>
      </c>
      <c r="AC608" s="25"/>
      <c r="AD608" s="25" t="str">
        <f>'Ingest Template'!U607</f>
        <v/>
      </c>
      <c r="AE608" s="25" t="str">
        <f>'Ingest Template'!V607</f>
        <v/>
      </c>
      <c r="AF608" s="25"/>
      <c r="AG608" s="25" t="str">
        <f t="array" ref="AG608">IF('Ingest Template'!A607="Standard",(CONCATENATE(IF(ISBLANK('Ingest Template'!O607),"", 'Ingest Template'!O607&amp;"|DAR"),CHAR(10), IF(ISBLANK('Ingest Template'!P607),"", 'Ingest Template'!P607&amp;"|DAR"),CHAR(10), IF(ISBLANK('Ingest Template'!Q607),"", 'Ingest Template'!Q607&amp;"|DAR"))),(CONCATENATE(IF(ISBLANK('Ingest Template'!O607),"", 'Ingest Template'!O607&amp;"|Operations - Core Title"),CHAR(10), IF(ISBLANK('Ingest Template'!P607),"", 'Ingest Template'!P607&amp;"|Operations - Core Title"),CHAR(10), IF(ISBLANK('Ingest Template'!Q607),"", 'Ingest Template'!Q607&amp;"|Operations - Core Title"))))</f>
        <v>#|Operations - Core Title
#videoGame|Operations - Core Title
</v>
      </c>
      <c r="AH608" s="25"/>
      <c r="AI608" s="25"/>
      <c r="AJ608" s="50" t="str">
        <f>if('Ingest Template'!A607="Standard",'Ingest Template'!R607&amp; "|DAR|DAR|2021-01-01",'Ingest Template'!R607&amp; "|Operations - Core Title|Operations - Core Title")</f>
        <v>#N/A</v>
      </c>
      <c r="AK608" s="25"/>
      <c r="AL608" s="25" t="str">
        <f>if('Ingest Template'!A607="Standard",'Ingest Template'!S607&amp; "|2021-01-01",'Ingest Template'!S607)</f>
        <v>#N/A</v>
      </c>
      <c r="AM608" s="25"/>
    </row>
    <row r="609">
      <c r="A609" s="25"/>
      <c r="B609" s="25" t="str">
        <f>'Ingest Template'!C608&amp;IF('Ingest Template'!A608 = "Standard", " - DAR","")</f>
        <v/>
      </c>
      <c r="C609" s="34" t="s">
        <v>92</v>
      </c>
      <c r="D609" s="34" t="str">
        <f>CONCATENATE('Ingest Template'!E609&amp;Char(10)&amp;'Ingest Template'!G609&amp;Char(10)&amp;'Ingest Template'!H609&amp;Char(10)&amp;'Ingest Template'!I609&amp;Char(10)&amp;'Ingest Template'!J609&amp;Char(10)&amp;'Ingest Template'!K609&amp;Char(10)&amp;'Ingest Template'!L609)</f>
        <v>
</v>
      </c>
      <c r="E609" s="25" t="str">
        <f>('Ingest Template'!M609)</f>
        <v/>
      </c>
      <c r="F609" s="40" t="str">
        <f t="array" ref="F609">INDEX(DropDown!$J$2:$J$63,MATCH(1,COUNTIF(E609,DropDown!$I$2:$I$63),0))</f>
        <v>#N/A</v>
      </c>
      <c r="G609" s="25"/>
      <c r="H609" s="25"/>
      <c r="I609" s="25"/>
      <c r="J609" s="25" t="str">
        <f>'Ingest Template'!B609</f>
        <v/>
      </c>
      <c r="K609" s="25" t="str">
        <f>IF('Ingest Template'!A608="Standard",'Ingest Template'!N608,"Competitive View")</f>
        <v>Competitive View</v>
      </c>
      <c r="L609" s="41" t="s">
        <v>145</v>
      </c>
      <c r="M609" s="25" t="str">
        <f>'Ingest Template'!D608</f>
        <v/>
      </c>
      <c r="N609" s="25"/>
      <c r="O609" s="25"/>
      <c r="P609" s="25"/>
      <c r="Q609" s="25"/>
      <c r="R609" s="25" t="str">
        <f>CONCATENATE('Ingest Template'!F608)</f>
        <v/>
      </c>
      <c r="S609" s="43" t="s">
        <v>160</v>
      </c>
      <c r="T609" s="25" t="str">
        <f>'Ingest Template'!W608</f>
        <v/>
      </c>
      <c r="U609" s="25"/>
      <c r="V609" s="25" t="str">
        <f>LOWER(SUBSTITUTE(SUBSTITUTE(SUBSTITUTE(SUBSTITUTE(SUBSTITUTE('Ingest Template'!Y608,"https:",""),"www.",""),"/",""),"?hl=en",""),"instagram.com",""))</f>
        <v/>
      </c>
      <c r="W609" s="34" t="str">
        <f>(IFERROR(vlookup('Ingest Template'!F609,DropDown!D:E,2,false)&amp;'Ingest Template'!C609,""))</f>
        <v/>
      </c>
      <c r="X609" s="25" t="str">
        <f>'Ingest Template'!AA608</f>
        <v/>
      </c>
      <c r="Y609" s="25"/>
      <c r="Z609" s="25"/>
      <c r="AA609" s="25"/>
      <c r="AB609" s="25" t="str">
        <f>'Ingest Template'!T608</f>
        <v/>
      </c>
      <c r="AC609" s="25"/>
      <c r="AD609" s="25" t="str">
        <f>'Ingest Template'!U608</f>
        <v/>
      </c>
      <c r="AE609" s="25" t="str">
        <f>'Ingest Template'!V608</f>
        <v/>
      </c>
      <c r="AF609" s="25"/>
      <c r="AG609" s="25" t="str">
        <f t="array" ref="AG609">IF('Ingest Template'!A608="Standard",(CONCATENATE(IF(ISBLANK('Ingest Template'!O608),"", 'Ingest Template'!O608&amp;"|DAR"),CHAR(10), IF(ISBLANK('Ingest Template'!P608),"", 'Ingest Template'!P608&amp;"|DAR"),CHAR(10), IF(ISBLANK('Ingest Template'!Q608),"", 'Ingest Template'!Q608&amp;"|DAR"))),(CONCATENATE(IF(ISBLANK('Ingest Template'!O608),"", 'Ingest Template'!O608&amp;"|Operations - Core Title"),CHAR(10), IF(ISBLANK('Ingest Template'!P608),"", 'Ingest Template'!P608&amp;"|Operations - Core Title"),CHAR(10), IF(ISBLANK('Ingest Template'!Q608),"", 'Ingest Template'!Q608&amp;"|Operations - Core Title"))))</f>
        <v>#|Operations - Core Title
#videoGame|Operations - Core Title
</v>
      </c>
      <c r="AH609" s="25"/>
      <c r="AI609" s="25"/>
      <c r="AJ609" s="50" t="str">
        <f>if('Ingest Template'!A608="Standard",'Ingest Template'!R608&amp; "|DAR|DAR|2021-01-01",'Ingest Template'!R608&amp; "|Operations - Core Title|Operations - Core Title")</f>
        <v>#N/A</v>
      </c>
      <c r="AK609" s="25"/>
      <c r="AL609" s="25" t="str">
        <f>if('Ingest Template'!A608="Standard",'Ingest Template'!S608&amp; "|2021-01-01",'Ingest Template'!S608)</f>
        <v>#N/A</v>
      </c>
      <c r="AM609" s="25"/>
    </row>
    <row r="610">
      <c r="A610" s="25"/>
      <c r="B610" s="25" t="str">
        <f>'Ingest Template'!C609&amp;IF('Ingest Template'!A609 = "Standard", " - DAR","")</f>
        <v/>
      </c>
      <c r="C610" s="34" t="s">
        <v>92</v>
      </c>
      <c r="D610" s="34" t="str">
        <f>CONCATENATE('Ingest Template'!E610&amp;Char(10)&amp;'Ingest Template'!G610&amp;Char(10)&amp;'Ingest Template'!H610&amp;Char(10)&amp;'Ingest Template'!I610&amp;Char(10)&amp;'Ingest Template'!J610&amp;Char(10)&amp;'Ingest Template'!K610&amp;Char(10)&amp;'Ingest Template'!L610)</f>
        <v>
</v>
      </c>
      <c r="E610" s="25" t="str">
        <f>('Ingest Template'!M610)</f>
        <v/>
      </c>
      <c r="F610" s="40" t="str">
        <f t="array" ref="F610">INDEX(DropDown!$J$2:$J$63,MATCH(1,COUNTIF(E610,DropDown!$I$2:$I$63),0))</f>
        <v>#N/A</v>
      </c>
      <c r="G610" s="25"/>
      <c r="H610" s="25"/>
      <c r="I610" s="25"/>
      <c r="J610" s="25" t="str">
        <f>'Ingest Template'!B610</f>
        <v/>
      </c>
      <c r="K610" s="25" t="str">
        <f>IF('Ingest Template'!A609="Standard",'Ingest Template'!N609,"Competitive View")</f>
        <v>Competitive View</v>
      </c>
      <c r="L610" s="41" t="s">
        <v>145</v>
      </c>
      <c r="M610" s="25" t="str">
        <f>'Ingest Template'!D609</f>
        <v/>
      </c>
      <c r="N610" s="25"/>
      <c r="O610" s="25"/>
      <c r="P610" s="25"/>
      <c r="Q610" s="25"/>
      <c r="R610" s="25" t="str">
        <f>CONCATENATE('Ingest Template'!F609)</f>
        <v/>
      </c>
      <c r="S610" s="43" t="s">
        <v>160</v>
      </c>
      <c r="T610" s="25" t="str">
        <f>'Ingest Template'!W609</f>
        <v/>
      </c>
      <c r="U610" s="25"/>
      <c r="V610" s="25" t="str">
        <f>LOWER(SUBSTITUTE(SUBSTITUTE(SUBSTITUTE(SUBSTITUTE(SUBSTITUTE('Ingest Template'!Y609,"https:",""),"www.",""),"/",""),"?hl=en",""),"instagram.com",""))</f>
        <v/>
      </c>
      <c r="W610" s="34" t="str">
        <f>(IFERROR(vlookup('Ingest Template'!F610,DropDown!D:E,2,false)&amp;'Ingest Template'!C610,""))</f>
        <v/>
      </c>
      <c r="X610" s="25" t="str">
        <f>'Ingest Template'!AA609</f>
        <v/>
      </c>
      <c r="Y610" s="25"/>
      <c r="Z610" s="25"/>
      <c r="AA610" s="25"/>
      <c r="AB610" s="25" t="str">
        <f>'Ingest Template'!T609</f>
        <v/>
      </c>
      <c r="AC610" s="25"/>
      <c r="AD610" s="25" t="str">
        <f>'Ingest Template'!U609</f>
        <v/>
      </c>
      <c r="AE610" s="25" t="str">
        <f>'Ingest Template'!V609</f>
        <v/>
      </c>
      <c r="AF610" s="25"/>
      <c r="AG610" s="25" t="str">
        <f t="array" ref="AG610">IF('Ingest Template'!A609="Standard",(CONCATENATE(IF(ISBLANK('Ingest Template'!O609),"", 'Ingest Template'!O609&amp;"|DAR"),CHAR(10), IF(ISBLANK('Ingest Template'!P609),"", 'Ingest Template'!P609&amp;"|DAR"),CHAR(10), IF(ISBLANK('Ingest Template'!Q609),"", 'Ingest Template'!Q609&amp;"|DAR"))),(CONCATENATE(IF(ISBLANK('Ingest Template'!O609),"", 'Ingest Template'!O609&amp;"|Operations - Core Title"),CHAR(10), IF(ISBLANK('Ingest Template'!P609),"", 'Ingest Template'!P609&amp;"|Operations - Core Title"),CHAR(10), IF(ISBLANK('Ingest Template'!Q609),"", 'Ingest Template'!Q609&amp;"|Operations - Core Title"))))</f>
        <v>#|Operations - Core Title
#videoGame|Operations - Core Title
</v>
      </c>
      <c r="AH610" s="25"/>
      <c r="AI610" s="25"/>
      <c r="AJ610" s="50" t="str">
        <f>if('Ingest Template'!A609="Standard",'Ingest Template'!R609&amp; "|DAR|DAR|2021-01-01",'Ingest Template'!R609&amp; "|Operations - Core Title|Operations - Core Title")</f>
        <v>#N/A</v>
      </c>
      <c r="AK610" s="25"/>
      <c r="AL610" s="25" t="str">
        <f>if('Ingest Template'!A609="Standard",'Ingest Template'!S609&amp; "|2021-01-01",'Ingest Template'!S609)</f>
        <v>#N/A</v>
      </c>
      <c r="AM610" s="25"/>
    </row>
    <row r="611">
      <c r="A611" s="25"/>
      <c r="B611" s="25" t="str">
        <f>'Ingest Template'!C610&amp;IF('Ingest Template'!A610 = "Standard", " - DAR","")</f>
        <v/>
      </c>
      <c r="C611" s="34" t="s">
        <v>92</v>
      </c>
      <c r="D611" s="34" t="str">
        <f>CONCATENATE('Ingest Template'!E611&amp;Char(10)&amp;'Ingest Template'!G611&amp;Char(10)&amp;'Ingest Template'!H611&amp;Char(10)&amp;'Ingest Template'!I611&amp;Char(10)&amp;'Ingest Template'!J611&amp;Char(10)&amp;'Ingest Template'!K611&amp;Char(10)&amp;'Ingest Template'!L611)</f>
        <v>
</v>
      </c>
      <c r="E611" s="25" t="str">
        <f>('Ingest Template'!M611)</f>
        <v/>
      </c>
      <c r="F611" s="40" t="str">
        <f t="array" ref="F611">INDEX(DropDown!$J$2:$J$63,MATCH(1,COUNTIF(E611,DropDown!$I$2:$I$63),0))</f>
        <v>#N/A</v>
      </c>
      <c r="G611" s="25"/>
      <c r="H611" s="25"/>
      <c r="I611" s="25"/>
      <c r="J611" s="25" t="str">
        <f>'Ingest Template'!B611</f>
        <v/>
      </c>
      <c r="K611" s="25" t="str">
        <f>IF('Ingest Template'!A610="Standard",'Ingest Template'!N610,"Competitive View")</f>
        <v>Competitive View</v>
      </c>
      <c r="L611" s="41" t="s">
        <v>145</v>
      </c>
      <c r="M611" s="25" t="str">
        <f>'Ingest Template'!D610</f>
        <v/>
      </c>
      <c r="N611" s="25"/>
      <c r="O611" s="25"/>
      <c r="P611" s="25"/>
      <c r="Q611" s="25"/>
      <c r="R611" s="25" t="str">
        <f>CONCATENATE('Ingest Template'!F610)</f>
        <v/>
      </c>
      <c r="S611" s="43" t="s">
        <v>160</v>
      </c>
      <c r="T611" s="25" t="str">
        <f>'Ingest Template'!W610</f>
        <v/>
      </c>
      <c r="U611" s="25"/>
      <c r="V611" s="25" t="str">
        <f>LOWER(SUBSTITUTE(SUBSTITUTE(SUBSTITUTE(SUBSTITUTE(SUBSTITUTE('Ingest Template'!Y610,"https:",""),"www.",""),"/",""),"?hl=en",""),"instagram.com",""))</f>
        <v/>
      </c>
      <c r="W611" s="34" t="str">
        <f>(IFERROR(vlookup('Ingest Template'!F611,DropDown!D:E,2,false)&amp;'Ingest Template'!C611,""))</f>
        <v/>
      </c>
      <c r="X611" s="25" t="str">
        <f>'Ingest Template'!AA610</f>
        <v/>
      </c>
      <c r="Y611" s="25"/>
      <c r="Z611" s="25"/>
      <c r="AA611" s="25"/>
      <c r="AB611" s="25" t="str">
        <f>'Ingest Template'!T610</f>
        <v/>
      </c>
      <c r="AC611" s="25"/>
      <c r="AD611" s="25" t="str">
        <f>'Ingest Template'!U610</f>
        <v/>
      </c>
      <c r="AE611" s="25" t="str">
        <f>'Ingest Template'!V610</f>
        <v/>
      </c>
      <c r="AF611" s="25"/>
      <c r="AG611" s="25" t="str">
        <f t="array" ref="AG611">IF('Ingest Template'!A610="Standard",(CONCATENATE(IF(ISBLANK('Ingest Template'!O610),"", 'Ingest Template'!O610&amp;"|DAR"),CHAR(10), IF(ISBLANK('Ingest Template'!P610),"", 'Ingest Template'!P610&amp;"|DAR"),CHAR(10), IF(ISBLANK('Ingest Template'!Q610),"", 'Ingest Template'!Q610&amp;"|DAR"))),(CONCATENATE(IF(ISBLANK('Ingest Template'!O610),"", 'Ingest Template'!O610&amp;"|Operations - Core Title"),CHAR(10), IF(ISBLANK('Ingest Template'!P610),"", 'Ingest Template'!P610&amp;"|Operations - Core Title"),CHAR(10), IF(ISBLANK('Ingest Template'!Q610),"", 'Ingest Template'!Q610&amp;"|Operations - Core Title"))))</f>
        <v>#|Operations - Core Title
#videoGame|Operations - Core Title
</v>
      </c>
      <c r="AH611" s="25"/>
      <c r="AI611" s="25"/>
      <c r="AJ611" s="50" t="str">
        <f>if('Ingest Template'!A610="Standard",'Ingest Template'!R610&amp; "|DAR|DAR|2021-01-01",'Ingest Template'!R610&amp; "|Operations - Core Title|Operations - Core Title")</f>
        <v>#N/A</v>
      </c>
      <c r="AK611" s="25"/>
      <c r="AL611" s="25" t="str">
        <f>if('Ingest Template'!A610="Standard",'Ingest Template'!S610&amp; "|2021-01-01",'Ingest Template'!S610)</f>
        <v>#N/A</v>
      </c>
      <c r="AM611" s="25"/>
    </row>
    <row r="612">
      <c r="A612" s="25"/>
      <c r="B612" s="25" t="str">
        <f>'Ingest Template'!C611&amp;IF('Ingest Template'!A611 = "Standard", " - DAR","")</f>
        <v/>
      </c>
      <c r="C612" s="34" t="s">
        <v>92</v>
      </c>
      <c r="D612" s="34" t="str">
        <f>CONCATENATE('Ingest Template'!E612&amp;Char(10)&amp;'Ingest Template'!G612&amp;Char(10)&amp;'Ingest Template'!H612&amp;Char(10)&amp;'Ingest Template'!I612&amp;Char(10)&amp;'Ingest Template'!J612&amp;Char(10)&amp;'Ingest Template'!K612&amp;Char(10)&amp;'Ingest Template'!L612)</f>
        <v>
</v>
      </c>
      <c r="E612" s="25" t="str">
        <f>('Ingest Template'!M612)</f>
        <v/>
      </c>
      <c r="F612" s="40" t="str">
        <f t="array" ref="F612">INDEX(DropDown!$J$2:$J$63,MATCH(1,COUNTIF(E612,DropDown!$I$2:$I$63),0))</f>
        <v>#N/A</v>
      </c>
      <c r="G612" s="25"/>
      <c r="H612" s="25"/>
      <c r="I612" s="25"/>
      <c r="J612" s="25" t="str">
        <f>'Ingest Template'!B612</f>
        <v/>
      </c>
      <c r="K612" s="25" t="str">
        <f>IF('Ingest Template'!A611="Standard",'Ingest Template'!N611,"Competitive View")</f>
        <v>Competitive View</v>
      </c>
      <c r="L612" s="41" t="s">
        <v>145</v>
      </c>
      <c r="M612" s="25" t="str">
        <f>'Ingest Template'!D611</f>
        <v/>
      </c>
      <c r="N612" s="25"/>
      <c r="O612" s="25"/>
      <c r="P612" s="25"/>
      <c r="Q612" s="25"/>
      <c r="R612" s="25" t="str">
        <f>CONCATENATE('Ingest Template'!F611)</f>
        <v/>
      </c>
      <c r="S612" s="43" t="s">
        <v>160</v>
      </c>
      <c r="T612" s="25" t="str">
        <f>'Ingest Template'!W611</f>
        <v/>
      </c>
      <c r="U612" s="25"/>
      <c r="V612" s="25" t="str">
        <f>LOWER(SUBSTITUTE(SUBSTITUTE(SUBSTITUTE(SUBSTITUTE(SUBSTITUTE('Ingest Template'!Y611,"https:",""),"www.",""),"/",""),"?hl=en",""),"instagram.com",""))</f>
        <v/>
      </c>
      <c r="W612" s="34" t="str">
        <f>(IFERROR(vlookup('Ingest Template'!F612,DropDown!D:E,2,false)&amp;'Ingest Template'!C612,""))</f>
        <v/>
      </c>
      <c r="X612" s="25" t="str">
        <f>'Ingest Template'!AA611</f>
        <v/>
      </c>
      <c r="Y612" s="25"/>
      <c r="Z612" s="25"/>
      <c r="AA612" s="25"/>
      <c r="AB612" s="25" t="str">
        <f>'Ingest Template'!T611</f>
        <v/>
      </c>
      <c r="AC612" s="25"/>
      <c r="AD612" s="25" t="str">
        <f>'Ingest Template'!U611</f>
        <v/>
      </c>
      <c r="AE612" s="25" t="str">
        <f>'Ingest Template'!V611</f>
        <v/>
      </c>
      <c r="AF612" s="25"/>
      <c r="AG612" s="25" t="str">
        <f t="array" ref="AG612">IF('Ingest Template'!A611="Standard",(CONCATENATE(IF(ISBLANK('Ingest Template'!O611),"", 'Ingest Template'!O611&amp;"|DAR"),CHAR(10), IF(ISBLANK('Ingest Template'!P611),"", 'Ingest Template'!P611&amp;"|DAR"),CHAR(10), IF(ISBLANK('Ingest Template'!Q611),"", 'Ingest Template'!Q611&amp;"|DAR"))),(CONCATENATE(IF(ISBLANK('Ingest Template'!O611),"", 'Ingest Template'!O611&amp;"|Operations - Core Title"),CHAR(10), IF(ISBLANK('Ingest Template'!P611),"", 'Ingest Template'!P611&amp;"|Operations - Core Title"),CHAR(10), IF(ISBLANK('Ingest Template'!Q611),"", 'Ingest Template'!Q611&amp;"|Operations - Core Title"))))</f>
        <v>#|Operations - Core Title
#videoGame|Operations - Core Title
</v>
      </c>
      <c r="AH612" s="25"/>
      <c r="AI612" s="25"/>
      <c r="AJ612" s="50" t="str">
        <f>if('Ingest Template'!A611="Standard",'Ingest Template'!R611&amp; "|DAR|DAR|2021-01-01",'Ingest Template'!R611&amp; "|Operations - Core Title|Operations - Core Title")</f>
        <v>#N/A</v>
      </c>
      <c r="AK612" s="25"/>
      <c r="AL612" s="25" t="str">
        <f>if('Ingest Template'!A611="Standard",'Ingest Template'!S611&amp; "|2021-01-01",'Ingest Template'!S611)</f>
        <v>#N/A</v>
      </c>
      <c r="AM612" s="25"/>
    </row>
    <row r="613">
      <c r="A613" s="25"/>
      <c r="B613" s="25" t="str">
        <f>'Ingest Template'!C612&amp;IF('Ingest Template'!A612 = "Standard", " - DAR","")</f>
        <v/>
      </c>
      <c r="C613" s="34" t="s">
        <v>92</v>
      </c>
      <c r="D613" s="34" t="str">
        <f>CONCATENATE('Ingest Template'!E613&amp;Char(10)&amp;'Ingest Template'!G613&amp;Char(10)&amp;'Ingest Template'!H613&amp;Char(10)&amp;'Ingest Template'!I613&amp;Char(10)&amp;'Ingest Template'!J613&amp;Char(10)&amp;'Ingest Template'!K613&amp;Char(10)&amp;'Ingest Template'!L613)</f>
        <v>
</v>
      </c>
      <c r="E613" s="25" t="str">
        <f>('Ingest Template'!M613)</f>
        <v/>
      </c>
      <c r="F613" s="40" t="str">
        <f t="array" ref="F613">INDEX(DropDown!$J$2:$J$63,MATCH(1,COUNTIF(E613,DropDown!$I$2:$I$63),0))</f>
        <v>#N/A</v>
      </c>
      <c r="G613" s="25"/>
      <c r="H613" s="25"/>
      <c r="I613" s="25"/>
      <c r="J613" s="25" t="str">
        <f>'Ingest Template'!B613</f>
        <v/>
      </c>
      <c r="K613" s="25" t="str">
        <f>IF('Ingest Template'!A612="Standard",'Ingest Template'!N612,"Competitive View")</f>
        <v>Competitive View</v>
      </c>
      <c r="L613" s="41" t="s">
        <v>145</v>
      </c>
      <c r="M613" s="25" t="str">
        <f>'Ingest Template'!D612</f>
        <v/>
      </c>
      <c r="N613" s="25"/>
      <c r="O613" s="25"/>
      <c r="P613" s="25"/>
      <c r="Q613" s="25"/>
      <c r="R613" s="25" t="str">
        <f>CONCATENATE('Ingest Template'!F612)</f>
        <v/>
      </c>
      <c r="S613" s="43" t="s">
        <v>160</v>
      </c>
      <c r="T613" s="25" t="str">
        <f>'Ingest Template'!W612</f>
        <v/>
      </c>
      <c r="U613" s="25"/>
      <c r="V613" s="25" t="str">
        <f>LOWER(SUBSTITUTE(SUBSTITUTE(SUBSTITUTE(SUBSTITUTE(SUBSTITUTE('Ingest Template'!Y612,"https:",""),"www.",""),"/",""),"?hl=en",""),"instagram.com",""))</f>
        <v/>
      </c>
      <c r="W613" s="34" t="str">
        <f>(IFERROR(vlookup('Ingest Template'!F613,DropDown!D:E,2,false)&amp;'Ingest Template'!C613,""))</f>
        <v/>
      </c>
      <c r="X613" s="25" t="str">
        <f>'Ingest Template'!AA612</f>
        <v/>
      </c>
      <c r="Y613" s="25"/>
      <c r="Z613" s="25"/>
      <c r="AA613" s="25"/>
      <c r="AB613" s="25" t="str">
        <f>'Ingest Template'!T612</f>
        <v/>
      </c>
      <c r="AC613" s="25"/>
      <c r="AD613" s="25" t="str">
        <f>'Ingest Template'!U612</f>
        <v/>
      </c>
      <c r="AE613" s="25" t="str">
        <f>'Ingest Template'!V612</f>
        <v/>
      </c>
      <c r="AF613" s="25"/>
      <c r="AG613" s="25" t="str">
        <f t="array" ref="AG613">IF('Ingest Template'!A612="Standard",(CONCATENATE(IF(ISBLANK('Ingest Template'!O612),"", 'Ingest Template'!O612&amp;"|DAR"),CHAR(10), IF(ISBLANK('Ingest Template'!P612),"", 'Ingest Template'!P612&amp;"|DAR"),CHAR(10), IF(ISBLANK('Ingest Template'!Q612),"", 'Ingest Template'!Q612&amp;"|DAR"))),(CONCATENATE(IF(ISBLANK('Ingest Template'!O612),"", 'Ingest Template'!O612&amp;"|Operations - Core Title"),CHAR(10), IF(ISBLANK('Ingest Template'!P612),"", 'Ingest Template'!P612&amp;"|Operations - Core Title"),CHAR(10), IF(ISBLANK('Ingest Template'!Q612),"", 'Ingest Template'!Q612&amp;"|Operations - Core Title"))))</f>
        <v>#|Operations - Core Title
#videoGame|Operations - Core Title
</v>
      </c>
      <c r="AH613" s="25"/>
      <c r="AI613" s="25"/>
      <c r="AJ613" s="50" t="str">
        <f>if('Ingest Template'!A612="Standard",'Ingest Template'!R612&amp; "|DAR|DAR|2021-01-01",'Ingest Template'!R612&amp; "|Operations - Core Title|Operations - Core Title")</f>
        <v>#N/A</v>
      </c>
      <c r="AK613" s="25"/>
      <c r="AL613" s="25" t="str">
        <f>if('Ingest Template'!A612="Standard",'Ingest Template'!S612&amp; "|2021-01-01",'Ingest Template'!S612)</f>
        <v>#N/A</v>
      </c>
      <c r="AM613" s="25"/>
    </row>
    <row r="614">
      <c r="A614" s="25"/>
      <c r="B614" s="25" t="str">
        <f>'Ingest Template'!C613&amp;IF('Ingest Template'!A613 = "Standard", " - DAR","")</f>
        <v/>
      </c>
      <c r="C614" s="34" t="s">
        <v>92</v>
      </c>
      <c r="D614" s="34" t="str">
        <f>CONCATENATE('Ingest Template'!E614&amp;Char(10)&amp;'Ingest Template'!G614&amp;Char(10)&amp;'Ingest Template'!H614&amp;Char(10)&amp;'Ingest Template'!I614&amp;Char(10)&amp;'Ingest Template'!J614&amp;Char(10)&amp;'Ingest Template'!K614&amp;Char(10)&amp;'Ingest Template'!L614)</f>
        <v>
</v>
      </c>
      <c r="E614" s="25" t="str">
        <f>('Ingest Template'!M614)</f>
        <v/>
      </c>
      <c r="F614" s="40" t="str">
        <f t="array" ref="F614">INDEX(DropDown!$J$2:$J$63,MATCH(1,COUNTIF(E614,DropDown!$I$2:$I$63),0))</f>
        <v>#N/A</v>
      </c>
      <c r="G614" s="25"/>
      <c r="H614" s="25"/>
      <c r="I614" s="25"/>
      <c r="J614" s="25" t="str">
        <f>'Ingest Template'!B614</f>
        <v/>
      </c>
      <c r="K614" s="25" t="str">
        <f>IF('Ingest Template'!A613="Standard",'Ingest Template'!N613,"Competitive View")</f>
        <v>Competitive View</v>
      </c>
      <c r="L614" s="41" t="s">
        <v>145</v>
      </c>
      <c r="M614" s="25" t="str">
        <f>'Ingest Template'!D613</f>
        <v/>
      </c>
      <c r="N614" s="25"/>
      <c r="O614" s="25"/>
      <c r="P614" s="25"/>
      <c r="Q614" s="25"/>
      <c r="R614" s="25" t="str">
        <f>CONCATENATE('Ingest Template'!F613)</f>
        <v/>
      </c>
      <c r="S614" s="43" t="s">
        <v>160</v>
      </c>
      <c r="T614" s="25" t="str">
        <f>'Ingest Template'!W613</f>
        <v/>
      </c>
      <c r="U614" s="25"/>
      <c r="V614" s="25" t="str">
        <f>LOWER(SUBSTITUTE(SUBSTITUTE(SUBSTITUTE(SUBSTITUTE(SUBSTITUTE('Ingest Template'!Y613,"https:",""),"www.",""),"/",""),"?hl=en",""),"instagram.com",""))</f>
        <v/>
      </c>
      <c r="W614" s="34" t="str">
        <f>(IFERROR(vlookup('Ingest Template'!F614,DropDown!D:E,2,false)&amp;'Ingest Template'!C614,""))</f>
        <v/>
      </c>
      <c r="X614" s="25" t="str">
        <f>'Ingest Template'!AA613</f>
        <v/>
      </c>
      <c r="Y614" s="25"/>
      <c r="Z614" s="25"/>
      <c r="AA614" s="25"/>
      <c r="AB614" s="25" t="str">
        <f>'Ingest Template'!T613</f>
        <v/>
      </c>
      <c r="AC614" s="25"/>
      <c r="AD614" s="25" t="str">
        <f>'Ingest Template'!U613</f>
        <v/>
      </c>
      <c r="AE614" s="25" t="str">
        <f>'Ingest Template'!V613</f>
        <v/>
      </c>
      <c r="AF614" s="25"/>
      <c r="AG614" s="25" t="str">
        <f t="array" ref="AG614">IF('Ingest Template'!A613="Standard",(CONCATENATE(IF(ISBLANK('Ingest Template'!O613),"", 'Ingest Template'!O613&amp;"|DAR"),CHAR(10), IF(ISBLANK('Ingest Template'!P613),"", 'Ingest Template'!P613&amp;"|DAR"),CHAR(10), IF(ISBLANK('Ingest Template'!Q613),"", 'Ingest Template'!Q613&amp;"|DAR"))),(CONCATENATE(IF(ISBLANK('Ingest Template'!O613),"", 'Ingest Template'!O613&amp;"|Operations - Core Title"),CHAR(10), IF(ISBLANK('Ingest Template'!P613),"", 'Ingest Template'!P613&amp;"|Operations - Core Title"),CHAR(10), IF(ISBLANK('Ingest Template'!Q613),"", 'Ingest Template'!Q613&amp;"|Operations - Core Title"))))</f>
        <v>#|Operations - Core Title
#videoGame|Operations - Core Title
</v>
      </c>
      <c r="AH614" s="25"/>
      <c r="AI614" s="25"/>
      <c r="AJ614" s="50" t="str">
        <f>if('Ingest Template'!A613="Standard",'Ingest Template'!R613&amp; "|DAR|DAR|2021-01-01",'Ingest Template'!R613&amp; "|Operations - Core Title|Operations - Core Title")</f>
        <v>#N/A</v>
      </c>
      <c r="AK614" s="25"/>
      <c r="AL614" s="25" t="str">
        <f>if('Ingest Template'!A613="Standard",'Ingest Template'!S613&amp; "|2021-01-01",'Ingest Template'!S613)</f>
        <v>#N/A</v>
      </c>
      <c r="AM614" s="25"/>
    </row>
    <row r="615">
      <c r="A615" s="25"/>
      <c r="B615" s="25" t="str">
        <f>'Ingest Template'!C614&amp;IF('Ingest Template'!A614 = "Standard", " - DAR","")</f>
        <v/>
      </c>
      <c r="C615" s="34" t="s">
        <v>92</v>
      </c>
      <c r="D615" s="34" t="str">
        <f>CONCATENATE('Ingest Template'!E615&amp;Char(10)&amp;'Ingest Template'!G615&amp;Char(10)&amp;'Ingest Template'!H615&amp;Char(10)&amp;'Ingest Template'!I615&amp;Char(10)&amp;'Ingest Template'!J615&amp;Char(10)&amp;'Ingest Template'!K615&amp;Char(10)&amp;'Ingest Template'!L615)</f>
        <v>
</v>
      </c>
      <c r="E615" s="25" t="str">
        <f>('Ingest Template'!M615)</f>
        <v/>
      </c>
      <c r="F615" s="40" t="str">
        <f t="array" ref="F615">INDEX(DropDown!$J$2:$J$63,MATCH(1,COUNTIF(E615,DropDown!$I$2:$I$63),0))</f>
        <v>#N/A</v>
      </c>
      <c r="G615" s="25"/>
      <c r="H615" s="25"/>
      <c r="I615" s="25"/>
      <c r="J615" s="25" t="str">
        <f>'Ingest Template'!B615</f>
        <v/>
      </c>
      <c r="K615" s="25" t="str">
        <f>IF('Ingest Template'!A614="Standard",'Ingest Template'!N614,"Competitive View")</f>
        <v>Competitive View</v>
      </c>
      <c r="L615" s="41" t="s">
        <v>145</v>
      </c>
      <c r="M615" s="25" t="str">
        <f>'Ingest Template'!D614</f>
        <v/>
      </c>
      <c r="N615" s="25"/>
      <c r="O615" s="25"/>
      <c r="P615" s="25"/>
      <c r="Q615" s="25"/>
      <c r="R615" s="25" t="str">
        <f>CONCATENATE('Ingest Template'!F614)</f>
        <v/>
      </c>
      <c r="S615" s="43" t="s">
        <v>160</v>
      </c>
      <c r="T615" s="25" t="str">
        <f>'Ingest Template'!W614</f>
        <v/>
      </c>
      <c r="U615" s="25"/>
      <c r="V615" s="25" t="str">
        <f>LOWER(SUBSTITUTE(SUBSTITUTE(SUBSTITUTE(SUBSTITUTE(SUBSTITUTE('Ingest Template'!Y614,"https:",""),"www.",""),"/",""),"?hl=en",""),"instagram.com",""))</f>
        <v/>
      </c>
      <c r="W615" s="34" t="str">
        <f>(IFERROR(vlookup('Ingest Template'!F615,DropDown!D:E,2,false)&amp;'Ingest Template'!C615,""))</f>
        <v/>
      </c>
      <c r="X615" s="25" t="str">
        <f>'Ingest Template'!AA614</f>
        <v/>
      </c>
      <c r="Y615" s="25"/>
      <c r="Z615" s="25"/>
      <c r="AA615" s="25"/>
      <c r="AB615" s="25" t="str">
        <f>'Ingest Template'!T614</f>
        <v/>
      </c>
      <c r="AC615" s="25"/>
      <c r="AD615" s="25" t="str">
        <f>'Ingest Template'!U614</f>
        <v/>
      </c>
      <c r="AE615" s="25" t="str">
        <f>'Ingest Template'!V614</f>
        <v/>
      </c>
      <c r="AF615" s="25"/>
      <c r="AG615" s="25" t="str">
        <f t="array" ref="AG615">IF('Ingest Template'!A614="Standard",(CONCATENATE(IF(ISBLANK('Ingest Template'!O614),"", 'Ingest Template'!O614&amp;"|DAR"),CHAR(10), IF(ISBLANK('Ingest Template'!P614),"", 'Ingest Template'!P614&amp;"|DAR"),CHAR(10), IF(ISBLANK('Ingest Template'!Q614),"", 'Ingest Template'!Q614&amp;"|DAR"))),(CONCATENATE(IF(ISBLANK('Ingest Template'!O614),"", 'Ingest Template'!O614&amp;"|Operations - Core Title"),CHAR(10), IF(ISBLANK('Ingest Template'!P614),"", 'Ingest Template'!P614&amp;"|Operations - Core Title"),CHAR(10), IF(ISBLANK('Ingest Template'!Q614),"", 'Ingest Template'!Q614&amp;"|Operations - Core Title"))))</f>
        <v>#|Operations - Core Title
#videoGame|Operations - Core Title
</v>
      </c>
      <c r="AH615" s="25"/>
      <c r="AI615" s="25"/>
      <c r="AJ615" s="50" t="str">
        <f>if('Ingest Template'!A614="Standard",'Ingest Template'!R614&amp; "|DAR|DAR|2021-01-01",'Ingest Template'!R614&amp; "|Operations - Core Title|Operations - Core Title")</f>
        <v>#N/A</v>
      </c>
      <c r="AK615" s="25"/>
      <c r="AL615" s="25" t="str">
        <f>if('Ingest Template'!A614="Standard",'Ingest Template'!S614&amp; "|2021-01-01",'Ingest Template'!S614)</f>
        <v>#N/A</v>
      </c>
      <c r="AM615" s="25"/>
    </row>
    <row r="616">
      <c r="A616" s="25"/>
      <c r="B616" s="25" t="str">
        <f>'Ingest Template'!C615&amp;IF('Ingest Template'!A615 = "Standard", " - DAR","")</f>
        <v/>
      </c>
      <c r="C616" s="34" t="s">
        <v>92</v>
      </c>
      <c r="D616" s="34" t="str">
        <f>CONCATENATE('Ingest Template'!E616&amp;Char(10)&amp;'Ingest Template'!G616&amp;Char(10)&amp;'Ingest Template'!H616&amp;Char(10)&amp;'Ingest Template'!I616&amp;Char(10)&amp;'Ingest Template'!J616&amp;Char(10)&amp;'Ingest Template'!K616&amp;Char(10)&amp;'Ingest Template'!L616)</f>
        <v>
</v>
      </c>
      <c r="E616" s="25" t="str">
        <f>('Ingest Template'!M616)</f>
        <v/>
      </c>
      <c r="F616" s="40" t="str">
        <f t="array" ref="F616">INDEX(DropDown!$J$2:$J$63,MATCH(1,COUNTIF(E616,DropDown!$I$2:$I$63),0))</f>
        <v>#N/A</v>
      </c>
      <c r="G616" s="25"/>
      <c r="H616" s="25"/>
      <c r="I616" s="25"/>
      <c r="J616" s="25" t="str">
        <f>'Ingest Template'!B616</f>
        <v/>
      </c>
      <c r="K616" s="25" t="str">
        <f>IF('Ingest Template'!A615="Standard",'Ingest Template'!N615,"Competitive View")</f>
        <v>Competitive View</v>
      </c>
      <c r="L616" s="41" t="s">
        <v>145</v>
      </c>
      <c r="M616" s="25" t="str">
        <f>'Ingest Template'!D615</f>
        <v/>
      </c>
      <c r="N616" s="25"/>
      <c r="O616" s="25"/>
      <c r="P616" s="25"/>
      <c r="Q616" s="25"/>
      <c r="R616" s="25" t="str">
        <f>CONCATENATE('Ingest Template'!F615)</f>
        <v/>
      </c>
      <c r="S616" s="43" t="s">
        <v>160</v>
      </c>
      <c r="T616" s="25" t="str">
        <f>'Ingest Template'!W615</f>
        <v/>
      </c>
      <c r="U616" s="25"/>
      <c r="V616" s="25" t="str">
        <f>LOWER(SUBSTITUTE(SUBSTITUTE(SUBSTITUTE(SUBSTITUTE(SUBSTITUTE('Ingest Template'!Y615,"https:",""),"www.",""),"/",""),"?hl=en",""),"instagram.com",""))</f>
        <v/>
      </c>
      <c r="W616" s="34" t="str">
        <f>(IFERROR(vlookup('Ingest Template'!F616,DropDown!D:E,2,false)&amp;'Ingest Template'!C616,""))</f>
        <v/>
      </c>
      <c r="X616" s="25" t="str">
        <f>'Ingest Template'!AA615</f>
        <v/>
      </c>
      <c r="Y616" s="25"/>
      <c r="Z616" s="25"/>
      <c r="AA616" s="25"/>
      <c r="AB616" s="25" t="str">
        <f>'Ingest Template'!T615</f>
        <v/>
      </c>
      <c r="AC616" s="25"/>
      <c r="AD616" s="25" t="str">
        <f>'Ingest Template'!U615</f>
        <v/>
      </c>
      <c r="AE616" s="25" t="str">
        <f>'Ingest Template'!V615</f>
        <v/>
      </c>
      <c r="AF616" s="25"/>
      <c r="AG616" s="25" t="str">
        <f t="array" ref="AG616">IF('Ingest Template'!A615="Standard",(CONCATENATE(IF(ISBLANK('Ingest Template'!O615),"", 'Ingest Template'!O615&amp;"|DAR"),CHAR(10), IF(ISBLANK('Ingest Template'!P615),"", 'Ingest Template'!P615&amp;"|DAR"),CHAR(10), IF(ISBLANK('Ingest Template'!Q615),"", 'Ingest Template'!Q615&amp;"|DAR"))),(CONCATENATE(IF(ISBLANK('Ingest Template'!O615),"", 'Ingest Template'!O615&amp;"|Operations - Core Title"),CHAR(10), IF(ISBLANK('Ingest Template'!P615),"", 'Ingest Template'!P615&amp;"|Operations - Core Title"),CHAR(10), IF(ISBLANK('Ingest Template'!Q615),"", 'Ingest Template'!Q615&amp;"|Operations - Core Title"))))</f>
        <v>#|Operations - Core Title
#videoGame|Operations - Core Title
</v>
      </c>
      <c r="AH616" s="25"/>
      <c r="AI616" s="25"/>
      <c r="AJ616" s="50" t="str">
        <f>if('Ingest Template'!A615="Standard",'Ingest Template'!R615&amp; "|DAR|DAR|2021-01-01",'Ingest Template'!R615&amp; "|Operations - Core Title|Operations - Core Title")</f>
        <v>#N/A</v>
      </c>
      <c r="AK616" s="25"/>
      <c r="AL616" s="25" t="str">
        <f>if('Ingest Template'!A615="Standard",'Ingest Template'!S615&amp; "|2021-01-01",'Ingest Template'!S615)</f>
        <v>#N/A</v>
      </c>
      <c r="AM616" s="25"/>
    </row>
    <row r="617">
      <c r="A617" s="25"/>
      <c r="B617" s="25" t="str">
        <f>'Ingest Template'!C616&amp;IF('Ingest Template'!A616 = "Standard", " - DAR","")</f>
        <v/>
      </c>
      <c r="C617" s="34" t="s">
        <v>92</v>
      </c>
      <c r="D617" s="34" t="str">
        <f>CONCATENATE('Ingest Template'!E617&amp;Char(10)&amp;'Ingest Template'!G617&amp;Char(10)&amp;'Ingest Template'!H617&amp;Char(10)&amp;'Ingest Template'!I617&amp;Char(10)&amp;'Ingest Template'!J617&amp;Char(10)&amp;'Ingest Template'!K617&amp;Char(10)&amp;'Ingest Template'!L617)</f>
        <v>
</v>
      </c>
      <c r="E617" s="25" t="str">
        <f>('Ingest Template'!M617)</f>
        <v/>
      </c>
      <c r="F617" s="40" t="str">
        <f t="array" ref="F617">INDEX(DropDown!$J$2:$J$63,MATCH(1,COUNTIF(E617,DropDown!$I$2:$I$63),0))</f>
        <v>#N/A</v>
      </c>
      <c r="G617" s="25"/>
      <c r="H617" s="25"/>
      <c r="I617" s="25"/>
      <c r="J617" s="25" t="str">
        <f>'Ingest Template'!B617</f>
        <v/>
      </c>
      <c r="K617" s="25" t="str">
        <f>IF('Ingest Template'!A616="Standard",'Ingest Template'!N616,"Competitive View")</f>
        <v>Competitive View</v>
      </c>
      <c r="L617" s="41" t="s">
        <v>145</v>
      </c>
      <c r="M617" s="25" t="str">
        <f>'Ingest Template'!D616</f>
        <v/>
      </c>
      <c r="N617" s="25"/>
      <c r="O617" s="25"/>
      <c r="P617" s="25"/>
      <c r="Q617" s="25"/>
      <c r="R617" s="25" t="str">
        <f>CONCATENATE('Ingest Template'!F616)</f>
        <v/>
      </c>
      <c r="S617" s="43" t="s">
        <v>160</v>
      </c>
      <c r="T617" s="25" t="str">
        <f>'Ingest Template'!W616</f>
        <v/>
      </c>
      <c r="U617" s="25"/>
      <c r="V617" s="25" t="str">
        <f>LOWER(SUBSTITUTE(SUBSTITUTE(SUBSTITUTE(SUBSTITUTE(SUBSTITUTE('Ingest Template'!Y616,"https:",""),"www.",""),"/",""),"?hl=en",""),"instagram.com",""))</f>
        <v/>
      </c>
      <c r="W617" s="34" t="str">
        <f>(IFERROR(vlookup('Ingest Template'!F617,DropDown!D:E,2,false)&amp;'Ingest Template'!C617,""))</f>
        <v/>
      </c>
      <c r="X617" s="25" t="str">
        <f>'Ingest Template'!AA616</f>
        <v/>
      </c>
      <c r="Y617" s="25"/>
      <c r="Z617" s="25"/>
      <c r="AA617" s="25"/>
      <c r="AB617" s="25" t="str">
        <f>'Ingest Template'!T616</f>
        <v/>
      </c>
      <c r="AC617" s="25"/>
      <c r="AD617" s="25" t="str">
        <f>'Ingest Template'!U616</f>
        <v/>
      </c>
      <c r="AE617" s="25" t="str">
        <f>'Ingest Template'!V616</f>
        <v/>
      </c>
      <c r="AF617" s="25"/>
      <c r="AG617" s="25" t="str">
        <f t="array" ref="AG617">IF('Ingest Template'!A616="Standard",(CONCATENATE(IF(ISBLANK('Ingest Template'!O616),"", 'Ingest Template'!O616&amp;"|DAR"),CHAR(10), IF(ISBLANK('Ingest Template'!P616),"", 'Ingest Template'!P616&amp;"|DAR"),CHAR(10), IF(ISBLANK('Ingest Template'!Q616),"", 'Ingest Template'!Q616&amp;"|DAR"))),(CONCATENATE(IF(ISBLANK('Ingest Template'!O616),"", 'Ingest Template'!O616&amp;"|Operations - Core Title"),CHAR(10), IF(ISBLANK('Ingest Template'!P616),"", 'Ingest Template'!P616&amp;"|Operations - Core Title"),CHAR(10), IF(ISBLANK('Ingest Template'!Q616),"", 'Ingest Template'!Q616&amp;"|Operations - Core Title"))))</f>
        <v>#|Operations - Core Title
#videoGame|Operations - Core Title
</v>
      </c>
      <c r="AH617" s="25"/>
      <c r="AI617" s="25"/>
      <c r="AJ617" s="50" t="str">
        <f>if('Ingest Template'!A616="Standard",'Ingest Template'!R616&amp; "|DAR|DAR|2021-01-01",'Ingest Template'!R616&amp; "|Operations - Core Title|Operations - Core Title")</f>
        <v>#N/A</v>
      </c>
      <c r="AK617" s="25"/>
      <c r="AL617" s="25" t="str">
        <f>if('Ingest Template'!A616="Standard",'Ingest Template'!S616&amp; "|2021-01-01",'Ingest Template'!S616)</f>
        <v>#N/A</v>
      </c>
      <c r="AM617" s="25"/>
    </row>
    <row r="618">
      <c r="A618" s="25"/>
      <c r="B618" s="25" t="str">
        <f>'Ingest Template'!C617&amp;IF('Ingest Template'!A617 = "Standard", " - DAR","")</f>
        <v/>
      </c>
      <c r="C618" s="34" t="s">
        <v>92</v>
      </c>
      <c r="D618" s="34" t="str">
        <f>CONCATENATE('Ingest Template'!E618&amp;Char(10)&amp;'Ingest Template'!G618&amp;Char(10)&amp;'Ingest Template'!H618&amp;Char(10)&amp;'Ingest Template'!I618&amp;Char(10)&amp;'Ingest Template'!J618&amp;Char(10)&amp;'Ingest Template'!K618&amp;Char(10)&amp;'Ingest Template'!L618)</f>
        <v>
</v>
      </c>
      <c r="E618" s="25" t="str">
        <f>('Ingest Template'!M618)</f>
        <v/>
      </c>
      <c r="F618" s="40" t="str">
        <f t="array" ref="F618">INDEX(DropDown!$J$2:$J$63,MATCH(1,COUNTIF(E618,DropDown!$I$2:$I$63),0))</f>
        <v>#N/A</v>
      </c>
      <c r="G618" s="25"/>
      <c r="H618" s="25"/>
      <c r="I618" s="25"/>
      <c r="J618" s="25" t="str">
        <f>'Ingest Template'!B618</f>
        <v/>
      </c>
      <c r="K618" s="25" t="str">
        <f>IF('Ingest Template'!A617="Standard",'Ingest Template'!N617,"Competitive View")</f>
        <v>Competitive View</v>
      </c>
      <c r="L618" s="41" t="s">
        <v>145</v>
      </c>
      <c r="M618" s="25" t="str">
        <f>'Ingest Template'!D617</f>
        <v/>
      </c>
      <c r="N618" s="25"/>
      <c r="O618" s="25"/>
      <c r="P618" s="25"/>
      <c r="Q618" s="25"/>
      <c r="R618" s="25" t="str">
        <f>CONCATENATE('Ingest Template'!F617)</f>
        <v/>
      </c>
      <c r="S618" s="43" t="s">
        <v>160</v>
      </c>
      <c r="T618" s="25" t="str">
        <f>'Ingest Template'!W617</f>
        <v/>
      </c>
      <c r="U618" s="25"/>
      <c r="V618" s="25" t="str">
        <f>LOWER(SUBSTITUTE(SUBSTITUTE(SUBSTITUTE(SUBSTITUTE(SUBSTITUTE('Ingest Template'!Y617,"https:",""),"www.",""),"/",""),"?hl=en",""),"instagram.com",""))</f>
        <v/>
      </c>
      <c r="W618" s="34" t="str">
        <f>(IFERROR(vlookup('Ingest Template'!F618,DropDown!D:E,2,false)&amp;'Ingest Template'!C618,""))</f>
        <v/>
      </c>
      <c r="X618" s="25" t="str">
        <f>'Ingest Template'!AA617</f>
        <v/>
      </c>
      <c r="Y618" s="25"/>
      <c r="Z618" s="25"/>
      <c r="AA618" s="25"/>
      <c r="AB618" s="25" t="str">
        <f>'Ingest Template'!T617</f>
        <v/>
      </c>
      <c r="AC618" s="25"/>
      <c r="AD618" s="25" t="str">
        <f>'Ingest Template'!U617</f>
        <v/>
      </c>
      <c r="AE618" s="25" t="str">
        <f>'Ingest Template'!V617</f>
        <v/>
      </c>
      <c r="AF618" s="25"/>
      <c r="AG618" s="25" t="str">
        <f t="array" ref="AG618">IF('Ingest Template'!A617="Standard",(CONCATENATE(IF(ISBLANK('Ingest Template'!O617),"", 'Ingest Template'!O617&amp;"|DAR"),CHAR(10), IF(ISBLANK('Ingest Template'!P617),"", 'Ingest Template'!P617&amp;"|DAR"),CHAR(10), IF(ISBLANK('Ingest Template'!Q617),"", 'Ingest Template'!Q617&amp;"|DAR"))),(CONCATENATE(IF(ISBLANK('Ingest Template'!O617),"", 'Ingest Template'!O617&amp;"|Operations - Core Title"),CHAR(10), IF(ISBLANK('Ingest Template'!P617),"", 'Ingest Template'!P617&amp;"|Operations - Core Title"),CHAR(10), IF(ISBLANK('Ingest Template'!Q617),"", 'Ingest Template'!Q617&amp;"|Operations - Core Title"))))</f>
        <v>#|Operations - Core Title
#videoGame|Operations - Core Title
</v>
      </c>
      <c r="AH618" s="25"/>
      <c r="AI618" s="25"/>
      <c r="AJ618" s="50" t="str">
        <f>if('Ingest Template'!A617="Standard",'Ingest Template'!R617&amp; "|DAR|DAR|2021-01-01",'Ingest Template'!R617&amp; "|Operations - Core Title|Operations - Core Title")</f>
        <v>#N/A</v>
      </c>
      <c r="AK618" s="25"/>
      <c r="AL618" s="25" t="str">
        <f>if('Ingest Template'!A617="Standard",'Ingest Template'!S617&amp; "|2021-01-01",'Ingest Template'!S617)</f>
        <v>#N/A</v>
      </c>
      <c r="AM618" s="25"/>
    </row>
    <row r="619">
      <c r="A619" s="25"/>
      <c r="B619" s="25" t="str">
        <f>'Ingest Template'!C618&amp;IF('Ingest Template'!A618 = "Standard", " - DAR","")</f>
        <v/>
      </c>
      <c r="C619" s="34" t="s">
        <v>92</v>
      </c>
      <c r="D619" s="34" t="str">
        <f>CONCATENATE('Ingest Template'!E619&amp;Char(10)&amp;'Ingest Template'!G619&amp;Char(10)&amp;'Ingest Template'!H619&amp;Char(10)&amp;'Ingest Template'!I619&amp;Char(10)&amp;'Ingest Template'!J619&amp;Char(10)&amp;'Ingest Template'!K619&amp;Char(10)&amp;'Ingest Template'!L619)</f>
        <v>
</v>
      </c>
      <c r="E619" s="25" t="str">
        <f>('Ingest Template'!M619)</f>
        <v/>
      </c>
      <c r="F619" s="40" t="str">
        <f t="array" ref="F619">INDEX(DropDown!$J$2:$J$63,MATCH(1,COUNTIF(E619,DropDown!$I$2:$I$63),0))</f>
        <v>#N/A</v>
      </c>
      <c r="G619" s="25"/>
      <c r="H619" s="25"/>
      <c r="I619" s="25"/>
      <c r="J619" s="25" t="str">
        <f>'Ingest Template'!B619</f>
        <v/>
      </c>
      <c r="K619" s="25" t="str">
        <f>IF('Ingest Template'!A618="Standard",'Ingest Template'!N618,"Competitive View")</f>
        <v>Competitive View</v>
      </c>
      <c r="L619" s="41" t="s">
        <v>145</v>
      </c>
      <c r="M619" s="25" t="str">
        <f>'Ingest Template'!D618</f>
        <v/>
      </c>
      <c r="N619" s="25"/>
      <c r="O619" s="25"/>
      <c r="P619" s="25"/>
      <c r="Q619" s="25"/>
      <c r="R619" s="25" t="str">
        <f>CONCATENATE('Ingest Template'!F618)</f>
        <v/>
      </c>
      <c r="S619" s="43" t="s">
        <v>160</v>
      </c>
      <c r="T619" s="25" t="str">
        <f>'Ingest Template'!W618</f>
        <v/>
      </c>
      <c r="U619" s="25"/>
      <c r="V619" s="25" t="str">
        <f>LOWER(SUBSTITUTE(SUBSTITUTE(SUBSTITUTE(SUBSTITUTE(SUBSTITUTE('Ingest Template'!Y618,"https:",""),"www.",""),"/",""),"?hl=en",""),"instagram.com",""))</f>
        <v/>
      </c>
      <c r="W619" s="34" t="str">
        <f>(IFERROR(vlookup('Ingest Template'!F619,DropDown!D:E,2,false)&amp;'Ingest Template'!C619,""))</f>
        <v/>
      </c>
      <c r="X619" s="25" t="str">
        <f>'Ingest Template'!AA618</f>
        <v/>
      </c>
      <c r="Y619" s="25"/>
      <c r="Z619" s="25"/>
      <c r="AA619" s="25"/>
      <c r="AB619" s="25" t="str">
        <f>'Ingest Template'!T618</f>
        <v/>
      </c>
      <c r="AC619" s="25"/>
      <c r="AD619" s="25" t="str">
        <f>'Ingest Template'!U618</f>
        <v/>
      </c>
      <c r="AE619" s="25" t="str">
        <f>'Ingest Template'!V618</f>
        <v/>
      </c>
      <c r="AF619" s="25"/>
      <c r="AG619" s="25" t="str">
        <f t="array" ref="AG619">IF('Ingest Template'!A618="Standard",(CONCATENATE(IF(ISBLANK('Ingest Template'!O618),"", 'Ingest Template'!O618&amp;"|DAR"),CHAR(10), IF(ISBLANK('Ingest Template'!P618),"", 'Ingest Template'!P618&amp;"|DAR"),CHAR(10), IF(ISBLANK('Ingest Template'!Q618),"", 'Ingest Template'!Q618&amp;"|DAR"))),(CONCATENATE(IF(ISBLANK('Ingest Template'!O618),"", 'Ingest Template'!O618&amp;"|Operations - Core Title"),CHAR(10), IF(ISBLANK('Ingest Template'!P618),"", 'Ingest Template'!P618&amp;"|Operations - Core Title"),CHAR(10), IF(ISBLANK('Ingest Template'!Q618),"", 'Ingest Template'!Q618&amp;"|Operations - Core Title"))))</f>
        <v>#|Operations - Core Title
#videoGame|Operations - Core Title
</v>
      </c>
      <c r="AH619" s="25"/>
      <c r="AI619" s="25"/>
      <c r="AJ619" s="50" t="str">
        <f>if('Ingest Template'!A618="Standard",'Ingest Template'!R618&amp; "|DAR|DAR|2021-01-01",'Ingest Template'!R618&amp; "|Operations - Core Title|Operations - Core Title")</f>
        <v>#N/A</v>
      </c>
      <c r="AK619" s="25"/>
      <c r="AL619" s="25" t="str">
        <f>if('Ingest Template'!A618="Standard",'Ingest Template'!S618&amp; "|2021-01-01",'Ingest Template'!S618)</f>
        <v>#N/A</v>
      </c>
      <c r="AM619" s="25"/>
    </row>
    <row r="620">
      <c r="A620" s="25"/>
      <c r="B620" s="25" t="str">
        <f>'Ingest Template'!C619&amp;IF('Ingest Template'!A619 = "Standard", " - DAR","")</f>
        <v/>
      </c>
      <c r="C620" s="34" t="s">
        <v>92</v>
      </c>
      <c r="D620" s="34" t="str">
        <f>CONCATENATE('Ingest Template'!E620&amp;Char(10)&amp;'Ingest Template'!G620&amp;Char(10)&amp;'Ingest Template'!H620&amp;Char(10)&amp;'Ingest Template'!I620&amp;Char(10)&amp;'Ingest Template'!J620&amp;Char(10)&amp;'Ingest Template'!K620&amp;Char(10)&amp;'Ingest Template'!L620)</f>
        <v>
</v>
      </c>
      <c r="E620" s="25" t="str">
        <f>('Ingest Template'!M620)</f>
        <v/>
      </c>
      <c r="F620" s="40" t="str">
        <f t="array" ref="F620">INDEX(DropDown!$J$2:$J$63,MATCH(1,COUNTIF(E620,DropDown!$I$2:$I$63),0))</f>
        <v>#N/A</v>
      </c>
      <c r="G620" s="25"/>
      <c r="H620" s="25"/>
      <c r="I620" s="25"/>
      <c r="J620" s="25" t="str">
        <f>'Ingest Template'!B620</f>
        <v/>
      </c>
      <c r="K620" s="25" t="str">
        <f>IF('Ingest Template'!A619="Standard",'Ingest Template'!N619,"Competitive View")</f>
        <v>Competitive View</v>
      </c>
      <c r="L620" s="41" t="s">
        <v>145</v>
      </c>
      <c r="M620" s="25" t="str">
        <f>'Ingest Template'!D619</f>
        <v/>
      </c>
      <c r="N620" s="25"/>
      <c r="O620" s="25"/>
      <c r="P620" s="25"/>
      <c r="Q620" s="25"/>
      <c r="R620" s="25" t="str">
        <f>CONCATENATE('Ingest Template'!F619)</f>
        <v/>
      </c>
      <c r="S620" s="43" t="s">
        <v>160</v>
      </c>
      <c r="T620" s="25" t="str">
        <f>'Ingest Template'!W619</f>
        <v/>
      </c>
      <c r="U620" s="25"/>
      <c r="V620" s="25" t="str">
        <f>LOWER(SUBSTITUTE(SUBSTITUTE(SUBSTITUTE(SUBSTITUTE(SUBSTITUTE('Ingest Template'!Y619,"https:",""),"www.",""),"/",""),"?hl=en",""),"instagram.com",""))</f>
        <v/>
      </c>
      <c r="W620" s="34" t="str">
        <f>(IFERROR(vlookup('Ingest Template'!F620,DropDown!D:E,2,false)&amp;'Ingest Template'!C620,""))</f>
        <v/>
      </c>
      <c r="X620" s="25" t="str">
        <f>'Ingest Template'!AA619</f>
        <v/>
      </c>
      <c r="Y620" s="25"/>
      <c r="Z620" s="25"/>
      <c r="AA620" s="25"/>
      <c r="AB620" s="25" t="str">
        <f>'Ingest Template'!T619</f>
        <v/>
      </c>
      <c r="AC620" s="25"/>
      <c r="AD620" s="25" t="str">
        <f>'Ingest Template'!U619</f>
        <v/>
      </c>
      <c r="AE620" s="25" t="str">
        <f>'Ingest Template'!V619</f>
        <v/>
      </c>
      <c r="AF620" s="25"/>
      <c r="AG620" s="25" t="str">
        <f t="array" ref="AG620">IF('Ingest Template'!A619="Standard",(CONCATENATE(IF(ISBLANK('Ingest Template'!O619),"", 'Ingest Template'!O619&amp;"|DAR"),CHAR(10), IF(ISBLANK('Ingest Template'!P619),"", 'Ingest Template'!P619&amp;"|DAR"),CHAR(10), IF(ISBLANK('Ingest Template'!Q619),"", 'Ingest Template'!Q619&amp;"|DAR"))),(CONCATENATE(IF(ISBLANK('Ingest Template'!O619),"", 'Ingest Template'!O619&amp;"|Operations - Core Title"),CHAR(10), IF(ISBLANK('Ingest Template'!P619),"", 'Ingest Template'!P619&amp;"|Operations - Core Title"),CHAR(10), IF(ISBLANK('Ingest Template'!Q619),"", 'Ingest Template'!Q619&amp;"|Operations - Core Title"))))</f>
        <v>#|Operations - Core Title
#videoGame|Operations - Core Title
</v>
      </c>
      <c r="AH620" s="25"/>
      <c r="AI620" s="25"/>
      <c r="AJ620" s="50" t="str">
        <f>if('Ingest Template'!A619="Standard",'Ingest Template'!R619&amp; "|DAR|DAR|2021-01-01",'Ingest Template'!R619&amp; "|Operations - Core Title|Operations - Core Title")</f>
        <v>#N/A</v>
      </c>
      <c r="AK620" s="25"/>
      <c r="AL620" s="25" t="str">
        <f>if('Ingest Template'!A619="Standard",'Ingest Template'!S619&amp; "|2021-01-01",'Ingest Template'!S619)</f>
        <v>#N/A</v>
      </c>
      <c r="AM620" s="25"/>
    </row>
    <row r="621">
      <c r="A621" s="25"/>
      <c r="B621" s="25" t="str">
        <f>'Ingest Template'!C620&amp;IF('Ingest Template'!A620 = "Standard", " - DAR","")</f>
        <v/>
      </c>
      <c r="C621" s="34" t="s">
        <v>92</v>
      </c>
      <c r="D621" s="34" t="str">
        <f>CONCATENATE('Ingest Template'!E621&amp;Char(10)&amp;'Ingest Template'!G621&amp;Char(10)&amp;'Ingest Template'!H621&amp;Char(10)&amp;'Ingest Template'!I621&amp;Char(10)&amp;'Ingest Template'!J621&amp;Char(10)&amp;'Ingest Template'!K621&amp;Char(10)&amp;'Ingest Template'!L621)</f>
        <v>
</v>
      </c>
      <c r="E621" s="25" t="str">
        <f>('Ingest Template'!M621)</f>
        <v/>
      </c>
      <c r="F621" s="40" t="str">
        <f t="array" ref="F621">INDEX(DropDown!$J$2:$J$63,MATCH(1,COUNTIF(E621,DropDown!$I$2:$I$63),0))</f>
        <v>#N/A</v>
      </c>
      <c r="G621" s="25"/>
      <c r="H621" s="25"/>
      <c r="I621" s="25"/>
      <c r="J621" s="25" t="str">
        <f>'Ingest Template'!B621</f>
        <v/>
      </c>
      <c r="K621" s="25" t="str">
        <f>IF('Ingest Template'!A620="Standard",'Ingest Template'!N620,"Competitive View")</f>
        <v>Competitive View</v>
      </c>
      <c r="L621" s="41" t="s">
        <v>145</v>
      </c>
      <c r="M621" s="25" t="str">
        <f>'Ingest Template'!D620</f>
        <v/>
      </c>
      <c r="N621" s="25"/>
      <c r="O621" s="25"/>
      <c r="P621" s="25"/>
      <c r="Q621" s="25"/>
      <c r="R621" s="25" t="str">
        <f>CONCATENATE('Ingest Template'!F620)</f>
        <v/>
      </c>
      <c r="S621" s="43" t="s">
        <v>160</v>
      </c>
      <c r="T621" s="25" t="str">
        <f>'Ingest Template'!W620</f>
        <v/>
      </c>
      <c r="U621" s="25"/>
      <c r="V621" s="25" t="str">
        <f>LOWER(SUBSTITUTE(SUBSTITUTE(SUBSTITUTE(SUBSTITUTE(SUBSTITUTE('Ingest Template'!Y620,"https:",""),"www.",""),"/",""),"?hl=en",""),"instagram.com",""))</f>
        <v/>
      </c>
      <c r="W621" s="34" t="str">
        <f>(IFERROR(vlookup('Ingest Template'!F621,DropDown!D:E,2,false)&amp;'Ingest Template'!C621,""))</f>
        <v/>
      </c>
      <c r="X621" s="25" t="str">
        <f>'Ingest Template'!AA620</f>
        <v/>
      </c>
      <c r="Y621" s="25"/>
      <c r="Z621" s="25"/>
      <c r="AA621" s="25"/>
      <c r="AB621" s="25" t="str">
        <f>'Ingest Template'!T620</f>
        <v/>
      </c>
      <c r="AC621" s="25"/>
      <c r="AD621" s="25" t="str">
        <f>'Ingest Template'!U620</f>
        <v/>
      </c>
      <c r="AE621" s="25" t="str">
        <f>'Ingest Template'!V620</f>
        <v/>
      </c>
      <c r="AF621" s="25"/>
      <c r="AG621" s="25" t="str">
        <f t="array" ref="AG621">IF('Ingest Template'!A620="Standard",(CONCATENATE(IF(ISBLANK('Ingest Template'!O620),"", 'Ingest Template'!O620&amp;"|DAR"),CHAR(10), IF(ISBLANK('Ingest Template'!P620),"", 'Ingest Template'!P620&amp;"|DAR"),CHAR(10), IF(ISBLANK('Ingest Template'!Q620),"", 'Ingest Template'!Q620&amp;"|DAR"))),(CONCATENATE(IF(ISBLANK('Ingest Template'!O620),"", 'Ingest Template'!O620&amp;"|Operations - Core Title"),CHAR(10), IF(ISBLANK('Ingest Template'!P620),"", 'Ingest Template'!P620&amp;"|Operations - Core Title"),CHAR(10), IF(ISBLANK('Ingest Template'!Q620),"", 'Ingest Template'!Q620&amp;"|Operations - Core Title"))))</f>
        <v>#|Operations - Core Title
#videoGame|Operations - Core Title
</v>
      </c>
      <c r="AH621" s="25"/>
      <c r="AI621" s="25"/>
      <c r="AJ621" s="50" t="str">
        <f>if('Ingest Template'!A620="Standard",'Ingest Template'!R620&amp; "|DAR|DAR|2021-01-01",'Ingest Template'!R620&amp; "|Operations - Core Title|Operations - Core Title")</f>
        <v>#N/A</v>
      </c>
      <c r="AK621" s="25"/>
      <c r="AL621" s="25" t="str">
        <f>if('Ingest Template'!A620="Standard",'Ingest Template'!S620&amp; "|2021-01-01",'Ingest Template'!S620)</f>
        <v>#N/A</v>
      </c>
      <c r="AM621" s="25"/>
    </row>
    <row r="622">
      <c r="A622" s="25"/>
      <c r="B622" s="25" t="str">
        <f>'Ingest Template'!C621&amp;IF('Ingest Template'!A621 = "Standard", " - DAR","")</f>
        <v/>
      </c>
      <c r="C622" s="34" t="s">
        <v>92</v>
      </c>
      <c r="D622" s="34" t="str">
        <f>CONCATENATE('Ingest Template'!E622&amp;Char(10)&amp;'Ingest Template'!G622&amp;Char(10)&amp;'Ingest Template'!H622&amp;Char(10)&amp;'Ingest Template'!I622&amp;Char(10)&amp;'Ingest Template'!J622&amp;Char(10)&amp;'Ingest Template'!K622&amp;Char(10)&amp;'Ingest Template'!L622)</f>
        <v>
</v>
      </c>
      <c r="E622" s="25" t="str">
        <f>('Ingest Template'!M622)</f>
        <v/>
      </c>
      <c r="F622" s="40" t="str">
        <f t="array" ref="F622">INDEX(DropDown!$J$2:$J$63,MATCH(1,COUNTIF(E622,DropDown!$I$2:$I$63),0))</f>
        <v>#N/A</v>
      </c>
      <c r="G622" s="25"/>
      <c r="H622" s="25"/>
      <c r="I622" s="25"/>
      <c r="J622" s="25" t="str">
        <f>'Ingest Template'!B622</f>
        <v/>
      </c>
      <c r="K622" s="25" t="str">
        <f>IF('Ingest Template'!A621="Standard",'Ingest Template'!N621,"Competitive View")</f>
        <v>Competitive View</v>
      </c>
      <c r="L622" s="41" t="s">
        <v>145</v>
      </c>
      <c r="M622" s="25" t="str">
        <f>'Ingest Template'!D621</f>
        <v/>
      </c>
      <c r="N622" s="25"/>
      <c r="O622" s="25"/>
      <c r="P622" s="25"/>
      <c r="Q622" s="25"/>
      <c r="R622" s="25" t="str">
        <f>CONCATENATE('Ingest Template'!F621)</f>
        <v/>
      </c>
      <c r="S622" s="43" t="s">
        <v>160</v>
      </c>
      <c r="T622" s="25" t="str">
        <f>'Ingest Template'!W621</f>
        <v/>
      </c>
      <c r="U622" s="25"/>
      <c r="V622" s="25" t="str">
        <f>LOWER(SUBSTITUTE(SUBSTITUTE(SUBSTITUTE(SUBSTITUTE(SUBSTITUTE('Ingest Template'!Y621,"https:",""),"www.",""),"/",""),"?hl=en",""),"instagram.com",""))</f>
        <v/>
      </c>
      <c r="W622" s="34" t="str">
        <f>(IFERROR(vlookup('Ingest Template'!F622,DropDown!D:E,2,false)&amp;'Ingest Template'!C622,""))</f>
        <v/>
      </c>
      <c r="X622" s="25" t="str">
        <f>'Ingest Template'!AA621</f>
        <v/>
      </c>
      <c r="Y622" s="25"/>
      <c r="Z622" s="25"/>
      <c r="AA622" s="25"/>
      <c r="AB622" s="25" t="str">
        <f>'Ingest Template'!T621</f>
        <v/>
      </c>
      <c r="AC622" s="25"/>
      <c r="AD622" s="25" t="str">
        <f>'Ingest Template'!U621</f>
        <v/>
      </c>
      <c r="AE622" s="25" t="str">
        <f>'Ingest Template'!V621</f>
        <v/>
      </c>
      <c r="AF622" s="25"/>
      <c r="AG622" s="25" t="str">
        <f t="array" ref="AG622">IF('Ingest Template'!A621="Standard",(CONCATENATE(IF(ISBLANK('Ingest Template'!O621),"", 'Ingest Template'!O621&amp;"|DAR"),CHAR(10), IF(ISBLANK('Ingest Template'!P621),"", 'Ingest Template'!P621&amp;"|DAR"),CHAR(10), IF(ISBLANK('Ingest Template'!Q621),"", 'Ingest Template'!Q621&amp;"|DAR"))),(CONCATENATE(IF(ISBLANK('Ingest Template'!O621),"", 'Ingest Template'!O621&amp;"|Operations - Core Title"),CHAR(10), IF(ISBLANK('Ingest Template'!P621),"", 'Ingest Template'!P621&amp;"|Operations - Core Title"),CHAR(10), IF(ISBLANK('Ingest Template'!Q621),"", 'Ingest Template'!Q621&amp;"|Operations - Core Title"))))</f>
        <v>#|Operations - Core Title
#videoGame|Operations - Core Title
</v>
      </c>
      <c r="AH622" s="25"/>
      <c r="AI622" s="25"/>
      <c r="AJ622" s="50" t="str">
        <f>if('Ingest Template'!A621="Standard",'Ingest Template'!R621&amp; "|DAR|DAR|2021-01-01",'Ingest Template'!R621&amp; "|Operations - Core Title|Operations - Core Title")</f>
        <v>#N/A</v>
      </c>
      <c r="AK622" s="25"/>
      <c r="AL622" s="25" t="str">
        <f>if('Ingest Template'!A621="Standard",'Ingest Template'!S621&amp; "|2021-01-01",'Ingest Template'!S621)</f>
        <v>#N/A</v>
      </c>
      <c r="AM622" s="25"/>
    </row>
    <row r="623">
      <c r="A623" s="25"/>
      <c r="B623" s="25" t="str">
        <f>'Ingest Template'!C622&amp;IF('Ingest Template'!A622 = "Standard", " - DAR","")</f>
        <v/>
      </c>
      <c r="C623" s="34" t="s">
        <v>92</v>
      </c>
      <c r="D623" s="34" t="str">
        <f>CONCATENATE('Ingest Template'!E623&amp;Char(10)&amp;'Ingest Template'!G623&amp;Char(10)&amp;'Ingest Template'!H623&amp;Char(10)&amp;'Ingest Template'!I623&amp;Char(10)&amp;'Ingest Template'!J623&amp;Char(10)&amp;'Ingest Template'!K623&amp;Char(10)&amp;'Ingest Template'!L623)</f>
        <v>
</v>
      </c>
      <c r="E623" s="25" t="str">
        <f>('Ingest Template'!M623)</f>
        <v/>
      </c>
      <c r="F623" s="40" t="str">
        <f t="array" ref="F623">INDEX(DropDown!$J$2:$J$63,MATCH(1,COUNTIF(E623,DropDown!$I$2:$I$63),0))</f>
        <v>#N/A</v>
      </c>
      <c r="G623" s="25"/>
      <c r="H623" s="25"/>
      <c r="I623" s="25"/>
      <c r="J623" s="25" t="str">
        <f>'Ingest Template'!B623</f>
        <v/>
      </c>
      <c r="K623" s="25" t="str">
        <f>IF('Ingest Template'!A622="Standard",'Ingest Template'!N622,"Competitive View")</f>
        <v>Competitive View</v>
      </c>
      <c r="L623" s="41" t="s">
        <v>145</v>
      </c>
      <c r="M623" s="25" t="str">
        <f>'Ingest Template'!D622</f>
        <v/>
      </c>
      <c r="N623" s="25"/>
      <c r="O623" s="25"/>
      <c r="P623" s="25"/>
      <c r="Q623" s="25"/>
      <c r="R623" s="25" t="str">
        <f>CONCATENATE('Ingest Template'!F622)</f>
        <v/>
      </c>
      <c r="S623" s="43" t="s">
        <v>160</v>
      </c>
      <c r="T623" s="25" t="str">
        <f>'Ingest Template'!W622</f>
        <v/>
      </c>
      <c r="U623" s="25"/>
      <c r="V623" s="25" t="str">
        <f>LOWER(SUBSTITUTE(SUBSTITUTE(SUBSTITUTE(SUBSTITUTE(SUBSTITUTE('Ingest Template'!Y622,"https:",""),"www.",""),"/",""),"?hl=en",""),"instagram.com",""))</f>
        <v/>
      </c>
      <c r="W623" s="34" t="str">
        <f>(IFERROR(vlookup('Ingest Template'!F623,DropDown!D:E,2,false)&amp;'Ingest Template'!C623,""))</f>
        <v/>
      </c>
      <c r="X623" s="25" t="str">
        <f>'Ingest Template'!AA622</f>
        <v/>
      </c>
      <c r="Y623" s="25"/>
      <c r="Z623" s="25"/>
      <c r="AA623" s="25"/>
      <c r="AB623" s="25" t="str">
        <f>'Ingest Template'!T622</f>
        <v/>
      </c>
      <c r="AC623" s="25"/>
      <c r="AD623" s="25" t="str">
        <f>'Ingest Template'!U622</f>
        <v/>
      </c>
      <c r="AE623" s="25" t="str">
        <f>'Ingest Template'!V622</f>
        <v/>
      </c>
      <c r="AF623" s="25"/>
      <c r="AG623" s="25" t="str">
        <f t="array" ref="AG623">IF('Ingest Template'!A622="Standard",(CONCATENATE(IF(ISBLANK('Ingest Template'!O622),"", 'Ingest Template'!O622&amp;"|DAR"),CHAR(10), IF(ISBLANK('Ingest Template'!P622),"", 'Ingest Template'!P622&amp;"|DAR"),CHAR(10), IF(ISBLANK('Ingest Template'!Q622),"", 'Ingest Template'!Q622&amp;"|DAR"))),(CONCATENATE(IF(ISBLANK('Ingest Template'!O622),"", 'Ingest Template'!O622&amp;"|Operations - Core Title"),CHAR(10), IF(ISBLANK('Ingest Template'!P622),"", 'Ingest Template'!P622&amp;"|Operations - Core Title"),CHAR(10), IF(ISBLANK('Ingest Template'!Q622),"", 'Ingest Template'!Q622&amp;"|Operations - Core Title"))))</f>
        <v>#|Operations - Core Title
#videoGame|Operations - Core Title
</v>
      </c>
      <c r="AH623" s="25"/>
      <c r="AI623" s="25"/>
      <c r="AJ623" s="50" t="str">
        <f>if('Ingest Template'!A622="Standard",'Ingest Template'!R622&amp; "|DAR|DAR|2021-01-01",'Ingest Template'!R622&amp; "|Operations - Core Title|Operations - Core Title")</f>
        <v>#N/A</v>
      </c>
      <c r="AK623" s="25"/>
      <c r="AL623" s="25" t="str">
        <f>if('Ingest Template'!A622="Standard",'Ingest Template'!S622&amp; "|2021-01-01",'Ingest Template'!S622)</f>
        <v>#N/A</v>
      </c>
      <c r="AM623" s="25"/>
    </row>
    <row r="624">
      <c r="A624" s="25"/>
      <c r="B624" s="25" t="str">
        <f>'Ingest Template'!C623&amp;IF('Ingest Template'!A623 = "Standard", " - DAR","")</f>
        <v/>
      </c>
      <c r="C624" s="34" t="s">
        <v>92</v>
      </c>
      <c r="D624" s="34" t="str">
        <f>CONCATENATE('Ingest Template'!E624&amp;Char(10)&amp;'Ingest Template'!G624&amp;Char(10)&amp;'Ingest Template'!H624&amp;Char(10)&amp;'Ingest Template'!I624&amp;Char(10)&amp;'Ingest Template'!J624&amp;Char(10)&amp;'Ingest Template'!K624&amp;Char(10)&amp;'Ingest Template'!L624)</f>
        <v>
</v>
      </c>
      <c r="E624" s="25" t="str">
        <f>('Ingest Template'!M624)</f>
        <v/>
      </c>
      <c r="F624" s="40" t="str">
        <f t="array" ref="F624">INDEX(DropDown!$J$2:$J$63,MATCH(1,COUNTIF(E624,DropDown!$I$2:$I$63),0))</f>
        <v>#N/A</v>
      </c>
      <c r="G624" s="25"/>
      <c r="H624" s="25"/>
      <c r="I624" s="25"/>
      <c r="J624" s="25" t="str">
        <f>'Ingest Template'!B624</f>
        <v/>
      </c>
      <c r="K624" s="25" t="str">
        <f>IF('Ingest Template'!A623="Standard",'Ingest Template'!N623,"Competitive View")</f>
        <v>Competitive View</v>
      </c>
      <c r="L624" s="41" t="s">
        <v>145</v>
      </c>
      <c r="M624" s="25" t="str">
        <f>'Ingest Template'!D623</f>
        <v/>
      </c>
      <c r="N624" s="25"/>
      <c r="O624" s="25"/>
      <c r="P624" s="25"/>
      <c r="Q624" s="25"/>
      <c r="R624" s="25" t="str">
        <f>CONCATENATE('Ingest Template'!F623)</f>
        <v/>
      </c>
      <c r="S624" s="43" t="s">
        <v>160</v>
      </c>
      <c r="T624" s="25" t="str">
        <f>'Ingest Template'!W623</f>
        <v/>
      </c>
      <c r="U624" s="25"/>
      <c r="V624" s="25" t="str">
        <f>LOWER(SUBSTITUTE(SUBSTITUTE(SUBSTITUTE(SUBSTITUTE(SUBSTITUTE('Ingest Template'!Y623,"https:",""),"www.",""),"/",""),"?hl=en",""),"instagram.com",""))</f>
        <v/>
      </c>
      <c r="W624" s="34" t="str">
        <f>(IFERROR(vlookup('Ingest Template'!F624,DropDown!D:E,2,false)&amp;'Ingest Template'!C624,""))</f>
        <v/>
      </c>
      <c r="X624" s="25" t="str">
        <f>'Ingest Template'!AA623</f>
        <v/>
      </c>
      <c r="Y624" s="25"/>
      <c r="Z624" s="25"/>
      <c r="AA624" s="25"/>
      <c r="AB624" s="25" t="str">
        <f>'Ingest Template'!T623</f>
        <v/>
      </c>
      <c r="AC624" s="25"/>
      <c r="AD624" s="25" t="str">
        <f>'Ingest Template'!U623</f>
        <v/>
      </c>
      <c r="AE624" s="25" t="str">
        <f>'Ingest Template'!V623</f>
        <v/>
      </c>
      <c r="AF624" s="25"/>
      <c r="AG624" s="25" t="str">
        <f t="array" ref="AG624">IF('Ingest Template'!A623="Standard",(CONCATENATE(IF(ISBLANK('Ingest Template'!O623),"", 'Ingest Template'!O623&amp;"|DAR"),CHAR(10), IF(ISBLANK('Ingest Template'!P623),"", 'Ingest Template'!P623&amp;"|DAR"),CHAR(10), IF(ISBLANK('Ingest Template'!Q623),"", 'Ingest Template'!Q623&amp;"|DAR"))),(CONCATENATE(IF(ISBLANK('Ingest Template'!O623),"", 'Ingest Template'!O623&amp;"|Operations - Core Title"),CHAR(10), IF(ISBLANK('Ingest Template'!P623),"", 'Ingest Template'!P623&amp;"|Operations - Core Title"),CHAR(10), IF(ISBLANK('Ingest Template'!Q623),"", 'Ingest Template'!Q623&amp;"|Operations - Core Title"))))</f>
        <v>#|Operations - Core Title
#videoGame|Operations - Core Title
</v>
      </c>
      <c r="AH624" s="25"/>
      <c r="AI624" s="25"/>
      <c r="AJ624" s="50" t="str">
        <f>if('Ingest Template'!A623="Standard",'Ingest Template'!R623&amp; "|DAR|DAR|2021-01-01",'Ingest Template'!R623&amp; "|Operations - Core Title|Operations - Core Title")</f>
        <v>#N/A</v>
      </c>
      <c r="AK624" s="25"/>
      <c r="AL624" s="25" t="str">
        <f>if('Ingest Template'!A623="Standard",'Ingest Template'!S623&amp; "|2021-01-01",'Ingest Template'!S623)</f>
        <v>#N/A</v>
      </c>
      <c r="AM624" s="25"/>
    </row>
    <row r="625">
      <c r="A625" s="25"/>
      <c r="B625" s="25" t="str">
        <f>'Ingest Template'!C624&amp;IF('Ingest Template'!A624 = "Standard", " - DAR","")</f>
        <v/>
      </c>
      <c r="C625" s="34" t="s">
        <v>92</v>
      </c>
      <c r="D625" s="34" t="str">
        <f>CONCATENATE('Ingest Template'!E625&amp;Char(10)&amp;'Ingest Template'!G625&amp;Char(10)&amp;'Ingest Template'!H625&amp;Char(10)&amp;'Ingest Template'!I625&amp;Char(10)&amp;'Ingest Template'!J625&amp;Char(10)&amp;'Ingest Template'!K625&amp;Char(10)&amp;'Ingest Template'!L625)</f>
        <v>
</v>
      </c>
      <c r="E625" s="25" t="str">
        <f>('Ingest Template'!M625)</f>
        <v/>
      </c>
      <c r="F625" s="40" t="str">
        <f t="array" ref="F625">INDEX(DropDown!$J$2:$J$63,MATCH(1,COUNTIF(E625,DropDown!$I$2:$I$63),0))</f>
        <v>#N/A</v>
      </c>
      <c r="G625" s="25"/>
      <c r="H625" s="25"/>
      <c r="I625" s="25"/>
      <c r="J625" s="25" t="str">
        <f>'Ingest Template'!B625</f>
        <v/>
      </c>
      <c r="K625" s="25" t="str">
        <f>IF('Ingest Template'!A624="Standard",'Ingest Template'!N624,"Competitive View")</f>
        <v>Competitive View</v>
      </c>
      <c r="L625" s="41" t="s">
        <v>145</v>
      </c>
      <c r="M625" s="25" t="str">
        <f>'Ingest Template'!D624</f>
        <v/>
      </c>
      <c r="N625" s="25"/>
      <c r="O625" s="25"/>
      <c r="P625" s="25"/>
      <c r="Q625" s="25"/>
      <c r="R625" s="25" t="str">
        <f>CONCATENATE('Ingest Template'!F624)</f>
        <v/>
      </c>
      <c r="S625" s="43" t="s">
        <v>160</v>
      </c>
      <c r="T625" s="25" t="str">
        <f>'Ingest Template'!W624</f>
        <v/>
      </c>
      <c r="U625" s="25"/>
      <c r="V625" s="25" t="str">
        <f>LOWER(SUBSTITUTE(SUBSTITUTE(SUBSTITUTE(SUBSTITUTE(SUBSTITUTE('Ingest Template'!Y624,"https:",""),"www.",""),"/",""),"?hl=en",""),"instagram.com",""))</f>
        <v/>
      </c>
      <c r="W625" s="34" t="str">
        <f>(IFERROR(vlookup('Ingest Template'!F625,DropDown!D:E,2,false)&amp;'Ingest Template'!C625,""))</f>
        <v/>
      </c>
      <c r="X625" s="25" t="str">
        <f>'Ingest Template'!AA624</f>
        <v/>
      </c>
      <c r="Y625" s="25"/>
      <c r="Z625" s="25"/>
      <c r="AA625" s="25"/>
      <c r="AB625" s="25" t="str">
        <f>'Ingest Template'!T624</f>
        <v/>
      </c>
      <c r="AC625" s="25"/>
      <c r="AD625" s="25" t="str">
        <f>'Ingest Template'!U624</f>
        <v/>
      </c>
      <c r="AE625" s="25" t="str">
        <f>'Ingest Template'!V624</f>
        <v/>
      </c>
      <c r="AF625" s="25"/>
      <c r="AG625" s="25" t="str">
        <f t="array" ref="AG625">IF('Ingest Template'!A624="Standard",(CONCATENATE(IF(ISBLANK('Ingest Template'!O624),"", 'Ingest Template'!O624&amp;"|DAR"),CHAR(10), IF(ISBLANK('Ingest Template'!P624),"", 'Ingest Template'!P624&amp;"|DAR"),CHAR(10), IF(ISBLANK('Ingest Template'!Q624),"", 'Ingest Template'!Q624&amp;"|DAR"))),(CONCATENATE(IF(ISBLANK('Ingest Template'!O624),"", 'Ingest Template'!O624&amp;"|Operations - Core Title"),CHAR(10), IF(ISBLANK('Ingest Template'!P624),"", 'Ingest Template'!P624&amp;"|Operations - Core Title"),CHAR(10), IF(ISBLANK('Ingest Template'!Q624),"", 'Ingest Template'!Q624&amp;"|Operations - Core Title"))))</f>
        <v>#|Operations - Core Title
#videoGame|Operations - Core Title
</v>
      </c>
      <c r="AH625" s="25"/>
      <c r="AI625" s="25"/>
      <c r="AJ625" s="50" t="str">
        <f>if('Ingest Template'!A624="Standard",'Ingest Template'!R624&amp; "|DAR|DAR|2021-01-01",'Ingest Template'!R624&amp; "|Operations - Core Title|Operations - Core Title")</f>
        <v>#N/A</v>
      </c>
      <c r="AK625" s="25"/>
      <c r="AL625" s="25" t="str">
        <f>if('Ingest Template'!A624="Standard",'Ingest Template'!S624&amp; "|2021-01-01",'Ingest Template'!S624)</f>
        <v>#N/A</v>
      </c>
      <c r="AM625" s="25"/>
    </row>
    <row r="626">
      <c r="A626" s="25"/>
      <c r="B626" s="25" t="str">
        <f>'Ingest Template'!C625&amp;IF('Ingest Template'!A625 = "Standard", " - DAR","")</f>
        <v/>
      </c>
      <c r="C626" s="34" t="s">
        <v>92</v>
      </c>
      <c r="D626" s="34" t="str">
        <f>CONCATENATE('Ingest Template'!E626&amp;Char(10)&amp;'Ingest Template'!G626&amp;Char(10)&amp;'Ingest Template'!H626&amp;Char(10)&amp;'Ingest Template'!I626&amp;Char(10)&amp;'Ingest Template'!J626&amp;Char(10)&amp;'Ingest Template'!K626&amp;Char(10)&amp;'Ingest Template'!L626)</f>
        <v>
</v>
      </c>
      <c r="E626" s="25" t="str">
        <f>('Ingest Template'!M626)</f>
        <v/>
      </c>
      <c r="F626" s="40" t="str">
        <f t="array" ref="F626">INDEX(DropDown!$J$2:$J$63,MATCH(1,COUNTIF(E626,DropDown!$I$2:$I$63),0))</f>
        <v>#N/A</v>
      </c>
      <c r="G626" s="25"/>
      <c r="H626" s="25"/>
      <c r="I626" s="25"/>
      <c r="J626" s="25" t="str">
        <f>'Ingest Template'!B626</f>
        <v/>
      </c>
      <c r="K626" s="25" t="str">
        <f>IF('Ingest Template'!A625="Standard",'Ingest Template'!N625,"Competitive View")</f>
        <v>Competitive View</v>
      </c>
      <c r="L626" s="41" t="s">
        <v>145</v>
      </c>
      <c r="M626" s="25" t="str">
        <f>'Ingest Template'!D625</f>
        <v/>
      </c>
      <c r="N626" s="25"/>
      <c r="O626" s="25"/>
      <c r="P626" s="25"/>
      <c r="Q626" s="25"/>
      <c r="R626" s="25" t="str">
        <f>CONCATENATE('Ingest Template'!F625)</f>
        <v/>
      </c>
      <c r="S626" s="43" t="s">
        <v>160</v>
      </c>
      <c r="T626" s="25" t="str">
        <f>'Ingest Template'!W625</f>
        <v/>
      </c>
      <c r="U626" s="25"/>
      <c r="V626" s="25" t="str">
        <f>LOWER(SUBSTITUTE(SUBSTITUTE(SUBSTITUTE(SUBSTITUTE(SUBSTITUTE('Ingest Template'!Y625,"https:",""),"www.",""),"/",""),"?hl=en",""),"instagram.com",""))</f>
        <v/>
      </c>
      <c r="W626" s="34" t="str">
        <f>(IFERROR(vlookup('Ingest Template'!F626,DropDown!D:E,2,false)&amp;'Ingest Template'!C626,""))</f>
        <v/>
      </c>
      <c r="X626" s="25" t="str">
        <f>'Ingest Template'!AA625</f>
        <v/>
      </c>
      <c r="Y626" s="25"/>
      <c r="Z626" s="25"/>
      <c r="AA626" s="25"/>
      <c r="AB626" s="25" t="str">
        <f>'Ingest Template'!T625</f>
        <v/>
      </c>
      <c r="AC626" s="25"/>
      <c r="AD626" s="25" t="str">
        <f>'Ingest Template'!U625</f>
        <v/>
      </c>
      <c r="AE626" s="25" t="str">
        <f>'Ingest Template'!V625</f>
        <v/>
      </c>
      <c r="AF626" s="25"/>
      <c r="AG626" s="25" t="str">
        <f t="array" ref="AG626">IF('Ingest Template'!A625="Standard",(CONCATENATE(IF(ISBLANK('Ingest Template'!O625),"", 'Ingest Template'!O625&amp;"|DAR"),CHAR(10), IF(ISBLANK('Ingest Template'!P625),"", 'Ingest Template'!P625&amp;"|DAR"),CHAR(10), IF(ISBLANK('Ingest Template'!Q625),"", 'Ingest Template'!Q625&amp;"|DAR"))),(CONCATENATE(IF(ISBLANK('Ingest Template'!O625),"", 'Ingest Template'!O625&amp;"|Operations - Core Title"),CHAR(10), IF(ISBLANK('Ingest Template'!P625),"", 'Ingest Template'!P625&amp;"|Operations - Core Title"),CHAR(10), IF(ISBLANK('Ingest Template'!Q625),"", 'Ingest Template'!Q625&amp;"|Operations - Core Title"))))</f>
        <v>#|Operations - Core Title
#videoGame|Operations - Core Title
</v>
      </c>
      <c r="AH626" s="25"/>
      <c r="AI626" s="25"/>
      <c r="AJ626" s="50" t="str">
        <f>if('Ingest Template'!A625="Standard",'Ingest Template'!R625&amp; "|DAR|DAR|2021-01-01",'Ingest Template'!R625&amp; "|Operations - Core Title|Operations - Core Title")</f>
        <v>#N/A</v>
      </c>
      <c r="AK626" s="25"/>
      <c r="AL626" s="25" t="str">
        <f>if('Ingest Template'!A625="Standard",'Ingest Template'!S625&amp; "|2021-01-01",'Ingest Template'!S625)</f>
        <v>#N/A</v>
      </c>
      <c r="AM626" s="25"/>
    </row>
    <row r="627">
      <c r="A627" s="25"/>
      <c r="B627" s="25" t="str">
        <f>'Ingest Template'!C626&amp;IF('Ingest Template'!A626 = "Standard", " - DAR","")</f>
        <v/>
      </c>
      <c r="C627" s="34" t="s">
        <v>92</v>
      </c>
      <c r="D627" s="34" t="str">
        <f>CONCATENATE('Ingest Template'!E627&amp;Char(10)&amp;'Ingest Template'!G627&amp;Char(10)&amp;'Ingest Template'!H627&amp;Char(10)&amp;'Ingest Template'!I627&amp;Char(10)&amp;'Ingest Template'!J627&amp;Char(10)&amp;'Ingest Template'!K627&amp;Char(10)&amp;'Ingest Template'!L627)</f>
        <v>
</v>
      </c>
      <c r="E627" s="25" t="str">
        <f>('Ingest Template'!M627)</f>
        <v/>
      </c>
      <c r="F627" s="40" t="str">
        <f t="array" ref="F627">INDEX(DropDown!$J$2:$J$63,MATCH(1,COUNTIF(E627,DropDown!$I$2:$I$63),0))</f>
        <v>#N/A</v>
      </c>
      <c r="G627" s="25"/>
      <c r="H627" s="25"/>
      <c r="I627" s="25"/>
      <c r="J627" s="25" t="str">
        <f>'Ingest Template'!B627</f>
        <v/>
      </c>
      <c r="K627" s="25" t="str">
        <f>IF('Ingest Template'!A626="Standard",'Ingest Template'!N626,"Competitive View")</f>
        <v>Competitive View</v>
      </c>
      <c r="L627" s="41" t="s">
        <v>145</v>
      </c>
      <c r="M627" s="25" t="str">
        <f>'Ingest Template'!D626</f>
        <v/>
      </c>
      <c r="N627" s="25"/>
      <c r="O627" s="25"/>
      <c r="P627" s="25"/>
      <c r="Q627" s="25"/>
      <c r="R627" s="25" t="str">
        <f>CONCATENATE('Ingest Template'!F626)</f>
        <v/>
      </c>
      <c r="S627" s="43" t="s">
        <v>160</v>
      </c>
      <c r="T627" s="25" t="str">
        <f>'Ingest Template'!W626</f>
        <v/>
      </c>
      <c r="U627" s="25"/>
      <c r="V627" s="25" t="str">
        <f>LOWER(SUBSTITUTE(SUBSTITUTE(SUBSTITUTE(SUBSTITUTE(SUBSTITUTE('Ingest Template'!Y626,"https:",""),"www.",""),"/",""),"?hl=en",""),"instagram.com",""))</f>
        <v/>
      </c>
      <c r="W627" s="34" t="str">
        <f>(IFERROR(vlookup('Ingest Template'!F627,DropDown!D:E,2,false)&amp;'Ingest Template'!C627,""))</f>
        <v/>
      </c>
      <c r="X627" s="25" t="str">
        <f>'Ingest Template'!AA626</f>
        <v/>
      </c>
      <c r="Y627" s="25"/>
      <c r="Z627" s="25"/>
      <c r="AA627" s="25"/>
      <c r="AB627" s="25" t="str">
        <f>'Ingest Template'!T626</f>
        <v/>
      </c>
      <c r="AC627" s="25"/>
      <c r="AD627" s="25" t="str">
        <f>'Ingest Template'!U626</f>
        <v/>
      </c>
      <c r="AE627" s="25" t="str">
        <f>'Ingest Template'!V626</f>
        <v/>
      </c>
      <c r="AF627" s="25"/>
      <c r="AG627" s="25" t="str">
        <f t="array" ref="AG627">IF('Ingest Template'!A626="Standard",(CONCATENATE(IF(ISBLANK('Ingest Template'!O626),"", 'Ingest Template'!O626&amp;"|DAR"),CHAR(10), IF(ISBLANK('Ingest Template'!P626),"", 'Ingest Template'!P626&amp;"|DAR"),CHAR(10), IF(ISBLANK('Ingest Template'!Q626),"", 'Ingest Template'!Q626&amp;"|DAR"))),(CONCATENATE(IF(ISBLANK('Ingest Template'!O626),"", 'Ingest Template'!O626&amp;"|Operations - Core Title"),CHAR(10), IF(ISBLANK('Ingest Template'!P626),"", 'Ingest Template'!P626&amp;"|Operations - Core Title"),CHAR(10), IF(ISBLANK('Ingest Template'!Q626),"", 'Ingest Template'!Q626&amp;"|Operations - Core Title"))))</f>
        <v>#|Operations - Core Title
#videoGame|Operations - Core Title
</v>
      </c>
      <c r="AH627" s="25"/>
      <c r="AI627" s="25"/>
      <c r="AJ627" s="50" t="str">
        <f>if('Ingest Template'!A626="Standard",'Ingest Template'!R626&amp; "|DAR|DAR|2021-01-01",'Ingest Template'!R626&amp; "|Operations - Core Title|Operations - Core Title")</f>
        <v>#N/A</v>
      </c>
      <c r="AK627" s="25"/>
      <c r="AL627" s="25" t="str">
        <f>if('Ingest Template'!A626="Standard",'Ingest Template'!S626&amp; "|2021-01-01",'Ingest Template'!S626)</f>
        <v>#N/A</v>
      </c>
      <c r="AM627" s="25"/>
    </row>
    <row r="628">
      <c r="A628" s="25"/>
      <c r="B628" s="25" t="str">
        <f>'Ingest Template'!C627&amp;IF('Ingest Template'!A627 = "Standard", " - DAR","")</f>
        <v/>
      </c>
      <c r="C628" s="34" t="s">
        <v>92</v>
      </c>
      <c r="D628" s="34" t="str">
        <f>CONCATENATE('Ingest Template'!E628&amp;Char(10)&amp;'Ingest Template'!G628&amp;Char(10)&amp;'Ingest Template'!H628&amp;Char(10)&amp;'Ingest Template'!I628&amp;Char(10)&amp;'Ingest Template'!J628&amp;Char(10)&amp;'Ingest Template'!K628&amp;Char(10)&amp;'Ingest Template'!L628)</f>
        <v>
</v>
      </c>
      <c r="E628" s="25" t="str">
        <f>('Ingest Template'!M628)</f>
        <v/>
      </c>
      <c r="F628" s="40" t="str">
        <f t="array" ref="F628">INDEX(DropDown!$J$2:$J$63,MATCH(1,COUNTIF(E628,DropDown!$I$2:$I$63),0))</f>
        <v>#N/A</v>
      </c>
      <c r="G628" s="25"/>
      <c r="H628" s="25"/>
      <c r="I628" s="25"/>
      <c r="J628" s="25" t="str">
        <f>'Ingest Template'!B628</f>
        <v/>
      </c>
      <c r="K628" s="25" t="str">
        <f>IF('Ingest Template'!A627="Standard",'Ingest Template'!N627,"Competitive View")</f>
        <v>Competitive View</v>
      </c>
      <c r="L628" s="41" t="s">
        <v>145</v>
      </c>
      <c r="M628" s="25" t="str">
        <f>'Ingest Template'!D627</f>
        <v/>
      </c>
      <c r="N628" s="25"/>
      <c r="O628" s="25"/>
      <c r="P628" s="25"/>
      <c r="Q628" s="25"/>
      <c r="R628" s="25" t="str">
        <f>CONCATENATE('Ingest Template'!F627)</f>
        <v/>
      </c>
      <c r="S628" s="43" t="s">
        <v>160</v>
      </c>
      <c r="T628" s="25" t="str">
        <f>'Ingest Template'!W627</f>
        <v/>
      </c>
      <c r="U628" s="25"/>
      <c r="V628" s="25" t="str">
        <f>LOWER(SUBSTITUTE(SUBSTITUTE(SUBSTITUTE(SUBSTITUTE(SUBSTITUTE('Ingest Template'!Y627,"https:",""),"www.",""),"/",""),"?hl=en",""),"instagram.com",""))</f>
        <v/>
      </c>
      <c r="W628" s="34" t="str">
        <f>(IFERROR(vlookup('Ingest Template'!F628,DropDown!D:E,2,false)&amp;'Ingest Template'!C628,""))</f>
        <v/>
      </c>
      <c r="X628" s="25" t="str">
        <f>'Ingest Template'!AA627</f>
        <v/>
      </c>
      <c r="Y628" s="25"/>
      <c r="Z628" s="25"/>
      <c r="AA628" s="25"/>
      <c r="AB628" s="25" t="str">
        <f>'Ingest Template'!T627</f>
        <v/>
      </c>
      <c r="AC628" s="25"/>
      <c r="AD628" s="25" t="str">
        <f>'Ingest Template'!U627</f>
        <v/>
      </c>
      <c r="AE628" s="25" t="str">
        <f>'Ingest Template'!V627</f>
        <v/>
      </c>
      <c r="AF628" s="25"/>
      <c r="AG628" s="25" t="str">
        <f t="array" ref="AG628">IF('Ingest Template'!A627="Standard",(CONCATENATE(IF(ISBLANK('Ingest Template'!O627),"", 'Ingest Template'!O627&amp;"|DAR"),CHAR(10), IF(ISBLANK('Ingest Template'!P627),"", 'Ingest Template'!P627&amp;"|DAR"),CHAR(10), IF(ISBLANK('Ingest Template'!Q627),"", 'Ingest Template'!Q627&amp;"|DAR"))),(CONCATENATE(IF(ISBLANK('Ingest Template'!O627),"", 'Ingest Template'!O627&amp;"|Operations - Core Title"),CHAR(10), IF(ISBLANK('Ingest Template'!P627),"", 'Ingest Template'!P627&amp;"|Operations - Core Title"),CHAR(10), IF(ISBLANK('Ingest Template'!Q627),"", 'Ingest Template'!Q627&amp;"|Operations - Core Title"))))</f>
        <v>#|Operations - Core Title
#videoGame|Operations - Core Title
</v>
      </c>
      <c r="AH628" s="25"/>
      <c r="AI628" s="25"/>
      <c r="AJ628" s="50" t="str">
        <f>if('Ingest Template'!A627="Standard",'Ingest Template'!R627&amp; "|DAR|DAR|2021-01-01",'Ingest Template'!R627&amp; "|Operations - Core Title|Operations - Core Title")</f>
        <v>#N/A</v>
      </c>
      <c r="AK628" s="25"/>
      <c r="AL628" s="25" t="str">
        <f>if('Ingest Template'!A627="Standard",'Ingest Template'!S627&amp; "|2021-01-01",'Ingest Template'!S627)</f>
        <v>#N/A</v>
      </c>
      <c r="AM628" s="25"/>
    </row>
    <row r="629">
      <c r="A629" s="25"/>
      <c r="B629" s="25" t="str">
        <f>'Ingest Template'!C628&amp;IF('Ingest Template'!A628 = "Standard", " - DAR","")</f>
        <v/>
      </c>
      <c r="C629" s="34" t="s">
        <v>92</v>
      </c>
      <c r="D629" s="34" t="str">
        <f>CONCATENATE('Ingest Template'!E629&amp;Char(10)&amp;'Ingest Template'!G629&amp;Char(10)&amp;'Ingest Template'!H629&amp;Char(10)&amp;'Ingest Template'!I629&amp;Char(10)&amp;'Ingest Template'!J629&amp;Char(10)&amp;'Ingest Template'!K629&amp;Char(10)&amp;'Ingest Template'!L629)</f>
        <v>
</v>
      </c>
      <c r="E629" s="25" t="str">
        <f>('Ingest Template'!M629)</f>
        <v/>
      </c>
      <c r="F629" s="40" t="str">
        <f t="array" ref="F629">INDEX(DropDown!$J$2:$J$63,MATCH(1,COUNTIF(E629,DropDown!$I$2:$I$63),0))</f>
        <v>#N/A</v>
      </c>
      <c r="G629" s="25"/>
      <c r="H629" s="25"/>
      <c r="I629" s="25"/>
      <c r="J629" s="25" t="str">
        <f>'Ingest Template'!B629</f>
        <v/>
      </c>
      <c r="K629" s="25" t="str">
        <f>IF('Ingest Template'!A628="Standard",'Ingest Template'!N628,"Competitive View")</f>
        <v>Competitive View</v>
      </c>
      <c r="L629" s="41" t="s">
        <v>145</v>
      </c>
      <c r="M629" s="25" t="str">
        <f>'Ingest Template'!D628</f>
        <v/>
      </c>
      <c r="N629" s="25"/>
      <c r="O629" s="25"/>
      <c r="P629" s="25"/>
      <c r="Q629" s="25"/>
      <c r="R629" s="25" t="str">
        <f>CONCATENATE('Ingest Template'!F628)</f>
        <v/>
      </c>
      <c r="S629" s="43" t="s">
        <v>160</v>
      </c>
      <c r="T629" s="25" t="str">
        <f>'Ingest Template'!W628</f>
        <v/>
      </c>
      <c r="U629" s="25"/>
      <c r="V629" s="25" t="str">
        <f>LOWER(SUBSTITUTE(SUBSTITUTE(SUBSTITUTE(SUBSTITUTE(SUBSTITUTE('Ingest Template'!Y628,"https:",""),"www.",""),"/",""),"?hl=en",""),"instagram.com",""))</f>
        <v/>
      </c>
      <c r="W629" s="34" t="str">
        <f>(IFERROR(vlookup('Ingest Template'!F629,DropDown!D:E,2,false)&amp;'Ingest Template'!C629,""))</f>
        <v/>
      </c>
      <c r="X629" s="25" t="str">
        <f>'Ingest Template'!AA628</f>
        <v/>
      </c>
      <c r="Y629" s="25"/>
      <c r="Z629" s="25"/>
      <c r="AA629" s="25"/>
      <c r="AB629" s="25" t="str">
        <f>'Ingest Template'!T628</f>
        <v/>
      </c>
      <c r="AC629" s="25"/>
      <c r="AD629" s="25" t="str">
        <f>'Ingest Template'!U628</f>
        <v/>
      </c>
      <c r="AE629" s="25" t="str">
        <f>'Ingest Template'!V628</f>
        <v/>
      </c>
      <c r="AF629" s="25"/>
      <c r="AG629" s="25" t="str">
        <f t="array" ref="AG629">IF('Ingest Template'!A628="Standard",(CONCATENATE(IF(ISBLANK('Ingest Template'!O628),"", 'Ingest Template'!O628&amp;"|DAR"),CHAR(10), IF(ISBLANK('Ingest Template'!P628),"", 'Ingest Template'!P628&amp;"|DAR"),CHAR(10), IF(ISBLANK('Ingest Template'!Q628),"", 'Ingest Template'!Q628&amp;"|DAR"))),(CONCATENATE(IF(ISBLANK('Ingest Template'!O628),"", 'Ingest Template'!O628&amp;"|Operations - Core Title"),CHAR(10), IF(ISBLANK('Ingest Template'!P628),"", 'Ingest Template'!P628&amp;"|Operations - Core Title"),CHAR(10), IF(ISBLANK('Ingest Template'!Q628),"", 'Ingest Template'!Q628&amp;"|Operations - Core Title"))))</f>
        <v>#|Operations - Core Title
#videoGame|Operations - Core Title
</v>
      </c>
      <c r="AH629" s="25"/>
      <c r="AI629" s="25"/>
      <c r="AJ629" s="50" t="str">
        <f>if('Ingest Template'!A628="Standard",'Ingest Template'!R628&amp; "|DAR|DAR|2021-01-01",'Ingest Template'!R628&amp; "|Operations - Core Title|Operations - Core Title")</f>
        <v>#N/A</v>
      </c>
      <c r="AK629" s="25"/>
      <c r="AL629" s="25" t="str">
        <f>if('Ingest Template'!A628="Standard",'Ingest Template'!S628&amp; "|2021-01-01",'Ingest Template'!S628)</f>
        <v>#N/A</v>
      </c>
      <c r="AM629" s="25"/>
    </row>
    <row r="630">
      <c r="A630" s="25"/>
      <c r="B630" s="25" t="str">
        <f>'Ingest Template'!C629&amp;IF('Ingest Template'!A629 = "Standard", " - DAR","")</f>
        <v/>
      </c>
      <c r="C630" s="34" t="s">
        <v>92</v>
      </c>
      <c r="D630" s="34" t="str">
        <f>CONCATENATE('Ingest Template'!E630&amp;Char(10)&amp;'Ingest Template'!G630&amp;Char(10)&amp;'Ingest Template'!H630&amp;Char(10)&amp;'Ingest Template'!I630&amp;Char(10)&amp;'Ingest Template'!J630&amp;Char(10)&amp;'Ingest Template'!K630&amp;Char(10)&amp;'Ingest Template'!L630)</f>
        <v>
</v>
      </c>
      <c r="E630" s="25" t="str">
        <f>('Ingest Template'!M630)</f>
        <v/>
      </c>
      <c r="F630" s="40" t="str">
        <f t="array" ref="F630">INDEX(DropDown!$J$2:$J$63,MATCH(1,COUNTIF(E630,DropDown!$I$2:$I$63),0))</f>
        <v>#N/A</v>
      </c>
      <c r="G630" s="25"/>
      <c r="H630" s="25"/>
      <c r="I630" s="25"/>
      <c r="J630" s="25" t="str">
        <f>'Ingest Template'!B630</f>
        <v/>
      </c>
      <c r="K630" s="25" t="str">
        <f>IF('Ingest Template'!A629="Standard",'Ingest Template'!N629,"Competitive View")</f>
        <v>Competitive View</v>
      </c>
      <c r="L630" s="41" t="s">
        <v>145</v>
      </c>
      <c r="M630" s="25" t="str">
        <f>'Ingest Template'!D629</f>
        <v/>
      </c>
      <c r="N630" s="25"/>
      <c r="O630" s="25"/>
      <c r="P630" s="25"/>
      <c r="Q630" s="25"/>
      <c r="R630" s="25" t="str">
        <f>CONCATENATE('Ingest Template'!F629)</f>
        <v/>
      </c>
      <c r="S630" s="43" t="s">
        <v>160</v>
      </c>
      <c r="T630" s="25" t="str">
        <f>'Ingest Template'!W629</f>
        <v/>
      </c>
      <c r="U630" s="25"/>
      <c r="V630" s="25" t="str">
        <f>LOWER(SUBSTITUTE(SUBSTITUTE(SUBSTITUTE(SUBSTITUTE(SUBSTITUTE('Ingest Template'!Y629,"https:",""),"www.",""),"/",""),"?hl=en",""),"instagram.com",""))</f>
        <v/>
      </c>
      <c r="W630" s="34" t="str">
        <f>(IFERROR(vlookup('Ingest Template'!F630,DropDown!D:E,2,false)&amp;'Ingest Template'!C630,""))</f>
        <v/>
      </c>
      <c r="X630" s="25" t="str">
        <f>'Ingest Template'!AA629</f>
        <v/>
      </c>
      <c r="Y630" s="25"/>
      <c r="Z630" s="25"/>
      <c r="AA630" s="25"/>
      <c r="AB630" s="25" t="str">
        <f>'Ingest Template'!T629</f>
        <v/>
      </c>
      <c r="AC630" s="25"/>
      <c r="AD630" s="25" t="str">
        <f>'Ingest Template'!U629</f>
        <v/>
      </c>
      <c r="AE630" s="25" t="str">
        <f>'Ingest Template'!V629</f>
        <v/>
      </c>
      <c r="AF630" s="25"/>
      <c r="AG630" s="25" t="str">
        <f t="array" ref="AG630">IF('Ingest Template'!A629="Standard",(CONCATENATE(IF(ISBLANK('Ingest Template'!O629),"", 'Ingest Template'!O629&amp;"|DAR"),CHAR(10), IF(ISBLANK('Ingest Template'!P629),"", 'Ingest Template'!P629&amp;"|DAR"),CHAR(10), IF(ISBLANK('Ingest Template'!Q629),"", 'Ingest Template'!Q629&amp;"|DAR"))),(CONCATENATE(IF(ISBLANK('Ingest Template'!O629),"", 'Ingest Template'!O629&amp;"|Operations - Core Title"),CHAR(10), IF(ISBLANK('Ingest Template'!P629),"", 'Ingest Template'!P629&amp;"|Operations - Core Title"),CHAR(10), IF(ISBLANK('Ingest Template'!Q629),"", 'Ingest Template'!Q629&amp;"|Operations - Core Title"))))</f>
        <v>#|Operations - Core Title
#videoGame|Operations - Core Title
</v>
      </c>
      <c r="AH630" s="25"/>
      <c r="AI630" s="25"/>
      <c r="AJ630" s="50" t="str">
        <f>if('Ingest Template'!A629="Standard",'Ingest Template'!R629&amp; "|DAR|DAR|2021-01-01",'Ingest Template'!R629&amp; "|Operations - Core Title|Operations - Core Title")</f>
        <v>#N/A</v>
      </c>
      <c r="AK630" s="25"/>
      <c r="AL630" s="25" t="str">
        <f>if('Ingest Template'!A629="Standard",'Ingest Template'!S629&amp; "|2021-01-01",'Ingest Template'!S629)</f>
        <v>#N/A</v>
      </c>
      <c r="AM630" s="25"/>
    </row>
    <row r="631">
      <c r="A631" s="25"/>
      <c r="B631" s="25" t="str">
        <f>'Ingest Template'!C630&amp;IF('Ingest Template'!A630 = "Standard", " - DAR","")</f>
        <v/>
      </c>
      <c r="C631" s="34" t="s">
        <v>92</v>
      </c>
      <c r="D631" s="34" t="str">
        <f>CONCATENATE('Ingest Template'!E631&amp;Char(10)&amp;'Ingest Template'!G631&amp;Char(10)&amp;'Ingest Template'!H631&amp;Char(10)&amp;'Ingest Template'!I631&amp;Char(10)&amp;'Ingest Template'!J631&amp;Char(10)&amp;'Ingest Template'!K631&amp;Char(10)&amp;'Ingest Template'!L631)</f>
        <v>
</v>
      </c>
      <c r="E631" s="25" t="str">
        <f>('Ingest Template'!M631)</f>
        <v/>
      </c>
      <c r="F631" s="40" t="str">
        <f t="array" ref="F631">INDEX(DropDown!$J$2:$J$63,MATCH(1,COUNTIF(E631,DropDown!$I$2:$I$63),0))</f>
        <v>#N/A</v>
      </c>
      <c r="G631" s="25"/>
      <c r="H631" s="25"/>
      <c r="I631" s="25"/>
      <c r="J631" s="25" t="str">
        <f>'Ingest Template'!B631</f>
        <v/>
      </c>
      <c r="K631" s="25" t="str">
        <f>IF('Ingest Template'!A630="Standard",'Ingest Template'!N630,"Competitive View")</f>
        <v>Competitive View</v>
      </c>
      <c r="L631" s="41" t="s">
        <v>145</v>
      </c>
      <c r="M631" s="25" t="str">
        <f>'Ingest Template'!D630</f>
        <v/>
      </c>
      <c r="N631" s="25"/>
      <c r="O631" s="25"/>
      <c r="P631" s="25"/>
      <c r="Q631" s="25"/>
      <c r="R631" s="25" t="str">
        <f>CONCATENATE('Ingest Template'!F630)</f>
        <v/>
      </c>
      <c r="S631" s="43" t="s">
        <v>160</v>
      </c>
      <c r="T631" s="25" t="str">
        <f>'Ingest Template'!W630</f>
        <v/>
      </c>
      <c r="U631" s="25"/>
      <c r="V631" s="25" t="str">
        <f>LOWER(SUBSTITUTE(SUBSTITUTE(SUBSTITUTE(SUBSTITUTE(SUBSTITUTE('Ingest Template'!Y630,"https:",""),"www.",""),"/",""),"?hl=en",""),"instagram.com",""))</f>
        <v/>
      </c>
      <c r="W631" s="34" t="str">
        <f>(IFERROR(vlookup('Ingest Template'!F631,DropDown!D:E,2,false)&amp;'Ingest Template'!C631,""))</f>
        <v/>
      </c>
      <c r="X631" s="25" t="str">
        <f>'Ingest Template'!AA630</f>
        <v/>
      </c>
      <c r="Y631" s="25"/>
      <c r="Z631" s="25"/>
      <c r="AA631" s="25"/>
      <c r="AB631" s="25" t="str">
        <f>'Ingest Template'!T630</f>
        <v/>
      </c>
      <c r="AC631" s="25"/>
      <c r="AD631" s="25" t="str">
        <f>'Ingest Template'!U630</f>
        <v/>
      </c>
      <c r="AE631" s="25" t="str">
        <f>'Ingest Template'!V630</f>
        <v/>
      </c>
      <c r="AF631" s="25"/>
      <c r="AG631" s="25" t="str">
        <f t="array" ref="AG631">IF('Ingest Template'!A630="Standard",(CONCATENATE(IF(ISBLANK('Ingest Template'!O630),"", 'Ingest Template'!O630&amp;"|DAR"),CHAR(10), IF(ISBLANK('Ingest Template'!P630),"", 'Ingest Template'!P630&amp;"|DAR"),CHAR(10), IF(ISBLANK('Ingest Template'!Q630),"", 'Ingest Template'!Q630&amp;"|DAR"))),(CONCATENATE(IF(ISBLANK('Ingest Template'!O630),"", 'Ingest Template'!O630&amp;"|Operations - Core Title"),CHAR(10), IF(ISBLANK('Ingest Template'!P630),"", 'Ingest Template'!P630&amp;"|Operations - Core Title"),CHAR(10), IF(ISBLANK('Ingest Template'!Q630),"", 'Ingest Template'!Q630&amp;"|Operations - Core Title"))))</f>
        <v>#|Operations - Core Title
#videoGame|Operations - Core Title
</v>
      </c>
      <c r="AH631" s="25"/>
      <c r="AI631" s="25"/>
      <c r="AJ631" s="50" t="str">
        <f>if('Ingest Template'!A630="Standard",'Ingest Template'!R630&amp; "|DAR|DAR|2021-01-01",'Ingest Template'!R630&amp; "|Operations - Core Title|Operations - Core Title")</f>
        <v>#N/A</v>
      </c>
      <c r="AK631" s="25"/>
      <c r="AL631" s="25" t="str">
        <f>if('Ingest Template'!A630="Standard",'Ingest Template'!S630&amp; "|2021-01-01",'Ingest Template'!S630)</f>
        <v>#N/A</v>
      </c>
      <c r="AM631" s="25"/>
    </row>
    <row r="632">
      <c r="A632" s="25"/>
      <c r="B632" s="25" t="str">
        <f>'Ingest Template'!C631&amp;IF('Ingest Template'!A631 = "Standard", " - DAR","")</f>
        <v/>
      </c>
      <c r="C632" s="34" t="s">
        <v>92</v>
      </c>
      <c r="D632" s="34" t="str">
        <f>CONCATENATE('Ingest Template'!E632&amp;Char(10)&amp;'Ingest Template'!G632&amp;Char(10)&amp;'Ingest Template'!H632&amp;Char(10)&amp;'Ingest Template'!I632&amp;Char(10)&amp;'Ingest Template'!J632&amp;Char(10)&amp;'Ingest Template'!K632&amp;Char(10)&amp;'Ingest Template'!L632)</f>
        <v>
</v>
      </c>
      <c r="E632" s="25" t="str">
        <f>('Ingest Template'!M632)</f>
        <v/>
      </c>
      <c r="F632" s="40" t="str">
        <f t="array" ref="F632">INDEX(DropDown!$J$2:$J$63,MATCH(1,COUNTIF(E632,DropDown!$I$2:$I$63),0))</f>
        <v>#N/A</v>
      </c>
      <c r="G632" s="25"/>
      <c r="H632" s="25"/>
      <c r="I632" s="25"/>
      <c r="J632" s="25" t="str">
        <f>'Ingest Template'!B632</f>
        <v/>
      </c>
      <c r="K632" s="25" t="str">
        <f>IF('Ingest Template'!A631="Standard",'Ingest Template'!N631,"Competitive View")</f>
        <v>Competitive View</v>
      </c>
      <c r="L632" s="41" t="s">
        <v>145</v>
      </c>
      <c r="M632" s="25" t="str">
        <f>'Ingest Template'!D631</f>
        <v/>
      </c>
      <c r="N632" s="25"/>
      <c r="O632" s="25"/>
      <c r="P632" s="25"/>
      <c r="Q632" s="25"/>
      <c r="R632" s="25" t="str">
        <f>CONCATENATE('Ingest Template'!F631)</f>
        <v/>
      </c>
      <c r="S632" s="43" t="s">
        <v>160</v>
      </c>
      <c r="T632" s="25" t="str">
        <f>'Ingest Template'!W631</f>
        <v/>
      </c>
      <c r="U632" s="25"/>
      <c r="V632" s="25" t="str">
        <f>LOWER(SUBSTITUTE(SUBSTITUTE(SUBSTITUTE(SUBSTITUTE(SUBSTITUTE('Ingest Template'!Y631,"https:",""),"www.",""),"/",""),"?hl=en",""),"instagram.com",""))</f>
        <v/>
      </c>
      <c r="W632" s="34" t="str">
        <f>(IFERROR(vlookup('Ingest Template'!F632,DropDown!D:E,2,false)&amp;'Ingest Template'!C632,""))</f>
        <v/>
      </c>
      <c r="X632" s="25" t="str">
        <f>'Ingest Template'!AA631</f>
        <v/>
      </c>
      <c r="Y632" s="25"/>
      <c r="Z632" s="25"/>
      <c r="AA632" s="25"/>
      <c r="AB632" s="25" t="str">
        <f>'Ingest Template'!T631</f>
        <v/>
      </c>
      <c r="AC632" s="25"/>
      <c r="AD632" s="25" t="str">
        <f>'Ingest Template'!U631</f>
        <v/>
      </c>
      <c r="AE632" s="25" t="str">
        <f>'Ingest Template'!V631</f>
        <v/>
      </c>
      <c r="AF632" s="25"/>
      <c r="AG632" s="25" t="str">
        <f t="array" ref="AG632">IF('Ingest Template'!A631="Standard",(CONCATENATE(IF(ISBLANK('Ingest Template'!O631),"", 'Ingest Template'!O631&amp;"|DAR"),CHAR(10), IF(ISBLANK('Ingest Template'!P631),"", 'Ingest Template'!P631&amp;"|DAR"),CHAR(10), IF(ISBLANK('Ingest Template'!Q631),"", 'Ingest Template'!Q631&amp;"|DAR"))),(CONCATENATE(IF(ISBLANK('Ingest Template'!O631),"", 'Ingest Template'!O631&amp;"|Operations - Core Title"),CHAR(10), IF(ISBLANK('Ingest Template'!P631),"", 'Ingest Template'!P631&amp;"|Operations - Core Title"),CHAR(10), IF(ISBLANK('Ingest Template'!Q631),"", 'Ingest Template'!Q631&amp;"|Operations - Core Title"))))</f>
        <v>#|Operations - Core Title
#videoGame|Operations - Core Title
</v>
      </c>
      <c r="AH632" s="25"/>
      <c r="AI632" s="25"/>
      <c r="AJ632" s="50" t="str">
        <f>if('Ingest Template'!A631="Standard",'Ingest Template'!R631&amp; "|DAR|DAR|2021-01-01",'Ingest Template'!R631&amp; "|Operations - Core Title|Operations - Core Title")</f>
        <v>#N/A</v>
      </c>
      <c r="AK632" s="25"/>
      <c r="AL632" s="25" t="str">
        <f>if('Ingest Template'!A631="Standard",'Ingest Template'!S631&amp; "|2021-01-01",'Ingest Template'!S631)</f>
        <v>#N/A</v>
      </c>
      <c r="AM632" s="25"/>
    </row>
    <row r="633">
      <c r="A633" s="25"/>
      <c r="B633" s="25" t="str">
        <f>'Ingest Template'!C632&amp;IF('Ingest Template'!A632 = "Standard", " - DAR","")</f>
        <v/>
      </c>
      <c r="C633" s="34" t="s">
        <v>92</v>
      </c>
      <c r="D633" s="34" t="str">
        <f>CONCATENATE('Ingest Template'!E633&amp;Char(10)&amp;'Ingest Template'!G633&amp;Char(10)&amp;'Ingest Template'!H633&amp;Char(10)&amp;'Ingest Template'!I633&amp;Char(10)&amp;'Ingest Template'!J633&amp;Char(10)&amp;'Ingest Template'!K633&amp;Char(10)&amp;'Ingest Template'!L633)</f>
        <v>
</v>
      </c>
      <c r="E633" s="25" t="str">
        <f>('Ingest Template'!M633)</f>
        <v/>
      </c>
      <c r="F633" s="40" t="str">
        <f t="array" ref="F633">INDEX(DropDown!$J$2:$J$63,MATCH(1,COUNTIF(E633,DropDown!$I$2:$I$63),0))</f>
        <v>#N/A</v>
      </c>
      <c r="G633" s="25"/>
      <c r="H633" s="25"/>
      <c r="I633" s="25"/>
      <c r="J633" s="25" t="str">
        <f>'Ingest Template'!B633</f>
        <v/>
      </c>
      <c r="K633" s="25" t="str">
        <f>IF('Ingest Template'!A632="Standard",'Ingest Template'!N632,"Competitive View")</f>
        <v>Competitive View</v>
      </c>
      <c r="L633" s="41" t="s">
        <v>145</v>
      </c>
      <c r="M633" s="25" t="str">
        <f>'Ingest Template'!D632</f>
        <v/>
      </c>
      <c r="N633" s="25"/>
      <c r="O633" s="25"/>
      <c r="P633" s="25"/>
      <c r="Q633" s="25"/>
      <c r="R633" s="25" t="str">
        <f>CONCATENATE('Ingest Template'!F632)</f>
        <v/>
      </c>
      <c r="S633" s="43" t="s">
        <v>160</v>
      </c>
      <c r="T633" s="25" t="str">
        <f>'Ingest Template'!W632</f>
        <v/>
      </c>
      <c r="U633" s="25"/>
      <c r="V633" s="25" t="str">
        <f>LOWER(SUBSTITUTE(SUBSTITUTE(SUBSTITUTE(SUBSTITUTE(SUBSTITUTE('Ingest Template'!Y632,"https:",""),"www.",""),"/",""),"?hl=en",""),"instagram.com",""))</f>
        <v/>
      </c>
      <c r="W633" s="34" t="str">
        <f>(IFERROR(vlookup('Ingest Template'!F633,DropDown!D:E,2,false)&amp;'Ingest Template'!C633,""))</f>
        <v/>
      </c>
      <c r="X633" s="25" t="str">
        <f>'Ingest Template'!AA632</f>
        <v/>
      </c>
      <c r="Y633" s="25"/>
      <c r="Z633" s="25"/>
      <c r="AA633" s="25"/>
      <c r="AB633" s="25" t="str">
        <f>'Ingest Template'!T632</f>
        <v/>
      </c>
      <c r="AC633" s="25"/>
      <c r="AD633" s="25" t="str">
        <f>'Ingest Template'!U632</f>
        <v/>
      </c>
      <c r="AE633" s="25" t="str">
        <f>'Ingest Template'!V632</f>
        <v/>
      </c>
      <c r="AF633" s="25"/>
      <c r="AG633" s="25" t="str">
        <f t="array" ref="AG633">IF('Ingest Template'!A632="Standard",(CONCATENATE(IF(ISBLANK('Ingest Template'!O632),"", 'Ingest Template'!O632&amp;"|DAR"),CHAR(10), IF(ISBLANK('Ingest Template'!P632),"", 'Ingest Template'!P632&amp;"|DAR"),CHAR(10), IF(ISBLANK('Ingest Template'!Q632),"", 'Ingest Template'!Q632&amp;"|DAR"))),(CONCATENATE(IF(ISBLANK('Ingest Template'!O632),"", 'Ingest Template'!O632&amp;"|Operations - Core Title"),CHAR(10), IF(ISBLANK('Ingest Template'!P632),"", 'Ingest Template'!P632&amp;"|Operations - Core Title"),CHAR(10), IF(ISBLANK('Ingest Template'!Q632),"", 'Ingest Template'!Q632&amp;"|Operations - Core Title"))))</f>
        <v>#|Operations - Core Title
#videoGame|Operations - Core Title
</v>
      </c>
      <c r="AH633" s="25"/>
      <c r="AI633" s="25"/>
      <c r="AJ633" s="50" t="str">
        <f>if('Ingest Template'!A632="Standard",'Ingest Template'!R632&amp; "|DAR|DAR|2021-01-01",'Ingest Template'!R632&amp; "|Operations - Core Title|Operations - Core Title")</f>
        <v>#N/A</v>
      </c>
      <c r="AK633" s="25"/>
      <c r="AL633" s="25" t="str">
        <f>if('Ingest Template'!A632="Standard",'Ingest Template'!S632&amp; "|2021-01-01",'Ingest Template'!S632)</f>
        <v>#N/A</v>
      </c>
      <c r="AM633" s="25"/>
    </row>
    <row r="634">
      <c r="A634" s="25"/>
      <c r="B634" s="25" t="str">
        <f>'Ingest Template'!C633&amp;IF('Ingest Template'!A633 = "Standard", " - DAR","")</f>
        <v/>
      </c>
      <c r="C634" s="34" t="s">
        <v>92</v>
      </c>
      <c r="D634" s="34" t="str">
        <f>CONCATENATE('Ingest Template'!E634&amp;Char(10)&amp;'Ingest Template'!G634&amp;Char(10)&amp;'Ingest Template'!H634&amp;Char(10)&amp;'Ingest Template'!I634&amp;Char(10)&amp;'Ingest Template'!J634&amp;Char(10)&amp;'Ingest Template'!K634&amp;Char(10)&amp;'Ingest Template'!L634)</f>
        <v>
</v>
      </c>
      <c r="E634" s="25" t="str">
        <f>('Ingest Template'!M634)</f>
        <v/>
      </c>
      <c r="F634" s="40" t="str">
        <f t="array" ref="F634">INDEX(DropDown!$J$2:$J$63,MATCH(1,COUNTIF(E634,DropDown!$I$2:$I$63),0))</f>
        <v>#N/A</v>
      </c>
      <c r="G634" s="25"/>
      <c r="H634" s="25"/>
      <c r="I634" s="25"/>
      <c r="J634" s="25" t="str">
        <f>'Ingest Template'!B634</f>
        <v/>
      </c>
      <c r="K634" s="25" t="str">
        <f>IF('Ingest Template'!A633="Standard",'Ingest Template'!N633,"Competitive View")</f>
        <v>Competitive View</v>
      </c>
      <c r="L634" s="41" t="s">
        <v>145</v>
      </c>
      <c r="M634" s="25" t="str">
        <f>'Ingest Template'!D633</f>
        <v/>
      </c>
      <c r="N634" s="25"/>
      <c r="O634" s="25"/>
      <c r="P634" s="25"/>
      <c r="Q634" s="25"/>
      <c r="R634" s="25" t="str">
        <f>CONCATENATE('Ingest Template'!F633)</f>
        <v/>
      </c>
      <c r="S634" s="43" t="s">
        <v>160</v>
      </c>
      <c r="T634" s="25" t="str">
        <f>'Ingest Template'!W633</f>
        <v/>
      </c>
      <c r="U634" s="25"/>
      <c r="V634" s="25" t="str">
        <f>LOWER(SUBSTITUTE(SUBSTITUTE(SUBSTITUTE(SUBSTITUTE(SUBSTITUTE('Ingest Template'!Y633,"https:",""),"www.",""),"/",""),"?hl=en",""),"instagram.com",""))</f>
        <v/>
      </c>
      <c r="W634" s="34" t="str">
        <f>(IFERROR(vlookup('Ingest Template'!F634,DropDown!D:E,2,false)&amp;'Ingest Template'!C634,""))</f>
        <v/>
      </c>
      <c r="X634" s="25" t="str">
        <f>'Ingest Template'!AA633</f>
        <v/>
      </c>
      <c r="Y634" s="25"/>
      <c r="Z634" s="25"/>
      <c r="AA634" s="25"/>
      <c r="AB634" s="25" t="str">
        <f>'Ingest Template'!T633</f>
        <v/>
      </c>
      <c r="AC634" s="25"/>
      <c r="AD634" s="25" t="str">
        <f>'Ingest Template'!U633</f>
        <v/>
      </c>
      <c r="AE634" s="25" t="str">
        <f>'Ingest Template'!V633</f>
        <v/>
      </c>
      <c r="AF634" s="25"/>
      <c r="AG634" s="25" t="str">
        <f t="array" ref="AG634">IF('Ingest Template'!A633="Standard",(CONCATENATE(IF(ISBLANK('Ingest Template'!O633),"", 'Ingest Template'!O633&amp;"|DAR"),CHAR(10), IF(ISBLANK('Ingest Template'!P633),"", 'Ingest Template'!P633&amp;"|DAR"),CHAR(10), IF(ISBLANK('Ingest Template'!Q633),"", 'Ingest Template'!Q633&amp;"|DAR"))),(CONCATENATE(IF(ISBLANK('Ingest Template'!O633),"", 'Ingest Template'!O633&amp;"|Operations - Core Title"),CHAR(10), IF(ISBLANK('Ingest Template'!P633),"", 'Ingest Template'!P633&amp;"|Operations - Core Title"),CHAR(10), IF(ISBLANK('Ingest Template'!Q633),"", 'Ingest Template'!Q633&amp;"|Operations - Core Title"))))</f>
        <v>#|Operations - Core Title
#videoGame|Operations - Core Title
</v>
      </c>
      <c r="AH634" s="25"/>
      <c r="AI634" s="25"/>
      <c r="AJ634" s="50" t="str">
        <f>if('Ingest Template'!A633="Standard",'Ingest Template'!R633&amp; "|DAR|DAR|2021-01-01",'Ingest Template'!R633&amp; "|Operations - Core Title|Operations - Core Title")</f>
        <v>#N/A</v>
      </c>
      <c r="AK634" s="25"/>
      <c r="AL634" s="25" t="str">
        <f>if('Ingest Template'!A633="Standard",'Ingest Template'!S633&amp; "|2021-01-01",'Ingest Template'!S633)</f>
        <v>#N/A</v>
      </c>
      <c r="AM634" s="25"/>
    </row>
    <row r="635">
      <c r="A635" s="25"/>
      <c r="B635" s="25" t="str">
        <f>'Ingest Template'!C634&amp;IF('Ingest Template'!A634 = "Standard", " - DAR","")</f>
        <v/>
      </c>
      <c r="C635" s="34" t="s">
        <v>92</v>
      </c>
      <c r="D635" s="34" t="str">
        <f>CONCATENATE('Ingest Template'!E635&amp;Char(10)&amp;'Ingest Template'!G635&amp;Char(10)&amp;'Ingest Template'!H635&amp;Char(10)&amp;'Ingest Template'!I635&amp;Char(10)&amp;'Ingest Template'!J635&amp;Char(10)&amp;'Ingest Template'!K635&amp;Char(10)&amp;'Ingest Template'!L635)</f>
        <v>
</v>
      </c>
      <c r="E635" s="25" t="str">
        <f>('Ingest Template'!M635)</f>
        <v/>
      </c>
      <c r="F635" s="40" t="str">
        <f t="array" ref="F635">INDEX(DropDown!$J$2:$J$63,MATCH(1,COUNTIF(E635,DropDown!$I$2:$I$63),0))</f>
        <v>#N/A</v>
      </c>
      <c r="G635" s="25"/>
      <c r="H635" s="25"/>
      <c r="I635" s="25"/>
      <c r="J635" s="25" t="str">
        <f>'Ingest Template'!B635</f>
        <v/>
      </c>
      <c r="K635" s="25" t="str">
        <f>IF('Ingest Template'!A634="Standard",'Ingest Template'!N634,"Competitive View")</f>
        <v>Competitive View</v>
      </c>
      <c r="L635" s="41" t="s">
        <v>145</v>
      </c>
      <c r="M635" s="25" t="str">
        <f>'Ingest Template'!D634</f>
        <v/>
      </c>
      <c r="N635" s="25"/>
      <c r="O635" s="25"/>
      <c r="P635" s="25"/>
      <c r="Q635" s="25"/>
      <c r="R635" s="25" t="str">
        <f>CONCATENATE('Ingest Template'!F634)</f>
        <v/>
      </c>
      <c r="S635" s="43" t="s">
        <v>160</v>
      </c>
      <c r="T635" s="25" t="str">
        <f>'Ingest Template'!W634</f>
        <v/>
      </c>
      <c r="U635" s="25"/>
      <c r="V635" s="25" t="str">
        <f>LOWER(SUBSTITUTE(SUBSTITUTE(SUBSTITUTE(SUBSTITUTE(SUBSTITUTE('Ingest Template'!Y634,"https:",""),"www.",""),"/",""),"?hl=en",""),"instagram.com",""))</f>
        <v/>
      </c>
      <c r="W635" s="34" t="str">
        <f>(IFERROR(vlookup('Ingest Template'!F635,DropDown!D:E,2,false)&amp;'Ingest Template'!C635,""))</f>
        <v/>
      </c>
      <c r="X635" s="25" t="str">
        <f>'Ingest Template'!AA634</f>
        <v/>
      </c>
      <c r="Y635" s="25"/>
      <c r="Z635" s="25"/>
      <c r="AA635" s="25"/>
      <c r="AB635" s="25" t="str">
        <f>'Ingest Template'!T634</f>
        <v/>
      </c>
      <c r="AC635" s="25"/>
      <c r="AD635" s="25" t="str">
        <f>'Ingest Template'!U634</f>
        <v/>
      </c>
      <c r="AE635" s="25" t="str">
        <f>'Ingest Template'!V634</f>
        <v/>
      </c>
      <c r="AF635" s="25"/>
      <c r="AG635" s="25" t="str">
        <f t="array" ref="AG635">IF('Ingest Template'!A634="Standard",(CONCATENATE(IF(ISBLANK('Ingest Template'!O634),"", 'Ingest Template'!O634&amp;"|DAR"),CHAR(10), IF(ISBLANK('Ingest Template'!P634),"", 'Ingest Template'!P634&amp;"|DAR"),CHAR(10), IF(ISBLANK('Ingest Template'!Q634),"", 'Ingest Template'!Q634&amp;"|DAR"))),(CONCATENATE(IF(ISBLANK('Ingest Template'!O634),"", 'Ingest Template'!O634&amp;"|Operations - Core Title"),CHAR(10), IF(ISBLANK('Ingest Template'!P634),"", 'Ingest Template'!P634&amp;"|Operations - Core Title"),CHAR(10), IF(ISBLANK('Ingest Template'!Q634),"", 'Ingest Template'!Q634&amp;"|Operations - Core Title"))))</f>
        <v>#|Operations - Core Title
#videoGame|Operations - Core Title
</v>
      </c>
      <c r="AH635" s="25"/>
      <c r="AI635" s="25"/>
      <c r="AJ635" s="50" t="str">
        <f>if('Ingest Template'!A634="Standard",'Ingest Template'!R634&amp; "|DAR|DAR|2021-01-01",'Ingest Template'!R634&amp; "|Operations - Core Title|Operations - Core Title")</f>
        <v>#N/A</v>
      </c>
      <c r="AK635" s="25"/>
      <c r="AL635" s="25" t="str">
        <f>if('Ingest Template'!A634="Standard",'Ingest Template'!S634&amp; "|2021-01-01",'Ingest Template'!S634)</f>
        <v>#N/A</v>
      </c>
      <c r="AM635" s="25"/>
    </row>
    <row r="636">
      <c r="A636" s="25"/>
      <c r="B636" s="25" t="str">
        <f>'Ingest Template'!C635&amp;IF('Ingest Template'!A635 = "Standard", " - DAR","")</f>
        <v/>
      </c>
      <c r="C636" s="34" t="s">
        <v>92</v>
      </c>
      <c r="D636" s="34" t="str">
        <f>CONCATENATE('Ingest Template'!E636&amp;Char(10)&amp;'Ingest Template'!G636&amp;Char(10)&amp;'Ingest Template'!H636&amp;Char(10)&amp;'Ingest Template'!I636&amp;Char(10)&amp;'Ingest Template'!J636&amp;Char(10)&amp;'Ingest Template'!K636&amp;Char(10)&amp;'Ingest Template'!L636)</f>
        <v>
</v>
      </c>
      <c r="E636" s="25" t="str">
        <f>('Ingest Template'!M636)</f>
        <v/>
      </c>
      <c r="F636" s="40" t="str">
        <f t="array" ref="F636">INDEX(DropDown!$J$2:$J$63,MATCH(1,COUNTIF(E636,DropDown!$I$2:$I$63),0))</f>
        <v>#N/A</v>
      </c>
      <c r="G636" s="25"/>
      <c r="H636" s="25"/>
      <c r="I636" s="25"/>
      <c r="J636" s="25" t="str">
        <f>'Ingest Template'!B636</f>
        <v/>
      </c>
      <c r="K636" s="25" t="str">
        <f>IF('Ingest Template'!A635="Standard",'Ingest Template'!N635,"Competitive View")</f>
        <v>Competitive View</v>
      </c>
      <c r="L636" s="41" t="s">
        <v>145</v>
      </c>
      <c r="M636" s="25" t="str">
        <f>'Ingest Template'!D635</f>
        <v/>
      </c>
      <c r="N636" s="25"/>
      <c r="O636" s="25"/>
      <c r="P636" s="25"/>
      <c r="Q636" s="25"/>
      <c r="R636" s="25" t="str">
        <f>CONCATENATE('Ingest Template'!F635)</f>
        <v/>
      </c>
      <c r="S636" s="43" t="s">
        <v>160</v>
      </c>
      <c r="T636" s="25" t="str">
        <f>'Ingest Template'!W635</f>
        <v/>
      </c>
      <c r="U636" s="25"/>
      <c r="V636" s="25" t="str">
        <f>LOWER(SUBSTITUTE(SUBSTITUTE(SUBSTITUTE(SUBSTITUTE(SUBSTITUTE('Ingest Template'!Y635,"https:",""),"www.",""),"/",""),"?hl=en",""),"instagram.com",""))</f>
        <v/>
      </c>
      <c r="W636" s="34" t="str">
        <f>(IFERROR(vlookup('Ingest Template'!F636,DropDown!D:E,2,false)&amp;'Ingest Template'!C636,""))</f>
        <v/>
      </c>
      <c r="X636" s="25" t="str">
        <f>'Ingest Template'!AA635</f>
        <v/>
      </c>
      <c r="Y636" s="25"/>
      <c r="Z636" s="25"/>
      <c r="AA636" s="25"/>
      <c r="AB636" s="25" t="str">
        <f>'Ingest Template'!T635</f>
        <v/>
      </c>
      <c r="AC636" s="25"/>
      <c r="AD636" s="25" t="str">
        <f>'Ingest Template'!U635</f>
        <v/>
      </c>
      <c r="AE636" s="25" t="str">
        <f>'Ingest Template'!V635</f>
        <v/>
      </c>
      <c r="AF636" s="25"/>
      <c r="AG636" s="25" t="str">
        <f t="array" ref="AG636">IF('Ingest Template'!A635="Standard",(CONCATENATE(IF(ISBLANK('Ingest Template'!O635),"", 'Ingest Template'!O635&amp;"|DAR"),CHAR(10), IF(ISBLANK('Ingest Template'!P635),"", 'Ingest Template'!P635&amp;"|DAR"),CHAR(10), IF(ISBLANK('Ingest Template'!Q635),"", 'Ingest Template'!Q635&amp;"|DAR"))),(CONCATENATE(IF(ISBLANK('Ingest Template'!O635),"", 'Ingest Template'!O635&amp;"|Operations - Core Title"),CHAR(10), IF(ISBLANK('Ingest Template'!P635),"", 'Ingest Template'!P635&amp;"|Operations - Core Title"),CHAR(10), IF(ISBLANK('Ingest Template'!Q635),"", 'Ingest Template'!Q635&amp;"|Operations - Core Title"))))</f>
        <v>#|Operations - Core Title
#videoGame|Operations - Core Title
</v>
      </c>
      <c r="AH636" s="25"/>
      <c r="AI636" s="25"/>
      <c r="AJ636" s="50" t="str">
        <f>if('Ingest Template'!A635="Standard",'Ingest Template'!R635&amp; "|DAR|DAR|2021-01-01",'Ingest Template'!R635&amp; "|Operations - Core Title|Operations - Core Title")</f>
        <v>#N/A</v>
      </c>
      <c r="AK636" s="25"/>
      <c r="AL636" s="25" t="str">
        <f>if('Ingest Template'!A635="Standard",'Ingest Template'!S635&amp; "|2021-01-01",'Ingest Template'!S635)</f>
        <v>#N/A</v>
      </c>
      <c r="AM636" s="25"/>
    </row>
    <row r="637">
      <c r="A637" s="25"/>
      <c r="B637" s="25" t="str">
        <f>'Ingest Template'!C636&amp;IF('Ingest Template'!A636 = "Standard", " - DAR","")</f>
        <v/>
      </c>
      <c r="C637" s="34" t="s">
        <v>92</v>
      </c>
      <c r="D637" s="34" t="str">
        <f>CONCATENATE('Ingest Template'!E637&amp;Char(10)&amp;'Ingest Template'!G637&amp;Char(10)&amp;'Ingest Template'!H637&amp;Char(10)&amp;'Ingest Template'!I637&amp;Char(10)&amp;'Ingest Template'!J637&amp;Char(10)&amp;'Ingest Template'!K637&amp;Char(10)&amp;'Ingest Template'!L637)</f>
        <v>
</v>
      </c>
      <c r="E637" s="25" t="str">
        <f>('Ingest Template'!M637)</f>
        <v/>
      </c>
      <c r="F637" s="40" t="str">
        <f t="array" ref="F637">INDEX(DropDown!$J$2:$J$63,MATCH(1,COUNTIF(E637,DropDown!$I$2:$I$63),0))</f>
        <v>#N/A</v>
      </c>
      <c r="G637" s="25"/>
      <c r="H637" s="25"/>
      <c r="I637" s="25"/>
      <c r="J637" s="25" t="str">
        <f>'Ingest Template'!B637</f>
        <v/>
      </c>
      <c r="K637" s="25" t="str">
        <f>IF('Ingest Template'!A636="Standard",'Ingest Template'!N636,"Competitive View")</f>
        <v>Competitive View</v>
      </c>
      <c r="L637" s="41" t="s">
        <v>145</v>
      </c>
      <c r="M637" s="25" t="str">
        <f>'Ingest Template'!D636</f>
        <v/>
      </c>
      <c r="N637" s="25"/>
      <c r="O637" s="25"/>
      <c r="P637" s="25"/>
      <c r="Q637" s="25"/>
      <c r="R637" s="25" t="str">
        <f>CONCATENATE('Ingest Template'!F636)</f>
        <v/>
      </c>
      <c r="S637" s="43" t="s">
        <v>160</v>
      </c>
      <c r="T637" s="25" t="str">
        <f>'Ingest Template'!W636</f>
        <v/>
      </c>
      <c r="U637" s="25"/>
      <c r="V637" s="25" t="str">
        <f>LOWER(SUBSTITUTE(SUBSTITUTE(SUBSTITUTE(SUBSTITUTE(SUBSTITUTE('Ingest Template'!Y636,"https:",""),"www.",""),"/",""),"?hl=en",""),"instagram.com",""))</f>
        <v/>
      </c>
      <c r="W637" s="34" t="str">
        <f>(IFERROR(vlookup('Ingest Template'!F637,DropDown!D:E,2,false)&amp;'Ingest Template'!C637,""))</f>
        <v/>
      </c>
      <c r="X637" s="25" t="str">
        <f>'Ingest Template'!AA636</f>
        <v/>
      </c>
      <c r="Y637" s="25"/>
      <c r="Z637" s="25"/>
      <c r="AA637" s="25"/>
      <c r="AB637" s="25" t="str">
        <f>'Ingest Template'!T636</f>
        <v/>
      </c>
      <c r="AC637" s="25"/>
      <c r="AD637" s="25" t="str">
        <f>'Ingest Template'!U636</f>
        <v/>
      </c>
      <c r="AE637" s="25" t="str">
        <f>'Ingest Template'!V636</f>
        <v/>
      </c>
      <c r="AF637" s="25"/>
      <c r="AG637" s="25" t="str">
        <f t="array" ref="AG637">IF('Ingest Template'!A636="Standard",(CONCATENATE(IF(ISBLANK('Ingest Template'!O636),"", 'Ingest Template'!O636&amp;"|DAR"),CHAR(10), IF(ISBLANK('Ingest Template'!P636),"", 'Ingest Template'!P636&amp;"|DAR"),CHAR(10), IF(ISBLANK('Ingest Template'!Q636),"", 'Ingest Template'!Q636&amp;"|DAR"))),(CONCATENATE(IF(ISBLANK('Ingest Template'!O636),"", 'Ingest Template'!O636&amp;"|Operations - Core Title"),CHAR(10), IF(ISBLANK('Ingest Template'!P636),"", 'Ingest Template'!P636&amp;"|Operations - Core Title"),CHAR(10), IF(ISBLANK('Ingest Template'!Q636),"", 'Ingest Template'!Q636&amp;"|Operations - Core Title"))))</f>
        <v>#|Operations - Core Title
#videoGame|Operations - Core Title
</v>
      </c>
      <c r="AH637" s="25"/>
      <c r="AI637" s="25"/>
      <c r="AJ637" s="50" t="str">
        <f>if('Ingest Template'!A636="Standard",'Ingest Template'!R636&amp; "|DAR|DAR|2021-01-01",'Ingest Template'!R636&amp; "|Operations - Core Title|Operations - Core Title")</f>
        <v>#N/A</v>
      </c>
      <c r="AK637" s="25"/>
      <c r="AL637" s="25" t="str">
        <f>if('Ingest Template'!A636="Standard",'Ingest Template'!S636&amp; "|2021-01-01",'Ingest Template'!S636)</f>
        <v>#N/A</v>
      </c>
      <c r="AM637" s="25"/>
    </row>
    <row r="638">
      <c r="A638" s="25"/>
      <c r="B638" s="25" t="str">
        <f>'Ingest Template'!C637&amp;IF('Ingest Template'!A637 = "Standard", " - DAR","")</f>
        <v/>
      </c>
      <c r="C638" s="34" t="s">
        <v>92</v>
      </c>
      <c r="D638" s="34" t="str">
        <f>CONCATENATE('Ingest Template'!E638&amp;Char(10)&amp;'Ingest Template'!G638&amp;Char(10)&amp;'Ingest Template'!H638&amp;Char(10)&amp;'Ingest Template'!I638&amp;Char(10)&amp;'Ingest Template'!J638&amp;Char(10)&amp;'Ingest Template'!K638&amp;Char(10)&amp;'Ingest Template'!L638)</f>
        <v>
</v>
      </c>
      <c r="E638" s="25" t="str">
        <f>('Ingest Template'!M638)</f>
        <v/>
      </c>
      <c r="F638" s="40" t="str">
        <f t="array" ref="F638">INDEX(DropDown!$J$2:$J$63,MATCH(1,COUNTIF(E638,DropDown!$I$2:$I$63),0))</f>
        <v>#N/A</v>
      </c>
      <c r="G638" s="25"/>
      <c r="H638" s="25"/>
      <c r="I638" s="25"/>
      <c r="J638" s="25" t="str">
        <f>'Ingest Template'!B638</f>
        <v/>
      </c>
      <c r="K638" s="25" t="str">
        <f>IF('Ingest Template'!A637="Standard",'Ingest Template'!N637,"Competitive View")</f>
        <v>Competitive View</v>
      </c>
      <c r="L638" s="41" t="s">
        <v>145</v>
      </c>
      <c r="M638" s="25" t="str">
        <f>'Ingest Template'!D637</f>
        <v/>
      </c>
      <c r="N638" s="25"/>
      <c r="O638" s="25"/>
      <c r="P638" s="25"/>
      <c r="Q638" s="25"/>
      <c r="R638" s="25" t="str">
        <f>CONCATENATE('Ingest Template'!F637)</f>
        <v/>
      </c>
      <c r="S638" s="43" t="s">
        <v>160</v>
      </c>
      <c r="T638" s="25" t="str">
        <f>'Ingest Template'!W637</f>
        <v/>
      </c>
      <c r="U638" s="25"/>
      <c r="V638" s="25" t="str">
        <f>LOWER(SUBSTITUTE(SUBSTITUTE(SUBSTITUTE(SUBSTITUTE(SUBSTITUTE('Ingest Template'!Y637,"https:",""),"www.",""),"/",""),"?hl=en",""),"instagram.com",""))</f>
        <v/>
      </c>
      <c r="W638" s="34" t="str">
        <f>(IFERROR(vlookup('Ingest Template'!F638,DropDown!D:E,2,false)&amp;'Ingest Template'!C638,""))</f>
        <v/>
      </c>
      <c r="X638" s="25" t="str">
        <f>'Ingest Template'!AA637</f>
        <v/>
      </c>
      <c r="Y638" s="25"/>
      <c r="Z638" s="25"/>
      <c r="AA638" s="25"/>
      <c r="AB638" s="25" t="str">
        <f>'Ingest Template'!T637</f>
        <v/>
      </c>
      <c r="AC638" s="25"/>
      <c r="AD638" s="25" t="str">
        <f>'Ingest Template'!U637</f>
        <v/>
      </c>
      <c r="AE638" s="25" t="str">
        <f>'Ingest Template'!V637</f>
        <v/>
      </c>
      <c r="AF638" s="25"/>
      <c r="AG638" s="25" t="str">
        <f t="array" ref="AG638">IF('Ingest Template'!A637="Standard",(CONCATENATE(IF(ISBLANK('Ingest Template'!O637),"", 'Ingest Template'!O637&amp;"|DAR"),CHAR(10), IF(ISBLANK('Ingest Template'!P637),"", 'Ingest Template'!P637&amp;"|DAR"),CHAR(10), IF(ISBLANK('Ingest Template'!Q637),"", 'Ingest Template'!Q637&amp;"|DAR"))),(CONCATENATE(IF(ISBLANK('Ingest Template'!O637),"", 'Ingest Template'!O637&amp;"|Operations - Core Title"),CHAR(10), IF(ISBLANK('Ingest Template'!P637),"", 'Ingest Template'!P637&amp;"|Operations - Core Title"),CHAR(10), IF(ISBLANK('Ingest Template'!Q637),"", 'Ingest Template'!Q637&amp;"|Operations - Core Title"))))</f>
        <v>#|Operations - Core Title
#videoGame|Operations - Core Title
</v>
      </c>
      <c r="AH638" s="25"/>
      <c r="AI638" s="25"/>
      <c r="AJ638" s="50" t="str">
        <f>if('Ingest Template'!A637="Standard",'Ingest Template'!R637&amp; "|DAR|DAR|2021-01-01",'Ingest Template'!R637&amp; "|Operations - Core Title|Operations - Core Title")</f>
        <v>#N/A</v>
      </c>
      <c r="AK638" s="25"/>
      <c r="AL638" s="25" t="str">
        <f>if('Ingest Template'!A637="Standard",'Ingest Template'!S637&amp; "|2021-01-01",'Ingest Template'!S637)</f>
        <v>#N/A</v>
      </c>
      <c r="AM638" s="25"/>
    </row>
    <row r="639">
      <c r="A639" s="25"/>
      <c r="B639" s="25" t="str">
        <f>'Ingest Template'!C638&amp;IF('Ingest Template'!A638 = "Standard", " - DAR","")</f>
        <v/>
      </c>
      <c r="C639" s="34" t="s">
        <v>92</v>
      </c>
      <c r="D639" s="34" t="str">
        <f>CONCATENATE('Ingest Template'!E639&amp;Char(10)&amp;'Ingest Template'!G639&amp;Char(10)&amp;'Ingest Template'!H639&amp;Char(10)&amp;'Ingest Template'!I639&amp;Char(10)&amp;'Ingest Template'!J639&amp;Char(10)&amp;'Ingest Template'!K639&amp;Char(10)&amp;'Ingest Template'!L639)</f>
        <v>
</v>
      </c>
      <c r="E639" s="25" t="str">
        <f>('Ingest Template'!M639)</f>
        <v/>
      </c>
      <c r="F639" s="40" t="str">
        <f t="array" ref="F639">INDEX(DropDown!$J$2:$J$63,MATCH(1,COUNTIF(E639,DropDown!$I$2:$I$63),0))</f>
        <v>#N/A</v>
      </c>
      <c r="G639" s="25"/>
      <c r="H639" s="25"/>
      <c r="I639" s="25"/>
      <c r="J639" s="25" t="str">
        <f>'Ingest Template'!B639</f>
        <v/>
      </c>
      <c r="K639" s="25" t="str">
        <f>IF('Ingest Template'!A638="Standard",'Ingest Template'!N638,"Competitive View")</f>
        <v>Competitive View</v>
      </c>
      <c r="L639" s="41" t="s">
        <v>145</v>
      </c>
      <c r="M639" s="25" t="str">
        <f>'Ingest Template'!D638</f>
        <v/>
      </c>
      <c r="N639" s="25"/>
      <c r="O639" s="25"/>
      <c r="P639" s="25"/>
      <c r="Q639" s="25"/>
      <c r="R639" s="25" t="str">
        <f>CONCATENATE('Ingest Template'!F638)</f>
        <v/>
      </c>
      <c r="S639" s="43" t="s">
        <v>160</v>
      </c>
      <c r="T639" s="25" t="str">
        <f>'Ingest Template'!W638</f>
        <v/>
      </c>
      <c r="U639" s="25"/>
      <c r="V639" s="25" t="str">
        <f>LOWER(SUBSTITUTE(SUBSTITUTE(SUBSTITUTE(SUBSTITUTE(SUBSTITUTE('Ingest Template'!Y638,"https:",""),"www.",""),"/",""),"?hl=en",""),"instagram.com",""))</f>
        <v/>
      </c>
      <c r="W639" s="34" t="str">
        <f>(IFERROR(vlookup('Ingest Template'!F639,DropDown!D:E,2,false)&amp;'Ingest Template'!C639,""))</f>
        <v/>
      </c>
      <c r="X639" s="25" t="str">
        <f>'Ingest Template'!AA638</f>
        <v/>
      </c>
      <c r="Y639" s="25"/>
      <c r="Z639" s="25"/>
      <c r="AA639" s="25"/>
      <c r="AB639" s="25" t="str">
        <f>'Ingest Template'!T638</f>
        <v/>
      </c>
      <c r="AC639" s="25"/>
      <c r="AD639" s="25" t="str">
        <f>'Ingest Template'!U638</f>
        <v/>
      </c>
      <c r="AE639" s="25" t="str">
        <f>'Ingest Template'!V638</f>
        <v/>
      </c>
      <c r="AF639" s="25"/>
      <c r="AG639" s="25" t="str">
        <f t="array" ref="AG639">IF('Ingest Template'!A638="Standard",(CONCATENATE(IF(ISBLANK('Ingest Template'!O638),"", 'Ingest Template'!O638&amp;"|DAR"),CHAR(10), IF(ISBLANK('Ingest Template'!P638),"", 'Ingest Template'!P638&amp;"|DAR"),CHAR(10), IF(ISBLANK('Ingest Template'!Q638),"", 'Ingest Template'!Q638&amp;"|DAR"))),(CONCATENATE(IF(ISBLANK('Ingest Template'!O638),"", 'Ingest Template'!O638&amp;"|Operations - Core Title"),CHAR(10), IF(ISBLANK('Ingest Template'!P638),"", 'Ingest Template'!P638&amp;"|Operations - Core Title"),CHAR(10), IF(ISBLANK('Ingest Template'!Q638),"", 'Ingest Template'!Q638&amp;"|Operations - Core Title"))))</f>
        <v>#|Operations - Core Title
#videoGame|Operations - Core Title
</v>
      </c>
      <c r="AH639" s="25"/>
      <c r="AI639" s="25"/>
      <c r="AJ639" s="50" t="str">
        <f>if('Ingest Template'!A638="Standard",'Ingest Template'!R638&amp; "|DAR|DAR|2021-01-01",'Ingest Template'!R638&amp; "|Operations - Core Title|Operations - Core Title")</f>
        <v>#N/A</v>
      </c>
      <c r="AK639" s="25"/>
      <c r="AL639" s="25" t="str">
        <f>if('Ingest Template'!A638="Standard",'Ingest Template'!S638&amp; "|2021-01-01",'Ingest Template'!S638)</f>
        <v>#N/A</v>
      </c>
      <c r="AM639" s="25"/>
    </row>
    <row r="640">
      <c r="A640" s="25"/>
      <c r="B640" s="25" t="str">
        <f>'Ingest Template'!C639&amp;IF('Ingest Template'!A639 = "Standard", " - DAR","")</f>
        <v/>
      </c>
      <c r="C640" s="34" t="s">
        <v>92</v>
      </c>
      <c r="D640" s="34" t="str">
        <f>CONCATENATE('Ingest Template'!E640&amp;Char(10)&amp;'Ingest Template'!G640&amp;Char(10)&amp;'Ingest Template'!H640&amp;Char(10)&amp;'Ingest Template'!I640&amp;Char(10)&amp;'Ingest Template'!J640&amp;Char(10)&amp;'Ingest Template'!K640&amp;Char(10)&amp;'Ingest Template'!L640)</f>
        <v>
</v>
      </c>
      <c r="E640" s="25" t="str">
        <f>('Ingest Template'!M640)</f>
        <v/>
      </c>
      <c r="F640" s="40" t="str">
        <f t="array" ref="F640">INDEX(DropDown!$J$2:$J$63,MATCH(1,COUNTIF(E640,DropDown!$I$2:$I$63),0))</f>
        <v>#N/A</v>
      </c>
      <c r="G640" s="25"/>
      <c r="H640" s="25"/>
      <c r="I640" s="25"/>
      <c r="J640" s="25" t="str">
        <f>'Ingest Template'!B640</f>
        <v/>
      </c>
      <c r="K640" s="25" t="str">
        <f>IF('Ingest Template'!A639="Standard",'Ingest Template'!N639,"Competitive View")</f>
        <v>Competitive View</v>
      </c>
      <c r="L640" s="41" t="s">
        <v>145</v>
      </c>
      <c r="M640" s="25" t="str">
        <f>'Ingest Template'!D639</f>
        <v/>
      </c>
      <c r="N640" s="25"/>
      <c r="O640" s="25"/>
      <c r="P640" s="25"/>
      <c r="Q640" s="25"/>
      <c r="R640" s="25" t="str">
        <f>CONCATENATE('Ingest Template'!F639)</f>
        <v/>
      </c>
      <c r="S640" s="43" t="s">
        <v>160</v>
      </c>
      <c r="T640" s="25" t="str">
        <f>'Ingest Template'!W639</f>
        <v/>
      </c>
      <c r="U640" s="25"/>
      <c r="V640" s="25" t="str">
        <f>LOWER(SUBSTITUTE(SUBSTITUTE(SUBSTITUTE(SUBSTITUTE(SUBSTITUTE('Ingest Template'!Y639,"https:",""),"www.",""),"/",""),"?hl=en",""),"instagram.com",""))</f>
        <v/>
      </c>
      <c r="W640" s="34" t="str">
        <f>(IFERROR(vlookup('Ingest Template'!F640,DropDown!D:E,2,false)&amp;'Ingest Template'!C640,""))</f>
        <v/>
      </c>
      <c r="X640" s="25" t="str">
        <f>'Ingest Template'!AA639</f>
        <v/>
      </c>
      <c r="Y640" s="25"/>
      <c r="Z640" s="25"/>
      <c r="AA640" s="25"/>
      <c r="AB640" s="25" t="str">
        <f>'Ingest Template'!T639</f>
        <v/>
      </c>
      <c r="AC640" s="25"/>
      <c r="AD640" s="25" t="str">
        <f>'Ingest Template'!U639</f>
        <v/>
      </c>
      <c r="AE640" s="25" t="str">
        <f>'Ingest Template'!V639</f>
        <v/>
      </c>
      <c r="AF640" s="25"/>
      <c r="AG640" s="25" t="str">
        <f t="array" ref="AG640">IF('Ingest Template'!A639="Standard",(CONCATENATE(IF(ISBLANK('Ingest Template'!O639),"", 'Ingest Template'!O639&amp;"|DAR"),CHAR(10), IF(ISBLANK('Ingest Template'!P639),"", 'Ingest Template'!P639&amp;"|DAR"),CHAR(10), IF(ISBLANK('Ingest Template'!Q639),"", 'Ingest Template'!Q639&amp;"|DAR"))),(CONCATENATE(IF(ISBLANK('Ingest Template'!O639),"", 'Ingest Template'!O639&amp;"|Operations - Core Title"),CHAR(10), IF(ISBLANK('Ingest Template'!P639),"", 'Ingest Template'!P639&amp;"|Operations - Core Title"),CHAR(10), IF(ISBLANK('Ingest Template'!Q639),"", 'Ingest Template'!Q639&amp;"|Operations - Core Title"))))</f>
        <v>#|Operations - Core Title
#videoGame|Operations - Core Title
</v>
      </c>
      <c r="AH640" s="25"/>
      <c r="AI640" s="25"/>
      <c r="AJ640" s="50" t="str">
        <f>if('Ingest Template'!A639="Standard",'Ingest Template'!R639&amp; "|DAR|DAR|2021-01-01",'Ingest Template'!R639&amp; "|Operations - Core Title|Operations - Core Title")</f>
        <v>#N/A</v>
      </c>
      <c r="AK640" s="25"/>
      <c r="AL640" s="25" t="str">
        <f>if('Ingest Template'!A639="Standard",'Ingest Template'!S639&amp; "|2021-01-01",'Ingest Template'!S639)</f>
        <v>#N/A</v>
      </c>
      <c r="AM640" s="25"/>
    </row>
    <row r="641">
      <c r="A641" s="25"/>
      <c r="B641" s="25" t="str">
        <f>'Ingest Template'!C640&amp;IF('Ingest Template'!A640 = "Standard", " - DAR","")</f>
        <v/>
      </c>
      <c r="C641" s="34" t="s">
        <v>92</v>
      </c>
      <c r="D641" s="34" t="str">
        <f>CONCATENATE('Ingest Template'!E641&amp;Char(10)&amp;'Ingest Template'!G641&amp;Char(10)&amp;'Ingest Template'!H641&amp;Char(10)&amp;'Ingest Template'!I641&amp;Char(10)&amp;'Ingest Template'!J641&amp;Char(10)&amp;'Ingest Template'!K641&amp;Char(10)&amp;'Ingest Template'!L641)</f>
        <v>
</v>
      </c>
      <c r="E641" s="25" t="str">
        <f>('Ingest Template'!M641)</f>
        <v/>
      </c>
      <c r="F641" s="40" t="str">
        <f t="array" ref="F641">INDEX(DropDown!$J$2:$J$63,MATCH(1,COUNTIF(E641,DropDown!$I$2:$I$63),0))</f>
        <v>#N/A</v>
      </c>
      <c r="G641" s="25"/>
      <c r="H641" s="25"/>
      <c r="I641" s="25"/>
      <c r="J641" s="25" t="str">
        <f>'Ingest Template'!B641</f>
        <v/>
      </c>
      <c r="K641" s="25" t="str">
        <f>IF('Ingest Template'!A640="Standard",'Ingest Template'!N640,"Competitive View")</f>
        <v>Competitive View</v>
      </c>
      <c r="L641" s="41" t="s">
        <v>145</v>
      </c>
      <c r="M641" s="25" t="str">
        <f>'Ingest Template'!D640</f>
        <v/>
      </c>
      <c r="N641" s="25"/>
      <c r="O641" s="25"/>
      <c r="P641" s="25"/>
      <c r="Q641" s="25"/>
      <c r="R641" s="25" t="str">
        <f>CONCATENATE('Ingest Template'!F640)</f>
        <v/>
      </c>
      <c r="S641" s="43" t="s">
        <v>160</v>
      </c>
      <c r="T641" s="25" t="str">
        <f>'Ingest Template'!W640</f>
        <v/>
      </c>
      <c r="U641" s="25"/>
      <c r="V641" s="25" t="str">
        <f>LOWER(SUBSTITUTE(SUBSTITUTE(SUBSTITUTE(SUBSTITUTE(SUBSTITUTE('Ingest Template'!Y640,"https:",""),"www.",""),"/",""),"?hl=en",""),"instagram.com",""))</f>
        <v/>
      </c>
      <c r="W641" s="34" t="str">
        <f>(IFERROR(vlookup('Ingest Template'!F641,DropDown!D:E,2,false)&amp;'Ingest Template'!C641,""))</f>
        <v/>
      </c>
      <c r="X641" s="25" t="str">
        <f>'Ingest Template'!AA640</f>
        <v/>
      </c>
      <c r="Y641" s="25"/>
      <c r="Z641" s="25"/>
      <c r="AA641" s="25"/>
      <c r="AB641" s="25" t="str">
        <f>'Ingest Template'!T640</f>
        <v/>
      </c>
      <c r="AC641" s="25"/>
      <c r="AD641" s="25" t="str">
        <f>'Ingest Template'!U640</f>
        <v/>
      </c>
      <c r="AE641" s="25" t="str">
        <f>'Ingest Template'!V640</f>
        <v/>
      </c>
      <c r="AF641" s="25"/>
      <c r="AG641" s="25" t="str">
        <f t="array" ref="AG641">IF('Ingest Template'!A640="Standard",(CONCATENATE(IF(ISBLANK('Ingest Template'!O640),"", 'Ingest Template'!O640&amp;"|DAR"),CHAR(10), IF(ISBLANK('Ingest Template'!P640),"", 'Ingest Template'!P640&amp;"|DAR"),CHAR(10), IF(ISBLANK('Ingest Template'!Q640),"", 'Ingest Template'!Q640&amp;"|DAR"))),(CONCATENATE(IF(ISBLANK('Ingest Template'!O640),"", 'Ingest Template'!O640&amp;"|Operations - Core Title"),CHAR(10), IF(ISBLANK('Ingest Template'!P640),"", 'Ingest Template'!P640&amp;"|Operations - Core Title"),CHAR(10), IF(ISBLANK('Ingest Template'!Q640),"", 'Ingest Template'!Q640&amp;"|Operations - Core Title"))))</f>
        <v>#|Operations - Core Title
#videoGame|Operations - Core Title
</v>
      </c>
      <c r="AH641" s="25"/>
      <c r="AI641" s="25"/>
      <c r="AJ641" s="50" t="str">
        <f>if('Ingest Template'!A640="Standard",'Ingest Template'!R640&amp; "|DAR|DAR|2021-01-01",'Ingest Template'!R640&amp; "|Operations - Core Title|Operations - Core Title")</f>
        <v>#N/A</v>
      </c>
      <c r="AK641" s="25"/>
      <c r="AL641" s="25" t="str">
        <f>if('Ingest Template'!A640="Standard",'Ingest Template'!S640&amp; "|2021-01-01",'Ingest Template'!S640)</f>
        <v>#N/A</v>
      </c>
      <c r="AM641" s="25"/>
    </row>
    <row r="642">
      <c r="A642" s="25"/>
      <c r="B642" s="25" t="str">
        <f>'Ingest Template'!C641&amp;IF('Ingest Template'!A641 = "Standard", " - DAR","")</f>
        <v/>
      </c>
      <c r="C642" s="34" t="s">
        <v>92</v>
      </c>
      <c r="D642" s="34" t="str">
        <f>CONCATENATE('Ingest Template'!E642&amp;Char(10)&amp;'Ingest Template'!G642&amp;Char(10)&amp;'Ingest Template'!H642&amp;Char(10)&amp;'Ingest Template'!I642&amp;Char(10)&amp;'Ingest Template'!J642&amp;Char(10)&amp;'Ingest Template'!K642&amp;Char(10)&amp;'Ingest Template'!L642)</f>
        <v>
</v>
      </c>
      <c r="E642" s="25" t="str">
        <f>('Ingest Template'!M642)</f>
        <v/>
      </c>
      <c r="F642" s="40" t="str">
        <f t="array" ref="F642">INDEX(DropDown!$J$2:$J$63,MATCH(1,COUNTIF(E642,DropDown!$I$2:$I$63),0))</f>
        <v>#N/A</v>
      </c>
      <c r="G642" s="25"/>
      <c r="H642" s="25"/>
      <c r="I642" s="25"/>
      <c r="J642" s="25" t="str">
        <f>'Ingest Template'!B642</f>
        <v/>
      </c>
      <c r="K642" s="25" t="str">
        <f>IF('Ingest Template'!A641="Standard",'Ingest Template'!N641,"Competitive View")</f>
        <v>Competitive View</v>
      </c>
      <c r="L642" s="41" t="s">
        <v>145</v>
      </c>
      <c r="M642" s="25" t="str">
        <f>'Ingest Template'!D641</f>
        <v/>
      </c>
      <c r="N642" s="25"/>
      <c r="O642" s="25"/>
      <c r="P642" s="25"/>
      <c r="Q642" s="25"/>
      <c r="R642" s="25" t="str">
        <f>CONCATENATE('Ingest Template'!F641)</f>
        <v/>
      </c>
      <c r="S642" s="43" t="s">
        <v>160</v>
      </c>
      <c r="T642" s="25" t="str">
        <f>'Ingest Template'!W641</f>
        <v/>
      </c>
      <c r="U642" s="25"/>
      <c r="V642" s="25" t="str">
        <f>LOWER(SUBSTITUTE(SUBSTITUTE(SUBSTITUTE(SUBSTITUTE(SUBSTITUTE('Ingest Template'!Y641,"https:",""),"www.",""),"/",""),"?hl=en",""),"instagram.com",""))</f>
        <v/>
      </c>
      <c r="W642" s="34" t="str">
        <f>(IFERROR(vlookup('Ingest Template'!F642,DropDown!D:E,2,false)&amp;'Ingest Template'!C642,""))</f>
        <v/>
      </c>
      <c r="X642" s="25" t="str">
        <f>'Ingest Template'!AA641</f>
        <v/>
      </c>
      <c r="Y642" s="25"/>
      <c r="Z642" s="25"/>
      <c r="AA642" s="25"/>
      <c r="AB642" s="25" t="str">
        <f>'Ingest Template'!T641</f>
        <v/>
      </c>
      <c r="AC642" s="25"/>
      <c r="AD642" s="25" t="str">
        <f>'Ingest Template'!U641</f>
        <v/>
      </c>
      <c r="AE642" s="25" t="str">
        <f>'Ingest Template'!V641</f>
        <v/>
      </c>
      <c r="AF642" s="25"/>
      <c r="AG642" s="25" t="str">
        <f t="array" ref="AG642">IF('Ingest Template'!A641="Standard",(CONCATENATE(IF(ISBLANK('Ingest Template'!O641),"", 'Ingest Template'!O641&amp;"|DAR"),CHAR(10), IF(ISBLANK('Ingest Template'!P641),"", 'Ingest Template'!P641&amp;"|DAR"),CHAR(10), IF(ISBLANK('Ingest Template'!Q641),"", 'Ingest Template'!Q641&amp;"|DAR"))),(CONCATENATE(IF(ISBLANK('Ingest Template'!O641),"", 'Ingest Template'!O641&amp;"|Operations - Core Title"),CHAR(10), IF(ISBLANK('Ingest Template'!P641),"", 'Ingest Template'!P641&amp;"|Operations - Core Title"),CHAR(10), IF(ISBLANK('Ingest Template'!Q641),"", 'Ingest Template'!Q641&amp;"|Operations - Core Title"))))</f>
        <v>#|Operations - Core Title
#videoGame|Operations - Core Title
</v>
      </c>
      <c r="AH642" s="25"/>
      <c r="AI642" s="25"/>
      <c r="AJ642" s="50" t="str">
        <f>if('Ingest Template'!A641="Standard",'Ingest Template'!R641&amp; "|DAR|DAR|2021-01-01",'Ingest Template'!R641&amp; "|Operations - Core Title|Operations - Core Title")</f>
        <v>#N/A</v>
      </c>
      <c r="AK642" s="25"/>
      <c r="AL642" s="25" t="str">
        <f>if('Ingest Template'!A641="Standard",'Ingest Template'!S641&amp; "|2021-01-01",'Ingest Template'!S641)</f>
        <v>#N/A</v>
      </c>
      <c r="AM642" s="25"/>
    </row>
    <row r="643">
      <c r="A643" s="25"/>
      <c r="B643" s="25" t="str">
        <f>'Ingest Template'!C642&amp;IF('Ingest Template'!A642 = "Standard", " - DAR","")</f>
        <v/>
      </c>
      <c r="C643" s="34" t="s">
        <v>92</v>
      </c>
      <c r="D643" s="34" t="str">
        <f>CONCATENATE('Ingest Template'!E643&amp;Char(10)&amp;'Ingest Template'!G643&amp;Char(10)&amp;'Ingest Template'!H643&amp;Char(10)&amp;'Ingest Template'!I643&amp;Char(10)&amp;'Ingest Template'!J643&amp;Char(10)&amp;'Ingest Template'!K643&amp;Char(10)&amp;'Ingest Template'!L643)</f>
        <v>
</v>
      </c>
      <c r="E643" s="25" t="str">
        <f>('Ingest Template'!M643)</f>
        <v/>
      </c>
      <c r="F643" s="40" t="str">
        <f t="array" ref="F643">INDEX(DropDown!$J$2:$J$63,MATCH(1,COUNTIF(E643,DropDown!$I$2:$I$63),0))</f>
        <v>#N/A</v>
      </c>
      <c r="G643" s="25"/>
      <c r="H643" s="25"/>
      <c r="I643" s="25"/>
      <c r="J643" s="25" t="str">
        <f>'Ingest Template'!B643</f>
        <v/>
      </c>
      <c r="K643" s="25" t="str">
        <f>IF('Ingest Template'!A642="Standard",'Ingest Template'!N642,"Competitive View")</f>
        <v>Competitive View</v>
      </c>
      <c r="L643" s="41" t="s">
        <v>145</v>
      </c>
      <c r="M643" s="25" t="str">
        <f>'Ingest Template'!D642</f>
        <v/>
      </c>
      <c r="N643" s="25"/>
      <c r="O643" s="25"/>
      <c r="P643" s="25"/>
      <c r="Q643" s="25"/>
      <c r="R643" s="25" t="str">
        <f>CONCATENATE('Ingest Template'!F642)</f>
        <v/>
      </c>
      <c r="S643" s="43" t="s">
        <v>160</v>
      </c>
      <c r="T643" s="25" t="str">
        <f>'Ingest Template'!W642</f>
        <v/>
      </c>
      <c r="U643" s="25"/>
      <c r="V643" s="25" t="str">
        <f>LOWER(SUBSTITUTE(SUBSTITUTE(SUBSTITUTE(SUBSTITUTE(SUBSTITUTE('Ingest Template'!Y642,"https:",""),"www.",""),"/",""),"?hl=en",""),"instagram.com",""))</f>
        <v/>
      </c>
      <c r="W643" s="34" t="str">
        <f>(IFERROR(vlookup('Ingest Template'!F643,DropDown!D:E,2,false)&amp;'Ingest Template'!C643,""))</f>
        <v/>
      </c>
      <c r="X643" s="25" t="str">
        <f>'Ingest Template'!AA642</f>
        <v/>
      </c>
      <c r="Y643" s="25"/>
      <c r="Z643" s="25"/>
      <c r="AA643" s="25"/>
      <c r="AB643" s="25" t="str">
        <f>'Ingest Template'!T642</f>
        <v/>
      </c>
      <c r="AC643" s="25"/>
      <c r="AD643" s="25" t="str">
        <f>'Ingest Template'!U642</f>
        <v/>
      </c>
      <c r="AE643" s="25" t="str">
        <f>'Ingest Template'!V642</f>
        <v/>
      </c>
      <c r="AF643" s="25"/>
      <c r="AG643" s="25" t="str">
        <f t="array" ref="AG643">IF('Ingest Template'!A642="Standard",(CONCATENATE(IF(ISBLANK('Ingest Template'!O642),"", 'Ingest Template'!O642&amp;"|DAR"),CHAR(10), IF(ISBLANK('Ingest Template'!P642),"", 'Ingest Template'!P642&amp;"|DAR"),CHAR(10), IF(ISBLANK('Ingest Template'!Q642),"", 'Ingest Template'!Q642&amp;"|DAR"))),(CONCATENATE(IF(ISBLANK('Ingest Template'!O642),"", 'Ingest Template'!O642&amp;"|Operations - Core Title"),CHAR(10), IF(ISBLANK('Ingest Template'!P642),"", 'Ingest Template'!P642&amp;"|Operations - Core Title"),CHAR(10), IF(ISBLANK('Ingest Template'!Q642),"", 'Ingest Template'!Q642&amp;"|Operations - Core Title"))))</f>
        <v>#|Operations - Core Title
#videoGame|Operations - Core Title
</v>
      </c>
      <c r="AH643" s="25"/>
      <c r="AI643" s="25"/>
      <c r="AJ643" s="50" t="str">
        <f>if('Ingest Template'!A642="Standard",'Ingest Template'!R642&amp; "|DAR|DAR|2021-01-01",'Ingest Template'!R642&amp; "|Operations - Core Title|Operations - Core Title")</f>
        <v>#N/A</v>
      </c>
      <c r="AK643" s="25"/>
      <c r="AL643" s="25" t="str">
        <f>if('Ingest Template'!A642="Standard",'Ingest Template'!S642&amp; "|2021-01-01",'Ingest Template'!S642)</f>
        <v>#N/A</v>
      </c>
      <c r="AM643" s="25"/>
    </row>
    <row r="644">
      <c r="A644" s="25"/>
      <c r="B644" s="25" t="str">
        <f>'Ingest Template'!C643&amp;IF('Ingest Template'!A643 = "Standard", " - DAR","")</f>
        <v/>
      </c>
      <c r="C644" s="34" t="s">
        <v>92</v>
      </c>
      <c r="D644" s="34" t="str">
        <f>CONCATENATE('Ingest Template'!E644&amp;Char(10)&amp;'Ingest Template'!G644&amp;Char(10)&amp;'Ingest Template'!H644&amp;Char(10)&amp;'Ingest Template'!I644&amp;Char(10)&amp;'Ingest Template'!J644&amp;Char(10)&amp;'Ingest Template'!K644&amp;Char(10)&amp;'Ingest Template'!L644)</f>
        <v>
</v>
      </c>
      <c r="E644" s="25" t="str">
        <f>('Ingest Template'!M644)</f>
        <v/>
      </c>
      <c r="F644" s="40" t="str">
        <f t="array" ref="F644">INDEX(DropDown!$J$2:$J$63,MATCH(1,COUNTIF(E644,DropDown!$I$2:$I$63),0))</f>
        <v>#N/A</v>
      </c>
      <c r="G644" s="25"/>
      <c r="H644" s="25"/>
      <c r="I644" s="25"/>
      <c r="J644" s="25" t="str">
        <f>'Ingest Template'!B644</f>
        <v/>
      </c>
      <c r="K644" s="25" t="str">
        <f>IF('Ingest Template'!A643="Standard",'Ingest Template'!N643,"Competitive View")</f>
        <v>Competitive View</v>
      </c>
      <c r="L644" s="41" t="s">
        <v>145</v>
      </c>
      <c r="M644" s="25" t="str">
        <f>'Ingest Template'!D643</f>
        <v/>
      </c>
      <c r="N644" s="25"/>
      <c r="O644" s="25"/>
      <c r="P644" s="25"/>
      <c r="Q644" s="25"/>
      <c r="R644" s="25" t="str">
        <f>CONCATENATE('Ingest Template'!F643)</f>
        <v/>
      </c>
      <c r="S644" s="43" t="s">
        <v>160</v>
      </c>
      <c r="T644" s="25" t="str">
        <f>'Ingest Template'!W643</f>
        <v/>
      </c>
      <c r="U644" s="25"/>
      <c r="V644" s="25" t="str">
        <f>LOWER(SUBSTITUTE(SUBSTITUTE(SUBSTITUTE(SUBSTITUTE(SUBSTITUTE('Ingest Template'!Y643,"https:",""),"www.",""),"/",""),"?hl=en",""),"instagram.com",""))</f>
        <v/>
      </c>
      <c r="W644" s="34" t="str">
        <f>(IFERROR(vlookup('Ingest Template'!F644,DropDown!D:E,2,false)&amp;'Ingest Template'!C644,""))</f>
        <v/>
      </c>
      <c r="X644" s="25" t="str">
        <f>'Ingest Template'!AA643</f>
        <v/>
      </c>
      <c r="Y644" s="25"/>
      <c r="Z644" s="25"/>
      <c r="AA644" s="25"/>
      <c r="AB644" s="25" t="str">
        <f>'Ingest Template'!T643</f>
        <v/>
      </c>
      <c r="AC644" s="25"/>
      <c r="AD644" s="25" t="str">
        <f>'Ingest Template'!U643</f>
        <v/>
      </c>
      <c r="AE644" s="25" t="str">
        <f>'Ingest Template'!V643</f>
        <v/>
      </c>
      <c r="AF644" s="25"/>
      <c r="AG644" s="25" t="str">
        <f t="array" ref="AG644">IF('Ingest Template'!A643="Standard",(CONCATENATE(IF(ISBLANK('Ingest Template'!O643),"", 'Ingest Template'!O643&amp;"|DAR"),CHAR(10), IF(ISBLANK('Ingest Template'!P643),"", 'Ingest Template'!P643&amp;"|DAR"),CHAR(10), IF(ISBLANK('Ingest Template'!Q643),"", 'Ingest Template'!Q643&amp;"|DAR"))),(CONCATENATE(IF(ISBLANK('Ingest Template'!O643),"", 'Ingest Template'!O643&amp;"|Operations - Core Title"),CHAR(10), IF(ISBLANK('Ingest Template'!P643),"", 'Ingest Template'!P643&amp;"|Operations - Core Title"),CHAR(10), IF(ISBLANK('Ingest Template'!Q643),"", 'Ingest Template'!Q643&amp;"|Operations - Core Title"))))</f>
        <v>#|Operations - Core Title
#videoGame|Operations - Core Title
</v>
      </c>
      <c r="AH644" s="25"/>
      <c r="AI644" s="25"/>
      <c r="AJ644" s="50" t="str">
        <f>if('Ingest Template'!A643="Standard",'Ingest Template'!R643&amp; "|DAR|DAR|2021-01-01",'Ingest Template'!R643&amp; "|Operations - Core Title|Operations - Core Title")</f>
        <v>#N/A</v>
      </c>
      <c r="AK644" s="25"/>
      <c r="AL644" s="25" t="str">
        <f>if('Ingest Template'!A643="Standard",'Ingest Template'!S643&amp; "|2021-01-01",'Ingest Template'!S643)</f>
        <v>#N/A</v>
      </c>
      <c r="AM644" s="25"/>
    </row>
    <row r="645">
      <c r="A645" s="25"/>
      <c r="B645" s="25" t="str">
        <f>'Ingest Template'!C644&amp;IF('Ingest Template'!A644 = "Standard", " - DAR","")</f>
        <v/>
      </c>
      <c r="C645" s="34" t="s">
        <v>92</v>
      </c>
      <c r="D645" s="34" t="str">
        <f>CONCATENATE('Ingest Template'!E645&amp;Char(10)&amp;'Ingest Template'!G645&amp;Char(10)&amp;'Ingest Template'!H645&amp;Char(10)&amp;'Ingest Template'!I645&amp;Char(10)&amp;'Ingest Template'!J645&amp;Char(10)&amp;'Ingest Template'!K645&amp;Char(10)&amp;'Ingest Template'!L645)</f>
        <v>
</v>
      </c>
      <c r="E645" s="25" t="str">
        <f>('Ingest Template'!M645)</f>
        <v/>
      </c>
      <c r="F645" s="40" t="str">
        <f t="array" ref="F645">INDEX(DropDown!$J$2:$J$63,MATCH(1,COUNTIF(E645,DropDown!$I$2:$I$63),0))</f>
        <v>#N/A</v>
      </c>
      <c r="G645" s="25"/>
      <c r="H645" s="25"/>
      <c r="I645" s="25"/>
      <c r="J645" s="25" t="str">
        <f>'Ingest Template'!B645</f>
        <v/>
      </c>
      <c r="K645" s="25" t="str">
        <f>IF('Ingest Template'!A644="Standard",'Ingest Template'!N644,"Competitive View")</f>
        <v>Competitive View</v>
      </c>
      <c r="L645" s="41" t="s">
        <v>145</v>
      </c>
      <c r="M645" s="25" t="str">
        <f>'Ingest Template'!D644</f>
        <v/>
      </c>
      <c r="N645" s="25"/>
      <c r="O645" s="25"/>
      <c r="P645" s="25"/>
      <c r="Q645" s="25"/>
      <c r="R645" s="25" t="str">
        <f>CONCATENATE('Ingest Template'!F644)</f>
        <v/>
      </c>
      <c r="S645" s="43" t="s">
        <v>160</v>
      </c>
      <c r="T645" s="25" t="str">
        <f>'Ingest Template'!W644</f>
        <v/>
      </c>
      <c r="U645" s="25"/>
      <c r="V645" s="25" t="str">
        <f>LOWER(SUBSTITUTE(SUBSTITUTE(SUBSTITUTE(SUBSTITUTE(SUBSTITUTE('Ingest Template'!Y644,"https:",""),"www.",""),"/",""),"?hl=en",""),"instagram.com",""))</f>
        <v/>
      </c>
      <c r="W645" s="34" t="str">
        <f>(IFERROR(vlookup('Ingest Template'!F645,DropDown!D:E,2,false)&amp;'Ingest Template'!C645,""))</f>
        <v/>
      </c>
      <c r="X645" s="25" t="str">
        <f>'Ingest Template'!AA644</f>
        <v/>
      </c>
      <c r="Y645" s="25"/>
      <c r="Z645" s="25"/>
      <c r="AA645" s="25"/>
      <c r="AB645" s="25" t="str">
        <f>'Ingest Template'!T644</f>
        <v/>
      </c>
      <c r="AC645" s="25"/>
      <c r="AD645" s="25" t="str">
        <f>'Ingest Template'!U644</f>
        <v/>
      </c>
      <c r="AE645" s="25" t="str">
        <f>'Ingest Template'!V644</f>
        <v/>
      </c>
      <c r="AF645" s="25"/>
      <c r="AG645" s="25" t="str">
        <f t="array" ref="AG645">IF('Ingest Template'!A644="Standard",(CONCATENATE(IF(ISBLANK('Ingest Template'!O644),"", 'Ingest Template'!O644&amp;"|DAR"),CHAR(10), IF(ISBLANK('Ingest Template'!P644),"", 'Ingest Template'!P644&amp;"|DAR"),CHAR(10), IF(ISBLANK('Ingest Template'!Q644),"", 'Ingest Template'!Q644&amp;"|DAR"))),(CONCATENATE(IF(ISBLANK('Ingest Template'!O644),"", 'Ingest Template'!O644&amp;"|Operations - Core Title"),CHAR(10), IF(ISBLANK('Ingest Template'!P644),"", 'Ingest Template'!P644&amp;"|Operations - Core Title"),CHAR(10), IF(ISBLANK('Ingest Template'!Q644),"", 'Ingest Template'!Q644&amp;"|Operations - Core Title"))))</f>
        <v>#|Operations - Core Title
#videoGame|Operations - Core Title
</v>
      </c>
      <c r="AH645" s="25"/>
      <c r="AI645" s="25"/>
      <c r="AJ645" s="50" t="str">
        <f>if('Ingest Template'!A644="Standard",'Ingest Template'!R644&amp; "|DAR|DAR|2021-01-01",'Ingest Template'!R644&amp; "|Operations - Core Title|Operations - Core Title")</f>
        <v>#N/A</v>
      </c>
      <c r="AK645" s="25"/>
      <c r="AL645" s="25" t="str">
        <f>if('Ingest Template'!A644="Standard",'Ingest Template'!S644&amp; "|2021-01-01",'Ingest Template'!S644)</f>
        <v>#N/A</v>
      </c>
      <c r="AM645" s="25"/>
    </row>
    <row r="646">
      <c r="A646" s="25"/>
      <c r="B646" s="25" t="str">
        <f>'Ingest Template'!C645&amp;IF('Ingest Template'!A645 = "Standard", " - DAR","")</f>
        <v/>
      </c>
      <c r="C646" s="34" t="s">
        <v>92</v>
      </c>
      <c r="D646" s="34" t="str">
        <f>CONCATENATE('Ingest Template'!E646&amp;Char(10)&amp;'Ingest Template'!G646&amp;Char(10)&amp;'Ingest Template'!H646&amp;Char(10)&amp;'Ingest Template'!I646&amp;Char(10)&amp;'Ingest Template'!J646&amp;Char(10)&amp;'Ingest Template'!K646&amp;Char(10)&amp;'Ingest Template'!L646)</f>
        <v>
</v>
      </c>
      <c r="E646" s="25" t="str">
        <f>('Ingest Template'!M646)</f>
        <v/>
      </c>
      <c r="F646" s="40" t="str">
        <f t="array" ref="F646">INDEX(DropDown!$J$2:$J$63,MATCH(1,COUNTIF(E646,DropDown!$I$2:$I$63),0))</f>
        <v>#N/A</v>
      </c>
      <c r="G646" s="25"/>
      <c r="H646" s="25"/>
      <c r="I646" s="25"/>
      <c r="J646" s="25" t="str">
        <f>'Ingest Template'!B646</f>
        <v/>
      </c>
      <c r="K646" s="25" t="str">
        <f>IF('Ingest Template'!A645="Standard",'Ingest Template'!N645,"Competitive View")</f>
        <v>Competitive View</v>
      </c>
      <c r="L646" s="41" t="s">
        <v>145</v>
      </c>
      <c r="M646" s="25" t="str">
        <f>'Ingest Template'!D645</f>
        <v/>
      </c>
      <c r="N646" s="25"/>
      <c r="O646" s="25"/>
      <c r="P646" s="25"/>
      <c r="Q646" s="25"/>
      <c r="R646" s="25" t="str">
        <f>CONCATENATE('Ingest Template'!F645)</f>
        <v/>
      </c>
      <c r="S646" s="43" t="s">
        <v>160</v>
      </c>
      <c r="T646" s="25" t="str">
        <f>'Ingest Template'!W645</f>
        <v/>
      </c>
      <c r="U646" s="25"/>
      <c r="V646" s="25" t="str">
        <f>LOWER(SUBSTITUTE(SUBSTITUTE(SUBSTITUTE(SUBSTITUTE(SUBSTITUTE('Ingest Template'!Y645,"https:",""),"www.",""),"/",""),"?hl=en",""),"instagram.com",""))</f>
        <v/>
      </c>
      <c r="W646" s="34" t="str">
        <f>(IFERROR(vlookup('Ingest Template'!F646,DropDown!D:E,2,false)&amp;'Ingest Template'!C646,""))</f>
        <v/>
      </c>
      <c r="X646" s="25" t="str">
        <f>'Ingest Template'!AA645</f>
        <v/>
      </c>
      <c r="Y646" s="25"/>
      <c r="Z646" s="25"/>
      <c r="AA646" s="25"/>
      <c r="AB646" s="25" t="str">
        <f>'Ingest Template'!T645</f>
        <v/>
      </c>
      <c r="AC646" s="25"/>
      <c r="AD646" s="25" t="str">
        <f>'Ingest Template'!U645</f>
        <v/>
      </c>
      <c r="AE646" s="25" t="str">
        <f>'Ingest Template'!V645</f>
        <v/>
      </c>
      <c r="AF646" s="25"/>
      <c r="AG646" s="25" t="str">
        <f t="array" ref="AG646">IF('Ingest Template'!A645="Standard",(CONCATENATE(IF(ISBLANK('Ingest Template'!O645),"", 'Ingest Template'!O645&amp;"|DAR"),CHAR(10), IF(ISBLANK('Ingest Template'!P645),"", 'Ingest Template'!P645&amp;"|DAR"),CHAR(10), IF(ISBLANK('Ingest Template'!Q645),"", 'Ingest Template'!Q645&amp;"|DAR"))),(CONCATENATE(IF(ISBLANK('Ingest Template'!O645),"", 'Ingest Template'!O645&amp;"|Operations - Core Title"),CHAR(10), IF(ISBLANK('Ingest Template'!P645),"", 'Ingest Template'!P645&amp;"|Operations - Core Title"),CHAR(10), IF(ISBLANK('Ingest Template'!Q645),"", 'Ingest Template'!Q645&amp;"|Operations - Core Title"))))</f>
        <v>#|Operations - Core Title
#videoGame|Operations - Core Title
</v>
      </c>
      <c r="AH646" s="25"/>
      <c r="AI646" s="25"/>
      <c r="AJ646" s="50" t="str">
        <f>if('Ingest Template'!A645="Standard",'Ingest Template'!R645&amp; "|DAR|DAR|2021-01-01",'Ingest Template'!R645&amp; "|Operations - Core Title|Operations - Core Title")</f>
        <v>#N/A</v>
      </c>
      <c r="AK646" s="25"/>
      <c r="AL646" s="25" t="str">
        <f>if('Ingest Template'!A645="Standard",'Ingest Template'!S645&amp; "|2021-01-01",'Ingest Template'!S645)</f>
        <v>#N/A</v>
      </c>
      <c r="AM646" s="25"/>
    </row>
    <row r="647">
      <c r="A647" s="25"/>
      <c r="B647" s="25" t="str">
        <f>'Ingest Template'!C646&amp;IF('Ingest Template'!A646 = "Standard", " - DAR","")</f>
        <v/>
      </c>
      <c r="C647" s="34" t="s">
        <v>92</v>
      </c>
      <c r="D647" s="34" t="str">
        <f>CONCATENATE('Ingest Template'!E647&amp;Char(10)&amp;'Ingest Template'!G647&amp;Char(10)&amp;'Ingest Template'!H647&amp;Char(10)&amp;'Ingest Template'!I647&amp;Char(10)&amp;'Ingest Template'!J647&amp;Char(10)&amp;'Ingest Template'!K647&amp;Char(10)&amp;'Ingest Template'!L647)</f>
        <v>
</v>
      </c>
      <c r="E647" s="25" t="str">
        <f>('Ingest Template'!M647)</f>
        <v/>
      </c>
      <c r="F647" s="40" t="str">
        <f t="array" ref="F647">INDEX(DropDown!$J$2:$J$63,MATCH(1,COUNTIF(E647,DropDown!$I$2:$I$63),0))</f>
        <v>#N/A</v>
      </c>
      <c r="G647" s="25"/>
      <c r="H647" s="25"/>
      <c r="I647" s="25"/>
      <c r="J647" s="25" t="str">
        <f>'Ingest Template'!B647</f>
        <v/>
      </c>
      <c r="K647" s="25" t="str">
        <f>IF('Ingest Template'!A646="Standard",'Ingest Template'!N646,"Competitive View")</f>
        <v>Competitive View</v>
      </c>
      <c r="L647" s="41" t="s">
        <v>145</v>
      </c>
      <c r="M647" s="25" t="str">
        <f>'Ingest Template'!D646</f>
        <v/>
      </c>
      <c r="N647" s="25"/>
      <c r="O647" s="25"/>
      <c r="P647" s="25"/>
      <c r="Q647" s="25"/>
      <c r="R647" s="25" t="str">
        <f>CONCATENATE('Ingest Template'!F646)</f>
        <v/>
      </c>
      <c r="S647" s="43" t="s">
        <v>160</v>
      </c>
      <c r="T647" s="25" t="str">
        <f>'Ingest Template'!W646</f>
        <v/>
      </c>
      <c r="U647" s="25"/>
      <c r="V647" s="25" t="str">
        <f>LOWER(SUBSTITUTE(SUBSTITUTE(SUBSTITUTE(SUBSTITUTE(SUBSTITUTE('Ingest Template'!Y646,"https:",""),"www.",""),"/",""),"?hl=en",""),"instagram.com",""))</f>
        <v/>
      </c>
      <c r="W647" s="34" t="str">
        <f>(IFERROR(vlookup('Ingest Template'!F647,DropDown!D:E,2,false)&amp;'Ingest Template'!C647,""))</f>
        <v/>
      </c>
      <c r="X647" s="25" t="str">
        <f>'Ingest Template'!AA646</f>
        <v/>
      </c>
      <c r="Y647" s="25"/>
      <c r="Z647" s="25"/>
      <c r="AA647" s="25"/>
      <c r="AB647" s="25" t="str">
        <f>'Ingest Template'!T646</f>
        <v/>
      </c>
      <c r="AC647" s="25"/>
      <c r="AD647" s="25" t="str">
        <f>'Ingest Template'!U646</f>
        <v/>
      </c>
      <c r="AE647" s="25" t="str">
        <f>'Ingest Template'!V646</f>
        <v/>
      </c>
      <c r="AF647" s="25"/>
      <c r="AG647" s="25" t="str">
        <f t="array" ref="AG647">IF('Ingest Template'!A646="Standard",(CONCATENATE(IF(ISBLANK('Ingest Template'!O646),"", 'Ingest Template'!O646&amp;"|DAR"),CHAR(10), IF(ISBLANK('Ingest Template'!P646),"", 'Ingest Template'!P646&amp;"|DAR"),CHAR(10), IF(ISBLANK('Ingest Template'!Q646),"", 'Ingest Template'!Q646&amp;"|DAR"))),(CONCATENATE(IF(ISBLANK('Ingest Template'!O646),"", 'Ingest Template'!O646&amp;"|Operations - Core Title"),CHAR(10), IF(ISBLANK('Ingest Template'!P646),"", 'Ingest Template'!P646&amp;"|Operations - Core Title"),CHAR(10), IF(ISBLANK('Ingest Template'!Q646),"", 'Ingest Template'!Q646&amp;"|Operations - Core Title"))))</f>
        <v>#|Operations - Core Title
#videoGame|Operations - Core Title
</v>
      </c>
      <c r="AH647" s="25"/>
      <c r="AI647" s="25"/>
      <c r="AJ647" s="50" t="str">
        <f>if('Ingest Template'!A646="Standard",'Ingest Template'!R646&amp; "|DAR|DAR|2021-01-01",'Ingest Template'!R646&amp; "|Operations - Core Title|Operations - Core Title")</f>
        <v>#N/A</v>
      </c>
      <c r="AK647" s="25"/>
      <c r="AL647" s="25" t="str">
        <f>if('Ingest Template'!A646="Standard",'Ingest Template'!S646&amp; "|2021-01-01",'Ingest Template'!S646)</f>
        <v>#N/A</v>
      </c>
      <c r="AM647" s="25"/>
    </row>
    <row r="648">
      <c r="A648" s="25"/>
      <c r="B648" s="25" t="str">
        <f>'Ingest Template'!C647&amp;IF('Ingest Template'!A647 = "Standard", " - DAR","")</f>
        <v/>
      </c>
      <c r="C648" s="34" t="s">
        <v>92</v>
      </c>
      <c r="D648" s="34" t="str">
        <f>CONCATENATE('Ingest Template'!E648&amp;Char(10)&amp;'Ingest Template'!G648&amp;Char(10)&amp;'Ingest Template'!H648&amp;Char(10)&amp;'Ingest Template'!I648&amp;Char(10)&amp;'Ingest Template'!J648&amp;Char(10)&amp;'Ingest Template'!K648&amp;Char(10)&amp;'Ingest Template'!L648)</f>
        <v>
</v>
      </c>
      <c r="E648" s="25" t="str">
        <f>('Ingest Template'!M648)</f>
        <v/>
      </c>
      <c r="F648" s="40" t="str">
        <f t="array" ref="F648">INDEX(DropDown!$J$2:$J$63,MATCH(1,COUNTIF(E648,DropDown!$I$2:$I$63),0))</f>
        <v>#N/A</v>
      </c>
      <c r="G648" s="25"/>
      <c r="H648" s="25"/>
      <c r="I648" s="25"/>
      <c r="J648" s="25" t="str">
        <f>'Ingest Template'!B648</f>
        <v/>
      </c>
      <c r="K648" s="25" t="str">
        <f>IF('Ingest Template'!A647="Standard",'Ingest Template'!N647,"Competitive View")</f>
        <v>Competitive View</v>
      </c>
      <c r="L648" s="41" t="s">
        <v>145</v>
      </c>
      <c r="M648" s="25" t="str">
        <f>'Ingest Template'!D647</f>
        <v/>
      </c>
      <c r="N648" s="25"/>
      <c r="O648" s="25"/>
      <c r="P648" s="25"/>
      <c r="Q648" s="25"/>
      <c r="R648" s="25" t="str">
        <f>CONCATENATE('Ingest Template'!F647)</f>
        <v/>
      </c>
      <c r="S648" s="43" t="s">
        <v>160</v>
      </c>
      <c r="T648" s="25" t="str">
        <f>'Ingest Template'!W647</f>
        <v/>
      </c>
      <c r="U648" s="25"/>
      <c r="V648" s="25" t="str">
        <f>LOWER(SUBSTITUTE(SUBSTITUTE(SUBSTITUTE(SUBSTITUTE(SUBSTITUTE('Ingest Template'!Y647,"https:",""),"www.",""),"/",""),"?hl=en",""),"instagram.com",""))</f>
        <v/>
      </c>
      <c r="W648" s="34" t="str">
        <f>(IFERROR(vlookup('Ingest Template'!F648,DropDown!D:E,2,false)&amp;'Ingest Template'!C648,""))</f>
        <v/>
      </c>
      <c r="X648" s="25" t="str">
        <f>'Ingest Template'!AA647</f>
        <v/>
      </c>
      <c r="Y648" s="25"/>
      <c r="Z648" s="25"/>
      <c r="AA648" s="25"/>
      <c r="AB648" s="25" t="str">
        <f>'Ingest Template'!T647</f>
        <v/>
      </c>
      <c r="AC648" s="25"/>
      <c r="AD648" s="25" t="str">
        <f>'Ingest Template'!U647</f>
        <v/>
      </c>
      <c r="AE648" s="25" t="str">
        <f>'Ingest Template'!V647</f>
        <v/>
      </c>
      <c r="AF648" s="25"/>
      <c r="AG648" s="25" t="str">
        <f t="array" ref="AG648">IF('Ingest Template'!A647="Standard",(CONCATENATE(IF(ISBLANK('Ingest Template'!O647),"", 'Ingest Template'!O647&amp;"|DAR"),CHAR(10), IF(ISBLANK('Ingest Template'!P647),"", 'Ingest Template'!P647&amp;"|DAR"),CHAR(10), IF(ISBLANK('Ingest Template'!Q647),"", 'Ingest Template'!Q647&amp;"|DAR"))),(CONCATENATE(IF(ISBLANK('Ingest Template'!O647),"", 'Ingest Template'!O647&amp;"|Operations - Core Title"),CHAR(10), IF(ISBLANK('Ingest Template'!P647),"", 'Ingest Template'!P647&amp;"|Operations - Core Title"),CHAR(10), IF(ISBLANK('Ingest Template'!Q647),"", 'Ingest Template'!Q647&amp;"|Operations - Core Title"))))</f>
        <v>#|Operations - Core Title
#videoGame|Operations - Core Title
</v>
      </c>
      <c r="AH648" s="25"/>
      <c r="AI648" s="25"/>
      <c r="AJ648" s="50" t="str">
        <f>if('Ingest Template'!A647="Standard",'Ingest Template'!R647&amp; "|DAR|DAR|2021-01-01",'Ingest Template'!R647&amp; "|Operations - Core Title|Operations - Core Title")</f>
        <v>#N/A</v>
      </c>
      <c r="AK648" s="25"/>
      <c r="AL648" s="25" t="str">
        <f>if('Ingest Template'!A647="Standard",'Ingest Template'!S647&amp; "|2021-01-01",'Ingest Template'!S647)</f>
        <v>#N/A</v>
      </c>
      <c r="AM648" s="25"/>
    </row>
    <row r="649">
      <c r="A649" s="25"/>
      <c r="B649" s="25" t="str">
        <f>'Ingest Template'!C648&amp;IF('Ingest Template'!A648 = "Standard", " - DAR","")</f>
        <v/>
      </c>
      <c r="C649" s="34" t="s">
        <v>92</v>
      </c>
      <c r="D649" s="34" t="str">
        <f>CONCATENATE('Ingest Template'!E649&amp;Char(10)&amp;'Ingest Template'!G649&amp;Char(10)&amp;'Ingest Template'!H649&amp;Char(10)&amp;'Ingest Template'!I649&amp;Char(10)&amp;'Ingest Template'!J649&amp;Char(10)&amp;'Ingest Template'!K649&amp;Char(10)&amp;'Ingest Template'!L649)</f>
        <v>
</v>
      </c>
      <c r="E649" s="25" t="str">
        <f>('Ingest Template'!M649)</f>
        <v/>
      </c>
      <c r="F649" s="40" t="str">
        <f t="array" ref="F649">INDEX(DropDown!$J$2:$J$63,MATCH(1,COUNTIF(E649,DropDown!$I$2:$I$63),0))</f>
        <v>#N/A</v>
      </c>
      <c r="G649" s="25"/>
      <c r="H649" s="25"/>
      <c r="I649" s="25"/>
      <c r="J649" s="25" t="str">
        <f>'Ingest Template'!B649</f>
        <v/>
      </c>
      <c r="K649" s="25" t="str">
        <f>IF('Ingest Template'!A648="Standard",'Ingest Template'!N648,"Competitive View")</f>
        <v>Competitive View</v>
      </c>
      <c r="L649" s="41" t="s">
        <v>145</v>
      </c>
      <c r="M649" s="25" t="str">
        <f>'Ingest Template'!D648</f>
        <v/>
      </c>
      <c r="N649" s="25"/>
      <c r="O649" s="25"/>
      <c r="P649" s="25"/>
      <c r="Q649" s="25"/>
      <c r="R649" s="25" t="str">
        <f>CONCATENATE('Ingest Template'!F648)</f>
        <v/>
      </c>
      <c r="S649" s="43" t="s">
        <v>160</v>
      </c>
      <c r="T649" s="25" t="str">
        <f>'Ingest Template'!W648</f>
        <v/>
      </c>
      <c r="U649" s="25"/>
      <c r="V649" s="25" t="str">
        <f>LOWER(SUBSTITUTE(SUBSTITUTE(SUBSTITUTE(SUBSTITUTE(SUBSTITUTE('Ingest Template'!Y648,"https:",""),"www.",""),"/",""),"?hl=en",""),"instagram.com",""))</f>
        <v/>
      </c>
      <c r="W649" s="34" t="str">
        <f>(IFERROR(vlookup('Ingest Template'!F649,DropDown!D:E,2,false)&amp;'Ingest Template'!C649,""))</f>
        <v/>
      </c>
      <c r="X649" s="25" t="str">
        <f>'Ingest Template'!AA648</f>
        <v/>
      </c>
      <c r="Y649" s="25"/>
      <c r="Z649" s="25"/>
      <c r="AA649" s="25"/>
      <c r="AB649" s="25" t="str">
        <f>'Ingest Template'!T648</f>
        <v/>
      </c>
      <c r="AC649" s="25"/>
      <c r="AD649" s="25" t="str">
        <f>'Ingest Template'!U648</f>
        <v/>
      </c>
      <c r="AE649" s="25" t="str">
        <f>'Ingest Template'!V648</f>
        <v/>
      </c>
      <c r="AF649" s="25"/>
      <c r="AG649" s="25" t="str">
        <f t="array" ref="AG649">IF('Ingest Template'!A648="Standard",(CONCATENATE(IF(ISBLANK('Ingest Template'!O648),"", 'Ingest Template'!O648&amp;"|DAR"),CHAR(10), IF(ISBLANK('Ingest Template'!P648),"", 'Ingest Template'!P648&amp;"|DAR"),CHAR(10), IF(ISBLANK('Ingest Template'!Q648),"", 'Ingest Template'!Q648&amp;"|DAR"))),(CONCATENATE(IF(ISBLANK('Ingest Template'!O648),"", 'Ingest Template'!O648&amp;"|Operations - Core Title"),CHAR(10), IF(ISBLANK('Ingest Template'!P648),"", 'Ingest Template'!P648&amp;"|Operations - Core Title"),CHAR(10), IF(ISBLANK('Ingest Template'!Q648),"", 'Ingest Template'!Q648&amp;"|Operations - Core Title"))))</f>
        <v>#|Operations - Core Title
#videoGame|Operations - Core Title
</v>
      </c>
      <c r="AH649" s="25"/>
      <c r="AI649" s="25"/>
      <c r="AJ649" s="50" t="str">
        <f>if('Ingest Template'!A648="Standard",'Ingest Template'!R648&amp; "|DAR|DAR|2021-01-01",'Ingest Template'!R648&amp; "|Operations - Core Title|Operations - Core Title")</f>
        <v>#N/A</v>
      </c>
      <c r="AK649" s="25"/>
      <c r="AL649" s="25" t="str">
        <f>if('Ingest Template'!A648="Standard",'Ingest Template'!S648&amp; "|2021-01-01",'Ingest Template'!S648)</f>
        <v>#N/A</v>
      </c>
      <c r="AM649" s="25"/>
    </row>
    <row r="650">
      <c r="A650" s="25"/>
      <c r="B650" s="25" t="str">
        <f>'Ingest Template'!C649&amp;IF('Ingest Template'!A649 = "Standard", " - DAR","")</f>
        <v/>
      </c>
      <c r="C650" s="34" t="s">
        <v>92</v>
      </c>
      <c r="D650" s="34" t="str">
        <f>CONCATENATE('Ingest Template'!E650&amp;Char(10)&amp;'Ingest Template'!G650&amp;Char(10)&amp;'Ingest Template'!H650&amp;Char(10)&amp;'Ingest Template'!I650&amp;Char(10)&amp;'Ingest Template'!J650&amp;Char(10)&amp;'Ingest Template'!K650&amp;Char(10)&amp;'Ingest Template'!L650)</f>
        <v>
</v>
      </c>
      <c r="E650" s="25" t="str">
        <f>('Ingest Template'!M650)</f>
        <v/>
      </c>
      <c r="F650" s="40" t="str">
        <f t="array" ref="F650">INDEX(DropDown!$J$2:$J$63,MATCH(1,COUNTIF(E650,DropDown!$I$2:$I$63),0))</f>
        <v>#N/A</v>
      </c>
      <c r="G650" s="25"/>
      <c r="H650" s="25"/>
      <c r="I650" s="25"/>
      <c r="J650" s="25" t="str">
        <f>'Ingest Template'!B650</f>
        <v/>
      </c>
      <c r="K650" s="25" t="str">
        <f>IF('Ingest Template'!A649="Standard",'Ingest Template'!N649,"Competitive View")</f>
        <v>Competitive View</v>
      </c>
      <c r="L650" s="41" t="s">
        <v>145</v>
      </c>
      <c r="M650" s="25" t="str">
        <f>'Ingest Template'!D649</f>
        <v/>
      </c>
      <c r="N650" s="25"/>
      <c r="O650" s="25"/>
      <c r="P650" s="25"/>
      <c r="Q650" s="25"/>
      <c r="R650" s="25" t="str">
        <f>CONCATENATE('Ingest Template'!F649)</f>
        <v/>
      </c>
      <c r="S650" s="43" t="s">
        <v>160</v>
      </c>
      <c r="T650" s="25" t="str">
        <f>'Ingest Template'!W649</f>
        <v/>
      </c>
      <c r="U650" s="25"/>
      <c r="V650" s="25" t="str">
        <f>LOWER(SUBSTITUTE(SUBSTITUTE(SUBSTITUTE(SUBSTITUTE(SUBSTITUTE('Ingest Template'!Y649,"https:",""),"www.",""),"/",""),"?hl=en",""),"instagram.com",""))</f>
        <v/>
      </c>
      <c r="W650" s="34" t="str">
        <f>(IFERROR(vlookup('Ingest Template'!F650,DropDown!D:E,2,false)&amp;'Ingest Template'!C650,""))</f>
        <v/>
      </c>
      <c r="X650" s="25" t="str">
        <f>'Ingest Template'!AA649</f>
        <v/>
      </c>
      <c r="Y650" s="25"/>
      <c r="Z650" s="25"/>
      <c r="AA650" s="25"/>
      <c r="AB650" s="25" t="str">
        <f>'Ingest Template'!T649</f>
        <v/>
      </c>
      <c r="AC650" s="25"/>
      <c r="AD650" s="25" t="str">
        <f>'Ingest Template'!U649</f>
        <v/>
      </c>
      <c r="AE650" s="25" t="str">
        <f>'Ingest Template'!V649</f>
        <v/>
      </c>
      <c r="AF650" s="25"/>
      <c r="AG650" s="25" t="str">
        <f t="array" ref="AG650">IF('Ingest Template'!A649="Standard",(CONCATENATE(IF(ISBLANK('Ingest Template'!O649),"", 'Ingest Template'!O649&amp;"|DAR"),CHAR(10), IF(ISBLANK('Ingest Template'!P649),"", 'Ingest Template'!P649&amp;"|DAR"),CHAR(10), IF(ISBLANK('Ingest Template'!Q649),"", 'Ingest Template'!Q649&amp;"|DAR"))),(CONCATENATE(IF(ISBLANK('Ingest Template'!O649),"", 'Ingest Template'!O649&amp;"|Operations - Core Title"),CHAR(10), IF(ISBLANK('Ingest Template'!P649),"", 'Ingest Template'!P649&amp;"|Operations - Core Title"),CHAR(10), IF(ISBLANK('Ingest Template'!Q649),"", 'Ingest Template'!Q649&amp;"|Operations - Core Title"))))</f>
        <v>#|Operations - Core Title
#videoGame|Operations - Core Title
</v>
      </c>
      <c r="AH650" s="25"/>
      <c r="AI650" s="25"/>
      <c r="AJ650" s="50" t="str">
        <f>if('Ingest Template'!A649="Standard",'Ingest Template'!R649&amp; "|DAR|DAR|2021-01-01",'Ingest Template'!R649&amp; "|Operations - Core Title|Operations - Core Title")</f>
        <v>#N/A</v>
      </c>
      <c r="AK650" s="25"/>
      <c r="AL650" s="25" t="str">
        <f>if('Ingest Template'!A649="Standard",'Ingest Template'!S649&amp; "|2021-01-01",'Ingest Template'!S649)</f>
        <v>#N/A</v>
      </c>
      <c r="AM650" s="25"/>
    </row>
    <row r="651">
      <c r="A651" s="25"/>
      <c r="B651" s="25" t="str">
        <f>'Ingest Template'!C650&amp;IF('Ingest Template'!A650 = "Standard", " - DAR","")</f>
        <v/>
      </c>
      <c r="C651" s="34" t="s">
        <v>92</v>
      </c>
      <c r="D651" s="34" t="str">
        <f>CONCATENATE('Ingest Template'!E651&amp;Char(10)&amp;'Ingest Template'!G651&amp;Char(10)&amp;'Ingest Template'!H651&amp;Char(10)&amp;'Ingest Template'!I651&amp;Char(10)&amp;'Ingest Template'!J651&amp;Char(10)&amp;'Ingest Template'!K651&amp;Char(10)&amp;'Ingest Template'!L651)</f>
        <v>
</v>
      </c>
      <c r="E651" s="25" t="str">
        <f>('Ingest Template'!M651)</f>
        <v/>
      </c>
      <c r="F651" s="40" t="str">
        <f t="array" ref="F651">INDEX(DropDown!$J$2:$J$63,MATCH(1,COUNTIF(E651,DropDown!$I$2:$I$63),0))</f>
        <v>#N/A</v>
      </c>
      <c r="G651" s="25"/>
      <c r="H651" s="25"/>
      <c r="I651" s="25"/>
      <c r="J651" s="25" t="str">
        <f>'Ingest Template'!B651</f>
        <v/>
      </c>
      <c r="K651" s="25" t="str">
        <f>IF('Ingest Template'!A650="Standard",'Ingest Template'!N650,"Competitive View")</f>
        <v>Competitive View</v>
      </c>
      <c r="L651" s="41" t="s">
        <v>145</v>
      </c>
      <c r="M651" s="25" t="str">
        <f>'Ingest Template'!D650</f>
        <v/>
      </c>
      <c r="N651" s="25"/>
      <c r="O651" s="25"/>
      <c r="P651" s="25"/>
      <c r="Q651" s="25"/>
      <c r="R651" s="25" t="str">
        <f>CONCATENATE('Ingest Template'!F650)</f>
        <v/>
      </c>
      <c r="S651" s="43" t="s">
        <v>160</v>
      </c>
      <c r="T651" s="25" t="str">
        <f>'Ingest Template'!W650</f>
        <v/>
      </c>
      <c r="U651" s="25"/>
      <c r="V651" s="25" t="str">
        <f>LOWER(SUBSTITUTE(SUBSTITUTE(SUBSTITUTE(SUBSTITUTE(SUBSTITUTE('Ingest Template'!Y650,"https:",""),"www.",""),"/",""),"?hl=en",""),"instagram.com",""))</f>
        <v/>
      </c>
      <c r="W651" s="34" t="str">
        <f>(IFERROR(vlookup('Ingest Template'!F651,DropDown!D:E,2,false)&amp;'Ingest Template'!C651,""))</f>
        <v/>
      </c>
      <c r="X651" s="25" t="str">
        <f>'Ingest Template'!AA650</f>
        <v/>
      </c>
      <c r="Y651" s="25"/>
      <c r="Z651" s="25"/>
      <c r="AA651" s="25"/>
      <c r="AB651" s="25" t="str">
        <f>'Ingest Template'!T650</f>
        <v/>
      </c>
      <c r="AC651" s="25"/>
      <c r="AD651" s="25" t="str">
        <f>'Ingest Template'!U650</f>
        <v/>
      </c>
      <c r="AE651" s="25" t="str">
        <f>'Ingest Template'!V650</f>
        <v/>
      </c>
      <c r="AF651" s="25"/>
      <c r="AG651" s="25" t="str">
        <f t="array" ref="AG651">IF('Ingest Template'!A650="Standard",(CONCATENATE(IF(ISBLANK('Ingest Template'!O650),"", 'Ingest Template'!O650&amp;"|DAR"),CHAR(10), IF(ISBLANK('Ingest Template'!P650),"", 'Ingest Template'!P650&amp;"|DAR"),CHAR(10), IF(ISBLANK('Ingest Template'!Q650),"", 'Ingest Template'!Q650&amp;"|DAR"))),(CONCATENATE(IF(ISBLANK('Ingest Template'!O650),"", 'Ingest Template'!O650&amp;"|Operations - Core Title"),CHAR(10), IF(ISBLANK('Ingest Template'!P650),"", 'Ingest Template'!P650&amp;"|Operations - Core Title"),CHAR(10), IF(ISBLANK('Ingest Template'!Q650),"", 'Ingest Template'!Q650&amp;"|Operations - Core Title"))))</f>
        <v>#|Operations - Core Title
#videoGame|Operations - Core Title
</v>
      </c>
      <c r="AH651" s="25"/>
      <c r="AI651" s="25"/>
      <c r="AJ651" s="50" t="str">
        <f>if('Ingest Template'!A650="Standard",'Ingest Template'!R650&amp; "|DAR|DAR|2021-01-01",'Ingest Template'!R650&amp; "|Operations - Core Title|Operations - Core Title")</f>
        <v>#N/A</v>
      </c>
      <c r="AK651" s="25"/>
      <c r="AL651" s="25" t="str">
        <f>if('Ingest Template'!A650="Standard",'Ingest Template'!S650&amp; "|2021-01-01",'Ingest Template'!S650)</f>
        <v>#N/A</v>
      </c>
      <c r="AM651" s="25"/>
    </row>
    <row r="652">
      <c r="A652" s="25"/>
      <c r="B652" s="25" t="str">
        <f>'Ingest Template'!C651&amp;IF('Ingest Template'!A651 = "Standard", " - DAR","")</f>
        <v/>
      </c>
      <c r="C652" s="34" t="s">
        <v>92</v>
      </c>
      <c r="D652" s="34" t="str">
        <f>CONCATENATE('Ingest Template'!E652&amp;Char(10)&amp;'Ingest Template'!G652&amp;Char(10)&amp;'Ingest Template'!H652&amp;Char(10)&amp;'Ingest Template'!I652&amp;Char(10)&amp;'Ingest Template'!J652&amp;Char(10)&amp;'Ingest Template'!K652&amp;Char(10)&amp;'Ingest Template'!L652)</f>
        <v>
</v>
      </c>
      <c r="E652" s="25" t="str">
        <f>('Ingest Template'!M652)</f>
        <v/>
      </c>
      <c r="F652" s="40" t="str">
        <f t="array" ref="F652">INDEX(DropDown!$J$2:$J$63,MATCH(1,COUNTIF(E652,DropDown!$I$2:$I$63),0))</f>
        <v>#N/A</v>
      </c>
      <c r="G652" s="25"/>
      <c r="H652" s="25"/>
      <c r="I652" s="25"/>
      <c r="J652" s="25" t="str">
        <f>'Ingest Template'!B652</f>
        <v/>
      </c>
      <c r="K652" s="25" t="str">
        <f>IF('Ingest Template'!A651="Standard",'Ingest Template'!N651,"Competitive View")</f>
        <v>Competitive View</v>
      </c>
      <c r="L652" s="41" t="s">
        <v>145</v>
      </c>
      <c r="M652" s="25" t="str">
        <f>'Ingest Template'!D651</f>
        <v/>
      </c>
      <c r="N652" s="25"/>
      <c r="O652" s="25"/>
      <c r="P652" s="25"/>
      <c r="Q652" s="25"/>
      <c r="R652" s="25" t="str">
        <f>CONCATENATE('Ingest Template'!F651)</f>
        <v/>
      </c>
      <c r="S652" s="43" t="s">
        <v>160</v>
      </c>
      <c r="T652" s="25" t="str">
        <f>'Ingest Template'!W651</f>
        <v/>
      </c>
      <c r="U652" s="25"/>
      <c r="V652" s="25" t="str">
        <f>LOWER(SUBSTITUTE(SUBSTITUTE(SUBSTITUTE(SUBSTITUTE(SUBSTITUTE('Ingest Template'!Y651,"https:",""),"www.",""),"/",""),"?hl=en",""),"instagram.com",""))</f>
        <v/>
      </c>
      <c r="W652" s="34" t="str">
        <f>(IFERROR(vlookup('Ingest Template'!F652,DropDown!D:E,2,false)&amp;'Ingest Template'!C652,""))</f>
        <v/>
      </c>
      <c r="X652" s="25" t="str">
        <f>'Ingest Template'!AA651</f>
        <v/>
      </c>
      <c r="Y652" s="25"/>
      <c r="Z652" s="25"/>
      <c r="AA652" s="25"/>
      <c r="AB652" s="25" t="str">
        <f>'Ingest Template'!T651</f>
        <v/>
      </c>
      <c r="AC652" s="25"/>
      <c r="AD652" s="25" t="str">
        <f>'Ingest Template'!U651</f>
        <v/>
      </c>
      <c r="AE652" s="25" t="str">
        <f>'Ingest Template'!V651</f>
        <v/>
      </c>
      <c r="AF652" s="25"/>
      <c r="AG652" s="25" t="str">
        <f t="array" ref="AG652">IF('Ingest Template'!A651="Standard",(CONCATENATE(IF(ISBLANK('Ingest Template'!O651),"", 'Ingest Template'!O651&amp;"|DAR"),CHAR(10), IF(ISBLANK('Ingest Template'!P651),"", 'Ingest Template'!P651&amp;"|DAR"),CHAR(10), IF(ISBLANK('Ingest Template'!Q651),"", 'Ingest Template'!Q651&amp;"|DAR"))),(CONCATENATE(IF(ISBLANK('Ingest Template'!O651),"", 'Ingest Template'!O651&amp;"|Operations - Core Title"),CHAR(10), IF(ISBLANK('Ingest Template'!P651),"", 'Ingest Template'!P651&amp;"|Operations - Core Title"),CHAR(10), IF(ISBLANK('Ingest Template'!Q651),"", 'Ingest Template'!Q651&amp;"|Operations - Core Title"))))</f>
        <v>#|Operations - Core Title
#videoGame|Operations - Core Title
</v>
      </c>
      <c r="AH652" s="25"/>
      <c r="AI652" s="25"/>
      <c r="AJ652" s="50" t="str">
        <f>if('Ingest Template'!A651="Standard",'Ingest Template'!R651&amp; "|DAR|DAR|2021-01-01",'Ingest Template'!R651&amp; "|Operations - Core Title|Operations - Core Title")</f>
        <v>#N/A</v>
      </c>
      <c r="AK652" s="25"/>
      <c r="AL652" s="25" t="str">
        <f>if('Ingest Template'!A651="Standard",'Ingest Template'!S651&amp; "|2021-01-01",'Ingest Template'!S651)</f>
        <v>#N/A</v>
      </c>
      <c r="AM652" s="25"/>
    </row>
    <row r="653">
      <c r="A653" s="25"/>
      <c r="B653" s="25" t="str">
        <f>'Ingest Template'!C652&amp;IF('Ingest Template'!A652 = "Standard", " - DAR","")</f>
        <v/>
      </c>
      <c r="C653" s="34" t="s">
        <v>92</v>
      </c>
      <c r="D653" s="34" t="str">
        <f>CONCATENATE('Ingest Template'!E653&amp;Char(10)&amp;'Ingest Template'!G653&amp;Char(10)&amp;'Ingest Template'!H653&amp;Char(10)&amp;'Ingest Template'!I653&amp;Char(10)&amp;'Ingest Template'!J653&amp;Char(10)&amp;'Ingest Template'!K653&amp;Char(10)&amp;'Ingest Template'!L653)</f>
        <v>
</v>
      </c>
      <c r="E653" s="25" t="str">
        <f>('Ingest Template'!M653)</f>
        <v/>
      </c>
      <c r="F653" s="40" t="str">
        <f t="array" ref="F653">INDEX(DropDown!$J$2:$J$63,MATCH(1,COUNTIF(E653,DropDown!$I$2:$I$63),0))</f>
        <v>#N/A</v>
      </c>
      <c r="G653" s="25"/>
      <c r="H653" s="25"/>
      <c r="I653" s="25"/>
      <c r="J653" s="25" t="str">
        <f>'Ingest Template'!B653</f>
        <v/>
      </c>
      <c r="K653" s="25" t="str">
        <f>IF('Ingest Template'!A652="Standard",'Ingest Template'!N652,"Competitive View")</f>
        <v>Competitive View</v>
      </c>
      <c r="L653" s="41" t="s">
        <v>145</v>
      </c>
      <c r="M653" s="25" t="str">
        <f>'Ingest Template'!D652</f>
        <v/>
      </c>
      <c r="N653" s="25"/>
      <c r="O653" s="25"/>
      <c r="P653" s="25"/>
      <c r="Q653" s="25"/>
      <c r="R653" s="25" t="str">
        <f>CONCATENATE('Ingest Template'!F652)</f>
        <v/>
      </c>
      <c r="S653" s="43" t="s">
        <v>160</v>
      </c>
      <c r="T653" s="25" t="str">
        <f>'Ingest Template'!W652</f>
        <v/>
      </c>
      <c r="U653" s="25"/>
      <c r="V653" s="25" t="str">
        <f>LOWER(SUBSTITUTE(SUBSTITUTE(SUBSTITUTE(SUBSTITUTE(SUBSTITUTE('Ingest Template'!Y652,"https:",""),"www.",""),"/",""),"?hl=en",""),"instagram.com",""))</f>
        <v/>
      </c>
      <c r="W653" s="34" t="str">
        <f>(IFERROR(vlookup('Ingest Template'!F653,DropDown!D:E,2,false)&amp;'Ingest Template'!C653,""))</f>
        <v/>
      </c>
      <c r="X653" s="25" t="str">
        <f>'Ingest Template'!AA652</f>
        <v/>
      </c>
      <c r="Y653" s="25"/>
      <c r="Z653" s="25"/>
      <c r="AA653" s="25"/>
      <c r="AB653" s="25" t="str">
        <f>'Ingest Template'!T652</f>
        <v/>
      </c>
      <c r="AC653" s="25"/>
      <c r="AD653" s="25" t="str">
        <f>'Ingest Template'!U652</f>
        <v/>
      </c>
      <c r="AE653" s="25" t="str">
        <f>'Ingest Template'!V652</f>
        <v/>
      </c>
      <c r="AF653" s="25"/>
      <c r="AG653" s="25" t="str">
        <f t="array" ref="AG653">IF('Ingest Template'!A652="Standard",(CONCATENATE(IF(ISBLANK('Ingest Template'!O652),"", 'Ingest Template'!O652&amp;"|DAR"),CHAR(10), IF(ISBLANK('Ingest Template'!P652),"", 'Ingest Template'!P652&amp;"|DAR"),CHAR(10), IF(ISBLANK('Ingest Template'!Q652),"", 'Ingest Template'!Q652&amp;"|DAR"))),(CONCATENATE(IF(ISBLANK('Ingest Template'!O652),"", 'Ingest Template'!O652&amp;"|Operations - Core Title"),CHAR(10), IF(ISBLANK('Ingest Template'!P652),"", 'Ingest Template'!P652&amp;"|Operations - Core Title"),CHAR(10), IF(ISBLANK('Ingest Template'!Q652),"", 'Ingest Template'!Q652&amp;"|Operations - Core Title"))))</f>
        <v>#|Operations - Core Title
#videoGame|Operations - Core Title
</v>
      </c>
      <c r="AH653" s="25"/>
      <c r="AI653" s="25"/>
      <c r="AJ653" s="50" t="str">
        <f>if('Ingest Template'!A652="Standard",'Ingest Template'!R652&amp; "|DAR|DAR|2021-01-01",'Ingest Template'!R652&amp; "|Operations - Core Title|Operations - Core Title")</f>
        <v>#N/A</v>
      </c>
      <c r="AK653" s="25"/>
      <c r="AL653" s="25" t="str">
        <f>if('Ingest Template'!A652="Standard",'Ingest Template'!S652&amp; "|2021-01-01",'Ingest Template'!S652)</f>
        <v>#N/A</v>
      </c>
      <c r="AM653" s="25"/>
    </row>
    <row r="654">
      <c r="A654" s="25"/>
      <c r="B654" s="25" t="str">
        <f>'Ingest Template'!C653&amp;IF('Ingest Template'!A653 = "Standard", " - DAR","")</f>
        <v/>
      </c>
      <c r="C654" s="34" t="s">
        <v>92</v>
      </c>
      <c r="D654" s="34" t="str">
        <f>CONCATENATE('Ingest Template'!E654&amp;Char(10)&amp;'Ingest Template'!G654&amp;Char(10)&amp;'Ingest Template'!H654&amp;Char(10)&amp;'Ingest Template'!I654&amp;Char(10)&amp;'Ingest Template'!J654&amp;Char(10)&amp;'Ingest Template'!K654&amp;Char(10)&amp;'Ingest Template'!L654)</f>
        <v>
</v>
      </c>
      <c r="E654" s="25" t="str">
        <f>('Ingest Template'!M654)</f>
        <v/>
      </c>
      <c r="F654" s="40" t="str">
        <f t="array" ref="F654">INDEX(DropDown!$J$2:$J$63,MATCH(1,COUNTIF(E654,DropDown!$I$2:$I$63),0))</f>
        <v>#N/A</v>
      </c>
      <c r="G654" s="25"/>
      <c r="H654" s="25"/>
      <c r="I654" s="25"/>
      <c r="J654" s="25" t="str">
        <f>'Ingest Template'!B654</f>
        <v/>
      </c>
      <c r="K654" s="25" t="str">
        <f>IF('Ingest Template'!A653="Standard",'Ingest Template'!N653,"Competitive View")</f>
        <v>Competitive View</v>
      </c>
      <c r="L654" s="41" t="s">
        <v>145</v>
      </c>
      <c r="M654" s="25" t="str">
        <f>'Ingest Template'!D653</f>
        <v/>
      </c>
      <c r="N654" s="25"/>
      <c r="O654" s="25"/>
      <c r="P654" s="25"/>
      <c r="Q654" s="25"/>
      <c r="R654" s="25" t="str">
        <f>CONCATENATE('Ingest Template'!F653)</f>
        <v/>
      </c>
      <c r="S654" s="43" t="s">
        <v>160</v>
      </c>
      <c r="T654" s="25" t="str">
        <f>'Ingest Template'!W653</f>
        <v/>
      </c>
      <c r="U654" s="25"/>
      <c r="V654" s="25" t="str">
        <f>LOWER(SUBSTITUTE(SUBSTITUTE(SUBSTITUTE(SUBSTITUTE(SUBSTITUTE('Ingest Template'!Y653,"https:",""),"www.",""),"/",""),"?hl=en",""),"instagram.com",""))</f>
        <v/>
      </c>
      <c r="W654" s="34" t="str">
        <f>(IFERROR(vlookup('Ingest Template'!F654,DropDown!D:E,2,false)&amp;'Ingest Template'!C654,""))</f>
        <v/>
      </c>
      <c r="X654" s="25" t="str">
        <f>'Ingest Template'!AA653</f>
        <v/>
      </c>
      <c r="Y654" s="25"/>
      <c r="Z654" s="25"/>
      <c r="AA654" s="25"/>
      <c r="AB654" s="25" t="str">
        <f>'Ingest Template'!T653</f>
        <v/>
      </c>
      <c r="AC654" s="25"/>
      <c r="AD654" s="25" t="str">
        <f>'Ingest Template'!U653</f>
        <v/>
      </c>
      <c r="AE654" s="25" t="str">
        <f>'Ingest Template'!V653</f>
        <v/>
      </c>
      <c r="AF654" s="25"/>
      <c r="AG654" s="25" t="str">
        <f t="array" ref="AG654">IF('Ingest Template'!A653="Standard",(CONCATENATE(IF(ISBLANK('Ingest Template'!O653),"", 'Ingest Template'!O653&amp;"|DAR"),CHAR(10), IF(ISBLANK('Ingest Template'!P653),"", 'Ingest Template'!P653&amp;"|DAR"),CHAR(10), IF(ISBLANK('Ingest Template'!Q653),"", 'Ingest Template'!Q653&amp;"|DAR"))),(CONCATENATE(IF(ISBLANK('Ingest Template'!O653),"", 'Ingest Template'!O653&amp;"|Operations - Core Title"),CHAR(10), IF(ISBLANK('Ingest Template'!P653),"", 'Ingest Template'!P653&amp;"|Operations - Core Title"),CHAR(10), IF(ISBLANK('Ingest Template'!Q653),"", 'Ingest Template'!Q653&amp;"|Operations - Core Title"))))</f>
        <v>#|Operations - Core Title
#videoGame|Operations - Core Title
</v>
      </c>
      <c r="AH654" s="25"/>
      <c r="AI654" s="25"/>
      <c r="AJ654" s="50" t="str">
        <f>if('Ingest Template'!A653="Standard",'Ingest Template'!R653&amp; "|DAR|DAR|2021-01-01",'Ingest Template'!R653&amp; "|Operations - Core Title|Operations - Core Title")</f>
        <v>#N/A</v>
      </c>
      <c r="AK654" s="25"/>
      <c r="AL654" s="25" t="str">
        <f>if('Ingest Template'!A653="Standard",'Ingest Template'!S653&amp; "|2021-01-01",'Ingest Template'!S653)</f>
        <v>#N/A</v>
      </c>
      <c r="AM654" s="25"/>
    </row>
    <row r="655">
      <c r="A655" s="25"/>
      <c r="B655" s="25" t="str">
        <f>'Ingest Template'!C654&amp;IF('Ingest Template'!A654 = "Standard", " - DAR","")</f>
        <v/>
      </c>
      <c r="C655" s="34" t="s">
        <v>92</v>
      </c>
      <c r="D655" s="34" t="str">
        <f>CONCATENATE('Ingest Template'!E655&amp;Char(10)&amp;'Ingest Template'!G655&amp;Char(10)&amp;'Ingest Template'!H655&amp;Char(10)&amp;'Ingest Template'!I655&amp;Char(10)&amp;'Ingest Template'!J655&amp;Char(10)&amp;'Ingest Template'!K655&amp;Char(10)&amp;'Ingest Template'!L655)</f>
        <v>
</v>
      </c>
      <c r="E655" s="25" t="str">
        <f>('Ingest Template'!M655)</f>
        <v/>
      </c>
      <c r="F655" s="40" t="str">
        <f t="array" ref="F655">INDEX(DropDown!$J$2:$J$63,MATCH(1,COUNTIF(E655,DropDown!$I$2:$I$63),0))</f>
        <v>#N/A</v>
      </c>
      <c r="G655" s="25"/>
      <c r="H655" s="25"/>
      <c r="I655" s="25"/>
      <c r="J655" s="25" t="str">
        <f>'Ingest Template'!B655</f>
        <v/>
      </c>
      <c r="K655" s="25" t="str">
        <f>IF('Ingest Template'!A654="Standard",'Ingest Template'!N654,"Competitive View")</f>
        <v>Competitive View</v>
      </c>
      <c r="L655" s="41" t="s">
        <v>145</v>
      </c>
      <c r="M655" s="25" t="str">
        <f>'Ingest Template'!D654</f>
        <v/>
      </c>
      <c r="N655" s="25"/>
      <c r="O655" s="25"/>
      <c r="P655" s="25"/>
      <c r="Q655" s="25"/>
      <c r="R655" s="25" t="str">
        <f>CONCATENATE('Ingest Template'!F654)</f>
        <v/>
      </c>
      <c r="S655" s="43" t="s">
        <v>160</v>
      </c>
      <c r="T655" s="25" t="str">
        <f>'Ingest Template'!W654</f>
        <v/>
      </c>
      <c r="U655" s="25"/>
      <c r="V655" s="25" t="str">
        <f>LOWER(SUBSTITUTE(SUBSTITUTE(SUBSTITUTE(SUBSTITUTE(SUBSTITUTE('Ingest Template'!Y654,"https:",""),"www.",""),"/",""),"?hl=en",""),"instagram.com",""))</f>
        <v/>
      </c>
      <c r="W655" s="34" t="str">
        <f>(IFERROR(vlookup('Ingest Template'!F655,DropDown!D:E,2,false)&amp;'Ingest Template'!C655,""))</f>
        <v/>
      </c>
      <c r="X655" s="25" t="str">
        <f>'Ingest Template'!AA654</f>
        <v/>
      </c>
      <c r="Y655" s="25"/>
      <c r="Z655" s="25"/>
      <c r="AA655" s="25"/>
      <c r="AB655" s="25" t="str">
        <f>'Ingest Template'!T654</f>
        <v/>
      </c>
      <c r="AC655" s="25"/>
      <c r="AD655" s="25" t="str">
        <f>'Ingest Template'!U654</f>
        <v/>
      </c>
      <c r="AE655" s="25" t="str">
        <f>'Ingest Template'!V654</f>
        <v/>
      </c>
      <c r="AF655" s="25"/>
      <c r="AG655" s="25" t="str">
        <f t="array" ref="AG655">IF('Ingest Template'!A654="Standard",(CONCATENATE(IF(ISBLANK('Ingest Template'!O654),"", 'Ingest Template'!O654&amp;"|DAR"),CHAR(10), IF(ISBLANK('Ingest Template'!P654),"", 'Ingest Template'!P654&amp;"|DAR"),CHAR(10), IF(ISBLANK('Ingest Template'!Q654),"", 'Ingest Template'!Q654&amp;"|DAR"))),(CONCATENATE(IF(ISBLANK('Ingest Template'!O654),"", 'Ingest Template'!O654&amp;"|Operations - Core Title"),CHAR(10), IF(ISBLANK('Ingest Template'!P654),"", 'Ingest Template'!P654&amp;"|Operations - Core Title"),CHAR(10), IF(ISBLANK('Ingest Template'!Q654),"", 'Ingest Template'!Q654&amp;"|Operations - Core Title"))))</f>
        <v>#|Operations - Core Title
#videoGame|Operations - Core Title
</v>
      </c>
      <c r="AH655" s="25"/>
      <c r="AI655" s="25"/>
      <c r="AJ655" s="50" t="str">
        <f>if('Ingest Template'!A654="Standard",'Ingest Template'!R654&amp; "|DAR|DAR|2021-01-01",'Ingest Template'!R654&amp; "|Operations - Core Title|Operations - Core Title")</f>
        <v>#N/A</v>
      </c>
      <c r="AK655" s="25"/>
      <c r="AL655" s="25" t="str">
        <f>if('Ingest Template'!A654="Standard",'Ingest Template'!S654&amp; "|2021-01-01",'Ingest Template'!S654)</f>
        <v>#N/A</v>
      </c>
      <c r="AM655" s="25"/>
    </row>
    <row r="656">
      <c r="A656" s="25"/>
      <c r="B656" s="25" t="str">
        <f>'Ingest Template'!C655&amp;IF('Ingest Template'!A655 = "Standard", " - DAR","")</f>
        <v/>
      </c>
      <c r="C656" s="34" t="s">
        <v>92</v>
      </c>
      <c r="D656" s="34" t="str">
        <f>CONCATENATE('Ingest Template'!E656&amp;Char(10)&amp;'Ingest Template'!G656&amp;Char(10)&amp;'Ingest Template'!H656&amp;Char(10)&amp;'Ingest Template'!I656&amp;Char(10)&amp;'Ingest Template'!J656&amp;Char(10)&amp;'Ingest Template'!K656&amp;Char(10)&amp;'Ingest Template'!L656)</f>
        <v>
</v>
      </c>
      <c r="E656" s="25" t="str">
        <f>('Ingest Template'!M656)</f>
        <v/>
      </c>
      <c r="F656" s="40" t="str">
        <f t="array" ref="F656">INDEX(DropDown!$J$2:$J$63,MATCH(1,COUNTIF(E656,DropDown!$I$2:$I$63),0))</f>
        <v>#N/A</v>
      </c>
      <c r="G656" s="25"/>
      <c r="H656" s="25"/>
      <c r="I656" s="25"/>
      <c r="J656" s="25" t="str">
        <f>'Ingest Template'!B656</f>
        <v/>
      </c>
      <c r="K656" s="25" t="str">
        <f>IF('Ingest Template'!A655="Standard",'Ingest Template'!N655,"Competitive View")</f>
        <v>Competitive View</v>
      </c>
      <c r="L656" s="41" t="s">
        <v>145</v>
      </c>
      <c r="M656" s="25" t="str">
        <f>'Ingest Template'!D655</f>
        <v/>
      </c>
      <c r="N656" s="25"/>
      <c r="O656" s="25"/>
      <c r="P656" s="25"/>
      <c r="Q656" s="25"/>
      <c r="R656" s="25" t="str">
        <f>CONCATENATE('Ingest Template'!F655)</f>
        <v/>
      </c>
      <c r="S656" s="43" t="s">
        <v>160</v>
      </c>
      <c r="T656" s="25" t="str">
        <f>'Ingest Template'!W655</f>
        <v/>
      </c>
      <c r="U656" s="25"/>
      <c r="V656" s="25" t="str">
        <f>LOWER(SUBSTITUTE(SUBSTITUTE(SUBSTITUTE(SUBSTITUTE(SUBSTITUTE('Ingest Template'!Y655,"https:",""),"www.",""),"/",""),"?hl=en",""),"instagram.com",""))</f>
        <v/>
      </c>
      <c r="W656" s="34" t="str">
        <f>(IFERROR(vlookup('Ingest Template'!F656,DropDown!D:E,2,false)&amp;'Ingest Template'!C656,""))</f>
        <v/>
      </c>
      <c r="X656" s="25" t="str">
        <f>'Ingest Template'!AA655</f>
        <v/>
      </c>
      <c r="Y656" s="25"/>
      <c r="Z656" s="25"/>
      <c r="AA656" s="25"/>
      <c r="AB656" s="25" t="str">
        <f>'Ingest Template'!T655</f>
        <v/>
      </c>
      <c r="AC656" s="25"/>
      <c r="AD656" s="25" t="str">
        <f>'Ingest Template'!U655</f>
        <v/>
      </c>
      <c r="AE656" s="25" t="str">
        <f>'Ingest Template'!V655</f>
        <v/>
      </c>
      <c r="AF656" s="25"/>
      <c r="AG656" s="25" t="str">
        <f t="array" ref="AG656">IF('Ingest Template'!A655="Standard",(CONCATENATE(IF(ISBLANK('Ingest Template'!O655),"", 'Ingest Template'!O655&amp;"|DAR"),CHAR(10), IF(ISBLANK('Ingest Template'!P655),"", 'Ingest Template'!P655&amp;"|DAR"),CHAR(10), IF(ISBLANK('Ingest Template'!Q655),"", 'Ingest Template'!Q655&amp;"|DAR"))),(CONCATENATE(IF(ISBLANK('Ingest Template'!O655),"", 'Ingest Template'!O655&amp;"|Operations - Core Title"),CHAR(10), IF(ISBLANK('Ingest Template'!P655),"", 'Ingest Template'!P655&amp;"|Operations - Core Title"),CHAR(10), IF(ISBLANK('Ingest Template'!Q655),"", 'Ingest Template'!Q655&amp;"|Operations - Core Title"))))</f>
        <v>#|Operations - Core Title
#videoGame|Operations - Core Title
</v>
      </c>
      <c r="AH656" s="25"/>
      <c r="AI656" s="25"/>
      <c r="AJ656" s="50" t="str">
        <f>if('Ingest Template'!A655="Standard",'Ingest Template'!R655&amp; "|DAR|DAR|2021-01-01",'Ingest Template'!R655&amp; "|Operations - Core Title|Operations - Core Title")</f>
        <v>#N/A</v>
      </c>
      <c r="AK656" s="25"/>
      <c r="AL656" s="25" t="str">
        <f>if('Ingest Template'!A655="Standard",'Ingest Template'!S655&amp; "|2021-01-01",'Ingest Template'!S655)</f>
        <v>#N/A</v>
      </c>
      <c r="AM656" s="25"/>
    </row>
    <row r="657">
      <c r="A657" s="25"/>
      <c r="B657" s="25" t="str">
        <f>'Ingest Template'!C656&amp;IF('Ingest Template'!A656 = "Standard", " - DAR","")</f>
        <v/>
      </c>
      <c r="C657" s="34" t="s">
        <v>92</v>
      </c>
      <c r="D657" s="34" t="str">
        <f>CONCATENATE('Ingest Template'!E657&amp;Char(10)&amp;'Ingest Template'!G657&amp;Char(10)&amp;'Ingest Template'!H657&amp;Char(10)&amp;'Ingest Template'!I657&amp;Char(10)&amp;'Ingest Template'!J657&amp;Char(10)&amp;'Ingest Template'!K657&amp;Char(10)&amp;'Ingest Template'!L657)</f>
        <v>
</v>
      </c>
      <c r="E657" s="25" t="str">
        <f>('Ingest Template'!M657)</f>
        <v/>
      </c>
      <c r="F657" s="40" t="str">
        <f t="array" ref="F657">INDEX(DropDown!$J$2:$J$63,MATCH(1,COUNTIF(E657,DropDown!$I$2:$I$63),0))</f>
        <v>#N/A</v>
      </c>
      <c r="G657" s="25"/>
      <c r="H657" s="25"/>
      <c r="I657" s="25"/>
      <c r="J657" s="25" t="str">
        <f>'Ingest Template'!B657</f>
        <v/>
      </c>
      <c r="K657" s="25" t="str">
        <f>IF('Ingest Template'!A656="Standard",'Ingest Template'!N656,"Competitive View")</f>
        <v>Competitive View</v>
      </c>
      <c r="L657" s="41" t="s">
        <v>145</v>
      </c>
      <c r="M657" s="25" t="str">
        <f>'Ingest Template'!D656</f>
        <v/>
      </c>
      <c r="N657" s="25"/>
      <c r="O657" s="25"/>
      <c r="P657" s="25"/>
      <c r="Q657" s="25"/>
      <c r="R657" s="25" t="str">
        <f>CONCATENATE('Ingest Template'!F656)</f>
        <v/>
      </c>
      <c r="S657" s="43" t="s">
        <v>160</v>
      </c>
      <c r="T657" s="25" t="str">
        <f>'Ingest Template'!W656</f>
        <v/>
      </c>
      <c r="U657" s="25"/>
      <c r="V657" s="25" t="str">
        <f>LOWER(SUBSTITUTE(SUBSTITUTE(SUBSTITUTE(SUBSTITUTE(SUBSTITUTE('Ingest Template'!Y656,"https:",""),"www.",""),"/",""),"?hl=en",""),"instagram.com",""))</f>
        <v/>
      </c>
      <c r="W657" s="34" t="str">
        <f>(IFERROR(vlookup('Ingest Template'!F657,DropDown!D:E,2,false)&amp;'Ingest Template'!C657,""))</f>
        <v/>
      </c>
      <c r="X657" s="25" t="str">
        <f>'Ingest Template'!AA656</f>
        <v/>
      </c>
      <c r="Y657" s="25"/>
      <c r="Z657" s="25"/>
      <c r="AA657" s="25"/>
      <c r="AB657" s="25" t="str">
        <f>'Ingest Template'!T656</f>
        <v/>
      </c>
      <c r="AC657" s="25"/>
      <c r="AD657" s="25" t="str">
        <f>'Ingest Template'!U656</f>
        <v/>
      </c>
      <c r="AE657" s="25" t="str">
        <f>'Ingest Template'!V656</f>
        <v/>
      </c>
      <c r="AF657" s="25"/>
      <c r="AG657" s="25" t="str">
        <f t="array" ref="AG657">IF('Ingest Template'!A656="Standard",(CONCATENATE(IF(ISBLANK('Ingest Template'!O656),"", 'Ingest Template'!O656&amp;"|DAR"),CHAR(10), IF(ISBLANK('Ingest Template'!P656),"", 'Ingest Template'!P656&amp;"|DAR"),CHAR(10), IF(ISBLANK('Ingest Template'!Q656),"", 'Ingest Template'!Q656&amp;"|DAR"))),(CONCATENATE(IF(ISBLANK('Ingest Template'!O656),"", 'Ingest Template'!O656&amp;"|Operations - Core Title"),CHAR(10), IF(ISBLANK('Ingest Template'!P656),"", 'Ingest Template'!P656&amp;"|Operations - Core Title"),CHAR(10), IF(ISBLANK('Ingest Template'!Q656),"", 'Ingest Template'!Q656&amp;"|Operations - Core Title"))))</f>
        <v>#|Operations - Core Title
#videoGame|Operations - Core Title
</v>
      </c>
      <c r="AH657" s="25"/>
      <c r="AI657" s="25"/>
      <c r="AJ657" s="50" t="str">
        <f>if('Ingest Template'!A656="Standard",'Ingest Template'!R656&amp; "|DAR|DAR|2021-01-01",'Ingest Template'!R656&amp; "|Operations - Core Title|Operations - Core Title")</f>
        <v>#N/A</v>
      </c>
      <c r="AK657" s="25"/>
      <c r="AL657" s="25" t="str">
        <f>if('Ingest Template'!A656="Standard",'Ingest Template'!S656&amp; "|2021-01-01",'Ingest Template'!S656)</f>
        <v>#N/A</v>
      </c>
      <c r="AM657" s="25"/>
    </row>
    <row r="658">
      <c r="A658" s="25"/>
      <c r="B658" s="25" t="str">
        <f>'Ingest Template'!C657&amp;IF('Ingest Template'!A657 = "Standard", " - DAR","")</f>
        <v/>
      </c>
      <c r="C658" s="34" t="s">
        <v>92</v>
      </c>
      <c r="D658" s="34" t="str">
        <f>CONCATENATE('Ingest Template'!E658&amp;Char(10)&amp;'Ingest Template'!G658&amp;Char(10)&amp;'Ingest Template'!H658&amp;Char(10)&amp;'Ingest Template'!I658&amp;Char(10)&amp;'Ingest Template'!J658&amp;Char(10)&amp;'Ingest Template'!K658&amp;Char(10)&amp;'Ingest Template'!L658)</f>
        <v>
</v>
      </c>
      <c r="E658" s="25" t="str">
        <f>('Ingest Template'!M658)</f>
        <v/>
      </c>
      <c r="F658" s="40" t="str">
        <f t="array" ref="F658">INDEX(DropDown!$J$2:$J$63,MATCH(1,COUNTIF(E658,DropDown!$I$2:$I$63),0))</f>
        <v>#N/A</v>
      </c>
      <c r="G658" s="25"/>
      <c r="H658" s="25"/>
      <c r="I658" s="25"/>
      <c r="J658" s="25" t="str">
        <f>'Ingest Template'!B658</f>
        <v/>
      </c>
      <c r="K658" s="25" t="str">
        <f>IF('Ingest Template'!A657="Standard",'Ingest Template'!N657,"Competitive View")</f>
        <v>Competitive View</v>
      </c>
      <c r="L658" s="41" t="s">
        <v>145</v>
      </c>
      <c r="M658" s="25" t="str">
        <f>'Ingest Template'!D657</f>
        <v/>
      </c>
      <c r="N658" s="25"/>
      <c r="O658" s="25"/>
      <c r="P658" s="25"/>
      <c r="Q658" s="25"/>
      <c r="R658" s="25" t="str">
        <f>CONCATENATE('Ingest Template'!F657)</f>
        <v/>
      </c>
      <c r="S658" s="43" t="s">
        <v>160</v>
      </c>
      <c r="T658" s="25" t="str">
        <f>'Ingest Template'!W657</f>
        <v/>
      </c>
      <c r="U658" s="25"/>
      <c r="V658" s="25" t="str">
        <f>LOWER(SUBSTITUTE(SUBSTITUTE(SUBSTITUTE(SUBSTITUTE(SUBSTITUTE('Ingest Template'!Y657,"https:",""),"www.",""),"/",""),"?hl=en",""),"instagram.com",""))</f>
        <v/>
      </c>
      <c r="W658" s="34" t="str">
        <f>(IFERROR(vlookup('Ingest Template'!F658,DropDown!D:E,2,false)&amp;'Ingest Template'!C658,""))</f>
        <v/>
      </c>
      <c r="X658" s="25" t="str">
        <f>'Ingest Template'!AA657</f>
        <v/>
      </c>
      <c r="Y658" s="25"/>
      <c r="Z658" s="25"/>
      <c r="AA658" s="25"/>
      <c r="AB658" s="25" t="str">
        <f>'Ingest Template'!T657</f>
        <v/>
      </c>
      <c r="AC658" s="25"/>
      <c r="AD658" s="25" t="str">
        <f>'Ingest Template'!U657</f>
        <v/>
      </c>
      <c r="AE658" s="25" t="str">
        <f>'Ingest Template'!V657</f>
        <v/>
      </c>
      <c r="AF658" s="25"/>
      <c r="AG658" s="25" t="str">
        <f t="array" ref="AG658">IF('Ingest Template'!A657="Standard",(CONCATENATE(IF(ISBLANK('Ingest Template'!O657),"", 'Ingest Template'!O657&amp;"|DAR"),CHAR(10), IF(ISBLANK('Ingest Template'!P657),"", 'Ingest Template'!P657&amp;"|DAR"),CHAR(10), IF(ISBLANK('Ingest Template'!Q657),"", 'Ingest Template'!Q657&amp;"|DAR"))),(CONCATENATE(IF(ISBLANK('Ingest Template'!O657),"", 'Ingest Template'!O657&amp;"|Operations - Core Title"),CHAR(10), IF(ISBLANK('Ingest Template'!P657),"", 'Ingest Template'!P657&amp;"|Operations - Core Title"),CHAR(10), IF(ISBLANK('Ingest Template'!Q657),"", 'Ingest Template'!Q657&amp;"|Operations - Core Title"))))</f>
        <v>#|Operations - Core Title
#videoGame|Operations - Core Title
</v>
      </c>
      <c r="AH658" s="25"/>
      <c r="AI658" s="25"/>
      <c r="AJ658" s="50" t="str">
        <f>if('Ingest Template'!A657="Standard",'Ingest Template'!R657&amp; "|DAR|DAR|2021-01-01",'Ingest Template'!R657&amp; "|Operations - Core Title|Operations - Core Title")</f>
        <v>#N/A</v>
      </c>
      <c r="AK658" s="25"/>
      <c r="AL658" s="25" t="str">
        <f>if('Ingest Template'!A657="Standard",'Ingest Template'!S657&amp; "|2021-01-01",'Ingest Template'!S657)</f>
        <v>#N/A</v>
      </c>
      <c r="AM658" s="25"/>
    </row>
    <row r="659">
      <c r="A659" s="25"/>
      <c r="B659" s="25" t="str">
        <f>'Ingest Template'!C658&amp;IF('Ingest Template'!A658 = "Standard", " - DAR","")</f>
        <v/>
      </c>
      <c r="C659" s="34" t="s">
        <v>92</v>
      </c>
      <c r="D659" s="34" t="str">
        <f>CONCATENATE('Ingest Template'!E659&amp;Char(10)&amp;'Ingest Template'!G659&amp;Char(10)&amp;'Ingest Template'!H659&amp;Char(10)&amp;'Ingest Template'!I659&amp;Char(10)&amp;'Ingest Template'!J659&amp;Char(10)&amp;'Ingest Template'!K659&amp;Char(10)&amp;'Ingest Template'!L659)</f>
        <v>
</v>
      </c>
      <c r="E659" s="25" t="str">
        <f>('Ingest Template'!M659)</f>
        <v/>
      </c>
      <c r="F659" s="40" t="str">
        <f t="array" ref="F659">INDEX(DropDown!$J$2:$J$63,MATCH(1,COUNTIF(E659,DropDown!$I$2:$I$63),0))</f>
        <v>#N/A</v>
      </c>
      <c r="G659" s="25"/>
      <c r="H659" s="25"/>
      <c r="I659" s="25"/>
      <c r="J659" s="25" t="str">
        <f>'Ingest Template'!B659</f>
        <v/>
      </c>
      <c r="K659" s="25" t="str">
        <f>IF('Ingest Template'!A658="Standard",'Ingest Template'!N658,"Competitive View")</f>
        <v>Competitive View</v>
      </c>
      <c r="L659" s="41" t="s">
        <v>145</v>
      </c>
      <c r="M659" s="25" t="str">
        <f>'Ingest Template'!D658</f>
        <v/>
      </c>
      <c r="N659" s="25"/>
      <c r="O659" s="25"/>
      <c r="P659" s="25"/>
      <c r="Q659" s="25"/>
      <c r="R659" s="25" t="str">
        <f>CONCATENATE('Ingest Template'!F658)</f>
        <v/>
      </c>
      <c r="S659" s="43" t="s">
        <v>160</v>
      </c>
      <c r="T659" s="25" t="str">
        <f>'Ingest Template'!W658</f>
        <v/>
      </c>
      <c r="U659" s="25"/>
      <c r="V659" s="25" t="str">
        <f>LOWER(SUBSTITUTE(SUBSTITUTE(SUBSTITUTE(SUBSTITUTE(SUBSTITUTE('Ingest Template'!Y658,"https:",""),"www.",""),"/",""),"?hl=en",""),"instagram.com",""))</f>
        <v/>
      </c>
      <c r="W659" s="34" t="str">
        <f>(IFERROR(vlookup('Ingest Template'!F659,DropDown!D:E,2,false)&amp;'Ingest Template'!C659,""))</f>
        <v/>
      </c>
      <c r="X659" s="25" t="str">
        <f>'Ingest Template'!AA658</f>
        <v/>
      </c>
      <c r="Y659" s="25"/>
      <c r="Z659" s="25"/>
      <c r="AA659" s="25"/>
      <c r="AB659" s="25" t="str">
        <f>'Ingest Template'!T658</f>
        <v/>
      </c>
      <c r="AC659" s="25"/>
      <c r="AD659" s="25" t="str">
        <f>'Ingest Template'!U658</f>
        <v/>
      </c>
      <c r="AE659" s="25" t="str">
        <f>'Ingest Template'!V658</f>
        <v/>
      </c>
      <c r="AF659" s="25"/>
      <c r="AG659" s="25" t="str">
        <f t="array" ref="AG659">IF('Ingest Template'!A658="Standard",(CONCATENATE(IF(ISBLANK('Ingest Template'!O658),"", 'Ingest Template'!O658&amp;"|DAR"),CHAR(10), IF(ISBLANK('Ingest Template'!P658),"", 'Ingest Template'!P658&amp;"|DAR"),CHAR(10), IF(ISBLANK('Ingest Template'!Q658),"", 'Ingest Template'!Q658&amp;"|DAR"))),(CONCATENATE(IF(ISBLANK('Ingest Template'!O658),"", 'Ingest Template'!O658&amp;"|Operations - Core Title"),CHAR(10), IF(ISBLANK('Ingest Template'!P658),"", 'Ingest Template'!P658&amp;"|Operations - Core Title"),CHAR(10), IF(ISBLANK('Ingest Template'!Q658),"", 'Ingest Template'!Q658&amp;"|Operations - Core Title"))))</f>
        <v>#|Operations - Core Title
#videoGame|Operations - Core Title
</v>
      </c>
      <c r="AH659" s="25"/>
      <c r="AI659" s="25"/>
      <c r="AJ659" s="50" t="str">
        <f>if('Ingest Template'!A658="Standard",'Ingest Template'!R658&amp; "|DAR|DAR|2021-01-01",'Ingest Template'!R658&amp; "|Operations - Core Title|Operations - Core Title")</f>
        <v>#N/A</v>
      </c>
      <c r="AK659" s="25"/>
      <c r="AL659" s="25" t="str">
        <f>if('Ingest Template'!A658="Standard",'Ingest Template'!S658&amp; "|2021-01-01",'Ingest Template'!S658)</f>
        <v>#N/A</v>
      </c>
      <c r="AM659" s="25"/>
    </row>
    <row r="660">
      <c r="A660" s="25"/>
      <c r="B660" s="25" t="str">
        <f>'Ingest Template'!C659&amp;IF('Ingest Template'!A659 = "Standard", " - DAR","")</f>
        <v/>
      </c>
      <c r="C660" s="34" t="s">
        <v>92</v>
      </c>
      <c r="D660" s="34" t="str">
        <f>CONCATENATE('Ingest Template'!E660&amp;Char(10)&amp;'Ingest Template'!G660&amp;Char(10)&amp;'Ingest Template'!H660&amp;Char(10)&amp;'Ingest Template'!I660&amp;Char(10)&amp;'Ingest Template'!J660&amp;Char(10)&amp;'Ingest Template'!K660&amp;Char(10)&amp;'Ingest Template'!L660)</f>
        <v>
</v>
      </c>
      <c r="E660" s="25" t="str">
        <f>('Ingest Template'!M660)</f>
        <v/>
      </c>
      <c r="F660" s="40" t="str">
        <f t="array" ref="F660">INDEX(DropDown!$J$2:$J$63,MATCH(1,COUNTIF(E660,DropDown!$I$2:$I$63),0))</f>
        <v>#N/A</v>
      </c>
      <c r="G660" s="25"/>
      <c r="H660" s="25"/>
      <c r="I660" s="25"/>
      <c r="J660" s="25" t="str">
        <f>'Ingest Template'!B660</f>
        <v/>
      </c>
      <c r="K660" s="25" t="str">
        <f>IF('Ingest Template'!A659="Standard",'Ingest Template'!N659,"Competitive View")</f>
        <v>Competitive View</v>
      </c>
      <c r="L660" s="41" t="s">
        <v>145</v>
      </c>
      <c r="M660" s="25" t="str">
        <f>'Ingest Template'!D659</f>
        <v/>
      </c>
      <c r="N660" s="25"/>
      <c r="O660" s="25"/>
      <c r="P660" s="25"/>
      <c r="Q660" s="25"/>
      <c r="R660" s="25" t="str">
        <f>CONCATENATE('Ingest Template'!F659)</f>
        <v/>
      </c>
      <c r="S660" s="43" t="s">
        <v>160</v>
      </c>
      <c r="T660" s="25" t="str">
        <f>'Ingest Template'!W659</f>
        <v/>
      </c>
      <c r="U660" s="25"/>
      <c r="V660" s="25" t="str">
        <f>LOWER(SUBSTITUTE(SUBSTITUTE(SUBSTITUTE(SUBSTITUTE(SUBSTITUTE('Ingest Template'!Y659,"https:",""),"www.",""),"/",""),"?hl=en",""),"instagram.com",""))</f>
        <v/>
      </c>
      <c r="W660" s="34" t="str">
        <f>(IFERROR(vlookup('Ingest Template'!F660,DropDown!D:E,2,false)&amp;'Ingest Template'!C660,""))</f>
        <v/>
      </c>
      <c r="X660" s="25" t="str">
        <f>'Ingest Template'!AA659</f>
        <v/>
      </c>
      <c r="Y660" s="25"/>
      <c r="Z660" s="25"/>
      <c r="AA660" s="25"/>
      <c r="AB660" s="25" t="str">
        <f>'Ingest Template'!T659</f>
        <v/>
      </c>
      <c r="AC660" s="25"/>
      <c r="AD660" s="25" t="str">
        <f>'Ingest Template'!U659</f>
        <v/>
      </c>
      <c r="AE660" s="25" t="str">
        <f>'Ingest Template'!V659</f>
        <v/>
      </c>
      <c r="AF660" s="25"/>
      <c r="AG660" s="25" t="str">
        <f t="array" ref="AG660">IF('Ingest Template'!A659="Standard",(CONCATENATE(IF(ISBLANK('Ingest Template'!O659),"", 'Ingest Template'!O659&amp;"|DAR"),CHAR(10), IF(ISBLANK('Ingest Template'!P659),"", 'Ingest Template'!P659&amp;"|DAR"),CHAR(10), IF(ISBLANK('Ingest Template'!Q659),"", 'Ingest Template'!Q659&amp;"|DAR"))),(CONCATENATE(IF(ISBLANK('Ingest Template'!O659),"", 'Ingest Template'!O659&amp;"|Operations - Core Title"),CHAR(10), IF(ISBLANK('Ingest Template'!P659),"", 'Ingest Template'!P659&amp;"|Operations - Core Title"),CHAR(10), IF(ISBLANK('Ingest Template'!Q659),"", 'Ingest Template'!Q659&amp;"|Operations - Core Title"))))</f>
        <v>#|Operations - Core Title
#videoGame|Operations - Core Title
</v>
      </c>
      <c r="AH660" s="25"/>
      <c r="AI660" s="25"/>
      <c r="AJ660" s="50" t="str">
        <f>if('Ingest Template'!A659="Standard",'Ingest Template'!R659&amp; "|DAR|DAR|2021-01-01",'Ingest Template'!R659&amp; "|Operations - Core Title|Operations - Core Title")</f>
        <v>#N/A</v>
      </c>
      <c r="AK660" s="25"/>
      <c r="AL660" s="25" t="str">
        <f>if('Ingest Template'!A659="Standard",'Ingest Template'!S659&amp; "|2021-01-01",'Ingest Template'!S659)</f>
        <v>#N/A</v>
      </c>
      <c r="AM660" s="25"/>
    </row>
    <row r="661">
      <c r="A661" s="25"/>
      <c r="B661" s="25" t="str">
        <f>'Ingest Template'!C660&amp;IF('Ingest Template'!A660 = "Standard", " - DAR","")</f>
        <v/>
      </c>
      <c r="C661" s="34" t="s">
        <v>92</v>
      </c>
      <c r="D661" s="34" t="str">
        <f>CONCATENATE('Ingest Template'!E661&amp;Char(10)&amp;'Ingest Template'!G661&amp;Char(10)&amp;'Ingest Template'!H661&amp;Char(10)&amp;'Ingest Template'!I661&amp;Char(10)&amp;'Ingest Template'!J661&amp;Char(10)&amp;'Ingest Template'!K661&amp;Char(10)&amp;'Ingest Template'!L661)</f>
        <v>
</v>
      </c>
      <c r="E661" s="25" t="str">
        <f>('Ingest Template'!M661)</f>
        <v/>
      </c>
      <c r="F661" s="40" t="str">
        <f t="array" ref="F661">INDEX(DropDown!$J$2:$J$63,MATCH(1,COUNTIF(E661,DropDown!$I$2:$I$63),0))</f>
        <v>#N/A</v>
      </c>
      <c r="G661" s="25"/>
      <c r="H661" s="25"/>
      <c r="I661" s="25"/>
      <c r="J661" s="25" t="str">
        <f>'Ingest Template'!B661</f>
        <v/>
      </c>
      <c r="K661" s="25" t="str">
        <f>IF('Ingest Template'!A660="Standard",'Ingest Template'!N660,"Competitive View")</f>
        <v>Competitive View</v>
      </c>
      <c r="L661" s="41" t="s">
        <v>145</v>
      </c>
      <c r="M661" s="25" t="str">
        <f>'Ingest Template'!D660</f>
        <v/>
      </c>
      <c r="N661" s="25"/>
      <c r="O661" s="25"/>
      <c r="P661" s="25"/>
      <c r="Q661" s="25"/>
      <c r="R661" s="25" t="str">
        <f>CONCATENATE('Ingest Template'!F660)</f>
        <v/>
      </c>
      <c r="S661" s="43" t="s">
        <v>160</v>
      </c>
      <c r="T661" s="25" t="str">
        <f>'Ingest Template'!W660</f>
        <v/>
      </c>
      <c r="U661" s="25"/>
      <c r="V661" s="25" t="str">
        <f>LOWER(SUBSTITUTE(SUBSTITUTE(SUBSTITUTE(SUBSTITUTE(SUBSTITUTE('Ingest Template'!Y660,"https:",""),"www.",""),"/",""),"?hl=en",""),"instagram.com",""))</f>
        <v/>
      </c>
      <c r="W661" s="34" t="str">
        <f>(IFERROR(vlookup('Ingest Template'!F661,DropDown!D:E,2,false)&amp;'Ingest Template'!C661,""))</f>
        <v/>
      </c>
      <c r="X661" s="25" t="str">
        <f>'Ingest Template'!AA660</f>
        <v/>
      </c>
      <c r="Y661" s="25"/>
      <c r="Z661" s="25"/>
      <c r="AA661" s="25"/>
      <c r="AB661" s="25" t="str">
        <f>'Ingest Template'!T660</f>
        <v/>
      </c>
      <c r="AC661" s="25"/>
      <c r="AD661" s="25" t="str">
        <f>'Ingest Template'!U660</f>
        <v/>
      </c>
      <c r="AE661" s="25" t="str">
        <f>'Ingest Template'!V660</f>
        <v/>
      </c>
      <c r="AF661" s="25"/>
      <c r="AG661" s="25" t="str">
        <f t="array" ref="AG661">IF('Ingest Template'!A660="Standard",(CONCATENATE(IF(ISBLANK('Ingest Template'!O660),"", 'Ingest Template'!O660&amp;"|DAR"),CHAR(10), IF(ISBLANK('Ingest Template'!P660),"", 'Ingest Template'!P660&amp;"|DAR"),CHAR(10), IF(ISBLANK('Ingest Template'!Q660),"", 'Ingest Template'!Q660&amp;"|DAR"))),(CONCATENATE(IF(ISBLANK('Ingest Template'!O660),"", 'Ingest Template'!O660&amp;"|Operations - Core Title"),CHAR(10), IF(ISBLANK('Ingest Template'!P660),"", 'Ingest Template'!P660&amp;"|Operations - Core Title"),CHAR(10), IF(ISBLANK('Ingest Template'!Q660),"", 'Ingest Template'!Q660&amp;"|Operations - Core Title"))))</f>
        <v>#|Operations - Core Title
#videoGame|Operations - Core Title
</v>
      </c>
      <c r="AH661" s="25"/>
      <c r="AI661" s="25"/>
      <c r="AJ661" s="50" t="str">
        <f>if('Ingest Template'!A660="Standard",'Ingest Template'!R660&amp; "|DAR|DAR|2021-01-01",'Ingest Template'!R660&amp; "|Operations - Core Title|Operations - Core Title")</f>
        <v>#N/A</v>
      </c>
      <c r="AK661" s="25"/>
      <c r="AL661" s="25" t="str">
        <f>if('Ingest Template'!A660="Standard",'Ingest Template'!S660&amp; "|2021-01-01",'Ingest Template'!S660)</f>
        <v>#N/A</v>
      </c>
      <c r="AM661" s="25"/>
    </row>
    <row r="662">
      <c r="A662" s="25"/>
      <c r="B662" s="25" t="str">
        <f>'Ingest Template'!C661&amp;IF('Ingest Template'!A661 = "Standard", " - DAR","")</f>
        <v/>
      </c>
      <c r="C662" s="34" t="s">
        <v>92</v>
      </c>
      <c r="D662" s="34" t="str">
        <f>CONCATENATE('Ingest Template'!E662&amp;Char(10)&amp;'Ingest Template'!G662&amp;Char(10)&amp;'Ingest Template'!H662&amp;Char(10)&amp;'Ingest Template'!I662&amp;Char(10)&amp;'Ingest Template'!J662&amp;Char(10)&amp;'Ingest Template'!K662&amp;Char(10)&amp;'Ingest Template'!L662)</f>
        <v>
</v>
      </c>
      <c r="E662" s="25" t="str">
        <f>('Ingest Template'!M662)</f>
        <v/>
      </c>
      <c r="F662" s="40" t="str">
        <f t="array" ref="F662">INDEX(DropDown!$J$2:$J$63,MATCH(1,COUNTIF(E662,DropDown!$I$2:$I$63),0))</f>
        <v>#N/A</v>
      </c>
      <c r="G662" s="25"/>
      <c r="H662" s="25"/>
      <c r="I662" s="25"/>
      <c r="J662" s="25" t="str">
        <f>'Ingest Template'!B662</f>
        <v/>
      </c>
      <c r="K662" s="25" t="str">
        <f>IF('Ingest Template'!A661="Standard",'Ingest Template'!N661,"Competitive View")</f>
        <v>Competitive View</v>
      </c>
      <c r="L662" s="41" t="s">
        <v>145</v>
      </c>
      <c r="M662" s="25" t="str">
        <f>'Ingest Template'!D661</f>
        <v/>
      </c>
      <c r="N662" s="25"/>
      <c r="O662" s="25"/>
      <c r="P662" s="25"/>
      <c r="Q662" s="25"/>
      <c r="R662" s="25" t="str">
        <f>CONCATENATE('Ingest Template'!F661)</f>
        <v/>
      </c>
      <c r="S662" s="43" t="s">
        <v>160</v>
      </c>
      <c r="T662" s="25" t="str">
        <f>'Ingest Template'!W661</f>
        <v/>
      </c>
      <c r="U662" s="25"/>
      <c r="V662" s="25" t="str">
        <f>LOWER(SUBSTITUTE(SUBSTITUTE(SUBSTITUTE(SUBSTITUTE(SUBSTITUTE('Ingest Template'!Y661,"https:",""),"www.",""),"/",""),"?hl=en",""),"instagram.com",""))</f>
        <v/>
      </c>
      <c r="W662" s="34" t="str">
        <f>(IFERROR(vlookup('Ingest Template'!F662,DropDown!D:E,2,false)&amp;'Ingest Template'!C662,""))</f>
        <v/>
      </c>
      <c r="X662" s="25" t="str">
        <f>'Ingest Template'!AA661</f>
        <v/>
      </c>
      <c r="Y662" s="25"/>
      <c r="Z662" s="25"/>
      <c r="AA662" s="25"/>
      <c r="AB662" s="25" t="str">
        <f>'Ingest Template'!T661</f>
        <v/>
      </c>
      <c r="AC662" s="25"/>
      <c r="AD662" s="25" t="str">
        <f>'Ingest Template'!U661</f>
        <v/>
      </c>
      <c r="AE662" s="25" t="str">
        <f>'Ingest Template'!V661</f>
        <v/>
      </c>
      <c r="AF662" s="25"/>
      <c r="AG662" s="25" t="str">
        <f t="array" ref="AG662">IF('Ingest Template'!A661="Standard",(CONCATENATE(IF(ISBLANK('Ingest Template'!O661),"", 'Ingest Template'!O661&amp;"|DAR"),CHAR(10), IF(ISBLANK('Ingest Template'!P661),"", 'Ingest Template'!P661&amp;"|DAR"),CHAR(10), IF(ISBLANK('Ingest Template'!Q661),"", 'Ingest Template'!Q661&amp;"|DAR"))),(CONCATENATE(IF(ISBLANK('Ingest Template'!O661),"", 'Ingest Template'!O661&amp;"|Operations - Core Title"),CHAR(10), IF(ISBLANK('Ingest Template'!P661),"", 'Ingest Template'!P661&amp;"|Operations - Core Title"),CHAR(10), IF(ISBLANK('Ingest Template'!Q661),"", 'Ingest Template'!Q661&amp;"|Operations - Core Title"))))</f>
        <v>#|Operations - Core Title
#videoGame|Operations - Core Title
</v>
      </c>
      <c r="AH662" s="25"/>
      <c r="AI662" s="25"/>
      <c r="AJ662" s="50" t="str">
        <f>if('Ingest Template'!A661="Standard",'Ingest Template'!R661&amp; "|DAR|DAR|2021-01-01",'Ingest Template'!R661&amp; "|Operations - Core Title|Operations - Core Title")</f>
        <v>#N/A</v>
      </c>
      <c r="AK662" s="25"/>
      <c r="AL662" s="25" t="str">
        <f>if('Ingest Template'!A661="Standard",'Ingest Template'!S661&amp; "|2021-01-01",'Ingest Template'!S661)</f>
        <v>#N/A</v>
      </c>
      <c r="AM662" s="25"/>
    </row>
    <row r="663">
      <c r="A663" s="25"/>
      <c r="B663" s="25" t="str">
        <f>'Ingest Template'!C662&amp;IF('Ingest Template'!A662 = "Standard", " - DAR","")</f>
        <v/>
      </c>
      <c r="C663" s="34" t="s">
        <v>92</v>
      </c>
      <c r="D663" s="34" t="str">
        <f>CONCATENATE('Ingest Template'!E663&amp;Char(10)&amp;'Ingest Template'!G663&amp;Char(10)&amp;'Ingest Template'!H663&amp;Char(10)&amp;'Ingest Template'!I663&amp;Char(10)&amp;'Ingest Template'!J663&amp;Char(10)&amp;'Ingest Template'!K663&amp;Char(10)&amp;'Ingest Template'!L663)</f>
        <v>
</v>
      </c>
      <c r="E663" s="25" t="str">
        <f>('Ingest Template'!M663)</f>
        <v/>
      </c>
      <c r="F663" s="40" t="str">
        <f t="array" ref="F663">INDEX(DropDown!$J$2:$J$63,MATCH(1,COUNTIF(E663,DropDown!$I$2:$I$63),0))</f>
        <v>#N/A</v>
      </c>
      <c r="G663" s="25"/>
      <c r="H663" s="25"/>
      <c r="I663" s="25"/>
      <c r="J663" s="25" t="str">
        <f>'Ingest Template'!B663</f>
        <v/>
      </c>
      <c r="K663" s="25" t="str">
        <f>IF('Ingest Template'!A662="Standard",'Ingest Template'!N662,"Competitive View")</f>
        <v>Competitive View</v>
      </c>
      <c r="L663" s="41" t="s">
        <v>145</v>
      </c>
      <c r="M663" s="25" t="str">
        <f>'Ingest Template'!D662</f>
        <v/>
      </c>
      <c r="N663" s="25"/>
      <c r="O663" s="25"/>
      <c r="P663" s="25"/>
      <c r="Q663" s="25"/>
      <c r="R663" s="25" t="str">
        <f>CONCATENATE('Ingest Template'!F662)</f>
        <v/>
      </c>
      <c r="S663" s="43" t="s">
        <v>160</v>
      </c>
      <c r="T663" s="25" t="str">
        <f>'Ingest Template'!W662</f>
        <v/>
      </c>
      <c r="U663" s="25"/>
      <c r="V663" s="25" t="str">
        <f>LOWER(SUBSTITUTE(SUBSTITUTE(SUBSTITUTE(SUBSTITUTE(SUBSTITUTE('Ingest Template'!Y662,"https:",""),"www.",""),"/",""),"?hl=en",""),"instagram.com",""))</f>
        <v/>
      </c>
      <c r="W663" s="34" t="str">
        <f>(IFERROR(vlookup('Ingest Template'!F663,DropDown!D:E,2,false)&amp;'Ingest Template'!C663,""))</f>
        <v/>
      </c>
      <c r="X663" s="25" t="str">
        <f>'Ingest Template'!AA662</f>
        <v/>
      </c>
      <c r="Y663" s="25"/>
      <c r="Z663" s="25"/>
      <c r="AA663" s="25"/>
      <c r="AB663" s="25" t="str">
        <f>'Ingest Template'!T662</f>
        <v/>
      </c>
      <c r="AC663" s="25"/>
      <c r="AD663" s="25" t="str">
        <f>'Ingest Template'!U662</f>
        <v/>
      </c>
      <c r="AE663" s="25" t="str">
        <f>'Ingest Template'!V662</f>
        <v/>
      </c>
      <c r="AF663" s="25"/>
      <c r="AG663" s="25" t="str">
        <f t="array" ref="AG663">IF('Ingest Template'!A662="Standard",(CONCATENATE(IF(ISBLANK('Ingest Template'!O662),"", 'Ingest Template'!O662&amp;"|DAR"),CHAR(10), IF(ISBLANK('Ingest Template'!P662),"", 'Ingest Template'!P662&amp;"|DAR"),CHAR(10), IF(ISBLANK('Ingest Template'!Q662),"", 'Ingest Template'!Q662&amp;"|DAR"))),(CONCATENATE(IF(ISBLANK('Ingest Template'!O662),"", 'Ingest Template'!O662&amp;"|Operations - Core Title"),CHAR(10), IF(ISBLANK('Ingest Template'!P662),"", 'Ingest Template'!P662&amp;"|Operations - Core Title"),CHAR(10), IF(ISBLANK('Ingest Template'!Q662),"", 'Ingest Template'!Q662&amp;"|Operations - Core Title"))))</f>
        <v>#|Operations - Core Title
#videoGame|Operations - Core Title
</v>
      </c>
      <c r="AH663" s="25"/>
      <c r="AI663" s="25"/>
      <c r="AJ663" s="50" t="str">
        <f>if('Ingest Template'!A662="Standard",'Ingest Template'!R662&amp; "|DAR|DAR|2021-01-01",'Ingest Template'!R662&amp; "|Operations - Core Title|Operations - Core Title")</f>
        <v>#N/A</v>
      </c>
      <c r="AK663" s="25"/>
      <c r="AL663" s="25" t="str">
        <f>if('Ingest Template'!A662="Standard",'Ingest Template'!S662&amp; "|2021-01-01",'Ingest Template'!S662)</f>
        <v>#N/A</v>
      </c>
      <c r="AM663" s="25"/>
    </row>
    <row r="664">
      <c r="A664" s="25"/>
      <c r="B664" s="25" t="str">
        <f>'Ingest Template'!C663&amp;IF('Ingest Template'!A663 = "Standard", " - DAR","")</f>
        <v/>
      </c>
      <c r="C664" s="34" t="s">
        <v>92</v>
      </c>
      <c r="D664" s="34" t="str">
        <f>CONCATENATE('Ingest Template'!E664&amp;Char(10)&amp;'Ingest Template'!G664&amp;Char(10)&amp;'Ingest Template'!H664&amp;Char(10)&amp;'Ingest Template'!I664&amp;Char(10)&amp;'Ingest Template'!J664&amp;Char(10)&amp;'Ingest Template'!K664&amp;Char(10)&amp;'Ingest Template'!L664)</f>
        <v>
</v>
      </c>
      <c r="E664" s="25" t="str">
        <f>('Ingest Template'!M664)</f>
        <v/>
      </c>
      <c r="F664" s="40" t="str">
        <f t="array" ref="F664">INDEX(DropDown!$J$2:$J$63,MATCH(1,COUNTIF(E664,DropDown!$I$2:$I$63),0))</f>
        <v>#N/A</v>
      </c>
      <c r="G664" s="25"/>
      <c r="H664" s="25"/>
      <c r="I664" s="25"/>
      <c r="J664" s="25" t="str">
        <f>'Ingest Template'!B664</f>
        <v/>
      </c>
      <c r="K664" s="25" t="str">
        <f>IF('Ingest Template'!A663="Standard",'Ingest Template'!N663,"Competitive View")</f>
        <v>Competitive View</v>
      </c>
      <c r="L664" s="41" t="s">
        <v>145</v>
      </c>
      <c r="M664" s="25" t="str">
        <f>'Ingest Template'!D663</f>
        <v/>
      </c>
      <c r="N664" s="25"/>
      <c r="O664" s="25"/>
      <c r="P664" s="25"/>
      <c r="Q664" s="25"/>
      <c r="R664" s="25" t="str">
        <f>CONCATENATE('Ingest Template'!F663)</f>
        <v/>
      </c>
      <c r="S664" s="43" t="s">
        <v>160</v>
      </c>
      <c r="T664" s="25" t="str">
        <f>'Ingest Template'!W663</f>
        <v/>
      </c>
      <c r="U664" s="25"/>
      <c r="V664" s="25" t="str">
        <f>LOWER(SUBSTITUTE(SUBSTITUTE(SUBSTITUTE(SUBSTITUTE(SUBSTITUTE('Ingest Template'!Y663,"https:",""),"www.",""),"/",""),"?hl=en",""),"instagram.com",""))</f>
        <v/>
      </c>
      <c r="W664" s="34" t="str">
        <f>(IFERROR(vlookup('Ingest Template'!F664,DropDown!D:E,2,false)&amp;'Ingest Template'!C664,""))</f>
        <v/>
      </c>
      <c r="X664" s="25" t="str">
        <f>'Ingest Template'!AA663</f>
        <v/>
      </c>
      <c r="Y664" s="25"/>
      <c r="Z664" s="25"/>
      <c r="AA664" s="25"/>
      <c r="AB664" s="25" t="str">
        <f>'Ingest Template'!T663</f>
        <v/>
      </c>
      <c r="AC664" s="25"/>
      <c r="AD664" s="25" t="str">
        <f>'Ingest Template'!U663</f>
        <v/>
      </c>
      <c r="AE664" s="25" t="str">
        <f>'Ingest Template'!V663</f>
        <v/>
      </c>
      <c r="AF664" s="25"/>
      <c r="AG664" s="25" t="str">
        <f t="array" ref="AG664">IF('Ingest Template'!A663="Standard",(CONCATENATE(IF(ISBLANK('Ingest Template'!O663),"", 'Ingest Template'!O663&amp;"|DAR"),CHAR(10), IF(ISBLANK('Ingest Template'!P663),"", 'Ingest Template'!P663&amp;"|DAR"),CHAR(10), IF(ISBLANK('Ingest Template'!Q663),"", 'Ingest Template'!Q663&amp;"|DAR"))),(CONCATENATE(IF(ISBLANK('Ingest Template'!O663),"", 'Ingest Template'!O663&amp;"|Operations - Core Title"),CHAR(10), IF(ISBLANK('Ingest Template'!P663),"", 'Ingest Template'!P663&amp;"|Operations - Core Title"),CHAR(10), IF(ISBLANK('Ingest Template'!Q663),"", 'Ingest Template'!Q663&amp;"|Operations - Core Title"))))</f>
        <v>#|Operations - Core Title
#videoGame|Operations - Core Title
</v>
      </c>
      <c r="AH664" s="25"/>
      <c r="AI664" s="25"/>
      <c r="AJ664" s="50" t="str">
        <f>if('Ingest Template'!A663="Standard",'Ingest Template'!R663&amp; "|DAR|DAR|2021-01-01",'Ingest Template'!R663&amp; "|Operations - Core Title|Operations - Core Title")</f>
        <v>#N/A</v>
      </c>
      <c r="AK664" s="25"/>
      <c r="AL664" s="25" t="str">
        <f>if('Ingest Template'!A663="Standard",'Ingest Template'!S663&amp; "|2021-01-01",'Ingest Template'!S663)</f>
        <v>#N/A</v>
      </c>
      <c r="AM664" s="25"/>
    </row>
    <row r="665">
      <c r="A665" s="25"/>
      <c r="B665" s="25" t="str">
        <f>'Ingest Template'!C664&amp;IF('Ingest Template'!A664 = "Standard", " - DAR","")</f>
        <v/>
      </c>
      <c r="C665" s="34" t="s">
        <v>92</v>
      </c>
      <c r="D665" s="34" t="str">
        <f>CONCATENATE('Ingest Template'!E665&amp;Char(10)&amp;'Ingest Template'!G665&amp;Char(10)&amp;'Ingest Template'!H665&amp;Char(10)&amp;'Ingest Template'!I665&amp;Char(10)&amp;'Ingest Template'!J665&amp;Char(10)&amp;'Ingest Template'!K665&amp;Char(10)&amp;'Ingest Template'!L665)</f>
        <v>
</v>
      </c>
      <c r="E665" s="25" t="str">
        <f>('Ingest Template'!M665)</f>
        <v/>
      </c>
      <c r="F665" s="40" t="str">
        <f t="array" ref="F665">INDEX(DropDown!$J$2:$J$63,MATCH(1,COUNTIF(E665,DropDown!$I$2:$I$63),0))</f>
        <v>#N/A</v>
      </c>
      <c r="G665" s="25"/>
      <c r="H665" s="25"/>
      <c r="I665" s="25"/>
      <c r="J665" s="25" t="str">
        <f>'Ingest Template'!B665</f>
        <v/>
      </c>
      <c r="K665" s="25" t="str">
        <f>IF('Ingest Template'!A664="Standard",'Ingest Template'!N664,"Competitive View")</f>
        <v>Competitive View</v>
      </c>
      <c r="L665" s="41" t="s">
        <v>145</v>
      </c>
      <c r="M665" s="25" t="str">
        <f>'Ingest Template'!D664</f>
        <v/>
      </c>
      <c r="N665" s="25"/>
      <c r="O665" s="25"/>
      <c r="P665" s="25"/>
      <c r="Q665" s="25"/>
      <c r="R665" s="25" t="str">
        <f>CONCATENATE('Ingest Template'!F664)</f>
        <v/>
      </c>
      <c r="S665" s="43" t="s">
        <v>160</v>
      </c>
      <c r="T665" s="25" t="str">
        <f>'Ingest Template'!W664</f>
        <v/>
      </c>
      <c r="U665" s="25"/>
      <c r="V665" s="25" t="str">
        <f>LOWER(SUBSTITUTE(SUBSTITUTE(SUBSTITUTE(SUBSTITUTE(SUBSTITUTE('Ingest Template'!Y664,"https:",""),"www.",""),"/",""),"?hl=en",""),"instagram.com",""))</f>
        <v/>
      </c>
      <c r="W665" s="34" t="str">
        <f>(IFERROR(vlookup('Ingest Template'!F665,DropDown!D:E,2,false)&amp;'Ingest Template'!C665,""))</f>
        <v/>
      </c>
      <c r="X665" s="25" t="str">
        <f>'Ingest Template'!AA664</f>
        <v/>
      </c>
      <c r="Y665" s="25"/>
      <c r="Z665" s="25"/>
      <c r="AA665" s="25"/>
      <c r="AB665" s="25" t="str">
        <f>'Ingest Template'!T664</f>
        <v/>
      </c>
      <c r="AC665" s="25"/>
      <c r="AD665" s="25" t="str">
        <f>'Ingest Template'!U664</f>
        <v/>
      </c>
      <c r="AE665" s="25" t="str">
        <f>'Ingest Template'!V664</f>
        <v/>
      </c>
      <c r="AF665" s="25"/>
      <c r="AG665" s="25" t="str">
        <f t="array" ref="AG665">IF('Ingest Template'!A664="Standard",(CONCATENATE(IF(ISBLANK('Ingest Template'!O664),"", 'Ingest Template'!O664&amp;"|DAR"),CHAR(10), IF(ISBLANK('Ingest Template'!P664),"", 'Ingest Template'!P664&amp;"|DAR"),CHAR(10), IF(ISBLANK('Ingest Template'!Q664),"", 'Ingest Template'!Q664&amp;"|DAR"))),(CONCATENATE(IF(ISBLANK('Ingest Template'!O664),"", 'Ingest Template'!O664&amp;"|Operations - Core Title"),CHAR(10), IF(ISBLANK('Ingest Template'!P664),"", 'Ingest Template'!P664&amp;"|Operations - Core Title"),CHAR(10), IF(ISBLANK('Ingest Template'!Q664),"", 'Ingest Template'!Q664&amp;"|Operations - Core Title"))))</f>
        <v>#|Operations - Core Title
#videoGame|Operations - Core Title
</v>
      </c>
      <c r="AH665" s="25"/>
      <c r="AI665" s="25"/>
      <c r="AJ665" s="50" t="str">
        <f>if('Ingest Template'!A664="Standard",'Ingest Template'!R664&amp; "|DAR|DAR|2021-01-01",'Ingest Template'!R664&amp; "|Operations - Core Title|Operations - Core Title")</f>
        <v>#N/A</v>
      </c>
      <c r="AK665" s="25"/>
      <c r="AL665" s="25" t="str">
        <f>if('Ingest Template'!A664="Standard",'Ingest Template'!S664&amp; "|2021-01-01",'Ingest Template'!S664)</f>
        <v>#N/A</v>
      </c>
      <c r="AM665" s="25"/>
    </row>
    <row r="666">
      <c r="A666" s="25"/>
      <c r="B666" s="25" t="str">
        <f>'Ingest Template'!C665&amp;IF('Ingest Template'!A665 = "Standard", " - DAR","")</f>
        <v/>
      </c>
      <c r="C666" s="34" t="s">
        <v>92</v>
      </c>
      <c r="D666" s="34" t="str">
        <f>CONCATENATE('Ingest Template'!E666&amp;Char(10)&amp;'Ingest Template'!G666&amp;Char(10)&amp;'Ingest Template'!H666&amp;Char(10)&amp;'Ingest Template'!I666&amp;Char(10)&amp;'Ingest Template'!J666&amp;Char(10)&amp;'Ingest Template'!K666&amp;Char(10)&amp;'Ingest Template'!L666)</f>
        <v>
</v>
      </c>
      <c r="E666" s="25" t="str">
        <f>('Ingest Template'!M666)</f>
        <v/>
      </c>
      <c r="F666" s="40" t="str">
        <f t="array" ref="F666">INDEX(DropDown!$J$2:$J$63,MATCH(1,COUNTIF(E666,DropDown!$I$2:$I$63),0))</f>
        <v>#N/A</v>
      </c>
      <c r="G666" s="25"/>
      <c r="H666" s="25"/>
      <c r="I666" s="25"/>
      <c r="J666" s="25" t="str">
        <f>'Ingest Template'!B666</f>
        <v/>
      </c>
      <c r="K666" s="25" t="str">
        <f>IF('Ingest Template'!A665="Standard",'Ingest Template'!N665,"Competitive View")</f>
        <v>Competitive View</v>
      </c>
      <c r="L666" s="41" t="s">
        <v>145</v>
      </c>
      <c r="M666" s="25" t="str">
        <f>'Ingest Template'!D665</f>
        <v/>
      </c>
      <c r="N666" s="25"/>
      <c r="O666" s="25"/>
      <c r="P666" s="25"/>
      <c r="Q666" s="25"/>
      <c r="R666" s="25" t="str">
        <f>CONCATENATE('Ingest Template'!F665)</f>
        <v/>
      </c>
      <c r="S666" s="43" t="s">
        <v>160</v>
      </c>
      <c r="T666" s="25" t="str">
        <f>'Ingest Template'!W665</f>
        <v/>
      </c>
      <c r="U666" s="25"/>
      <c r="V666" s="25" t="str">
        <f>LOWER(SUBSTITUTE(SUBSTITUTE(SUBSTITUTE(SUBSTITUTE(SUBSTITUTE('Ingest Template'!Y665,"https:",""),"www.",""),"/",""),"?hl=en",""),"instagram.com",""))</f>
        <v/>
      </c>
      <c r="W666" s="34" t="str">
        <f>(IFERROR(vlookup('Ingest Template'!F666,DropDown!D:E,2,false)&amp;'Ingest Template'!C666,""))</f>
        <v/>
      </c>
      <c r="X666" s="25" t="str">
        <f>'Ingest Template'!AA665</f>
        <v/>
      </c>
      <c r="Y666" s="25"/>
      <c r="Z666" s="25"/>
      <c r="AA666" s="25"/>
      <c r="AB666" s="25" t="str">
        <f>'Ingest Template'!T665</f>
        <v/>
      </c>
      <c r="AC666" s="25"/>
      <c r="AD666" s="25" t="str">
        <f>'Ingest Template'!U665</f>
        <v/>
      </c>
      <c r="AE666" s="25" t="str">
        <f>'Ingest Template'!V665</f>
        <v/>
      </c>
      <c r="AF666" s="25"/>
      <c r="AG666" s="25" t="str">
        <f t="array" ref="AG666">IF('Ingest Template'!A665="Standard",(CONCATENATE(IF(ISBLANK('Ingest Template'!O665),"", 'Ingest Template'!O665&amp;"|DAR"),CHAR(10), IF(ISBLANK('Ingest Template'!P665),"", 'Ingest Template'!P665&amp;"|DAR"),CHAR(10), IF(ISBLANK('Ingest Template'!Q665),"", 'Ingest Template'!Q665&amp;"|DAR"))),(CONCATENATE(IF(ISBLANK('Ingest Template'!O665),"", 'Ingest Template'!O665&amp;"|Operations - Core Title"),CHAR(10), IF(ISBLANK('Ingest Template'!P665),"", 'Ingest Template'!P665&amp;"|Operations - Core Title"),CHAR(10), IF(ISBLANK('Ingest Template'!Q665),"", 'Ingest Template'!Q665&amp;"|Operations - Core Title"))))</f>
        <v>#|Operations - Core Title
#videoGame|Operations - Core Title
</v>
      </c>
      <c r="AH666" s="25"/>
      <c r="AI666" s="25"/>
      <c r="AJ666" s="50" t="str">
        <f>if('Ingest Template'!A665="Standard",'Ingest Template'!R665&amp; "|DAR|DAR|2021-01-01",'Ingest Template'!R665&amp; "|Operations - Core Title|Operations - Core Title")</f>
        <v>#N/A</v>
      </c>
      <c r="AK666" s="25"/>
      <c r="AL666" s="25" t="str">
        <f>if('Ingest Template'!A665="Standard",'Ingest Template'!S665&amp; "|2021-01-01",'Ingest Template'!S665)</f>
        <v>#N/A</v>
      </c>
      <c r="AM666" s="25"/>
    </row>
    <row r="667">
      <c r="A667" s="25"/>
      <c r="B667" s="25" t="str">
        <f>'Ingest Template'!C666&amp;IF('Ingest Template'!A666 = "Standard", " - DAR","")</f>
        <v/>
      </c>
      <c r="C667" s="34" t="s">
        <v>92</v>
      </c>
      <c r="D667" s="34" t="str">
        <f>CONCATENATE('Ingest Template'!E667&amp;Char(10)&amp;'Ingest Template'!G667&amp;Char(10)&amp;'Ingest Template'!H667&amp;Char(10)&amp;'Ingest Template'!I667&amp;Char(10)&amp;'Ingest Template'!J667&amp;Char(10)&amp;'Ingest Template'!K667&amp;Char(10)&amp;'Ingest Template'!L667)</f>
        <v>
</v>
      </c>
      <c r="E667" s="25" t="str">
        <f>('Ingest Template'!M667)</f>
        <v/>
      </c>
      <c r="F667" s="40" t="str">
        <f t="array" ref="F667">INDEX(DropDown!$J$2:$J$63,MATCH(1,COUNTIF(E667,DropDown!$I$2:$I$63),0))</f>
        <v>#N/A</v>
      </c>
      <c r="G667" s="25"/>
      <c r="H667" s="25"/>
      <c r="I667" s="25"/>
      <c r="J667" s="25" t="str">
        <f>'Ingest Template'!B667</f>
        <v/>
      </c>
      <c r="K667" s="25" t="str">
        <f>IF('Ingest Template'!A666="Standard",'Ingest Template'!N666,"Competitive View")</f>
        <v>Competitive View</v>
      </c>
      <c r="L667" s="41" t="s">
        <v>145</v>
      </c>
      <c r="M667" s="25" t="str">
        <f>'Ingest Template'!D666</f>
        <v/>
      </c>
      <c r="N667" s="25"/>
      <c r="O667" s="25"/>
      <c r="P667" s="25"/>
      <c r="Q667" s="25"/>
      <c r="R667" s="25" t="str">
        <f>CONCATENATE('Ingest Template'!F666)</f>
        <v/>
      </c>
      <c r="S667" s="43" t="s">
        <v>160</v>
      </c>
      <c r="T667" s="25" t="str">
        <f>'Ingest Template'!W666</f>
        <v/>
      </c>
      <c r="U667" s="25"/>
      <c r="V667" s="25" t="str">
        <f>LOWER(SUBSTITUTE(SUBSTITUTE(SUBSTITUTE(SUBSTITUTE(SUBSTITUTE('Ingest Template'!Y666,"https:",""),"www.",""),"/",""),"?hl=en",""),"instagram.com",""))</f>
        <v/>
      </c>
      <c r="W667" s="34" t="str">
        <f>(IFERROR(vlookup('Ingest Template'!F667,DropDown!D:E,2,false)&amp;'Ingest Template'!C667,""))</f>
        <v/>
      </c>
      <c r="X667" s="25" t="str">
        <f>'Ingest Template'!AA666</f>
        <v/>
      </c>
      <c r="Y667" s="25"/>
      <c r="Z667" s="25"/>
      <c r="AA667" s="25"/>
      <c r="AB667" s="25" t="str">
        <f>'Ingest Template'!T666</f>
        <v/>
      </c>
      <c r="AC667" s="25"/>
      <c r="AD667" s="25" t="str">
        <f>'Ingest Template'!U666</f>
        <v/>
      </c>
      <c r="AE667" s="25" t="str">
        <f>'Ingest Template'!V666</f>
        <v/>
      </c>
      <c r="AF667" s="25"/>
      <c r="AG667" s="25" t="str">
        <f t="array" ref="AG667">IF('Ingest Template'!A666="Standard",(CONCATENATE(IF(ISBLANK('Ingest Template'!O666),"", 'Ingest Template'!O666&amp;"|DAR"),CHAR(10), IF(ISBLANK('Ingest Template'!P666),"", 'Ingest Template'!P666&amp;"|DAR"),CHAR(10), IF(ISBLANK('Ingest Template'!Q666),"", 'Ingest Template'!Q666&amp;"|DAR"))),(CONCATENATE(IF(ISBLANK('Ingest Template'!O666),"", 'Ingest Template'!O666&amp;"|Operations - Core Title"),CHAR(10), IF(ISBLANK('Ingest Template'!P666),"", 'Ingest Template'!P666&amp;"|Operations - Core Title"),CHAR(10), IF(ISBLANK('Ingest Template'!Q666),"", 'Ingest Template'!Q666&amp;"|Operations - Core Title"))))</f>
        <v>#|Operations - Core Title
#videoGame|Operations - Core Title
</v>
      </c>
      <c r="AH667" s="25"/>
      <c r="AI667" s="25"/>
      <c r="AJ667" s="50" t="str">
        <f>if('Ingest Template'!A666="Standard",'Ingest Template'!R666&amp; "|DAR|DAR|2021-01-01",'Ingest Template'!R666&amp; "|Operations - Core Title|Operations - Core Title")</f>
        <v>#N/A</v>
      </c>
      <c r="AK667" s="25"/>
      <c r="AL667" s="25" t="str">
        <f>if('Ingest Template'!A666="Standard",'Ingest Template'!S666&amp; "|2021-01-01",'Ingest Template'!S666)</f>
        <v>#N/A</v>
      </c>
      <c r="AM667" s="25"/>
    </row>
    <row r="668">
      <c r="A668" s="25"/>
      <c r="B668" s="25" t="str">
        <f>'Ingest Template'!C667&amp;IF('Ingest Template'!A667 = "Standard", " - DAR","")</f>
        <v/>
      </c>
      <c r="C668" s="34" t="s">
        <v>92</v>
      </c>
      <c r="D668" s="34" t="str">
        <f>CONCATENATE('Ingest Template'!E668&amp;Char(10)&amp;'Ingest Template'!G668&amp;Char(10)&amp;'Ingest Template'!H668&amp;Char(10)&amp;'Ingest Template'!I668&amp;Char(10)&amp;'Ingest Template'!J668&amp;Char(10)&amp;'Ingest Template'!K668&amp;Char(10)&amp;'Ingest Template'!L668)</f>
        <v>
</v>
      </c>
      <c r="E668" s="25" t="str">
        <f>('Ingest Template'!M668)</f>
        <v/>
      </c>
      <c r="F668" s="40" t="str">
        <f t="array" ref="F668">INDEX(DropDown!$J$2:$J$63,MATCH(1,COUNTIF(E668,DropDown!$I$2:$I$63),0))</f>
        <v>#N/A</v>
      </c>
      <c r="G668" s="25"/>
      <c r="H668" s="25"/>
      <c r="I668" s="25"/>
      <c r="J668" s="25" t="str">
        <f>'Ingest Template'!B668</f>
        <v/>
      </c>
      <c r="K668" s="25" t="str">
        <f>IF('Ingest Template'!A667="Standard",'Ingest Template'!N667,"Competitive View")</f>
        <v>Competitive View</v>
      </c>
      <c r="L668" s="41" t="s">
        <v>145</v>
      </c>
      <c r="M668" s="25" t="str">
        <f>'Ingest Template'!D667</f>
        <v/>
      </c>
      <c r="N668" s="25"/>
      <c r="O668" s="25"/>
      <c r="P668" s="25"/>
      <c r="Q668" s="25"/>
      <c r="R668" s="25" t="str">
        <f>CONCATENATE('Ingest Template'!F667)</f>
        <v/>
      </c>
      <c r="S668" s="43" t="s">
        <v>160</v>
      </c>
      <c r="T668" s="25" t="str">
        <f>'Ingest Template'!W667</f>
        <v/>
      </c>
      <c r="U668" s="25"/>
      <c r="V668" s="25" t="str">
        <f>LOWER(SUBSTITUTE(SUBSTITUTE(SUBSTITUTE(SUBSTITUTE(SUBSTITUTE('Ingest Template'!Y667,"https:",""),"www.",""),"/",""),"?hl=en",""),"instagram.com",""))</f>
        <v/>
      </c>
      <c r="W668" s="34" t="str">
        <f>(IFERROR(vlookup('Ingest Template'!F668,DropDown!D:E,2,false)&amp;'Ingest Template'!C668,""))</f>
        <v/>
      </c>
      <c r="X668" s="25" t="str">
        <f>'Ingest Template'!AA667</f>
        <v/>
      </c>
      <c r="Y668" s="25"/>
      <c r="Z668" s="25"/>
      <c r="AA668" s="25"/>
      <c r="AB668" s="25" t="str">
        <f>'Ingest Template'!T667</f>
        <v/>
      </c>
      <c r="AC668" s="25"/>
      <c r="AD668" s="25" t="str">
        <f>'Ingest Template'!U667</f>
        <v/>
      </c>
      <c r="AE668" s="25" t="str">
        <f>'Ingest Template'!V667</f>
        <v/>
      </c>
      <c r="AF668" s="25"/>
      <c r="AG668" s="25" t="str">
        <f t="array" ref="AG668">IF('Ingest Template'!A667="Standard",(CONCATENATE(IF(ISBLANK('Ingest Template'!O667),"", 'Ingest Template'!O667&amp;"|DAR"),CHAR(10), IF(ISBLANK('Ingest Template'!P667),"", 'Ingest Template'!P667&amp;"|DAR"),CHAR(10), IF(ISBLANK('Ingest Template'!Q667),"", 'Ingest Template'!Q667&amp;"|DAR"))),(CONCATENATE(IF(ISBLANK('Ingest Template'!O667),"", 'Ingest Template'!O667&amp;"|Operations - Core Title"),CHAR(10), IF(ISBLANK('Ingest Template'!P667),"", 'Ingest Template'!P667&amp;"|Operations - Core Title"),CHAR(10), IF(ISBLANK('Ingest Template'!Q667),"", 'Ingest Template'!Q667&amp;"|Operations - Core Title"))))</f>
        <v>#|Operations - Core Title
#videoGame|Operations - Core Title
</v>
      </c>
      <c r="AH668" s="25"/>
      <c r="AI668" s="25"/>
      <c r="AJ668" s="50" t="str">
        <f>if('Ingest Template'!A667="Standard",'Ingest Template'!R667&amp; "|DAR|DAR|2021-01-01",'Ingest Template'!R667&amp; "|Operations - Core Title|Operations - Core Title")</f>
        <v>#N/A</v>
      </c>
      <c r="AK668" s="25"/>
      <c r="AL668" s="25" t="str">
        <f>if('Ingest Template'!A667="Standard",'Ingest Template'!S667&amp; "|2021-01-01",'Ingest Template'!S667)</f>
        <v>#N/A</v>
      </c>
      <c r="AM668" s="25"/>
    </row>
    <row r="669">
      <c r="A669" s="25"/>
      <c r="B669" s="25" t="str">
        <f>'Ingest Template'!C668&amp;IF('Ingest Template'!A668 = "Standard", " - DAR","")</f>
        <v/>
      </c>
      <c r="C669" s="34" t="s">
        <v>92</v>
      </c>
      <c r="D669" s="34" t="str">
        <f>CONCATENATE('Ingest Template'!E669&amp;Char(10)&amp;'Ingest Template'!G669&amp;Char(10)&amp;'Ingest Template'!H669&amp;Char(10)&amp;'Ingest Template'!I669&amp;Char(10)&amp;'Ingest Template'!J669&amp;Char(10)&amp;'Ingest Template'!K669&amp;Char(10)&amp;'Ingest Template'!L669)</f>
        <v>
</v>
      </c>
      <c r="E669" s="25" t="str">
        <f>('Ingest Template'!M669)</f>
        <v/>
      </c>
      <c r="F669" s="40" t="str">
        <f t="array" ref="F669">INDEX(DropDown!$J$2:$J$63,MATCH(1,COUNTIF(E669,DropDown!$I$2:$I$63),0))</f>
        <v>#N/A</v>
      </c>
      <c r="G669" s="25"/>
      <c r="H669" s="25"/>
      <c r="I669" s="25"/>
      <c r="J669" s="25" t="str">
        <f>'Ingest Template'!B669</f>
        <v/>
      </c>
      <c r="K669" s="25" t="str">
        <f>IF('Ingest Template'!A668="Standard",'Ingest Template'!N668,"Competitive View")</f>
        <v>Competitive View</v>
      </c>
      <c r="L669" s="41" t="s">
        <v>145</v>
      </c>
      <c r="M669" s="25" t="str">
        <f>'Ingest Template'!D668</f>
        <v/>
      </c>
      <c r="N669" s="25"/>
      <c r="O669" s="25"/>
      <c r="P669" s="25"/>
      <c r="Q669" s="25"/>
      <c r="R669" s="25" t="str">
        <f>CONCATENATE('Ingest Template'!F668)</f>
        <v/>
      </c>
      <c r="S669" s="43" t="s">
        <v>160</v>
      </c>
      <c r="T669" s="25" t="str">
        <f>'Ingest Template'!W668</f>
        <v/>
      </c>
      <c r="U669" s="25"/>
      <c r="V669" s="25" t="str">
        <f>LOWER(SUBSTITUTE(SUBSTITUTE(SUBSTITUTE(SUBSTITUTE(SUBSTITUTE('Ingest Template'!Y668,"https:",""),"www.",""),"/",""),"?hl=en",""),"instagram.com",""))</f>
        <v/>
      </c>
      <c r="W669" s="34" t="str">
        <f>(IFERROR(vlookup('Ingest Template'!F669,DropDown!D:E,2,false)&amp;'Ingest Template'!C669,""))</f>
        <v/>
      </c>
      <c r="X669" s="25" t="str">
        <f>'Ingest Template'!AA668</f>
        <v/>
      </c>
      <c r="Y669" s="25"/>
      <c r="Z669" s="25"/>
      <c r="AA669" s="25"/>
      <c r="AB669" s="25" t="str">
        <f>'Ingest Template'!T668</f>
        <v/>
      </c>
      <c r="AC669" s="25"/>
      <c r="AD669" s="25" t="str">
        <f>'Ingest Template'!U668</f>
        <v/>
      </c>
      <c r="AE669" s="25" t="str">
        <f>'Ingest Template'!V668</f>
        <v/>
      </c>
      <c r="AF669" s="25"/>
      <c r="AG669" s="25" t="str">
        <f t="array" ref="AG669">IF('Ingest Template'!A668="Standard",(CONCATENATE(IF(ISBLANK('Ingest Template'!O668),"", 'Ingest Template'!O668&amp;"|DAR"),CHAR(10), IF(ISBLANK('Ingest Template'!P668),"", 'Ingest Template'!P668&amp;"|DAR"),CHAR(10), IF(ISBLANK('Ingest Template'!Q668),"", 'Ingest Template'!Q668&amp;"|DAR"))),(CONCATENATE(IF(ISBLANK('Ingest Template'!O668),"", 'Ingest Template'!O668&amp;"|Operations - Core Title"),CHAR(10), IF(ISBLANK('Ingest Template'!P668),"", 'Ingest Template'!P668&amp;"|Operations - Core Title"),CHAR(10), IF(ISBLANK('Ingest Template'!Q668),"", 'Ingest Template'!Q668&amp;"|Operations - Core Title"))))</f>
        <v>#|Operations - Core Title
#videoGame|Operations - Core Title
</v>
      </c>
      <c r="AH669" s="25"/>
      <c r="AI669" s="25"/>
      <c r="AJ669" s="50" t="str">
        <f>if('Ingest Template'!A668="Standard",'Ingest Template'!R668&amp; "|DAR|DAR|2021-01-01",'Ingest Template'!R668&amp; "|Operations - Core Title|Operations - Core Title")</f>
        <v>#N/A</v>
      </c>
      <c r="AK669" s="25"/>
      <c r="AL669" s="25" t="str">
        <f>if('Ingest Template'!A668="Standard",'Ingest Template'!S668&amp; "|2021-01-01",'Ingest Template'!S668)</f>
        <v>#N/A</v>
      </c>
      <c r="AM669" s="25"/>
    </row>
    <row r="670">
      <c r="A670" s="25"/>
      <c r="B670" s="25" t="str">
        <f>'Ingest Template'!C669&amp;IF('Ingest Template'!A669 = "Standard", " - DAR","")</f>
        <v/>
      </c>
      <c r="C670" s="34" t="s">
        <v>92</v>
      </c>
      <c r="D670" s="34" t="str">
        <f>CONCATENATE('Ingest Template'!E670&amp;Char(10)&amp;'Ingest Template'!G670&amp;Char(10)&amp;'Ingest Template'!H670&amp;Char(10)&amp;'Ingest Template'!I670&amp;Char(10)&amp;'Ingest Template'!J670&amp;Char(10)&amp;'Ingest Template'!K670&amp;Char(10)&amp;'Ingest Template'!L670)</f>
        <v>
</v>
      </c>
      <c r="E670" s="25" t="str">
        <f>('Ingest Template'!M670)</f>
        <v/>
      </c>
      <c r="F670" s="40" t="str">
        <f t="array" ref="F670">INDEX(DropDown!$J$2:$J$63,MATCH(1,COUNTIF(E670,DropDown!$I$2:$I$63),0))</f>
        <v>#N/A</v>
      </c>
      <c r="G670" s="25"/>
      <c r="H670" s="25"/>
      <c r="I670" s="25"/>
      <c r="J670" s="25" t="str">
        <f>'Ingest Template'!B670</f>
        <v/>
      </c>
      <c r="K670" s="25" t="str">
        <f>IF('Ingest Template'!A669="Standard",'Ingest Template'!N669,"Competitive View")</f>
        <v>Competitive View</v>
      </c>
      <c r="L670" s="41" t="s">
        <v>145</v>
      </c>
      <c r="M670" s="25" t="str">
        <f>'Ingest Template'!D669</f>
        <v/>
      </c>
      <c r="N670" s="25"/>
      <c r="O670" s="25"/>
      <c r="P670" s="25"/>
      <c r="Q670" s="25"/>
      <c r="R670" s="25" t="str">
        <f>CONCATENATE('Ingest Template'!F669)</f>
        <v/>
      </c>
      <c r="S670" s="43" t="s">
        <v>160</v>
      </c>
      <c r="T670" s="25" t="str">
        <f>'Ingest Template'!W669</f>
        <v/>
      </c>
      <c r="U670" s="25"/>
      <c r="V670" s="25" t="str">
        <f>LOWER(SUBSTITUTE(SUBSTITUTE(SUBSTITUTE(SUBSTITUTE(SUBSTITUTE('Ingest Template'!Y669,"https:",""),"www.",""),"/",""),"?hl=en",""),"instagram.com",""))</f>
        <v/>
      </c>
      <c r="W670" s="34" t="str">
        <f>(IFERROR(vlookup('Ingest Template'!F670,DropDown!D:E,2,false)&amp;'Ingest Template'!C670,""))</f>
        <v/>
      </c>
      <c r="X670" s="25" t="str">
        <f>'Ingest Template'!AA669</f>
        <v/>
      </c>
      <c r="Y670" s="25"/>
      <c r="Z670" s="25"/>
      <c r="AA670" s="25"/>
      <c r="AB670" s="25" t="str">
        <f>'Ingest Template'!T669</f>
        <v/>
      </c>
      <c r="AC670" s="25"/>
      <c r="AD670" s="25" t="str">
        <f>'Ingest Template'!U669</f>
        <v/>
      </c>
      <c r="AE670" s="25" t="str">
        <f>'Ingest Template'!V669</f>
        <v/>
      </c>
      <c r="AF670" s="25"/>
      <c r="AG670" s="25" t="str">
        <f t="array" ref="AG670">IF('Ingest Template'!A669="Standard",(CONCATENATE(IF(ISBLANK('Ingest Template'!O669),"", 'Ingest Template'!O669&amp;"|DAR"),CHAR(10), IF(ISBLANK('Ingest Template'!P669),"", 'Ingest Template'!P669&amp;"|DAR"),CHAR(10), IF(ISBLANK('Ingest Template'!Q669),"", 'Ingest Template'!Q669&amp;"|DAR"))),(CONCATENATE(IF(ISBLANK('Ingest Template'!O669),"", 'Ingest Template'!O669&amp;"|Operations - Core Title"),CHAR(10), IF(ISBLANK('Ingest Template'!P669),"", 'Ingest Template'!P669&amp;"|Operations - Core Title"),CHAR(10), IF(ISBLANK('Ingest Template'!Q669),"", 'Ingest Template'!Q669&amp;"|Operations - Core Title"))))</f>
        <v>#|Operations - Core Title
#videoGame|Operations - Core Title
</v>
      </c>
      <c r="AH670" s="25"/>
      <c r="AI670" s="25"/>
      <c r="AJ670" s="50" t="str">
        <f>if('Ingest Template'!A669="Standard",'Ingest Template'!R669&amp; "|DAR|DAR|2021-01-01",'Ingest Template'!R669&amp; "|Operations - Core Title|Operations - Core Title")</f>
        <v>#N/A</v>
      </c>
      <c r="AK670" s="25"/>
      <c r="AL670" s="25" t="str">
        <f>if('Ingest Template'!A669="Standard",'Ingest Template'!S669&amp; "|2021-01-01",'Ingest Template'!S669)</f>
        <v>#N/A</v>
      </c>
      <c r="AM670" s="25"/>
    </row>
    <row r="671">
      <c r="A671" s="25"/>
      <c r="B671" s="25" t="str">
        <f>'Ingest Template'!C670&amp;IF('Ingest Template'!A670 = "Standard", " - DAR","")</f>
        <v/>
      </c>
      <c r="C671" s="34" t="s">
        <v>92</v>
      </c>
      <c r="D671" s="34" t="str">
        <f>CONCATENATE('Ingest Template'!E671&amp;Char(10)&amp;'Ingest Template'!G671&amp;Char(10)&amp;'Ingest Template'!H671&amp;Char(10)&amp;'Ingest Template'!I671&amp;Char(10)&amp;'Ingest Template'!J671&amp;Char(10)&amp;'Ingest Template'!K671&amp;Char(10)&amp;'Ingest Template'!L671)</f>
        <v>
</v>
      </c>
      <c r="E671" s="25" t="str">
        <f>('Ingest Template'!M671)</f>
        <v/>
      </c>
      <c r="F671" s="40" t="str">
        <f t="array" ref="F671">INDEX(DropDown!$J$2:$J$63,MATCH(1,COUNTIF(E671,DropDown!$I$2:$I$63),0))</f>
        <v>#N/A</v>
      </c>
      <c r="G671" s="25"/>
      <c r="H671" s="25"/>
      <c r="I671" s="25"/>
      <c r="J671" s="25" t="str">
        <f>'Ingest Template'!B671</f>
        <v/>
      </c>
      <c r="K671" s="25" t="str">
        <f>IF('Ingest Template'!A670="Standard",'Ingest Template'!N670,"Competitive View")</f>
        <v>Competitive View</v>
      </c>
      <c r="L671" s="41" t="s">
        <v>145</v>
      </c>
      <c r="M671" s="25" t="str">
        <f>'Ingest Template'!D670</f>
        <v/>
      </c>
      <c r="N671" s="25"/>
      <c r="O671" s="25"/>
      <c r="P671" s="25"/>
      <c r="Q671" s="25"/>
      <c r="R671" s="25" t="str">
        <f>CONCATENATE('Ingest Template'!F670)</f>
        <v/>
      </c>
      <c r="S671" s="43" t="s">
        <v>160</v>
      </c>
      <c r="T671" s="25" t="str">
        <f>'Ingest Template'!W670</f>
        <v/>
      </c>
      <c r="U671" s="25"/>
      <c r="V671" s="25" t="str">
        <f>LOWER(SUBSTITUTE(SUBSTITUTE(SUBSTITUTE(SUBSTITUTE(SUBSTITUTE('Ingest Template'!Y670,"https:",""),"www.",""),"/",""),"?hl=en",""),"instagram.com",""))</f>
        <v/>
      </c>
      <c r="W671" s="34" t="str">
        <f>(IFERROR(vlookup('Ingest Template'!F671,DropDown!D:E,2,false)&amp;'Ingest Template'!C671,""))</f>
        <v/>
      </c>
      <c r="X671" s="25" t="str">
        <f>'Ingest Template'!AA670</f>
        <v/>
      </c>
      <c r="Y671" s="25"/>
      <c r="Z671" s="25"/>
      <c r="AA671" s="25"/>
      <c r="AB671" s="25" t="str">
        <f>'Ingest Template'!T670</f>
        <v/>
      </c>
      <c r="AC671" s="25"/>
      <c r="AD671" s="25" t="str">
        <f>'Ingest Template'!U670</f>
        <v/>
      </c>
      <c r="AE671" s="25" t="str">
        <f>'Ingest Template'!V670</f>
        <v/>
      </c>
      <c r="AF671" s="25"/>
      <c r="AG671" s="25" t="str">
        <f t="array" ref="AG671">IF('Ingest Template'!A670="Standard",(CONCATENATE(IF(ISBLANK('Ingest Template'!O670),"", 'Ingest Template'!O670&amp;"|DAR"),CHAR(10), IF(ISBLANK('Ingest Template'!P670),"", 'Ingest Template'!P670&amp;"|DAR"),CHAR(10), IF(ISBLANK('Ingest Template'!Q670),"", 'Ingest Template'!Q670&amp;"|DAR"))),(CONCATENATE(IF(ISBLANK('Ingest Template'!O670),"", 'Ingest Template'!O670&amp;"|Operations - Core Title"),CHAR(10), IF(ISBLANK('Ingest Template'!P670),"", 'Ingest Template'!P670&amp;"|Operations - Core Title"),CHAR(10), IF(ISBLANK('Ingest Template'!Q670),"", 'Ingest Template'!Q670&amp;"|Operations - Core Title"))))</f>
        <v>#|Operations - Core Title
#videoGame|Operations - Core Title
</v>
      </c>
      <c r="AH671" s="25"/>
      <c r="AI671" s="25"/>
      <c r="AJ671" s="50" t="str">
        <f>if('Ingest Template'!A670="Standard",'Ingest Template'!R670&amp; "|DAR|DAR|2021-01-01",'Ingest Template'!R670&amp; "|Operations - Core Title|Operations - Core Title")</f>
        <v>#N/A</v>
      </c>
      <c r="AK671" s="25"/>
      <c r="AL671" s="25" t="str">
        <f>if('Ingest Template'!A670="Standard",'Ingest Template'!S670&amp; "|2021-01-01",'Ingest Template'!S670)</f>
        <v>#N/A</v>
      </c>
      <c r="AM671" s="25"/>
    </row>
    <row r="672">
      <c r="A672" s="25"/>
      <c r="B672" s="25" t="str">
        <f>'Ingest Template'!C671&amp;IF('Ingest Template'!A671 = "Standard", " - DAR","")</f>
        <v/>
      </c>
      <c r="C672" s="34" t="s">
        <v>92</v>
      </c>
      <c r="D672" s="34" t="str">
        <f>CONCATENATE('Ingest Template'!E672&amp;Char(10)&amp;'Ingest Template'!G672&amp;Char(10)&amp;'Ingest Template'!H672&amp;Char(10)&amp;'Ingest Template'!I672&amp;Char(10)&amp;'Ingest Template'!J672&amp;Char(10)&amp;'Ingest Template'!K672&amp;Char(10)&amp;'Ingest Template'!L672)</f>
        <v>
</v>
      </c>
      <c r="E672" s="25" t="str">
        <f>('Ingest Template'!M672)</f>
        <v/>
      </c>
      <c r="F672" s="40" t="str">
        <f t="array" ref="F672">INDEX(DropDown!$J$2:$J$63,MATCH(1,COUNTIF(E672,DropDown!$I$2:$I$63),0))</f>
        <v>#N/A</v>
      </c>
      <c r="G672" s="25"/>
      <c r="H672" s="25"/>
      <c r="I672" s="25"/>
      <c r="J672" s="25" t="str">
        <f>'Ingest Template'!B672</f>
        <v/>
      </c>
      <c r="K672" s="25" t="str">
        <f>IF('Ingest Template'!A671="Standard",'Ingest Template'!N671,"Competitive View")</f>
        <v>Competitive View</v>
      </c>
      <c r="L672" s="41" t="s">
        <v>145</v>
      </c>
      <c r="M672" s="25" t="str">
        <f>'Ingest Template'!D671</f>
        <v/>
      </c>
      <c r="N672" s="25"/>
      <c r="O672" s="25"/>
      <c r="P672" s="25"/>
      <c r="Q672" s="25"/>
      <c r="R672" s="25" t="str">
        <f>CONCATENATE('Ingest Template'!F671)</f>
        <v/>
      </c>
      <c r="S672" s="43" t="s">
        <v>160</v>
      </c>
      <c r="T672" s="25" t="str">
        <f>'Ingest Template'!W671</f>
        <v/>
      </c>
      <c r="U672" s="25"/>
      <c r="V672" s="25" t="str">
        <f>LOWER(SUBSTITUTE(SUBSTITUTE(SUBSTITUTE(SUBSTITUTE(SUBSTITUTE('Ingest Template'!Y671,"https:",""),"www.",""),"/",""),"?hl=en",""),"instagram.com",""))</f>
        <v/>
      </c>
      <c r="W672" s="34" t="str">
        <f>(IFERROR(vlookup('Ingest Template'!F672,DropDown!D:E,2,false)&amp;'Ingest Template'!C672,""))</f>
        <v/>
      </c>
      <c r="X672" s="25" t="str">
        <f>'Ingest Template'!AA671</f>
        <v/>
      </c>
      <c r="Y672" s="25"/>
      <c r="Z672" s="25"/>
      <c r="AA672" s="25"/>
      <c r="AB672" s="25" t="str">
        <f>'Ingest Template'!T671</f>
        <v/>
      </c>
      <c r="AC672" s="25"/>
      <c r="AD672" s="25" t="str">
        <f>'Ingest Template'!U671</f>
        <v/>
      </c>
      <c r="AE672" s="25" t="str">
        <f>'Ingest Template'!V671</f>
        <v/>
      </c>
      <c r="AF672" s="25"/>
      <c r="AG672" s="25" t="str">
        <f t="array" ref="AG672">IF('Ingest Template'!A671="Standard",(CONCATENATE(IF(ISBLANK('Ingest Template'!O671),"", 'Ingest Template'!O671&amp;"|DAR"),CHAR(10), IF(ISBLANK('Ingest Template'!P671),"", 'Ingest Template'!P671&amp;"|DAR"),CHAR(10), IF(ISBLANK('Ingest Template'!Q671),"", 'Ingest Template'!Q671&amp;"|DAR"))),(CONCATENATE(IF(ISBLANK('Ingest Template'!O671),"", 'Ingest Template'!O671&amp;"|Operations - Core Title"),CHAR(10), IF(ISBLANK('Ingest Template'!P671),"", 'Ingest Template'!P671&amp;"|Operations - Core Title"),CHAR(10), IF(ISBLANK('Ingest Template'!Q671),"", 'Ingest Template'!Q671&amp;"|Operations - Core Title"))))</f>
        <v>#|Operations - Core Title
#videoGame|Operations - Core Title
</v>
      </c>
      <c r="AH672" s="25"/>
      <c r="AI672" s="25"/>
      <c r="AJ672" s="50" t="str">
        <f>if('Ingest Template'!A671="Standard",'Ingest Template'!R671&amp; "|DAR|DAR|2021-01-01",'Ingest Template'!R671&amp; "|Operations - Core Title|Operations - Core Title")</f>
        <v>#N/A</v>
      </c>
      <c r="AK672" s="25"/>
      <c r="AL672" s="25" t="str">
        <f>if('Ingest Template'!A671="Standard",'Ingest Template'!S671&amp; "|2021-01-01",'Ingest Template'!S671)</f>
        <v>#N/A</v>
      </c>
      <c r="AM672" s="25"/>
    </row>
    <row r="673">
      <c r="A673" s="25"/>
      <c r="B673" s="25" t="str">
        <f>'Ingest Template'!C672&amp;IF('Ingest Template'!A672 = "Standard", " - DAR","")</f>
        <v/>
      </c>
      <c r="C673" s="34" t="s">
        <v>92</v>
      </c>
      <c r="D673" s="34" t="str">
        <f>CONCATENATE('Ingest Template'!E673&amp;Char(10)&amp;'Ingest Template'!G673&amp;Char(10)&amp;'Ingest Template'!H673&amp;Char(10)&amp;'Ingest Template'!I673&amp;Char(10)&amp;'Ingest Template'!J673&amp;Char(10)&amp;'Ingest Template'!K673&amp;Char(10)&amp;'Ingest Template'!L673)</f>
        <v>
</v>
      </c>
      <c r="E673" s="25" t="str">
        <f>('Ingest Template'!M673)</f>
        <v/>
      </c>
      <c r="F673" s="40" t="str">
        <f t="array" ref="F673">INDEX(DropDown!$J$2:$J$63,MATCH(1,COUNTIF(E673,DropDown!$I$2:$I$63),0))</f>
        <v>#N/A</v>
      </c>
      <c r="G673" s="25"/>
      <c r="H673" s="25"/>
      <c r="I673" s="25"/>
      <c r="J673" s="25" t="str">
        <f>'Ingest Template'!B673</f>
        <v/>
      </c>
      <c r="K673" s="25" t="str">
        <f>IF('Ingest Template'!A672="Standard",'Ingest Template'!N672,"Competitive View")</f>
        <v>Competitive View</v>
      </c>
      <c r="L673" s="41" t="s">
        <v>145</v>
      </c>
      <c r="M673" s="25" t="str">
        <f>'Ingest Template'!D672</f>
        <v/>
      </c>
      <c r="N673" s="25"/>
      <c r="O673" s="25"/>
      <c r="P673" s="25"/>
      <c r="Q673" s="25"/>
      <c r="R673" s="25" t="str">
        <f>CONCATENATE('Ingest Template'!F672)</f>
        <v/>
      </c>
      <c r="S673" s="43" t="s">
        <v>160</v>
      </c>
      <c r="T673" s="25" t="str">
        <f>'Ingest Template'!W672</f>
        <v/>
      </c>
      <c r="U673" s="25"/>
      <c r="V673" s="25" t="str">
        <f>LOWER(SUBSTITUTE(SUBSTITUTE(SUBSTITUTE(SUBSTITUTE(SUBSTITUTE('Ingest Template'!Y672,"https:",""),"www.",""),"/",""),"?hl=en",""),"instagram.com",""))</f>
        <v/>
      </c>
      <c r="W673" s="34" t="str">
        <f>(IFERROR(vlookup('Ingest Template'!F673,DropDown!D:E,2,false)&amp;'Ingest Template'!C673,""))</f>
        <v/>
      </c>
      <c r="X673" s="25" t="str">
        <f>'Ingest Template'!AA672</f>
        <v/>
      </c>
      <c r="Y673" s="25"/>
      <c r="Z673" s="25"/>
      <c r="AA673" s="25"/>
      <c r="AB673" s="25" t="str">
        <f>'Ingest Template'!T672</f>
        <v/>
      </c>
      <c r="AC673" s="25"/>
      <c r="AD673" s="25" t="str">
        <f>'Ingest Template'!U672</f>
        <v/>
      </c>
      <c r="AE673" s="25" t="str">
        <f>'Ingest Template'!V672</f>
        <v/>
      </c>
      <c r="AF673" s="25"/>
      <c r="AG673" s="25" t="str">
        <f t="array" ref="AG673">IF('Ingest Template'!A672="Standard",(CONCATENATE(IF(ISBLANK('Ingest Template'!O672),"", 'Ingest Template'!O672&amp;"|DAR"),CHAR(10), IF(ISBLANK('Ingest Template'!P672),"", 'Ingest Template'!P672&amp;"|DAR"),CHAR(10), IF(ISBLANK('Ingest Template'!Q672),"", 'Ingest Template'!Q672&amp;"|DAR"))),(CONCATENATE(IF(ISBLANK('Ingest Template'!O672),"", 'Ingest Template'!O672&amp;"|Operations - Core Title"),CHAR(10), IF(ISBLANK('Ingest Template'!P672),"", 'Ingest Template'!P672&amp;"|Operations - Core Title"),CHAR(10), IF(ISBLANK('Ingest Template'!Q672),"", 'Ingest Template'!Q672&amp;"|Operations - Core Title"))))</f>
        <v>#|Operations - Core Title
#videoGame|Operations - Core Title
</v>
      </c>
      <c r="AH673" s="25"/>
      <c r="AI673" s="25"/>
      <c r="AJ673" s="50" t="str">
        <f>if('Ingest Template'!A672="Standard",'Ingest Template'!R672&amp; "|DAR|DAR|2021-01-01",'Ingest Template'!R672&amp; "|Operations - Core Title|Operations - Core Title")</f>
        <v>#N/A</v>
      </c>
      <c r="AK673" s="25"/>
      <c r="AL673" s="25" t="str">
        <f>if('Ingest Template'!A672="Standard",'Ingest Template'!S672&amp; "|2021-01-01",'Ingest Template'!S672)</f>
        <v>#N/A</v>
      </c>
      <c r="AM673" s="25"/>
    </row>
    <row r="674">
      <c r="A674" s="25"/>
      <c r="B674" s="25" t="str">
        <f>'Ingest Template'!C673&amp;IF('Ingest Template'!A673 = "Standard", " - DAR","")</f>
        <v/>
      </c>
      <c r="C674" s="34" t="s">
        <v>92</v>
      </c>
      <c r="D674" s="34" t="str">
        <f>CONCATENATE('Ingest Template'!E674&amp;Char(10)&amp;'Ingest Template'!G674&amp;Char(10)&amp;'Ingest Template'!H674&amp;Char(10)&amp;'Ingest Template'!I674&amp;Char(10)&amp;'Ingest Template'!J674&amp;Char(10)&amp;'Ingest Template'!K674&amp;Char(10)&amp;'Ingest Template'!L674)</f>
        <v>
</v>
      </c>
      <c r="E674" s="25" t="str">
        <f>('Ingest Template'!M674)</f>
        <v/>
      </c>
      <c r="F674" s="40" t="str">
        <f t="array" ref="F674">INDEX(DropDown!$J$2:$J$63,MATCH(1,COUNTIF(E674,DropDown!$I$2:$I$63),0))</f>
        <v>#N/A</v>
      </c>
      <c r="G674" s="25"/>
      <c r="H674" s="25"/>
      <c r="I674" s="25"/>
      <c r="J674" s="25" t="str">
        <f>'Ingest Template'!B674</f>
        <v/>
      </c>
      <c r="K674" s="25" t="str">
        <f>IF('Ingest Template'!A673="Standard",'Ingest Template'!N673,"Competitive View")</f>
        <v>Competitive View</v>
      </c>
      <c r="L674" s="41" t="s">
        <v>145</v>
      </c>
      <c r="M674" s="25" t="str">
        <f>'Ingest Template'!D673</f>
        <v/>
      </c>
      <c r="N674" s="25"/>
      <c r="O674" s="25"/>
      <c r="P674" s="25"/>
      <c r="Q674" s="25"/>
      <c r="R674" s="25" t="str">
        <f>CONCATENATE('Ingest Template'!F673)</f>
        <v/>
      </c>
      <c r="S674" s="43" t="s">
        <v>160</v>
      </c>
      <c r="T674" s="25" t="str">
        <f>'Ingest Template'!W673</f>
        <v/>
      </c>
      <c r="U674" s="25"/>
      <c r="V674" s="25" t="str">
        <f>LOWER(SUBSTITUTE(SUBSTITUTE(SUBSTITUTE(SUBSTITUTE(SUBSTITUTE('Ingest Template'!Y673,"https:",""),"www.",""),"/",""),"?hl=en",""),"instagram.com",""))</f>
        <v/>
      </c>
      <c r="W674" s="34" t="str">
        <f>(IFERROR(vlookup('Ingest Template'!F674,DropDown!D:E,2,false)&amp;'Ingest Template'!C674,""))</f>
        <v/>
      </c>
      <c r="X674" s="25" t="str">
        <f>'Ingest Template'!AA673</f>
        <v/>
      </c>
      <c r="Y674" s="25"/>
      <c r="Z674" s="25"/>
      <c r="AA674" s="25"/>
      <c r="AB674" s="25" t="str">
        <f>'Ingest Template'!T673</f>
        <v/>
      </c>
      <c r="AC674" s="25"/>
      <c r="AD674" s="25" t="str">
        <f>'Ingest Template'!U673</f>
        <v/>
      </c>
      <c r="AE674" s="25" t="str">
        <f>'Ingest Template'!V673</f>
        <v/>
      </c>
      <c r="AF674" s="25"/>
      <c r="AG674" s="25" t="str">
        <f t="array" ref="AG674">IF('Ingest Template'!A673="Standard",(CONCATENATE(IF(ISBLANK('Ingest Template'!O673),"", 'Ingest Template'!O673&amp;"|DAR"),CHAR(10), IF(ISBLANK('Ingest Template'!P673),"", 'Ingest Template'!P673&amp;"|DAR"),CHAR(10), IF(ISBLANK('Ingest Template'!Q673),"", 'Ingest Template'!Q673&amp;"|DAR"))),(CONCATENATE(IF(ISBLANK('Ingest Template'!O673),"", 'Ingest Template'!O673&amp;"|Operations - Core Title"),CHAR(10), IF(ISBLANK('Ingest Template'!P673),"", 'Ingest Template'!P673&amp;"|Operations - Core Title"),CHAR(10), IF(ISBLANK('Ingest Template'!Q673),"", 'Ingest Template'!Q673&amp;"|Operations - Core Title"))))</f>
        <v>#|Operations - Core Title
#videoGame|Operations - Core Title
</v>
      </c>
      <c r="AH674" s="25"/>
      <c r="AI674" s="25"/>
      <c r="AJ674" s="50" t="str">
        <f>if('Ingest Template'!A673="Standard",'Ingest Template'!R673&amp; "|DAR|DAR|2021-01-01",'Ingest Template'!R673&amp; "|Operations - Core Title|Operations - Core Title")</f>
        <v>#N/A</v>
      </c>
      <c r="AK674" s="25"/>
      <c r="AL674" s="25" t="str">
        <f>if('Ingest Template'!A673="Standard",'Ingest Template'!S673&amp; "|2021-01-01",'Ingest Template'!S673)</f>
        <v>#N/A</v>
      </c>
      <c r="AM674" s="25"/>
    </row>
    <row r="675">
      <c r="A675" s="25"/>
      <c r="B675" s="25" t="str">
        <f>'Ingest Template'!C674&amp;IF('Ingest Template'!A674 = "Standard", " - DAR","")</f>
        <v/>
      </c>
      <c r="C675" s="34" t="s">
        <v>92</v>
      </c>
      <c r="D675" s="34" t="str">
        <f>CONCATENATE('Ingest Template'!E675&amp;Char(10)&amp;'Ingest Template'!G675&amp;Char(10)&amp;'Ingest Template'!H675&amp;Char(10)&amp;'Ingest Template'!I675&amp;Char(10)&amp;'Ingest Template'!J675&amp;Char(10)&amp;'Ingest Template'!K675&amp;Char(10)&amp;'Ingest Template'!L675)</f>
        <v>
</v>
      </c>
      <c r="E675" s="25" t="str">
        <f>('Ingest Template'!M675)</f>
        <v/>
      </c>
      <c r="F675" s="40" t="str">
        <f t="array" ref="F675">INDEX(DropDown!$J$2:$J$63,MATCH(1,COUNTIF(E675,DropDown!$I$2:$I$63),0))</f>
        <v>#N/A</v>
      </c>
      <c r="G675" s="25"/>
      <c r="H675" s="25"/>
      <c r="I675" s="25"/>
      <c r="J675" s="25" t="str">
        <f>'Ingest Template'!B675</f>
        <v/>
      </c>
      <c r="K675" s="25" t="str">
        <f>IF('Ingest Template'!A674="Standard",'Ingest Template'!N674,"Competitive View")</f>
        <v>Competitive View</v>
      </c>
      <c r="L675" s="41" t="s">
        <v>145</v>
      </c>
      <c r="M675" s="25" t="str">
        <f>'Ingest Template'!D674</f>
        <v/>
      </c>
      <c r="N675" s="25"/>
      <c r="O675" s="25"/>
      <c r="P675" s="25"/>
      <c r="Q675" s="25"/>
      <c r="R675" s="25" t="str">
        <f>CONCATENATE('Ingest Template'!F674)</f>
        <v/>
      </c>
      <c r="S675" s="43" t="s">
        <v>160</v>
      </c>
      <c r="T675" s="25" t="str">
        <f>'Ingest Template'!W674</f>
        <v/>
      </c>
      <c r="U675" s="25"/>
      <c r="V675" s="25" t="str">
        <f>LOWER(SUBSTITUTE(SUBSTITUTE(SUBSTITUTE(SUBSTITUTE(SUBSTITUTE('Ingest Template'!Y674,"https:",""),"www.",""),"/",""),"?hl=en",""),"instagram.com",""))</f>
        <v/>
      </c>
      <c r="W675" s="34" t="str">
        <f>(IFERROR(vlookup('Ingest Template'!F675,DropDown!D:E,2,false)&amp;'Ingest Template'!C675,""))</f>
        <v/>
      </c>
      <c r="X675" s="25" t="str">
        <f>'Ingest Template'!AA674</f>
        <v/>
      </c>
      <c r="Y675" s="25"/>
      <c r="Z675" s="25"/>
      <c r="AA675" s="25"/>
      <c r="AB675" s="25" t="str">
        <f>'Ingest Template'!T674</f>
        <v/>
      </c>
      <c r="AC675" s="25"/>
      <c r="AD675" s="25" t="str">
        <f>'Ingest Template'!U674</f>
        <v/>
      </c>
      <c r="AE675" s="25" t="str">
        <f>'Ingest Template'!V674</f>
        <v/>
      </c>
      <c r="AF675" s="25"/>
      <c r="AG675" s="25" t="str">
        <f t="array" ref="AG675">IF('Ingest Template'!A674="Standard",(CONCATENATE(IF(ISBLANK('Ingest Template'!O674),"", 'Ingest Template'!O674&amp;"|DAR"),CHAR(10), IF(ISBLANK('Ingest Template'!P674),"", 'Ingest Template'!P674&amp;"|DAR"),CHAR(10), IF(ISBLANK('Ingest Template'!Q674),"", 'Ingest Template'!Q674&amp;"|DAR"))),(CONCATENATE(IF(ISBLANK('Ingest Template'!O674),"", 'Ingest Template'!O674&amp;"|Operations - Core Title"),CHAR(10), IF(ISBLANK('Ingest Template'!P674),"", 'Ingest Template'!P674&amp;"|Operations - Core Title"),CHAR(10), IF(ISBLANK('Ingest Template'!Q674),"", 'Ingest Template'!Q674&amp;"|Operations - Core Title"))))</f>
        <v>#|Operations - Core Title
#videoGame|Operations - Core Title
</v>
      </c>
      <c r="AH675" s="25"/>
      <c r="AI675" s="25"/>
      <c r="AJ675" s="50" t="str">
        <f>if('Ingest Template'!A674="Standard",'Ingest Template'!R674&amp; "|DAR|DAR|2021-01-01",'Ingest Template'!R674&amp; "|Operations - Core Title|Operations - Core Title")</f>
        <v>#N/A</v>
      </c>
      <c r="AK675" s="25"/>
      <c r="AL675" s="25" t="str">
        <f>if('Ingest Template'!A674="Standard",'Ingest Template'!S674&amp; "|2021-01-01",'Ingest Template'!S674)</f>
        <v>#N/A</v>
      </c>
      <c r="AM675" s="25"/>
    </row>
    <row r="676">
      <c r="A676" s="25"/>
      <c r="B676" s="25" t="str">
        <f>'Ingest Template'!C675&amp;IF('Ingest Template'!A675 = "Standard", " - DAR","")</f>
        <v/>
      </c>
      <c r="C676" s="34" t="s">
        <v>92</v>
      </c>
      <c r="D676" s="34" t="str">
        <f>CONCATENATE('Ingest Template'!E676&amp;Char(10)&amp;'Ingest Template'!G676&amp;Char(10)&amp;'Ingest Template'!H676&amp;Char(10)&amp;'Ingest Template'!I676&amp;Char(10)&amp;'Ingest Template'!J676&amp;Char(10)&amp;'Ingest Template'!K676&amp;Char(10)&amp;'Ingest Template'!L676)</f>
        <v>
</v>
      </c>
      <c r="E676" s="25" t="str">
        <f>('Ingest Template'!M676)</f>
        <v/>
      </c>
      <c r="F676" s="40" t="str">
        <f t="array" ref="F676">INDEX(DropDown!$J$2:$J$63,MATCH(1,COUNTIF(E676,DropDown!$I$2:$I$63),0))</f>
        <v>#N/A</v>
      </c>
      <c r="G676" s="25"/>
      <c r="H676" s="25"/>
      <c r="I676" s="25"/>
      <c r="J676" s="25" t="str">
        <f>'Ingest Template'!B676</f>
        <v/>
      </c>
      <c r="K676" s="25" t="str">
        <f>IF('Ingest Template'!A675="Standard",'Ingest Template'!N675,"Competitive View")</f>
        <v>Competitive View</v>
      </c>
      <c r="L676" s="41" t="s">
        <v>145</v>
      </c>
      <c r="M676" s="25" t="str">
        <f>'Ingest Template'!D675</f>
        <v/>
      </c>
      <c r="N676" s="25"/>
      <c r="O676" s="25"/>
      <c r="P676" s="25"/>
      <c r="Q676" s="25"/>
      <c r="R676" s="25" t="str">
        <f>CONCATENATE('Ingest Template'!F675)</f>
        <v/>
      </c>
      <c r="S676" s="43" t="s">
        <v>160</v>
      </c>
      <c r="T676" s="25" t="str">
        <f>'Ingest Template'!W675</f>
        <v/>
      </c>
      <c r="U676" s="25"/>
      <c r="V676" s="25" t="str">
        <f>LOWER(SUBSTITUTE(SUBSTITUTE(SUBSTITUTE(SUBSTITUTE(SUBSTITUTE('Ingest Template'!Y675,"https:",""),"www.",""),"/",""),"?hl=en",""),"instagram.com",""))</f>
        <v/>
      </c>
      <c r="W676" s="34" t="str">
        <f>(IFERROR(vlookup('Ingest Template'!F676,DropDown!D:E,2,false)&amp;'Ingest Template'!C676,""))</f>
        <v/>
      </c>
      <c r="X676" s="25" t="str">
        <f>'Ingest Template'!AA675</f>
        <v/>
      </c>
      <c r="Y676" s="25"/>
      <c r="Z676" s="25"/>
      <c r="AA676" s="25"/>
      <c r="AB676" s="25" t="str">
        <f>'Ingest Template'!T675</f>
        <v/>
      </c>
      <c r="AC676" s="25"/>
      <c r="AD676" s="25" t="str">
        <f>'Ingest Template'!U675</f>
        <v/>
      </c>
      <c r="AE676" s="25" t="str">
        <f>'Ingest Template'!V675</f>
        <v/>
      </c>
      <c r="AF676" s="25"/>
      <c r="AG676" s="25" t="str">
        <f t="array" ref="AG676">IF('Ingest Template'!A675="Standard",(CONCATENATE(IF(ISBLANK('Ingest Template'!O675),"", 'Ingest Template'!O675&amp;"|DAR"),CHAR(10), IF(ISBLANK('Ingest Template'!P675),"", 'Ingest Template'!P675&amp;"|DAR"),CHAR(10), IF(ISBLANK('Ingest Template'!Q675),"", 'Ingest Template'!Q675&amp;"|DAR"))),(CONCATENATE(IF(ISBLANK('Ingest Template'!O675),"", 'Ingest Template'!O675&amp;"|Operations - Core Title"),CHAR(10), IF(ISBLANK('Ingest Template'!P675),"", 'Ingest Template'!P675&amp;"|Operations - Core Title"),CHAR(10), IF(ISBLANK('Ingest Template'!Q675),"", 'Ingest Template'!Q675&amp;"|Operations - Core Title"))))</f>
        <v>#|Operations - Core Title
#videoGame|Operations - Core Title
</v>
      </c>
      <c r="AH676" s="25"/>
      <c r="AI676" s="25"/>
      <c r="AJ676" s="50" t="str">
        <f>if('Ingest Template'!A675="Standard",'Ingest Template'!R675&amp; "|DAR|DAR|2021-01-01",'Ingest Template'!R675&amp; "|Operations - Core Title|Operations - Core Title")</f>
        <v>#N/A</v>
      </c>
      <c r="AK676" s="25"/>
      <c r="AL676" s="25" t="str">
        <f>if('Ingest Template'!A675="Standard",'Ingest Template'!S675&amp; "|2021-01-01",'Ingest Template'!S675)</f>
        <v>#N/A</v>
      </c>
      <c r="AM676" s="25"/>
    </row>
    <row r="677">
      <c r="A677" s="25"/>
      <c r="B677" s="25" t="str">
        <f>'Ingest Template'!C676&amp;IF('Ingest Template'!A676 = "Standard", " - DAR","")</f>
        <v/>
      </c>
      <c r="C677" s="34" t="s">
        <v>92</v>
      </c>
      <c r="D677" s="34" t="str">
        <f>CONCATENATE('Ingest Template'!E677&amp;Char(10)&amp;'Ingest Template'!G677&amp;Char(10)&amp;'Ingest Template'!H677&amp;Char(10)&amp;'Ingest Template'!I677&amp;Char(10)&amp;'Ingest Template'!J677&amp;Char(10)&amp;'Ingest Template'!K677&amp;Char(10)&amp;'Ingest Template'!L677)</f>
        <v>
</v>
      </c>
      <c r="E677" s="25" t="str">
        <f>('Ingest Template'!M677)</f>
        <v/>
      </c>
      <c r="F677" s="40" t="str">
        <f t="array" ref="F677">INDEX(DropDown!$J$2:$J$63,MATCH(1,COUNTIF(E677,DropDown!$I$2:$I$63),0))</f>
        <v>#N/A</v>
      </c>
      <c r="G677" s="25"/>
      <c r="H677" s="25"/>
      <c r="I677" s="25"/>
      <c r="J677" s="25" t="str">
        <f>'Ingest Template'!B677</f>
        <v/>
      </c>
      <c r="K677" s="25" t="str">
        <f>IF('Ingest Template'!A676="Standard",'Ingest Template'!N676,"Competitive View")</f>
        <v>Competitive View</v>
      </c>
      <c r="L677" s="41" t="s">
        <v>145</v>
      </c>
      <c r="M677" s="25" t="str">
        <f>'Ingest Template'!D676</f>
        <v/>
      </c>
      <c r="N677" s="25"/>
      <c r="O677" s="25"/>
      <c r="P677" s="25"/>
      <c r="Q677" s="25"/>
      <c r="R677" s="25" t="str">
        <f>CONCATENATE('Ingest Template'!F676)</f>
        <v/>
      </c>
      <c r="S677" s="43" t="s">
        <v>160</v>
      </c>
      <c r="T677" s="25" t="str">
        <f>'Ingest Template'!W676</f>
        <v/>
      </c>
      <c r="U677" s="25"/>
      <c r="V677" s="25" t="str">
        <f>LOWER(SUBSTITUTE(SUBSTITUTE(SUBSTITUTE(SUBSTITUTE(SUBSTITUTE('Ingest Template'!Y676,"https:",""),"www.",""),"/",""),"?hl=en",""),"instagram.com",""))</f>
        <v/>
      </c>
      <c r="W677" s="34" t="str">
        <f>(IFERROR(vlookup('Ingest Template'!F677,DropDown!D:E,2,false)&amp;'Ingest Template'!C677,""))</f>
        <v/>
      </c>
      <c r="X677" s="25" t="str">
        <f>'Ingest Template'!AA676</f>
        <v/>
      </c>
      <c r="Y677" s="25"/>
      <c r="Z677" s="25"/>
      <c r="AA677" s="25"/>
      <c r="AB677" s="25" t="str">
        <f>'Ingest Template'!T676</f>
        <v/>
      </c>
      <c r="AC677" s="25"/>
      <c r="AD677" s="25" t="str">
        <f>'Ingest Template'!U676</f>
        <v/>
      </c>
      <c r="AE677" s="25" t="str">
        <f>'Ingest Template'!V676</f>
        <v/>
      </c>
      <c r="AF677" s="25"/>
      <c r="AG677" s="25" t="str">
        <f t="array" ref="AG677">IF('Ingest Template'!A676="Standard",(CONCATENATE(IF(ISBLANK('Ingest Template'!O676),"", 'Ingest Template'!O676&amp;"|DAR"),CHAR(10), IF(ISBLANK('Ingest Template'!P676),"", 'Ingest Template'!P676&amp;"|DAR"),CHAR(10), IF(ISBLANK('Ingest Template'!Q676),"", 'Ingest Template'!Q676&amp;"|DAR"))),(CONCATENATE(IF(ISBLANK('Ingest Template'!O676),"", 'Ingest Template'!O676&amp;"|Operations - Core Title"),CHAR(10), IF(ISBLANK('Ingest Template'!P676),"", 'Ingest Template'!P676&amp;"|Operations - Core Title"),CHAR(10), IF(ISBLANK('Ingest Template'!Q676),"", 'Ingest Template'!Q676&amp;"|Operations - Core Title"))))</f>
        <v>#|Operations - Core Title
#videoGame|Operations - Core Title
</v>
      </c>
      <c r="AH677" s="25"/>
      <c r="AI677" s="25"/>
      <c r="AJ677" s="50" t="str">
        <f>if('Ingest Template'!A676="Standard",'Ingest Template'!R676&amp; "|DAR|DAR|2021-01-01",'Ingest Template'!R676&amp; "|Operations - Core Title|Operations - Core Title")</f>
        <v>#N/A</v>
      </c>
      <c r="AK677" s="25"/>
      <c r="AL677" s="25" t="str">
        <f>if('Ingest Template'!A676="Standard",'Ingest Template'!S676&amp; "|2021-01-01",'Ingest Template'!S676)</f>
        <v>#N/A</v>
      </c>
      <c r="AM677" s="25"/>
    </row>
    <row r="678">
      <c r="A678" s="25"/>
      <c r="B678" s="25" t="str">
        <f>'Ingest Template'!C677&amp;IF('Ingest Template'!A677 = "Standard", " - DAR","")</f>
        <v/>
      </c>
      <c r="C678" s="34" t="s">
        <v>92</v>
      </c>
      <c r="D678" s="34" t="str">
        <f>CONCATENATE('Ingest Template'!E678&amp;Char(10)&amp;'Ingest Template'!G678&amp;Char(10)&amp;'Ingest Template'!H678&amp;Char(10)&amp;'Ingest Template'!I678&amp;Char(10)&amp;'Ingest Template'!J678&amp;Char(10)&amp;'Ingest Template'!K678&amp;Char(10)&amp;'Ingest Template'!L678)</f>
        <v>
</v>
      </c>
      <c r="E678" s="25" t="str">
        <f>('Ingest Template'!M678)</f>
        <v/>
      </c>
      <c r="F678" s="40" t="str">
        <f t="array" ref="F678">INDEX(DropDown!$J$2:$J$63,MATCH(1,COUNTIF(E678,DropDown!$I$2:$I$63),0))</f>
        <v>#N/A</v>
      </c>
      <c r="G678" s="25"/>
      <c r="H678" s="25"/>
      <c r="I678" s="25"/>
      <c r="J678" s="25" t="str">
        <f>'Ingest Template'!B678</f>
        <v/>
      </c>
      <c r="K678" s="25" t="str">
        <f>IF('Ingest Template'!A677="Standard",'Ingest Template'!N677,"Competitive View")</f>
        <v>Competitive View</v>
      </c>
      <c r="L678" s="41" t="s">
        <v>145</v>
      </c>
      <c r="M678" s="25" t="str">
        <f>'Ingest Template'!D677</f>
        <v/>
      </c>
      <c r="N678" s="25"/>
      <c r="O678" s="25"/>
      <c r="P678" s="25"/>
      <c r="Q678" s="25"/>
      <c r="R678" s="25" t="str">
        <f>CONCATENATE('Ingest Template'!F677)</f>
        <v/>
      </c>
      <c r="S678" s="43" t="s">
        <v>160</v>
      </c>
      <c r="T678" s="25" t="str">
        <f>'Ingest Template'!W677</f>
        <v/>
      </c>
      <c r="U678" s="25"/>
      <c r="V678" s="25" t="str">
        <f>LOWER(SUBSTITUTE(SUBSTITUTE(SUBSTITUTE(SUBSTITUTE(SUBSTITUTE('Ingest Template'!Y677,"https:",""),"www.",""),"/",""),"?hl=en",""),"instagram.com",""))</f>
        <v/>
      </c>
      <c r="W678" s="34" t="str">
        <f>(IFERROR(vlookup('Ingest Template'!F678,DropDown!D:E,2,false)&amp;'Ingest Template'!C678,""))</f>
        <v/>
      </c>
      <c r="X678" s="25" t="str">
        <f>'Ingest Template'!AA677</f>
        <v/>
      </c>
      <c r="Y678" s="25"/>
      <c r="Z678" s="25"/>
      <c r="AA678" s="25"/>
      <c r="AB678" s="25" t="str">
        <f>'Ingest Template'!T677</f>
        <v/>
      </c>
      <c r="AC678" s="25"/>
      <c r="AD678" s="25" t="str">
        <f>'Ingest Template'!U677</f>
        <v/>
      </c>
      <c r="AE678" s="25" t="str">
        <f>'Ingest Template'!V677</f>
        <v/>
      </c>
      <c r="AF678" s="25"/>
      <c r="AG678" s="25" t="str">
        <f t="array" ref="AG678">IF('Ingest Template'!A677="Standard",(CONCATENATE(IF(ISBLANK('Ingest Template'!O677),"", 'Ingest Template'!O677&amp;"|DAR"),CHAR(10), IF(ISBLANK('Ingest Template'!P677),"", 'Ingest Template'!P677&amp;"|DAR"),CHAR(10), IF(ISBLANK('Ingest Template'!Q677),"", 'Ingest Template'!Q677&amp;"|DAR"))),(CONCATENATE(IF(ISBLANK('Ingest Template'!O677),"", 'Ingest Template'!O677&amp;"|Operations - Core Title"),CHAR(10), IF(ISBLANK('Ingest Template'!P677),"", 'Ingest Template'!P677&amp;"|Operations - Core Title"),CHAR(10), IF(ISBLANK('Ingest Template'!Q677),"", 'Ingest Template'!Q677&amp;"|Operations - Core Title"))))</f>
        <v>#|Operations - Core Title
#videoGame|Operations - Core Title
</v>
      </c>
      <c r="AH678" s="25"/>
      <c r="AI678" s="25"/>
      <c r="AJ678" s="50" t="str">
        <f>if('Ingest Template'!A677="Standard",'Ingest Template'!R677&amp; "|DAR|DAR|2021-01-01",'Ingest Template'!R677&amp; "|Operations - Core Title|Operations - Core Title")</f>
        <v>#N/A</v>
      </c>
      <c r="AK678" s="25"/>
      <c r="AL678" s="25" t="str">
        <f>if('Ingest Template'!A677="Standard",'Ingest Template'!S677&amp; "|2021-01-01",'Ingest Template'!S677)</f>
        <v>#N/A</v>
      </c>
      <c r="AM678" s="25"/>
    </row>
    <row r="679">
      <c r="A679" s="25"/>
      <c r="B679" s="25" t="str">
        <f>'Ingest Template'!C678&amp;IF('Ingest Template'!A678 = "Standard", " - DAR","")</f>
        <v/>
      </c>
      <c r="C679" s="34" t="s">
        <v>92</v>
      </c>
      <c r="D679" s="34" t="str">
        <f>CONCATENATE('Ingest Template'!E679&amp;Char(10)&amp;'Ingest Template'!G679&amp;Char(10)&amp;'Ingest Template'!H679&amp;Char(10)&amp;'Ingest Template'!I679&amp;Char(10)&amp;'Ingest Template'!J679&amp;Char(10)&amp;'Ingest Template'!K679&amp;Char(10)&amp;'Ingest Template'!L679)</f>
        <v>
</v>
      </c>
      <c r="E679" s="25" t="str">
        <f>('Ingest Template'!M679)</f>
        <v/>
      </c>
      <c r="F679" s="40" t="str">
        <f t="array" ref="F679">INDEX(DropDown!$J$2:$J$63,MATCH(1,COUNTIF(E679,DropDown!$I$2:$I$63),0))</f>
        <v>#N/A</v>
      </c>
      <c r="G679" s="25"/>
      <c r="H679" s="25"/>
      <c r="I679" s="25"/>
      <c r="J679" s="25" t="str">
        <f>'Ingest Template'!B679</f>
        <v/>
      </c>
      <c r="K679" s="25" t="str">
        <f>IF('Ingest Template'!A678="Standard",'Ingest Template'!N678,"Competitive View")</f>
        <v>Competitive View</v>
      </c>
      <c r="L679" s="41" t="s">
        <v>145</v>
      </c>
      <c r="M679" s="25" t="str">
        <f>'Ingest Template'!D678</f>
        <v/>
      </c>
      <c r="N679" s="25"/>
      <c r="O679" s="25"/>
      <c r="P679" s="25"/>
      <c r="Q679" s="25"/>
      <c r="R679" s="25" t="str">
        <f>CONCATENATE('Ingest Template'!F678)</f>
        <v/>
      </c>
      <c r="S679" s="43" t="s">
        <v>160</v>
      </c>
      <c r="T679" s="25" t="str">
        <f>'Ingest Template'!W678</f>
        <v/>
      </c>
      <c r="U679" s="25"/>
      <c r="V679" s="25" t="str">
        <f>LOWER(SUBSTITUTE(SUBSTITUTE(SUBSTITUTE(SUBSTITUTE(SUBSTITUTE('Ingest Template'!Y678,"https:",""),"www.",""),"/",""),"?hl=en",""),"instagram.com",""))</f>
        <v/>
      </c>
      <c r="W679" s="34" t="str">
        <f>(IFERROR(vlookup('Ingest Template'!F679,DropDown!D:E,2,false)&amp;'Ingest Template'!C679,""))</f>
        <v/>
      </c>
      <c r="X679" s="25" t="str">
        <f>'Ingest Template'!AA678</f>
        <v/>
      </c>
      <c r="Y679" s="25"/>
      <c r="Z679" s="25"/>
      <c r="AA679" s="25"/>
      <c r="AB679" s="25" t="str">
        <f>'Ingest Template'!T678</f>
        <v/>
      </c>
      <c r="AC679" s="25"/>
      <c r="AD679" s="25" t="str">
        <f>'Ingest Template'!U678</f>
        <v/>
      </c>
      <c r="AE679" s="25" t="str">
        <f>'Ingest Template'!V678</f>
        <v/>
      </c>
      <c r="AF679" s="25"/>
      <c r="AG679" s="25" t="str">
        <f t="array" ref="AG679">IF('Ingest Template'!A678="Standard",(CONCATENATE(IF(ISBLANK('Ingest Template'!O678),"", 'Ingest Template'!O678&amp;"|DAR"),CHAR(10), IF(ISBLANK('Ingest Template'!P678),"", 'Ingest Template'!P678&amp;"|DAR"),CHAR(10), IF(ISBLANK('Ingest Template'!Q678),"", 'Ingest Template'!Q678&amp;"|DAR"))),(CONCATENATE(IF(ISBLANK('Ingest Template'!O678),"", 'Ingest Template'!O678&amp;"|Operations - Core Title"),CHAR(10), IF(ISBLANK('Ingest Template'!P678),"", 'Ingest Template'!P678&amp;"|Operations - Core Title"),CHAR(10), IF(ISBLANK('Ingest Template'!Q678),"", 'Ingest Template'!Q678&amp;"|Operations - Core Title"))))</f>
        <v>#|Operations - Core Title
#videoGame|Operations - Core Title
</v>
      </c>
      <c r="AH679" s="25"/>
      <c r="AI679" s="25"/>
      <c r="AJ679" s="50" t="str">
        <f>if('Ingest Template'!A678="Standard",'Ingest Template'!R678&amp; "|DAR|DAR|2021-01-01",'Ingest Template'!R678&amp; "|Operations - Core Title|Operations - Core Title")</f>
        <v>#N/A</v>
      </c>
      <c r="AK679" s="25"/>
      <c r="AL679" s="25" t="str">
        <f>if('Ingest Template'!A678="Standard",'Ingest Template'!S678&amp; "|2021-01-01",'Ingest Template'!S678)</f>
        <v>#N/A</v>
      </c>
      <c r="AM679" s="25"/>
    </row>
    <row r="680">
      <c r="A680" s="25"/>
      <c r="B680" s="25" t="str">
        <f>'Ingest Template'!C679&amp;IF('Ingest Template'!A679 = "Standard", " - DAR","")</f>
        <v/>
      </c>
      <c r="C680" s="34" t="s">
        <v>92</v>
      </c>
      <c r="D680" s="34" t="str">
        <f>CONCATENATE('Ingest Template'!E680&amp;Char(10)&amp;'Ingest Template'!G680&amp;Char(10)&amp;'Ingest Template'!H680&amp;Char(10)&amp;'Ingest Template'!I680&amp;Char(10)&amp;'Ingest Template'!J680&amp;Char(10)&amp;'Ingest Template'!K680&amp;Char(10)&amp;'Ingest Template'!L680)</f>
        <v>
</v>
      </c>
      <c r="E680" s="25" t="str">
        <f>('Ingest Template'!M680)</f>
        <v/>
      </c>
      <c r="F680" s="40" t="str">
        <f t="array" ref="F680">INDEX(DropDown!$J$2:$J$63,MATCH(1,COUNTIF(E680,DropDown!$I$2:$I$63),0))</f>
        <v>#N/A</v>
      </c>
      <c r="G680" s="25"/>
      <c r="H680" s="25"/>
      <c r="I680" s="25"/>
      <c r="J680" s="25" t="str">
        <f>'Ingest Template'!B680</f>
        <v/>
      </c>
      <c r="K680" s="25" t="str">
        <f>IF('Ingest Template'!A679="Standard",'Ingest Template'!N679,"Competitive View")</f>
        <v>Competitive View</v>
      </c>
      <c r="L680" s="41" t="s">
        <v>145</v>
      </c>
      <c r="M680" s="25" t="str">
        <f>'Ingest Template'!D679</f>
        <v/>
      </c>
      <c r="N680" s="25"/>
      <c r="O680" s="25"/>
      <c r="P680" s="25"/>
      <c r="Q680" s="25"/>
      <c r="R680" s="25" t="str">
        <f>CONCATENATE('Ingest Template'!F679)</f>
        <v/>
      </c>
      <c r="S680" s="43" t="s">
        <v>160</v>
      </c>
      <c r="T680" s="25" t="str">
        <f>'Ingest Template'!W679</f>
        <v/>
      </c>
      <c r="U680" s="25"/>
      <c r="V680" s="25" t="str">
        <f>LOWER(SUBSTITUTE(SUBSTITUTE(SUBSTITUTE(SUBSTITUTE(SUBSTITUTE('Ingest Template'!Y679,"https:",""),"www.",""),"/",""),"?hl=en",""),"instagram.com",""))</f>
        <v/>
      </c>
      <c r="W680" s="34" t="str">
        <f>(IFERROR(vlookup('Ingest Template'!F680,DropDown!D:E,2,false)&amp;'Ingest Template'!C680,""))</f>
        <v/>
      </c>
      <c r="X680" s="25" t="str">
        <f>'Ingest Template'!AA679</f>
        <v/>
      </c>
      <c r="Y680" s="25"/>
      <c r="Z680" s="25"/>
      <c r="AA680" s="25"/>
      <c r="AB680" s="25" t="str">
        <f>'Ingest Template'!T679</f>
        <v/>
      </c>
      <c r="AC680" s="25"/>
      <c r="AD680" s="25" t="str">
        <f>'Ingest Template'!U679</f>
        <v/>
      </c>
      <c r="AE680" s="25" t="str">
        <f>'Ingest Template'!V679</f>
        <v/>
      </c>
      <c r="AF680" s="25"/>
      <c r="AG680" s="25" t="str">
        <f t="array" ref="AG680">IF('Ingest Template'!A679="Standard",(CONCATENATE(IF(ISBLANK('Ingest Template'!O679),"", 'Ingest Template'!O679&amp;"|DAR"),CHAR(10), IF(ISBLANK('Ingest Template'!P679),"", 'Ingest Template'!P679&amp;"|DAR"),CHAR(10), IF(ISBLANK('Ingest Template'!Q679),"", 'Ingest Template'!Q679&amp;"|DAR"))),(CONCATENATE(IF(ISBLANK('Ingest Template'!O679),"", 'Ingest Template'!O679&amp;"|Operations - Core Title"),CHAR(10), IF(ISBLANK('Ingest Template'!P679),"", 'Ingest Template'!P679&amp;"|Operations - Core Title"),CHAR(10), IF(ISBLANK('Ingest Template'!Q679),"", 'Ingest Template'!Q679&amp;"|Operations - Core Title"))))</f>
        <v>#|Operations - Core Title
#videoGame|Operations - Core Title
</v>
      </c>
      <c r="AH680" s="25"/>
      <c r="AI680" s="25"/>
      <c r="AJ680" s="50" t="str">
        <f>if('Ingest Template'!A679="Standard",'Ingest Template'!R679&amp; "|DAR|DAR|2021-01-01",'Ingest Template'!R679&amp; "|Operations - Core Title|Operations - Core Title")</f>
        <v>#N/A</v>
      </c>
      <c r="AK680" s="25"/>
      <c r="AL680" s="25" t="str">
        <f>if('Ingest Template'!A679="Standard",'Ingest Template'!S679&amp; "|2021-01-01",'Ingest Template'!S679)</f>
        <v>#N/A</v>
      </c>
      <c r="AM680" s="25"/>
    </row>
    <row r="681">
      <c r="A681" s="25"/>
      <c r="B681" s="25" t="str">
        <f>'Ingest Template'!C680&amp;IF('Ingest Template'!A680 = "Standard", " - DAR","")</f>
        <v/>
      </c>
      <c r="C681" s="34" t="s">
        <v>92</v>
      </c>
      <c r="D681" s="34" t="str">
        <f>CONCATENATE('Ingest Template'!E681&amp;Char(10)&amp;'Ingest Template'!G681&amp;Char(10)&amp;'Ingest Template'!H681&amp;Char(10)&amp;'Ingest Template'!I681&amp;Char(10)&amp;'Ingest Template'!J681&amp;Char(10)&amp;'Ingest Template'!K681&amp;Char(10)&amp;'Ingest Template'!L681)</f>
        <v>
</v>
      </c>
      <c r="E681" s="25" t="str">
        <f>('Ingest Template'!M681)</f>
        <v/>
      </c>
      <c r="F681" s="40" t="str">
        <f t="array" ref="F681">INDEX(DropDown!$J$2:$J$63,MATCH(1,COUNTIF(E681,DropDown!$I$2:$I$63),0))</f>
        <v>#N/A</v>
      </c>
      <c r="G681" s="25"/>
      <c r="H681" s="25"/>
      <c r="I681" s="25"/>
      <c r="J681" s="25" t="str">
        <f>'Ingest Template'!B681</f>
        <v/>
      </c>
      <c r="K681" s="25" t="str">
        <f>IF('Ingest Template'!A680="Standard",'Ingest Template'!N680,"Competitive View")</f>
        <v>Competitive View</v>
      </c>
      <c r="L681" s="41" t="s">
        <v>145</v>
      </c>
      <c r="M681" s="25" t="str">
        <f>'Ingest Template'!D680</f>
        <v/>
      </c>
      <c r="N681" s="25"/>
      <c r="O681" s="25"/>
      <c r="P681" s="25"/>
      <c r="Q681" s="25"/>
      <c r="R681" s="25" t="str">
        <f>CONCATENATE('Ingest Template'!F680)</f>
        <v/>
      </c>
      <c r="S681" s="43" t="s">
        <v>160</v>
      </c>
      <c r="T681" s="25" t="str">
        <f>'Ingest Template'!W680</f>
        <v/>
      </c>
      <c r="U681" s="25"/>
      <c r="V681" s="25" t="str">
        <f>LOWER(SUBSTITUTE(SUBSTITUTE(SUBSTITUTE(SUBSTITUTE(SUBSTITUTE('Ingest Template'!Y680,"https:",""),"www.",""),"/",""),"?hl=en",""),"instagram.com",""))</f>
        <v/>
      </c>
      <c r="W681" s="34" t="str">
        <f>(IFERROR(vlookup('Ingest Template'!F681,DropDown!D:E,2,false)&amp;'Ingest Template'!C681,""))</f>
        <v/>
      </c>
      <c r="X681" s="25" t="str">
        <f>'Ingest Template'!AA680</f>
        <v/>
      </c>
      <c r="Y681" s="25"/>
      <c r="Z681" s="25"/>
      <c r="AA681" s="25"/>
      <c r="AB681" s="25" t="str">
        <f>'Ingest Template'!T680</f>
        <v/>
      </c>
      <c r="AC681" s="25"/>
      <c r="AD681" s="25" t="str">
        <f>'Ingest Template'!U680</f>
        <v/>
      </c>
      <c r="AE681" s="25" t="str">
        <f>'Ingest Template'!V680</f>
        <v/>
      </c>
      <c r="AF681" s="25"/>
      <c r="AG681" s="25" t="str">
        <f t="array" ref="AG681">IF('Ingest Template'!A680="Standard",(CONCATENATE(IF(ISBLANK('Ingest Template'!O680),"", 'Ingest Template'!O680&amp;"|DAR"),CHAR(10), IF(ISBLANK('Ingest Template'!P680),"", 'Ingest Template'!P680&amp;"|DAR"),CHAR(10), IF(ISBLANK('Ingest Template'!Q680),"", 'Ingest Template'!Q680&amp;"|DAR"))),(CONCATENATE(IF(ISBLANK('Ingest Template'!O680),"", 'Ingest Template'!O680&amp;"|Operations - Core Title"),CHAR(10), IF(ISBLANK('Ingest Template'!P680),"", 'Ingest Template'!P680&amp;"|Operations - Core Title"),CHAR(10), IF(ISBLANK('Ingest Template'!Q680),"", 'Ingest Template'!Q680&amp;"|Operations - Core Title"))))</f>
        <v>#|Operations - Core Title
#videoGame|Operations - Core Title
</v>
      </c>
      <c r="AH681" s="25"/>
      <c r="AI681" s="25"/>
      <c r="AJ681" s="50" t="str">
        <f>if('Ingest Template'!A680="Standard",'Ingest Template'!R680&amp; "|DAR|DAR|2021-01-01",'Ingest Template'!R680&amp; "|Operations - Core Title|Operations - Core Title")</f>
        <v>#N/A</v>
      </c>
      <c r="AK681" s="25"/>
      <c r="AL681" s="25" t="str">
        <f>if('Ingest Template'!A680="Standard",'Ingest Template'!S680&amp; "|2021-01-01",'Ingest Template'!S680)</f>
        <v>#N/A</v>
      </c>
      <c r="AM681" s="25"/>
    </row>
    <row r="682">
      <c r="A682" s="25"/>
      <c r="B682" s="25" t="str">
        <f>'Ingest Template'!C681&amp;IF('Ingest Template'!A681 = "Standard", " - DAR","")</f>
        <v/>
      </c>
      <c r="C682" s="34" t="s">
        <v>92</v>
      </c>
      <c r="D682" s="34" t="str">
        <f>CONCATENATE('Ingest Template'!E682&amp;Char(10)&amp;'Ingest Template'!G682&amp;Char(10)&amp;'Ingest Template'!H682&amp;Char(10)&amp;'Ingest Template'!I682&amp;Char(10)&amp;'Ingest Template'!J682&amp;Char(10)&amp;'Ingest Template'!K682&amp;Char(10)&amp;'Ingest Template'!L682)</f>
        <v>
</v>
      </c>
      <c r="E682" s="25" t="str">
        <f>('Ingest Template'!M682)</f>
        <v/>
      </c>
      <c r="F682" s="40" t="str">
        <f t="array" ref="F682">INDEX(DropDown!$J$2:$J$63,MATCH(1,COUNTIF(E682,DropDown!$I$2:$I$63),0))</f>
        <v>#N/A</v>
      </c>
      <c r="G682" s="25"/>
      <c r="H682" s="25"/>
      <c r="I682" s="25"/>
      <c r="J682" s="25" t="str">
        <f>'Ingest Template'!B682</f>
        <v/>
      </c>
      <c r="K682" s="25" t="str">
        <f>IF('Ingest Template'!A681="Standard",'Ingest Template'!N681,"Competitive View")</f>
        <v>Competitive View</v>
      </c>
      <c r="L682" s="41" t="s">
        <v>145</v>
      </c>
      <c r="M682" s="25" t="str">
        <f>'Ingest Template'!D681</f>
        <v/>
      </c>
      <c r="N682" s="25"/>
      <c r="O682" s="25"/>
      <c r="P682" s="25"/>
      <c r="Q682" s="25"/>
      <c r="R682" s="25" t="str">
        <f>CONCATENATE('Ingest Template'!F681)</f>
        <v/>
      </c>
      <c r="S682" s="43" t="s">
        <v>160</v>
      </c>
      <c r="T682" s="25" t="str">
        <f>'Ingest Template'!W681</f>
        <v/>
      </c>
      <c r="U682" s="25"/>
      <c r="V682" s="25" t="str">
        <f>LOWER(SUBSTITUTE(SUBSTITUTE(SUBSTITUTE(SUBSTITUTE(SUBSTITUTE('Ingest Template'!Y681,"https:",""),"www.",""),"/",""),"?hl=en",""),"instagram.com",""))</f>
        <v/>
      </c>
      <c r="W682" s="34" t="str">
        <f>(IFERROR(vlookup('Ingest Template'!F682,DropDown!D:E,2,false)&amp;'Ingest Template'!C682,""))</f>
        <v/>
      </c>
      <c r="X682" s="25" t="str">
        <f>'Ingest Template'!AA681</f>
        <v/>
      </c>
      <c r="Y682" s="25"/>
      <c r="Z682" s="25"/>
      <c r="AA682" s="25"/>
      <c r="AB682" s="25" t="str">
        <f>'Ingest Template'!T681</f>
        <v/>
      </c>
      <c r="AC682" s="25"/>
      <c r="AD682" s="25" t="str">
        <f>'Ingest Template'!U681</f>
        <v/>
      </c>
      <c r="AE682" s="25" t="str">
        <f>'Ingest Template'!V681</f>
        <v/>
      </c>
      <c r="AF682" s="25"/>
      <c r="AG682" s="25" t="str">
        <f t="array" ref="AG682">IF('Ingest Template'!A681="Standard",(CONCATENATE(IF(ISBLANK('Ingest Template'!O681),"", 'Ingest Template'!O681&amp;"|DAR"),CHAR(10), IF(ISBLANK('Ingest Template'!P681),"", 'Ingest Template'!P681&amp;"|DAR"),CHAR(10), IF(ISBLANK('Ingest Template'!Q681),"", 'Ingest Template'!Q681&amp;"|DAR"))),(CONCATENATE(IF(ISBLANK('Ingest Template'!O681),"", 'Ingest Template'!O681&amp;"|Operations - Core Title"),CHAR(10), IF(ISBLANK('Ingest Template'!P681),"", 'Ingest Template'!P681&amp;"|Operations - Core Title"),CHAR(10), IF(ISBLANK('Ingest Template'!Q681),"", 'Ingest Template'!Q681&amp;"|Operations - Core Title"))))</f>
        <v>#|Operations - Core Title
#videoGame|Operations - Core Title
</v>
      </c>
      <c r="AH682" s="25"/>
      <c r="AI682" s="25"/>
      <c r="AJ682" s="50" t="str">
        <f>if('Ingest Template'!A681="Standard",'Ingest Template'!R681&amp; "|DAR|DAR|2021-01-01",'Ingest Template'!R681&amp; "|Operations - Core Title|Operations - Core Title")</f>
        <v>#N/A</v>
      </c>
      <c r="AK682" s="25"/>
      <c r="AL682" s="25" t="str">
        <f>if('Ingest Template'!A681="Standard",'Ingest Template'!S681&amp; "|2021-01-01",'Ingest Template'!S681)</f>
        <v>#N/A</v>
      </c>
      <c r="AM682" s="25"/>
    </row>
    <row r="683">
      <c r="A683" s="25"/>
      <c r="B683" s="25" t="str">
        <f>'Ingest Template'!C682&amp;IF('Ingest Template'!A682 = "Standard", " - DAR","")</f>
        <v/>
      </c>
      <c r="C683" s="34" t="s">
        <v>92</v>
      </c>
      <c r="D683" s="34" t="str">
        <f>CONCATENATE('Ingest Template'!E683&amp;Char(10)&amp;'Ingest Template'!G683&amp;Char(10)&amp;'Ingest Template'!H683&amp;Char(10)&amp;'Ingest Template'!I683&amp;Char(10)&amp;'Ingest Template'!J683&amp;Char(10)&amp;'Ingest Template'!K683&amp;Char(10)&amp;'Ingest Template'!L683)</f>
        <v>
</v>
      </c>
      <c r="E683" s="25" t="str">
        <f>('Ingest Template'!M683)</f>
        <v/>
      </c>
      <c r="F683" s="40" t="str">
        <f t="array" ref="F683">INDEX(DropDown!$J$2:$J$63,MATCH(1,COUNTIF(E683,DropDown!$I$2:$I$63),0))</f>
        <v>#N/A</v>
      </c>
      <c r="G683" s="25"/>
      <c r="H683" s="25"/>
      <c r="I683" s="25"/>
      <c r="J683" s="25" t="str">
        <f>'Ingest Template'!B683</f>
        <v/>
      </c>
      <c r="K683" s="25" t="str">
        <f>IF('Ingest Template'!A682="Standard",'Ingest Template'!N682,"Competitive View")</f>
        <v>Competitive View</v>
      </c>
      <c r="L683" s="41" t="s">
        <v>145</v>
      </c>
      <c r="M683" s="25" t="str">
        <f>'Ingest Template'!D682</f>
        <v/>
      </c>
      <c r="N683" s="25"/>
      <c r="O683" s="25"/>
      <c r="P683" s="25"/>
      <c r="Q683" s="25"/>
      <c r="R683" s="25" t="str">
        <f>CONCATENATE('Ingest Template'!F682)</f>
        <v/>
      </c>
      <c r="S683" s="43" t="s">
        <v>160</v>
      </c>
      <c r="T683" s="25" t="str">
        <f>'Ingest Template'!W682</f>
        <v/>
      </c>
      <c r="U683" s="25"/>
      <c r="V683" s="25" t="str">
        <f>LOWER(SUBSTITUTE(SUBSTITUTE(SUBSTITUTE(SUBSTITUTE(SUBSTITUTE('Ingest Template'!Y682,"https:",""),"www.",""),"/",""),"?hl=en",""),"instagram.com",""))</f>
        <v/>
      </c>
      <c r="W683" s="34" t="str">
        <f>(IFERROR(vlookup('Ingest Template'!F683,DropDown!D:E,2,false)&amp;'Ingest Template'!C683,""))</f>
        <v/>
      </c>
      <c r="X683" s="25" t="str">
        <f>'Ingest Template'!AA682</f>
        <v/>
      </c>
      <c r="Y683" s="25"/>
      <c r="Z683" s="25"/>
      <c r="AA683" s="25"/>
      <c r="AB683" s="25" t="str">
        <f>'Ingest Template'!T682</f>
        <v/>
      </c>
      <c r="AC683" s="25"/>
      <c r="AD683" s="25" t="str">
        <f>'Ingest Template'!U682</f>
        <v/>
      </c>
      <c r="AE683" s="25" t="str">
        <f>'Ingest Template'!V682</f>
        <v/>
      </c>
      <c r="AF683" s="25"/>
      <c r="AG683" s="25" t="str">
        <f t="array" ref="AG683">IF('Ingest Template'!A682="Standard",(CONCATENATE(IF(ISBLANK('Ingest Template'!O682),"", 'Ingest Template'!O682&amp;"|DAR"),CHAR(10), IF(ISBLANK('Ingest Template'!P682),"", 'Ingest Template'!P682&amp;"|DAR"),CHAR(10), IF(ISBLANK('Ingest Template'!Q682),"", 'Ingest Template'!Q682&amp;"|DAR"))),(CONCATENATE(IF(ISBLANK('Ingest Template'!O682),"", 'Ingest Template'!O682&amp;"|Operations - Core Title"),CHAR(10), IF(ISBLANK('Ingest Template'!P682),"", 'Ingest Template'!P682&amp;"|Operations - Core Title"),CHAR(10), IF(ISBLANK('Ingest Template'!Q682),"", 'Ingest Template'!Q682&amp;"|Operations - Core Title"))))</f>
        <v>#|Operations - Core Title
#videoGame|Operations - Core Title
</v>
      </c>
      <c r="AH683" s="25"/>
      <c r="AI683" s="25"/>
      <c r="AJ683" s="50" t="str">
        <f>if('Ingest Template'!A682="Standard",'Ingest Template'!R682&amp; "|DAR|DAR|2021-01-01",'Ingest Template'!R682&amp; "|Operations - Core Title|Operations - Core Title")</f>
        <v>#N/A</v>
      </c>
      <c r="AK683" s="25"/>
      <c r="AL683" s="25" t="str">
        <f>if('Ingest Template'!A682="Standard",'Ingest Template'!S682&amp; "|2021-01-01",'Ingest Template'!S682)</f>
        <v>#N/A</v>
      </c>
      <c r="AM683" s="25"/>
    </row>
    <row r="684">
      <c r="A684" s="25"/>
      <c r="B684" s="25" t="str">
        <f>'Ingest Template'!C683&amp;IF('Ingest Template'!A683 = "Standard", " - DAR","")</f>
        <v/>
      </c>
      <c r="C684" s="34" t="s">
        <v>92</v>
      </c>
      <c r="D684" s="34" t="str">
        <f>CONCATENATE('Ingest Template'!E684&amp;Char(10)&amp;'Ingest Template'!G684&amp;Char(10)&amp;'Ingest Template'!H684&amp;Char(10)&amp;'Ingest Template'!I684&amp;Char(10)&amp;'Ingest Template'!J684&amp;Char(10)&amp;'Ingest Template'!K684&amp;Char(10)&amp;'Ingest Template'!L684)</f>
        <v>
</v>
      </c>
      <c r="E684" s="25" t="str">
        <f>('Ingest Template'!M684)</f>
        <v/>
      </c>
      <c r="F684" s="40" t="str">
        <f t="array" ref="F684">INDEX(DropDown!$J$2:$J$63,MATCH(1,COUNTIF(E684,DropDown!$I$2:$I$63),0))</f>
        <v>#N/A</v>
      </c>
      <c r="G684" s="25"/>
      <c r="H684" s="25"/>
      <c r="I684" s="25"/>
      <c r="J684" s="25" t="str">
        <f>'Ingest Template'!B684</f>
        <v/>
      </c>
      <c r="K684" s="25" t="str">
        <f>IF('Ingest Template'!A683="Standard",'Ingest Template'!N683,"Competitive View")</f>
        <v>Competitive View</v>
      </c>
      <c r="L684" s="41" t="s">
        <v>145</v>
      </c>
      <c r="M684" s="25" t="str">
        <f>'Ingest Template'!D683</f>
        <v/>
      </c>
      <c r="N684" s="25"/>
      <c r="O684" s="25"/>
      <c r="P684" s="25"/>
      <c r="Q684" s="25"/>
      <c r="R684" s="25" t="str">
        <f>CONCATENATE('Ingest Template'!F683)</f>
        <v/>
      </c>
      <c r="S684" s="43" t="s">
        <v>160</v>
      </c>
      <c r="T684" s="25" t="str">
        <f>'Ingest Template'!W683</f>
        <v/>
      </c>
      <c r="U684" s="25"/>
      <c r="V684" s="25" t="str">
        <f>LOWER(SUBSTITUTE(SUBSTITUTE(SUBSTITUTE(SUBSTITUTE(SUBSTITUTE('Ingest Template'!Y683,"https:",""),"www.",""),"/",""),"?hl=en",""),"instagram.com",""))</f>
        <v/>
      </c>
      <c r="W684" s="34" t="str">
        <f>(IFERROR(vlookup('Ingest Template'!F684,DropDown!D:E,2,false)&amp;'Ingest Template'!C684,""))</f>
        <v/>
      </c>
      <c r="X684" s="25" t="str">
        <f>'Ingest Template'!AA683</f>
        <v/>
      </c>
      <c r="Y684" s="25"/>
      <c r="Z684" s="25"/>
      <c r="AA684" s="25"/>
      <c r="AB684" s="25" t="str">
        <f>'Ingest Template'!T683</f>
        <v/>
      </c>
      <c r="AC684" s="25"/>
      <c r="AD684" s="25" t="str">
        <f>'Ingest Template'!U683</f>
        <v/>
      </c>
      <c r="AE684" s="25" t="str">
        <f>'Ingest Template'!V683</f>
        <v/>
      </c>
      <c r="AF684" s="25"/>
      <c r="AG684" s="25" t="str">
        <f t="array" ref="AG684">IF('Ingest Template'!A683="Standard",(CONCATENATE(IF(ISBLANK('Ingest Template'!O683),"", 'Ingest Template'!O683&amp;"|DAR"),CHAR(10), IF(ISBLANK('Ingest Template'!P683),"", 'Ingest Template'!P683&amp;"|DAR"),CHAR(10), IF(ISBLANK('Ingest Template'!Q683),"", 'Ingest Template'!Q683&amp;"|DAR"))),(CONCATENATE(IF(ISBLANK('Ingest Template'!O683),"", 'Ingest Template'!O683&amp;"|Operations - Core Title"),CHAR(10), IF(ISBLANK('Ingest Template'!P683),"", 'Ingest Template'!P683&amp;"|Operations - Core Title"),CHAR(10), IF(ISBLANK('Ingest Template'!Q683),"", 'Ingest Template'!Q683&amp;"|Operations - Core Title"))))</f>
        <v>#|Operations - Core Title
#videoGame|Operations - Core Title
</v>
      </c>
      <c r="AH684" s="25"/>
      <c r="AI684" s="25"/>
      <c r="AJ684" s="50" t="str">
        <f>if('Ingest Template'!A683="Standard",'Ingest Template'!R683&amp; "|DAR|DAR|2021-01-01",'Ingest Template'!R683&amp; "|Operations - Core Title|Operations - Core Title")</f>
        <v>#N/A</v>
      </c>
      <c r="AK684" s="25"/>
      <c r="AL684" s="25" t="str">
        <f>if('Ingest Template'!A683="Standard",'Ingest Template'!S683&amp; "|2021-01-01",'Ingest Template'!S683)</f>
        <v>#N/A</v>
      </c>
      <c r="AM684" s="25"/>
    </row>
    <row r="685">
      <c r="A685" s="25"/>
      <c r="B685" s="25" t="str">
        <f>'Ingest Template'!C684&amp;IF('Ingest Template'!A684 = "Standard", " - DAR","")</f>
        <v/>
      </c>
      <c r="C685" s="34" t="s">
        <v>92</v>
      </c>
      <c r="D685" s="34" t="str">
        <f>CONCATENATE('Ingest Template'!E685&amp;Char(10)&amp;'Ingest Template'!G685&amp;Char(10)&amp;'Ingest Template'!H685&amp;Char(10)&amp;'Ingest Template'!I685&amp;Char(10)&amp;'Ingest Template'!J685&amp;Char(10)&amp;'Ingest Template'!K685&amp;Char(10)&amp;'Ingest Template'!L685)</f>
        <v>
</v>
      </c>
      <c r="E685" s="25" t="str">
        <f>('Ingest Template'!M685)</f>
        <v/>
      </c>
      <c r="F685" s="40" t="str">
        <f t="array" ref="F685">INDEX(DropDown!$J$2:$J$63,MATCH(1,COUNTIF(E685,DropDown!$I$2:$I$63),0))</f>
        <v>#N/A</v>
      </c>
      <c r="G685" s="25"/>
      <c r="H685" s="25"/>
      <c r="I685" s="25"/>
      <c r="J685" s="25" t="str">
        <f>'Ingest Template'!B685</f>
        <v/>
      </c>
      <c r="K685" s="25" t="str">
        <f>IF('Ingest Template'!A684="Standard",'Ingest Template'!N684,"Competitive View")</f>
        <v>Competitive View</v>
      </c>
      <c r="L685" s="41" t="s">
        <v>145</v>
      </c>
      <c r="M685" s="25" t="str">
        <f>'Ingest Template'!D684</f>
        <v/>
      </c>
      <c r="N685" s="25"/>
      <c r="O685" s="25"/>
      <c r="P685" s="25"/>
      <c r="Q685" s="25"/>
      <c r="R685" s="25" t="str">
        <f>CONCATENATE('Ingest Template'!F684)</f>
        <v/>
      </c>
      <c r="S685" s="43" t="s">
        <v>160</v>
      </c>
      <c r="T685" s="25" t="str">
        <f>'Ingest Template'!W684</f>
        <v/>
      </c>
      <c r="U685" s="25"/>
      <c r="V685" s="25" t="str">
        <f>LOWER(SUBSTITUTE(SUBSTITUTE(SUBSTITUTE(SUBSTITUTE(SUBSTITUTE('Ingest Template'!Y684,"https:",""),"www.",""),"/",""),"?hl=en",""),"instagram.com",""))</f>
        <v/>
      </c>
      <c r="W685" s="34" t="str">
        <f>(IFERROR(vlookup('Ingest Template'!F685,DropDown!D:E,2,false)&amp;'Ingest Template'!C685,""))</f>
        <v/>
      </c>
      <c r="X685" s="25" t="str">
        <f>'Ingest Template'!AA684</f>
        <v/>
      </c>
      <c r="Y685" s="25"/>
      <c r="Z685" s="25"/>
      <c r="AA685" s="25"/>
      <c r="AB685" s="25" t="str">
        <f>'Ingest Template'!T684</f>
        <v/>
      </c>
      <c r="AC685" s="25"/>
      <c r="AD685" s="25" t="str">
        <f>'Ingest Template'!U684</f>
        <v/>
      </c>
      <c r="AE685" s="25" t="str">
        <f>'Ingest Template'!V684</f>
        <v/>
      </c>
      <c r="AF685" s="25"/>
      <c r="AG685" s="25" t="str">
        <f t="array" ref="AG685">IF('Ingest Template'!A684="Standard",(CONCATENATE(IF(ISBLANK('Ingest Template'!O684),"", 'Ingest Template'!O684&amp;"|DAR"),CHAR(10), IF(ISBLANK('Ingest Template'!P684),"", 'Ingest Template'!P684&amp;"|DAR"),CHAR(10), IF(ISBLANK('Ingest Template'!Q684),"", 'Ingest Template'!Q684&amp;"|DAR"))),(CONCATENATE(IF(ISBLANK('Ingest Template'!O684),"", 'Ingest Template'!O684&amp;"|Operations - Core Title"),CHAR(10), IF(ISBLANK('Ingest Template'!P684),"", 'Ingest Template'!P684&amp;"|Operations - Core Title"),CHAR(10), IF(ISBLANK('Ingest Template'!Q684),"", 'Ingest Template'!Q684&amp;"|Operations - Core Title"))))</f>
        <v>#|Operations - Core Title
#videoGame|Operations - Core Title
</v>
      </c>
      <c r="AH685" s="25"/>
      <c r="AI685" s="25"/>
      <c r="AJ685" s="50" t="str">
        <f>if('Ingest Template'!A684="Standard",'Ingest Template'!R684&amp; "|DAR|DAR|2021-01-01",'Ingest Template'!R684&amp; "|Operations - Core Title|Operations - Core Title")</f>
        <v>#N/A</v>
      </c>
      <c r="AK685" s="25"/>
      <c r="AL685" s="25" t="str">
        <f>if('Ingest Template'!A684="Standard",'Ingest Template'!S684&amp; "|2021-01-01",'Ingest Template'!S684)</f>
        <v>#N/A</v>
      </c>
      <c r="AM685" s="25"/>
    </row>
    <row r="686">
      <c r="A686" s="25"/>
      <c r="B686" s="25" t="str">
        <f>'Ingest Template'!C685&amp;IF('Ingest Template'!A685 = "Standard", " - DAR","")</f>
        <v/>
      </c>
      <c r="C686" s="34" t="s">
        <v>92</v>
      </c>
      <c r="D686" s="34" t="str">
        <f>CONCATENATE('Ingest Template'!E686&amp;Char(10)&amp;'Ingest Template'!G686&amp;Char(10)&amp;'Ingest Template'!H686&amp;Char(10)&amp;'Ingest Template'!I686&amp;Char(10)&amp;'Ingest Template'!J686&amp;Char(10)&amp;'Ingest Template'!K686&amp;Char(10)&amp;'Ingest Template'!L686)</f>
        <v>
</v>
      </c>
      <c r="E686" s="25" t="str">
        <f>('Ingest Template'!M686)</f>
        <v/>
      </c>
      <c r="F686" s="40" t="str">
        <f t="array" ref="F686">INDEX(DropDown!$J$2:$J$63,MATCH(1,COUNTIF(E686,DropDown!$I$2:$I$63),0))</f>
        <v>#N/A</v>
      </c>
      <c r="G686" s="25"/>
      <c r="H686" s="25"/>
      <c r="I686" s="25"/>
      <c r="J686" s="25" t="str">
        <f>'Ingest Template'!B686</f>
        <v/>
      </c>
      <c r="K686" s="25" t="str">
        <f>IF('Ingest Template'!A685="Standard",'Ingest Template'!N685,"Competitive View")</f>
        <v>Competitive View</v>
      </c>
      <c r="L686" s="41" t="s">
        <v>145</v>
      </c>
      <c r="M686" s="25" t="str">
        <f>'Ingest Template'!D685</f>
        <v/>
      </c>
      <c r="N686" s="25"/>
      <c r="O686" s="25"/>
      <c r="P686" s="25"/>
      <c r="Q686" s="25"/>
      <c r="R686" s="25" t="str">
        <f>CONCATENATE('Ingest Template'!F685)</f>
        <v/>
      </c>
      <c r="S686" s="43" t="s">
        <v>160</v>
      </c>
      <c r="T686" s="25" t="str">
        <f>'Ingest Template'!W685</f>
        <v/>
      </c>
      <c r="U686" s="25"/>
      <c r="V686" s="25" t="str">
        <f>LOWER(SUBSTITUTE(SUBSTITUTE(SUBSTITUTE(SUBSTITUTE(SUBSTITUTE('Ingest Template'!Y685,"https:",""),"www.",""),"/",""),"?hl=en",""),"instagram.com",""))</f>
        <v/>
      </c>
      <c r="W686" s="34" t="str">
        <f>(IFERROR(vlookup('Ingest Template'!F686,DropDown!D:E,2,false)&amp;'Ingest Template'!C686,""))</f>
        <v/>
      </c>
      <c r="X686" s="25" t="str">
        <f>'Ingest Template'!AA685</f>
        <v/>
      </c>
      <c r="Y686" s="25"/>
      <c r="Z686" s="25"/>
      <c r="AA686" s="25"/>
      <c r="AB686" s="25" t="str">
        <f>'Ingest Template'!T685</f>
        <v/>
      </c>
      <c r="AC686" s="25"/>
      <c r="AD686" s="25" t="str">
        <f>'Ingest Template'!U685</f>
        <v/>
      </c>
      <c r="AE686" s="25" t="str">
        <f>'Ingest Template'!V685</f>
        <v/>
      </c>
      <c r="AF686" s="25"/>
      <c r="AG686" s="25" t="str">
        <f t="array" ref="AG686">IF('Ingest Template'!A685="Standard",(CONCATENATE(IF(ISBLANK('Ingest Template'!O685),"", 'Ingest Template'!O685&amp;"|DAR"),CHAR(10), IF(ISBLANK('Ingest Template'!P685),"", 'Ingest Template'!P685&amp;"|DAR"),CHAR(10), IF(ISBLANK('Ingest Template'!Q685),"", 'Ingest Template'!Q685&amp;"|DAR"))),(CONCATENATE(IF(ISBLANK('Ingest Template'!O685),"", 'Ingest Template'!O685&amp;"|Operations - Core Title"),CHAR(10), IF(ISBLANK('Ingest Template'!P685),"", 'Ingest Template'!P685&amp;"|Operations - Core Title"),CHAR(10), IF(ISBLANK('Ingest Template'!Q685),"", 'Ingest Template'!Q685&amp;"|Operations - Core Title"))))</f>
        <v>#|Operations - Core Title
#videoGame|Operations - Core Title
</v>
      </c>
      <c r="AH686" s="25"/>
      <c r="AI686" s="25"/>
      <c r="AJ686" s="50" t="str">
        <f>if('Ingest Template'!A685="Standard",'Ingest Template'!R685&amp; "|DAR|DAR|2021-01-01",'Ingest Template'!R685&amp; "|Operations - Core Title|Operations - Core Title")</f>
        <v>#N/A</v>
      </c>
      <c r="AK686" s="25"/>
      <c r="AL686" s="25" t="str">
        <f>if('Ingest Template'!A685="Standard",'Ingest Template'!S685&amp; "|2021-01-01",'Ingest Template'!S685)</f>
        <v>#N/A</v>
      </c>
      <c r="AM686" s="25"/>
    </row>
    <row r="687">
      <c r="A687" s="25"/>
      <c r="B687" s="25" t="str">
        <f>'Ingest Template'!C686&amp;IF('Ingest Template'!A686 = "Standard", " - DAR","")</f>
        <v/>
      </c>
      <c r="C687" s="34" t="s">
        <v>92</v>
      </c>
      <c r="D687" s="34" t="str">
        <f>CONCATENATE('Ingest Template'!E687&amp;Char(10)&amp;'Ingest Template'!G687&amp;Char(10)&amp;'Ingest Template'!H687&amp;Char(10)&amp;'Ingest Template'!I687&amp;Char(10)&amp;'Ingest Template'!J687&amp;Char(10)&amp;'Ingest Template'!K687&amp;Char(10)&amp;'Ingest Template'!L687)</f>
        <v>
</v>
      </c>
      <c r="E687" s="25" t="str">
        <f>('Ingest Template'!M687)</f>
        <v/>
      </c>
      <c r="F687" s="40" t="str">
        <f t="array" ref="F687">INDEX(DropDown!$J$2:$J$63,MATCH(1,COUNTIF(E687,DropDown!$I$2:$I$63),0))</f>
        <v>#N/A</v>
      </c>
      <c r="G687" s="25"/>
      <c r="H687" s="25"/>
      <c r="I687" s="25"/>
      <c r="J687" s="25" t="str">
        <f>'Ingest Template'!B687</f>
        <v/>
      </c>
      <c r="K687" s="25" t="str">
        <f>IF('Ingest Template'!A686="Standard",'Ingest Template'!N686,"Competitive View")</f>
        <v>Competitive View</v>
      </c>
      <c r="L687" s="41" t="s">
        <v>145</v>
      </c>
      <c r="M687" s="25" t="str">
        <f>'Ingest Template'!D686</f>
        <v/>
      </c>
      <c r="N687" s="25"/>
      <c r="O687" s="25"/>
      <c r="P687" s="25"/>
      <c r="Q687" s="25"/>
      <c r="R687" s="25" t="str">
        <f>CONCATENATE('Ingest Template'!F686)</f>
        <v/>
      </c>
      <c r="S687" s="43" t="s">
        <v>160</v>
      </c>
      <c r="T687" s="25" t="str">
        <f>'Ingest Template'!W686</f>
        <v/>
      </c>
      <c r="U687" s="25"/>
      <c r="V687" s="25" t="str">
        <f>LOWER(SUBSTITUTE(SUBSTITUTE(SUBSTITUTE(SUBSTITUTE(SUBSTITUTE('Ingest Template'!Y686,"https:",""),"www.",""),"/",""),"?hl=en",""),"instagram.com",""))</f>
        <v/>
      </c>
      <c r="W687" s="34" t="str">
        <f>(IFERROR(vlookup('Ingest Template'!F687,DropDown!D:E,2,false)&amp;'Ingest Template'!C687,""))</f>
        <v/>
      </c>
      <c r="X687" s="25" t="str">
        <f>'Ingest Template'!AA686</f>
        <v/>
      </c>
      <c r="Y687" s="25"/>
      <c r="Z687" s="25"/>
      <c r="AA687" s="25"/>
      <c r="AB687" s="25" t="str">
        <f>'Ingest Template'!T686</f>
        <v/>
      </c>
      <c r="AC687" s="25"/>
      <c r="AD687" s="25" t="str">
        <f>'Ingest Template'!U686</f>
        <v/>
      </c>
      <c r="AE687" s="25" t="str">
        <f>'Ingest Template'!V686</f>
        <v/>
      </c>
      <c r="AF687" s="25"/>
      <c r="AG687" s="25" t="str">
        <f t="array" ref="AG687">IF('Ingest Template'!A686="Standard",(CONCATENATE(IF(ISBLANK('Ingest Template'!O686),"", 'Ingest Template'!O686&amp;"|DAR"),CHAR(10), IF(ISBLANK('Ingest Template'!P686),"", 'Ingest Template'!P686&amp;"|DAR"),CHAR(10), IF(ISBLANK('Ingest Template'!Q686),"", 'Ingest Template'!Q686&amp;"|DAR"))),(CONCATENATE(IF(ISBLANK('Ingest Template'!O686),"", 'Ingest Template'!O686&amp;"|Operations - Core Title"),CHAR(10), IF(ISBLANK('Ingest Template'!P686),"", 'Ingest Template'!P686&amp;"|Operations - Core Title"),CHAR(10), IF(ISBLANK('Ingest Template'!Q686),"", 'Ingest Template'!Q686&amp;"|Operations - Core Title"))))</f>
        <v>#|Operations - Core Title
#videoGame|Operations - Core Title
</v>
      </c>
      <c r="AH687" s="25"/>
      <c r="AI687" s="25"/>
      <c r="AJ687" s="50" t="str">
        <f>if('Ingest Template'!A686="Standard",'Ingest Template'!R686&amp; "|DAR|DAR|2021-01-01",'Ingest Template'!R686&amp; "|Operations - Core Title|Operations - Core Title")</f>
        <v>#N/A</v>
      </c>
      <c r="AK687" s="25"/>
      <c r="AL687" s="25" t="str">
        <f>if('Ingest Template'!A686="Standard",'Ingest Template'!S686&amp; "|2021-01-01",'Ingest Template'!S686)</f>
        <v>#N/A</v>
      </c>
      <c r="AM687" s="25"/>
    </row>
    <row r="688">
      <c r="A688" s="25"/>
      <c r="B688" s="25" t="str">
        <f>'Ingest Template'!C687&amp;IF('Ingest Template'!A687 = "Standard", " - DAR","")</f>
        <v/>
      </c>
      <c r="C688" s="34" t="s">
        <v>92</v>
      </c>
      <c r="D688" s="34" t="str">
        <f>CONCATENATE('Ingest Template'!E688&amp;Char(10)&amp;'Ingest Template'!G688&amp;Char(10)&amp;'Ingest Template'!H688&amp;Char(10)&amp;'Ingest Template'!I688&amp;Char(10)&amp;'Ingest Template'!J688&amp;Char(10)&amp;'Ingest Template'!K688&amp;Char(10)&amp;'Ingest Template'!L688)</f>
        <v>
</v>
      </c>
      <c r="E688" s="25" t="str">
        <f>('Ingest Template'!M688)</f>
        <v/>
      </c>
      <c r="F688" s="40" t="str">
        <f t="array" ref="F688">INDEX(DropDown!$J$2:$J$63,MATCH(1,COUNTIF(E688,DropDown!$I$2:$I$63),0))</f>
        <v>#N/A</v>
      </c>
      <c r="G688" s="25"/>
      <c r="H688" s="25"/>
      <c r="I688" s="25"/>
      <c r="J688" s="25" t="str">
        <f>'Ingest Template'!B688</f>
        <v/>
      </c>
      <c r="K688" s="25" t="str">
        <f>IF('Ingest Template'!A687="Standard",'Ingest Template'!N687,"Competitive View")</f>
        <v>Competitive View</v>
      </c>
      <c r="L688" s="41" t="s">
        <v>145</v>
      </c>
      <c r="M688" s="25" t="str">
        <f>'Ingest Template'!D687</f>
        <v/>
      </c>
      <c r="N688" s="25"/>
      <c r="O688" s="25"/>
      <c r="P688" s="25"/>
      <c r="Q688" s="25"/>
      <c r="R688" s="25" t="str">
        <f>CONCATENATE('Ingest Template'!F687)</f>
        <v/>
      </c>
      <c r="S688" s="43" t="s">
        <v>160</v>
      </c>
      <c r="T688" s="25" t="str">
        <f>'Ingest Template'!W687</f>
        <v/>
      </c>
      <c r="U688" s="25"/>
      <c r="V688" s="25" t="str">
        <f>LOWER(SUBSTITUTE(SUBSTITUTE(SUBSTITUTE(SUBSTITUTE(SUBSTITUTE('Ingest Template'!Y687,"https:",""),"www.",""),"/",""),"?hl=en",""),"instagram.com",""))</f>
        <v/>
      </c>
      <c r="W688" s="34" t="str">
        <f>(IFERROR(vlookup('Ingest Template'!F688,DropDown!D:E,2,false)&amp;'Ingest Template'!C688,""))</f>
        <v/>
      </c>
      <c r="X688" s="25" t="str">
        <f>'Ingest Template'!AA687</f>
        <v/>
      </c>
      <c r="Y688" s="25"/>
      <c r="Z688" s="25"/>
      <c r="AA688" s="25"/>
      <c r="AB688" s="25" t="str">
        <f>'Ingest Template'!T687</f>
        <v/>
      </c>
      <c r="AC688" s="25"/>
      <c r="AD688" s="25" t="str">
        <f>'Ingest Template'!U687</f>
        <v/>
      </c>
      <c r="AE688" s="25" t="str">
        <f>'Ingest Template'!V687</f>
        <v/>
      </c>
      <c r="AF688" s="25"/>
      <c r="AG688" s="25" t="str">
        <f t="array" ref="AG688">IF('Ingest Template'!A687="Standard",(CONCATENATE(IF(ISBLANK('Ingest Template'!O687),"", 'Ingest Template'!O687&amp;"|DAR"),CHAR(10), IF(ISBLANK('Ingest Template'!P687),"", 'Ingest Template'!P687&amp;"|DAR"),CHAR(10), IF(ISBLANK('Ingest Template'!Q687),"", 'Ingest Template'!Q687&amp;"|DAR"))),(CONCATENATE(IF(ISBLANK('Ingest Template'!O687),"", 'Ingest Template'!O687&amp;"|Operations - Core Title"),CHAR(10), IF(ISBLANK('Ingest Template'!P687),"", 'Ingest Template'!P687&amp;"|Operations - Core Title"),CHAR(10), IF(ISBLANK('Ingest Template'!Q687),"", 'Ingest Template'!Q687&amp;"|Operations - Core Title"))))</f>
        <v>#|Operations - Core Title
#videoGame|Operations - Core Title
</v>
      </c>
      <c r="AH688" s="25"/>
      <c r="AI688" s="25"/>
      <c r="AJ688" s="50" t="str">
        <f>if('Ingest Template'!A687="Standard",'Ingest Template'!R687&amp; "|DAR|DAR|2021-01-01",'Ingest Template'!R687&amp; "|Operations - Core Title|Operations - Core Title")</f>
        <v>#N/A</v>
      </c>
      <c r="AK688" s="25"/>
      <c r="AL688" s="25" t="str">
        <f>if('Ingest Template'!A687="Standard",'Ingest Template'!S687&amp; "|2021-01-01",'Ingest Template'!S687)</f>
        <v>#N/A</v>
      </c>
      <c r="AM688" s="25"/>
    </row>
    <row r="689">
      <c r="A689" s="25"/>
      <c r="B689" s="25" t="str">
        <f>'Ingest Template'!C688&amp;IF('Ingest Template'!A688 = "Standard", " - DAR","")</f>
        <v/>
      </c>
      <c r="C689" s="34" t="s">
        <v>92</v>
      </c>
      <c r="D689" s="34" t="str">
        <f>CONCATENATE('Ingest Template'!E689&amp;Char(10)&amp;'Ingest Template'!G689&amp;Char(10)&amp;'Ingest Template'!H689&amp;Char(10)&amp;'Ingest Template'!I689&amp;Char(10)&amp;'Ingest Template'!J689&amp;Char(10)&amp;'Ingest Template'!K689&amp;Char(10)&amp;'Ingest Template'!L689)</f>
        <v>
</v>
      </c>
      <c r="E689" s="25" t="str">
        <f>('Ingest Template'!M689)</f>
        <v/>
      </c>
      <c r="F689" s="40" t="str">
        <f t="array" ref="F689">INDEX(DropDown!$J$2:$J$63,MATCH(1,COUNTIF(E689,DropDown!$I$2:$I$63),0))</f>
        <v>#N/A</v>
      </c>
      <c r="G689" s="25"/>
      <c r="H689" s="25"/>
      <c r="I689" s="25"/>
      <c r="J689" s="25" t="str">
        <f>'Ingest Template'!B689</f>
        <v/>
      </c>
      <c r="K689" s="25" t="str">
        <f>IF('Ingest Template'!A688="Standard",'Ingest Template'!N688,"Competitive View")</f>
        <v>Competitive View</v>
      </c>
      <c r="L689" s="41" t="s">
        <v>145</v>
      </c>
      <c r="M689" s="25" t="str">
        <f>'Ingest Template'!D688</f>
        <v/>
      </c>
      <c r="N689" s="25"/>
      <c r="O689" s="25"/>
      <c r="P689" s="25"/>
      <c r="Q689" s="25"/>
      <c r="R689" s="25" t="str">
        <f>CONCATENATE('Ingest Template'!F688)</f>
        <v/>
      </c>
      <c r="S689" s="43" t="s">
        <v>160</v>
      </c>
      <c r="T689" s="25" t="str">
        <f>'Ingest Template'!W688</f>
        <v/>
      </c>
      <c r="U689" s="25"/>
      <c r="V689" s="25" t="str">
        <f>LOWER(SUBSTITUTE(SUBSTITUTE(SUBSTITUTE(SUBSTITUTE(SUBSTITUTE('Ingest Template'!Y688,"https:",""),"www.",""),"/",""),"?hl=en",""),"instagram.com",""))</f>
        <v/>
      </c>
      <c r="W689" s="34" t="str">
        <f>(IFERROR(vlookup('Ingest Template'!F689,DropDown!D:E,2,false)&amp;'Ingest Template'!C689,""))</f>
        <v/>
      </c>
      <c r="X689" s="25" t="str">
        <f>'Ingest Template'!AA688</f>
        <v/>
      </c>
      <c r="Y689" s="25"/>
      <c r="Z689" s="25"/>
      <c r="AA689" s="25"/>
      <c r="AB689" s="25" t="str">
        <f>'Ingest Template'!T688</f>
        <v/>
      </c>
      <c r="AC689" s="25"/>
      <c r="AD689" s="25" t="str">
        <f>'Ingest Template'!U688</f>
        <v/>
      </c>
      <c r="AE689" s="25" t="str">
        <f>'Ingest Template'!V688</f>
        <v/>
      </c>
      <c r="AF689" s="25"/>
      <c r="AG689" s="25" t="str">
        <f t="array" ref="AG689">IF('Ingest Template'!A688="Standard",(CONCATENATE(IF(ISBLANK('Ingest Template'!O688),"", 'Ingest Template'!O688&amp;"|DAR"),CHAR(10), IF(ISBLANK('Ingest Template'!P688),"", 'Ingest Template'!P688&amp;"|DAR"),CHAR(10), IF(ISBLANK('Ingest Template'!Q688),"", 'Ingest Template'!Q688&amp;"|DAR"))),(CONCATENATE(IF(ISBLANK('Ingest Template'!O688),"", 'Ingest Template'!O688&amp;"|Operations - Core Title"),CHAR(10), IF(ISBLANK('Ingest Template'!P688),"", 'Ingest Template'!P688&amp;"|Operations - Core Title"),CHAR(10), IF(ISBLANK('Ingest Template'!Q688),"", 'Ingest Template'!Q688&amp;"|Operations - Core Title"))))</f>
        <v>#|Operations - Core Title
#videoGame|Operations - Core Title
</v>
      </c>
      <c r="AH689" s="25"/>
      <c r="AI689" s="25"/>
      <c r="AJ689" s="50" t="str">
        <f>if('Ingest Template'!A688="Standard",'Ingest Template'!R688&amp; "|DAR|DAR|2021-01-01",'Ingest Template'!R688&amp; "|Operations - Core Title|Operations - Core Title")</f>
        <v>#N/A</v>
      </c>
      <c r="AK689" s="25"/>
      <c r="AL689" s="25" t="str">
        <f>if('Ingest Template'!A688="Standard",'Ingest Template'!S688&amp; "|2021-01-01",'Ingest Template'!S688)</f>
        <v>#N/A</v>
      </c>
      <c r="AM689" s="25"/>
    </row>
    <row r="690">
      <c r="A690" s="25"/>
      <c r="B690" s="25" t="str">
        <f>'Ingest Template'!C689&amp;IF('Ingest Template'!A689 = "Standard", " - DAR","")</f>
        <v/>
      </c>
      <c r="C690" s="34" t="s">
        <v>92</v>
      </c>
      <c r="D690" s="34" t="str">
        <f>CONCATENATE('Ingest Template'!E690&amp;Char(10)&amp;'Ingest Template'!G690&amp;Char(10)&amp;'Ingest Template'!H690&amp;Char(10)&amp;'Ingest Template'!I690&amp;Char(10)&amp;'Ingest Template'!J690&amp;Char(10)&amp;'Ingest Template'!K690&amp;Char(10)&amp;'Ingest Template'!L690)</f>
        <v>
</v>
      </c>
      <c r="E690" s="25" t="str">
        <f>('Ingest Template'!M690)</f>
        <v/>
      </c>
      <c r="F690" s="40" t="str">
        <f t="array" ref="F690">INDEX(DropDown!$J$2:$J$63,MATCH(1,COUNTIF(E690,DropDown!$I$2:$I$63),0))</f>
        <v>#N/A</v>
      </c>
      <c r="G690" s="25"/>
      <c r="H690" s="25"/>
      <c r="I690" s="25"/>
      <c r="J690" s="25" t="str">
        <f>'Ingest Template'!B690</f>
        <v/>
      </c>
      <c r="K690" s="25" t="str">
        <f>IF('Ingest Template'!A689="Standard",'Ingest Template'!N689,"Competitive View")</f>
        <v>Competitive View</v>
      </c>
      <c r="L690" s="41" t="s">
        <v>145</v>
      </c>
      <c r="M690" s="25" t="str">
        <f>'Ingest Template'!D689</f>
        <v/>
      </c>
      <c r="N690" s="25"/>
      <c r="O690" s="25"/>
      <c r="P690" s="25"/>
      <c r="Q690" s="25"/>
      <c r="R690" s="25" t="str">
        <f>CONCATENATE('Ingest Template'!F689)</f>
        <v/>
      </c>
      <c r="S690" s="43" t="s">
        <v>160</v>
      </c>
      <c r="T690" s="25" t="str">
        <f>'Ingest Template'!W689</f>
        <v/>
      </c>
      <c r="U690" s="25"/>
      <c r="V690" s="25" t="str">
        <f>LOWER(SUBSTITUTE(SUBSTITUTE(SUBSTITUTE(SUBSTITUTE(SUBSTITUTE('Ingest Template'!Y689,"https:",""),"www.",""),"/",""),"?hl=en",""),"instagram.com",""))</f>
        <v/>
      </c>
      <c r="W690" s="34" t="str">
        <f>(IFERROR(vlookup('Ingest Template'!F690,DropDown!D:E,2,false)&amp;'Ingest Template'!C690,""))</f>
        <v/>
      </c>
      <c r="X690" s="25" t="str">
        <f>'Ingest Template'!AA689</f>
        <v/>
      </c>
      <c r="Y690" s="25"/>
      <c r="Z690" s="25"/>
      <c r="AA690" s="25"/>
      <c r="AB690" s="25" t="str">
        <f>'Ingest Template'!T689</f>
        <v/>
      </c>
      <c r="AC690" s="25"/>
      <c r="AD690" s="25" t="str">
        <f>'Ingest Template'!U689</f>
        <v/>
      </c>
      <c r="AE690" s="25" t="str">
        <f>'Ingest Template'!V689</f>
        <v/>
      </c>
      <c r="AF690" s="25"/>
      <c r="AG690" s="25" t="str">
        <f t="array" ref="AG690">IF('Ingest Template'!A689="Standard",(CONCATENATE(IF(ISBLANK('Ingest Template'!O689),"", 'Ingest Template'!O689&amp;"|DAR"),CHAR(10), IF(ISBLANK('Ingest Template'!P689),"", 'Ingest Template'!P689&amp;"|DAR"),CHAR(10), IF(ISBLANK('Ingest Template'!Q689),"", 'Ingest Template'!Q689&amp;"|DAR"))),(CONCATENATE(IF(ISBLANK('Ingest Template'!O689),"", 'Ingest Template'!O689&amp;"|Operations - Core Title"),CHAR(10), IF(ISBLANK('Ingest Template'!P689),"", 'Ingest Template'!P689&amp;"|Operations - Core Title"),CHAR(10), IF(ISBLANK('Ingest Template'!Q689),"", 'Ingest Template'!Q689&amp;"|Operations - Core Title"))))</f>
        <v>#|Operations - Core Title
#videoGame|Operations - Core Title
</v>
      </c>
      <c r="AH690" s="25"/>
      <c r="AI690" s="25"/>
      <c r="AJ690" s="50" t="str">
        <f>if('Ingest Template'!A689="Standard",'Ingest Template'!R689&amp; "|DAR|DAR|2021-01-01",'Ingest Template'!R689&amp; "|Operations - Core Title|Operations - Core Title")</f>
        <v>#N/A</v>
      </c>
      <c r="AK690" s="25"/>
      <c r="AL690" s="25" t="str">
        <f>if('Ingest Template'!A689="Standard",'Ingest Template'!S689&amp; "|2021-01-01",'Ingest Template'!S689)</f>
        <v>#N/A</v>
      </c>
      <c r="AM690" s="25"/>
    </row>
    <row r="691">
      <c r="A691" s="25"/>
      <c r="B691" s="25" t="str">
        <f>'Ingest Template'!C690&amp;IF('Ingest Template'!A690 = "Standard", " - DAR","")</f>
        <v/>
      </c>
      <c r="C691" s="34" t="s">
        <v>92</v>
      </c>
      <c r="D691" s="34" t="str">
        <f>CONCATENATE('Ingest Template'!E691&amp;Char(10)&amp;'Ingest Template'!G691&amp;Char(10)&amp;'Ingest Template'!H691&amp;Char(10)&amp;'Ingest Template'!I691&amp;Char(10)&amp;'Ingest Template'!J691&amp;Char(10)&amp;'Ingest Template'!K691&amp;Char(10)&amp;'Ingest Template'!L691)</f>
        <v>
</v>
      </c>
      <c r="E691" s="25" t="str">
        <f>('Ingest Template'!M691)</f>
        <v/>
      </c>
      <c r="F691" s="40" t="str">
        <f t="array" ref="F691">INDEX(DropDown!$J$2:$J$63,MATCH(1,COUNTIF(E691,DropDown!$I$2:$I$63),0))</f>
        <v>#N/A</v>
      </c>
      <c r="G691" s="25"/>
      <c r="H691" s="25"/>
      <c r="I691" s="25"/>
      <c r="J691" s="25" t="str">
        <f>'Ingest Template'!B691</f>
        <v/>
      </c>
      <c r="K691" s="25" t="str">
        <f>IF('Ingest Template'!A690="Standard",'Ingest Template'!N690,"Competitive View")</f>
        <v>Competitive View</v>
      </c>
      <c r="L691" s="41" t="s">
        <v>145</v>
      </c>
      <c r="M691" s="25" t="str">
        <f>'Ingest Template'!D690</f>
        <v/>
      </c>
      <c r="N691" s="25"/>
      <c r="O691" s="25"/>
      <c r="P691" s="25"/>
      <c r="Q691" s="25"/>
      <c r="R691" s="25" t="str">
        <f>CONCATENATE('Ingest Template'!F690)</f>
        <v/>
      </c>
      <c r="S691" s="43" t="s">
        <v>160</v>
      </c>
      <c r="T691" s="25" t="str">
        <f>'Ingest Template'!W690</f>
        <v/>
      </c>
      <c r="U691" s="25"/>
      <c r="V691" s="25" t="str">
        <f>LOWER(SUBSTITUTE(SUBSTITUTE(SUBSTITUTE(SUBSTITUTE(SUBSTITUTE('Ingest Template'!Y690,"https:",""),"www.",""),"/",""),"?hl=en",""),"instagram.com",""))</f>
        <v/>
      </c>
      <c r="W691" s="34" t="str">
        <f>(IFERROR(vlookup('Ingest Template'!F691,DropDown!D:E,2,false)&amp;'Ingest Template'!C691,""))</f>
        <v/>
      </c>
      <c r="X691" s="25" t="str">
        <f>'Ingest Template'!AA690</f>
        <v/>
      </c>
      <c r="Y691" s="25"/>
      <c r="Z691" s="25"/>
      <c r="AA691" s="25"/>
      <c r="AB691" s="25" t="str">
        <f>'Ingest Template'!T690</f>
        <v/>
      </c>
      <c r="AC691" s="25"/>
      <c r="AD691" s="25" t="str">
        <f>'Ingest Template'!U690</f>
        <v/>
      </c>
      <c r="AE691" s="25" t="str">
        <f>'Ingest Template'!V690</f>
        <v/>
      </c>
      <c r="AF691" s="25"/>
      <c r="AG691" s="25" t="str">
        <f t="array" ref="AG691">IF('Ingest Template'!A690="Standard",(CONCATENATE(IF(ISBLANK('Ingest Template'!O690),"", 'Ingest Template'!O690&amp;"|DAR"),CHAR(10), IF(ISBLANK('Ingest Template'!P690),"", 'Ingest Template'!P690&amp;"|DAR"),CHAR(10), IF(ISBLANK('Ingest Template'!Q690),"", 'Ingest Template'!Q690&amp;"|DAR"))),(CONCATENATE(IF(ISBLANK('Ingest Template'!O690),"", 'Ingest Template'!O690&amp;"|Operations - Core Title"),CHAR(10), IF(ISBLANK('Ingest Template'!P690),"", 'Ingest Template'!P690&amp;"|Operations - Core Title"),CHAR(10), IF(ISBLANK('Ingest Template'!Q690),"", 'Ingest Template'!Q690&amp;"|Operations - Core Title"))))</f>
        <v>#|Operations - Core Title
#videoGame|Operations - Core Title
</v>
      </c>
      <c r="AH691" s="25"/>
      <c r="AI691" s="25"/>
      <c r="AJ691" s="50" t="str">
        <f>if('Ingest Template'!A690="Standard",'Ingest Template'!R690&amp; "|DAR|DAR|2021-01-01",'Ingest Template'!R690&amp; "|Operations - Core Title|Operations - Core Title")</f>
        <v>#N/A</v>
      </c>
      <c r="AK691" s="25"/>
      <c r="AL691" s="25" t="str">
        <f>if('Ingest Template'!A690="Standard",'Ingest Template'!S690&amp; "|2021-01-01",'Ingest Template'!S690)</f>
        <v>#N/A</v>
      </c>
      <c r="AM691" s="25"/>
    </row>
    <row r="692">
      <c r="A692" s="25"/>
      <c r="B692" s="25" t="str">
        <f>'Ingest Template'!C691&amp;IF('Ingest Template'!A691 = "Standard", " - DAR","")</f>
        <v/>
      </c>
      <c r="C692" s="34" t="s">
        <v>92</v>
      </c>
      <c r="D692" s="34" t="str">
        <f>CONCATENATE('Ingest Template'!E692&amp;Char(10)&amp;'Ingest Template'!G692&amp;Char(10)&amp;'Ingest Template'!H692&amp;Char(10)&amp;'Ingest Template'!I692&amp;Char(10)&amp;'Ingest Template'!J692&amp;Char(10)&amp;'Ingest Template'!K692&amp;Char(10)&amp;'Ingest Template'!L692)</f>
        <v>
</v>
      </c>
      <c r="E692" s="25" t="str">
        <f>('Ingest Template'!M692)</f>
        <v/>
      </c>
      <c r="F692" s="40" t="str">
        <f t="array" ref="F692">INDEX(DropDown!$J$2:$J$63,MATCH(1,COUNTIF(E692,DropDown!$I$2:$I$63),0))</f>
        <v>#N/A</v>
      </c>
      <c r="G692" s="25"/>
      <c r="H692" s="25"/>
      <c r="I692" s="25"/>
      <c r="J692" s="25" t="str">
        <f>'Ingest Template'!B692</f>
        <v/>
      </c>
      <c r="K692" s="25" t="str">
        <f>IF('Ingest Template'!A691="Standard",'Ingest Template'!N691,"Competitive View")</f>
        <v>Competitive View</v>
      </c>
      <c r="L692" s="41" t="s">
        <v>145</v>
      </c>
      <c r="M692" s="25" t="str">
        <f>'Ingest Template'!D691</f>
        <v/>
      </c>
      <c r="N692" s="25"/>
      <c r="O692" s="25"/>
      <c r="P692" s="25"/>
      <c r="Q692" s="25"/>
      <c r="R692" s="25" t="str">
        <f>CONCATENATE('Ingest Template'!F691)</f>
        <v/>
      </c>
      <c r="S692" s="43" t="s">
        <v>160</v>
      </c>
      <c r="T692" s="25" t="str">
        <f>'Ingest Template'!W691</f>
        <v/>
      </c>
      <c r="U692" s="25"/>
      <c r="V692" s="25" t="str">
        <f>LOWER(SUBSTITUTE(SUBSTITUTE(SUBSTITUTE(SUBSTITUTE(SUBSTITUTE('Ingest Template'!Y691,"https:",""),"www.",""),"/",""),"?hl=en",""),"instagram.com",""))</f>
        <v/>
      </c>
      <c r="W692" s="34" t="str">
        <f>(IFERROR(vlookup('Ingest Template'!F692,DropDown!D:E,2,false)&amp;'Ingest Template'!C692,""))</f>
        <v/>
      </c>
      <c r="X692" s="25" t="str">
        <f>'Ingest Template'!AA691</f>
        <v/>
      </c>
      <c r="Y692" s="25"/>
      <c r="Z692" s="25"/>
      <c r="AA692" s="25"/>
      <c r="AB692" s="25" t="str">
        <f>'Ingest Template'!T691</f>
        <v/>
      </c>
      <c r="AC692" s="25"/>
      <c r="AD692" s="25" t="str">
        <f>'Ingest Template'!U691</f>
        <v/>
      </c>
      <c r="AE692" s="25" t="str">
        <f>'Ingest Template'!V691</f>
        <v/>
      </c>
      <c r="AF692" s="25"/>
      <c r="AG692" s="25" t="str">
        <f t="array" ref="AG692">IF('Ingest Template'!A691="Standard",(CONCATENATE(IF(ISBLANK('Ingest Template'!O691),"", 'Ingest Template'!O691&amp;"|DAR"),CHAR(10), IF(ISBLANK('Ingest Template'!P691),"", 'Ingest Template'!P691&amp;"|DAR"),CHAR(10), IF(ISBLANK('Ingest Template'!Q691),"", 'Ingest Template'!Q691&amp;"|DAR"))),(CONCATENATE(IF(ISBLANK('Ingest Template'!O691),"", 'Ingest Template'!O691&amp;"|Operations - Core Title"),CHAR(10), IF(ISBLANK('Ingest Template'!P691),"", 'Ingest Template'!P691&amp;"|Operations - Core Title"),CHAR(10), IF(ISBLANK('Ingest Template'!Q691),"", 'Ingest Template'!Q691&amp;"|Operations - Core Title"))))</f>
        <v>#|Operations - Core Title
#videoGame|Operations - Core Title
</v>
      </c>
      <c r="AH692" s="25"/>
      <c r="AI692" s="25"/>
      <c r="AJ692" s="50" t="str">
        <f>if('Ingest Template'!A691="Standard",'Ingest Template'!R691&amp; "|DAR|DAR|2021-01-01",'Ingest Template'!R691&amp; "|Operations - Core Title|Operations - Core Title")</f>
        <v>#N/A</v>
      </c>
      <c r="AK692" s="25"/>
      <c r="AL692" s="25" t="str">
        <f>if('Ingest Template'!A691="Standard",'Ingest Template'!S691&amp; "|2021-01-01",'Ingest Template'!S691)</f>
        <v>#N/A</v>
      </c>
      <c r="AM692" s="25"/>
    </row>
    <row r="693">
      <c r="A693" s="25"/>
      <c r="B693" s="25" t="str">
        <f>'Ingest Template'!C692&amp;IF('Ingest Template'!A692 = "Standard", " - DAR","")</f>
        <v/>
      </c>
      <c r="C693" s="34" t="s">
        <v>92</v>
      </c>
      <c r="D693" s="34" t="str">
        <f>CONCATENATE('Ingest Template'!E693&amp;Char(10)&amp;'Ingest Template'!G693&amp;Char(10)&amp;'Ingest Template'!H693&amp;Char(10)&amp;'Ingest Template'!I693&amp;Char(10)&amp;'Ingest Template'!J693&amp;Char(10)&amp;'Ingest Template'!K693&amp;Char(10)&amp;'Ingest Template'!L693)</f>
        <v>
</v>
      </c>
      <c r="E693" s="25" t="str">
        <f>('Ingest Template'!M693)</f>
        <v/>
      </c>
      <c r="F693" s="40" t="str">
        <f t="array" ref="F693">INDEX(DropDown!$J$2:$J$63,MATCH(1,COUNTIF(E693,DropDown!$I$2:$I$63),0))</f>
        <v>#N/A</v>
      </c>
      <c r="G693" s="25"/>
      <c r="H693" s="25"/>
      <c r="I693" s="25"/>
      <c r="J693" s="25" t="str">
        <f>'Ingest Template'!B693</f>
        <v/>
      </c>
      <c r="K693" s="25" t="str">
        <f>IF('Ingest Template'!A692="Standard",'Ingest Template'!N692,"Competitive View")</f>
        <v>Competitive View</v>
      </c>
      <c r="L693" s="41" t="s">
        <v>145</v>
      </c>
      <c r="M693" s="25" t="str">
        <f>'Ingest Template'!D692</f>
        <v/>
      </c>
      <c r="N693" s="25"/>
      <c r="O693" s="25"/>
      <c r="P693" s="25"/>
      <c r="Q693" s="25"/>
      <c r="R693" s="25" t="str">
        <f>CONCATENATE('Ingest Template'!F692)</f>
        <v/>
      </c>
      <c r="S693" s="43" t="s">
        <v>160</v>
      </c>
      <c r="T693" s="25" t="str">
        <f>'Ingest Template'!W692</f>
        <v/>
      </c>
      <c r="U693" s="25"/>
      <c r="V693" s="25" t="str">
        <f>LOWER(SUBSTITUTE(SUBSTITUTE(SUBSTITUTE(SUBSTITUTE(SUBSTITUTE('Ingest Template'!Y692,"https:",""),"www.",""),"/",""),"?hl=en",""),"instagram.com",""))</f>
        <v/>
      </c>
      <c r="W693" s="34" t="str">
        <f>(IFERROR(vlookup('Ingest Template'!F693,DropDown!D:E,2,false)&amp;'Ingest Template'!C693,""))</f>
        <v/>
      </c>
      <c r="X693" s="25" t="str">
        <f>'Ingest Template'!AA692</f>
        <v/>
      </c>
      <c r="Y693" s="25"/>
      <c r="Z693" s="25"/>
      <c r="AA693" s="25"/>
      <c r="AB693" s="25" t="str">
        <f>'Ingest Template'!T692</f>
        <v/>
      </c>
      <c r="AC693" s="25"/>
      <c r="AD693" s="25" t="str">
        <f>'Ingest Template'!U692</f>
        <v/>
      </c>
      <c r="AE693" s="25" t="str">
        <f>'Ingest Template'!V692</f>
        <v/>
      </c>
      <c r="AF693" s="25"/>
      <c r="AG693" s="25" t="str">
        <f t="array" ref="AG693">IF('Ingest Template'!A692="Standard",(CONCATENATE(IF(ISBLANK('Ingest Template'!O692),"", 'Ingest Template'!O692&amp;"|DAR"),CHAR(10), IF(ISBLANK('Ingest Template'!P692),"", 'Ingest Template'!P692&amp;"|DAR"),CHAR(10), IF(ISBLANK('Ingest Template'!Q692),"", 'Ingest Template'!Q692&amp;"|DAR"))),(CONCATENATE(IF(ISBLANK('Ingest Template'!O692),"", 'Ingest Template'!O692&amp;"|Operations - Core Title"),CHAR(10), IF(ISBLANK('Ingest Template'!P692),"", 'Ingest Template'!P692&amp;"|Operations - Core Title"),CHAR(10), IF(ISBLANK('Ingest Template'!Q692),"", 'Ingest Template'!Q692&amp;"|Operations - Core Title"))))</f>
        <v>#|Operations - Core Title
#videoGame|Operations - Core Title
</v>
      </c>
      <c r="AH693" s="25"/>
      <c r="AI693" s="25"/>
      <c r="AJ693" s="50" t="str">
        <f>if('Ingest Template'!A692="Standard",'Ingest Template'!R692&amp; "|DAR|DAR|2021-01-01",'Ingest Template'!R692&amp; "|Operations - Core Title|Operations - Core Title")</f>
        <v>#N/A</v>
      </c>
      <c r="AK693" s="25"/>
      <c r="AL693" s="25" t="str">
        <f>if('Ingest Template'!A692="Standard",'Ingest Template'!S692&amp; "|2021-01-01",'Ingest Template'!S692)</f>
        <v>#N/A</v>
      </c>
      <c r="AM693" s="25"/>
    </row>
    <row r="694">
      <c r="A694" s="25"/>
      <c r="B694" s="25" t="str">
        <f>'Ingest Template'!C693&amp;IF('Ingest Template'!A693 = "Standard", " - DAR","")</f>
        <v/>
      </c>
      <c r="C694" s="34" t="s">
        <v>92</v>
      </c>
      <c r="D694" s="34" t="str">
        <f>CONCATENATE('Ingest Template'!E694&amp;Char(10)&amp;'Ingest Template'!G694&amp;Char(10)&amp;'Ingest Template'!H694&amp;Char(10)&amp;'Ingest Template'!I694&amp;Char(10)&amp;'Ingest Template'!J694&amp;Char(10)&amp;'Ingest Template'!K694&amp;Char(10)&amp;'Ingest Template'!L694)</f>
        <v>
</v>
      </c>
      <c r="E694" s="25" t="str">
        <f>('Ingest Template'!M694)</f>
        <v/>
      </c>
      <c r="F694" s="40" t="str">
        <f t="array" ref="F694">INDEX(DropDown!$J$2:$J$63,MATCH(1,COUNTIF(E694,DropDown!$I$2:$I$63),0))</f>
        <v>#N/A</v>
      </c>
      <c r="G694" s="25"/>
      <c r="H694" s="25"/>
      <c r="I694" s="25"/>
      <c r="J694" s="25" t="str">
        <f>'Ingest Template'!B694</f>
        <v/>
      </c>
      <c r="K694" s="25" t="str">
        <f>IF('Ingest Template'!A693="Standard",'Ingest Template'!N693,"Competitive View")</f>
        <v>Competitive View</v>
      </c>
      <c r="L694" s="41" t="s">
        <v>145</v>
      </c>
      <c r="M694" s="25" t="str">
        <f>'Ingest Template'!D693</f>
        <v/>
      </c>
      <c r="N694" s="25"/>
      <c r="O694" s="25"/>
      <c r="P694" s="25"/>
      <c r="Q694" s="25"/>
      <c r="R694" s="25" t="str">
        <f>CONCATENATE('Ingest Template'!F693)</f>
        <v/>
      </c>
      <c r="S694" s="43" t="s">
        <v>160</v>
      </c>
      <c r="T694" s="25" t="str">
        <f>'Ingest Template'!W693</f>
        <v/>
      </c>
      <c r="U694" s="25"/>
      <c r="V694" s="25" t="str">
        <f>LOWER(SUBSTITUTE(SUBSTITUTE(SUBSTITUTE(SUBSTITUTE(SUBSTITUTE('Ingest Template'!Y693,"https:",""),"www.",""),"/",""),"?hl=en",""),"instagram.com",""))</f>
        <v/>
      </c>
      <c r="W694" s="34" t="str">
        <f>(IFERROR(vlookup('Ingest Template'!F694,DropDown!D:E,2,false)&amp;'Ingest Template'!C694,""))</f>
        <v/>
      </c>
      <c r="X694" s="25" t="str">
        <f>'Ingest Template'!AA693</f>
        <v/>
      </c>
      <c r="Y694" s="25"/>
      <c r="Z694" s="25"/>
      <c r="AA694" s="25"/>
      <c r="AB694" s="25" t="str">
        <f>'Ingest Template'!T693</f>
        <v/>
      </c>
      <c r="AC694" s="25"/>
      <c r="AD694" s="25" t="str">
        <f>'Ingest Template'!U693</f>
        <v/>
      </c>
      <c r="AE694" s="25" t="str">
        <f>'Ingest Template'!V693</f>
        <v/>
      </c>
      <c r="AF694" s="25"/>
      <c r="AG694" s="25" t="str">
        <f t="array" ref="AG694">IF('Ingest Template'!A693="Standard",(CONCATENATE(IF(ISBLANK('Ingest Template'!O693),"", 'Ingest Template'!O693&amp;"|DAR"),CHAR(10), IF(ISBLANK('Ingest Template'!P693),"", 'Ingest Template'!P693&amp;"|DAR"),CHAR(10), IF(ISBLANK('Ingest Template'!Q693),"", 'Ingest Template'!Q693&amp;"|DAR"))),(CONCATENATE(IF(ISBLANK('Ingest Template'!O693),"", 'Ingest Template'!O693&amp;"|Operations - Core Title"),CHAR(10), IF(ISBLANK('Ingest Template'!P693),"", 'Ingest Template'!P693&amp;"|Operations - Core Title"),CHAR(10), IF(ISBLANK('Ingest Template'!Q693),"", 'Ingest Template'!Q693&amp;"|Operations - Core Title"))))</f>
        <v>#|Operations - Core Title
#videoGame|Operations - Core Title
</v>
      </c>
      <c r="AH694" s="25"/>
      <c r="AI694" s="25"/>
      <c r="AJ694" s="50" t="str">
        <f>if('Ingest Template'!A693="Standard",'Ingest Template'!R693&amp; "|DAR|DAR|2021-01-01",'Ingest Template'!R693&amp; "|Operations - Core Title|Operations - Core Title")</f>
        <v>#N/A</v>
      </c>
      <c r="AK694" s="25"/>
      <c r="AL694" s="25" t="str">
        <f>if('Ingest Template'!A693="Standard",'Ingest Template'!S693&amp; "|2021-01-01",'Ingest Template'!S693)</f>
        <v>#N/A</v>
      </c>
      <c r="AM694" s="25"/>
    </row>
    <row r="695">
      <c r="A695" s="25"/>
      <c r="B695" s="25" t="str">
        <f>'Ingest Template'!C694&amp;IF('Ingest Template'!A694 = "Standard", " - DAR","")</f>
        <v/>
      </c>
      <c r="C695" s="34" t="s">
        <v>92</v>
      </c>
      <c r="D695" s="34" t="str">
        <f>CONCATENATE('Ingest Template'!E695&amp;Char(10)&amp;'Ingest Template'!G695&amp;Char(10)&amp;'Ingest Template'!H695&amp;Char(10)&amp;'Ingest Template'!I695&amp;Char(10)&amp;'Ingest Template'!J695&amp;Char(10)&amp;'Ingest Template'!K695&amp;Char(10)&amp;'Ingest Template'!L695)</f>
        <v>
</v>
      </c>
      <c r="E695" s="25" t="str">
        <f>('Ingest Template'!M695)</f>
        <v/>
      </c>
      <c r="F695" s="40" t="str">
        <f t="array" ref="F695">INDEX(DropDown!$J$2:$J$63,MATCH(1,COUNTIF(E695,DropDown!$I$2:$I$63),0))</f>
        <v>#N/A</v>
      </c>
      <c r="G695" s="25"/>
      <c r="H695" s="25"/>
      <c r="I695" s="25"/>
      <c r="J695" s="25" t="str">
        <f>'Ingest Template'!B695</f>
        <v/>
      </c>
      <c r="K695" s="25" t="str">
        <f>IF('Ingest Template'!A694="Standard",'Ingest Template'!N694,"Competitive View")</f>
        <v>Competitive View</v>
      </c>
      <c r="L695" s="41" t="s">
        <v>145</v>
      </c>
      <c r="M695" s="25" t="str">
        <f>'Ingest Template'!D694</f>
        <v/>
      </c>
      <c r="N695" s="25"/>
      <c r="O695" s="25"/>
      <c r="P695" s="25"/>
      <c r="Q695" s="25"/>
      <c r="R695" s="25" t="str">
        <f>CONCATENATE('Ingest Template'!F694)</f>
        <v/>
      </c>
      <c r="S695" s="43" t="s">
        <v>160</v>
      </c>
      <c r="T695" s="25" t="str">
        <f>'Ingest Template'!W694</f>
        <v/>
      </c>
      <c r="U695" s="25"/>
      <c r="V695" s="25" t="str">
        <f>LOWER(SUBSTITUTE(SUBSTITUTE(SUBSTITUTE(SUBSTITUTE(SUBSTITUTE('Ingest Template'!Y694,"https:",""),"www.",""),"/",""),"?hl=en",""),"instagram.com",""))</f>
        <v/>
      </c>
      <c r="W695" s="34" t="str">
        <f>(IFERROR(vlookup('Ingest Template'!F695,DropDown!D:E,2,false)&amp;'Ingest Template'!C695,""))</f>
        <v/>
      </c>
      <c r="X695" s="25" t="str">
        <f>'Ingest Template'!AA694</f>
        <v/>
      </c>
      <c r="Y695" s="25"/>
      <c r="Z695" s="25"/>
      <c r="AA695" s="25"/>
      <c r="AB695" s="25" t="str">
        <f>'Ingest Template'!T694</f>
        <v/>
      </c>
      <c r="AC695" s="25"/>
      <c r="AD695" s="25" t="str">
        <f>'Ingest Template'!U694</f>
        <v/>
      </c>
      <c r="AE695" s="25" t="str">
        <f>'Ingest Template'!V694</f>
        <v/>
      </c>
      <c r="AF695" s="25"/>
      <c r="AG695" s="25" t="str">
        <f t="array" ref="AG695">IF('Ingest Template'!A694="Standard",(CONCATENATE(IF(ISBLANK('Ingest Template'!O694),"", 'Ingest Template'!O694&amp;"|DAR"),CHAR(10), IF(ISBLANK('Ingest Template'!P694),"", 'Ingest Template'!P694&amp;"|DAR"),CHAR(10), IF(ISBLANK('Ingest Template'!Q694),"", 'Ingest Template'!Q694&amp;"|DAR"))),(CONCATENATE(IF(ISBLANK('Ingest Template'!O694),"", 'Ingest Template'!O694&amp;"|Operations - Core Title"),CHAR(10), IF(ISBLANK('Ingest Template'!P694),"", 'Ingest Template'!P694&amp;"|Operations - Core Title"),CHAR(10), IF(ISBLANK('Ingest Template'!Q694),"", 'Ingest Template'!Q694&amp;"|Operations - Core Title"))))</f>
        <v>#|Operations - Core Title
#videoGame|Operations - Core Title
</v>
      </c>
      <c r="AH695" s="25"/>
      <c r="AI695" s="25"/>
      <c r="AJ695" s="50" t="str">
        <f>if('Ingest Template'!A694="Standard",'Ingest Template'!R694&amp; "|DAR|DAR|2021-01-01",'Ingest Template'!R694&amp; "|Operations - Core Title|Operations - Core Title")</f>
        <v>#N/A</v>
      </c>
      <c r="AK695" s="25"/>
      <c r="AL695" s="25" t="str">
        <f>if('Ingest Template'!A694="Standard",'Ingest Template'!S694&amp; "|2021-01-01",'Ingest Template'!S694)</f>
        <v>#N/A</v>
      </c>
      <c r="AM695" s="25"/>
    </row>
    <row r="696">
      <c r="A696" s="25"/>
      <c r="B696" s="25" t="str">
        <f>'Ingest Template'!C695&amp;IF('Ingest Template'!A695 = "Standard", " - DAR","")</f>
        <v/>
      </c>
      <c r="C696" s="34" t="s">
        <v>92</v>
      </c>
      <c r="D696" s="34" t="str">
        <f>CONCATENATE('Ingest Template'!E696&amp;Char(10)&amp;'Ingest Template'!G696&amp;Char(10)&amp;'Ingest Template'!H696&amp;Char(10)&amp;'Ingest Template'!I696&amp;Char(10)&amp;'Ingest Template'!J696&amp;Char(10)&amp;'Ingest Template'!K696&amp;Char(10)&amp;'Ingest Template'!L696)</f>
        <v>
</v>
      </c>
      <c r="E696" s="25" t="str">
        <f>('Ingest Template'!M696)</f>
        <v/>
      </c>
      <c r="F696" s="40" t="str">
        <f t="array" ref="F696">INDEX(DropDown!$J$2:$J$63,MATCH(1,COUNTIF(E696,DropDown!$I$2:$I$63),0))</f>
        <v>#N/A</v>
      </c>
      <c r="G696" s="25"/>
      <c r="H696" s="25"/>
      <c r="I696" s="25"/>
      <c r="J696" s="25" t="str">
        <f>'Ingest Template'!B696</f>
        <v/>
      </c>
      <c r="K696" s="25" t="str">
        <f>IF('Ingest Template'!A695="Standard",'Ingest Template'!N695,"Competitive View")</f>
        <v>Competitive View</v>
      </c>
      <c r="L696" s="41" t="s">
        <v>145</v>
      </c>
      <c r="M696" s="25" t="str">
        <f>'Ingest Template'!D695</f>
        <v/>
      </c>
      <c r="N696" s="25"/>
      <c r="O696" s="25"/>
      <c r="P696" s="25"/>
      <c r="Q696" s="25"/>
      <c r="R696" s="25" t="str">
        <f>CONCATENATE('Ingest Template'!F695)</f>
        <v/>
      </c>
      <c r="S696" s="43" t="s">
        <v>160</v>
      </c>
      <c r="T696" s="25" t="str">
        <f>'Ingest Template'!W695</f>
        <v/>
      </c>
      <c r="U696" s="25"/>
      <c r="V696" s="25" t="str">
        <f>LOWER(SUBSTITUTE(SUBSTITUTE(SUBSTITUTE(SUBSTITUTE(SUBSTITUTE('Ingest Template'!Y695,"https:",""),"www.",""),"/",""),"?hl=en",""),"instagram.com",""))</f>
        <v/>
      </c>
      <c r="W696" s="34" t="str">
        <f>(IFERROR(vlookup('Ingest Template'!F696,DropDown!D:E,2,false)&amp;'Ingest Template'!C696,""))</f>
        <v/>
      </c>
      <c r="X696" s="25" t="str">
        <f>'Ingest Template'!AA695</f>
        <v/>
      </c>
      <c r="Y696" s="25"/>
      <c r="Z696" s="25"/>
      <c r="AA696" s="25"/>
      <c r="AB696" s="25" t="str">
        <f>'Ingest Template'!T695</f>
        <v/>
      </c>
      <c r="AC696" s="25"/>
      <c r="AD696" s="25" t="str">
        <f>'Ingest Template'!U695</f>
        <v/>
      </c>
      <c r="AE696" s="25" t="str">
        <f>'Ingest Template'!V695</f>
        <v/>
      </c>
      <c r="AF696" s="25"/>
      <c r="AG696" s="25" t="str">
        <f t="array" ref="AG696">IF('Ingest Template'!A695="Standard",(CONCATENATE(IF(ISBLANK('Ingest Template'!O695),"", 'Ingest Template'!O695&amp;"|DAR"),CHAR(10), IF(ISBLANK('Ingest Template'!P695),"", 'Ingest Template'!P695&amp;"|DAR"),CHAR(10), IF(ISBLANK('Ingest Template'!Q695),"", 'Ingest Template'!Q695&amp;"|DAR"))),(CONCATENATE(IF(ISBLANK('Ingest Template'!O695),"", 'Ingest Template'!O695&amp;"|Operations - Core Title"),CHAR(10), IF(ISBLANK('Ingest Template'!P695),"", 'Ingest Template'!P695&amp;"|Operations - Core Title"),CHAR(10), IF(ISBLANK('Ingest Template'!Q695),"", 'Ingest Template'!Q695&amp;"|Operations - Core Title"))))</f>
        <v>#|Operations - Core Title
#videoGame|Operations - Core Title
</v>
      </c>
      <c r="AH696" s="25"/>
      <c r="AI696" s="25"/>
      <c r="AJ696" s="50" t="str">
        <f>if('Ingest Template'!A695="Standard",'Ingest Template'!R695&amp; "|DAR|DAR|2021-01-01",'Ingest Template'!R695&amp; "|Operations - Core Title|Operations - Core Title")</f>
        <v>#N/A</v>
      </c>
      <c r="AK696" s="25"/>
      <c r="AL696" s="25" t="str">
        <f>if('Ingest Template'!A695="Standard",'Ingest Template'!S695&amp; "|2021-01-01",'Ingest Template'!S695)</f>
        <v>#N/A</v>
      </c>
      <c r="AM696" s="25"/>
    </row>
    <row r="697">
      <c r="A697" s="25"/>
      <c r="B697" s="25" t="str">
        <f>'Ingest Template'!C696&amp;IF('Ingest Template'!A696 = "Standard", " - DAR","")</f>
        <v/>
      </c>
      <c r="C697" s="34" t="s">
        <v>92</v>
      </c>
      <c r="D697" s="34" t="str">
        <f>CONCATENATE('Ingest Template'!E697&amp;Char(10)&amp;'Ingest Template'!G697&amp;Char(10)&amp;'Ingest Template'!H697&amp;Char(10)&amp;'Ingest Template'!I697&amp;Char(10)&amp;'Ingest Template'!J697&amp;Char(10)&amp;'Ingest Template'!K697&amp;Char(10)&amp;'Ingest Template'!L697)</f>
        <v>
</v>
      </c>
      <c r="E697" s="25" t="str">
        <f>('Ingest Template'!M697)</f>
        <v/>
      </c>
      <c r="F697" s="40" t="str">
        <f t="array" ref="F697">INDEX(DropDown!$J$2:$J$63,MATCH(1,COUNTIF(E697,DropDown!$I$2:$I$63),0))</f>
        <v>#N/A</v>
      </c>
      <c r="G697" s="25"/>
      <c r="H697" s="25"/>
      <c r="I697" s="25"/>
      <c r="J697" s="25" t="str">
        <f>'Ingest Template'!B697</f>
        <v/>
      </c>
      <c r="K697" s="25" t="str">
        <f>IF('Ingest Template'!A696="Standard",'Ingest Template'!N696,"Competitive View")</f>
        <v>Competitive View</v>
      </c>
      <c r="L697" s="41" t="s">
        <v>145</v>
      </c>
      <c r="M697" s="25" t="str">
        <f>'Ingest Template'!D696</f>
        <v/>
      </c>
      <c r="N697" s="25"/>
      <c r="O697" s="25"/>
      <c r="P697" s="25"/>
      <c r="Q697" s="25"/>
      <c r="R697" s="25" t="str">
        <f>CONCATENATE('Ingest Template'!F696)</f>
        <v/>
      </c>
      <c r="S697" s="43" t="s">
        <v>160</v>
      </c>
      <c r="T697" s="25" t="str">
        <f>'Ingest Template'!W696</f>
        <v/>
      </c>
      <c r="U697" s="25"/>
      <c r="V697" s="25" t="str">
        <f>LOWER(SUBSTITUTE(SUBSTITUTE(SUBSTITUTE(SUBSTITUTE(SUBSTITUTE('Ingest Template'!Y696,"https:",""),"www.",""),"/",""),"?hl=en",""),"instagram.com",""))</f>
        <v/>
      </c>
      <c r="W697" s="34" t="str">
        <f>(IFERROR(vlookup('Ingest Template'!F697,DropDown!D:E,2,false)&amp;'Ingest Template'!C697,""))</f>
        <v/>
      </c>
      <c r="X697" s="25" t="str">
        <f>'Ingest Template'!AA696</f>
        <v/>
      </c>
      <c r="Y697" s="25"/>
      <c r="Z697" s="25"/>
      <c r="AA697" s="25"/>
      <c r="AB697" s="25" t="str">
        <f>'Ingest Template'!T696</f>
        <v/>
      </c>
      <c r="AC697" s="25"/>
      <c r="AD697" s="25" t="str">
        <f>'Ingest Template'!U696</f>
        <v/>
      </c>
      <c r="AE697" s="25" t="str">
        <f>'Ingest Template'!V696</f>
        <v/>
      </c>
      <c r="AF697" s="25"/>
      <c r="AG697" s="25" t="str">
        <f t="array" ref="AG697">IF('Ingest Template'!A696="Standard",(CONCATENATE(IF(ISBLANK('Ingest Template'!O696),"", 'Ingest Template'!O696&amp;"|DAR"),CHAR(10), IF(ISBLANK('Ingest Template'!P696),"", 'Ingest Template'!P696&amp;"|DAR"),CHAR(10), IF(ISBLANK('Ingest Template'!Q696),"", 'Ingest Template'!Q696&amp;"|DAR"))),(CONCATENATE(IF(ISBLANK('Ingest Template'!O696),"", 'Ingest Template'!O696&amp;"|Operations - Core Title"),CHAR(10), IF(ISBLANK('Ingest Template'!P696),"", 'Ingest Template'!P696&amp;"|Operations - Core Title"),CHAR(10), IF(ISBLANK('Ingest Template'!Q696),"", 'Ingest Template'!Q696&amp;"|Operations - Core Title"))))</f>
        <v>#|Operations - Core Title
#videoGame|Operations - Core Title
</v>
      </c>
      <c r="AH697" s="25"/>
      <c r="AI697" s="25"/>
      <c r="AJ697" s="50" t="str">
        <f>if('Ingest Template'!A696="Standard",'Ingest Template'!R696&amp; "|DAR|DAR|2021-01-01",'Ingest Template'!R696&amp; "|Operations - Core Title|Operations - Core Title")</f>
        <v>#N/A</v>
      </c>
      <c r="AK697" s="25"/>
      <c r="AL697" s="25" t="str">
        <f>if('Ingest Template'!A696="Standard",'Ingest Template'!S696&amp; "|2021-01-01",'Ingest Template'!S696)</f>
        <v>#N/A</v>
      </c>
      <c r="AM697" s="25"/>
    </row>
    <row r="698">
      <c r="A698" s="25"/>
      <c r="B698" s="25" t="str">
        <f>'Ingest Template'!C697&amp;IF('Ingest Template'!A697 = "Standard", " - DAR","")</f>
        <v/>
      </c>
      <c r="C698" s="34" t="s">
        <v>92</v>
      </c>
      <c r="D698" s="34" t="str">
        <f>CONCATENATE('Ingest Template'!E698&amp;Char(10)&amp;'Ingest Template'!G698&amp;Char(10)&amp;'Ingest Template'!H698&amp;Char(10)&amp;'Ingest Template'!I698&amp;Char(10)&amp;'Ingest Template'!J698&amp;Char(10)&amp;'Ingest Template'!K698&amp;Char(10)&amp;'Ingest Template'!L698)</f>
        <v>
</v>
      </c>
      <c r="E698" s="25" t="str">
        <f>('Ingest Template'!M698)</f>
        <v/>
      </c>
      <c r="F698" s="40" t="str">
        <f t="array" ref="F698">INDEX(DropDown!$J$2:$J$63,MATCH(1,COUNTIF(E698,DropDown!$I$2:$I$63),0))</f>
        <v>#N/A</v>
      </c>
      <c r="G698" s="25"/>
      <c r="H698" s="25"/>
      <c r="I698" s="25"/>
      <c r="J698" s="25" t="str">
        <f>'Ingest Template'!B698</f>
        <v/>
      </c>
      <c r="K698" s="25" t="str">
        <f>IF('Ingest Template'!A697="Standard",'Ingest Template'!N697,"Competitive View")</f>
        <v>Competitive View</v>
      </c>
      <c r="L698" s="41" t="s">
        <v>145</v>
      </c>
      <c r="M698" s="25" t="str">
        <f>'Ingest Template'!D697</f>
        <v/>
      </c>
      <c r="N698" s="25"/>
      <c r="O698" s="25"/>
      <c r="P698" s="25"/>
      <c r="Q698" s="25"/>
      <c r="R698" s="25" t="str">
        <f>CONCATENATE('Ingest Template'!F697)</f>
        <v/>
      </c>
      <c r="S698" s="43" t="s">
        <v>160</v>
      </c>
      <c r="T698" s="25" t="str">
        <f>'Ingest Template'!W697</f>
        <v/>
      </c>
      <c r="U698" s="25"/>
      <c r="V698" s="25" t="str">
        <f>LOWER(SUBSTITUTE(SUBSTITUTE(SUBSTITUTE(SUBSTITUTE(SUBSTITUTE('Ingest Template'!Y697,"https:",""),"www.",""),"/",""),"?hl=en",""),"instagram.com",""))</f>
        <v/>
      </c>
      <c r="W698" s="34" t="str">
        <f>(IFERROR(vlookup('Ingest Template'!F698,DropDown!D:E,2,false)&amp;'Ingest Template'!C698,""))</f>
        <v/>
      </c>
      <c r="X698" s="25" t="str">
        <f>'Ingest Template'!AA697</f>
        <v/>
      </c>
      <c r="Y698" s="25"/>
      <c r="Z698" s="25"/>
      <c r="AA698" s="25"/>
      <c r="AB698" s="25" t="str">
        <f>'Ingest Template'!T697</f>
        <v/>
      </c>
      <c r="AC698" s="25"/>
      <c r="AD698" s="25" t="str">
        <f>'Ingest Template'!U697</f>
        <v/>
      </c>
      <c r="AE698" s="25" t="str">
        <f>'Ingest Template'!V697</f>
        <v/>
      </c>
      <c r="AF698" s="25"/>
      <c r="AG698" s="25" t="str">
        <f t="array" ref="AG698">IF('Ingest Template'!A697="Standard",(CONCATENATE(IF(ISBLANK('Ingest Template'!O697),"", 'Ingest Template'!O697&amp;"|DAR"),CHAR(10), IF(ISBLANK('Ingest Template'!P697),"", 'Ingest Template'!P697&amp;"|DAR"),CHAR(10), IF(ISBLANK('Ingest Template'!Q697),"", 'Ingest Template'!Q697&amp;"|DAR"))),(CONCATENATE(IF(ISBLANK('Ingest Template'!O697),"", 'Ingest Template'!O697&amp;"|Operations - Core Title"),CHAR(10), IF(ISBLANK('Ingest Template'!P697),"", 'Ingest Template'!P697&amp;"|Operations - Core Title"),CHAR(10), IF(ISBLANK('Ingest Template'!Q697),"", 'Ingest Template'!Q697&amp;"|Operations - Core Title"))))</f>
        <v>#|Operations - Core Title
#videoGame|Operations - Core Title
</v>
      </c>
      <c r="AH698" s="25"/>
      <c r="AI698" s="25"/>
      <c r="AJ698" s="50" t="str">
        <f>if('Ingest Template'!A697="Standard",'Ingest Template'!R697&amp; "|DAR|DAR|2021-01-01",'Ingest Template'!R697&amp; "|Operations - Core Title|Operations - Core Title")</f>
        <v>#N/A</v>
      </c>
      <c r="AK698" s="25"/>
      <c r="AL698" s="25" t="str">
        <f>if('Ingest Template'!A697="Standard",'Ingest Template'!S697&amp; "|2021-01-01",'Ingest Template'!S697)</f>
        <v>#N/A</v>
      </c>
      <c r="AM698" s="25"/>
    </row>
    <row r="699">
      <c r="A699" s="25"/>
      <c r="B699" s="25" t="str">
        <f>'Ingest Template'!C698&amp;IF('Ingest Template'!A698 = "Standard", " - DAR","")</f>
        <v/>
      </c>
      <c r="C699" s="34" t="s">
        <v>92</v>
      </c>
      <c r="D699" s="34" t="str">
        <f>CONCATENATE('Ingest Template'!E699&amp;Char(10)&amp;'Ingest Template'!G699&amp;Char(10)&amp;'Ingest Template'!H699&amp;Char(10)&amp;'Ingest Template'!I699&amp;Char(10)&amp;'Ingest Template'!J699&amp;Char(10)&amp;'Ingest Template'!K699&amp;Char(10)&amp;'Ingest Template'!L699)</f>
        <v>
</v>
      </c>
      <c r="E699" s="25" t="str">
        <f>('Ingest Template'!M699)</f>
        <v/>
      </c>
      <c r="F699" s="40" t="str">
        <f t="array" ref="F699">INDEX(DropDown!$J$2:$J$63,MATCH(1,COUNTIF(E699,DropDown!$I$2:$I$63),0))</f>
        <v>#N/A</v>
      </c>
      <c r="G699" s="25"/>
      <c r="H699" s="25"/>
      <c r="I699" s="25"/>
      <c r="J699" s="25" t="str">
        <f>'Ingest Template'!B699</f>
        <v/>
      </c>
      <c r="K699" s="25" t="str">
        <f>IF('Ingest Template'!A698="Standard",'Ingest Template'!N698,"Competitive View")</f>
        <v>Competitive View</v>
      </c>
      <c r="L699" s="41" t="s">
        <v>145</v>
      </c>
      <c r="M699" s="25" t="str">
        <f>'Ingest Template'!D698</f>
        <v/>
      </c>
      <c r="N699" s="25"/>
      <c r="O699" s="25"/>
      <c r="P699" s="25"/>
      <c r="Q699" s="25"/>
      <c r="R699" s="25" t="str">
        <f>CONCATENATE('Ingest Template'!F698)</f>
        <v/>
      </c>
      <c r="S699" s="43" t="s">
        <v>160</v>
      </c>
      <c r="T699" s="25" t="str">
        <f>'Ingest Template'!W698</f>
        <v/>
      </c>
      <c r="U699" s="25"/>
      <c r="V699" s="25" t="str">
        <f>LOWER(SUBSTITUTE(SUBSTITUTE(SUBSTITUTE(SUBSTITUTE(SUBSTITUTE('Ingest Template'!Y698,"https:",""),"www.",""),"/",""),"?hl=en",""),"instagram.com",""))</f>
        <v/>
      </c>
      <c r="W699" s="34" t="str">
        <f>(IFERROR(vlookup('Ingest Template'!F699,DropDown!D:E,2,false)&amp;'Ingest Template'!C699,""))</f>
        <v/>
      </c>
      <c r="X699" s="25" t="str">
        <f>'Ingest Template'!AA698</f>
        <v/>
      </c>
      <c r="Y699" s="25"/>
      <c r="Z699" s="25"/>
      <c r="AA699" s="25"/>
      <c r="AB699" s="25" t="str">
        <f>'Ingest Template'!T698</f>
        <v/>
      </c>
      <c r="AC699" s="25"/>
      <c r="AD699" s="25" t="str">
        <f>'Ingest Template'!U698</f>
        <v/>
      </c>
      <c r="AE699" s="25" t="str">
        <f>'Ingest Template'!V698</f>
        <v/>
      </c>
      <c r="AF699" s="25"/>
      <c r="AG699" s="25" t="str">
        <f t="array" ref="AG699">IF('Ingest Template'!A698="Standard",(CONCATENATE(IF(ISBLANK('Ingest Template'!O698),"", 'Ingest Template'!O698&amp;"|DAR"),CHAR(10), IF(ISBLANK('Ingest Template'!P698),"", 'Ingest Template'!P698&amp;"|DAR"),CHAR(10), IF(ISBLANK('Ingest Template'!Q698),"", 'Ingest Template'!Q698&amp;"|DAR"))),(CONCATENATE(IF(ISBLANK('Ingest Template'!O698),"", 'Ingest Template'!O698&amp;"|Operations - Core Title"),CHAR(10), IF(ISBLANK('Ingest Template'!P698),"", 'Ingest Template'!P698&amp;"|Operations - Core Title"),CHAR(10), IF(ISBLANK('Ingest Template'!Q698),"", 'Ingest Template'!Q698&amp;"|Operations - Core Title"))))</f>
        <v>#|Operations - Core Title
#videoGame|Operations - Core Title
</v>
      </c>
      <c r="AH699" s="25"/>
      <c r="AI699" s="25"/>
      <c r="AJ699" s="50" t="str">
        <f>if('Ingest Template'!A698="Standard",'Ingest Template'!R698&amp; "|DAR|DAR|2021-01-01",'Ingest Template'!R698&amp; "|Operations - Core Title|Operations - Core Title")</f>
        <v>#N/A</v>
      </c>
      <c r="AK699" s="25"/>
      <c r="AL699" s="25" t="str">
        <f>if('Ingest Template'!A698="Standard",'Ingest Template'!S698&amp; "|2021-01-01",'Ingest Template'!S698)</f>
        <v>#N/A</v>
      </c>
      <c r="AM699" s="25"/>
    </row>
    <row r="700">
      <c r="A700" s="25"/>
      <c r="B700" s="25" t="str">
        <f>'Ingest Template'!C699&amp;IF('Ingest Template'!A699 = "Standard", " - DAR","")</f>
        <v/>
      </c>
      <c r="C700" s="34" t="s">
        <v>92</v>
      </c>
      <c r="D700" s="34" t="str">
        <f>CONCATENATE('Ingest Template'!E700&amp;Char(10)&amp;'Ingest Template'!G700&amp;Char(10)&amp;'Ingest Template'!H700&amp;Char(10)&amp;'Ingest Template'!I700&amp;Char(10)&amp;'Ingest Template'!J700&amp;Char(10)&amp;'Ingest Template'!K700&amp;Char(10)&amp;'Ingest Template'!L700)</f>
        <v>
</v>
      </c>
      <c r="E700" s="25" t="str">
        <f>('Ingest Template'!M700)</f>
        <v/>
      </c>
      <c r="F700" s="40" t="str">
        <f t="array" ref="F700">INDEX(DropDown!$J$2:$J$63,MATCH(1,COUNTIF(E700,DropDown!$I$2:$I$63),0))</f>
        <v>#N/A</v>
      </c>
      <c r="G700" s="25"/>
      <c r="H700" s="25"/>
      <c r="I700" s="25"/>
      <c r="J700" s="25" t="str">
        <f>'Ingest Template'!B700</f>
        <v/>
      </c>
      <c r="K700" s="25" t="str">
        <f>IF('Ingest Template'!A699="Standard",'Ingest Template'!N699,"Competitive View")</f>
        <v>Competitive View</v>
      </c>
      <c r="L700" s="41" t="s">
        <v>145</v>
      </c>
      <c r="M700" s="25" t="str">
        <f>'Ingest Template'!D699</f>
        <v/>
      </c>
      <c r="N700" s="25"/>
      <c r="O700" s="25"/>
      <c r="P700" s="25"/>
      <c r="Q700" s="25"/>
      <c r="R700" s="25" t="str">
        <f>CONCATENATE('Ingest Template'!F699)</f>
        <v/>
      </c>
      <c r="S700" s="43" t="s">
        <v>160</v>
      </c>
      <c r="T700" s="25" t="str">
        <f>'Ingest Template'!W699</f>
        <v/>
      </c>
      <c r="U700" s="25"/>
      <c r="V700" s="25" t="str">
        <f>LOWER(SUBSTITUTE(SUBSTITUTE(SUBSTITUTE(SUBSTITUTE(SUBSTITUTE('Ingest Template'!Y699,"https:",""),"www.",""),"/",""),"?hl=en",""),"instagram.com",""))</f>
        <v/>
      </c>
      <c r="W700" s="34" t="str">
        <f>(IFERROR(vlookup('Ingest Template'!F700,DropDown!D:E,2,false)&amp;'Ingest Template'!C700,""))</f>
        <v/>
      </c>
      <c r="X700" s="25" t="str">
        <f>'Ingest Template'!AA699</f>
        <v/>
      </c>
      <c r="Y700" s="25"/>
      <c r="Z700" s="25"/>
      <c r="AA700" s="25"/>
      <c r="AB700" s="25" t="str">
        <f>'Ingest Template'!T699</f>
        <v/>
      </c>
      <c r="AC700" s="25"/>
      <c r="AD700" s="25" t="str">
        <f>'Ingest Template'!U699</f>
        <v/>
      </c>
      <c r="AE700" s="25" t="str">
        <f>'Ingest Template'!V699</f>
        <v/>
      </c>
      <c r="AF700" s="25"/>
      <c r="AG700" s="25" t="str">
        <f t="array" ref="AG700">IF('Ingest Template'!A699="Standard",(CONCATENATE(IF(ISBLANK('Ingest Template'!O699),"", 'Ingest Template'!O699&amp;"|DAR"),CHAR(10), IF(ISBLANK('Ingest Template'!P699),"", 'Ingest Template'!P699&amp;"|DAR"),CHAR(10), IF(ISBLANK('Ingest Template'!Q699),"", 'Ingest Template'!Q699&amp;"|DAR"))),(CONCATENATE(IF(ISBLANK('Ingest Template'!O699),"", 'Ingest Template'!O699&amp;"|Operations - Core Title"),CHAR(10), IF(ISBLANK('Ingest Template'!P699),"", 'Ingest Template'!P699&amp;"|Operations - Core Title"),CHAR(10), IF(ISBLANK('Ingest Template'!Q699),"", 'Ingest Template'!Q699&amp;"|Operations - Core Title"))))</f>
        <v>#|Operations - Core Title
#videoGame|Operations - Core Title
</v>
      </c>
      <c r="AH700" s="25"/>
      <c r="AI700" s="25"/>
      <c r="AJ700" s="50" t="str">
        <f>if('Ingest Template'!A699="Standard",'Ingest Template'!R699&amp; "|DAR|DAR|2021-01-01",'Ingest Template'!R699&amp; "|Operations - Core Title|Operations - Core Title")</f>
        <v>#N/A</v>
      </c>
      <c r="AK700" s="25"/>
      <c r="AL700" s="25" t="str">
        <f>if('Ingest Template'!A699="Standard",'Ingest Template'!S699&amp; "|2021-01-01",'Ingest Template'!S699)</f>
        <v>#N/A</v>
      </c>
      <c r="AM700" s="25"/>
    </row>
    <row r="701">
      <c r="A701" s="25"/>
      <c r="B701" s="25" t="str">
        <f>'Ingest Template'!C700&amp;IF('Ingest Template'!A700 = "Standard", " - DAR","")</f>
        <v/>
      </c>
      <c r="C701" s="34" t="s">
        <v>92</v>
      </c>
      <c r="D701" s="34" t="str">
        <f>CONCATENATE('Ingest Template'!E701&amp;Char(10)&amp;'Ingest Template'!G701&amp;Char(10)&amp;'Ingest Template'!H701&amp;Char(10)&amp;'Ingest Template'!I701&amp;Char(10)&amp;'Ingest Template'!J701&amp;Char(10)&amp;'Ingest Template'!K701&amp;Char(10)&amp;'Ingest Template'!L701)</f>
        <v>
</v>
      </c>
      <c r="E701" s="25" t="str">
        <f>('Ingest Template'!M701)</f>
        <v/>
      </c>
      <c r="F701" s="40" t="str">
        <f t="array" ref="F701">INDEX(DropDown!$J$2:$J$63,MATCH(1,COUNTIF(E701,DropDown!$I$2:$I$63),0))</f>
        <v>#N/A</v>
      </c>
      <c r="G701" s="25"/>
      <c r="H701" s="25"/>
      <c r="I701" s="25"/>
      <c r="J701" s="25" t="str">
        <f>'Ingest Template'!B701</f>
        <v/>
      </c>
      <c r="K701" s="25" t="str">
        <f>IF('Ingest Template'!A700="Standard",'Ingest Template'!N700,"Competitive View")</f>
        <v>Competitive View</v>
      </c>
      <c r="L701" s="41" t="s">
        <v>145</v>
      </c>
      <c r="M701" s="25" t="str">
        <f>'Ingest Template'!D700</f>
        <v/>
      </c>
      <c r="N701" s="25"/>
      <c r="O701" s="25"/>
      <c r="P701" s="25"/>
      <c r="Q701" s="25"/>
      <c r="R701" s="25" t="str">
        <f>CONCATENATE('Ingest Template'!F700)</f>
        <v/>
      </c>
      <c r="S701" s="43" t="s">
        <v>160</v>
      </c>
      <c r="T701" s="25" t="str">
        <f>'Ingest Template'!W700</f>
        <v/>
      </c>
      <c r="U701" s="25"/>
      <c r="V701" s="25" t="str">
        <f>LOWER(SUBSTITUTE(SUBSTITUTE(SUBSTITUTE(SUBSTITUTE(SUBSTITUTE('Ingest Template'!Y700,"https:",""),"www.",""),"/",""),"?hl=en",""),"instagram.com",""))</f>
        <v/>
      </c>
      <c r="W701" s="34" t="str">
        <f>(IFERROR(vlookup('Ingest Template'!F701,DropDown!D:E,2,false)&amp;'Ingest Template'!C701,""))</f>
        <v/>
      </c>
      <c r="X701" s="25" t="str">
        <f>'Ingest Template'!AA700</f>
        <v/>
      </c>
      <c r="Y701" s="25"/>
      <c r="Z701" s="25"/>
      <c r="AA701" s="25"/>
      <c r="AB701" s="25" t="str">
        <f>'Ingest Template'!T700</f>
        <v/>
      </c>
      <c r="AC701" s="25"/>
      <c r="AD701" s="25" t="str">
        <f>'Ingest Template'!U700</f>
        <v/>
      </c>
      <c r="AE701" s="25" t="str">
        <f>'Ingest Template'!V700</f>
        <v/>
      </c>
      <c r="AF701" s="25"/>
      <c r="AG701" s="25" t="str">
        <f t="array" ref="AG701">IF('Ingest Template'!A700="Standard",(CONCATENATE(IF(ISBLANK('Ingest Template'!O700),"", 'Ingest Template'!O700&amp;"|DAR"),CHAR(10), IF(ISBLANK('Ingest Template'!P700),"", 'Ingest Template'!P700&amp;"|DAR"),CHAR(10), IF(ISBLANK('Ingest Template'!Q700),"", 'Ingest Template'!Q700&amp;"|DAR"))),(CONCATENATE(IF(ISBLANK('Ingest Template'!O700),"", 'Ingest Template'!O700&amp;"|Operations - Core Title"),CHAR(10), IF(ISBLANK('Ingest Template'!P700),"", 'Ingest Template'!P700&amp;"|Operations - Core Title"),CHAR(10), IF(ISBLANK('Ingest Template'!Q700),"", 'Ingest Template'!Q700&amp;"|Operations - Core Title"))))</f>
        <v>#|Operations - Core Title
#videoGame|Operations - Core Title
</v>
      </c>
      <c r="AH701" s="25"/>
      <c r="AI701" s="25"/>
      <c r="AJ701" s="50" t="str">
        <f>if('Ingest Template'!A700="Standard",'Ingest Template'!R700&amp; "|DAR|DAR|2021-01-01",'Ingest Template'!R700&amp; "|Operations - Core Title|Operations - Core Title")</f>
        <v>#N/A</v>
      </c>
      <c r="AK701" s="25"/>
      <c r="AL701" s="25" t="str">
        <f>if('Ingest Template'!A700="Standard",'Ingest Template'!S700&amp; "|2021-01-01",'Ingest Template'!S700)</f>
        <v>#N/A</v>
      </c>
      <c r="AM701" s="25"/>
    </row>
    <row r="702">
      <c r="A702" s="25"/>
      <c r="B702" s="25" t="str">
        <f>'Ingest Template'!C701&amp;IF('Ingest Template'!A701 = "Standard", " - DAR","")</f>
        <v/>
      </c>
      <c r="C702" s="34" t="s">
        <v>92</v>
      </c>
      <c r="D702" s="34" t="str">
        <f>CONCATENATE('Ingest Template'!E702&amp;Char(10)&amp;'Ingest Template'!G702&amp;Char(10)&amp;'Ingest Template'!H702&amp;Char(10)&amp;'Ingest Template'!I702&amp;Char(10)&amp;'Ingest Template'!J702&amp;Char(10)&amp;'Ingest Template'!K702&amp;Char(10)&amp;'Ingest Template'!L702)</f>
        <v>
</v>
      </c>
      <c r="E702" s="25" t="str">
        <f>('Ingest Template'!M702)</f>
        <v/>
      </c>
      <c r="F702" s="40" t="str">
        <f t="array" ref="F702">INDEX(DropDown!$J$2:$J$63,MATCH(1,COUNTIF(E702,DropDown!$I$2:$I$63),0))</f>
        <v>#N/A</v>
      </c>
      <c r="G702" s="25"/>
      <c r="H702" s="25"/>
      <c r="I702" s="25"/>
      <c r="J702" s="25" t="str">
        <f>'Ingest Template'!B702</f>
        <v/>
      </c>
      <c r="K702" s="25" t="str">
        <f>IF('Ingest Template'!A701="Standard",'Ingest Template'!N701,"Competitive View")</f>
        <v>Competitive View</v>
      </c>
      <c r="L702" s="41" t="s">
        <v>145</v>
      </c>
      <c r="M702" s="25" t="str">
        <f>'Ingest Template'!D701</f>
        <v/>
      </c>
      <c r="N702" s="25"/>
      <c r="O702" s="25"/>
      <c r="P702" s="25"/>
      <c r="Q702" s="25"/>
      <c r="R702" s="25" t="str">
        <f>CONCATENATE('Ingest Template'!F701)</f>
        <v/>
      </c>
      <c r="S702" s="43" t="s">
        <v>160</v>
      </c>
      <c r="T702" s="25" t="str">
        <f>'Ingest Template'!W701</f>
        <v/>
      </c>
      <c r="U702" s="25"/>
      <c r="V702" s="25" t="str">
        <f>LOWER(SUBSTITUTE(SUBSTITUTE(SUBSTITUTE(SUBSTITUTE(SUBSTITUTE('Ingest Template'!Y701,"https:",""),"www.",""),"/",""),"?hl=en",""),"instagram.com",""))</f>
        <v/>
      </c>
      <c r="W702" s="34" t="str">
        <f>(IFERROR(vlookup('Ingest Template'!F702,DropDown!D:E,2,false)&amp;'Ingest Template'!C702,""))</f>
        <v/>
      </c>
      <c r="X702" s="25" t="str">
        <f>'Ingest Template'!AA701</f>
        <v/>
      </c>
      <c r="Y702" s="25"/>
      <c r="Z702" s="25"/>
      <c r="AA702" s="25"/>
      <c r="AB702" s="25" t="str">
        <f>'Ingest Template'!T701</f>
        <v/>
      </c>
      <c r="AC702" s="25"/>
      <c r="AD702" s="25" t="str">
        <f>'Ingest Template'!U701</f>
        <v/>
      </c>
      <c r="AE702" s="25" t="str">
        <f>'Ingest Template'!V701</f>
        <v/>
      </c>
      <c r="AF702" s="25"/>
      <c r="AG702" s="25" t="str">
        <f t="array" ref="AG702">IF('Ingest Template'!A701="Standard",(CONCATENATE(IF(ISBLANK('Ingest Template'!O701),"", 'Ingest Template'!O701&amp;"|DAR"),CHAR(10), IF(ISBLANK('Ingest Template'!P701),"", 'Ingest Template'!P701&amp;"|DAR"),CHAR(10), IF(ISBLANK('Ingest Template'!Q701),"", 'Ingest Template'!Q701&amp;"|DAR"))),(CONCATENATE(IF(ISBLANK('Ingest Template'!O701),"", 'Ingest Template'!O701&amp;"|Operations - Core Title"),CHAR(10), IF(ISBLANK('Ingest Template'!P701),"", 'Ingest Template'!P701&amp;"|Operations - Core Title"),CHAR(10), IF(ISBLANK('Ingest Template'!Q701),"", 'Ingest Template'!Q701&amp;"|Operations - Core Title"))))</f>
        <v>#|Operations - Core Title
#videoGame|Operations - Core Title
</v>
      </c>
      <c r="AH702" s="25"/>
      <c r="AI702" s="25"/>
      <c r="AJ702" s="50" t="str">
        <f>if('Ingest Template'!A701="Standard",'Ingest Template'!R701&amp; "|DAR|DAR|2021-01-01",'Ingest Template'!R701&amp; "|Operations - Core Title|Operations - Core Title")</f>
        <v>#N/A</v>
      </c>
      <c r="AK702" s="25"/>
      <c r="AL702" s="25" t="str">
        <f>if('Ingest Template'!A701="Standard",'Ingest Template'!S701&amp; "|2021-01-01",'Ingest Template'!S701)</f>
        <v>#N/A</v>
      </c>
      <c r="AM702" s="25"/>
    </row>
    <row r="703">
      <c r="A703" s="25"/>
      <c r="B703" s="25" t="str">
        <f>'Ingest Template'!C702&amp;IF('Ingest Template'!A702 = "Standard", " - DAR","")</f>
        <v/>
      </c>
      <c r="C703" s="34" t="s">
        <v>92</v>
      </c>
      <c r="D703" s="34" t="str">
        <f>CONCATENATE('Ingest Template'!E703&amp;Char(10)&amp;'Ingest Template'!G703&amp;Char(10)&amp;'Ingest Template'!H703&amp;Char(10)&amp;'Ingest Template'!I703&amp;Char(10)&amp;'Ingest Template'!J703&amp;Char(10)&amp;'Ingest Template'!K703&amp;Char(10)&amp;'Ingest Template'!L703)</f>
        <v>
</v>
      </c>
      <c r="E703" s="25" t="str">
        <f>('Ingest Template'!M703)</f>
        <v/>
      </c>
      <c r="F703" s="40" t="str">
        <f t="array" ref="F703">INDEX(DropDown!$J$2:$J$63,MATCH(1,COUNTIF(E703,DropDown!$I$2:$I$63),0))</f>
        <v>#N/A</v>
      </c>
      <c r="G703" s="25"/>
      <c r="H703" s="25"/>
      <c r="I703" s="25"/>
      <c r="J703" s="25" t="str">
        <f>'Ingest Template'!B703</f>
        <v/>
      </c>
      <c r="K703" s="25" t="str">
        <f>IF('Ingest Template'!A702="Standard",'Ingest Template'!N702,"Competitive View")</f>
        <v>Competitive View</v>
      </c>
      <c r="L703" s="41" t="s">
        <v>145</v>
      </c>
      <c r="M703" s="25" t="str">
        <f>'Ingest Template'!D702</f>
        <v/>
      </c>
      <c r="N703" s="25"/>
      <c r="O703" s="25"/>
      <c r="P703" s="25"/>
      <c r="Q703" s="25"/>
      <c r="R703" s="25" t="str">
        <f>CONCATENATE('Ingest Template'!F702)</f>
        <v/>
      </c>
      <c r="S703" s="43" t="s">
        <v>160</v>
      </c>
      <c r="T703" s="25" t="str">
        <f>'Ingest Template'!W702</f>
        <v/>
      </c>
      <c r="U703" s="25"/>
      <c r="V703" s="25" t="str">
        <f>LOWER(SUBSTITUTE(SUBSTITUTE(SUBSTITUTE(SUBSTITUTE(SUBSTITUTE('Ingest Template'!Y702,"https:",""),"www.",""),"/",""),"?hl=en",""),"instagram.com",""))</f>
        <v/>
      </c>
      <c r="W703" s="34" t="str">
        <f>(IFERROR(vlookup('Ingest Template'!F703,DropDown!D:E,2,false)&amp;'Ingest Template'!C703,""))</f>
        <v/>
      </c>
      <c r="X703" s="25" t="str">
        <f>'Ingest Template'!AA702</f>
        <v/>
      </c>
      <c r="Y703" s="25"/>
      <c r="Z703" s="25"/>
      <c r="AA703" s="25"/>
      <c r="AB703" s="25" t="str">
        <f>'Ingest Template'!T702</f>
        <v/>
      </c>
      <c r="AC703" s="25"/>
      <c r="AD703" s="25" t="str">
        <f>'Ingest Template'!U702</f>
        <v/>
      </c>
      <c r="AE703" s="25" t="str">
        <f>'Ingest Template'!V702</f>
        <v/>
      </c>
      <c r="AF703" s="25"/>
      <c r="AG703" s="25" t="str">
        <f t="array" ref="AG703">IF('Ingest Template'!A702="Standard",(CONCATENATE(IF(ISBLANK('Ingest Template'!O702),"", 'Ingest Template'!O702&amp;"|DAR"),CHAR(10), IF(ISBLANK('Ingest Template'!P702),"", 'Ingest Template'!P702&amp;"|DAR"),CHAR(10), IF(ISBLANK('Ingest Template'!Q702),"", 'Ingest Template'!Q702&amp;"|DAR"))),(CONCATENATE(IF(ISBLANK('Ingest Template'!O702),"", 'Ingest Template'!O702&amp;"|Operations - Core Title"),CHAR(10), IF(ISBLANK('Ingest Template'!P702),"", 'Ingest Template'!P702&amp;"|Operations - Core Title"),CHAR(10), IF(ISBLANK('Ingest Template'!Q702),"", 'Ingest Template'!Q702&amp;"|Operations - Core Title"))))</f>
        <v>#|Operations - Core Title
#videoGame|Operations - Core Title
</v>
      </c>
      <c r="AH703" s="25"/>
      <c r="AI703" s="25"/>
      <c r="AJ703" s="50" t="str">
        <f>if('Ingest Template'!A702="Standard",'Ingest Template'!R702&amp; "|DAR|DAR|2021-01-01",'Ingest Template'!R702&amp; "|Operations - Core Title|Operations - Core Title")</f>
        <v>#N/A</v>
      </c>
      <c r="AK703" s="25"/>
      <c r="AL703" s="25" t="str">
        <f>if('Ingest Template'!A702="Standard",'Ingest Template'!S702&amp; "|2021-01-01",'Ingest Template'!S702)</f>
        <v>#N/A</v>
      </c>
      <c r="AM703" s="25"/>
    </row>
    <row r="704">
      <c r="A704" s="25"/>
      <c r="B704" s="25" t="str">
        <f>'Ingest Template'!C703&amp;IF('Ingest Template'!A703 = "Standard", " - DAR","")</f>
        <v/>
      </c>
      <c r="C704" s="34" t="s">
        <v>92</v>
      </c>
      <c r="D704" s="34" t="str">
        <f>CONCATENATE('Ingest Template'!E704&amp;Char(10)&amp;'Ingest Template'!G704&amp;Char(10)&amp;'Ingest Template'!H704&amp;Char(10)&amp;'Ingest Template'!I704&amp;Char(10)&amp;'Ingest Template'!J704&amp;Char(10)&amp;'Ingest Template'!K704&amp;Char(10)&amp;'Ingest Template'!L704)</f>
        <v>
</v>
      </c>
      <c r="E704" s="25" t="str">
        <f>('Ingest Template'!M704)</f>
        <v/>
      </c>
      <c r="F704" s="40" t="str">
        <f t="array" ref="F704">INDEX(DropDown!$J$2:$J$63,MATCH(1,COUNTIF(E704,DropDown!$I$2:$I$63),0))</f>
        <v>#N/A</v>
      </c>
      <c r="G704" s="25"/>
      <c r="H704" s="25"/>
      <c r="I704" s="25"/>
      <c r="J704" s="25" t="str">
        <f>'Ingest Template'!B704</f>
        <v/>
      </c>
      <c r="K704" s="25" t="str">
        <f>IF('Ingest Template'!A703="Standard",'Ingest Template'!N703,"Competitive View")</f>
        <v>Competitive View</v>
      </c>
      <c r="L704" s="41" t="s">
        <v>145</v>
      </c>
      <c r="M704" s="25" t="str">
        <f>'Ingest Template'!D703</f>
        <v/>
      </c>
      <c r="N704" s="25"/>
      <c r="O704" s="25"/>
      <c r="P704" s="25"/>
      <c r="Q704" s="25"/>
      <c r="R704" s="25" t="str">
        <f>CONCATENATE('Ingest Template'!F703)</f>
        <v/>
      </c>
      <c r="S704" s="43" t="s">
        <v>160</v>
      </c>
      <c r="T704" s="25" t="str">
        <f>'Ingest Template'!W703</f>
        <v/>
      </c>
      <c r="U704" s="25"/>
      <c r="V704" s="25" t="str">
        <f>LOWER(SUBSTITUTE(SUBSTITUTE(SUBSTITUTE(SUBSTITUTE(SUBSTITUTE('Ingest Template'!Y703,"https:",""),"www.",""),"/",""),"?hl=en",""),"instagram.com",""))</f>
        <v/>
      </c>
      <c r="W704" s="34" t="str">
        <f>(IFERROR(vlookup('Ingest Template'!F704,DropDown!D:E,2,false)&amp;'Ingest Template'!C704,""))</f>
        <v/>
      </c>
      <c r="X704" s="25" t="str">
        <f>'Ingest Template'!AA703</f>
        <v/>
      </c>
      <c r="Y704" s="25"/>
      <c r="Z704" s="25"/>
      <c r="AA704" s="25"/>
      <c r="AB704" s="25" t="str">
        <f>'Ingest Template'!T703</f>
        <v/>
      </c>
      <c r="AC704" s="25"/>
      <c r="AD704" s="25" t="str">
        <f>'Ingest Template'!U703</f>
        <v/>
      </c>
      <c r="AE704" s="25" t="str">
        <f>'Ingest Template'!V703</f>
        <v/>
      </c>
      <c r="AF704" s="25"/>
      <c r="AG704" s="25" t="str">
        <f t="array" ref="AG704">IF('Ingest Template'!A703="Standard",(CONCATENATE(IF(ISBLANK('Ingest Template'!O703),"", 'Ingest Template'!O703&amp;"|DAR"),CHAR(10), IF(ISBLANK('Ingest Template'!P703),"", 'Ingest Template'!P703&amp;"|DAR"),CHAR(10), IF(ISBLANK('Ingest Template'!Q703),"", 'Ingest Template'!Q703&amp;"|DAR"))),(CONCATENATE(IF(ISBLANK('Ingest Template'!O703),"", 'Ingest Template'!O703&amp;"|Operations - Core Title"),CHAR(10), IF(ISBLANK('Ingest Template'!P703),"", 'Ingest Template'!P703&amp;"|Operations - Core Title"),CHAR(10), IF(ISBLANK('Ingest Template'!Q703),"", 'Ingest Template'!Q703&amp;"|Operations - Core Title"))))</f>
        <v>#|Operations - Core Title
#videoGame|Operations - Core Title
</v>
      </c>
      <c r="AH704" s="25"/>
      <c r="AI704" s="25"/>
      <c r="AJ704" s="50" t="str">
        <f>if('Ingest Template'!A703="Standard",'Ingest Template'!R703&amp; "|DAR|DAR|2021-01-01",'Ingest Template'!R703&amp; "|Operations - Core Title|Operations - Core Title")</f>
        <v>#N/A</v>
      </c>
      <c r="AK704" s="25"/>
      <c r="AL704" s="25" t="str">
        <f>if('Ingest Template'!A703="Standard",'Ingest Template'!S703&amp; "|2021-01-01",'Ingest Template'!S703)</f>
        <v>#N/A</v>
      </c>
      <c r="AM704" s="25"/>
    </row>
    <row r="705">
      <c r="A705" s="25"/>
      <c r="B705" s="25" t="str">
        <f>'Ingest Template'!C704&amp;IF('Ingest Template'!A704 = "Standard", " - DAR","")</f>
        <v/>
      </c>
      <c r="C705" s="34" t="s">
        <v>92</v>
      </c>
      <c r="D705" s="34" t="str">
        <f>CONCATENATE('Ingest Template'!E705&amp;Char(10)&amp;'Ingest Template'!G705&amp;Char(10)&amp;'Ingest Template'!H705&amp;Char(10)&amp;'Ingest Template'!I705&amp;Char(10)&amp;'Ingest Template'!J705&amp;Char(10)&amp;'Ingest Template'!K705&amp;Char(10)&amp;'Ingest Template'!L705)</f>
        <v>
</v>
      </c>
      <c r="E705" s="25" t="str">
        <f>('Ingest Template'!M705)</f>
        <v/>
      </c>
      <c r="F705" s="40" t="str">
        <f t="array" ref="F705">INDEX(DropDown!$J$2:$J$63,MATCH(1,COUNTIF(E705,DropDown!$I$2:$I$63),0))</f>
        <v>#N/A</v>
      </c>
      <c r="G705" s="25"/>
      <c r="H705" s="25"/>
      <c r="I705" s="25"/>
      <c r="J705" s="25" t="str">
        <f>'Ingest Template'!B705</f>
        <v/>
      </c>
      <c r="K705" s="25" t="str">
        <f>IF('Ingest Template'!A704="Standard",'Ingest Template'!N704,"Competitive View")</f>
        <v>Competitive View</v>
      </c>
      <c r="L705" s="41" t="s">
        <v>145</v>
      </c>
      <c r="M705" s="25" t="str">
        <f>'Ingest Template'!D704</f>
        <v/>
      </c>
      <c r="N705" s="25"/>
      <c r="O705" s="25"/>
      <c r="P705" s="25"/>
      <c r="Q705" s="25"/>
      <c r="R705" s="25" t="str">
        <f>CONCATENATE('Ingest Template'!F704)</f>
        <v/>
      </c>
      <c r="S705" s="43" t="s">
        <v>160</v>
      </c>
      <c r="T705" s="25" t="str">
        <f>'Ingest Template'!W704</f>
        <v/>
      </c>
      <c r="U705" s="25"/>
      <c r="V705" s="25" t="str">
        <f>LOWER(SUBSTITUTE(SUBSTITUTE(SUBSTITUTE(SUBSTITUTE(SUBSTITUTE('Ingest Template'!Y704,"https:",""),"www.",""),"/",""),"?hl=en",""),"instagram.com",""))</f>
        <v/>
      </c>
      <c r="W705" s="34" t="str">
        <f>(IFERROR(vlookup('Ingest Template'!F705,DropDown!D:E,2,false)&amp;'Ingest Template'!C705,""))</f>
        <v/>
      </c>
      <c r="X705" s="25" t="str">
        <f>'Ingest Template'!AA704</f>
        <v/>
      </c>
      <c r="Y705" s="25"/>
      <c r="Z705" s="25"/>
      <c r="AA705" s="25"/>
      <c r="AB705" s="25" t="str">
        <f>'Ingest Template'!T704</f>
        <v/>
      </c>
      <c r="AC705" s="25"/>
      <c r="AD705" s="25" t="str">
        <f>'Ingest Template'!U704</f>
        <v/>
      </c>
      <c r="AE705" s="25" t="str">
        <f>'Ingest Template'!V704</f>
        <v/>
      </c>
      <c r="AF705" s="25"/>
      <c r="AG705" s="25" t="str">
        <f t="array" ref="AG705">IF('Ingest Template'!A704="Standard",(CONCATENATE(IF(ISBLANK('Ingest Template'!O704),"", 'Ingest Template'!O704&amp;"|DAR"),CHAR(10), IF(ISBLANK('Ingest Template'!P704),"", 'Ingest Template'!P704&amp;"|DAR"),CHAR(10), IF(ISBLANK('Ingest Template'!Q704),"", 'Ingest Template'!Q704&amp;"|DAR"))),(CONCATENATE(IF(ISBLANK('Ingest Template'!O704),"", 'Ingest Template'!O704&amp;"|Operations - Core Title"),CHAR(10), IF(ISBLANK('Ingest Template'!P704),"", 'Ingest Template'!P704&amp;"|Operations - Core Title"),CHAR(10), IF(ISBLANK('Ingest Template'!Q704),"", 'Ingest Template'!Q704&amp;"|Operations - Core Title"))))</f>
        <v>#|Operations - Core Title
#videoGame|Operations - Core Title
</v>
      </c>
      <c r="AH705" s="25"/>
      <c r="AI705" s="25"/>
      <c r="AJ705" s="50" t="str">
        <f>if('Ingest Template'!A704="Standard",'Ingest Template'!R704&amp; "|DAR|DAR|2021-01-01",'Ingest Template'!R704&amp; "|Operations - Core Title|Operations - Core Title")</f>
        <v>#N/A</v>
      </c>
      <c r="AK705" s="25"/>
      <c r="AL705" s="25" t="str">
        <f>if('Ingest Template'!A704="Standard",'Ingest Template'!S704&amp; "|2021-01-01",'Ingest Template'!S704)</f>
        <v>#N/A</v>
      </c>
      <c r="AM705" s="25"/>
    </row>
    <row r="706">
      <c r="A706" s="25"/>
      <c r="B706" s="25" t="str">
        <f>'Ingest Template'!C705&amp;IF('Ingest Template'!A705 = "Standard", " - DAR","")</f>
        <v/>
      </c>
      <c r="C706" s="34" t="s">
        <v>92</v>
      </c>
      <c r="D706" s="34" t="str">
        <f>CONCATENATE('Ingest Template'!E706&amp;Char(10)&amp;'Ingest Template'!G706&amp;Char(10)&amp;'Ingest Template'!H706&amp;Char(10)&amp;'Ingest Template'!I706&amp;Char(10)&amp;'Ingest Template'!J706&amp;Char(10)&amp;'Ingest Template'!K706&amp;Char(10)&amp;'Ingest Template'!L706)</f>
        <v>
</v>
      </c>
      <c r="E706" s="25" t="str">
        <f>('Ingest Template'!M706)</f>
        <v/>
      </c>
      <c r="F706" s="40" t="str">
        <f t="array" ref="F706">INDEX(DropDown!$J$2:$J$63,MATCH(1,COUNTIF(E706,DropDown!$I$2:$I$63),0))</f>
        <v>#N/A</v>
      </c>
      <c r="G706" s="25"/>
      <c r="H706" s="25"/>
      <c r="I706" s="25"/>
      <c r="J706" s="25" t="str">
        <f>'Ingest Template'!B706</f>
        <v/>
      </c>
      <c r="K706" s="25" t="str">
        <f>IF('Ingest Template'!A705="Standard",'Ingest Template'!N705,"Competitive View")</f>
        <v>Competitive View</v>
      </c>
      <c r="L706" s="41" t="s">
        <v>145</v>
      </c>
      <c r="M706" s="25" t="str">
        <f>'Ingest Template'!D705</f>
        <v/>
      </c>
      <c r="N706" s="25"/>
      <c r="O706" s="25"/>
      <c r="P706" s="25"/>
      <c r="Q706" s="25"/>
      <c r="R706" s="25" t="str">
        <f>CONCATENATE('Ingest Template'!F705)</f>
        <v/>
      </c>
      <c r="S706" s="43" t="s">
        <v>160</v>
      </c>
      <c r="T706" s="25" t="str">
        <f>'Ingest Template'!W705</f>
        <v/>
      </c>
      <c r="U706" s="25"/>
      <c r="V706" s="25" t="str">
        <f>LOWER(SUBSTITUTE(SUBSTITUTE(SUBSTITUTE(SUBSTITUTE(SUBSTITUTE('Ingest Template'!Y705,"https:",""),"www.",""),"/",""),"?hl=en",""),"instagram.com",""))</f>
        <v/>
      </c>
      <c r="W706" s="34" t="str">
        <f>(IFERROR(vlookup('Ingest Template'!F706,DropDown!D:E,2,false)&amp;'Ingest Template'!C706,""))</f>
        <v/>
      </c>
      <c r="X706" s="25" t="str">
        <f>'Ingest Template'!AA705</f>
        <v/>
      </c>
      <c r="Y706" s="25"/>
      <c r="Z706" s="25"/>
      <c r="AA706" s="25"/>
      <c r="AB706" s="25" t="str">
        <f>'Ingest Template'!T705</f>
        <v/>
      </c>
      <c r="AC706" s="25"/>
      <c r="AD706" s="25" t="str">
        <f>'Ingest Template'!U705</f>
        <v/>
      </c>
      <c r="AE706" s="25" t="str">
        <f>'Ingest Template'!V705</f>
        <v/>
      </c>
      <c r="AF706" s="25"/>
      <c r="AG706" s="25" t="str">
        <f t="array" ref="AG706">IF('Ingest Template'!A705="Standard",(CONCATENATE(IF(ISBLANK('Ingest Template'!O705),"", 'Ingest Template'!O705&amp;"|DAR"),CHAR(10), IF(ISBLANK('Ingest Template'!P705),"", 'Ingest Template'!P705&amp;"|DAR"),CHAR(10), IF(ISBLANK('Ingest Template'!Q705),"", 'Ingest Template'!Q705&amp;"|DAR"))),(CONCATENATE(IF(ISBLANK('Ingest Template'!O705),"", 'Ingest Template'!O705&amp;"|Operations - Core Title"),CHAR(10), IF(ISBLANK('Ingest Template'!P705),"", 'Ingest Template'!P705&amp;"|Operations - Core Title"),CHAR(10), IF(ISBLANK('Ingest Template'!Q705),"", 'Ingest Template'!Q705&amp;"|Operations - Core Title"))))</f>
        <v>#|Operations - Core Title
#videoGame|Operations - Core Title
</v>
      </c>
      <c r="AH706" s="25"/>
      <c r="AI706" s="25"/>
      <c r="AJ706" s="50" t="str">
        <f>if('Ingest Template'!A705="Standard",'Ingest Template'!R705&amp; "|DAR|DAR|2021-01-01",'Ingest Template'!R705&amp; "|Operations - Core Title|Operations - Core Title")</f>
        <v>#N/A</v>
      </c>
      <c r="AK706" s="25"/>
      <c r="AL706" s="25" t="str">
        <f>if('Ingest Template'!A705="Standard",'Ingest Template'!S705&amp; "|2021-01-01",'Ingest Template'!S705)</f>
        <v>#N/A</v>
      </c>
      <c r="AM706" s="25"/>
    </row>
    <row r="707">
      <c r="A707" s="25"/>
      <c r="B707" s="25" t="str">
        <f>'Ingest Template'!C706&amp;IF('Ingest Template'!A706 = "Standard", " - DAR","")</f>
        <v/>
      </c>
      <c r="C707" s="34" t="s">
        <v>92</v>
      </c>
      <c r="D707" s="34" t="str">
        <f>CONCATENATE('Ingest Template'!E707&amp;Char(10)&amp;'Ingest Template'!G707&amp;Char(10)&amp;'Ingest Template'!H707&amp;Char(10)&amp;'Ingest Template'!I707&amp;Char(10)&amp;'Ingest Template'!J707&amp;Char(10)&amp;'Ingest Template'!K707&amp;Char(10)&amp;'Ingest Template'!L707)</f>
        <v>
</v>
      </c>
      <c r="E707" s="25" t="str">
        <f>('Ingest Template'!M707)</f>
        <v/>
      </c>
      <c r="F707" s="40" t="str">
        <f t="array" ref="F707">INDEX(DropDown!$J$2:$J$63,MATCH(1,COUNTIF(E707,DropDown!$I$2:$I$63),0))</f>
        <v>#N/A</v>
      </c>
      <c r="G707" s="25"/>
      <c r="H707" s="25"/>
      <c r="I707" s="25"/>
      <c r="J707" s="25" t="str">
        <f>'Ingest Template'!B707</f>
        <v/>
      </c>
      <c r="K707" s="25" t="str">
        <f>IF('Ingest Template'!A706="Standard",'Ingest Template'!N706,"Competitive View")</f>
        <v>Competitive View</v>
      </c>
      <c r="L707" s="41" t="s">
        <v>145</v>
      </c>
      <c r="M707" s="25" t="str">
        <f>'Ingest Template'!D706</f>
        <v/>
      </c>
      <c r="N707" s="25"/>
      <c r="O707" s="25"/>
      <c r="P707" s="25"/>
      <c r="Q707" s="25"/>
      <c r="R707" s="25" t="str">
        <f>CONCATENATE('Ingest Template'!F706)</f>
        <v/>
      </c>
      <c r="S707" s="43" t="s">
        <v>160</v>
      </c>
      <c r="T707" s="25" t="str">
        <f>'Ingest Template'!W706</f>
        <v/>
      </c>
      <c r="U707" s="25"/>
      <c r="V707" s="25" t="str">
        <f>LOWER(SUBSTITUTE(SUBSTITUTE(SUBSTITUTE(SUBSTITUTE(SUBSTITUTE('Ingest Template'!Y706,"https:",""),"www.",""),"/",""),"?hl=en",""),"instagram.com",""))</f>
        <v/>
      </c>
      <c r="W707" s="34" t="str">
        <f>(IFERROR(vlookup('Ingest Template'!F707,DropDown!D:E,2,false)&amp;'Ingest Template'!C707,""))</f>
        <v/>
      </c>
      <c r="X707" s="25" t="str">
        <f>'Ingest Template'!AA706</f>
        <v/>
      </c>
      <c r="Y707" s="25"/>
      <c r="Z707" s="25"/>
      <c r="AA707" s="25"/>
      <c r="AB707" s="25" t="str">
        <f>'Ingest Template'!T706</f>
        <v/>
      </c>
      <c r="AC707" s="25"/>
      <c r="AD707" s="25" t="str">
        <f>'Ingest Template'!U706</f>
        <v/>
      </c>
      <c r="AE707" s="25" t="str">
        <f>'Ingest Template'!V706</f>
        <v/>
      </c>
      <c r="AF707" s="25"/>
      <c r="AG707" s="25" t="str">
        <f t="array" ref="AG707">IF('Ingest Template'!A706="Standard",(CONCATENATE(IF(ISBLANK('Ingest Template'!O706),"", 'Ingest Template'!O706&amp;"|DAR"),CHAR(10), IF(ISBLANK('Ingest Template'!P706),"", 'Ingest Template'!P706&amp;"|DAR"),CHAR(10), IF(ISBLANK('Ingest Template'!Q706),"", 'Ingest Template'!Q706&amp;"|DAR"))),(CONCATENATE(IF(ISBLANK('Ingest Template'!O706),"", 'Ingest Template'!O706&amp;"|Operations - Core Title"),CHAR(10), IF(ISBLANK('Ingest Template'!P706),"", 'Ingest Template'!P706&amp;"|Operations - Core Title"),CHAR(10), IF(ISBLANK('Ingest Template'!Q706),"", 'Ingest Template'!Q706&amp;"|Operations - Core Title"))))</f>
        <v>#|Operations - Core Title
#videoGame|Operations - Core Title
</v>
      </c>
      <c r="AH707" s="25"/>
      <c r="AI707" s="25"/>
      <c r="AJ707" s="50" t="str">
        <f>if('Ingest Template'!A706="Standard",'Ingest Template'!R706&amp; "|DAR|DAR|2021-01-01",'Ingest Template'!R706&amp; "|Operations - Core Title|Operations - Core Title")</f>
        <v>#N/A</v>
      </c>
      <c r="AK707" s="25"/>
      <c r="AL707" s="25" t="str">
        <f>if('Ingest Template'!A706="Standard",'Ingest Template'!S706&amp; "|2021-01-01",'Ingest Template'!S706)</f>
        <v>#N/A</v>
      </c>
      <c r="AM707" s="25"/>
    </row>
    <row r="708">
      <c r="A708" s="25"/>
      <c r="B708" s="25" t="str">
        <f>'Ingest Template'!C707&amp;IF('Ingest Template'!A707 = "Standard", " - DAR","")</f>
        <v/>
      </c>
      <c r="C708" s="34" t="s">
        <v>92</v>
      </c>
      <c r="D708" s="34" t="str">
        <f>CONCATENATE('Ingest Template'!E708&amp;Char(10)&amp;'Ingest Template'!G708&amp;Char(10)&amp;'Ingest Template'!H708&amp;Char(10)&amp;'Ingest Template'!I708&amp;Char(10)&amp;'Ingest Template'!J708&amp;Char(10)&amp;'Ingest Template'!K708&amp;Char(10)&amp;'Ingest Template'!L708)</f>
        <v>
</v>
      </c>
      <c r="E708" s="25" t="str">
        <f>('Ingest Template'!M708)</f>
        <v/>
      </c>
      <c r="F708" s="40" t="str">
        <f t="array" ref="F708">INDEX(DropDown!$J$2:$J$63,MATCH(1,COUNTIF(E708,DropDown!$I$2:$I$63),0))</f>
        <v>#N/A</v>
      </c>
      <c r="G708" s="25"/>
      <c r="H708" s="25"/>
      <c r="I708" s="25"/>
      <c r="J708" s="25" t="str">
        <f>'Ingest Template'!B708</f>
        <v/>
      </c>
      <c r="K708" s="25" t="str">
        <f>IF('Ingest Template'!A707="Standard",'Ingest Template'!N707,"Competitive View")</f>
        <v>Competitive View</v>
      </c>
      <c r="L708" s="41" t="s">
        <v>145</v>
      </c>
      <c r="M708" s="25" t="str">
        <f>'Ingest Template'!D707</f>
        <v/>
      </c>
      <c r="N708" s="25"/>
      <c r="O708" s="25"/>
      <c r="P708" s="25"/>
      <c r="Q708" s="25"/>
      <c r="R708" s="25" t="str">
        <f>CONCATENATE('Ingest Template'!F707)</f>
        <v/>
      </c>
      <c r="S708" s="43" t="s">
        <v>160</v>
      </c>
      <c r="T708" s="25" t="str">
        <f>'Ingest Template'!W707</f>
        <v/>
      </c>
      <c r="U708" s="25"/>
      <c r="V708" s="25" t="str">
        <f>LOWER(SUBSTITUTE(SUBSTITUTE(SUBSTITUTE(SUBSTITUTE(SUBSTITUTE('Ingest Template'!Y707,"https:",""),"www.",""),"/",""),"?hl=en",""),"instagram.com",""))</f>
        <v/>
      </c>
      <c r="W708" s="34" t="str">
        <f>(IFERROR(vlookup('Ingest Template'!F708,DropDown!D:E,2,false)&amp;'Ingest Template'!C708,""))</f>
        <v/>
      </c>
      <c r="X708" s="25" t="str">
        <f>'Ingest Template'!AA707</f>
        <v/>
      </c>
      <c r="Y708" s="25"/>
      <c r="Z708" s="25"/>
      <c r="AA708" s="25"/>
      <c r="AB708" s="25" t="str">
        <f>'Ingest Template'!T707</f>
        <v/>
      </c>
      <c r="AC708" s="25"/>
      <c r="AD708" s="25" t="str">
        <f>'Ingest Template'!U707</f>
        <v/>
      </c>
      <c r="AE708" s="25" t="str">
        <f>'Ingest Template'!V707</f>
        <v/>
      </c>
      <c r="AF708" s="25"/>
      <c r="AG708" s="25" t="str">
        <f t="array" ref="AG708">IF('Ingest Template'!A707="Standard",(CONCATENATE(IF(ISBLANK('Ingest Template'!O707),"", 'Ingest Template'!O707&amp;"|DAR"),CHAR(10), IF(ISBLANK('Ingest Template'!P707),"", 'Ingest Template'!P707&amp;"|DAR"),CHAR(10), IF(ISBLANK('Ingest Template'!Q707),"", 'Ingest Template'!Q707&amp;"|DAR"))),(CONCATENATE(IF(ISBLANK('Ingest Template'!O707),"", 'Ingest Template'!O707&amp;"|Operations - Core Title"),CHAR(10), IF(ISBLANK('Ingest Template'!P707),"", 'Ingest Template'!P707&amp;"|Operations - Core Title"),CHAR(10), IF(ISBLANK('Ingest Template'!Q707),"", 'Ingest Template'!Q707&amp;"|Operations - Core Title"))))</f>
        <v>#|Operations - Core Title
#videoGame|Operations - Core Title
</v>
      </c>
      <c r="AH708" s="25"/>
      <c r="AI708" s="25"/>
      <c r="AJ708" s="50" t="str">
        <f>if('Ingest Template'!A707="Standard",'Ingest Template'!R707&amp; "|DAR|DAR|2021-01-01",'Ingest Template'!R707&amp; "|Operations - Core Title|Operations - Core Title")</f>
        <v>#N/A</v>
      </c>
      <c r="AK708" s="25"/>
      <c r="AL708" s="25" t="str">
        <f>if('Ingest Template'!A707="Standard",'Ingest Template'!S707&amp; "|2021-01-01",'Ingest Template'!S707)</f>
        <v>#N/A</v>
      </c>
      <c r="AM708" s="25"/>
    </row>
    <row r="709">
      <c r="A709" s="25"/>
      <c r="B709" s="25" t="str">
        <f>'Ingest Template'!C708&amp;IF('Ingest Template'!A708 = "Standard", " - DAR","")</f>
        <v/>
      </c>
      <c r="C709" s="34" t="s">
        <v>92</v>
      </c>
      <c r="D709" s="34" t="str">
        <f>CONCATENATE('Ingest Template'!E709&amp;Char(10)&amp;'Ingest Template'!G709&amp;Char(10)&amp;'Ingest Template'!H709&amp;Char(10)&amp;'Ingest Template'!I709&amp;Char(10)&amp;'Ingest Template'!J709&amp;Char(10)&amp;'Ingest Template'!K709&amp;Char(10)&amp;'Ingest Template'!L709)</f>
        <v>
</v>
      </c>
      <c r="E709" s="25" t="str">
        <f>('Ingest Template'!M709)</f>
        <v/>
      </c>
      <c r="F709" s="40" t="str">
        <f t="array" ref="F709">INDEX(DropDown!$J$2:$J$63,MATCH(1,COUNTIF(E709,DropDown!$I$2:$I$63),0))</f>
        <v>#N/A</v>
      </c>
      <c r="G709" s="25"/>
      <c r="H709" s="25"/>
      <c r="I709" s="25"/>
      <c r="J709" s="25" t="str">
        <f>'Ingest Template'!B709</f>
        <v/>
      </c>
      <c r="K709" s="25" t="str">
        <f>IF('Ingest Template'!A708="Standard",'Ingest Template'!N708,"Competitive View")</f>
        <v>Competitive View</v>
      </c>
      <c r="L709" s="41" t="s">
        <v>145</v>
      </c>
      <c r="M709" s="25" t="str">
        <f>'Ingest Template'!D708</f>
        <v/>
      </c>
      <c r="N709" s="25"/>
      <c r="O709" s="25"/>
      <c r="P709" s="25"/>
      <c r="Q709" s="25"/>
      <c r="R709" s="25" t="str">
        <f>CONCATENATE('Ingest Template'!F708)</f>
        <v/>
      </c>
      <c r="S709" s="43" t="s">
        <v>160</v>
      </c>
      <c r="T709" s="25" t="str">
        <f>'Ingest Template'!W708</f>
        <v/>
      </c>
      <c r="U709" s="25"/>
      <c r="V709" s="25" t="str">
        <f>LOWER(SUBSTITUTE(SUBSTITUTE(SUBSTITUTE(SUBSTITUTE(SUBSTITUTE('Ingest Template'!Y708,"https:",""),"www.",""),"/",""),"?hl=en",""),"instagram.com",""))</f>
        <v/>
      </c>
      <c r="W709" s="34" t="str">
        <f>(IFERROR(vlookup('Ingest Template'!F709,DropDown!D:E,2,false)&amp;'Ingest Template'!C709,""))</f>
        <v/>
      </c>
      <c r="X709" s="25" t="str">
        <f>'Ingest Template'!AA708</f>
        <v/>
      </c>
      <c r="Y709" s="25"/>
      <c r="Z709" s="25"/>
      <c r="AA709" s="25"/>
      <c r="AB709" s="25" t="str">
        <f>'Ingest Template'!T708</f>
        <v/>
      </c>
      <c r="AC709" s="25"/>
      <c r="AD709" s="25" t="str">
        <f>'Ingest Template'!U708</f>
        <v/>
      </c>
      <c r="AE709" s="25" t="str">
        <f>'Ingest Template'!V708</f>
        <v/>
      </c>
      <c r="AF709" s="25"/>
      <c r="AG709" s="25" t="str">
        <f t="array" ref="AG709">IF('Ingest Template'!A708="Standard",(CONCATENATE(IF(ISBLANK('Ingest Template'!O708),"", 'Ingest Template'!O708&amp;"|DAR"),CHAR(10), IF(ISBLANK('Ingest Template'!P708),"", 'Ingest Template'!P708&amp;"|DAR"),CHAR(10), IF(ISBLANK('Ingest Template'!Q708),"", 'Ingest Template'!Q708&amp;"|DAR"))),(CONCATENATE(IF(ISBLANK('Ingest Template'!O708),"", 'Ingest Template'!O708&amp;"|Operations - Core Title"),CHAR(10), IF(ISBLANK('Ingest Template'!P708),"", 'Ingest Template'!P708&amp;"|Operations - Core Title"),CHAR(10), IF(ISBLANK('Ingest Template'!Q708),"", 'Ingest Template'!Q708&amp;"|Operations - Core Title"))))</f>
        <v>#|Operations - Core Title
#videoGame|Operations - Core Title
</v>
      </c>
      <c r="AH709" s="25"/>
      <c r="AI709" s="25"/>
      <c r="AJ709" s="50" t="str">
        <f>if('Ingest Template'!A708="Standard",'Ingest Template'!R708&amp; "|DAR|DAR|2021-01-01",'Ingest Template'!R708&amp; "|Operations - Core Title|Operations - Core Title")</f>
        <v>#N/A</v>
      </c>
      <c r="AK709" s="25"/>
      <c r="AL709" s="25" t="str">
        <f>if('Ingest Template'!A708="Standard",'Ingest Template'!S708&amp; "|2021-01-01",'Ingest Template'!S708)</f>
        <v>#N/A</v>
      </c>
      <c r="AM709" s="25"/>
    </row>
    <row r="710">
      <c r="A710" s="25"/>
      <c r="B710" s="25" t="str">
        <f>'Ingest Template'!C709&amp;IF('Ingest Template'!A709 = "Standard", " - DAR","")</f>
        <v/>
      </c>
      <c r="C710" s="34" t="s">
        <v>92</v>
      </c>
      <c r="D710" s="34" t="str">
        <f>CONCATENATE('Ingest Template'!E710&amp;Char(10)&amp;'Ingest Template'!G710&amp;Char(10)&amp;'Ingest Template'!H710&amp;Char(10)&amp;'Ingest Template'!I710&amp;Char(10)&amp;'Ingest Template'!J710&amp;Char(10)&amp;'Ingest Template'!K710&amp;Char(10)&amp;'Ingest Template'!L710)</f>
        <v>
</v>
      </c>
      <c r="E710" s="25" t="str">
        <f>('Ingest Template'!M710)</f>
        <v/>
      </c>
      <c r="F710" s="40" t="str">
        <f t="array" ref="F710">INDEX(DropDown!$J$2:$J$63,MATCH(1,COUNTIF(E710,DropDown!$I$2:$I$63),0))</f>
        <v>#N/A</v>
      </c>
      <c r="G710" s="25"/>
      <c r="H710" s="25"/>
      <c r="I710" s="25"/>
      <c r="J710" s="25" t="str">
        <f>'Ingest Template'!B710</f>
        <v/>
      </c>
      <c r="K710" s="25" t="str">
        <f>IF('Ingest Template'!A709="Standard",'Ingest Template'!N709,"Competitive View")</f>
        <v>Competitive View</v>
      </c>
      <c r="L710" s="41" t="s">
        <v>145</v>
      </c>
      <c r="M710" s="25" t="str">
        <f>'Ingest Template'!D709</f>
        <v/>
      </c>
      <c r="N710" s="25"/>
      <c r="O710" s="25"/>
      <c r="P710" s="25"/>
      <c r="Q710" s="25"/>
      <c r="R710" s="25" t="str">
        <f>CONCATENATE('Ingest Template'!F709)</f>
        <v/>
      </c>
      <c r="S710" s="43" t="s">
        <v>160</v>
      </c>
      <c r="T710" s="25" t="str">
        <f>'Ingest Template'!W709</f>
        <v/>
      </c>
      <c r="U710" s="25"/>
      <c r="V710" s="25" t="str">
        <f>LOWER(SUBSTITUTE(SUBSTITUTE(SUBSTITUTE(SUBSTITUTE(SUBSTITUTE('Ingest Template'!Y709,"https:",""),"www.",""),"/",""),"?hl=en",""),"instagram.com",""))</f>
        <v/>
      </c>
      <c r="W710" s="34" t="str">
        <f>(IFERROR(vlookup('Ingest Template'!F710,DropDown!D:E,2,false)&amp;'Ingest Template'!C710,""))</f>
        <v/>
      </c>
      <c r="X710" s="25" t="str">
        <f>'Ingest Template'!AA709</f>
        <v/>
      </c>
      <c r="Y710" s="25"/>
      <c r="Z710" s="25"/>
      <c r="AA710" s="25"/>
      <c r="AB710" s="25" t="str">
        <f>'Ingest Template'!T709</f>
        <v/>
      </c>
      <c r="AC710" s="25"/>
      <c r="AD710" s="25" t="str">
        <f>'Ingest Template'!U709</f>
        <v/>
      </c>
      <c r="AE710" s="25" t="str">
        <f>'Ingest Template'!V709</f>
        <v/>
      </c>
      <c r="AF710" s="25"/>
      <c r="AG710" s="25" t="str">
        <f t="array" ref="AG710">IF('Ingest Template'!A709="Standard",(CONCATENATE(IF(ISBLANK('Ingest Template'!O709),"", 'Ingest Template'!O709&amp;"|DAR"),CHAR(10), IF(ISBLANK('Ingest Template'!P709),"", 'Ingest Template'!P709&amp;"|DAR"),CHAR(10), IF(ISBLANK('Ingest Template'!Q709),"", 'Ingest Template'!Q709&amp;"|DAR"))),(CONCATENATE(IF(ISBLANK('Ingest Template'!O709),"", 'Ingest Template'!O709&amp;"|Operations - Core Title"),CHAR(10), IF(ISBLANK('Ingest Template'!P709),"", 'Ingest Template'!P709&amp;"|Operations - Core Title"),CHAR(10), IF(ISBLANK('Ingest Template'!Q709),"", 'Ingest Template'!Q709&amp;"|Operations - Core Title"))))</f>
        <v>#|Operations - Core Title
#videoGame|Operations - Core Title
</v>
      </c>
      <c r="AH710" s="25"/>
      <c r="AI710" s="25"/>
      <c r="AJ710" s="50" t="str">
        <f>if('Ingest Template'!A709="Standard",'Ingest Template'!R709&amp; "|DAR|DAR|2021-01-01",'Ingest Template'!R709&amp; "|Operations - Core Title|Operations - Core Title")</f>
        <v>#N/A</v>
      </c>
      <c r="AK710" s="25"/>
      <c r="AL710" s="25" t="str">
        <f>if('Ingest Template'!A709="Standard",'Ingest Template'!S709&amp; "|2021-01-01",'Ingest Template'!S709)</f>
        <v>#N/A</v>
      </c>
      <c r="AM710" s="25"/>
    </row>
    <row r="711">
      <c r="A711" s="25"/>
      <c r="B711" s="25" t="str">
        <f>'Ingest Template'!C710&amp;IF('Ingest Template'!A710 = "Standard", " - DAR","")</f>
        <v/>
      </c>
      <c r="C711" s="34" t="s">
        <v>92</v>
      </c>
      <c r="D711" s="34" t="str">
        <f>CONCATENATE('Ingest Template'!E711&amp;Char(10)&amp;'Ingest Template'!G711&amp;Char(10)&amp;'Ingest Template'!H711&amp;Char(10)&amp;'Ingest Template'!I711&amp;Char(10)&amp;'Ingest Template'!J711&amp;Char(10)&amp;'Ingest Template'!K711&amp;Char(10)&amp;'Ingest Template'!L711)</f>
        <v>
</v>
      </c>
      <c r="E711" s="25" t="str">
        <f>('Ingest Template'!M711)</f>
        <v/>
      </c>
      <c r="F711" s="40" t="str">
        <f t="array" ref="F711">INDEX(DropDown!$J$2:$J$63,MATCH(1,COUNTIF(E711,DropDown!$I$2:$I$63),0))</f>
        <v>#N/A</v>
      </c>
      <c r="G711" s="25"/>
      <c r="H711" s="25"/>
      <c r="I711" s="25"/>
      <c r="J711" s="25" t="str">
        <f>'Ingest Template'!B711</f>
        <v/>
      </c>
      <c r="K711" s="25" t="str">
        <f>IF('Ingest Template'!A710="Standard",'Ingest Template'!N710,"Competitive View")</f>
        <v>Competitive View</v>
      </c>
      <c r="L711" s="41" t="s">
        <v>145</v>
      </c>
      <c r="M711" s="25" t="str">
        <f>'Ingest Template'!D710</f>
        <v/>
      </c>
      <c r="N711" s="25"/>
      <c r="O711" s="25"/>
      <c r="P711" s="25"/>
      <c r="Q711" s="25"/>
      <c r="R711" s="25" t="str">
        <f>CONCATENATE('Ingest Template'!F710)</f>
        <v/>
      </c>
      <c r="S711" s="43" t="s">
        <v>160</v>
      </c>
      <c r="T711" s="25" t="str">
        <f>'Ingest Template'!W710</f>
        <v/>
      </c>
      <c r="U711" s="25"/>
      <c r="V711" s="25" t="str">
        <f>LOWER(SUBSTITUTE(SUBSTITUTE(SUBSTITUTE(SUBSTITUTE(SUBSTITUTE('Ingest Template'!Y710,"https:",""),"www.",""),"/",""),"?hl=en",""),"instagram.com",""))</f>
        <v/>
      </c>
      <c r="W711" s="34" t="str">
        <f>(IFERROR(vlookup('Ingest Template'!F711,DropDown!D:E,2,false)&amp;'Ingest Template'!C711,""))</f>
        <v/>
      </c>
      <c r="X711" s="25" t="str">
        <f>'Ingest Template'!AA710</f>
        <v/>
      </c>
      <c r="Y711" s="25"/>
      <c r="Z711" s="25"/>
      <c r="AA711" s="25"/>
      <c r="AB711" s="25" t="str">
        <f>'Ingest Template'!T710</f>
        <v/>
      </c>
      <c r="AC711" s="25"/>
      <c r="AD711" s="25" t="str">
        <f>'Ingest Template'!U710</f>
        <v/>
      </c>
      <c r="AE711" s="25" t="str">
        <f>'Ingest Template'!V710</f>
        <v/>
      </c>
      <c r="AF711" s="25"/>
      <c r="AG711" s="25" t="str">
        <f t="array" ref="AG711">IF('Ingest Template'!A710="Standard",(CONCATENATE(IF(ISBLANK('Ingest Template'!O710),"", 'Ingest Template'!O710&amp;"|DAR"),CHAR(10), IF(ISBLANK('Ingest Template'!P710),"", 'Ingest Template'!P710&amp;"|DAR"),CHAR(10), IF(ISBLANK('Ingest Template'!Q710),"", 'Ingest Template'!Q710&amp;"|DAR"))),(CONCATENATE(IF(ISBLANK('Ingest Template'!O710),"", 'Ingest Template'!O710&amp;"|Operations - Core Title"),CHAR(10), IF(ISBLANK('Ingest Template'!P710),"", 'Ingest Template'!P710&amp;"|Operations - Core Title"),CHAR(10), IF(ISBLANK('Ingest Template'!Q710),"", 'Ingest Template'!Q710&amp;"|Operations - Core Title"))))</f>
        <v>#|Operations - Core Title
#videoGame|Operations - Core Title
</v>
      </c>
      <c r="AH711" s="25"/>
      <c r="AI711" s="25"/>
      <c r="AJ711" s="50" t="str">
        <f>if('Ingest Template'!A710="Standard",'Ingest Template'!R710&amp; "|DAR|DAR|2021-01-01",'Ingest Template'!R710&amp; "|Operations - Core Title|Operations - Core Title")</f>
        <v>#N/A</v>
      </c>
      <c r="AK711" s="25"/>
      <c r="AL711" s="25" t="str">
        <f>if('Ingest Template'!A710="Standard",'Ingest Template'!S710&amp; "|2021-01-01",'Ingest Template'!S710)</f>
        <v>#N/A</v>
      </c>
      <c r="AM711" s="25"/>
    </row>
    <row r="712">
      <c r="A712" s="25"/>
      <c r="B712" s="25" t="str">
        <f>'Ingest Template'!C711&amp;IF('Ingest Template'!A711 = "Standard", " - DAR","")</f>
        <v/>
      </c>
      <c r="C712" s="34" t="s">
        <v>92</v>
      </c>
      <c r="D712" s="34" t="str">
        <f>CONCATENATE('Ingest Template'!E712&amp;Char(10)&amp;'Ingest Template'!G712&amp;Char(10)&amp;'Ingest Template'!H712&amp;Char(10)&amp;'Ingest Template'!I712&amp;Char(10)&amp;'Ingest Template'!J712&amp;Char(10)&amp;'Ingest Template'!K712&amp;Char(10)&amp;'Ingest Template'!L712)</f>
        <v>
</v>
      </c>
      <c r="E712" s="25" t="str">
        <f>('Ingest Template'!M712)</f>
        <v/>
      </c>
      <c r="F712" s="40" t="str">
        <f t="array" ref="F712">INDEX(DropDown!$J$2:$J$63,MATCH(1,COUNTIF(E712,DropDown!$I$2:$I$63),0))</f>
        <v>#N/A</v>
      </c>
      <c r="G712" s="25"/>
      <c r="H712" s="25"/>
      <c r="I712" s="25"/>
      <c r="J712" s="25" t="str">
        <f>'Ingest Template'!B712</f>
        <v/>
      </c>
      <c r="K712" s="25" t="str">
        <f>IF('Ingest Template'!A711="Standard",'Ingest Template'!N711,"Competitive View")</f>
        <v>Competitive View</v>
      </c>
      <c r="L712" s="41" t="s">
        <v>145</v>
      </c>
      <c r="M712" s="25" t="str">
        <f>'Ingest Template'!D711</f>
        <v/>
      </c>
      <c r="N712" s="25"/>
      <c r="O712" s="25"/>
      <c r="P712" s="25"/>
      <c r="Q712" s="25"/>
      <c r="R712" s="25" t="str">
        <f>CONCATENATE('Ingest Template'!F711)</f>
        <v/>
      </c>
      <c r="S712" s="43" t="s">
        <v>160</v>
      </c>
      <c r="T712" s="25" t="str">
        <f>'Ingest Template'!W711</f>
        <v/>
      </c>
      <c r="U712" s="25"/>
      <c r="V712" s="25" t="str">
        <f>LOWER(SUBSTITUTE(SUBSTITUTE(SUBSTITUTE(SUBSTITUTE(SUBSTITUTE('Ingest Template'!Y711,"https:",""),"www.",""),"/",""),"?hl=en",""),"instagram.com",""))</f>
        <v/>
      </c>
      <c r="W712" s="34" t="str">
        <f>(IFERROR(vlookup('Ingest Template'!F712,DropDown!D:E,2,false)&amp;'Ingest Template'!C712,""))</f>
        <v/>
      </c>
      <c r="X712" s="25" t="str">
        <f>'Ingest Template'!AA711</f>
        <v/>
      </c>
      <c r="Y712" s="25"/>
      <c r="Z712" s="25"/>
      <c r="AA712" s="25"/>
      <c r="AB712" s="25" t="str">
        <f>'Ingest Template'!T711</f>
        <v/>
      </c>
      <c r="AC712" s="25"/>
      <c r="AD712" s="25" t="str">
        <f>'Ingest Template'!U711</f>
        <v/>
      </c>
      <c r="AE712" s="25" t="str">
        <f>'Ingest Template'!V711</f>
        <v/>
      </c>
      <c r="AF712" s="25"/>
      <c r="AG712" s="25" t="str">
        <f t="array" ref="AG712">IF('Ingest Template'!A711="Standard",(CONCATENATE(IF(ISBLANK('Ingest Template'!O711),"", 'Ingest Template'!O711&amp;"|DAR"),CHAR(10), IF(ISBLANK('Ingest Template'!P711),"", 'Ingest Template'!P711&amp;"|DAR"),CHAR(10), IF(ISBLANK('Ingest Template'!Q711),"", 'Ingest Template'!Q711&amp;"|DAR"))),(CONCATENATE(IF(ISBLANK('Ingest Template'!O711),"", 'Ingest Template'!O711&amp;"|Operations - Core Title"),CHAR(10), IF(ISBLANK('Ingest Template'!P711),"", 'Ingest Template'!P711&amp;"|Operations - Core Title"),CHAR(10), IF(ISBLANK('Ingest Template'!Q711),"", 'Ingest Template'!Q711&amp;"|Operations - Core Title"))))</f>
        <v>#|Operations - Core Title
#videoGame|Operations - Core Title
</v>
      </c>
      <c r="AH712" s="25"/>
      <c r="AI712" s="25"/>
      <c r="AJ712" s="50" t="str">
        <f>if('Ingest Template'!A711="Standard",'Ingest Template'!R711&amp; "|DAR|DAR|2021-01-01",'Ingest Template'!R711&amp; "|Operations - Core Title|Operations - Core Title")</f>
        <v>#N/A</v>
      </c>
      <c r="AK712" s="25"/>
      <c r="AL712" s="25" t="str">
        <f>if('Ingest Template'!A711="Standard",'Ingest Template'!S711&amp; "|2021-01-01",'Ingest Template'!S711)</f>
        <v>#N/A</v>
      </c>
      <c r="AM712" s="25"/>
    </row>
    <row r="713">
      <c r="A713" s="25"/>
      <c r="B713" s="25" t="str">
        <f>'Ingest Template'!C712&amp;IF('Ingest Template'!A712 = "Standard", " - DAR","")</f>
        <v/>
      </c>
      <c r="C713" s="34" t="s">
        <v>92</v>
      </c>
      <c r="D713" s="34" t="str">
        <f>CONCATENATE('Ingest Template'!E713&amp;Char(10)&amp;'Ingest Template'!G713&amp;Char(10)&amp;'Ingest Template'!H713&amp;Char(10)&amp;'Ingest Template'!I713&amp;Char(10)&amp;'Ingest Template'!J713&amp;Char(10)&amp;'Ingest Template'!K713&amp;Char(10)&amp;'Ingest Template'!L713)</f>
        <v>
</v>
      </c>
      <c r="E713" s="25" t="str">
        <f>('Ingest Template'!M713)</f>
        <v/>
      </c>
      <c r="F713" s="40" t="str">
        <f t="array" ref="F713">INDEX(DropDown!$J$2:$J$63,MATCH(1,COUNTIF(E713,DropDown!$I$2:$I$63),0))</f>
        <v>#N/A</v>
      </c>
      <c r="G713" s="25"/>
      <c r="H713" s="25"/>
      <c r="I713" s="25"/>
      <c r="J713" s="25" t="str">
        <f>'Ingest Template'!B713</f>
        <v/>
      </c>
      <c r="K713" s="25" t="str">
        <f>IF('Ingest Template'!A712="Standard",'Ingest Template'!N712,"Competitive View")</f>
        <v>Competitive View</v>
      </c>
      <c r="L713" s="41" t="s">
        <v>145</v>
      </c>
      <c r="M713" s="25" t="str">
        <f>'Ingest Template'!D712</f>
        <v/>
      </c>
      <c r="N713" s="25"/>
      <c r="O713" s="25"/>
      <c r="P713" s="25"/>
      <c r="Q713" s="25"/>
      <c r="R713" s="25" t="str">
        <f>CONCATENATE('Ingest Template'!F712)</f>
        <v/>
      </c>
      <c r="S713" s="43" t="s">
        <v>160</v>
      </c>
      <c r="T713" s="25" t="str">
        <f>'Ingest Template'!W712</f>
        <v/>
      </c>
      <c r="U713" s="25"/>
      <c r="V713" s="25" t="str">
        <f>LOWER(SUBSTITUTE(SUBSTITUTE(SUBSTITUTE(SUBSTITUTE(SUBSTITUTE('Ingest Template'!Y712,"https:",""),"www.",""),"/",""),"?hl=en",""),"instagram.com",""))</f>
        <v/>
      </c>
      <c r="W713" s="34" t="str">
        <f>(IFERROR(vlookup('Ingest Template'!F713,DropDown!D:E,2,false)&amp;'Ingest Template'!C713,""))</f>
        <v/>
      </c>
      <c r="X713" s="25" t="str">
        <f>'Ingest Template'!AA712</f>
        <v/>
      </c>
      <c r="Y713" s="25"/>
      <c r="Z713" s="25"/>
      <c r="AA713" s="25"/>
      <c r="AB713" s="25" t="str">
        <f>'Ingest Template'!T712</f>
        <v/>
      </c>
      <c r="AC713" s="25"/>
      <c r="AD713" s="25" t="str">
        <f>'Ingest Template'!U712</f>
        <v/>
      </c>
      <c r="AE713" s="25" t="str">
        <f>'Ingest Template'!V712</f>
        <v/>
      </c>
      <c r="AF713" s="25"/>
      <c r="AG713" s="25" t="str">
        <f t="array" ref="AG713">IF('Ingest Template'!A712="Standard",(CONCATENATE(IF(ISBLANK('Ingest Template'!O712),"", 'Ingest Template'!O712&amp;"|DAR"),CHAR(10), IF(ISBLANK('Ingest Template'!P712),"", 'Ingest Template'!P712&amp;"|DAR"),CHAR(10), IF(ISBLANK('Ingest Template'!Q712),"", 'Ingest Template'!Q712&amp;"|DAR"))),(CONCATENATE(IF(ISBLANK('Ingest Template'!O712),"", 'Ingest Template'!O712&amp;"|Operations - Core Title"),CHAR(10), IF(ISBLANK('Ingest Template'!P712),"", 'Ingest Template'!P712&amp;"|Operations - Core Title"),CHAR(10), IF(ISBLANK('Ingest Template'!Q712),"", 'Ingest Template'!Q712&amp;"|Operations - Core Title"))))</f>
        <v>#|Operations - Core Title
#videoGame|Operations - Core Title
</v>
      </c>
      <c r="AH713" s="25"/>
      <c r="AI713" s="25"/>
      <c r="AJ713" s="50" t="str">
        <f>if('Ingest Template'!A712="Standard",'Ingest Template'!R712&amp; "|DAR|DAR|2021-01-01",'Ingest Template'!R712&amp; "|Operations - Core Title|Operations - Core Title")</f>
        <v>#N/A</v>
      </c>
      <c r="AK713" s="25"/>
      <c r="AL713" s="25" t="str">
        <f>if('Ingest Template'!A712="Standard",'Ingest Template'!S712&amp; "|2021-01-01",'Ingest Template'!S712)</f>
        <v>#N/A</v>
      </c>
      <c r="AM713" s="25"/>
    </row>
    <row r="714">
      <c r="A714" s="25"/>
      <c r="B714" s="25" t="str">
        <f>'Ingest Template'!C713&amp;IF('Ingest Template'!A713 = "Standard", " - DAR","")</f>
        <v/>
      </c>
      <c r="C714" s="34" t="s">
        <v>92</v>
      </c>
      <c r="D714" s="34" t="str">
        <f>CONCATENATE('Ingest Template'!E714&amp;Char(10)&amp;'Ingest Template'!G714&amp;Char(10)&amp;'Ingest Template'!H714&amp;Char(10)&amp;'Ingest Template'!I714&amp;Char(10)&amp;'Ingest Template'!J714&amp;Char(10)&amp;'Ingest Template'!K714&amp;Char(10)&amp;'Ingest Template'!L714)</f>
        <v>
</v>
      </c>
      <c r="E714" s="25" t="str">
        <f>('Ingest Template'!M714)</f>
        <v/>
      </c>
      <c r="F714" s="40" t="str">
        <f t="array" ref="F714">INDEX(DropDown!$J$2:$J$63,MATCH(1,COUNTIF(E714,DropDown!$I$2:$I$63),0))</f>
        <v>#N/A</v>
      </c>
      <c r="G714" s="25"/>
      <c r="H714" s="25"/>
      <c r="I714" s="25"/>
      <c r="J714" s="25" t="str">
        <f>'Ingest Template'!B714</f>
        <v/>
      </c>
      <c r="K714" s="25" t="str">
        <f>IF('Ingest Template'!A713="Standard",'Ingest Template'!N713,"Competitive View")</f>
        <v>Competitive View</v>
      </c>
      <c r="L714" s="41" t="s">
        <v>145</v>
      </c>
      <c r="M714" s="25" t="str">
        <f>'Ingest Template'!D713</f>
        <v/>
      </c>
      <c r="N714" s="25"/>
      <c r="O714" s="25"/>
      <c r="P714" s="25"/>
      <c r="Q714" s="25"/>
      <c r="R714" s="25" t="str">
        <f>CONCATENATE('Ingest Template'!F713)</f>
        <v/>
      </c>
      <c r="S714" s="43" t="s">
        <v>160</v>
      </c>
      <c r="T714" s="25" t="str">
        <f>'Ingest Template'!W713</f>
        <v/>
      </c>
      <c r="U714" s="25"/>
      <c r="V714" s="25" t="str">
        <f>LOWER(SUBSTITUTE(SUBSTITUTE(SUBSTITUTE(SUBSTITUTE(SUBSTITUTE('Ingest Template'!Y713,"https:",""),"www.",""),"/",""),"?hl=en",""),"instagram.com",""))</f>
        <v/>
      </c>
      <c r="W714" s="34" t="str">
        <f>(IFERROR(vlookup('Ingest Template'!F714,DropDown!D:E,2,false)&amp;'Ingest Template'!C714,""))</f>
        <v/>
      </c>
      <c r="X714" s="25" t="str">
        <f>'Ingest Template'!AA713</f>
        <v/>
      </c>
      <c r="Y714" s="25"/>
      <c r="Z714" s="25"/>
      <c r="AA714" s="25"/>
      <c r="AB714" s="25" t="str">
        <f>'Ingest Template'!T713</f>
        <v/>
      </c>
      <c r="AC714" s="25"/>
      <c r="AD714" s="25" t="str">
        <f>'Ingest Template'!U713</f>
        <v/>
      </c>
      <c r="AE714" s="25" t="str">
        <f>'Ingest Template'!V713</f>
        <v/>
      </c>
      <c r="AF714" s="25"/>
      <c r="AG714" s="25" t="str">
        <f t="array" ref="AG714">IF('Ingest Template'!A713="Standard",(CONCATENATE(IF(ISBLANK('Ingest Template'!O713),"", 'Ingest Template'!O713&amp;"|DAR"),CHAR(10), IF(ISBLANK('Ingest Template'!P713),"", 'Ingest Template'!P713&amp;"|DAR"),CHAR(10), IF(ISBLANK('Ingest Template'!Q713),"", 'Ingest Template'!Q713&amp;"|DAR"))),(CONCATENATE(IF(ISBLANK('Ingest Template'!O713),"", 'Ingest Template'!O713&amp;"|Operations - Core Title"),CHAR(10), IF(ISBLANK('Ingest Template'!P713),"", 'Ingest Template'!P713&amp;"|Operations - Core Title"),CHAR(10), IF(ISBLANK('Ingest Template'!Q713),"", 'Ingest Template'!Q713&amp;"|Operations - Core Title"))))</f>
        <v>#|Operations - Core Title
#videoGame|Operations - Core Title
</v>
      </c>
      <c r="AH714" s="25"/>
      <c r="AI714" s="25"/>
      <c r="AJ714" s="50" t="str">
        <f>if('Ingest Template'!A713="Standard",'Ingest Template'!R713&amp; "|DAR|DAR|2021-01-01",'Ingest Template'!R713&amp; "|Operations - Core Title|Operations - Core Title")</f>
        <v>#N/A</v>
      </c>
      <c r="AK714" s="25"/>
      <c r="AL714" s="25" t="str">
        <f>if('Ingest Template'!A713="Standard",'Ingest Template'!S713&amp; "|2021-01-01",'Ingest Template'!S713)</f>
        <v>#N/A</v>
      </c>
      <c r="AM714" s="25"/>
    </row>
    <row r="715">
      <c r="A715" s="25"/>
      <c r="B715" s="25" t="str">
        <f>'Ingest Template'!C714&amp;IF('Ingest Template'!A714 = "Standard", " - DAR","")</f>
        <v/>
      </c>
      <c r="C715" s="34" t="s">
        <v>92</v>
      </c>
      <c r="D715" s="34" t="str">
        <f>CONCATENATE('Ingest Template'!E715&amp;Char(10)&amp;'Ingest Template'!G715&amp;Char(10)&amp;'Ingest Template'!H715&amp;Char(10)&amp;'Ingest Template'!I715&amp;Char(10)&amp;'Ingest Template'!J715&amp;Char(10)&amp;'Ingest Template'!K715&amp;Char(10)&amp;'Ingest Template'!L715)</f>
        <v>
</v>
      </c>
      <c r="E715" s="25" t="str">
        <f>('Ingest Template'!M715)</f>
        <v/>
      </c>
      <c r="F715" s="40" t="str">
        <f t="array" ref="F715">INDEX(DropDown!$J$2:$J$63,MATCH(1,COUNTIF(E715,DropDown!$I$2:$I$63),0))</f>
        <v>#N/A</v>
      </c>
      <c r="G715" s="25"/>
      <c r="H715" s="25"/>
      <c r="I715" s="25"/>
      <c r="J715" s="25" t="str">
        <f>'Ingest Template'!B715</f>
        <v/>
      </c>
      <c r="K715" s="25" t="str">
        <f>IF('Ingest Template'!A714="Standard",'Ingest Template'!N714,"Competitive View")</f>
        <v>Competitive View</v>
      </c>
      <c r="L715" s="41" t="s">
        <v>145</v>
      </c>
      <c r="M715" s="25" t="str">
        <f>'Ingest Template'!D714</f>
        <v/>
      </c>
      <c r="N715" s="25"/>
      <c r="O715" s="25"/>
      <c r="P715" s="25"/>
      <c r="Q715" s="25"/>
      <c r="R715" s="25" t="str">
        <f>CONCATENATE('Ingest Template'!F714)</f>
        <v/>
      </c>
      <c r="S715" s="43" t="s">
        <v>160</v>
      </c>
      <c r="T715" s="25" t="str">
        <f>'Ingest Template'!W714</f>
        <v/>
      </c>
      <c r="U715" s="25"/>
      <c r="V715" s="25" t="str">
        <f>LOWER(SUBSTITUTE(SUBSTITUTE(SUBSTITUTE(SUBSTITUTE(SUBSTITUTE('Ingest Template'!Y714,"https:",""),"www.",""),"/",""),"?hl=en",""),"instagram.com",""))</f>
        <v/>
      </c>
      <c r="W715" s="34" t="str">
        <f>(IFERROR(vlookup('Ingest Template'!F715,DropDown!D:E,2,false)&amp;'Ingest Template'!C715,""))</f>
        <v/>
      </c>
      <c r="X715" s="25" t="str">
        <f>'Ingest Template'!AA714</f>
        <v/>
      </c>
      <c r="Y715" s="25"/>
      <c r="Z715" s="25"/>
      <c r="AA715" s="25"/>
      <c r="AB715" s="25" t="str">
        <f>'Ingest Template'!T714</f>
        <v/>
      </c>
      <c r="AC715" s="25"/>
      <c r="AD715" s="25" t="str">
        <f>'Ingest Template'!U714</f>
        <v/>
      </c>
      <c r="AE715" s="25" t="str">
        <f>'Ingest Template'!V714</f>
        <v/>
      </c>
      <c r="AF715" s="25"/>
      <c r="AG715" s="25" t="str">
        <f t="array" ref="AG715">IF('Ingest Template'!A714="Standard",(CONCATENATE(IF(ISBLANK('Ingest Template'!O714),"", 'Ingest Template'!O714&amp;"|DAR"),CHAR(10), IF(ISBLANK('Ingest Template'!P714),"", 'Ingest Template'!P714&amp;"|DAR"),CHAR(10), IF(ISBLANK('Ingest Template'!Q714),"", 'Ingest Template'!Q714&amp;"|DAR"))),(CONCATENATE(IF(ISBLANK('Ingest Template'!O714),"", 'Ingest Template'!O714&amp;"|Operations - Core Title"),CHAR(10), IF(ISBLANK('Ingest Template'!P714),"", 'Ingest Template'!P714&amp;"|Operations - Core Title"),CHAR(10), IF(ISBLANK('Ingest Template'!Q714),"", 'Ingest Template'!Q714&amp;"|Operations - Core Title"))))</f>
        <v>#|Operations - Core Title
#videoGame|Operations - Core Title
</v>
      </c>
      <c r="AH715" s="25"/>
      <c r="AI715" s="25"/>
      <c r="AJ715" s="50" t="str">
        <f>if('Ingest Template'!A714="Standard",'Ingest Template'!R714&amp; "|DAR|DAR|2021-01-01",'Ingest Template'!R714&amp; "|Operations - Core Title|Operations - Core Title")</f>
        <v>#N/A</v>
      </c>
      <c r="AK715" s="25"/>
      <c r="AL715" s="25" t="str">
        <f>if('Ingest Template'!A714="Standard",'Ingest Template'!S714&amp; "|2021-01-01",'Ingest Template'!S714)</f>
        <v>#N/A</v>
      </c>
      <c r="AM715" s="25"/>
    </row>
    <row r="716">
      <c r="A716" s="25"/>
      <c r="B716" s="25" t="str">
        <f>'Ingest Template'!C715&amp;IF('Ingest Template'!A715 = "Standard", " - DAR","")</f>
        <v/>
      </c>
      <c r="C716" s="34" t="s">
        <v>92</v>
      </c>
      <c r="D716" s="34" t="str">
        <f>CONCATENATE('Ingest Template'!E716&amp;Char(10)&amp;'Ingest Template'!G716&amp;Char(10)&amp;'Ingest Template'!H716&amp;Char(10)&amp;'Ingest Template'!I716&amp;Char(10)&amp;'Ingest Template'!J716&amp;Char(10)&amp;'Ingest Template'!K716&amp;Char(10)&amp;'Ingest Template'!L716)</f>
        <v>
</v>
      </c>
      <c r="E716" s="25" t="str">
        <f>('Ingest Template'!M716)</f>
        <v/>
      </c>
      <c r="F716" s="40" t="str">
        <f t="array" ref="F716">INDEX(DropDown!$J$2:$J$63,MATCH(1,COUNTIF(E716,DropDown!$I$2:$I$63),0))</f>
        <v>#N/A</v>
      </c>
      <c r="G716" s="25"/>
      <c r="H716" s="25"/>
      <c r="I716" s="25"/>
      <c r="J716" s="25" t="str">
        <f>'Ingest Template'!B716</f>
        <v/>
      </c>
      <c r="K716" s="25" t="str">
        <f>IF('Ingest Template'!A715="Standard",'Ingest Template'!N715,"Competitive View")</f>
        <v>Competitive View</v>
      </c>
      <c r="L716" s="41" t="s">
        <v>145</v>
      </c>
      <c r="M716" s="25" t="str">
        <f>'Ingest Template'!D715</f>
        <v/>
      </c>
      <c r="N716" s="25"/>
      <c r="O716" s="25"/>
      <c r="P716" s="25"/>
      <c r="Q716" s="25"/>
      <c r="R716" s="25" t="str">
        <f>CONCATENATE('Ingest Template'!F715)</f>
        <v/>
      </c>
      <c r="S716" s="43" t="s">
        <v>160</v>
      </c>
      <c r="T716" s="25" t="str">
        <f>'Ingest Template'!W715</f>
        <v/>
      </c>
      <c r="U716" s="25"/>
      <c r="V716" s="25" t="str">
        <f>LOWER(SUBSTITUTE(SUBSTITUTE(SUBSTITUTE(SUBSTITUTE(SUBSTITUTE('Ingest Template'!Y715,"https:",""),"www.",""),"/",""),"?hl=en",""),"instagram.com",""))</f>
        <v/>
      </c>
      <c r="W716" s="34" t="str">
        <f>(IFERROR(vlookup('Ingest Template'!F716,DropDown!D:E,2,false)&amp;'Ingest Template'!C716,""))</f>
        <v/>
      </c>
      <c r="X716" s="25" t="str">
        <f>'Ingest Template'!AA715</f>
        <v/>
      </c>
      <c r="Y716" s="25"/>
      <c r="Z716" s="25"/>
      <c r="AA716" s="25"/>
      <c r="AB716" s="25" t="str">
        <f>'Ingest Template'!T715</f>
        <v/>
      </c>
      <c r="AC716" s="25"/>
      <c r="AD716" s="25" t="str">
        <f>'Ingest Template'!U715</f>
        <v/>
      </c>
      <c r="AE716" s="25" t="str">
        <f>'Ingest Template'!V715</f>
        <v/>
      </c>
      <c r="AF716" s="25"/>
      <c r="AG716" s="25" t="str">
        <f t="array" ref="AG716">IF('Ingest Template'!A715="Standard",(CONCATENATE(IF(ISBLANK('Ingest Template'!O715),"", 'Ingest Template'!O715&amp;"|DAR"),CHAR(10), IF(ISBLANK('Ingest Template'!P715),"", 'Ingest Template'!P715&amp;"|DAR"),CHAR(10), IF(ISBLANK('Ingest Template'!Q715),"", 'Ingest Template'!Q715&amp;"|DAR"))),(CONCATENATE(IF(ISBLANK('Ingest Template'!O715),"", 'Ingest Template'!O715&amp;"|Operations - Core Title"),CHAR(10), IF(ISBLANK('Ingest Template'!P715),"", 'Ingest Template'!P715&amp;"|Operations - Core Title"),CHAR(10), IF(ISBLANK('Ingest Template'!Q715),"", 'Ingest Template'!Q715&amp;"|Operations - Core Title"))))</f>
        <v>#|Operations - Core Title
#videoGame|Operations - Core Title
</v>
      </c>
      <c r="AH716" s="25"/>
      <c r="AI716" s="25"/>
      <c r="AJ716" s="50" t="str">
        <f>if('Ingest Template'!A715="Standard",'Ingest Template'!R715&amp; "|DAR|DAR|2021-01-01",'Ingest Template'!R715&amp; "|Operations - Core Title|Operations - Core Title")</f>
        <v>#N/A</v>
      </c>
      <c r="AK716" s="25"/>
      <c r="AL716" s="25" t="str">
        <f>if('Ingest Template'!A715="Standard",'Ingest Template'!S715&amp; "|2021-01-01",'Ingest Template'!S715)</f>
        <v>#N/A</v>
      </c>
      <c r="AM716" s="25"/>
    </row>
    <row r="717">
      <c r="A717" s="25"/>
      <c r="B717" s="25" t="str">
        <f>'Ingest Template'!C716&amp;IF('Ingest Template'!A716 = "Standard", " - DAR","")</f>
        <v/>
      </c>
      <c r="C717" s="34" t="s">
        <v>92</v>
      </c>
      <c r="D717" s="34" t="str">
        <f>CONCATENATE('Ingest Template'!E717&amp;Char(10)&amp;'Ingest Template'!G717&amp;Char(10)&amp;'Ingest Template'!H717&amp;Char(10)&amp;'Ingest Template'!I717&amp;Char(10)&amp;'Ingest Template'!J717&amp;Char(10)&amp;'Ingest Template'!K717&amp;Char(10)&amp;'Ingest Template'!L717)</f>
        <v>
</v>
      </c>
      <c r="E717" s="25" t="str">
        <f>('Ingest Template'!M717)</f>
        <v/>
      </c>
      <c r="F717" s="40" t="str">
        <f t="array" ref="F717">INDEX(DropDown!$J$2:$J$63,MATCH(1,COUNTIF(E717,DropDown!$I$2:$I$63),0))</f>
        <v>#N/A</v>
      </c>
      <c r="G717" s="25"/>
      <c r="H717" s="25"/>
      <c r="I717" s="25"/>
      <c r="J717" s="25" t="str">
        <f>'Ingest Template'!B717</f>
        <v/>
      </c>
      <c r="K717" s="25" t="str">
        <f>IF('Ingest Template'!A716="Standard",'Ingest Template'!N716,"Competitive View")</f>
        <v>Competitive View</v>
      </c>
      <c r="L717" s="41" t="s">
        <v>145</v>
      </c>
      <c r="M717" s="25" t="str">
        <f>'Ingest Template'!D716</f>
        <v/>
      </c>
      <c r="N717" s="25"/>
      <c r="O717" s="25"/>
      <c r="P717" s="25"/>
      <c r="Q717" s="25"/>
      <c r="R717" s="25" t="str">
        <f>CONCATENATE('Ingest Template'!F716)</f>
        <v/>
      </c>
      <c r="S717" s="43" t="s">
        <v>160</v>
      </c>
      <c r="T717" s="25" t="str">
        <f>'Ingest Template'!W716</f>
        <v/>
      </c>
      <c r="U717" s="25"/>
      <c r="V717" s="25" t="str">
        <f>LOWER(SUBSTITUTE(SUBSTITUTE(SUBSTITUTE(SUBSTITUTE(SUBSTITUTE('Ingest Template'!Y716,"https:",""),"www.",""),"/",""),"?hl=en",""),"instagram.com",""))</f>
        <v/>
      </c>
      <c r="W717" s="34" t="str">
        <f>(IFERROR(vlookup('Ingest Template'!F717,DropDown!D:E,2,false)&amp;'Ingest Template'!C717,""))</f>
        <v/>
      </c>
      <c r="X717" s="25" t="str">
        <f>'Ingest Template'!AA716</f>
        <v/>
      </c>
      <c r="Y717" s="25"/>
      <c r="Z717" s="25"/>
      <c r="AA717" s="25"/>
      <c r="AB717" s="25" t="str">
        <f>'Ingest Template'!T716</f>
        <v/>
      </c>
      <c r="AC717" s="25"/>
      <c r="AD717" s="25" t="str">
        <f>'Ingest Template'!U716</f>
        <v/>
      </c>
      <c r="AE717" s="25" t="str">
        <f>'Ingest Template'!V716</f>
        <v/>
      </c>
      <c r="AF717" s="25"/>
      <c r="AG717" s="25" t="str">
        <f t="array" ref="AG717">IF('Ingest Template'!A716="Standard",(CONCATENATE(IF(ISBLANK('Ingest Template'!O716),"", 'Ingest Template'!O716&amp;"|DAR"),CHAR(10), IF(ISBLANK('Ingest Template'!P716),"", 'Ingest Template'!P716&amp;"|DAR"),CHAR(10), IF(ISBLANK('Ingest Template'!Q716),"", 'Ingest Template'!Q716&amp;"|DAR"))),(CONCATENATE(IF(ISBLANK('Ingest Template'!O716),"", 'Ingest Template'!O716&amp;"|Operations - Core Title"),CHAR(10), IF(ISBLANK('Ingest Template'!P716),"", 'Ingest Template'!P716&amp;"|Operations - Core Title"),CHAR(10), IF(ISBLANK('Ingest Template'!Q716),"", 'Ingest Template'!Q716&amp;"|Operations - Core Title"))))</f>
        <v>#|Operations - Core Title
#videoGame|Operations - Core Title
</v>
      </c>
      <c r="AH717" s="25"/>
      <c r="AI717" s="25"/>
      <c r="AJ717" s="50" t="str">
        <f>if('Ingest Template'!A716="Standard",'Ingest Template'!R716&amp; "|DAR|DAR|2021-01-01",'Ingest Template'!R716&amp; "|Operations - Core Title|Operations - Core Title")</f>
        <v>#N/A</v>
      </c>
      <c r="AK717" s="25"/>
      <c r="AL717" s="25" t="str">
        <f>if('Ingest Template'!A716="Standard",'Ingest Template'!S716&amp; "|2021-01-01",'Ingest Template'!S716)</f>
        <v>#N/A</v>
      </c>
      <c r="AM717" s="25"/>
    </row>
    <row r="718">
      <c r="A718" s="25"/>
      <c r="B718" s="25" t="str">
        <f>'Ingest Template'!C717&amp;IF('Ingest Template'!A717 = "Standard", " - DAR","")</f>
        <v/>
      </c>
      <c r="C718" s="34" t="s">
        <v>92</v>
      </c>
      <c r="D718" s="34" t="str">
        <f>CONCATENATE('Ingest Template'!E718&amp;Char(10)&amp;'Ingest Template'!G718&amp;Char(10)&amp;'Ingest Template'!H718&amp;Char(10)&amp;'Ingest Template'!I718&amp;Char(10)&amp;'Ingest Template'!J718&amp;Char(10)&amp;'Ingest Template'!K718&amp;Char(10)&amp;'Ingest Template'!L718)</f>
        <v>
</v>
      </c>
      <c r="E718" s="25" t="str">
        <f>('Ingest Template'!M718)</f>
        <v/>
      </c>
      <c r="F718" s="40" t="str">
        <f t="array" ref="F718">INDEX(DropDown!$J$2:$J$63,MATCH(1,COUNTIF(E718,DropDown!$I$2:$I$63),0))</f>
        <v>#N/A</v>
      </c>
      <c r="G718" s="25"/>
      <c r="H718" s="25"/>
      <c r="I718" s="25"/>
      <c r="J718" s="25" t="str">
        <f>'Ingest Template'!B718</f>
        <v/>
      </c>
      <c r="K718" s="25" t="str">
        <f>IF('Ingest Template'!A717="Standard",'Ingest Template'!N717,"Competitive View")</f>
        <v>Competitive View</v>
      </c>
      <c r="L718" s="41" t="s">
        <v>145</v>
      </c>
      <c r="M718" s="25" t="str">
        <f>'Ingest Template'!D717</f>
        <v/>
      </c>
      <c r="N718" s="25"/>
      <c r="O718" s="25"/>
      <c r="P718" s="25"/>
      <c r="Q718" s="25"/>
      <c r="R718" s="25" t="str">
        <f>CONCATENATE('Ingest Template'!F717)</f>
        <v/>
      </c>
      <c r="S718" s="43" t="s">
        <v>160</v>
      </c>
      <c r="T718" s="25" t="str">
        <f>'Ingest Template'!W717</f>
        <v/>
      </c>
      <c r="U718" s="25"/>
      <c r="V718" s="25" t="str">
        <f>LOWER(SUBSTITUTE(SUBSTITUTE(SUBSTITUTE(SUBSTITUTE(SUBSTITUTE('Ingest Template'!Y717,"https:",""),"www.",""),"/",""),"?hl=en",""),"instagram.com",""))</f>
        <v/>
      </c>
      <c r="W718" s="34" t="str">
        <f>(IFERROR(vlookup('Ingest Template'!F718,DropDown!D:E,2,false)&amp;'Ingest Template'!C718,""))</f>
        <v/>
      </c>
      <c r="X718" s="25" t="str">
        <f>'Ingest Template'!AA717</f>
        <v/>
      </c>
      <c r="Y718" s="25"/>
      <c r="Z718" s="25"/>
      <c r="AA718" s="25"/>
      <c r="AB718" s="25" t="str">
        <f>'Ingest Template'!T717</f>
        <v/>
      </c>
      <c r="AC718" s="25"/>
      <c r="AD718" s="25" t="str">
        <f>'Ingest Template'!U717</f>
        <v/>
      </c>
      <c r="AE718" s="25" t="str">
        <f>'Ingest Template'!V717</f>
        <v/>
      </c>
      <c r="AF718" s="25"/>
      <c r="AG718" s="25" t="str">
        <f t="array" ref="AG718">IF('Ingest Template'!A717="Standard",(CONCATENATE(IF(ISBLANK('Ingest Template'!O717),"", 'Ingest Template'!O717&amp;"|DAR"),CHAR(10), IF(ISBLANK('Ingest Template'!P717),"", 'Ingest Template'!P717&amp;"|DAR"),CHAR(10), IF(ISBLANK('Ingest Template'!Q717),"", 'Ingest Template'!Q717&amp;"|DAR"))),(CONCATENATE(IF(ISBLANK('Ingest Template'!O717),"", 'Ingest Template'!O717&amp;"|Operations - Core Title"),CHAR(10), IF(ISBLANK('Ingest Template'!P717),"", 'Ingest Template'!P717&amp;"|Operations - Core Title"),CHAR(10), IF(ISBLANK('Ingest Template'!Q717),"", 'Ingest Template'!Q717&amp;"|Operations - Core Title"))))</f>
        <v>#|Operations - Core Title
#videoGame|Operations - Core Title
</v>
      </c>
      <c r="AH718" s="25"/>
      <c r="AI718" s="25"/>
      <c r="AJ718" s="50" t="str">
        <f>if('Ingest Template'!A717="Standard",'Ingest Template'!R717&amp; "|DAR|DAR|2021-01-01",'Ingest Template'!R717&amp; "|Operations - Core Title|Operations - Core Title")</f>
        <v>#N/A</v>
      </c>
      <c r="AK718" s="25"/>
      <c r="AL718" s="25" t="str">
        <f>if('Ingest Template'!A717="Standard",'Ingest Template'!S717&amp; "|2021-01-01",'Ingest Template'!S717)</f>
        <v>#N/A</v>
      </c>
      <c r="AM718" s="25"/>
    </row>
    <row r="719">
      <c r="A719" s="25"/>
      <c r="B719" s="25" t="str">
        <f>'Ingest Template'!C718&amp;IF('Ingest Template'!A718 = "Standard", " - DAR","")</f>
        <v/>
      </c>
      <c r="C719" s="34" t="s">
        <v>92</v>
      </c>
      <c r="D719" s="34" t="str">
        <f>CONCATENATE('Ingest Template'!E719&amp;Char(10)&amp;'Ingest Template'!G719&amp;Char(10)&amp;'Ingest Template'!H719&amp;Char(10)&amp;'Ingest Template'!I719&amp;Char(10)&amp;'Ingest Template'!J719&amp;Char(10)&amp;'Ingest Template'!K719&amp;Char(10)&amp;'Ingest Template'!L719)</f>
        <v>
</v>
      </c>
      <c r="E719" s="25" t="str">
        <f>('Ingest Template'!M719)</f>
        <v/>
      </c>
      <c r="F719" s="40" t="str">
        <f t="array" ref="F719">INDEX(DropDown!$J$2:$J$63,MATCH(1,COUNTIF(E719,DropDown!$I$2:$I$63),0))</f>
        <v>#N/A</v>
      </c>
      <c r="G719" s="25"/>
      <c r="H719" s="25"/>
      <c r="I719" s="25"/>
      <c r="J719" s="25" t="str">
        <f>'Ingest Template'!B719</f>
        <v/>
      </c>
      <c r="K719" s="25" t="str">
        <f>IF('Ingest Template'!A718="Standard",'Ingest Template'!N718,"Competitive View")</f>
        <v>Competitive View</v>
      </c>
      <c r="L719" s="41" t="s">
        <v>145</v>
      </c>
      <c r="M719" s="25" t="str">
        <f>'Ingest Template'!D718</f>
        <v/>
      </c>
      <c r="N719" s="25"/>
      <c r="O719" s="25"/>
      <c r="P719" s="25"/>
      <c r="Q719" s="25"/>
      <c r="R719" s="25" t="str">
        <f>CONCATENATE('Ingest Template'!F718)</f>
        <v/>
      </c>
      <c r="S719" s="43" t="s">
        <v>160</v>
      </c>
      <c r="T719" s="25" t="str">
        <f>'Ingest Template'!W718</f>
        <v/>
      </c>
      <c r="U719" s="25"/>
      <c r="V719" s="25" t="str">
        <f>LOWER(SUBSTITUTE(SUBSTITUTE(SUBSTITUTE(SUBSTITUTE(SUBSTITUTE('Ingest Template'!Y718,"https:",""),"www.",""),"/",""),"?hl=en",""),"instagram.com",""))</f>
        <v/>
      </c>
      <c r="W719" s="34" t="str">
        <f>(IFERROR(vlookup('Ingest Template'!F719,DropDown!D:E,2,false)&amp;'Ingest Template'!C719,""))</f>
        <v/>
      </c>
      <c r="X719" s="25" t="str">
        <f>'Ingest Template'!AA718</f>
        <v/>
      </c>
      <c r="Y719" s="25"/>
      <c r="Z719" s="25"/>
      <c r="AA719" s="25"/>
      <c r="AB719" s="25" t="str">
        <f>'Ingest Template'!T718</f>
        <v/>
      </c>
      <c r="AC719" s="25"/>
      <c r="AD719" s="25" t="str">
        <f>'Ingest Template'!U718</f>
        <v/>
      </c>
      <c r="AE719" s="25" t="str">
        <f>'Ingest Template'!V718</f>
        <v/>
      </c>
      <c r="AF719" s="25"/>
      <c r="AG719" s="25" t="str">
        <f t="array" ref="AG719">IF('Ingest Template'!A718="Standard",(CONCATENATE(IF(ISBLANK('Ingest Template'!O718),"", 'Ingest Template'!O718&amp;"|DAR"),CHAR(10), IF(ISBLANK('Ingest Template'!P718),"", 'Ingest Template'!P718&amp;"|DAR"),CHAR(10), IF(ISBLANK('Ingest Template'!Q718),"", 'Ingest Template'!Q718&amp;"|DAR"))),(CONCATENATE(IF(ISBLANK('Ingest Template'!O718),"", 'Ingest Template'!O718&amp;"|Operations - Core Title"),CHAR(10), IF(ISBLANK('Ingest Template'!P718),"", 'Ingest Template'!P718&amp;"|Operations - Core Title"),CHAR(10), IF(ISBLANK('Ingest Template'!Q718),"", 'Ingest Template'!Q718&amp;"|Operations - Core Title"))))</f>
        <v>#|Operations - Core Title
#videoGame|Operations - Core Title
</v>
      </c>
      <c r="AH719" s="25"/>
      <c r="AI719" s="25"/>
      <c r="AJ719" s="50" t="str">
        <f>if('Ingest Template'!A718="Standard",'Ingest Template'!R718&amp; "|DAR|DAR|2021-01-01",'Ingest Template'!R718&amp; "|Operations - Core Title|Operations - Core Title")</f>
        <v>#N/A</v>
      </c>
      <c r="AK719" s="25"/>
      <c r="AL719" s="25" t="str">
        <f>if('Ingest Template'!A718="Standard",'Ingest Template'!S718&amp; "|2021-01-01",'Ingest Template'!S718)</f>
        <v>#N/A</v>
      </c>
      <c r="AM719" s="25"/>
    </row>
    <row r="720">
      <c r="A720" s="25"/>
      <c r="B720" s="25" t="str">
        <f>'Ingest Template'!C719&amp;IF('Ingest Template'!A719 = "Standard", " - DAR","")</f>
        <v/>
      </c>
      <c r="C720" s="34" t="s">
        <v>92</v>
      </c>
      <c r="D720" s="34" t="str">
        <f>CONCATENATE('Ingest Template'!E720&amp;Char(10)&amp;'Ingest Template'!G720&amp;Char(10)&amp;'Ingest Template'!H720&amp;Char(10)&amp;'Ingest Template'!I720&amp;Char(10)&amp;'Ingest Template'!J720&amp;Char(10)&amp;'Ingest Template'!K720&amp;Char(10)&amp;'Ingest Template'!L720)</f>
        <v>
</v>
      </c>
      <c r="E720" s="25" t="str">
        <f>('Ingest Template'!M720)</f>
        <v/>
      </c>
      <c r="F720" s="40" t="str">
        <f t="array" ref="F720">INDEX(DropDown!$J$2:$J$63,MATCH(1,COUNTIF(E720,DropDown!$I$2:$I$63),0))</f>
        <v>#N/A</v>
      </c>
      <c r="G720" s="25"/>
      <c r="H720" s="25"/>
      <c r="I720" s="25"/>
      <c r="J720" s="25" t="str">
        <f>'Ingest Template'!B720</f>
        <v/>
      </c>
      <c r="K720" s="25" t="str">
        <f>IF('Ingest Template'!A719="Standard",'Ingest Template'!N719,"Competitive View")</f>
        <v>Competitive View</v>
      </c>
      <c r="L720" s="41" t="s">
        <v>145</v>
      </c>
      <c r="M720" s="25" t="str">
        <f>'Ingest Template'!D719</f>
        <v/>
      </c>
      <c r="N720" s="25"/>
      <c r="O720" s="25"/>
      <c r="P720" s="25"/>
      <c r="Q720" s="25"/>
      <c r="R720" s="25" t="str">
        <f>CONCATENATE('Ingest Template'!F719)</f>
        <v/>
      </c>
      <c r="S720" s="43" t="s">
        <v>160</v>
      </c>
      <c r="T720" s="25" t="str">
        <f>'Ingest Template'!W719</f>
        <v/>
      </c>
      <c r="U720" s="25"/>
      <c r="V720" s="25" t="str">
        <f>LOWER(SUBSTITUTE(SUBSTITUTE(SUBSTITUTE(SUBSTITUTE(SUBSTITUTE('Ingest Template'!Y719,"https:",""),"www.",""),"/",""),"?hl=en",""),"instagram.com",""))</f>
        <v/>
      </c>
      <c r="W720" s="34" t="str">
        <f>(IFERROR(vlookup('Ingest Template'!F720,DropDown!D:E,2,false)&amp;'Ingest Template'!C720,""))</f>
        <v/>
      </c>
      <c r="X720" s="25" t="str">
        <f>'Ingest Template'!AA719</f>
        <v/>
      </c>
      <c r="Y720" s="25"/>
      <c r="Z720" s="25"/>
      <c r="AA720" s="25"/>
      <c r="AB720" s="25" t="str">
        <f>'Ingest Template'!T719</f>
        <v/>
      </c>
      <c r="AC720" s="25"/>
      <c r="AD720" s="25" t="str">
        <f>'Ingest Template'!U719</f>
        <v/>
      </c>
      <c r="AE720" s="25" t="str">
        <f>'Ingest Template'!V719</f>
        <v/>
      </c>
      <c r="AF720" s="25"/>
      <c r="AG720" s="25" t="str">
        <f t="array" ref="AG720">IF('Ingest Template'!A719="Standard",(CONCATENATE(IF(ISBLANK('Ingest Template'!O719),"", 'Ingest Template'!O719&amp;"|DAR"),CHAR(10), IF(ISBLANK('Ingest Template'!P719),"", 'Ingest Template'!P719&amp;"|DAR"),CHAR(10), IF(ISBLANK('Ingest Template'!Q719),"", 'Ingest Template'!Q719&amp;"|DAR"))),(CONCATENATE(IF(ISBLANK('Ingest Template'!O719),"", 'Ingest Template'!O719&amp;"|Operations - Core Title"),CHAR(10), IF(ISBLANK('Ingest Template'!P719),"", 'Ingest Template'!P719&amp;"|Operations - Core Title"),CHAR(10), IF(ISBLANK('Ingest Template'!Q719),"", 'Ingest Template'!Q719&amp;"|Operations - Core Title"))))</f>
        <v>#|Operations - Core Title
#videoGame|Operations - Core Title
</v>
      </c>
      <c r="AH720" s="25"/>
      <c r="AI720" s="25"/>
      <c r="AJ720" s="50" t="str">
        <f>if('Ingest Template'!A719="Standard",'Ingest Template'!R719&amp; "|DAR|DAR|2021-01-01",'Ingest Template'!R719&amp; "|Operations - Core Title|Operations - Core Title")</f>
        <v>#N/A</v>
      </c>
      <c r="AK720" s="25"/>
      <c r="AL720" s="25" t="str">
        <f>if('Ingest Template'!A719="Standard",'Ingest Template'!S719&amp; "|2021-01-01",'Ingest Template'!S719)</f>
        <v>#N/A</v>
      </c>
      <c r="AM720" s="25"/>
    </row>
    <row r="721">
      <c r="A721" s="25"/>
      <c r="B721" s="25" t="str">
        <f>'Ingest Template'!C720&amp;IF('Ingest Template'!A720 = "Standard", " - DAR","")</f>
        <v/>
      </c>
      <c r="C721" s="34" t="s">
        <v>92</v>
      </c>
      <c r="D721" s="34" t="str">
        <f>CONCATENATE('Ingest Template'!E721&amp;Char(10)&amp;'Ingest Template'!G721&amp;Char(10)&amp;'Ingest Template'!H721&amp;Char(10)&amp;'Ingest Template'!I721&amp;Char(10)&amp;'Ingest Template'!J721&amp;Char(10)&amp;'Ingest Template'!K721&amp;Char(10)&amp;'Ingest Template'!L721)</f>
        <v>
</v>
      </c>
      <c r="E721" s="25" t="str">
        <f>('Ingest Template'!M721)</f>
        <v/>
      </c>
      <c r="F721" s="40" t="str">
        <f t="array" ref="F721">INDEX(DropDown!$J$2:$J$63,MATCH(1,COUNTIF(E721,DropDown!$I$2:$I$63),0))</f>
        <v>#N/A</v>
      </c>
      <c r="G721" s="25"/>
      <c r="H721" s="25"/>
      <c r="I721" s="25"/>
      <c r="J721" s="25" t="str">
        <f>'Ingest Template'!B721</f>
        <v/>
      </c>
      <c r="K721" s="25" t="str">
        <f>IF('Ingest Template'!A720="Standard",'Ingest Template'!N720,"Competitive View")</f>
        <v>Competitive View</v>
      </c>
      <c r="L721" s="41" t="s">
        <v>145</v>
      </c>
      <c r="M721" s="25" t="str">
        <f>'Ingest Template'!D720</f>
        <v/>
      </c>
      <c r="N721" s="25"/>
      <c r="O721" s="25"/>
      <c r="P721" s="25"/>
      <c r="Q721" s="25"/>
      <c r="R721" s="25" t="str">
        <f>CONCATENATE('Ingest Template'!F720)</f>
        <v/>
      </c>
      <c r="S721" s="43" t="s">
        <v>160</v>
      </c>
      <c r="T721" s="25" t="str">
        <f>'Ingest Template'!W720</f>
        <v/>
      </c>
      <c r="U721" s="25"/>
      <c r="V721" s="25" t="str">
        <f>LOWER(SUBSTITUTE(SUBSTITUTE(SUBSTITUTE(SUBSTITUTE(SUBSTITUTE('Ingest Template'!Y720,"https:",""),"www.",""),"/",""),"?hl=en",""),"instagram.com",""))</f>
        <v/>
      </c>
      <c r="W721" s="34" t="str">
        <f>(IFERROR(vlookup('Ingest Template'!F721,DropDown!D:E,2,false)&amp;'Ingest Template'!C721,""))</f>
        <v/>
      </c>
      <c r="X721" s="25" t="str">
        <f>'Ingest Template'!AA720</f>
        <v/>
      </c>
      <c r="Y721" s="25"/>
      <c r="Z721" s="25"/>
      <c r="AA721" s="25"/>
      <c r="AB721" s="25" t="str">
        <f>'Ingest Template'!T720</f>
        <v/>
      </c>
      <c r="AC721" s="25"/>
      <c r="AD721" s="25" t="str">
        <f>'Ingest Template'!U720</f>
        <v/>
      </c>
      <c r="AE721" s="25" t="str">
        <f>'Ingest Template'!V720</f>
        <v/>
      </c>
      <c r="AF721" s="25"/>
      <c r="AG721" s="25" t="str">
        <f t="array" ref="AG721">IF('Ingest Template'!A720="Standard",(CONCATENATE(IF(ISBLANK('Ingest Template'!O720),"", 'Ingest Template'!O720&amp;"|DAR"),CHAR(10), IF(ISBLANK('Ingest Template'!P720),"", 'Ingest Template'!P720&amp;"|DAR"),CHAR(10), IF(ISBLANK('Ingest Template'!Q720),"", 'Ingest Template'!Q720&amp;"|DAR"))),(CONCATENATE(IF(ISBLANK('Ingest Template'!O720),"", 'Ingest Template'!O720&amp;"|Operations - Core Title"),CHAR(10), IF(ISBLANK('Ingest Template'!P720),"", 'Ingest Template'!P720&amp;"|Operations - Core Title"),CHAR(10), IF(ISBLANK('Ingest Template'!Q720),"", 'Ingest Template'!Q720&amp;"|Operations - Core Title"))))</f>
        <v>#|Operations - Core Title
#videoGame|Operations - Core Title
</v>
      </c>
      <c r="AH721" s="25"/>
      <c r="AI721" s="25"/>
      <c r="AJ721" s="50" t="str">
        <f>if('Ingest Template'!A720="Standard",'Ingest Template'!R720&amp; "|DAR|DAR|2021-01-01",'Ingest Template'!R720&amp; "|Operations - Core Title|Operations - Core Title")</f>
        <v>#N/A</v>
      </c>
      <c r="AK721" s="25"/>
      <c r="AL721" s="25" t="str">
        <f>if('Ingest Template'!A720="Standard",'Ingest Template'!S720&amp; "|2021-01-01",'Ingest Template'!S720)</f>
        <v>#N/A</v>
      </c>
      <c r="AM721" s="25"/>
    </row>
    <row r="722">
      <c r="A722" s="25"/>
      <c r="B722" s="25" t="str">
        <f>'Ingest Template'!C721&amp;IF('Ingest Template'!A721 = "Standard", " - DAR","")</f>
        <v/>
      </c>
      <c r="C722" s="34" t="s">
        <v>92</v>
      </c>
      <c r="D722" s="34" t="str">
        <f>CONCATENATE('Ingest Template'!E722&amp;Char(10)&amp;'Ingest Template'!G722&amp;Char(10)&amp;'Ingest Template'!H722&amp;Char(10)&amp;'Ingest Template'!I722&amp;Char(10)&amp;'Ingest Template'!J722&amp;Char(10)&amp;'Ingest Template'!K722&amp;Char(10)&amp;'Ingest Template'!L722)</f>
        <v>
</v>
      </c>
      <c r="E722" s="25" t="str">
        <f>('Ingest Template'!M722)</f>
        <v/>
      </c>
      <c r="F722" s="40" t="str">
        <f t="array" ref="F722">INDEX(DropDown!$J$2:$J$63,MATCH(1,COUNTIF(E722,DropDown!$I$2:$I$63),0))</f>
        <v>#N/A</v>
      </c>
      <c r="G722" s="25"/>
      <c r="H722" s="25"/>
      <c r="I722" s="25"/>
      <c r="J722" s="25" t="str">
        <f>'Ingest Template'!B722</f>
        <v/>
      </c>
      <c r="K722" s="25" t="str">
        <f>IF('Ingest Template'!A721="Standard",'Ingest Template'!N721,"Competitive View")</f>
        <v>Competitive View</v>
      </c>
      <c r="L722" s="41" t="s">
        <v>145</v>
      </c>
      <c r="M722" s="25" t="str">
        <f>'Ingest Template'!D721</f>
        <v/>
      </c>
      <c r="N722" s="25"/>
      <c r="O722" s="25"/>
      <c r="P722" s="25"/>
      <c r="Q722" s="25"/>
      <c r="R722" s="25" t="str">
        <f>CONCATENATE('Ingest Template'!F721)</f>
        <v/>
      </c>
      <c r="S722" s="43" t="s">
        <v>160</v>
      </c>
      <c r="T722" s="25" t="str">
        <f>'Ingest Template'!W721</f>
        <v/>
      </c>
      <c r="U722" s="25"/>
      <c r="V722" s="25" t="str">
        <f>LOWER(SUBSTITUTE(SUBSTITUTE(SUBSTITUTE(SUBSTITUTE(SUBSTITUTE('Ingest Template'!Y721,"https:",""),"www.",""),"/",""),"?hl=en",""),"instagram.com",""))</f>
        <v/>
      </c>
      <c r="W722" s="34" t="str">
        <f>(IFERROR(vlookup('Ingest Template'!F722,DropDown!D:E,2,false)&amp;'Ingest Template'!C722,""))</f>
        <v/>
      </c>
      <c r="X722" s="25" t="str">
        <f>'Ingest Template'!AA721</f>
        <v/>
      </c>
      <c r="Y722" s="25"/>
      <c r="Z722" s="25"/>
      <c r="AA722" s="25"/>
      <c r="AB722" s="25" t="str">
        <f>'Ingest Template'!T721</f>
        <v/>
      </c>
      <c r="AC722" s="25"/>
      <c r="AD722" s="25" t="str">
        <f>'Ingest Template'!U721</f>
        <v/>
      </c>
      <c r="AE722" s="25" t="str">
        <f>'Ingest Template'!V721</f>
        <v/>
      </c>
      <c r="AF722" s="25"/>
      <c r="AG722" s="25" t="str">
        <f t="array" ref="AG722">IF('Ingest Template'!A721="Standard",(CONCATENATE(IF(ISBLANK('Ingest Template'!O721),"", 'Ingest Template'!O721&amp;"|DAR"),CHAR(10), IF(ISBLANK('Ingest Template'!P721),"", 'Ingest Template'!P721&amp;"|DAR"),CHAR(10), IF(ISBLANK('Ingest Template'!Q721),"", 'Ingest Template'!Q721&amp;"|DAR"))),(CONCATENATE(IF(ISBLANK('Ingest Template'!O721),"", 'Ingest Template'!O721&amp;"|Operations - Core Title"),CHAR(10), IF(ISBLANK('Ingest Template'!P721),"", 'Ingest Template'!P721&amp;"|Operations - Core Title"),CHAR(10), IF(ISBLANK('Ingest Template'!Q721),"", 'Ingest Template'!Q721&amp;"|Operations - Core Title"))))</f>
        <v>#|Operations - Core Title
#videoGame|Operations - Core Title
</v>
      </c>
      <c r="AH722" s="25"/>
      <c r="AI722" s="25"/>
      <c r="AJ722" s="50" t="str">
        <f>if('Ingest Template'!A721="Standard",'Ingest Template'!R721&amp; "|DAR|DAR|2021-01-01",'Ingest Template'!R721&amp; "|Operations - Core Title|Operations - Core Title")</f>
        <v>#N/A</v>
      </c>
      <c r="AK722" s="25"/>
      <c r="AL722" s="25" t="str">
        <f>if('Ingest Template'!A721="Standard",'Ingest Template'!S721&amp; "|2021-01-01",'Ingest Template'!S721)</f>
        <v>#N/A</v>
      </c>
      <c r="AM722" s="25"/>
    </row>
    <row r="723">
      <c r="A723" s="25"/>
      <c r="B723" s="25" t="str">
        <f>'Ingest Template'!C722&amp;IF('Ingest Template'!A722 = "Standard", " - DAR","")</f>
        <v/>
      </c>
      <c r="C723" s="34" t="s">
        <v>92</v>
      </c>
      <c r="D723" s="34" t="str">
        <f>CONCATENATE('Ingest Template'!E723&amp;Char(10)&amp;'Ingest Template'!G723&amp;Char(10)&amp;'Ingest Template'!H723&amp;Char(10)&amp;'Ingest Template'!I723&amp;Char(10)&amp;'Ingest Template'!J723&amp;Char(10)&amp;'Ingest Template'!K723&amp;Char(10)&amp;'Ingest Template'!L723)</f>
        <v>
</v>
      </c>
      <c r="E723" s="25" t="str">
        <f>('Ingest Template'!M723)</f>
        <v/>
      </c>
      <c r="F723" s="40" t="str">
        <f t="array" ref="F723">INDEX(DropDown!$J$2:$J$63,MATCH(1,COUNTIF(E723,DropDown!$I$2:$I$63),0))</f>
        <v>#N/A</v>
      </c>
      <c r="G723" s="25"/>
      <c r="H723" s="25"/>
      <c r="I723" s="25"/>
      <c r="J723" s="25" t="str">
        <f>'Ingest Template'!B723</f>
        <v/>
      </c>
      <c r="K723" s="25" t="str">
        <f>IF('Ingest Template'!A722="Standard",'Ingest Template'!N722,"Competitive View")</f>
        <v>Competitive View</v>
      </c>
      <c r="L723" s="41" t="s">
        <v>145</v>
      </c>
      <c r="M723" s="25" t="str">
        <f>'Ingest Template'!D722</f>
        <v/>
      </c>
      <c r="N723" s="25"/>
      <c r="O723" s="25"/>
      <c r="P723" s="25"/>
      <c r="Q723" s="25"/>
      <c r="R723" s="25" t="str">
        <f>CONCATENATE('Ingest Template'!F722)</f>
        <v/>
      </c>
      <c r="S723" s="43" t="s">
        <v>160</v>
      </c>
      <c r="T723" s="25" t="str">
        <f>'Ingest Template'!W722</f>
        <v/>
      </c>
      <c r="U723" s="25"/>
      <c r="V723" s="25" t="str">
        <f>LOWER(SUBSTITUTE(SUBSTITUTE(SUBSTITUTE(SUBSTITUTE(SUBSTITUTE('Ingest Template'!Y722,"https:",""),"www.",""),"/",""),"?hl=en",""),"instagram.com",""))</f>
        <v/>
      </c>
      <c r="W723" s="34" t="str">
        <f>(IFERROR(vlookup('Ingest Template'!F723,DropDown!D:E,2,false)&amp;'Ingest Template'!C723,""))</f>
        <v/>
      </c>
      <c r="X723" s="25" t="str">
        <f>'Ingest Template'!AA722</f>
        <v/>
      </c>
      <c r="Y723" s="25"/>
      <c r="Z723" s="25"/>
      <c r="AA723" s="25"/>
      <c r="AB723" s="25" t="str">
        <f>'Ingest Template'!T722</f>
        <v/>
      </c>
      <c r="AC723" s="25"/>
      <c r="AD723" s="25" t="str">
        <f>'Ingest Template'!U722</f>
        <v/>
      </c>
      <c r="AE723" s="25" t="str">
        <f>'Ingest Template'!V722</f>
        <v/>
      </c>
      <c r="AF723" s="25"/>
      <c r="AG723" s="25" t="str">
        <f t="array" ref="AG723">IF('Ingest Template'!A722="Standard",(CONCATENATE(IF(ISBLANK('Ingest Template'!O722),"", 'Ingest Template'!O722&amp;"|DAR"),CHAR(10), IF(ISBLANK('Ingest Template'!P722),"", 'Ingest Template'!P722&amp;"|DAR"),CHAR(10), IF(ISBLANK('Ingest Template'!Q722),"", 'Ingest Template'!Q722&amp;"|DAR"))),(CONCATENATE(IF(ISBLANK('Ingest Template'!O722),"", 'Ingest Template'!O722&amp;"|Operations - Core Title"),CHAR(10), IF(ISBLANK('Ingest Template'!P722),"", 'Ingest Template'!P722&amp;"|Operations - Core Title"),CHAR(10), IF(ISBLANK('Ingest Template'!Q722),"", 'Ingest Template'!Q722&amp;"|Operations - Core Title"))))</f>
        <v>#|Operations - Core Title
#videoGame|Operations - Core Title
</v>
      </c>
      <c r="AH723" s="25"/>
      <c r="AI723" s="25"/>
      <c r="AJ723" s="50" t="str">
        <f>if('Ingest Template'!A722="Standard",'Ingest Template'!R722&amp; "|DAR|DAR|2021-01-01",'Ingest Template'!R722&amp; "|Operations - Core Title|Operations - Core Title")</f>
        <v>#N/A</v>
      </c>
      <c r="AK723" s="25"/>
      <c r="AL723" s="25" t="str">
        <f>if('Ingest Template'!A722="Standard",'Ingest Template'!S722&amp; "|2021-01-01",'Ingest Template'!S722)</f>
        <v>#N/A</v>
      </c>
      <c r="AM723" s="25"/>
    </row>
    <row r="724">
      <c r="A724" s="25"/>
      <c r="B724" s="25" t="str">
        <f>'Ingest Template'!C723&amp;IF('Ingest Template'!A723 = "Standard", " - DAR","")</f>
        <v/>
      </c>
      <c r="C724" s="34" t="s">
        <v>92</v>
      </c>
      <c r="D724" s="34" t="str">
        <f>CONCATENATE('Ingest Template'!E724&amp;Char(10)&amp;'Ingest Template'!G724&amp;Char(10)&amp;'Ingest Template'!H724&amp;Char(10)&amp;'Ingest Template'!I724&amp;Char(10)&amp;'Ingest Template'!J724&amp;Char(10)&amp;'Ingest Template'!K724&amp;Char(10)&amp;'Ingest Template'!L724)</f>
        <v>
</v>
      </c>
      <c r="E724" s="25" t="str">
        <f>('Ingest Template'!M724)</f>
        <v/>
      </c>
      <c r="F724" s="40" t="str">
        <f t="array" ref="F724">INDEX(DropDown!$J$2:$J$63,MATCH(1,COUNTIF(E724,DropDown!$I$2:$I$63),0))</f>
        <v>#N/A</v>
      </c>
      <c r="G724" s="25"/>
      <c r="H724" s="25"/>
      <c r="I724" s="25"/>
      <c r="J724" s="25" t="str">
        <f>'Ingest Template'!B724</f>
        <v/>
      </c>
      <c r="K724" s="25" t="str">
        <f>IF('Ingest Template'!A723="Standard",'Ingest Template'!N723,"Competitive View")</f>
        <v>Competitive View</v>
      </c>
      <c r="L724" s="41" t="s">
        <v>145</v>
      </c>
      <c r="M724" s="25" t="str">
        <f>'Ingest Template'!D723</f>
        <v/>
      </c>
      <c r="N724" s="25"/>
      <c r="O724" s="25"/>
      <c r="P724" s="25"/>
      <c r="Q724" s="25"/>
      <c r="R724" s="25" t="str">
        <f>CONCATENATE('Ingest Template'!F723)</f>
        <v/>
      </c>
      <c r="S724" s="43" t="s">
        <v>160</v>
      </c>
      <c r="T724" s="25" t="str">
        <f>'Ingest Template'!W723</f>
        <v/>
      </c>
      <c r="U724" s="25"/>
      <c r="V724" s="25" t="str">
        <f>LOWER(SUBSTITUTE(SUBSTITUTE(SUBSTITUTE(SUBSTITUTE(SUBSTITUTE('Ingest Template'!Y723,"https:",""),"www.",""),"/",""),"?hl=en",""),"instagram.com",""))</f>
        <v/>
      </c>
      <c r="W724" s="34" t="str">
        <f>(IFERROR(vlookup('Ingest Template'!F724,DropDown!D:E,2,false)&amp;'Ingest Template'!C724,""))</f>
        <v/>
      </c>
      <c r="X724" s="25" t="str">
        <f>'Ingest Template'!AA723</f>
        <v/>
      </c>
      <c r="Y724" s="25"/>
      <c r="Z724" s="25"/>
      <c r="AA724" s="25"/>
      <c r="AB724" s="25" t="str">
        <f>'Ingest Template'!T723</f>
        <v/>
      </c>
      <c r="AC724" s="25"/>
      <c r="AD724" s="25" t="str">
        <f>'Ingest Template'!U723</f>
        <v/>
      </c>
      <c r="AE724" s="25" t="str">
        <f>'Ingest Template'!V723</f>
        <v/>
      </c>
      <c r="AF724" s="25"/>
      <c r="AG724" s="25" t="str">
        <f t="array" ref="AG724">IF('Ingest Template'!A723="Standard",(CONCATENATE(IF(ISBLANK('Ingest Template'!O723),"", 'Ingest Template'!O723&amp;"|DAR"),CHAR(10), IF(ISBLANK('Ingest Template'!P723),"", 'Ingest Template'!P723&amp;"|DAR"),CHAR(10), IF(ISBLANK('Ingest Template'!Q723),"", 'Ingest Template'!Q723&amp;"|DAR"))),(CONCATENATE(IF(ISBLANK('Ingest Template'!O723),"", 'Ingest Template'!O723&amp;"|Operations - Core Title"),CHAR(10), IF(ISBLANK('Ingest Template'!P723),"", 'Ingest Template'!P723&amp;"|Operations - Core Title"),CHAR(10), IF(ISBLANK('Ingest Template'!Q723),"", 'Ingest Template'!Q723&amp;"|Operations - Core Title"))))</f>
        <v>#|Operations - Core Title
#videoGame|Operations - Core Title
</v>
      </c>
      <c r="AH724" s="25"/>
      <c r="AI724" s="25"/>
      <c r="AJ724" s="50" t="str">
        <f>if('Ingest Template'!A723="Standard",'Ingest Template'!R723&amp; "|DAR|DAR|2021-01-01",'Ingest Template'!R723&amp; "|Operations - Core Title|Operations - Core Title")</f>
        <v>#N/A</v>
      </c>
      <c r="AK724" s="25"/>
      <c r="AL724" s="25" t="str">
        <f>if('Ingest Template'!A723="Standard",'Ingest Template'!S723&amp; "|2021-01-01",'Ingest Template'!S723)</f>
        <v>#N/A</v>
      </c>
      <c r="AM724" s="25"/>
    </row>
    <row r="725">
      <c r="A725" s="25"/>
      <c r="B725" s="25" t="str">
        <f>'Ingest Template'!C724&amp;IF('Ingest Template'!A724 = "Standard", " - DAR","")</f>
        <v/>
      </c>
      <c r="C725" s="34" t="s">
        <v>92</v>
      </c>
      <c r="D725" s="34" t="str">
        <f>CONCATENATE('Ingest Template'!E725&amp;Char(10)&amp;'Ingest Template'!G725&amp;Char(10)&amp;'Ingest Template'!H725&amp;Char(10)&amp;'Ingest Template'!I725&amp;Char(10)&amp;'Ingest Template'!J725&amp;Char(10)&amp;'Ingest Template'!K725&amp;Char(10)&amp;'Ingest Template'!L725)</f>
        <v>
</v>
      </c>
      <c r="E725" s="25" t="str">
        <f>('Ingest Template'!M725)</f>
        <v/>
      </c>
      <c r="F725" s="40" t="str">
        <f t="array" ref="F725">INDEX(DropDown!$J$2:$J$63,MATCH(1,COUNTIF(E725,DropDown!$I$2:$I$63),0))</f>
        <v>#N/A</v>
      </c>
      <c r="G725" s="25"/>
      <c r="H725" s="25"/>
      <c r="I725" s="25"/>
      <c r="J725" s="25" t="str">
        <f>'Ingest Template'!B725</f>
        <v/>
      </c>
      <c r="K725" s="25" t="str">
        <f>IF('Ingest Template'!A724="Standard",'Ingest Template'!N724,"Competitive View")</f>
        <v>Competitive View</v>
      </c>
      <c r="L725" s="41" t="s">
        <v>145</v>
      </c>
      <c r="M725" s="25" t="str">
        <f>'Ingest Template'!D724</f>
        <v/>
      </c>
      <c r="N725" s="25"/>
      <c r="O725" s="25"/>
      <c r="P725" s="25"/>
      <c r="Q725" s="25"/>
      <c r="R725" s="25" t="str">
        <f>CONCATENATE('Ingest Template'!F724)</f>
        <v/>
      </c>
      <c r="S725" s="43" t="s">
        <v>160</v>
      </c>
      <c r="T725" s="25" t="str">
        <f>'Ingest Template'!W724</f>
        <v/>
      </c>
      <c r="U725" s="25"/>
      <c r="V725" s="25" t="str">
        <f>LOWER(SUBSTITUTE(SUBSTITUTE(SUBSTITUTE(SUBSTITUTE(SUBSTITUTE('Ingest Template'!Y724,"https:",""),"www.",""),"/",""),"?hl=en",""),"instagram.com",""))</f>
        <v/>
      </c>
      <c r="W725" s="34" t="str">
        <f>(IFERROR(vlookup('Ingest Template'!F725,DropDown!D:E,2,false)&amp;'Ingest Template'!C725,""))</f>
        <v/>
      </c>
      <c r="X725" s="25" t="str">
        <f>'Ingest Template'!AA724</f>
        <v/>
      </c>
      <c r="Y725" s="25"/>
      <c r="Z725" s="25"/>
      <c r="AA725" s="25"/>
      <c r="AB725" s="25" t="str">
        <f>'Ingest Template'!T724</f>
        <v/>
      </c>
      <c r="AC725" s="25"/>
      <c r="AD725" s="25" t="str">
        <f>'Ingest Template'!U724</f>
        <v/>
      </c>
      <c r="AE725" s="25" t="str">
        <f>'Ingest Template'!V724</f>
        <v/>
      </c>
      <c r="AF725" s="25"/>
      <c r="AG725" s="25" t="str">
        <f t="array" ref="AG725">IF('Ingest Template'!A724="Standard",(CONCATENATE(IF(ISBLANK('Ingest Template'!O724),"", 'Ingest Template'!O724&amp;"|DAR"),CHAR(10), IF(ISBLANK('Ingest Template'!P724),"", 'Ingest Template'!P724&amp;"|DAR"),CHAR(10), IF(ISBLANK('Ingest Template'!Q724),"", 'Ingest Template'!Q724&amp;"|DAR"))),(CONCATENATE(IF(ISBLANK('Ingest Template'!O724),"", 'Ingest Template'!O724&amp;"|Operations - Core Title"),CHAR(10), IF(ISBLANK('Ingest Template'!P724),"", 'Ingest Template'!P724&amp;"|Operations - Core Title"),CHAR(10), IF(ISBLANK('Ingest Template'!Q724),"", 'Ingest Template'!Q724&amp;"|Operations - Core Title"))))</f>
        <v>#|Operations - Core Title
#videoGame|Operations - Core Title
</v>
      </c>
      <c r="AH725" s="25"/>
      <c r="AI725" s="25"/>
      <c r="AJ725" s="50" t="str">
        <f>if('Ingest Template'!A724="Standard",'Ingest Template'!R724&amp; "|DAR|DAR|2021-01-01",'Ingest Template'!R724&amp; "|Operations - Core Title|Operations - Core Title")</f>
        <v>#N/A</v>
      </c>
      <c r="AK725" s="25"/>
      <c r="AL725" s="25" t="str">
        <f>if('Ingest Template'!A724="Standard",'Ingest Template'!S724&amp; "|2021-01-01",'Ingest Template'!S724)</f>
        <v>#N/A</v>
      </c>
      <c r="AM725" s="25"/>
    </row>
    <row r="726">
      <c r="A726" s="25"/>
      <c r="B726" s="25" t="str">
        <f>'Ingest Template'!C725&amp;IF('Ingest Template'!A725 = "Standard", " - DAR","")</f>
        <v/>
      </c>
      <c r="C726" s="34" t="s">
        <v>92</v>
      </c>
      <c r="D726" s="34" t="str">
        <f>CONCATENATE('Ingest Template'!E726&amp;Char(10)&amp;'Ingest Template'!G726&amp;Char(10)&amp;'Ingest Template'!H726&amp;Char(10)&amp;'Ingest Template'!I726&amp;Char(10)&amp;'Ingest Template'!J726&amp;Char(10)&amp;'Ingest Template'!K726&amp;Char(10)&amp;'Ingest Template'!L726)</f>
        <v>
</v>
      </c>
      <c r="E726" s="25" t="str">
        <f>('Ingest Template'!M726)</f>
        <v/>
      </c>
      <c r="F726" s="40" t="str">
        <f t="array" ref="F726">INDEX(DropDown!$J$2:$J$63,MATCH(1,COUNTIF(E726,DropDown!$I$2:$I$63),0))</f>
        <v>#N/A</v>
      </c>
      <c r="G726" s="25"/>
      <c r="H726" s="25"/>
      <c r="I726" s="25"/>
      <c r="J726" s="25" t="str">
        <f>'Ingest Template'!B726</f>
        <v/>
      </c>
      <c r="K726" s="25" t="str">
        <f>IF('Ingest Template'!A725="Standard",'Ingest Template'!N725,"Competitive View")</f>
        <v>Competitive View</v>
      </c>
      <c r="L726" s="41" t="s">
        <v>145</v>
      </c>
      <c r="M726" s="25" t="str">
        <f>'Ingest Template'!D725</f>
        <v/>
      </c>
      <c r="N726" s="25"/>
      <c r="O726" s="25"/>
      <c r="P726" s="25"/>
      <c r="Q726" s="25"/>
      <c r="R726" s="25" t="str">
        <f>CONCATENATE('Ingest Template'!F725)</f>
        <v/>
      </c>
      <c r="S726" s="43" t="s">
        <v>160</v>
      </c>
      <c r="T726" s="25" t="str">
        <f>'Ingest Template'!W725</f>
        <v/>
      </c>
      <c r="U726" s="25"/>
      <c r="V726" s="25" t="str">
        <f>LOWER(SUBSTITUTE(SUBSTITUTE(SUBSTITUTE(SUBSTITUTE(SUBSTITUTE('Ingest Template'!Y725,"https:",""),"www.",""),"/",""),"?hl=en",""),"instagram.com",""))</f>
        <v/>
      </c>
      <c r="W726" s="34" t="str">
        <f>(IFERROR(vlookup('Ingest Template'!F726,DropDown!D:E,2,false)&amp;'Ingest Template'!C726,""))</f>
        <v/>
      </c>
      <c r="X726" s="25" t="str">
        <f>'Ingest Template'!AA725</f>
        <v/>
      </c>
      <c r="Y726" s="25"/>
      <c r="Z726" s="25"/>
      <c r="AA726" s="25"/>
      <c r="AB726" s="25" t="str">
        <f>'Ingest Template'!T725</f>
        <v/>
      </c>
      <c r="AC726" s="25"/>
      <c r="AD726" s="25" t="str">
        <f>'Ingest Template'!U725</f>
        <v/>
      </c>
      <c r="AE726" s="25" t="str">
        <f>'Ingest Template'!V725</f>
        <v/>
      </c>
      <c r="AF726" s="25"/>
      <c r="AG726" s="25" t="str">
        <f t="array" ref="AG726">IF('Ingest Template'!A725="Standard",(CONCATENATE(IF(ISBLANK('Ingest Template'!O725),"", 'Ingest Template'!O725&amp;"|DAR"),CHAR(10), IF(ISBLANK('Ingest Template'!P725),"", 'Ingest Template'!P725&amp;"|DAR"),CHAR(10), IF(ISBLANK('Ingest Template'!Q725),"", 'Ingest Template'!Q725&amp;"|DAR"))),(CONCATENATE(IF(ISBLANK('Ingest Template'!O725),"", 'Ingest Template'!O725&amp;"|Operations - Core Title"),CHAR(10), IF(ISBLANK('Ingest Template'!P725),"", 'Ingest Template'!P725&amp;"|Operations - Core Title"),CHAR(10), IF(ISBLANK('Ingest Template'!Q725),"", 'Ingest Template'!Q725&amp;"|Operations - Core Title"))))</f>
        <v>#|Operations - Core Title
#videoGame|Operations - Core Title
</v>
      </c>
      <c r="AH726" s="25"/>
      <c r="AI726" s="25"/>
      <c r="AJ726" s="50" t="str">
        <f>if('Ingest Template'!A725="Standard",'Ingest Template'!R725&amp; "|DAR|DAR|2021-01-01",'Ingest Template'!R725&amp; "|Operations - Core Title|Operations - Core Title")</f>
        <v>#N/A</v>
      </c>
      <c r="AK726" s="25"/>
      <c r="AL726" s="25" t="str">
        <f>if('Ingest Template'!A725="Standard",'Ingest Template'!S725&amp; "|2021-01-01",'Ingest Template'!S725)</f>
        <v>#N/A</v>
      </c>
      <c r="AM726" s="25"/>
    </row>
    <row r="727">
      <c r="A727" s="25"/>
      <c r="B727" s="25" t="str">
        <f>'Ingest Template'!C726&amp;IF('Ingest Template'!A726 = "Standard", " - DAR","")</f>
        <v/>
      </c>
      <c r="C727" s="34" t="s">
        <v>92</v>
      </c>
      <c r="D727" s="34" t="str">
        <f>CONCATENATE('Ingest Template'!E727&amp;Char(10)&amp;'Ingest Template'!G727&amp;Char(10)&amp;'Ingest Template'!H727&amp;Char(10)&amp;'Ingest Template'!I727&amp;Char(10)&amp;'Ingest Template'!J727&amp;Char(10)&amp;'Ingest Template'!K727&amp;Char(10)&amp;'Ingest Template'!L727)</f>
        <v>
</v>
      </c>
      <c r="E727" s="25" t="str">
        <f>('Ingest Template'!M727)</f>
        <v/>
      </c>
      <c r="F727" s="40" t="str">
        <f t="array" ref="F727">INDEX(DropDown!$J$2:$J$63,MATCH(1,COUNTIF(E727,DropDown!$I$2:$I$63),0))</f>
        <v>#N/A</v>
      </c>
      <c r="G727" s="25"/>
      <c r="H727" s="25"/>
      <c r="I727" s="25"/>
      <c r="J727" s="25" t="str">
        <f>'Ingest Template'!B727</f>
        <v/>
      </c>
      <c r="K727" s="25" t="str">
        <f>IF('Ingest Template'!A726="Standard",'Ingest Template'!N726,"Competitive View")</f>
        <v>Competitive View</v>
      </c>
      <c r="L727" s="41" t="s">
        <v>145</v>
      </c>
      <c r="M727" s="25" t="str">
        <f>'Ingest Template'!D726</f>
        <v/>
      </c>
      <c r="N727" s="25"/>
      <c r="O727" s="25"/>
      <c r="P727" s="25"/>
      <c r="Q727" s="25"/>
      <c r="R727" s="25" t="str">
        <f>CONCATENATE('Ingest Template'!F726)</f>
        <v/>
      </c>
      <c r="S727" s="43" t="s">
        <v>160</v>
      </c>
      <c r="T727" s="25" t="str">
        <f>'Ingest Template'!W726</f>
        <v/>
      </c>
      <c r="U727" s="25"/>
      <c r="V727" s="25" t="str">
        <f>LOWER(SUBSTITUTE(SUBSTITUTE(SUBSTITUTE(SUBSTITUTE(SUBSTITUTE('Ingest Template'!Y726,"https:",""),"www.",""),"/",""),"?hl=en",""),"instagram.com",""))</f>
        <v/>
      </c>
      <c r="W727" s="34" t="str">
        <f>(IFERROR(vlookup('Ingest Template'!F727,DropDown!D:E,2,false)&amp;'Ingest Template'!C727,""))</f>
        <v/>
      </c>
      <c r="X727" s="25" t="str">
        <f>'Ingest Template'!AA726</f>
        <v/>
      </c>
      <c r="Y727" s="25"/>
      <c r="Z727" s="25"/>
      <c r="AA727" s="25"/>
      <c r="AB727" s="25" t="str">
        <f>'Ingest Template'!T726</f>
        <v/>
      </c>
      <c r="AC727" s="25"/>
      <c r="AD727" s="25" t="str">
        <f>'Ingest Template'!U726</f>
        <v/>
      </c>
      <c r="AE727" s="25" t="str">
        <f>'Ingest Template'!V726</f>
        <v/>
      </c>
      <c r="AF727" s="25"/>
      <c r="AG727" s="25" t="str">
        <f t="array" ref="AG727">IF('Ingest Template'!A726="Standard",(CONCATENATE(IF(ISBLANK('Ingest Template'!O726),"", 'Ingest Template'!O726&amp;"|DAR"),CHAR(10), IF(ISBLANK('Ingest Template'!P726),"", 'Ingest Template'!P726&amp;"|DAR"),CHAR(10), IF(ISBLANK('Ingest Template'!Q726),"", 'Ingest Template'!Q726&amp;"|DAR"))),(CONCATENATE(IF(ISBLANK('Ingest Template'!O726),"", 'Ingest Template'!O726&amp;"|Operations - Core Title"),CHAR(10), IF(ISBLANK('Ingest Template'!P726),"", 'Ingest Template'!P726&amp;"|Operations - Core Title"),CHAR(10), IF(ISBLANK('Ingest Template'!Q726),"", 'Ingest Template'!Q726&amp;"|Operations - Core Title"))))</f>
        <v>#|Operations - Core Title
#videoGame|Operations - Core Title
</v>
      </c>
      <c r="AH727" s="25"/>
      <c r="AI727" s="25"/>
      <c r="AJ727" s="50" t="str">
        <f>if('Ingest Template'!A726="Standard",'Ingest Template'!R726&amp; "|DAR|DAR|2021-01-01",'Ingest Template'!R726&amp; "|Operations - Core Title|Operations - Core Title")</f>
        <v>#N/A</v>
      </c>
      <c r="AK727" s="25"/>
      <c r="AL727" s="25" t="str">
        <f>if('Ingest Template'!A726="Standard",'Ingest Template'!S726&amp; "|2021-01-01",'Ingest Template'!S726)</f>
        <v>#N/A</v>
      </c>
      <c r="AM727" s="25"/>
    </row>
    <row r="728">
      <c r="A728" s="25"/>
      <c r="B728" s="25" t="str">
        <f>'Ingest Template'!C727&amp;IF('Ingest Template'!A727 = "Standard", " - DAR","")</f>
        <v/>
      </c>
      <c r="C728" s="34" t="s">
        <v>92</v>
      </c>
      <c r="D728" s="34" t="str">
        <f>CONCATENATE('Ingest Template'!E728&amp;Char(10)&amp;'Ingest Template'!G728&amp;Char(10)&amp;'Ingest Template'!H728&amp;Char(10)&amp;'Ingest Template'!I728&amp;Char(10)&amp;'Ingest Template'!J728&amp;Char(10)&amp;'Ingest Template'!K728&amp;Char(10)&amp;'Ingest Template'!L728)</f>
        <v>
</v>
      </c>
      <c r="E728" s="25" t="str">
        <f>('Ingest Template'!M728)</f>
        <v/>
      </c>
      <c r="F728" s="40" t="str">
        <f t="array" ref="F728">INDEX(DropDown!$J$2:$J$63,MATCH(1,COUNTIF(E728,DropDown!$I$2:$I$63),0))</f>
        <v>#N/A</v>
      </c>
      <c r="G728" s="25"/>
      <c r="H728" s="25"/>
      <c r="I728" s="25"/>
      <c r="J728" s="25" t="str">
        <f>'Ingest Template'!B728</f>
        <v/>
      </c>
      <c r="K728" s="25" t="str">
        <f>IF('Ingest Template'!A727="Standard",'Ingest Template'!N727,"Competitive View")</f>
        <v>Competitive View</v>
      </c>
      <c r="L728" s="41" t="s">
        <v>145</v>
      </c>
      <c r="M728" s="25" t="str">
        <f>'Ingest Template'!D727</f>
        <v/>
      </c>
      <c r="N728" s="25"/>
      <c r="O728" s="25"/>
      <c r="P728" s="25"/>
      <c r="Q728" s="25"/>
      <c r="R728" s="25" t="str">
        <f>CONCATENATE('Ingest Template'!F727)</f>
        <v/>
      </c>
      <c r="S728" s="43" t="s">
        <v>160</v>
      </c>
      <c r="T728" s="25" t="str">
        <f>'Ingest Template'!W727</f>
        <v/>
      </c>
      <c r="U728" s="25"/>
      <c r="V728" s="25" t="str">
        <f>LOWER(SUBSTITUTE(SUBSTITUTE(SUBSTITUTE(SUBSTITUTE(SUBSTITUTE('Ingest Template'!Y727,"https:",""),"www.",""),"/",""),"?hl=en",""),"instagram.com",""))</f>
        <v/>
      </c>
      <c r="W728" s="34" t="str">
        <f>(IFERROR(vlookup('Ingest Template'!F728,DropDown!D:E,2,false)&amp;'Ingest Template'!C728,""))</f>
        <v/>
      </c>
      <c r="X728" s="25" t="str">
        <f>'Ingest Template'!AA727</f>
        <v/>
      </c>
      <c r="Y728" s="25"/>
      <c r="Z728" s="25"/>
      <c r="AA728" s="25"/>
      <c r="AB728" s="25" t="str">
        <f>'Ingest Template'!T727</f>
        <v/>
      </c>
      <c r="AC728" s="25"/>
      <c r="AD728" s="25" t="str">
        <f>'Ingest Template'!U727</f>
        <v/>
      </c>
      <c r="AE728" s="25" t="str">
        <f>'Ingest Template'!V727</f>
        <v/>
      </c>
      <c r="AF728" s="25"/>
      <c r="AG728" s="25" t="str">
        <f t="array" ref="AG728">IF('Ingest Template'!A727="Standard",(CONCATENATE(IF(ISBLANK('Ingest Template'!O727),"", 'Ingest Template'!O727&amp;"|DAR"),CHAR(10), IF(ISBLANK('Ingest Template'!P727),"", 'Ingest Template'!P727&amp;"|DAR"),CHAR(10), IF(ISBLANK('Ingest Template'!Q727),"", 'Ingest Template'!Q727&amp;"|DAR"))),(CONCATENATE(IF(ISBLANK('Ingest Template'!O727),"", 'Ingest Template'!O727&amp;"|Operations - Core Title"),CHAR(10), IF(ISBLANK('Ingest Template'!P727),"", 'Ingest Template'!P727&amp;"|Operations - Core Title"),CHAR(10), IF(ISBLANK('Ingest Template'!Q727),"", 'Ingest Template'!Q727&amp;"|Operations - Core Title"))))</f>
        <v>#|Operations - Core Title
#videoGame|Operations - Core Title
</v>
      </c>
      <c r="AH728" s="25"/>
      <c r="AI728" s="25"/>
      <c r="AJ728" s="50" t="str">
        <f>if('Ingest Template'!A727="Standard",'Ingest Template'!R727&amp; "|DAR|DAR|2021-01-01",'Ingest Template'!R727&amp; "|Operations - Core Title|Operations - Core Title")</f>
        <v>#N/A</v>
      </c>
      <c r="AK728" s="25"/>
      <c r="AL728" s="25" t="str">
        <f>if('Ingest Template'!A727="Standard",'Ingest Template'!S727&amp; "|2021-01-01",'Ingest Template'!S727)</f>
        <v>#N/A</v>
      </c>
      <c r="AM728" s="25"/>
    </row>
    <row r="729">
      <c r="A729" s="25"/>
      <c r="B729" s="25" t="str">
        <f>'Ingest Template'!C728&amp;IF('Ingest Template'!A728 = "Standard", " - DAR","")</f>
        <v/>
      </c>
      <c r="C729" s="34" t="s">
        <v>92</v>
      </c>
      <c r="D729" s="34" t="str">
        <f>CONCATENATE('Ingest Template'!E729&amp;Char(10)&amp;'Ingest Template'!G729&amp;Char(10)&amp;'Ingest Template'!H729&amp;Char(10)&amp;'Ingest Template'!I729&amp;Char(10)&amp;'Ingest Template'!J729&amp;Char(10)&amp;'Ingest Template'!K729&amp;Char(10)&amp;'Ingest Template'!L729)</f>
        <v>
</v>
      </c>
      <c r="E729" s="25" t="str">
        <f>('Ingest Template'!M729)</f>
        <v/>
      </c>
      <c r="F729" s="40" t="str">
        <f t="array" ref="F729">INDEX(DropDown!$J$2:$J$63,MATCH(1,COUNTIF(E729,DropDown!$I$2:$I$63),0))</f>
        <v>#N/A</v>
      </c>
      <c r="G729" s="25"/>
      <c r="H729" s="25"/>
      <c r="I729" s="25"/>
      <c r="J729" s="25" t="str">
        <f>'Ingest Template'!B729</f>
        <v/>
      </c>
      <c r="K729" s="25" t="str">
        <f>IF('Ingest Template'!A728="Standard",'Ingest Template'!N728,"Competitive View")</f>
        <v>Competitive View</v>
      </c>
      <c r="L729" s="41" t="s">
        <v>145</v>
      </c>
      <c r="M729" s="25" t="str">
        <f>'Ingest Template'!D728</f>
        <v/>
      </c>
      <c r="N729" s="25"/>
      <c r="O729" s="25"/>
      <c r="P729" s="25"/>
      <c r="Q729" s="25"/>
      <c r="R729" s="25" t="str">
        <f>CONCATENATE('Ingest Template'!F728)</f>
        <v/>
      </c>
      <c r="S729" s="43" t="s">
        <v>160</v>
      </c>
      <c r="T729" s="25" t="str">
        <f>'Ingest Template'!W728</f>
        <v/>
      </c>
      <c r="U729" s="25"/>
      <c r="V729" s="25" t="str">
        <f>LOWER(SUBSTITUTE(SUBSTITUTE(SUBSTITUTE(SUBSTITUTE(SUBSTITUTE('Ingest Template'!Y728,"https:",""),"www.",""),"/",""),"?hl=en",""),"instagram.com",""))</f>
        <v/>
      </c>
      <c r="W729" s="34" t="str">
        <f>(IFERROR(vlookup('Ingest Template'!F729,DropDown!D:E,2,false)&amp;'Ingest Template'!C729,""))</f>
        <v/>
      </c>
      <c r="X729" s="25" t="str">
        <f>'Ingest Template'!AA728</f>
        <v/>
      </c>
      <c r="Y729" s="25"/>
      <c r="Z729" s="25"/>
      <c r="AA729" s="25"/>
      <c r="AB729" s="25" t="str">
        <f>'Ingest Template'!T728</f>
        <v/>
      </c>
      <c r="AC729" s="25"/>
      <c r="AD729" s="25" t="str">
        <f>'Ingest Template'!U728</f>
        <v/>
      </c>
      <c r="AE729" s="25" t="str">
        <f>'Ingest Template'!V728</f>
        <v/>
      </c>
      <c r="AF729" s="25"/>
      <c r="AG729" s="25" t="str">
        <f t="array" ref="AG729">IF('Ingest Template'!A728="Standard",(CONCATENATE(IF(ISBLANK('Ingest Template'!O728),"", 'Ingest Template'!O728&amp;"|DAR"),CHAR(10), IF(ISBLANK('Ingest Template'!P728),"", 'Ingest Template'!P728&amp;"|DAR"),CHAR(10), IF(ISBLANK('Ingest Template'!Q728),"", 'Ingest Template'!Q728&amp;"|DAR"))),(CONCATENATE(IF(ISBLANK('Ingest Template'!O728),"", 'Ingest Template'!O728&amp;"|Operations - Core Title"),CHAR(10), IF(ISBLANK('Ingest Template'!P728),"", 'Ingest Template'!P728&amp;"|Operations - Core Title"),CHAR(10), IF(ISBLANK('Ingest Template'!Q728),"", 'Ingest Template'!Q728&amp;"|Operations - Core Title"))))</f>
        <v>#|Operations - Core Title
#videoGame|Operations - Core Title
</v>
      </c>
      <c r="AH729" s="25"/>
      <c r="AI729" s="25"/>
      <c r="AJ729" s="50" t="str">
        <f>if('Ingest Template'!A728="Standard",'Ingest Template'!R728&amp; "|DAR|DAR|2021-01-01",'Ingest Template'!R728&amp; "|Operations - Core Title|Operations - Core Title")</f>
        <v>#N/A</v>
      </c>
      <c r="AK729" s="25"/>
      <c r="AL729" s="25" t="str">
        <f>if('Ingest Template'!A728="Standard",'Ingest Template'!S728&amp; "|2021-01-01",'Ingest Template'!S728)</f>
        <v>#N/A</v>
      </c>
      <c r="AM729" s="25"/>
    </row>
    <row r="730">
      <c r="A730" s="25"/>
      <c r="B730" s="25" t="str">
        <f>'Ingest Template'!C729&amp;IF('Ingest Template'!A729 = "Standard", " - DAR","")</f>
        <v/>
      </c>
      <c r="C730" s="34" t="s">
        <v>92</v>
      </c>
      <c r="D730" s="34" t="str">
        <f>CONCATENATE('Ingest Template'!E730&amp;Char(10)&amp;'Ingest Template'!G730&amp;Char(10)&amp;'Ingest Template'!H730&amp;Char(10)&amp;'Ingest Template'!I730&amp;Char(10)&amp;'Ingest Template'!J730&amp;Char(10)&amp;'Ingest Template'!K730&amp;Char(10)&amp;'Ingest Template'!L730)</f>
        <v>
</v>
      </c>
      <c r="E730" s="25" t="str">
        <f>('Ingest Template'!M730)</f>
        <v/>
      </c>
      <c r="F730" s="40" t="str">
        <f t="array" ref="F730">INDEX(DropDown!$J$2:$J$63,MATCH(1,COUNTIF(E730,DropDown!$I$2:$I$63),0))</f>
        <v>#N/A</v>
      </c>
      <c r="G730" s="25"/>
      <c r="H730" s="25"/>
      <c r="I730" s="25"/>
      <c r="J730" s="25" t="str">
        <f>'Ingest Template'!B730</f>
        <v/>
      </c>
      <c r="K730" s="25" t="str">
        <f>IF('Ingest Template'!A729="Standard",'Ingest Template'!N729,"Competitive View")</f>
        <v>Competitive View</v>
      </c>
      <c r="L730" s="41" t="s">
        <v>145</v>
      </c>
      <c r="M730" s="25" t="str">
        <f>'Ingest Template'!D729</f>
        <v/>
      </c>
      <c r="N730" s="25"/>
      <c r="O730" s="25"/>
      <c r="P730" s="25"/>
      <c r="Q730" s="25"/>
      <c r="R730" s="25" t="str">
        <f>CONCATENATE('Ingest Template'!F729)</f>
        <v/>
      </c>
      <c r="S730" s="43" t="s">
        <v>160</v>
      </c>
      <c r="T730" s="25" t="str">
        <f>'Ingest Template'!W729</f>
        <v/>
      </c>
      <c r="U730" s="25"/>
      <c r="V730" s="25" t="str">
        <f>LOWER(SUBSTITUTE(SUBSTITUTE(SUBSTITUTE(SUBSTITUTE(SUBSTITUTE('Ingest Template'!Y729,"https:",""),"www.",""),"/",""),"?hl=en",""),"instagram.com",""))</f>
        <v/>
      </c>
      <c r="W730" s="34" t="str">
        <f>(IFERROR(vlookup('Ingest Template'!F730,DropDown!D:E,2,false)&amp;'Ingest Template'!C730,""))</f>
        <v/>
      </c>
      <c r="X730" s="25" t="str">
        <f>'Ingest Template'!AA729</f>
        <v/>
      </c>
      <c r="Y730" s="25"/>
      <c r="Z730" s="25"/>
      <c r="AA730" s="25"/>
      <c r="AB730" s="25" t="str">
        <f>'Ingest Template'!T729</f>
        <v/>
      </c>
      <c r="AC730" s="25"/>
      <c r="AD730" s="25" t="str">
        <f>'Ingest Template'!U729</f>
        <v/>
      </c>
      <c r="AE730" s="25" t="str">
        <f>'Ingest Template'!V729</f>
        <v/>
      </c>
      <c r="AF730" s="25"/>
      <c r="AG730" s="25" t="str">
        <f t="array" ref="AG730">IF('Ingest Template'!A729="Standard",(CONCATENATE(IF(ISBLANK('Ingest Template'!O729),"", 'Ingest Template'!O729&amp;"|DAR"),CHAR(10), IF(ISBLANK('Ingest Template'!P729),"", 'Ingest Template'!P729&amp;"|DAR"),CHAR(10), IF(ISBLANK('Ingest Template'!Q729),"", 'Ingest Template'!Q729&amp;"|DAR"))),(CONCATENATE(IF(ISBLANK('Ingest Template'!O729),"", 'Ingest Template'!O729&amp;"|Operations - Core Title"),CHAR(10), IF(ISBLANK('Ingest Template'!P729),"", 'Ingest Template'!P729&amp;"|Operations - Core Title"),CHAR(10), IF(ISBLANK('Ingest Template'!Q729),"", 'Ingest Template'!Q729&amp;"|Operations - Core Title"))))</f>
        <v>#|Operations - Core Title
#videoGame|Operations - Core Title
</v>
      </c>
      <c r="AH730" s="25"/>
      <c r="AI730" s="25"/>
      <c r="AJ730" s="50" t="str">
        <f>if('Ingest Template'!A729="Standard",'Ingest Template'!R729&amp; "|DAR|DAR|2021-01-01",'Ingest Template'!R729&amp; "|Operations - Core Title|Operations - Core Title")</f>
        <v>#N/A</v>
      </c>
      <c r="AK730" s="25"/>
      <c r="AL730" s="25" t="str">
        <f>if('Ingest Template'!A729="Standard",'Ingest Template'!S729&amp; "|2021-01-01",'Ingest Template'!S729)</f>
        <v>#N/A</v>
      </c>
      <c r="AM730" s="25"/>
    </row>
    <row r="731">
      <c r="A731" s="25"/>
      <c r="B731" s="25" t="str">
        <f>'Ingest Template'!C730&amp;IF('Ingest Template'!A730 = "Standard", " - DAR","")</f>
        <v/>
      </c>
      <c r="C731" s="34" t="s">
        <v>92</v>
      </c>
      <c r="D731" s="34" t="str">
        <f>CONCATENATE('Ingest Template'!E731&amp;Char(10)&amp;'Ingest Template'!G731&amp;Char(10)&amp;'Ingest Template'!H731&amp;Char(10)&amp;'Ingest Template'!I731&amp;Char(10)&amp;'Ingest Template'!J731&amp;Char(10)&amp;'Ingest Template'!K731&amp;Char(10)&amp;'Ingest Template'!L731)</f>
        <v>
</v>
      </c>
      <c r="E731" s="25" t="str">
        <f>('Ingest Template'!M731)</f>
        <v/>
      </c>
      <c r="F731" s="40" t="str">
        <f t="array" ref="F731">INDEX(DropDown!$J$2:$J$63,MATCH(1,COUNTIF(E731,DropDown!$I$2:$I$63),0))</f>
        <v>#N/A</v>
      </c>
      <c r="G731" s="25"/>
      <c r="H731" s="25"/>
      <c r="I731" s="25"/>
      <c r="J731" s="25" t="str">
        <f>'Ingest Template'!B731</f>
        <v/>
      </c>
      <c r="K731" s="25" t="str">
        <f>IF('Ingest Template'!A730="Standard",'Ingest Template'!N730,"Competitive View")</f>
        <v>Competitive View</v>
      </c>
      <c r="L731" s="41" t="s">
        <v>145</v>
      </c>
      <c r="M731" s="25" t="str">
        <f>'Ingest Template'!D730</f>
        <v/>
      </c>
      <c r="N731" s="25"/>
      <c r="O731" s="25"/>
      <c r="P731" s="25"/>
      <c r="Q731" s="25"/>
      <c r="R731" s="25" t="str">
        <f>CONCATENATE('Ingest Template'!F730)</f>
        <v/>
      </c>
      <c r="S731" s="43" t="s">
        <v>160</v>
      </c>
      <c r="T731" s="25" t="str">
        <f>'Ingest Template'!W730</f>
        <v/>
      </c>
      <c r="U731" s="25"/>
      <c r="V731" s="25" t="str">
        <f>LOWER(SUBSTITUTE(SUBSTITUTE(SUBSTITUTE(SUBSTITUTE(SUBSTITUTE('Ingest Template'!Y730,"https:",""),"www.",""),"/",""),"?hl=en",""),"instagram.com",""))</f>
        <v/>
      </c>
      <c r="W731" s="34" t="str">
        <f>(IFERROR(vlookup('Ingest Template'!F731,DropDown!D:E,2,false)&amp;'Ingest Template'!C731,""))</f>
        <v/>
      </c>
      <c r="X731" s="25" t="str">
        <f>'Ingest Template'!AA730</f>
        <v/>
      </c>
      <c r="Y731" s="25"/>
      <c r="Z731" s="25"/>
      <c r="AA731" s="25"/>
      <c r="AB731" s="25" t="str">
        <f>'Ingest Template'!T730</f>
        <v/>
      </c>
      <c r="AC731" s="25"/>
      <c r="AD731" s="25" t="str">
        <f>'Ingest Template'!U730</f>
        <v/>
      </c>
      <c r="AE731" s="25" t="str">
        <f>'Ingest Template'!V730</f>
        <v/>
      </c>
      <c r="AF731" s="25"/>
      <c r="AG731" s="25" t="str">
        <f t="array" ref="AG731">IF('Ingest Template'!A730="Standard",(CONCATENATE(IF(ISBLANK('Ingest Template'!O730),"", 'Ingest Template'!O730&amp;"|DAR"),CHAR(10), IF(ISBLANK('Ingest Template'!P730),"", 'Ingest Template'!P730&amp;"|DAR"),CHAR(10), IF(ISBLANK('Ingest Template'!Q730),"", 'Ingest Template'!Q730&amp;"|DAR"))),(CONCATENATE(IF(ISBLANK('Ingest Template'!O730),"", 'Ingest Template'!O730&amp;"|Operations - Core Title"),CHAR(10), IF(ISBLANK('Ingest Template'!P730),"", 'Ingest Template'!P730&amp;"|Operations - Core Title"),CHAR(10), IF(ISBLANK('Ingest Template'!Q730),"", 'Ingest Template'!Q730&amp;"|Operations - Core Title"))))</f>
        <v>#|Operations - Core Title
#videoGame|Operations - Core Title
</v>
      </c>
      <c r="AH731" s="25"/>
      <c r="AI731" s="25"/>
      <c r="AJ731" s="50" t="str">
        <f>if('Ingest Template'!A730="Standard",'Ingest Template'!R730&amp; "|DAR|DAR|2021-01-01",'Ingest Template'!R730&amp; "|Operations - Core Title|Operations - Core Title")</f>
        <v>#N/A</v>
      </c>
      <c r="AK731" s="25"/>
      <c r="AL731" s="25" t="str">
        <f>if('Ingest Template'!A730="Standard",'Ingest Template'!S730&amp; "|2021-01-01",'Ingest Template'!S730)</f>
        <v>#N/A</v>
      </c>
      <c r="AM731" s="25"/>
    </row>
    <row r="732">
      <c r="A732" s="25"/>
      <c r="B732" s="25" t="str">
        <f>'Ingest Template'!C731&amp;IF('Ingest Template'!A731 = "Standard", " - DAR","")</f>
        <v/>
      </c>
      <c r="C732" s="34" t="s">
        <v>92</v>
      </c>
      <c r="D732" s="34" t="str">
        <f>CONCATENATE('Ingest Template'!E732&amp;Char(10)&amp;'Ingest Template'!G732&amp;Char(10)&amp;'Ingest Template'!H732&amp;Char(10)&amp;'Ingest Template'!I732&amp;Char(10)&amp;'Ingest Template'!J732&amp;Char(10)&amp;'Ingest Template'!K732&amp;Char(10)&amp;'Ingest Template'!L732)</f>
        <v>
</v>
      </c>
      <c r="E732" s="25" t="str">
        <f>('Ingest Template'!M732)</f>
        <v/>
      </c>
      <c r="F732" s="40" t="str">
        <f t="array" ref="F732">INDEX(DropDown!$J$2:$J$63,MATCH(1,COUNTIF(E732,DropDown!$I$2:$I$63),0))</f>
        <v>#N/A</v>
      </c>
      <c r="G732" s="25"/>
      <c r="H732" s="25"/>
      <c r="I732" s="25"/>
      <c r="J732" s="25" t="str">
        <f>'Ingest Template'!B732</f>
        <v/>
      </c>
      <c r="K732" s="25" t="str">
        <f>IF('Ingest Template'!A731="Standard",'Ingest Template'!N731,"Competitive View")</f>
        <v>Competitive View</v>
      </c>
      <c r="L732" s="41" t="s">
        <v>145</v>
      </c>
      <c r="M732" s="25" t="str">
        <f>'Ingest Template'!D731</f>
        <v/>
      </c>
      <c r="N732" s="25"/>
      <c r="O732" s="25"/>
      <c r="P732" s="25"/>
      <c r="Q732" s="25"/>
      <c r="R732" s="25" t="str">
        <f>CONCATENATE('Ingest Template'!F731)</f>
        <v/>
      </c>
      <c r="S732" s="43" t="s">
        <v>160</v>
      </c>
      <c r="T732" s="25" t="str">
        <f>'Ingest Template'!W731</f>
        <v/>
      </c>
      <c r="U732" s="25"/>
      <c r="V732" s="25" t="str">
        <f>LOWER(SUBSTITUTE(SUBSTITUTE(SUBSTITUTE(SUBSTITUTE(SUBSTITUTE('Ingest Template'!Y731,"https:",""),"www.",""),"/",""),"?hl=en",""),"instagram.com",""))</f>
        <v/>
      </c>
      <c r="W732" s="34" t="str">
        <f>(IFERROR(vlookup('Ingest Template'!F732,DropDown!D:E,2,false)&amp;'Ingest Template'!C732,""))</f>
        <v/>
      </c>
      <c r="X732" s="25" t="str">
        <f>'Ingest Template'!AA731</f>
        <v/>
      </c>
      <c r="Y732" s="25"/>
      <c r="Z732" s="25"/>
      <c r="AA732" s="25"/>
      <c r="AB732" s="25" t="str">
        <f>'Ingest Template'!T731</f>
        <v/>
      </c>
      <c r="AC732" s="25"/>
      <c r="AD732" s="25" t="str">
        <f>'Ingest Template'!U731</f>
        <v/>
      </c>
      <c r="AE732" s="25" t="str">
        <f>'Ingest Template'!V731</f>
        <v/>
      </c>
      <c r="AF732" s="25"/>
      <c r="AG732" s="25" t="str">
        <f t="array" ref="AG732">IF('Ingest Template'!A731="Standard",(CONCATENATE(IF(ISBLANK('Ingest Template'!O731),"", 'Ingest Template'!O731&amp;"|DAR"),CHAR(10), IF(ISBLANK('Ingest Template'!P731),"", 'Ingest Template'!P731&amp;"|DAR"),CHAR(10), IF(ISBLANK('Ingest Template'!Q731),"", 'Ingest Template'!Q731&amp;"|DAR"))),(CONCATENATE(IF(ISBLANK('Ingest Template'!O731),"", 'Ingest Template'!O731&amp;"|Operations - Core Title"),CHAR(10), IF(ISBLANK('Ingest Template'!P731),"", 'Ingest Template'!P731&amp;"|Operations - Core Title"),CHAR(10), IF(ISBLANK('Ingest Template'!Q731),"", 'Ingest Template'!Q731&amp;"|Operations - Core Title"))))</f>
        <v>#|Operations - Core Title
#videoGame|Operations - Core Title
</v>
      </c>
      <c r="AH732" s="25"/>
      <c r="AI732" s="25"/>
      <c r="AJ732" s="50" t="str">
        <f>if('Ingest Template'!A731="Standard",'Ingest Template'!R731&amp; "|DAR|DAR|2021-01-01",'Ingest Template'!R731&amp; "|Operations - Core Title|Operations - Core Title")</f>
        <v>#N/A</v>
      </c>
      <c r="AK732" s="25"/>
      <c r="AL732" s="25" t="str">
        <f>if('Ingest Template'!A731="Standard",'Ingest Template'!S731&amp; "|2021-01-01",'Ingest Template'!S731)</f>
        <v>#N/A</v>
      </c>
      <c r="AM732" s="25"/>
    </row>
    <row r="733">
      <c r="A733" s="25"/>
      <c r="B733" s="25" t="str">
        <f>'Ingest Template'!C732&amp;IF('Ingest Template'!A732 = "Standard", " - DAR","")</f>
        <v/>
      </c>
      <c r="C733" s="34" t="s">
        <v>92</v>
      </c>
      <c r="D733" s="34" t="str">
        <f>CONCATENATE('Ingest Template'!E733&amp;Char(10)&amp;'Ingest Template'!G733&amp;Char(10)&amp;'Ingest Template'!H733&amp;Char(10)&amp;'Ingest Template'!I733&amp;Char(10)&amp;'Ingest Template'!J733&amp;Char(10)&amp;'Ingest Template'!K733&amp;Char(10)&amp;'Ingest Template'!L733)</f>
        <v>
</v>
      </c>
      <c r="E733" s="25" t="str">
        <f>('Ingest Template'!M733)</f>
        <v/>
      </c>
      <c r="F733" s="40" t="str">
        <f t="array" ref="F733">INDEX(DropDown!$J$2:$J$63,MATCH(1,COUNTIF(E733,DropDown!$I$2:$I$63),0))</f>
        <v>#N/A</v>
      </c>
      <c r="G733" s="25"/>
      <c r="H733" s="25"/>
      <c r="I733" s="25"/>
      <c r="J733" s="25" t="str">
        <f>'Ingest Template'!B733</f>
        <v/>
      </c>
      <c r="K733" s="25" t="str">
        <f>IF('Ingest Template'!A732="Standard",'Ingest Template'!N732,"Competitive View")</f>
        <v>Competitive View</v>
      </c>
      <c r="L733" s="41" t="s">
        <v>145</v>
      </c>
      <c r="M733" s="25" t="str">
        <f>'Ingest Template'!D732</f>
        <v/>
      </c>
      <c r="N733" s="25"/>
      <c r="O733" s="25"/>
      <c r="P733" s="25"/>
      <c r="Q733" s="25"/>
      <c r="R733" s="25" t="str">
        <f>CONCATENATE('Ingest Template'!F732)</f>
        <v/>
      </c>
      <c r="S733" s="43" t="s">
        <v>160</v>
      </c>
      <c r="T733" s="25" t="str">
        <f>'Ingest Template'!W732</f>
        <v/>
      </c>
      <c r="U733" s="25"/>
      <c r="V733" s="25" t="str">
        <f>LOWER(SUBSTITUTE(SUBSTITUTE(SUBSTITUTE(SUBSTITUTE(SUBSTITUTE('Ingest Template'!Y732,"https:",""),"www.",""),"/",""),"?hl=en",""),"instagram.com",""))</f>
        <v/>
      </c>
      <c r="W733" s="34" t="str">
        <f>(IFERROR(vlookup('Ingest Template'!F733,DropDown!D:E,2,false)&amp;'Ingest Template'!C733,""))</f>
        <v/>
      </c>
      <c r="X733" s="25" t="str">
        <f>'Ingest Template'!AA732</f>
        <v/>
      </c>
      <c r="Y733" s="25"/>
      <c r="Z733" s="25"/>
      <c r="AA733" s="25"/>
      <c r="AB733" s="25" t="str">
        <f>'Ingest Template'!T732</f>
        <v/>
      </c>
      <c r="AC733" s="25"/>
      <c r="AD733" s="25" t="str">
        <f>'Ingest Template'!U732</f>
        <v/>
      </c>
      <c r="AE733" s="25" t="str">
        <f>'Ingest Template'!V732</f>
        <v/>
      </c>
      <c r="AF733" s="25"/>
      <c r="AG733" s="25" t="str">
        <f t="array" ref="AG733">IF('Ingest Template'!A732="Standard",(CONCATENATE(IF(ISBLANK('Ingest Template'!O732),"", 'Ingest Template'!O732&amp;"|DAR"),CHAR(10), IF(ISBLANK('Ingest Template'!P732),"", 'Ingest Template'!P732&amp;"|DAR"),CHAR(10), IF(ISBLANK('Ingest Template'!Q732),"", 'Ingest Template'!Q732&amp;"|DAR"))),(CONCATENATE(IF(ISBLANK('Ingest Template'!O732),"", 'Ingest Template'!O732&amp;"|Operations - Core Title"),CHAR(10), IF(ISBLANK('Ingest Template'!P732),"", 'Ingest Template'!P732&amp;"|Operations - Core Title"),CHAR(10), IF(ISBLANK('Ingest Template'!Q732),"", 'Ingest Template'!Q732&amp;"|Operations - Core Title"))))</f>
        <v>#|Operations - Core Title
#videoGame|Operations - Core Title
</v>
      </c>
      <c r="AH733" s="25"/>
      <c r="AI733" s="25"/>
      <c r="AJ733" s="50" t="str">
        <f>if('Ingest Template'!A732="Standard",'Ingest Template'!R732&amp; "|DAR|DAR|2021-01-01",'Ingest Template'!R732&amp; "|Operations - Core Title|Operations - Core Title")</f>
        <v>#N/A</v>
      </c>
      <c r="AK733" s="25"/>
      <c r="AL733" s="25" t="str">
        <f>if('Ingest Template'!A732="Standard",'Ingest Template'!S732&amp; "|2021-01-01",'Ingest Template'!S732)</f>
        <v>#N/A</v>
      </c>
      <c r="AM733" s="25"/>
    </row>
    <row r="734">
      <c r="A734" s="25"/>
      <c r="B734" s="25" t="str">
        <f>'Ingest Template'!C733&amp;IF('Ingest Template'!A733 = "Standard", " - DAR","")</f>
        <v/>
      </c>
      <c r="C734" s="34" t="s">
        <v>92</v>
      </c>
      <c r="D734" s="34" t="str">
        <f>CONCATENATE('Ingest Template'!E734&amp;Char(10)&amp;'Ingest Template'!G734&amp;Char(10)&amp;'Ingest Template'!H734&amp;Char(10)&amp;'Ingest Template'!I734&amp;Char(10)&amp;'Ingest Template'!J734&amp;Char(10)&amp;'Ingest Template'!K734&amp;Char(10)&amp;'Ingest Template'!L734)</f>
        <v>
</v>
      </c>
      <c r="E734" s="25" t="str">
        <f>('Ingest Template'!M734)</f>
        <v/>
      </c>
      <c r="F734" s="40" t="str">
        <f t="array" ref="F734">INDEX(DropDown!$J$2:$J$63,MATCH(1,COUNTIF(E734,DropDown!$I$2:$I$63),0))</f>
        <v>#N/A</v>
      </c>
      <c r="G734" s="25"/>
      <c r="H734" s="25"/>
      <c r="I734" s="25"/>
      <c r="J734" s="25" t="str">
        <f>'Ingest Template'!B734</f>
        <v/>
      </c>
      <c r="K734" s="25" t="str">
        <f>IF('Ingest Template'!A733="Standard",'Ingest Template'!N733,"Competitive View")</f>
        <v>Competitive View</v>
      </c>
      <c r="L734" s="41" t="s">
        <v>145</v>
      </c>
      <c r="M734" s="25" t="str">
        <f>'Ingest Template'!D733</f>
        <v/>
      </c>
      <c r="N734" s="25"/>
      <c r="O734" s="25"/>
      <c r="P734" s="25"/>
      <c r="Q734" s="25"/>
      <c r="R734" s="25" t="str">
        <f>CONCATENATE('Ingest Template'!F733)</f>
        <v/>
      </c>
      <c r="S734" s="43" t="s">
        <v>160</v>
      </c>
      <c r="T734" s="25" t="str">
        <f>'Ingest Template'!W733</f>
        <v/>
      </c>
      <c r="U734" s="25"/>
      <c r="V734" s="25" t="str">
        <f>LOWER(SUBSTITUTE(SUBSTITUTE(SUBSTITUTE(SUBSTITUTE(SUBSTITUTE('Ingest Template'!Y733,"https:",""),"www.",""),"/",""),"?hl=en",""),"instagram.com",""))</f>
        <v/>
      </c>
      <c r="W734" s="34" t="str">
        <f>(IFERROR(vlookup('Ingest Template'!F734,DropDown!D:E,2,false)&amp;'Ingest Template'!C734,""))</f>
        <v/>
      </c>
      <c r="X734" s="25" t="str">
        <f>'Ingest Template'!AA733</f>
        <v/>
      </c>
      <c r="Y734" s="25"/>
      <c r="Z734" s="25"/>
      <c r="AA734" s="25"/>
      <c r="AB734" s="25" t="str">
        <f>'Ingest Template'!T733</f>
        <v/>
      </c>
      <c r="AC734" s="25"/>
      <c r="AD734" s="25" t="str">
        <f>'Ingest Template'!U733</f>
        <v/>
      </c>
      <c r="AE734" s="25" t="str">
        <f>'Ingest Template'!V733</f>
        <v/>
      </c>
      <c r="AF734" s="25"/>
      <c r="AG734" s="25" t="str">
        <f t="array" ref="AG734">IF('Ingest Template'!A733="Standard",(CONCATENATE(IF(ISBLANK('Ingest Template'!O733),"", 'Ingest Template'!O733&amp;"|DAR"),CHAR(10), IF(ISBLANK('Ingest Template'!P733),"", 'Ingest Template'!P733&amp;"|DAR"),CHAR(10), IF(ISBLANK('Ingest Template'!Q733),"", 'Ingest Template'!Q733&amp;"|DAR"))),(CONCATENATE(IF(ISBLANK('Ingest Template'!O733),"", 'Ingest Template'!O733&amp;"|Operations - Core Title"),CHAR(10), IF(ISBLANK('Ingest Template'!P733),"", 'Ingest Template'!P733&amp;"|Operations - Core Title"),CHAR(10), IF(ISBLANK('Ingest Template'!Q733),"", 'Ingest Template'!Q733&amp;"|Operations - Core Title"))))</f>
        <v>#|Operations - Core Title
#videoGame|Operations - Core Title
</v>
      </c>
      <c r="AH734" s="25"/>
      <c r="AI734" s="25"/>
      <c r="AJ734" s="50" t="str">
        <f>if('Ingest Template'!A733="Standard",'Ingest Template'!R733&amp; "|DAR|DAR|2021-01-01",'Ingest Template'!R733&amp; "|Operations - Core Title|Operations - Core Title")</f>
        <v>#N/A</v>
      </c>
      <c r="AK734" s="25"/>
      <c r="AL734" s="25" t="str">
        <f>if('Ingest Template'!A733="Standard",'Ingest Template'!S733&amp; "|2021-01-01",'Ingest Template'!S733)</f>
        <v>#N/A</v>
      </c>
      <c r="AM734" s="25"/>
    </row>
    <row r="735">
      <c r="A735" s="25"/>
      <c r="B735" s="25" t="str">
        <f>'Ingest Template'!C734&amp;IF('Ingest Template'!A734 = "Standard", " - DAR","")</f>
        <v/>
      </c>
      <c r="C735" s="34" t="s">
        <v>92</v>
      </c>
      <c r="D735" s="34" t="str">
        <f>CONCATENATE('Ingest Template'!E735&amp;Char(10)&amp;'Ingest Template'!G735&amp;Char(10)&amp;'Ingest Template'!H735&amp;Char(10)&amp;'Ingest Template'!I735&amp;Char(10)&amp;'Ingest Template'!J735&amp;Char(10)&amp;'Ingest Template'!K735&amp;Char(10)&amp;'Ingest Template'!L735)</f>
        <v>
</v>
      </c>
      <c r="E735" s="25" t="str">
        <f>('Ingest Template'!M735)</f>
        <v/>
      </c>
      <c r="F735" s="40" t="str">
        <f t="array" ref="F735">INDEX(DropDown!$J$2:$J$63,MATCH(1,COUNTIF(E735,DropDown!$I$2:$I$63),0))</f>
        <v>#N/A</v>
      </c>
      <c r="G735" s="25"/>
      <c r="H735" s="25"/>
      <c r="I735" s="25"/>
      <c r="J735" s="25" t="str">
        <f>'Ingest Template'!B735</f>
        <v/>
      </c>
      <c r="K735" s="25" t="str">
        <f>IF('Ingest Template'!A734="Standard",'Ingest Template'!N734,"Competitive View")</f>
        <v>Competitive View</v>
      </c>
      <c r="L735" s="41" t="s">
        <v>145</v>
      </c>
      <c r="M735" s="25" t="str">
        <f>'Ingest Template'!D734</f>
        <v/>
      </c>
      <c r="N735" s="25"/>
      <c r="O735" s="25"/>
      <c r="P735" s="25"/>
      <c r="Q735" s="25"/>
      <c r="R735" s="25" t="str">
        <f>CONCATENATE('Ingest Template'!F734)</f>
        <v/>
      </c>
      <c r="S735" s="43" t="s">
        <v>160</v>
      </c>
      <c r="T735" s="25" t="str">
        <f>'Ingest Template'!W734</f>
        <v/>
      </c>
      <c r="U735" s="25"/>
      <c r="V735" s="25" t="str">
        <f>LOWER(SUBSTITUTE(SUBSTITUTE(SUBSTITUTE(SUBSTITUTE(SUBSTITUTE('Ingest Template'!Y734,"https:",""),"www.",""),"/",""),"?hl=en",""),"instagram.com",""))</f>
        <v/>
      </c>
      <c r="W735" s="34" t="str">
        <f>(IFERROR(vlookup('Ingest Template'!F735,DropDown!D:E,2,false)&amp;'Ingest Template'!C735,""))</f>
        <v/>
      </c>
      <c r="X735" s="25" t="str">
        <f>'Ingest Template'!AA734</f>
        <v/>
      </c>
      <c r="Y735" s="25"/>
      <c r="Z735" s="25"/>
      <c r="AA735" s="25"/>
      <c r="AB735" s="25" t="str">
        <f>'Ingest Template'!T734</f>
        <v/>
      </c>
      <c r="AC735" s="25"/>
      <c r="AD735" s="25" t="str">
        <f>'Ingest Template'!U734</f>
        <v/>
      </c>
      <c r="AE735" s="25" t="str">
        <f>'Ingest Template'!V734</f>
        <v/>
      </c>
      <c r="AF735" s="25"/>
      <c r="AG735" s="25" t="str">
        <f t="array" ref="AG735">IF('Ingest Template'!A734="Standard",(CONCATENATE(IF(ISBLANK('Ingest Template'!O734),"", 'Ingest Template'!O734&amp;"|DAR"),CHAR(10), IF(ISBLANK('Ingest Template'!P734),"", 'Ingest Template'!P734&amp;"|DAR"),CHAR(10), IF(ISBLANK('Ingest Template'!Q734),"", 'Ingest Template'!Q734&amp;"|DAR"))),(CONCATENATE(IF(ISBLANK('Ingest Template'!O734),"", 'Ingest Template'!O734&amp;"|Operations - Core Title"),CHAR(10), IF(ISBLANK('Ingest Template'!P734),"", 'Ingest Template'!P734&amp;"|Operations - Core Title"),CHAR(10), IF(ISBLANK('Ingest Template'!Q734),"", 'Ingest Template'!Q734&amp;"|Operations - Core Title"))))</f>
        <v>#|Operations - Core Title
#videoGame|Operations - Core Title
</v>
      </c>
      <c r="AH735" s="25"/>
      <c r="AI735" s="25"/>
      <c r="AJ735" s="50" t="str">
        <f>if('Ingest Template'!A734="Standard",'Ingest Template'!R734&amp; "|DAR|DAR|2021-01-01",'Ingest Template'!R734&amp; "|Operations - Core Title|Operations - Core Title")</f>
        <v>#N/A</v>
      </c>
      <c r="AK735" s="25"/>
      <c r="AL735" s="25" t="str">
        <f>if('Ingest Template'!A734="Standard",'Ingest Template'!S734&amp; "|2021-01-01",'Ingest Template'!S734)</f>
        <v>#N/A</v>
      </c>
      <c r="AM735" s="25"/>
    </row>
    <row r="736">
      <c r="A736" s="25"/>
      <c r="B736" s="25" t="str">
        <f>'Ingest Template'!C735&amp;IF('Ingest Template'!A735 = "Standard", " - DAR","")</f>
        <v/>
      </c>
      <c r="C736" s="34" t="s">
        <v>92</v>
      </c>
      <c r="D736" s="34" t="str">
        <f>CONCATENATE('Ingest Template'!E736&amp;Char(10)&amp;'Ingest Template'!G736&amp;Char(10)&amp;'Ingest Template'!H736&amp;Char(10)&amp;'Ingest Template'!I736&amp;Char(10)&amp;'Ingest Template'!J736&amp;Char(10)&amp;'Ingest Template'!K736&amp;Char(10)&amp;'Ingest Template'!L736)</f>
        <v>
</v>
      </c>
      <c r="E736" s="25" t="str">
        <f>('Ingest Template'!M736)</f>
        <v/>
      </c>
      <c r="F736" s="40" t="str">
        <f t="array" ref="F736">INDEX(DropDown!$J$2:$J$63,MATCH(1,COUNTIF(E736,DropDown!$I$2:$I$63),0))</f>
        <v>#N/A</v>
      </c>
      <c r="G736" s="25"/>
      <c r="H736" s="25"/>
      <c r="I736" s="25"/>
      <c r="J736" s="25" t="str">
        <f>'Ingest Template'!B736</f>
        <v/>
      </c>
      <c r="K736" s="25" t="str">
        <f>IF('Ingest Template'!A735="Standard",'Ingest Template'!N735,"Competitive View")</f>
        <v>Competitive View</v>
      </c>
      <c r="L736" s="41" t="s">
        <v>145</v>
      </c>
      <c r="M736" s="25" t="str">
        <f>'Ingest Template'!D735</f>
        <v/>
      </c>
      <c r="N736" s="25"/>
      <c r="O736" s="25"/>
      <c r="P736" s="25"/>
      <c r="Q736" s="25"/>
      <c r="R736" s="25" t="str">
        <f>CONCATENATE('Ingest Template'!F735)</f>
        <v/>
      </c>
      <c r="S736" s="43" t="s">
        <v>160</v>
      </c>
      <c r="T736" s="25" t="str">
        <f>'Ingest Template'!W735</f>
        <v/>
      </c>
      <c r="U736" s="25"/>
      <c r="V736" s="25" t="str">
        <f>LOWER(SUBSTITUTE(SUBSTITUTE(SUBSTITUTE(SUBSTITUTE(SUBSTITUTE('Ingest Template'!Y735,"https:",""),"www.",""),"/",""),"?hl=en",""),"instagram.com",""))</f>
        <v/>
      </c>
      <c r="W736" s="34" t="str">
        <f>(IFERROR(vlookup('Ingest Template'!F736,DropDown!D:E,2,false)&amp;'Ingest Template'!C736,""))</f>
        <v/>
      </c>
      <c r="X736" s="25" t="str">
        <f>'Ingest Template'!AA735</f>
        <v/>
      </c>
      <c r="Y736" s="25"/>
      <c r="Z736" s="25"/>
      <c r="AA736" s="25"/>
      <c r="AB736" s="25" t="str">
        <f>'Ingest Template'!T735</f>
        <v/>
      </c>
      <c r="AC736" s="25"/>
      <c r="AD736" s="25" t="str">
        <f>'Ingest Template'!U735</f>
        <v/>
      </c>
      <c r="AE736" s="25" t="str">
        <f>'Ingest Template'!V735</f>
        <v/>
      </c>
      <c r="AF736" s="25"/>
      <c r="AG736" s="25" t="str">
        <f t="array" ref="AG736">IF('Ingest Template'!A735="Standard",(CONCATENATE(IF(ISBLANK('Ingest Template'!O735),"", 'Ingest Template'!O735&amp;"|DAR"),CHAR(10), IF(ISBLANK('Ingest Template'!P735),"", 'Ingest Template'!P735&amp;"|DAR"),CHAR(10), IF(ISBLANK('Ingest Template'!Q735),"", 'Ingest Template'!Q735&amp;"|DAR"))),(CONCATENATE(IF(ISBLANK('Ingest Template'!O735),"", 'Ingest Template'!O735&amp;"|Operations - Core Title"),CHAR(10), IF(ISBLANK('Ingest Template'!P735),"", 'Ingest Template'!P735&amp;"|Operations - Core Title"),CHAR(10), IF(ISBLANK('Ingest Template'!Q735),"", 'Ingest Template'!Q735&amp;"|Operations - Core Title"))))</f>
        <v>#|Operations - Core Title
#videoGame|Operations - Core Title
</v>
      </c>
      <c r="AH736" s="25"/>
      <c r="AI736" s="25"/>
      <c r="AJ736" s="50" t="str">
        <f>if('Ingest Template'!A735="Standard",'Ingest Template'!R735&amp; "|DAR|DAR|2021-01-01",'Ingest Template'!R735&amp; "|Operations - Core Title|Operations - Core Title")</f>
        <v>#N/A</v>
      </c>
      <c r="AK736" s="25"/>
      <c r="AL736" s="25" t="str">
        <f>if('Ingest Template'!A735="Standard",'Ingest Template'!S735&amp; "|2021-01-01",'Ingest Template'!S735)</f>
        <v>#N/A</v>
      </c>
      <c r="AM736" s="25"/>
    </row>
    <row r="737">
      <c r="A737" s="25"/>
      <c r="B737" s="25" t="str">
        <f>'Ingest Template'!C736&amp;IF('Ingest Template'!A736 = "Standard", " - DAR","")</f>
        <v/>
      </c>
      <c r="C737" s="34" t="s">
        <v>92</v>
      </c>
      <c r="D737" s="34" t="str">
        <f>CONCATENATE('Ingest Template'!E737&amp;Char(10)&amp;'Ingest Template'!G737&amp;Char(10)&amp;'Ingest Template'!H737&amp;Char(10)&amp;'Ingest Template'!I737&amp;Char(10)&amp;'Ingest Template'!J737&amp;Char(10)&amp;'Ingest Template'!K737&amp;Char(10)&amp;'Ingest Template'!L737)</f>
        <v>
</v>
      </c>
      <c r="E737" s="25" t="str">
        <f>('Ingest Template'!M737)</f>
        <v/>
      </c>
      <c r="F737" s="40" t="str">
        <f t="array" ref="F737">INDEX(DropDown!$J$2:$J$63,MATCH(1,COUNTIF(E737,DropDown!$I$2:$I$63),0))</f>
        <v>#N/A</v>
      </c>
      <c r="G737" s="25"/>
      <c r="H737" s="25"/>
      <c r="I737" s="25"/>
      <c r="J737" s="25" t="str">
        <f>'Ingest Template'!B737</f>
        <v/>
      </c>
      <c r="K737" s="25" t="str">
        <f>IF('Ingest Template'!A736="Standard",'Ingest Template'!N736,"Competitive View")</f>
        <v>Competitive View</v>
      </c>
      <c r="L737" s="41" t="s">
        <v>145</v>
      </c>
      <c r="M737" s="25" t="str">
        <f>'Ingest Template'!D736</f>
        <v/>
      </c>
      <c r="N737" s="25"/>
      <c r="O737" s="25"/>
      <c r="P737" s="25"/>
      <c r="Q737" s="25"/>
      <c r="R737" s="25" t="str">
        <f>CONCATENATE('Ingest Template'!F736)</f>
        <v/>
      </c>
      <c r="S737" s="43" t="s">
        <v>160</v>
      </c>
      <c r="T737" s="25" t="str">
        <f>'Ingest Template'!W736</f>
        <v/>
      </c>
      <c r="U737" s="25"/>
      <c r="V737" s="25" t="str">
        <f>LOWER(SUBSTITUTE(SUBSTITUTE(SUBSTITUTE(SUBSTITUTE(SUBSTITUTE('Ingest Template'!Y736,"https:",""),"www.",""),"/",""),"?hl=en",""),"instagram.com",""))</f>
        <v/>
      </c>
      <c r="W737" s="34" t="str">
        <f>(IFERROR(vlookup('Ingest Template'!F737,DropDown!D:E,2,false)&amp;'Ingest Template'!C737,""))</f>
        <v/>
      </c>
      <c r="X737" s="25" t="str">
        <f>'Ingest Template'!AA736</f>
        <v/>
      </c>
      <c r="Y737" s="25"/>
      <c r="Z737" s="25"/>
      <c r="AA737" s="25"/>
      <c r="AB737" s="25" t="str">
        <f>'Ingest Template'!T736</f>
        <v/>
      </c>
      <c r="AC737" s="25"/>
      <c r="AD737" s="25" t="str">
        <f>'Ingest Template'!U736</f>
        <v/>
      </c>
      <c r="AE737" s="25" t="str">
        <f>'Ingest Template'!V736</f>
        <v/>
      </c>
      <c r="AF737" s="25"/>
      <c r="AG737" s="25" t="str">
        <f t="array" ref="AG737">IF('Ingest Template'!A736="Standard",(CONCATENATE(IF(ISBLANK('Ingest Template'!O736),"", 'Ingest Template'!O736&amp;"|DAR"),CHAR(10), IF(ISBLANK('Ingest Template'!P736),"", 'Ingest Template'!P736&amp;"|DAR"),CHAR(10), IF(ISBLANK('Ingest Template'!Q736),"", 'Ingest Template'!Q736&amp;"|DAR"))),(CONCATENATE(IF(ISBLANK('Ingest Template'!O736),"", 'Ingest Template'!O736&amp;"|Operations - Core Title"),CHAR(10), IF(ISBLANK('Ingest Template'!P736),"", 'Ingest Template'!P736&amp;"|Operations - Core Title"),CHAR(10), IF(ISBLANK('Ingest Template'!Q736),"", 'Ingest Template'!Q736&amp;"|Operations - Core Title"))))</f>
        <v>#|Operations - Core Title
#videoGame|Operations - Core Title
</v>
      </c>
      <c r="AH737" s="25"/>
      <c r="AI737" s="25"/>
      <c r="AJ737" s="50" t="str">
        <f>if('Ingest Template'!A736="Standard",'Ingest Template'!R736&amp; "|DAR|DAR|2021-01-01",'Ingest Template'!R736&amp; "|Operations - Core Title|Operations - Core Title")</f>
        <v>#N/A</v>
      </c>
      <c r="AK737" s="25"/>
      <c r="AL737" s="25" t="str">
        <f>if('Ingest Template'!A736="Standard",'Ingest Template'!S736&amp; "|2021-01-01",'Ingest Template'!S736)</f>
        <v>#N/A</v>
      </c>
      <c r="AM737" s="25"/>
    </row>
    <row r="738">
      <c r="A738" s="25"/>
      <c r="B738" s="25" t="str">
        <f>'Ingest Template'!C737&amp;IF('Ingest Template'!A737 = "Standard", " - DAR","")</f>
        <v/>
      </c>
      <c r="C738" s="34" t="s">
        <v>92</v>
      </c>
      <c r="D738" s="34" t="str">
        <f>CONCATENATE('Ingest Template'!E738&amp;Char(10)&amp;'Ingest Template'!G738&amp;Char(10)&amp;'Ingest Template'!H738&amp;Char(10)&amp;'Ingest Template'!I738&amp;Char(10)&amp;'Ingest Template'!J738&amp;Char(10)&amp;'Ingest Template'!K738&amp;Char(10)&amp;'Ingest Template'!L738)</f>
        <v>
</v>
      </c>
      <c r="E738" s="25" t="str">
        <f>('Ingest Template'!M738)</f>
        <v/>
      </c>
      <c r="F738" s="40" t="str">
        <f t="array" ref="F738">INDEX(DropDown!$J$2:$J$63,MATCH(1,COUNTIF(E738,DropDown!$I$2:$I$63),0))</f>
        <v>#N/A</v>
      </c>
      <c r="G738" s="25"/>
      <c r="H738" s="25"/>
      <c r="I738" s="25"/>
      <c r="J738" s="25" t="str">
        <f>'Ingest Template'!B738</f>
        <v/>
      </c>
      <c r="K738" s="25" t="str">
        <f>IF('Ingest Template'!A737="Standard",'Ingest Template'!N737,"Competitive View")</f>
        <v>Competitive View</v>
      </c>
      <c r="L738" s="41" t="s">
        <v>145</v>
      </c>
      <c r="M738" s="25" t="str">
        <f>'Ingest Template'!D737</f>
        <v/>
      </c>
      <c r="N738" s="25"/>
      <c r="O738" s="25"/>
      <c r="P738" s="25"/>
      <c r="Q738" s="25"/>
      <c r="R738" s="25" t="str">
        <f>CONCATENATE('Ingest Template'!F737)</f>
        <v/>
      </c>
      <c r="S738" s="43" t="s">
        <v>160</v>
      </c>
      <c r="T738" s="25" t="str">
        <f>'Ingest Template'!W737</f>
        <v/>
      </c>
      <c r="U738" s="25"/>
      <c r="V738" s="25" t="str">
        <f>LOWER(SUBSTITUTE(SUBSTITUTE(SUBSTITUTE(SUBSTITUTE(SUBSTITUTE('Ingest Template'!Y737,"https:",""),"www.",""),"/",""),"?hl=en",""),"instagram.com",""))</f>
        <v/>
      </c>
      <c r="W738" s="34" t="str">
        <f>(IFERROR(vlookup('Ingest Template'!F738,DropDown!D:E,2,false)&amp;'Ingest Template'!C738,""))</f>
        <v/>
      </c>
      <c r="X738" s="25" t="str">
        <f>'Ingest Template'!AA737</f>
        <v/>
      </c>
      <c r="Y738" s="25"/>
      <c r="Z738" s="25"/>
      <c r="AA738" s="25"/>
      <c r="AB738" s="25" t="str">
        <f>'Ingest Template'!T737</f>
        <v/>
      </c>
      <c r="AC738" s="25"/>
      <c r="AD738" s="25" t="str">
        <f>'Ingest Template'!U737</f>
        <v/>
      </c>
      <c r="AE738" s="25" t="str">
        <f>'Ingest Template'!V737</f>
        <v/>
      </c>
      <c r="AF738" s="25"/>
      <c r="AG738" s="25" t="str">
        <f t="array" ref="AG738">IF('Ingest Template'!A737="Standard",(CONCATENATE(IF(ISBLANK('Ingest Template'!O737),"", 'Ingest Template'!O737&amp;"|DAR"),CHAR(10), IF(ISBLANK('Ingest Template'!P737),"", 'Ingest Template'!P737&amp;"|DAR"),CHAR(10), IF(ISBLANK('Ingest Template'!Q737),"", 'Ingest Template'!Q737&amp;"|DAR"))),(CONCATENATE(IF(ISBLANK('Ingest Template'!O737),"", 'Ingest Template'!O737&amp;"|Operations - Core Title"),CHAR(10), IF(ISBLANK('Ingest Template'!P737),"", 'Ingest Template'!P737&amp;"|Operations - Core Title"),CHAR(10), IF(ISBLANK('Ingest Template'!Q737),"", 'Ingest Template'!Q737&amp;"|Operations - Core Title"))))</f>
        <v>#|Operations - Core Title
#videoGame|Operations - Core Title
</v>
      </c>
      <c r="AH738" s="25"/>
      <c r="AI738" s="25"/>
      <c r="AJ738" s="50" t="str">
        <f>if('Ingest Template'!A737="Standard",'Ingest Template'!R737&amp; "|DAR|DAR|2021-01-01",'Ingest Template'!R737&amp; "|Operations - Core Title|Operations - Core Title")</f>
        <v>#N/A</v>
      </c>
      <c r="AK738" s="25"/>
      <c r="AL738" s="25" t="str">
        <f>if('Ingest Template'!A737="Standard",'Ingest Template'!S737&amp; "|2021-01-01",'Ingest Template'!S737)</f>
        <v>#N/A</v>
      </c>
      <c r="AM738" s="25"/>
    </row>
    <row r="739">
      <c r="A739" s="25"/>
      <c r="B739" s="25" t="str">
        <f>'Ingest Template'!C738&amp;IF('Ingest Template'!A738 = "Standard", " - DAR","")</f>
        <v/>
      </c>
      <c r="C739" s="34" t="s">
        <v>92</v>
      </c>
      <c r="D739" s="34" t="str">
        <f>CONCATENATE('Ingest Template'!E739&amp;Char(10)&amp;'Ingest Template'!G739&amp;Char(10)&amp;'Ingest Template'!H739&amp;Char(10)&amp;'Ingest Template'!I739&amp;Char(10)&amp;'Ingest Template'!J739&amp;Char(10)&amp;'Ingest Template'!K739&amp;Char(10)&amp;'Ingest Template'!L739)</f>
        <v>
</v>
      </c>
      <c r="E739" s="25" t="str">
        <f>('Ingest Template'!M739)</f>
        <v/>
      </c>
      <c r="F739" s="40" t="str">
        <f t="array" ref="F739">INDEX(DropDown!$J$2:$J$63,MATCH(1,COUNTIF(E739,DropDown!$I$2:$I$63),0))</f>
        <v>#N/A</v>
      </c>
      <c r="G739" s="25"/>
      <c r="H739" s="25"/>
      <c r="I739" s="25"/>
      <c r="J739" s="25" t="str">
        <f>'Ingest Template'!B739</f>
        <v/>
      </c>
      <c r="K739" s="25" t="str">
        <f>IF('Ingest Template'!A738="Standard",'Ingest Template'!N738,"Competitive View")</f>
        <v>Competitive View</v>
      </c>
      <c r="L739" s="41" t="s">
        <v>145</v>
      </c>
      <c r="M739" s="25" t="str">
        <f>'Ingest Template'!D738</f>
        <v/>
      </c>
      <c r="N739" s="25"/>
      <c r="O739" s="25"/>
      <c r="P739" s="25"/>
      <c r="Q739" s="25"/>
      <c r="R739" s="25" t="str">
        <f>CONCATENATE('Ingest Template'!F738)</f>
        <v/>
      </c>
      <c r="S739" s="43" t="s">
        <v>160</v>
      </c>
      <c r="T739" s="25" t="str">
        <f>'Ingest Template'!W738</f>
        <v/>
      </c>
      <c r="U739" s="25"/>
      <c r="V739" s="25" t="str">
        <f>LOWER(SUBSTITUTE(SUBSTITUTE(SUBSTITUTE(SUBSTITUTE(SUBSTITUTE('Ingest Template'!Y738,"https:",""),"www.",""),"/",""),"?hl=en",""),"instagram.com",""))</f>
        <v/>
      </c>
      <c r="W739" s="34" t="str">
        <f>(IFERROR(vlookup('Ingest Template'!F739,DropDown!D:E,2,false)&amp;'Ingest Template'!C739,""))</f>
        <v/>
      </c>
      <c r="X739" s="25" t="str">
        <f>'Ingest Template'!AA738</f>
        <v/>
      </c>
      <c r="Y739" s="25"/>
      <c r="Z739" s="25"/>
      <c r="AA739" s="25"/>
      <c r="AB739" s="25" t="str">
        <f>'Ingest Template'!T738</f>
        <v/>
      </c>
      <c r="AC739" s="25"/>
      <c r="AD739" s="25" t="str">
        <f>'Ingest Template'!U738</f>
        <v/>
      </c>
      <c r="AE739" s="25" t="str">
        <f>'Ingest Template'!V738</f>
        <v/>
      </c>
      <c r="AF739" s="25"/>
      <c r="AG739" s="25" t="str">
        <f t="array" ref="AG739">IF('Ingest Template'!A738="Standard",(CONCATENATE(IF(ISBLANK('Ingest Template'!O738),"", 'Ingest Template'!O738&amp;"|DAR"),CHAR(10), IF(ISBLANK('Ingest Template'!P738),"", 'Ingest Template'!P738&amp;"|DAR"),CHAR(10), IF(ISBLANK('Ingest Template'!Q738),"", 'Ingest Template'!Q738&amp;"|DAR"))),(CONCATENATE(IF(ISBLANK('Ingest Template'!O738),"", 'Ingest Template'!O738&amp;"|Operations - Core Title"),CHAR(10), IF(ISBLANK('Ingest Template'!P738),"", 'Ingest Template'!P738&amp;"|Operations - Core Title"),CHAR(10), IF(ISBLANK('Ingest Template'!Q738),"", 'Ingest Template'!Q738&amp;"|Operations - Core Title"))))</f>
        <v>#|Operations - Core Title
#videoGame|Operations - Core Title
</v>
      </c>
      <c r="AH739" s="25"/>
      <c r="AI739" s="25"/>
      <c r="AJ739" s="50" t="str">
        <f>if('Ingest Template'!A738="Standard",'Ingest Template'!R738&amp; "|DAR|DAR|2021-01-01",'Ingest Template'!R738&amp; "|Operations - Core Title|Operations - Core Title")</f>
        <v>#N/A</v>
      </c>
      <c r="AK739" s="25"/>
      <c r="AL739" s="25" t="str">
        <f>if('Ingest Template'!A738="Standard",'Ingest Template'!S738&amp; "|2021-01-01",'Ingest Template'!S738)</f>
        <v>#N/A</v>
      </c>
      <c r="AM739" s="25"/>
    </row>
    <row r="740">
      <c r="A740" s="25"/>
      <c r="B740" s="25" t="str">
        <f>'Ingest Template'!C739&amp;IF('Ingest Template'!A739 = "Standard", " - DAR","")</f>
        <v/>
      </c>
      <c r="C740" s="34" t="s">
        <v>92</v>
      </c>
      <c r="D740" s="34" t="str">
        <f>CONCATENATE('Ingest Template'!E740&amp;Char(10)&amp;'Ingest Template'!G740&amp;Char(10)&amp;'Ingest Template'!H740&amp;Char(10)&amp;'Ingest Template'!I740&amp;Char(10)&amp;'Ingest Template'!J740&amp;Char(10)&amp;'Ingest Template'!K740&amp;Char(10)&amp;'Ingest Template'!L740)</f>
        <v>
</v>
      </c>
      <c r="E740" s="25" t="str">
        <f>('Ingest Template'!M740)</f>
        <v/>
      </c>
      <c r="F740" s="40" t="str">
        <f t="array" ref="F740">INDEX(DropDown!$J$2:$J$63,MATCH(1,COUNTIF(E740,DropDown!$I$2:$I$63),0))</f>
        <v>#N/A</v>
      </c>
      <c r="G740" s="25"/>
      <c r="H740" s="25"/>
      <c r="I740" s="25"/>
      <c r="J740" s="25" t="str">
        <f>'Ingest Template'!B740</f>
        <v/>
      </c>
      <c r="K740" s="25" t="str">
        <f>IF('Ingest Template'!A739="Standard",'Ingest Template'!N739,"Competitive View")</f>
        <v>Competitive View</v>
      </c>
      <c r="L740" s="41" t="s">
        <v>145</v>
      </c>
      <c r="M740" s="25" t="str">
        <f>'Ingest Template'!D739</f>
        <v/>
      </c>
      <c r="N740" s="25"/>
      <c r="O740" s="25"/>
      <c r="P740" s="25"/>
      <c r="Q740" s="25"/>
      <c r="R740" s="25" t="str">
        <f>CONCATENATE('Ingest Template'!F739)</f>
        <v/>
      </c>
      <c r="S740" s="43" t="s">
        <v>160</v>
      </c>
      <c r="T740" s="25" t="str">
        <f>'Ingest Template'!W739</f>
        <v/>
      </c>
      <c r="U740" s="25"/>
      <c r="V740" s="25" t="str">
        <f>LOWER(SUBSTITUTE(SUBSTITUTE(SUBSTITUTE(SUBSTITUTE(SUBSTITUTE('Ingest Template'!Y739,"https:",""),"www.",""),"/",""),"?hl=en",""),"instagram.com",""))</f>
        <v/>
      </c>
      <c r="W740" s="34" t="str">
        <f>(IFERROR(vlookup('Ingest Template'!F740,DropDown!D:E,2,false)&amp;'Ingest Template'!C740,""))</f>
        <v/>
      </c>
      <c r="X740" s="25" t="str">
        <f>'Ingest Template'!AA739</f>
        <v/>
      </c>
      <c r="Y740" s="25"/>
      <c r="Z740" s="25"/>
      <c r="AA740" s="25"/>
      <c r="AB740" s="25" t="str">
        <f>'Ingest Template'!T739</f>
        <v/>
      </c>
      <c r="AC740" s="25"/>
      <c r="AD740" s="25" t="str">
        <f>'Ingest Template'!U739</f>
        <v/>
      </c>
      <c r="AE740" s="25" t="str">
        <f>'Ingest Template'!V739</f>
        <v/>
      </c>
      <c r="AF740" s="25"/>
      <c r="AG740" s="25" t="str">
        <f t="array" ref="AG740">IF('Ingest Template'!A739="Standard",(CONCATENATE(IF(ISBLANK('Ingest Template'!O739),"", 'Ingest Template'!O739&amp;"|DAR"),CHAR(10), IF(ISBLANK('Ingest Template'!P739),"", 'Ingest Template'!P739&amp;"|DAR"),CHAR(10), IF(ISBLANK('Ingest Template'!Q739),"", 'Ingest Template'!Q739&amp;"|DAR"))),(CONCATENATE(IF(ISBLANK('Ingest Template'!O739),"", 'Ingest Template'!O739&amp;"|Operations - Core Title"),CHAR(10), IF(ISBLANK('Ingest Template'!P739),"", 'Ingest Template'!P739&amp;"|Operations - Core Title"),CHAR(10), IF(ISBLANK('Ingest Template'!Q739),"", 'Ingest Template'!Q739&amp;"|Operations - Core Title"))))</f>
        <v>#|Operations - Core Title
#videoGame|Operations - Core Title
</v>
      </c>
      <c r="AH740" s="25"/>
      <c r="AI740" s="25"/>
      <c r="AJ740" s="50" t="str">
        <f>if('Ingest Template'!A739="Standard",'Ingest Template'!R739&amp; "|DAR|DAR|2021-01-01",'Ingest Template'!R739&amp; "|Operations - Core Title|Operations - Core Title")</f>
        <v>#N/A</v>
      </c>
      <c r="AK740" s="25"/>
      <c r="AL740" s="25" t="str">
        <f>if('Ingest Template'!A739="Standard",'Ingest Template'!S739&amp; "|2021-01-01",'Ingest Template'!S739)</f>
        <v>#N/A</v>
      </c>
      <c r="AM740" s="25"/>
    </row>
    <row r="741">
      <c r="A741" s="25"/>
      <c r="B741" s="25" t="str">
        <f>'Ingest Template'!C740&amp;IF('Ingest Template'!A740 = "Standard", " - DAR","")</f>
        <v/>
      </c>
      <c r="C741" s="34" t="s">
        <v>92</v>
      </c>
      <c r="D741" s="34" t="str">
        <f>CONCATENATE('Ingest Template'!E741&amp;Char(10)&amp;'Ingest Template'!G741&amp;Char(10)&amp;'Ingest Template'!H741&amp;Char(10)&amp;'Ingest Template'!I741&amp;Char(10)&amp;'Ingest Template'!J741&amp;Char(10)&amp;'Ingest Template'!K741&amp;Char(10)&amp;'Ingest Template'!L741)</f>
        <v>
</v>
      </c>
      <c r="E741" s="25" t="str">
        <f>('Ingest Template'!M741)</f>
        <v/>
      </c>
      <c r="F741" s="40" t="str">
        <f t="array" ref="F741">INDEX(DropDown!$J$2:$J$63,MATCH(1,COUNTIF(E741,DropDown!$I$2:$I$63),0))</f>
        <v>#N/A</v>
      </c>
      <c r="G741" s="25"/>
      <c r="H741" s="25"/>
      <c r="I741" s="25"/>
      <c r="J741" s="25" t="str">
        <f>'Ingest Template'!B741</f>
        <v/>
      </c>
      <c r="K741" s="25" t="str">
        <f>IF('Ingest Template'!A740="Standard",'Ingest Template'!N740,"Competitive View")</f>
        <v>Competitive View</v>
      </c>
      <c r="L741" s="41" t="s">
        <v>145</v>
      </c>
      <c r="M741" s="25" t="str">
        <f>'Ingest Template'!D740</f>
        <v/>
      </c>
      <c r="N741" s="25"/>
      <c r="O741" s="25"/>
      <c r="P741" s="25"/>
      <c r="Q741" s="25"/>
      <c r="R741" s="25" t="str">
        <f>CONCATENATE('Ingest Template'!F740)</f>
        <v/>
      </c>
      <c r="S741" s="43" t="s">
        <v>160</v>
      </c>
      <c r="T741" s="25" t="str">
        <f>'Ingest Template'!W740</f>
        <v/>
      </c>
      <c r="U741" s="25"/>
      <c r="V741" s="25" t="str">
        <f>LOWER(SUBSTITUTE(SUBSTITUTE(SUBSTITUTE(SUBSTITUTE(SUBSTITUTE('Ingest Template'!Y740,"https:",""),"www.",""),"/",""),"?hl=en",""),"instagram.com",""))</f>
        <v/>
      </c>
      <c r="W741" s="34" t="str">
        <f>(IFERROR(vlookup('Ingest Template'!F741,DropDown!D:E,2,false)&amp;'Ingest Template'!C741,""))</f>
        <v/>
      </c>
      <c r="X741" s="25" t="str">
        <f>'Ingest Template'!AA740</f>
        <v/>
      </c>
      <c r="Y741" s="25"/>
      <c r="Z741" s="25"/>
      <c r="AA741" s="25"/>
      <c r="AB741" s="25" t="str">
        <f>'Ingest Template'!T740</f>
        <v/>
      </c>
      <c r="AC741" s="25"/>
      <c r="AD741" s="25" t="str">
        <f>'Ingest Template'!U740</f>
        <v/>
      </c>
      <c r="AE741" s="25" t="str">
        <f>'Ingest Template'!V740</f>
        <v/>
      </c>
      <c r="AF741" s="25"/>
      <c r="AG741" s="25" t="str">
        <f t="array" ref="AG741">IF('Ingest Template'!A740="Standard",(CONCATENATE(IF(ISBLANK('Ingest Template'!O740),"", 'Ingest Template'!O740&amp;"|DAR"),CHAR(10), IF(ISBLANK('Ingest Template'!P740),"", 'Ingest Template'!P740&amp;"|DAR"),CHAR(10), IF(ISBLANK('Ingest Template'!Q740),"", 'Ingest Template'!Q740&amp;"|DAR"))),(CONCATENATE(IF(ISBLANK('Ingest Template'!O740),"", 'Ingest Template'!O740&amp;"|Operations - Core Title"),CHAR(10), IF(ISBLANK('Ingest Template'!P740),"", 'Ingest Template'!P740&amp;"|Operations - Core Title"),CHAR(10), IF(ISBLANK('Ingest Template'!Q740),"", 'Ingest Template'!Q740&amp;"|Operations - Core Title"))))</f>
        <v>#|Operations - Core Title
#videoGame|Operations - Core Title
</v>
      </c>
      <c r="AH741" s="25"/>
      <c r="AI741" s="25"/>
      <c r="AJ741" s="50" t="str">
        <f>if('Ingest Template'!A740="Standard",'Ingest Template'!R740&amp; "|DAR|DAR|2021-01-01",'Ingest Template'!R740&amp; "|Operations - Core Title|Operations - Core Title")</f>
        <v>#N/A</v>
      </c>
      <c r="AK741" s="25"/>
      <c r="AL741" s="25" t="str">
        <f>if('Ingest Template'!A740="Standard",'Ingest Template'!S740&amp; "|2021-01-01",'Ingest Template'!S740)</f>
        <v>#N/A</v>
      </c>
      <c r="AM741" s="25"/>
    </row>
    <row r="742">
      <c r="A742" s="25"/>
      <c r="B742" s="25" t="str">
        <f>'Ingest Template'!C741&amp;IF('Ingest Template'!A741 = "Standard", " - DAR","")</f>
        <v/>
      </c>
      <c r="C742" s="34" t="s">
        <v>92</v>
      </c>
      <c r="D742" s="34" t="str">
        <f>CONCATENATE('Ingest Template'!E742&amp;Char(10)&amp;'Ingest Template'!G742&amp;Char(10)&amp;'Ingest Template'!H742&amp;Char(10)&amp;'Ingest Template'!I742&amp;Char(10)&amp;'Ingest Template'!J742&amp;Char(10)&amp;'Ingest Template'!K742&amp;Char(10)&amp;'Ingest Template'!L742)</f>
        <v>
</v>
      </c>
      <c r="E742" s="25" t="str">
        <f>('Ingest Template'!M742)</f>
        <v/>
      </c>
      <c r="F742" s="40" t="str">
        <f t="array" ref="F742">INDEX(DropDown!$J$2:$J$63,MATCH(1,COUNTIF(E742,DropDown!$I$2:$I$63),0))</f>
        <v>#N/A</v>
      </c>
      <c r="G742" s="25"/>
      <c r="H742" s="25"/>
      <c r="I742" s="25"/>
      <c r="J742" s="25" t="str">
        <f>'Ingest Template'!B742</f>
        <v/>
      </c>
      <c r="K742" s="25" t="str">
        <f>IF('Ingest Template'!A741="Standard",'Ingest Template'!N741,"Competitive View")</f>
        <v>Competitive View</v>
      </c>
      <c r="L742" s="41" t="s">
        <v>145</v>
      </c>
      <c r="M742" s="25" t="str">
        <f>'Ingest Template'!D741</f>
        <v/>
      </c>
      <c r="N742" s="25"/>
      <c r="O742" s="25"/>
      <c r="P742" s="25"/>
      <c r="Q742" s="25"/>
      <c r="R742" s="25" t="str">
        <f>CONCATENATE('Ingest Template'!F741)</f>
        <v/>
      </c>
      <c r="S742" s="43" t="s">
        <v>160</v>
      </c>
      <c r="T742" s="25" t="str">
        <f>'Ingest Template'!W741</f>
        <v/>
      </c>
      <c r="U742" s="25"/>
      <c r="V742" s="25" t="str">
        <f>LOWER(SUBSTITUTE(SUBSTITUTE(SUBSTITUTE(SUBSTITUTE(SUBSTITUTE('Ingest Template'!Y741,"https:",""),"www.",""),"/",""),"?hl=en",""),"instagram.com",""))</f>
        <v/>
      </c>
      <c r="W742" s="34" t="str">
        <f>(IFERROR(vlookup('Ingest Template'!F742,DropDown!D:E,2,false)&amp;'Ingest Template'!C742,""))</f>
        <v/>
      </c>
      <c r="X742" s="25" t="str">
        <f>'Ingest Template'!AA741</f>
        <v/>
      </c>
      <c r="Y742" s="25"/>
      <c r="Z742" s="25"/>
      <c r="AA742" s="25"/>
      <c r="AB742" s="25" t="str">
        <f>'Ingest Template'!T741</f>
        <v/>
      </c>
      <c r="AC742" s="25"/>
      <c r="AD742" s="25" t="str">
        <f>'Ingest Template'!U741</f>
        <v/>
      </c>
      <c r="AE742" s="25" t="str">
        <f>'Ingest Template'!V741</f>
        <v/>
      </c>
      <c r="AF742" s="25"/>
      <c r="AG742" s="25" t="str">
        <f t="array" ref="AG742">IF('Ingest Template'!A741="Standard",(CONCATENATE(IF(ISBLANK('Ingest Template'!O741),"", 'Ingest Template'!O741&amp;"|DAR"),CHAR(10), IF(ISBLANK('Ingest Template'!P741),"", 'Ingest Template'!P741&amp;"|DAR"),CHAR(10), IF(ISBLANK('Ingest Template'!Q741),"", 'Ingest Template'!Q741&amp;"|DAR"))),(CONCATENATE(IF(ISBLANK('Ingest Template'!O741),"", 'Ingest Template'!O741&amp;"|Operations - Core Title"),CHAR(10), IF(ISBLANK('Ingest Template'!P741),"", 'Ingest Template'!P741&amp;"|Operations - Core Title"),CHAR(10), IF(ISBLANK('Ingest Template'!Q741),"", 'Ingest Template'!Q741&amp;"|Operations - Core Title"))))</f>
        <v>#|Operations - Core Title
#videoGame|Operations - Core Title
</v>
      </c>
      <c r="AH742" s="25"/>
      <c r="AI742" s="25"/>
      <c r="AJ742" s="50" t="str">
        <f>if('Ingest Template'!A741="Standard",'Ingest Template'!R741&amp; "|DAR|DAR|2021-01-01",'Ingest Template'!R741&amp; "|Operations - Core Title|Operations - Core Title")</f>
        <v>#N/A</v>
      </c>
      <c r="AK742" s="25"/>
      <c r="AL742" s="25" t="str">
        <f>if('Ingest Template'!A741="Standard",'Ingest Template'!S741&amp; "|2021-01-01",'Ingest Template'!S741)</f>
        <v>#N/A</v>
      </c>
      <c r="AM742" s="25"/>
    </row>
    <row r="743">
      <c r="A743" s="25"/>
      <c r="B743" s="25" t="str">
        <f>'Ingest Template'!C742&amp;IF('Ingest Template'!A742 = "Standard", " - DAR","")</f>
        <v/>
      </c>
      <c r="C743" s="34" t="s">
        <v>92</v>
      </c>
      <c r="D743" s="34" t="str">
        <f>CONCATENATE('Ingest Template'!E743&amp;Char(10)&amp;'Ingest Template'!G743&amp;Char(10)&amp;'Ingest Template'!H743&amp;Char(10)&amp;'Ingest Template'!I743&amp;Char(10)&amp;'Ingest Template'!J743&amp;Char(10)&amp;'Ingest Template'!K743&amp;Char(10)&amp;'Ingest Template'!L743)</f>
        <v>
</v>
      </c>
      <c r="E743" s="25" t="str">
        <f>('Ingest Template'!M743)</f>
        <v/>
      </c>
      <c r="F743" s="40" t="str">
        <f t="array" ref="F743">INDEX(DropDown!$J$2:$J$63,MATCH(1,COUNTIF(E743,DropDown!$I$2:$I$63),0))</f>
        <v>#N/A</v>
      </c>
      <c r="G743" s="25"/>
      <c r="H743" s="25"/>
      <c r="I743" s="25"/>
      <c r="J743" s="25" t="str">
        <f>'Ingest Template'!B743</f>
        <v/>
      </c>
      <c r="K743" s="25" t="str">
        <f>IF('Ingest Template'!A742="Standard",'Ingest Template'!N742,"Competitive View")</f>
        <v>Competitive View</v>
      </c>
      <c r="L743" s="41" t="s">
        <v>145</v>
      </c>
      <c r="M743" s="25" t="str">
        <f>'Ingest Template'!D742</f>
        <v/>
      </c>
      <c r="N743" s="25"/>
      <c r="O743" s="25"/>
      <c r="P743" s="25"/>
      <c r="Q743" s="25"/>
      <c r="R743" s="25" t="str">
        <f>CONCATENATE('Ingest Template'!F742)</f>
        <v/>
      </c>
      <c r="S743" s="43" t="s">
        <v>160</v>
      </c>
      <c r="T743" s="25" t="str">
        <f>'Ingest Template'!W742</f>
        <v/>
      </c>
      <c r="U743" s="25"/>
      <c r="V743" s="25" t="str">
        <f>LOWER(SUBSTITUTE(SUBSTITUTE(SUBSTITUTE(SUBSTITUTE(SUBSTITUTE('Ingest Template'!Y742,"https:",""),"www.",""),"/",""),"?hl=en",""),"instagram.com",""))</f>
        <v/>
      </c>
      <c r="W743" s="34" t="str">
        <f>(IFERROR(vlookup('Ingest Template'!F743,DropDown!D:E,2,false)&amp;'Ingest Template'!C743,""))</f>
        <v/>
      </c>
      <c r="X743" s="25" t="str">
        <f>'Ingest Template'!AA742</f>
        <v/>
      </c>
      <c r="Y743" s="25"/>
      <c r="Z743" s="25"/>
      <c r="AA743" s="25"/>
      <c r="AB743" s="25" t="str">
        <f>'Ingest Template'!T742</f>
        <v/>
      </c>
      <c r="AC743" s="25"/>
      <c r="AD743" s="25" t="str">
        <f>'Ingest Template'!U742</f>
        <v/>
      </c>
      <c r="AE743" s="25" t="str">
        <f>'Ingest Template'!V742</f>
        <v/>
      </c>
      <c r="AF743" s="25"/>
      <c r="AG743" s="25" t="str">
        <f t="array" ref="AG743">IF('Ingest Template'!A742="Standard",(CONCATENATE(IF(ISBLANK('Ingest Template'!O742),"", 'Ingest Template'!O742&amp;"|DAR"),CHAR(10), IF(ISBLANK('Ingest Template'!P742),"", 'Ingest Template'!P742&amp;"|DAR"),CHAR(10), IF(ISBLANK('Ingest Template'!Q742),"", 'Ingest Template'!Q742&amp;"|DAR"))),(CONCATENATE(IF(ISBLANK('Ingest Template'!O742),"", 'Ingest Template'!O742&amp;"|Operations - Core Title"),CHAR(10), IF(ISBLANK('Ingest Template'!P742),"", 'Ingest Template'!P742&amp;"|Operations - Core Title"),CHAR(10), IF(ISBLANK('Ingest Template'!Q742),"", 'Ingest Template'!Q742&amp;"|Operations - Core Title"))))</f>
        <v>#|Operations - Core Title
#videoGame|Operations - Core Title
</v>
      </c>
      <c r="AH743" s="25"/>
      <c r="AI743" s="25"/>
      <c r="AJ743" s="50" t="str">
        <f>if('Ingest Template'!A742="Standard",'Ingest Template'!R742&amp; "|DAR|DAR|2021-01-01",'Ingest Template'!R742&amp; "|Operations - Core Title|Operations - Core Title")</f>
        <v>#N/A</v>
      </c>
      <c r="AK743" s="25"/>
      <c r="AL743" s="25" t="str">
        <f>if('Ingest Template'!A742="Standard",'Ingest Template'!S742&amp; "|2021-01-01",'Ingest Template'!S742)</f>
        <v>#N/A</v>
      </c>
      <c r="AM743" s="25"/>
    </row>
    <row r="744">
      <c r="A744" s="25"/>
      <c r="B744" s="25" t="str">
        <f>'Ingest Template'!C743&amp;IF('Ingest Template'!A743 = "Standard", " - DAR","")</f>
        <v/>
      </c>
      <c r="C744" s="34" t="s">
        <v>92</v>
      </c>
      <c r="D744" s="34" t="str">
        <f>CONCATENATE('Ingest Template'!E744&amp;Char(10)&amp;'Ingest Template'!G744&amp;Char(10)&amp;'Ingest Template'!H744&amp;Char(10)&amp;'Ingest Template'!I744&amp;Char(10)&amp;'Ingest Template'!J744&amp;Char(10)&amp;'Ingest Template'!K744&amp;Char(10)&amp;'Ingest Template'!L744)</f>
        <v>
</v>
      </c>
      <c r="E744" s="25" t="str">
        <f>('Ingest Template'!M744)</f>
        <v/>
      </c>
      <c r="F744" s="40" t="str">
        <f t="array" ref="F744">INDEX(DropDown!$J$2:$J$63,MATCH(1,COUNTIF(E744,DropDown!$I$2:$I$63),0))</f>
        <v>#N/A</v>
      </c>
      <c r="G744" s="25"/>
      <c r="H744" s="25"/>
      <c r="I744" s="25"/>
      <c r="J744" s="25" t="str">
        <f>'Ingest Template'!B744</f>
        <v/>
      </c>
      <c r="K744" s="25" t="str">
        <f>IF('Ingest Template'!A743="Standard",'Ingest Template'!N743,"Competitive View")</f>
        <v>Competitive View</v>
      </c>
      <c r="L744" s="41" t="s">
        <v>145</v>
      </c>
      <c r="M744" s="25" t="str">
        <f>'Ingest Template'!D743</f>
        <v/>
      </c>
      <c r="N744" s="25"/>
      <c r="O744" s="25"/>
      <c r="P744" s="25"/>
      <c r="Q744" s="25"/>
      <c r="R744" s="25" t="str">
        <f>CONCATENATE('Ingest Template'!F743)</f>
        <v/>
      </c>
      <c r="S744" s="43" t="s">
        <v>160</v>
      </c>
      <c r="T744" s="25" t="str">
        <f>'Ingest Template'!W743</f>
        <v/>
      </c>
      <c r="U744" s="25"/>
      <c r="V744" s="25" t="str">
        <f>LOWER(SUBSTITUTE(SUBSTITUTE(SUBSTITUTE(SUBSTITUTE(SUBSTITUTE('Ingest Template'!Y743,"https:",""),"www.",""),"/",""),"?hl=en",""),"instagram.com",""))</f>
        <v/>
      </c>
      <c r="W744" s="34" t="str">
        <f>(IFERROR(vlookup('Ingest Template'!F744,DropDown!D:E,2,false)&amp;'Ingest Template'!C744,""))</f>
        <v/>
      </c>
      <c r="X744" s="25" t="str">
        <f>'Ingest Template'!AA743</f>
        <v/>
      </c>
      <c r="Y744" s="25"/>
      <c r="Z744" s="25"/>
      <c r="AA744" s="25"/>
      <c r="AB744" s="25" t="str">
        <f>'Ingest Template'!T743</f>
        <v/>
      </c>
      <c r="AC744" s="25"/>
      <c r="AD744" s="25" t="str">
        <f>'Ingest Template'!U743</f>
        <v/>
      </c>
      <c r="AE744" s="25" t="str">
        <f>'Ingest Template'!V743</f>
        <v/>
      </c>
      <c r="AF744" s="25"/>
      <c r="AG744" s="25" t="str">
        <f t="array" ref="AG744">IF('Ingest Template'!A743="Standard",(CONCATENATE(IF(ISBLANK('Ingest Template'!O743),"", 'Ingest Template'!O743&amp;"|DAR"),CHAR(10), IF(ISBLANK('Ingest Template'!P743),"", 'Ingest Template'!P743&amp;"|DAR"),CHAR(10), IF(ISBLANK('Ingest Template'!Q743),"", 'Ingest Template'!Q743&amp;"|DAR"))),(CONCATENATE(IF(ISBLANK('Ingest Template'!O743),"", 'Ingest Template'!O743&amp;"|Operations - Core Title"),CHAR(10), IF(ISBLANK('Ingest Template'!P743),"", 'Ingest Template'!P743&amp;"|Operations - Core Title"),CHAR(10), IF(ISBLANK('Ingest Template'!Q743),"", 'Ingest Template'!Q743&amp;"|Operations - Core Title"))))</f>
        <v>#|Operations - Core Title
#videoGame|Operations - Core Title
</v>
      </c>
      <c r="AH744" s="25"/>
      <c r="AI744" s="25"/>
      <c r="AJ744" s="50" t="str">
        <f>if('Ingest Template'!A743="Standard",'Ingest Template'!R743&amp; "|DAR|DAR|2021-01-01",'Ingest Template'!R743&amp; "|Operations - Core Title|Operations - Core Title")</f>
        <v>#N/A</v>
      </c>
      <c r="AK744" s="25"/>
      <c r="AL744" s="25" t="str">
        <f>if('Ingest Template'!A743="Standard",'Ingest Template'!S743&amp; "|2021-01-01",'Ingest Template'!S743)</f>
        <v>#N/A</v>
      </c>
      <c r="AM744" s="25"/>
    </row>
    <row r="745">
      <c r="A745" s="25"/>
      <c r="B745" s="25" t="str">
        <f>'Ingest Template'!C744&amp;IF('Ingest Template'!A744 = "Standard", " - DAR","")</f>
        <v/>
      </c>
      <c r="C745" s="34" t="s">
        <v>92</v>
      </c>
      <c r="D745" s="34" t="str">
        <f>CONCATENATE('Ingest Template'!E745&amp;Char(10)&amp;'Ingest Template'!G745&amp;Char(10)&amp;'Ingest Template'!H745&amp;Char(10)&amp;'Ingest Template'!I745&amp;Char(10)&amp;'Ingest Template'!J745&amp;Char(10)&amp;'Ingest Template'!K745&amp;Char(10)&amp;'Ingest Template'!L745)</f>
        <v>
</v>
      </c>
      <c r="E745" s="25" t="str">
        <f>('Ingest Template'!M745)</f>
        <v/>
      </c>
      <c r="F745" s="40" t="str">
        <f t="array" ref="F745">INDEX(DropDown!$J$2:$J$63,MATCH(1,COUNTIF(E745,DropDown!$I$2:$I$63),0))</f>
        <v>#N/A</v>
      </c>
      <c r="G745" s="25"/>
      <c r="H745" s="25"/>
      <c r="I745" s="25"/>
      <c r="J745" s="25" t="str">
        <f>'Ingest Template'!B745</f>
        <v/>
      </c>
      <c r="K745" s="25" t="str">
        <f>IF('Ingest Template'!A744="Standard",'Ingest Template'!N744,"Competitive View")</f>
        <v>Competitive View</v>
      </c>
      <c r="L745" s="41" t="s">
        <v>145</v>
      </c>
      <c r="M745" s="25" t="str">
        <f>'Ingest Template'!D744</f>
        <v/>
      </c>
      <c r="N745" s="25"/>
      <c r="O745" s="25"/>
      <c r="P745" s="25"/>
      <c r="Q745" s="25"/>
      <c r="R745" s="25" t="str">
        <f>CONCATENATE('Ingest Template'!F744)</f>
        <v/>
      </c>
      <c r="S745" s="43" t="s">
        <v>160</v>
      </c>
      <c r="T745" s="25" t="str">
        <f>'Ingest Template'!W744</f>
        <v/>
      </c>
      <c r="U745" s="25"/>
      <c r="V745" s="25" t="str">
        <f>LOWER(SUBSTITUTE(SUBSTITUTE(SUBSTITUTE(SUBSTITUTE(SUBSTITUTE('Ingest Template'!Y744,"https:",""),"www.",""),"/",""),"?hl=en",""),"instagram.com",""))</f>
        <v/>
      </c>
      <c r="W745" s="34" t="str">
        <f>(IFERROR(vlookup('Ingest Template'!F745,DropDown!D:E,2,false)&amp;'Ingest Template'!C745,""))</f>
        <v/>
      </c>
      <c r="X745" s="25" t="str">
        <f>'Ingest Template'!AA744</f>
        <v/>
      </c>
      <c r="Y745" s="25"/>
      <c r="Z745" s="25"/>
      <c r="AA745" s="25"/>
      <c r="AB745" s="25" t="str">
        <f>'Ingest Template'!T744</f>
        <v/>
      </c>
      <c r="AC745" s="25"/>
      <c r="AD745" s="25" t="str">
        <f>'Ingest Template'!U744</f>
        <v/>
      </c>
      <c r="AE745" s="25" t="str">
        <f>'Ingest Template'!V744</f>
        <v/>
      </c>
      <c r="AF745" s="25"/>
      <c r="AG745" s="25" t="str">
        <f t="array" ref="AG745">IF('Ingest Template'!A744="Standard",(CONCATENATE(IF(ISBLANK('Ingest Template'!O744),"", 'Ingest Template'!O744&amp;"|DAR"),CHAR(10), IF(ISBLANK('Ingest Template'!P744),"", 'Ingest Template'!P744&amp;"|DAR"),CHAR(10), IF(ISBLANK('Ingest Template'!Q744),"", 'Ingest Template'!Q744&amp;"|DAR"))),(CONCATENATE(IF(ISBLANK('Ingest Template'!O744),"", 'Ingest Template'!O744&amp;"|Operations - Core Title"),CHAR(10), IF(ISBLANK('Ingest Template'!P744),"", 'Ingest Template'!P744&amp;"|Operations - Core Title"),CHAR(10), IF(ISBLANK('Ingest Template'!Q744),"", 'Ingest Template'!Q744&amp;"|Operations - Core Title"))))</f>
        <v>#|Operations - Core Title
#videoGame|Operations - Core Title
</v>
      </c>
      <c r="AH745" s="25"/>
      <c r="AI745" s="25"/>
      <c r="AJ745" s="50" t="str">
        <f>if('Ingest Template'!A744="Standard",'Ingest Template'!R744&amp; "|DAR|DAR|2021-01-01",'Ingest Template'!R744&amp; "|Operations - Core Title|Operations - Core Title")</f>
        <v>#N/A</v>
      </c>
      <c r="AK745" s="25"/>
      <c r="AL745" s="25" t="str">
        <f>if('Ingest Template'!A744="Standard",'Ingest Template'!S744&amp; "|2021-01-01",'Ingest Template'!S744)</f>
        <v>#N/A</v>
      </c>
      <c r="AM745" s="25"/>
    </row>
    <row r="746">
      <c r="A746" s="25"/>
      <c r="B746" s="25" t="str">
        <f>'Ingest Template'!C745&amp;IF('Ingest Template'!A745 = "Standard", " - DAR","")</f>
        <v/>
      </c>
      <c r="C746" s="34" t="s">
        <v>92</v>
      </c>
      <c r="D746" s="34" t="str">
        <f>CONCATENATE('Ingest Template'!E746&amp;Char(10)&amp;'Ingest Template'!G746&amp;Char(10)&amp;'Ingest Template'!H746&amp;Char(10)&amp;'Ingest Template'!I746&amp;Char(10)&amp;'Ingest Template'!J746&amp;Char(10)&amp;'Ingest Template'!K746&amp;Char(10)&amp;'Ingest Template'!L746)</f>
        <v>
</v>
      </c>
      <c r="E746" s="25" t="str">
        <f>('Ingest Template'!M746)</f>
        <v/>
      </c>
      <c r="F746" s="40" t="str">
        <f t="array" ref="F746">INDEX(DropDown!$J$2:$J$63,MATCH(1,COUNTIF(E746,DropDown!$I$2:$I$63),0))</f>
        <v>#N/A</v>
      </c>
      <c r="G746" s="25"/>
      <c r="H746" s="25"/>
      <c r="I746" s="25"/>
      <c r="J746" s="25" t="str">
        <f>'Ingest Template'!B746</f>
        <v/>
      </c>
      <c r="K746" s="25" t="str">
        <f>IF('Ingest Template'!A745="Standard",'Ingest Template'!N745,"Competitive View")</f>
        <v>Competitive View</v>
      </c>
      <c r="L746" s="41" t="s">
        <v>145</v>
      </c>
      <c r="M746" s="25" t="str">
        <f>'Ingest Template'!D745</f>
        <v/>
      </c>
      <c r="N746" s="25"/>
      <c r="O746" s="25"/>
      <c r="P746" s="25"/>
      <c r="Q746" s="25"/>
      <c r="R746" s="25" t="str">
        <f>CONCATENATE('Ingest Template'!F745)</f>
        <v/>
      </c>
      <c r="S746" s="43" t="s">
        <v>160</v>
      </c>
      <c r="T746" s="25" t="str">
        <f>'Ingest Template'!W745</f>
        <v/>
      </c>
      <c r="U746" s="25"/>
      <c r="V746" s="25" t="str">
        <f>LOWER(SUBSTITUTE(SUBSTITUTE(SUBSTITUTE(SUBSTITUTE(SUBSTITUTE('Ingest Template'!Y745,"https:",""),"www.",""),"/",""),"?hl=en",""),"instagram.com",""))</f>
        <v/>
      </c>
      <c r="W746" s="34" t="str">
        <f>(IFERROR(vlookup('Ingest Template'!F746,DropDown!D:E,2,false)&amp;'Ingest Template'!C746,""))</f>
        <v/>
      </c>
      <c r="X746" s="25" t="str">
        <f>'Ingest Template'!AA745</f>
        <v/>
      </c>
      <c r="Y746" s="25"/>
      <c r="Z746" s="25"/>
      <c r="AA746" s="25"/>
      <c r="AB746" s="25" t="str">
        <f>'Ingest Template'!T745</f>
        <v/>
      </c>
      <c r="AC746" s="25"/>
      <c r="AD746" s="25" t="str">
        <f>'Ingest Template'!U745</f>
        <v/>
      </c>
      <c r="AE746" s="25" t="str">
        <f>'Ingest Template'!V745</f>
        <v/>
      </c>
      <c r="AF746" s="25"/>
      <c r="AG746" s="25" t="str">
        <f t="array" ref="AG746">IF('Ingest Template'!A745="Standard",(CONCATENATE(IF(ISBLANK('Ingest Template'!O745),"", 'Ingest Template'!O745&amp;"|DAR"),CHAR(10), IF(ISBLANK('Ingest Template'!P745),"", 'Ingest Template'!P745&amp;"|DAR"),CHAR(10), IF(ISBLANK('Ingest Template'!Q745),"", 'Ingest Template'!Q745&amp;"|DAR"))),(CONCATENATE(IF(ISBLANK('Ingest Template'!O745),"", 'Ingest Template'!O745&amp;"|Operations - Core Title"),CHAR(10), IF(ISBLANK('Ingest Template'!P745),"", 'Ingest Template'!P745&amp;"|Operations - Core Title"),CHAR(10), IF(ISBLANK('Ingest Template'!Q745),"", 'Ingest Template'!Q745&amp;"|Operations - Core Title"))))</f>
        <v>#|Operations - Core Title
#videoGame|Operations - Core Title
</v>
      </c>
      <c r="AH746" s="25"/>
      <c r="AI746" s="25"/>
      <c r="AJ746" s="50" t="str">
        <f>if('Ingest Template'!A745="Standard",'Ingest Template'!R745&amp; "|DAR|DAR|2021-01-01",'Ingest Template'!R745&amp; "|Operations - Core Title|Operations - Core Title")</f>
        <v>#N/A</v>
      </c>
      <c r="AK746" s="25"/>
      <c r="AL746" s="25" t="str">
        <f>if('Ingest Template'!A745="Standard",'Ingest Template'!S745&amp; "|2021-01-01",'Ingest Template'!S745)</f>
        <v>#N/A</v>
      </c>
      <c r="AM746" s="25"/>
    </row>
    <row r="747">
      <c r="A747" s="25"/>
      <c r="B747" s="25" t="str">
        <f>'Ingest Template'!C746&amp;IF('Ingest Template'!A746 = "Standard", " - DAR","")</f>
        <v/>
      </c>
      <c r="C747" s="34" t="s">
        <v>92</v>
      </c>
      <c r="D747" s="34" t="str">
        <f>CONCATENATE('Ingest Template'!E747&amp;Char(10)&amp;'Ingest Template'!G747&amp;Char(10)&amp;'Ingest Template'!H747&amp;Char(10)&amp;'Ingest Template'!I747&amp;Char(10)&amp;'Ingest Template'!J747&amp;Char(10)&amp;'Ingest Template'!K747&amp;Char(10)&amp;'Ingest Template'!L747)</f>
        <v>
</v>
      </c>
      <c r="E747" s="25" t="str">
        <f>('Ingest Template'!M747)</f>
        <v/>
      </c>
      <c r="F747" s="40" t="str">
        <f t="array" ref="F747">INDEX(DropDown!$J$2:$J$63,MATCH(1,COUNTIF(E747,DropDown!$I$2:$I$63),0))</f>
        <v>#N/A</v>
      </c>
      <c r="G747" s="25"/>
      <c r="H747" s="25"/>
      <c r="I747" s="25"/>
      <c r="J747" s="25" t="str">
        <f>'Ingest Template'!B747</f>
        <v/>
      </c>
      <c r="K747" s="25" t="str">
        <f>IF('Ingest Template'!A746="Standard",'Ingest Template'!N746,"Competitive View")</f>
        <v>Competitive View</v>
      </c>
      <c r="L747" s="41" t="s">
        <v>145</v>
      </c>
      <c r="M747" s="25" t="str">
        <f>'Ingest Template'!D746</f>
        <v/>
      </c>
      <c r="N747" s="25"/>
      <c r="O747" s="25"/>
      <c r="P747" s="25"/>
      <c r="Q747" s="25"/>
      <c r="R747" s="25" t="str">
        <f>CONCATENATE('Ingest Template'!F746)</f>
        <v/>
      </c>
      <c r="S747" s="43" t="s">
        <v>160</v>
      </c>
      <c r="T747" s="25" t="str">
        <f>'Ingest Template'!W746</f>
        <v/>
      </c>
      <c r="U747" s="25"/>
      <c r="V747" s="25" t="str">
        <f>LOWER(SUBSTITUTE(SUBSTITUTE(SUBSTITUTE(SUBSTITUTE(SUBSTITUTE('Ingest Template'!Y746,"https:",""),"www.",""),"/",""),"?hl=en",""),"instagram.com",""))</f>
        <v/>
      </c>
      <c r="W747" s="34" t="str">
        <f>(IFERROR(vlookup('Ingest Template'!F747,DropDown!D:E,2,false)&amp;'Ingest Template'!C747,""))</f>
        <v/>
      </c>
      <c r="X747" s="25" t="str">
        <f>'Ingest Template'!AA746</f>
        <v/>
      </c>
      <c r="Y747" s="25"/>
      <c r="Z747" s="25"/>
      <c r="AA747" s="25"/>
      <c r="AB747" s="25" t="str">
        <f>'Ingest Template'!T746</f>
        <v/>
      </c>
      <c r="AC747" s="25"/>
      <c r="AD747" s="25" t="str">
        <f>'Ingest Template'!U746</f>
        <v/>
      </c>
      <c r="AE747" s="25" t="str">
        <f>'Ingest Template'!V746</f>
        <v/>
      </c>
      <c r="AF747" s="25"/>
      <c r="AG747" s="25" t="str">
        <f t="array" ref="AG747">IF('Ingest Template'!A746="Standard",(CONCATENATE(IF(ISBLANK('Ingest Template'!O746),"", 'Ingest Template'!O746&amp;"|DAR"),CHAR(10), IF(ISBLANK('Ingest Template'!P746),"", 'Ingest Template'!P746&amp;"|DAR"),CHAR(10), IF(ISBLANK('Ingest Template'!Q746),"", 'Ingest Template'!Q746&amp;"|DAR"))),(CONCATENATE(IF(ISBLANK('Ingest Template'!O746),"", 'Ingest Template'!O746&amp;"|Operations - Core Title"),CHAR(10), IF(ISBLANK('Ingest Template'!P746),"", 'Ingest Template'!P746&amp;"|Operations - Core Title"),CHAR(10), IF(ISBLANK('Ingest Template'!Q746),"", 'Ingest Template'!Q746&amp;"|Operations - Core Title"))))</f>
        <v>#|Operations - Core Title
#videoGame|Operations - Core Title
</v>
      </c>
      <c r="AH747" s="25"/>
      <c r="AI747" s="25"/>
      <c r="AJ747" s="50" t="str">
        <f>if('Ingest Template'!A746="Standard",'Ingest Template'!R746&amp; "|DAR|DAR|2021-01-01",'Ingest Template'!R746&amp; "|Operations - Core Title|Operations - Core Title")</f>
        <v>#N/A</v>
      </c>
      <c r="AK747" s="25"/>
      <c r="AL747" s="25" t="str">
        <f>if('Ingest Template'!A746="Standard",'Ingest Template'!S746&amp; "|2021-01-01",'Ingest Template'!S746)</f>
        <v>#N/A</v>
      </c>
      <c r="AM747" s="25"/>
    </row>
    <row r="748">
      <c r="A748" s="25"/>
      <c r="B748" s="25" t="str">
        <f>'Ingest Template'!C747&amp;IF('Ingest Template'!A747 = "Standard", " - DAR","")</f>
        <v/>
      </c>
      <c r="C748" s="34" t="s">
        <v>92</v>
      </c>
      <c r="D748" s="34" t="str">
        <f>CONCATENATE('Ingest Template'!E748&amp;Char(10)&amp;'Ingest Template'!G748&amp;Char(10)&amp;'Ingest Template'!H748&amp;Char(10)&amp;'Ingest Template'!I748&amp;Char(10)&amp;'Ingest Template'!J748&amp;Char(10)&amp;'Ingest Template'!K748&amp;Char(10)&amp;'Ingest Template'!L748)</f>
        <v>
</v>
      </c>
      <c r="E748" s="25" t="str">
        <f>('Ingest Template'!M748)</f>
        <v/>
      </c>
      <c r="F748" s="40" t="str">
        <f t="array" ref="F748">INDEX(DropDown!$J$2:$J$63,MATCH(1,COUNTIF(E748,DropDown!$I$2:$I$63),0))</f>
        <v>#N/A</v>
      </c>
      <c r="G748" s="25"/>
      <c r="H748" s="25"/>
      <c r="I748" s="25"/>
      <c r="J748" s="25" t="str">
        <f>'Ingest Template'!B748</f>
        <v/>
      </c>
      <c r="K748" s="25" t="str">
        <f>IF('Ingest Template'!A747="Standard",'Ingest Template'!N747,"Competitive View")</f>
        <v>Competitive View</v>
      </c>
      <c r="L748" s="41" t="s">
        <v>145</v>
      </c>
      <c r="M748" s="25" t="str">
        <f>'Ingest Template'!D747</f>
        <v/>
      </c>
      <c r="N748" s="25"/>
      <c r="O748" s="25"/>
      <c r="P748" s="25"/>
      <c r="Q748" s="25"/>
      <c r="R748" s="25" t="str">
        <f>CONCATENATE('Ingest Template'!F747)</f>
        <v/>
      </c>
      <c r="S748" s="43" t="s">
        <v>160</v>
      </c>
      <c r="T748" s="25" t="str">
        <f>'Ingest Template'!W747</f>
        <v/>
      </c>
      <c r="U748" s="25"/>
      <c r="V748" s="25" t="str">
        <f>LOWER(SUBSTITUTE(SUBSTITUTE(SUBSTITUTE(SUBSTITUTE(SUBSTITUTE('Ingest Template'!Y747,"https:",""),"www.",""),"/",""),"?hl=en",""),"instagram.com",""))</f>
        <v/>
      </c>
      <c r="W748" s="34" t="str">
        <f>(IFERROR(vlookup('Ingest Template'!F748,DropDown!D:E,2,false)&amp;'Ingest Template'!C748,""))</f>
        <v/>
      </c>
      <c r="X748" s="25" t="str">
        <f>'Ingest Template'!AA747</f>
        <v/>
      </c>
      <c r="Y748" s="25"/>
      <c r="Z748" s="25"/>
      <c r="AA748" s="25"/>
      <c r="AB748" s="25" t="str">
        <f>'Ingest Template'!T747</f>
        <v/>
      </c>
      <c r="AC748" s="25"/>
      <c r="AD748" s="25" t="str">
        <f>'Ingest Template'!U747</f>
        <v/>
      </c>
      <c r="AE748" s="25" t="str">
        <f>'Ingest Template'!V747</f>
        <v/>
      </c>
      <c r="AF748" s="25"/>
      <c r="AG748" s="25" t="str">
        <f t="array" ref="AG748">IF('Ingest Template'!A747="Standard",(CONCATENATE(IF(ISBLANK('Ingest Template'!O747),"", 'Ingest Template'!O747&amp;"|DAR"),CHAR(10), IF(ISBLANK('Ingest Template'!P747),"", 'Ingest Template'!P747&amp;"|DAR"),CHAR(10), IF(ISBLANK('Ingest Template'!Q747),"", 'Ingest Template'!Q747&amp;"|DAR"))),(CONCATENATE(IF(ISBLANK('Ingest Template'!O747),"", 'Ingest Template'!O747&amp;"|Operations - Core Title"),CHAR(10), IF(ISBLANK('Ingest Template'!P747),"", 'Ingest Template'!P747&amp;"|Operations - Core Title"),CHAR(10), IF(ISBLANK('Ingest Template'!Q747),"", 'Ingest Template'!Q747&amp;"|Operations - Core Title"))))</f>
        <v>#|Operations - Core Title
#videoGame|Operations - Core Title
</v>
      </c>
      <c r="AH748" s="25"/>
      <c r="AI748" s="25"/>
      <c r="AJ748" s="50" t="str">
        <f>if('Ingest Template'!A747="Standard",'Ingest Template'!R747&amp; "|DAR|DAR|2021-01-01",'Ingest Template'!R747&amp; "|Operations - Core Title|Operations - Core Title")</f>
        <v>#N/A</v>
      </c>
      <c r="AK748" s="25"/>
      <c r="AL748" s="25" t="str">
        <f>if('Ingest Template'!A747="Standard",'Ingest Template'!S747&amp; "|2021-01-01",'Ingest Template'!S747)</f>
        <v>#N/A</v>
      </c>
      <c r="AM748" s="25"/>
    </row>
    <row r="749">
      <c r="A749" s="25"/>
      <c r="B749" s="25" t="str">
        <f>'Ingest Template'!C748&amp;IF('Ingest Template'!A748 = "Standard", " - DAR","")</f>
        <v/>
      </c>
      <c r="C749" s="34" t="s">
        <v>92</v>
      </c>
      <c r="D749" s="34" t="str">
        <f>CONCATENATE('Ingest Template'!E749&amp;Char(10)&amp;'Ingest Template'!G749&amp;Char(10)&amp;'Ingest Template'!H749&amp;Char(10)&amp;'Ingest Template'!I749&amp;Char(10)&amp;'Ingest Template'!J749&amp;Char(10)&amp;'Ingest Template'!K749&amp;Char(10)&amp;'Ingest Template'!L749)</f>
        <v>
</v>
      </c>
      <c r="E749" s="25" t="str">
        <f>('Ingest Template'!M749)</f>
        <v/>
      </c>
      <c r="F749" s="40" t="str">
        <f t="array" ref="F749">INDEX(DropDown!$J$2:$J$63,MATCH(1,COUNTIF(E749,DropDown!$I$2:$I$63),0))</f>
        <v>#N/A</v>
      </c>
      <c r="G749" s="25"/>
      <c r="H749" s="25"/>
      <c r="I749" s="25"/>
      <c r="J749" s="25" t="str">
        <f>'Ingest Template'!B749</f>
        <v/>
      </c>
      <c r="K749" s="25" t="str">
        <f>IF('Ingest Template'!A748="Standard",'Ingest Template'!N748,"Competitive View")</f>
        <v>Competitive View</v>
      </c>
      <c r="L749" s="41" t="s">
        <v>145</v>
      </c>
      <c r="M749" s="25" t="str">
        <f>'Ingest Template'!D748</f>
        <v/>
      </c>
      <c r="N749" s="25"/>
      <c r="O749" s="25"/>
      <c r="P749" s="25"/>
      <c r="Q749" s="25"/>
      <c r="R749" s="25" t="str">
        <f>CONCATENATE('Ingest Template'!F748)</f>
        <v/>
      </c>
      <c r="S749" s="43" t="s">
        <v>160</v>
      </c>
      <c r="T749" s="25" t="str">
        <f>'Ingest Template'!W748</f>
        <v/>
      </c>
      <c r="U749" s="25"/>
      <c r="V749" s="25" t="str">
        <f>LOWER(SUBSTITUTE(SUBSTITUTE(SUBSTITUTE(SUBSTITUTE(SUBSTITUTE('Ingest Template'!Y748,"https:",""),"www.",""),"/",""),"?hl=en",""),"instagram.com",""))</f>
        <v/>
      </c>
      <c r="W749" s="34" t="str">
        <f>(IFERROR(vlookup('Ingest Template'!F749,DropDown!D:E,2,false)&amp;'Ingest Template'!C749,""))</f>
        <v/>
      </c>
      <c r="X749" s="25" t="str">
        <f>'Ingest Template'!AA748</f>
        <v/>
      </c>
      <c r="Y749" s="25"/>
      <c r="Z749" s="25"/>
      <c r="AA749" s="25"/>
      <c r="AB749" s="25" t="str">
        <f>'Ingest Template'!T748</f>
        <v/>
      </c>
      <c r="AC749" s="25"/>
      <c r="AD749" s="25" t="str">
        <f>'Ingest Template'!U748</f>
        <v/>
      </c>
      <c r="AE749" s="25" t="str">
        <f>'Ingest Template'!V748</f>
        <v/>
      </c>
      <c r="AF749" s="25"/>
      <c r="AG749" s="25" t="str">
        <f t="array" ref="AG749">IF('Ingest Template'!A748="Standard",(CONCATENATE(IF(ISBLANK('Ingest Template'!O748),"", 'Ingest Template'!O748&amp;"|DAR"),CHAR(10), IF(ISBLANK('Ingest Template'!P748),"", 'Ingest Template'!P748&amp;"|DAR"),CHAR(10), IF(ISBLANK('Ingest Template'!Q748),"", 'Ingest Template'!Q748&amp;"|DAR"))),(CONCATENATE(IF(ISBLANK('Ingest Template'!O748),"", 'Ingest Template'!O748&amp;"|Operations - Core Title"),CHAR(10), IF(ISBLANK('Ingest Template'!P748),"", 'Ingest Template'!P748&amp;"|Operations - Core Title"),CHAR(10), IF(ISBLANK('Ingest Template'!Q748),"", 'Ingest Template'!Q748&amp;"|Operations - Core Title"))))</f>
        <v>#|Operations - Core Title
#videoGame|Operations - Core Title
</v>
      </c>
      <c r="AH749" s="25"/>
      <c r="AI749" s="25"/>
      <c r="AJ749" s="50" t="str">
        <f>if('Ingest Template'!A748="Standard",'Ingest Template'!R748&amp; "|DAR|DAR|2021-01-01",'Ingest Template'!R748&amp; "|Operations - Core Title|Operations - Core Title")</f>
        <v>#N/A</v>
      </c>
      <c r="AK749" s="25"/>
      <c r="AL749" s="25" t="str">
        <f>if('Ingest Template'!A748="Standard",'Ingest Template'!S748&amp; "|2021-01-01",'Ingest Template'!S748)</f>
        <v>#N/A</v>
      </c>
      <c r="AM749" s="25"/>
    </row>
    <row r="750">
      <c r="A750" s="25"/>
      <c r="B750" s="25" t="str">
        <f>'Ingest Template'!C749&amp;IF('Ingest Template'!A749 = "Standard", " - DAR","")</f>
        <v/>
      </c>
      <c r="C750" s="34" t="s">
        <v>92</v>
      </c>
      <c r="D750" s="34" t="str">
        <f>CONCATENATE('Ingest Template'!E750&amp;Char(10)&amp;'Ingest Template'!G750&amp;Char(10)&amp;'Ingest Template'!H750&amp;Char(10)&amp;'Ingest Template'!I750&amp;Char(10)&amp;'Ingest Template'!J750&amp;Char(10)&amp;'Ingest Template'!K750&amp;Char(10)&amp;'Ingest Template'!L750)</f>
        <v>
</v>
      </c>
      <c r="E750" s="25" t="str">
        <f>('Ingest Template'!M750)</f>
        <v/>
      </c>
      <c r="F750" s="40" t="str">
        <f t="array" ref="F750">INDEX(DropDown!$J$2:$J$63,MATCH(1,COUNTIF(E750,DropDown!$I$2:$I$63),0))</f>
        <v>#N/A</v>
      </c>
      <c r="G750" s="25"/>
      <c r="H750" s="25"/>
      <c r="I750" s="25"/>
      <c r="J750" s="25" t="str">
        <f>'Ingest Template'!B750</f>
        <v/>
      </c>
      <c r="K750" s="25" t="str">
        <f>IF('Ingest Template'!A749="Standard",'Ingest Template'!N749,"Competitive View")</f>
        <v>Competitive View</v>
      </c>
      <c r="L750" s="41" t="s">
        <v>145</v>
      </c>
      <c r="M750" s="25" t="str">
        <f>'Ingest Template'!D749</f>
        <v/>
      </c>
      <c r="N750" s="25"/>
      <c r="O750" s="25"/>
      <c r="P750" s="25"/>
      <c r="Q750" s="25"/>
      <c r="R750" s="25" t="str">
        <f>CONCATENATE('Ingest Template'!F749)</f>
        <v/>
      </c>
      <c r="S750" s="43" t="s">
        <v>160</v>
      </c>
      <c r="T750" s="25" t="str">
        <f>'Ingest Template'!W749</f>
        <v/>
      </c>
      <c r="U750" s="25"/>
      <c r="V750" s="25" t="str">
        <f>LOWER(SUBSTITUTE(SUBSTITUTE(SUBSTITUTE(SUBSTITUTE(SUBSTITUTE('Ingest Template'!Y749,"https:",""),"www.",""),"/",""),"?hl=en",""),"instagram.com",""))</f>
        <v/>
      </c>
      <c r="W750" s="34" t="str">
        <f>(IFERROR(vlookup('Ingest Template'!F750,DropDown!D:E,2,false)&amp;'Ingest Template'!C750,""))</f>
        <v/>
      </c>
      <c r="X750" s="25" t="str">
        <f>'Ingest Template'!AA749</f>
        <v/>
      </c>
      <c r="Y750" s="25"/>
      <c r="Z750" s="25"/>
      <c r="AA750" s="25"/>
      <c r="AB750" s="25" t="str">
        <f>'Ingest Template'!T749</f>
        <v/>
      </c>
      <c r="AC750" s="25"/>
      <c r="AD750" s="25" t="str">
        <f>'Ingest Template'!U749</f>
        <v/>
      </c>
      <c r="AE750" s="25" t="str">
        <f>'Ingest Template'!V749</f>
        <v/>
      </c>
      <c r="AF750" s="25"/>
      <c r="AG750" s="25" t="str">
        <f t="array" ref="AG750">IF('Ingest Template'!A749="Standard",(CONCATENATE(IF(ISBLANK('Ingest Template'!O749),"", 'Ingest Template'!O749&amp;"|DAR"),CHAR(10), IF(ISBLANK('Ingest Template'!P749),"", 'Ingest Template'!P749&amp;"|DAR"),CHAR(10), IF(ISBLANK('Ingest Template'!Q749),"", 'Ingest Template'!Q749&amp;"|DAR"))),(CONCATENATE(IF(ISBLANK('Ingest Template'!O749),"", 'Ingest Template'!O749&amp;"|Operations - Core Title"),CHAR(10), IF(ISBLANK('Ingest Template'!P749),"", 'Ingest Template'!P749&amp;"|Operations - Core Title"),CHAR(10), IF(ISBLANK('Ingest Template'!Q749),"", 'Ingest Template'!Q749&amp;"|Operations - Core Title"))))</f>
        <v>#|Operations - Core Title
#videoGame|Operations - Core Title
</v>
      </c>
      <c r="AH750" s="25"/>
      <c r="AI750" s="25"/>
      <c r="AJ750" s="50" t="str">
        <f>if('Ingest Template'!A749="Standard",'Ingest Template'!R749&amp; "|DAR|DAR|2021-01-01",'Ingest Template'!R749&amp; "|Operations - Core Title|Operations - Core Title")</f>
        <v>#N/A</v>
      </c>
      <c r="AK750" s="25"/>
      <c r="AL750" s="25" t="str">
        <f>if('Ingest Template'!A749="Standard",'Ingest Template'!S749&amp; "|2021-01-01",'Ingest Template'!S749)</f>
        <v>#N/A</v>
      </c>
      <c r="AM750" s="25"/>
    </row>
    <row r="751">
      <c r="A751" s="25"/>
      <c r="B751" s="25" t="str">
        <f>'Ingest Template'!C750&amp;IF('Ingest Template'!A750 = "Standard", " - DAR","")</f>
        <v/>
      </c>
      <c r="C751" s="34" t="s">
        <v>92</v>
      </c>
      <c r="D751" s="34" t="str">
        <f>CONCATENATE('Ingest Template'!E751&amp;Char(10)&amp;'Ingest Template'!G751&amp;Char(10)&amp;'Ingest Template'!H751&amp;Char(10)&amp;'Ingest Template'!I751&amp;Char(10)&amp;'Ingest Template'!J751&amp;Char(10)&amp;'Ingest Template'!K751&amp;Char(10)&amp;'Ingest Template'!L751)</f>
        <v>
</v>
      </c>
      <c r="E751" s="25" t="str">
        <f>('Ingest Template'!M751)</f>
        <v/>
      </c>
      <c r="F751" s="40" t="str">
        <f t="array" ref="F751">INDEX(DropDown!$J$2:$J$63,MATCH(1,COUNTIF(E751,DropDown!$I$2:$I$63),0))</f>
        <v>#N/A</v>
      </c>
      <c r="G751" s="25"/>
      <c r="H751" s="25"/>
      <c r="I751" s="25"/>
      <c r="J751" s="25" t="str">
        <f>'Ingest Template'!B751</f>
        <v/>
      </c>
      <c r="K751" s="25" t="str">
        <f>IF('Ingest Template'!A750="Standard",'Ingest Template'!N750,"Competitive View")</f>
        <v>Competitive View</v>
      </c>
      <c r="L751" s="41" t="s">
        <v>145</v>
      </c>
      <c r="M751" s="25" t="str">
        <f>'Ingest Template'!D750</f>
        <v/>
      </c>
      <c r="N751" s="25"/>
      <c r="O751" s="25"/>
      <c r="P751" s="25"/>
      <c r="Q751" s="25"/>
      <c r="R751" s="25" t="str">
        <f>CONCATENATE('Ingest Template'!F750)</f>
        <v/>
      </c>
      <c r="S751" s="43" t="s">
        <v>160</v>
      </c>
      <c r="T751" s="25" t="str">
        <f>'Ingest Template'!W750</f>
        <v/>
      </c>
      <c r="U751" s="25"/>
      <c r="V751" s="25" t="str">
        <f>LOWER(SUBSTITUTE(SUBSTITUTE(SUBSTITUTE(SUBSTITUTE(SUBSTITUTE('Ingest Template'!Y750,"https:",""),"www.",""),"/",""),"?hl=en",""),"instagram.com",""))</f>
        <v/>
      </c>
      <c r="W751" s="34" t="str">
        <f>(IFERROR(vlookup('Ingest Template'!F751,DropDown!D:E,2,false)&amp;'Ingest Template'!C751,""))</f>
        <v/>
      </c>
      <c r="X751" s="25" t="str">
        <f>'Ingest Template'!AA750</f>
        <v/>
      </c>
      <c r="Y751" s="25"/>
      <c r="Z751" s="25"/>
      <c r="AA751" s="25"/>
      <c r="AB751" s="25" t="str">
        <f>'Ingest Template'!T750</f>
        <v/>
      </c>
      <c r="AC751" s="25"/>
      <c r="AD751" s="25" t="str">
        <f>'Ingest Template'!U750</f>
        <v/>
      </c>
      <c r="AE751" s="25" t="str">
        <f>'Ingest Template'!V750</f>
        <v/>
      </c>
      <c r="AF751" s="25"/>
      <c r="AG751" s="25" t="str">
        <f t="array" ref="AG751">IF('Ingest Template'!A750="Standard",(CONCATENATE(IF(ISBLANK('Ingest Template'!O750),"", 'Ingest Template'!O750&amp;"|DAR"),CHAR(10), IF(ISBLANK('Ingest Template'!P750),"", 'Ingest Template'!P750&amp;"|DAR"),CHAR(10), IF(ISBLANK('Ingest Template'!Q750),"", 'Ingest Template'!Q750&amp;"|DAR"))),(CONCATENATE(IF(ISBLANK('Ingest Template'!O750),"", 'Ingest Template'!O750&amp;"|Operations - Core Title"),CHAR(10), IF(ISBLANK('Ingest Template'!P750),"", 'Ingest Template'!P750&amp;"|Operations - Core Title"),CHAR(10), IF(ISBLANK('Ingest Template'!Q750),"", 'Ingest Template'!Q750&amp;"|Operations - Core Title"))))</f>
        <v>#|Operations - Core Title
#videoGame|Operations - Core Title
</v>
      </c>
      <c r="AH751" s="25"/>
      <c r="AI751" s="25"/>
      <c r="AJ751" s="50" t="str">
        <f>if('Ingest Template'!A750="Standard",'Ingest Template'!R750&amp; "|DAR|DAR|2021-01-01",'Ingest Template'!R750&amp; "|Operations - Core Title|Operations - Core Title")</f>
        <v>#N/A</v>
      </c>
      <c r="AK751" s="25"/>
      <c r="AL751" s="25" t="str">
        <f>if('Ingest Template'!A750="Standard",'Ingest Template'!S750&amp; "|2021-01-01",'Ingest Template'!S750)</f>
        <v>#N/A</v>
      </c>
      <c r="AM751" s="25"/>
    </row>
    <row r="752">
      <c r="A752" s="25"/>
      <c r="B752" s="25" t="str">
        <f>'Ingest Template'!C751&amp;IF('Ingest Template'!A751 = "Standard", " - DAR","")</f>
        <v/>
      </c>
      <c r="C752" s="34" t="s">
        <v>92</v>
      </c>
      <c r="D752" s="34" t="str">
        <f>CONCATENATE('Ingest Template'!E752&amp;Char(10)&amp;'Ingest Template'!G752&amp;Char(10)&amp;'Ingest Template'!H752&amp;Char(10)&amp;'Ingest Template'!I752&amp;Char(10)&amp;'Ingest Template'!J752&amp;Char(10)&amp;'Ingest Template'!K752&amp;Char(10)&amp;'Ingest Template'!L752)</f>
        <v>
</v>
      </c>
      <c r="E752" s="25" t="str">
        <f>('Ingest Template'!M752)</f>
        <v/>
      </c>
      <c r="F752" s="40" t="str">
        <f t="array" ref="F752">INDEX(DropDown!$J$2:$J$63,MATCH(1,COUNTIF(E752,DropDown!$I$2:$I$63),0))</f>
        <v>#N/A</v>
      </c>
      <c r="G752" s="25"/>
      <c r="H752" s="25"/>
      <c r="I752" s="25"/>
      <c r="J752" s="25" t="str">
        <f>'Ingest Template'!B752</f>
        <v/>
      </c>
      <c r="K752" s="25" t="str">
        <f>IF('Ingest Template'!A751="Standard",'Ingest Template'!N751,"Competitive View")</f>
        <v>Competitive View</v>
      </c>
      <c r="L752" s="41" t="s">
        <v>145</v>
      </c>
      <c r="M752" s="25" t="str">
        <f>'Ingest Template'!D751</f>
        <v/>
      </c>
      <c r="N752" s="25"/>
      <c r="O752" s="25"/>
      <c r="P752" s="25"/>
      <c r="Q752" s="25"/>
      <c r="R752" s="25" t="str">
        <f>CONCATENATE('Ingest Template'!F751)</f>
        <v/>
      </c>
      <c r="S752" s="43" t="s">
        <v>160</v>
      </c>
      <c r="T752" s="25" t="str">
        <f>'Ingest Template'!W751</f>
        <v/>
      </c>
      <c r="U752" s="25"/>
      <c r="V752" s="25" t="str">
        <f>LOWER(SUBSTITUTE(SUBSTITUTE(SUBSTITUTE(SUBSTITUTE(SUBSTITUTE('Ingest Template'!Y751,"https:",""),"www.",""),"/",""),"?hl=en",""),"instagram.com",""))</f>
        <v/>
      </c>
      <c r="W752" s="34" t="str">
        <f>(IFERROR(vlookup('Ingest Template'!F752,DropDown!D:E,2,false)&amp;'Ingest Template'!C752,""))</f>
        <v/>
      </c>
      <c r="X752" s="25" t="str">
        <f>'Ingest Template'!AA751</f>
        <v/>
      </c>
      <c r="Y752" s="25"/>
      <c r="Z752" s="25"/>
      <c r="AA752" s="25"/>
      <c r="AB752" s="25" t="str">
        <f>'Ingest Template'!T751</f>
        <v/>
      </c>
      <c r="AC752" s="25"/>
      <c r="AD752" s="25" t="str">
        <f>'Ingest Template'!U751</f>
        <v/>
      </c>
      <c r="AE752" s="25" t="str">
        <f>'Ingest Template'!V751</f>
        <v/>
      </c>
      <c r="AF752" s="25"/>
      <c r="AG752" s="25" t="str">
        <f t="array" ref="AG752">IF('Ingest Template'!A751="Standard",(CONCATENATE(IF(ISBLANK('Ingest Template'!O751),"", 'Ingest Template'!O751&amp;"|DAR"),CHAR(10), IF(ISBLANK('Ingest Template'!P751),"", 'Ingest Template'!P751&amp;"|DAR"),CHAR(10), IF(ISBLANK('Ingest Template'!Q751),"", 'Ingest Template'!Q751&amp;"|DAR"))),(CONCATENATE(IF(ISBLANK('Ingest Template'!O751),"", 'Ingest Template'!O751&amp;"|Operations - Core Title"),CHAR(10), IF(ISBLANK('Ingest Template'!P751),"", 'Ingest Template'!P751&amp;"|Operations - Core Title"),CHAR(10), IF(ISBLANK('Ingest Template'!Q751),"", 'Ingest Template'!Q751&amp;"|Operations - Core Title"))))</f>
        <v>#|Operations - Core Title
#videoGame|Operations - Core Title
</v>
      </c>
      <c r="AH752" s="25"/>
      <c r="AI752" s="25"/>
      <c r="AJ752" s="50" t="str">
        <f>if('Ingest Template'!A751="Standard",'Ingest Template'!R751&amp; "|DAR|DAR|2021-01-01",'Ingest Template'!R751&amp; "|Operations - Core Title|Operations - Core Title")</f>
        <v>#N/A</v>
      </c>
      <c r="AK752" s="25"/>
      <c r="AL752" s="25" t="str">
        <f>if('Ingest Template'!A751="Standard",'Ingest Template'!S751&amp; "|2021-01-01",'Ingest Template'!S751)</f>
        <v>#N/A</v>
      </c>
      <c r="AM752" s="25"/>
    </row>
    <row r="753">
      <c r="A753" s="25"/>
      <c r="B753" s="25" t="str">
        <f>'Ingest Template'!C752&amp;IF('Ingest Template'!A752 = "Standard", " - DAR","")</f>
        <v/>
      </c>
      <c r="C753" s="34" t="s">
        <v>92</v>
      </c>
      <c r="D753" s="34" t="str">
        <f>CONCATENATE('Ingest Template'!E753&amp;Char(10)&amp;'Ingest Template'!G753&amp;Char(10)&amp;'Ingest Template'!H753&amp;Char(10)&amp;'Ingest Template'!I753&amp;Char(10)&amp;'Ingest Template'!J753&amp;Char(10)&amp;'Ingest Template'!K753&amp;Char(10)&amp;'Ingest Template'!L753)</f>
        <v>
</v>
      </c>
      <c r="E753" s="25" t="str">
        <f>('Ingest Template'!M753)</f>
        <v/>
      </c>
      <c r="F753" s="40" t="str">
        <f t="array" ref="F753">INDEX(DropDown!$J$2:$J$63,MATCH(1,COUNTIF(E753,DropDown!$I$2:$I$63),0))</f>
        <v>#N/A</v>
      </c>
      <c r="G753" s="25"/>
      <c r="H753" s="25"/>
      <c r="I753" s="25"/>
      <c r="J753" s="25" t="str">
        <f>'Ingest Template'!B753</f>
        <v/>
      </c>
      <c r="K753" s="25" t="str">
        <f>IF('Ingest Template'!A752="Standard",'Ingest Template'!N752,"Competitive View")</f>
        <v>Competitive View</v>
      </c>
      <c r="L753" s="41" t="s">
        <v>145</v>
      </c>
      <c r="M753" s="25" t="str">
        <f>'Ingest Template'!D752</f>
        <v/>
      </c>
      <c r="N753" s="25"/>
      <c r="O753" s="25"/>
      <c r="P753" s="25"/>
      <c r="Q753" s="25"/>
      <c r="R753" s="25" t="str">
        <f>CONCATENATE('Ingest Template'!F752)</f>
        <v/>
      </c>
      <c r="S753" s="43" t="s">
        <v>160</v>
      </c>
      <c r="T753" s="25" t="str">
        <f>'Ingest Template'!W752</f>
        <v/>
      </c>
      <c r="U753" s="25"/>
      <c r="V753" s="25" t="str">
        <f>LOWER(SUBSTITUTE(SUBSTITUTE(SUBSTITUTE(SUBSTITUTE(SUBSTITUTE('Ingest Template'!Y752,"https:",""),"www.",""),"/",""),"?hl=en",""),"instagram.com",""))</f>
        <v/>
      </c>
      <c r="W753" s="34" t="str">
        <f>(IFERROR(vlookup('Ingest Template'!F753,DropDown!D:E,2,false)&amp;'Ingest Template'!C753,""))</f>
        <v/>
      </c>
      <c r="X753" s="25" t="str">
        <f>'Ingest Template'!AA752</f>
        <v/>
      </c>
      <c r="Y753" s="25"/>
      <c r="Z753" s="25"/>
      <c r="AA753" s="25"/>
      <c r="AB753" s="25" t="str">
        <f>'Ingest Template'!T752</f>
        <v/>
      </c>
      <c r="AC753" s="25"/>
      <c r="AD753" s="25" t="str">
        <f>'Ingest Template'!U752</f>
        <v/>
      </c>
      <c r="AE753" s="25" t="str">
        <f>'Ingest Template'!V752</f>
        <v/>
      </c>
      <c r="AF753" s="25"/>
      <c r="AG753" s="25" t="str">
        <f t="array" ref="AG753">IF('Ingest Template'!A752="Standard",(CONCATENATE(IF(ISBLANK('Ingest Template'!O752),"", 'Ingest Template'!O752&amp;"|DAR"),CHAR(10), IF(ISBLANK('Ingest Template'!P752),"", 'Ingest Template'!P752&amp;"|DAR"),CHAR(10), IF(ISBLANK('Ingest Template'!Q752),"", 'Ingest Template'!Q752&amp;"|DAR"))),(CONCATENATE(IF(ISBLANK('Ingest Template'!O752),"", 'Ingest Template'!O752&amp;"|Operations - Core Title"),CHAR(10), IF(ISBLANK('Ingest Template'!P752),"", 'Ingest Template'!P752&amp;"|Operations - Core Title"),CHAR(10), IF(ISBLANK('Ingest Template'!Q752),"", 'Ingest Template'!Q752&amp;"|Operations - Core Title"))))</f>
        <v>#|Operations - Core Title
#videoGame|Operations - Core Title
</v>
      </c>
      <c r="AH753" s="25"/>
      <c r="AI753" s="25"/>
      <c r="AJ753" s="50" t="str">
        <f>if('Ingest Template'!A752="Standard",'Ingest Template'!R752&amp; "|DAR|DAR|2021-01-01",'Ingest Template'!R752&amp; "|Operations - Core Title|Operations - Core Title")</f>
        <v>#N/A</v>
      </c>
      <c r="AK753" s="25"/>
      <c r="AL753" s="25" t="str">
        <f>if('Ingest Template'!A752="Standard",'Ingest Template'!S752&amp; "|2021-01-01",'Ingest Template'!S752)</f>
        <v>#N/A</v>
      </c>
      <c r="AM753" s="25"/>
    </row>
    <row r="754">
      <c r="A754" s="25"/>
      <c r="B754" s="25" t="str">
        <f>'Ingest Template'!C753&amp;IF('Ingest Template'!A753 = "Standard", " - DAR","")</f>
        <v/>
      </c>
      <c r="C754" s="34" t="s">
        <v>92</v>
      </c>
      <c r="D754" s="34" t="str">
        <f>CONCATENATE('Ingest Template'!E754&amp;Char(10)&amp;'Ingest Template'!G754&amp;Char(10)&amp;'Ingest Template'!H754&amp;Char(10)&amp;'Ingest Template'!I754&amp;Char(10)&amp;'Ingest Template'!J754&amp;Char(10)&amp;'Ingest Template'!K754&amp;Char(10)&amp;'Ingest Template'!L754)</f>
        <v>
</v>
      </c>
      <c r="E754" s="25" t="str">
        <f>('Ingest Template'!M754)</f>
        <v/>
      </c>
      <c r="F754" s="40" t="str">
        <f t="array" ref="F754">INDEX(DropDown!$J$2:$J$63,MATCH(1,COUNTIF(E754,DropDown!$I$2:$I$63),0))</f>
        <v>#N/A</v>
      </c>
      <c r="G754" s="25"/>
      <c r="H754" s="25"/>
      <c r="I754" s="25"/>
      <c r="J754" s="25" t="str">
        <f>'Ingest Template'!B754</f>
        <v/>
      </c>
      <c r="K754" s="25" t="str">
        <f>IF('Ingest Template'!A753="Standard",'Ingest Template'!N753,"Competitive View")</f>
        <v>Competitive View</v>
      </c>
      <c r="L754" s="41" t="s">
        <v>145</v>
      </c>
      <c r="M754" s="25" t="str">
        <f>'Ingest Template'!D753</f>
        <v/>
      </c>
      <c r="N754" s="25"/>
      <c r="O754" s="25"/>
      <c r="P754" s="25"/>
      <c r="Q754" s="25"/>
      <c r="R754" s="25" t="str">
        <f>CONCATENATE('Ingest Template'!F753)</f>
        <v/>
      </c>
      <c r="S754" s="43" t="s">
        <v>160</v>
      </c>
      <c r="T754" s="25" t="str">
        <f>'Ingest Template'!W753</f>
        <v/>
      </c>
      <c r="U754" s="25"/>
      <c r="V754" s="25" t="str">
        <f>LOWER(SUBSTITUTE(SUBSTITUTE(SUBSTITUTE(SUBSTITUTE(SUBSTITUTE('Ingest Template'!Y753,"https:",""),"www.",""),"/",""),"?hl=en",""),"instagram.com",""))</f>
        <v/>
      </c>
      <c r="W754" s="34" t="str">
        <f>(IFERROR(vlookup('Ingest Template'!F754,DropDown!D:E,2,false)&amp;'Ingest Template'!C754,""))</f>
        <v/>
      </c>
      <c r="X754" s="25" t="str">
        <f>'Ingest Template'!AA753</f>
        <v/>
      </c>
      <c r="Y754" s="25"/>
      <c r="Z754" s="25"/>
      <c r="AA754" s="25"/>
      <c r="AB754" s="25" t="str">
        <f>'Ingest Template'!T753</f>
        <v/>
      </c>
      <c r="AC754" s="25"/>
      <c r="AD754" s="25" t="str">
        <f>'Ingest Template'!U753</f>
        <v/>
      </c>
      <c r="AE754" s="25" t="str">
        <f>'Ingest Template'!V753</f>
        <v/>
      </c>
      <c r="AF754" s="25"/>
      <c r="AG754" s="25" t="str">
        <f t="array" ref="AG754">IF('Ingest Template'!A753="Standard",(CONCATENATE(IF(ISBLANK('Ingest Template'!O753),"", 'Ingest Template'!O753&amp;"|DAR"),CHAR(10), IF(ISBLANK('Ingest Template'!P753),"", 'Ingest Template'!P753&amp;"|DAR"),CHAR(10), IF(ISBLANK('Ingest Template'!Q753),"", 'Ingest Template'!Q753&amp;"|DAR"))),(CONCATENATE(IF(ISBLANK('Ingest Template'!O753),"", 'Ingest Template'!O753&amp;"|Operations - Core Title"),CHAR(10), IF(ISBLANK('Ingest Template'!P753),"", 'Ingest Template'!P753&amp;"|Operations - Core Title"),CHAR(10), IF(ISBLANK('Ingest Template'!Q753),"", 'Ingest Template'!Q753&amp;"|Operations - Core Title"))))</f>
        <v>#|Operations - Core Title
#videoGame|Operations - Core Title
</v>
      </c>
      <c r="AH754" s="25"/>
      <c r="AI754" s="25"/>
      <c r="AJ754" s="50" t="str">
        <f>if('Ingest Template'!A753="Standard",'Ingest Template'!R753&amp; "|DAR|DAR|2021-01-01",'Ingest Template'!R753&amp; "|Operations - Core Title|Operations - Core Title")</f>
        <v>#N/A</v>
      </c>
      <c r="AK754" s="25"/>
      <c r="AL754" s="25" t="str">
        <f>if('Ingest Template'!A753="Standard",'Ingest Template'!S753&amp; "|2021-01-01",'Ingest Template'!S753)</f>
        <v>#N/A</v>
      </c>
      <c r="AM754" s="25"/>
    </row>
    <row r="755">
      <c r="A755" s="25"/>
      <c r="B755" s="25" t="str">
        <f>'Ingest Template'!C754&amp;IF('Ingest Template'!A754 = "Standard", " - DAR","")</f>
        <v/>
      </c>
      <c r="C755" s="34" t="s">
        <v>92</v>
      </c>
      <c r="D755" s="34" t="str">
        <f>CONCATENATE('Ingest Template'!E755&amp;Char(10)&amp;'Ingest Template'!G755&amp;Char(10)&amp;'Ingest Template'!H755&amp;Char(10)&amp;'Ingest Template'!I755&amp;Char(10)&amp;'Ingest Template'!J755&amp;Char(10)&amp;'Ingest Template'!K755&amp;Char(10)&amp;'Ingest Template'!L755)</f>
        <v>
</v>
      </c>
      <c r="E755" s="25" t="str">
        <f>('Ingest Template'!M755)</f>
        <v/>
      </c>
      <c r="F755" s="40" t="str">
        <f t="array" ref="F755">INDEX(DropDown!$J$2:$J$63,MATCH(1,COUNTIF(E755,DropDown!$I$2:$I$63),0))</f>
        <v>#N/A</v>
      </c>
      <c r="G755" s="25"/>
      <c r="H755" s="25"/>
      <c r="I755" s="25"/>
      <c r="J755" s="25" t="str">
        <f>'Ingest Template'!B755</f>
        <v/>
      </c>
      <c r="K755" s="25" t="str">
        <f>IF('Ingest Template'!A754="Standard",'Ingest Template'!N754,"Competitive View")</f>
        <v>Competitive View</v>
      </c>
      <c r="L755" s="41" t="s">
        <v>145</v>
      </c>
      <c r="M755" s="25" t="str">
        <f>'Ingest Template'!D754</f>
        <v/>
      </c>
      <c r="N755" s="25"/>
      <c r="O755" s="25"/>
      <c r="P755" s="25"/>
      <c r="Q755" s="25"/>
      <c r="R755" s="25" t="str">
        <f>CONCATENATE('Ingest Template'!F754)</f>
        <v/>
      </c>
      <c r="S755" s="43" t="s">
        <v>160</v>
      </c>
      <c r="T755" s="25" t="str">
        <f>'Ingest Template'!W754</f>
        <v/>
      </c>
      <c r="U755" s="25"/>
      <c r="V755" s="25" t="str">
        <f>LOWER(SUBSTITUTE(SUBSTITUTE(SUBSTITUTE(SUBSTITUTE(SUBSTITUTE('Ingest Template'!Y754,"https:",""),"www.",""),"/",""),"?hl=en",""),"instagram.com",""))</f>
        <v/>
      </c>
      <c r="W755" s="34" t="str">
        <f>(IFERROR(vlookup('Ingest Template'!F755,DropDown!D:E,2,false)&amp;'Ingest Template'!C755,""))</f>
        <v/>
      </c>
      <c r="X755" s="25" t="str">
        <f>'Ingest Template'!AA754</f>
        <v/>
      </c>
      <c r="Y755" s="25"/>
      <c r="Z755" s="25"/>
      <c r="AA755" s="25"/>
      <c r="AB755" s="25" t="str">
        <f>'Ingest Template'!T754</f>
        <v/>
      </c>
      <c r="AC755" s="25"/>
      <c r="AD755" s="25" t="str">
        <f>'Ingest Template'!U754</f>
        <v/>
      </c>
      <c r="AE755" s="25" t="str">
        <f>'Ingest Template'!V754</f>
        <v/>
      </c>
      <c r="AF755" s="25"/>
      <c r="AG755" s="25" t="str">
        <f t="array" ref="AG755">IF('Ingest Template'!A754="Standard",(CONCATENATE(IF(ISBLANK('Ingest Template'!O754),"", 'Ingest Template'!O754&amp;"|DAR"),CHAR(10), IF(ISBLANK('Ingest Template'!P754),"", 'Ingest Template'!P754&amp;"|DAR"),CHAR(10), IF(ISBLANK('Ingest Template'!Q754),"", 'Ingest Template'!Q754&amp;"|DAR"))),(CONCATENATE(IF(ISBLANK('Ingest Template'!O754),"", 'Ingest Template'!O754&amp;"|Operations - Core Title"),CHAR(10), IF(ISBLANK('Ingest Template'!P754),"", 'Ingest Template'!P754&amp;"|Operations - Core Title"),CHAR(10), IF(ISBLANK('Ingest Template'!Q754),"", 'Ingest Template'!Q754&amp;"|Operations - Core Title"))))</f>
        <v>#|Operations - Core Title
#videoGame|Operations - Core Title
</v>
      </c>
      <c r="AH755" s="25"/>
      <c r="AI755" s="25"/>
      <c r="AJ755" s="50" t="str">
        <f>if('Ingest Template'!A754="Standard",'Ingest Template'!R754&amp; "|DAR|DAR|2021-01-01",'Ingest Template'!R754&amp; "|Operations - Core Title|Operations - Core Title")</f>
        <v>#N/A</v>
      </c>
      <c r="AK755" s="25"/>
      <c r="AL755" s="25" t="str">
        <f>if('Ingest Template'!A754="Standard",'Ingest Template'!S754&amp; "|2021-01-01",'Ingest Template'!S754)</f>
        <v>#N/A</v>
      </c>
      <c r="AM755" s="25"/>
    </row>
    <row r="756">
      <c r="A756" s="25"/>
      <c r="B756" s="25" t="str">
        <f>'Ingest Template'!C755&amp;IF('Ingest Template'!A755 = "Standard", " - DAR","")</f>
        <v/>
      </c>
      <c r="C756" s="34" t="s">
        <v>92</v>
      </c>
      <c r="D756" s="34" t="str">
        <f>CONCATENATE('Ingest Template'!E756&amp;Char(10)&amp;'Ingest Template'!G756&amp;Char(10)&amp;'Ingest Template'!H756&amp;Char(10)&amp;'Ingest Template'!I756&amp;Char(10)&amp;'Ingest Template'!J756&amp;Char(10)&amp;'Ingest Template'!K756&amp;Char(10)&amp;'Ingest Template'!L756)</f>
        <v>
</v>
      </c>
      <c r="E756" s="25" t="str">
        <f>('Ingest Template'!M756)</f>
        <v/>
      </c>
      <c r="F756" s="40" t="str">
        <f t="array" ref="F756">INDEX(DropDown!$J$2:$J$63,MATCH(1,COUNTIF(E756,DropDown!$I$2:$I$63),0))</f>
        <v>#N/A</v>
      </c>
      <c r="G756" s="25"/>
      <c r="H756" s="25"/>
      <c r="I756" s="25"/>
      <c r="J756" s="25" t="str">
        <f>'Ingest Template'!B756</f>
        <v/>
      </c>
      <c r="K756" s="25" t="str">
        <f>IF('Ingest Template'!A755="Standard",'Ingest Template'!N755,"Competitive View")</f>
        <v>Competitive View</v>
      </c>
      <c r="L756" s="41" t="s">
        <v>145</v>
      </c>
      <c r="M756" s="25" t="str">
        <f>'Ingest Template'!D755</f>
        <v/>
      </c>
      <c r="N756" s="25"/>
      <c r="O756" s="25"/>
      <c r="P756" s="25"/>
      <c r="Q756" s="25"/>
      <c r="R756" s="25" t="str">
        <f>CONCATENATE('Ingest Template'!F755)</f>
        <v/>
      </c>
      <c r="S756" s="43" t="s">
        <v>160</v>
      </c>
      <c r="T756" s="25" t="str">
        <f>'Ingest Template'!W755</f>
        <v/>
      </c>
      <c r="U756" s="25"/>
      <c r="V756" s="25" t="str">
        <f>LOWER(SUBSTITUTE(SUBSTITUTE(SUBSTITUTE(SUBSTITUTE(SUBSTITUTE('Ingest Template'!Y755,"https:",""),"www.",""),"/",""),"?hl=en",""),"instagram.com",""))</f>
        <v/>
      </c>
      <c r="W756" s="34" t="str">
        <f>(IFERROR(vlookup('Ingest Template'!F756,DropDown!D:E,2,false)&amp;'Ingest Template'!C756,""))</f>
        <v/>
      </c>
      <c r="X756" s="25" t="str">
        <f>'Ingest Template'!AA755</f>
        <v/>
      </c>
      <c r="Y756" s="25"/>
      <c r="Z756" s="25"/>
      <c r="AA756" s="25"/>
      <c r="AB756" s="25" t="str">
        <f>'Ingest Template'!T755</f>
        <v/>
      </c>
      <c r="AC756" s="25"/>
      <c r="AD756" s="25" t="str">
        <f>'Ingest Template'!U755</f>
        <v/>
      </c>
      <c r="AE756" s="25" t="str">
        <f>'Ingest Template'!V755</f>
        <v/>
      </c>
      <c r="AF756" s="25"/>
      <c r="AG756" s="25" t="str">
        <f t="array" ref="AG756">IF('Ingest Template'!A755="Standard",(CONCATENATE(IF(ISBLANK('Ingest Template'!O755),"", 'Ingest Template'!O755&amp;"|DAR"),CHAR(10), IF(ISBLANK('Ingest Template'!P755),"", 'Ingest Template'!P755&amp;"|DAR"),CHAR(10), IF(ISBLANK('Ingest Template'!Q755),"", 'Ingest Template'!Q755&amp;"|DAR"))),(CONCATENATE(IF(ISBLANK('Ingest Template'!O755),"", 'Ingest Template'!O755&amp;"|Operations - Core Title"),CHAR(10), IF(ISBLANK('Ingest Template'!P755),"", 'Ingest Template'!P755&amp;"|Operations - Core Title"),CHAR(10), IF(ISBLANK('Ingest Template'!Q755),"", 'Ingest Template'!Q755&amp;"|Operations - Core Title"))))</f>
        <v>#|Operations - Core Title
#videoGame|Operations - Core Title
</v>
      </c>
      <c r="AH756" s="25"/>
      <c r="AI756" s="25"/>
      <c r="AJ756" s="50" t="str">
        <f>if('Ingest Template'!A755="Standard",'Ingest Template'!R755&amp; "|DAR|DAR|2021-01-01",'Ingest Template'!R755&amp; "|Operations - Core Title|Operations - Core Title")</f>
        <v>#N/A</v>
      </c>
      <c r="AK756" s="25"/>
      <c r="AL756" s="25" t="str">
        <f>if('Ingest Template'!A755="Standard",'Ingest Template'!S755&amp; "|2021-01-01",'Ingest Template'!S755)</f>
        <v>#N/A</v>
      </c>
      <c r="AM756" s="25"/>
    </row>
    <row r="757">
      <c r="A757" s="25"/>
      <c r="B757" s="25" t="str">
        <f>'Ingest Template'!C756&amp;IF('Ingest Template'!A756 = "Standard", " - DAR","")</f>
        <v/>
      </c>
      <c r="C757" s="34" t="s">
        <v>92</v>
      </c>
      <c r="D757" s="34" t="str">
        <f>CONCATENATE('Ingest Template'!E757&amp;Char(10)&amp;'Ingest Template'!G757&amp;Char(10)&amp;'Ingest Template'!H757&amp;Char(10)&amp;'Ingest Template'!I757&amp;Char(10)&amp;'Ingest Template'!J757&amp;Char(10)&amp;'Ingest Template'!K757&amp;Char(10)&amp;'Ingest Template'!L757)</f>
        <v>
</v>
      </c>
      <c r="E757" s="25" t="str">
        <f>('Ingest Template'!M757)</f>
        <v/>
      </c>
      <c r="F757" s="40" t="str">
        <f t="array" ref="F757">INDEX(DropDown!$J$2:$J$63,MATCH(1,COUNTIF(E757,DropDown!$I$2:$I$63),0))</f>
        <v>#N/A</v>
      </c>
      <c r="G757" s="25"/>
      <c r="H757" s="25"/>
      <c r="I757" s="25"/>
      <c r="J757" s="25" t="str">
        <f>'Ingest Template'!B757</f>
        <v/>
      </c>
      <c r="K757" s="25" t="str">
        <f>IF('Ingest Template'!A756="Standard",'Ingest Template'!N756,"Competitive View")</f>
        <v>Competitive View</v>
      </c>
      <c r="L757" s="41" t="s">
        <v>145</v>
      </c>
      <c r="M757" s="25" t="str">
        <f>'Ingest Template'!D756</f>
        <v/>
      </c>
      <c r="N757" s="25"/>
      <c r="O757" s="25"/>
      <c r="P757" s="25"/>
      <c r="Q757" s="25"/>
      <c r="R757" s="25" t="str">
        <f>CONCATENATE('Ingest Template'!F756)</f>
        <v/>
      </c>
      <c r="S757" s="43" t="s">
        <v>160</v>
      </c>
      <c r="T757" s="25" t="str">
        <f>'Ingest Template'!W756</f>
        <v/>
      </c>
      <c r="U757" s="25"/>
      <c r="V757" s="25" t="str">
        <f>LOWER(SUBSTITUTE(SUBSTITUTE(SUBSTITUTE(SUBSTITUTE(SUBSTITUTE('Ingest Template'!Y756,"https:",""),"www.",""),"/",""),"?hl=en",""),"instagram.com",""))</f>
        <v/>
      </c>
      <c r="W757" s="34" t="str">
        <f>(IFERROR(vlookup('Ingest Template'!F757,DropDown!D:E,2,false)&amp;'Ingest Template'!C757,""))</f>
        <v/>
      </c>
      <c r="X757" s="25" t="str">
        <f>'Ingest Template'!AA756</f>
        <v/>
      </c>
      <c r="Y757" s="25"/>
      <c r="Z757" s="25"/>
      <c r="AA757" s="25"/>
      <c r="AB757" s="25" t="str">
        <f>'Ingest Template'!T756</f>
        <v/>
      </c>
      <c r="AC757" s="25"/>
      <c r="AD757" s="25" t="str">
        <f>'Ingest Template'!U756</f>
        <v/>
      </c>
      <c r="AE757" s="25" t="str">
        <f>'Ingest Template'!V756</f>
        <v/>
      </c>
      <c r="AF757" s="25"/>
      <c r="AG757" s="25" t="str">
        <f t="array" ref="AG757">IF('Ingest Template'!A756="Standard",(CONCATENATE(IF(ISBLANK('Ingest Template'!O756),"", 'Ingest Template'!O756&amp;"|DAR"),CHAR(10), IF(ISBLANK('Ingest Template'!P756),"", 'Ingest Template'!P756&amp;"|DAR"),CHAR(10), IF(ISBLANK('Ingest Template'!Q756),"", 'Ingest Template'!Q756&amp;"|DAR"))),(CONCATENATE(IF(ISBLANK('Ingest Template'!O756),"", 'Ingest Template'!O756&amp;"|Operations - Core Title"),CHAR(10), IF(ISBLANK('Ingest Template'!P756),"", 'Ingest Template'!P756&amp;"|Operations - Core Title"),CHAR(10), IF(ISBLANK('Ingest Template'!Q756),"", 'Ingest Template'!Q756&amp;"|Operations - Core Title"))))</f>
        <v>#|Operations - Core Title
#videoGame|Operations - Core Title
</v>
      </c>
      <c r="AH757" s="25"/>
      <c r="AI757" s="25"/>
      <c r="AJ757" s="50" t="str">
        <f>if('Ingest Template'!A756="Standard",'Ingest Template'!R756&amp; "|DAR|DAR|2021-01-01",'Ingest Template'!R756&amp; "|Operations - Core Title|Operations - Core Title")</f>
        <v>#N/A</v>
      </c>
      <c r="AK757" s="25"/>
      <c r="AL757" s="25" t="str">
        <f>if('Ingest Template'!A756="Standard",'Ingest Template'!S756&amp; "|2021-01-01",'Ingest Template'!S756)</f>
        <v>#N/A</v>
      </c>
      <c r="AM757" s="25"/>
    </row>
    <row r="758">
      <c r="A758" s="25"/>
      <c r="B758" s="25" t="str">
        <f>'Ingest Template'!C757&amp;IF('Ingest Template'!A757 = "Standard", " - DAR","")</f>
        <v/>
      </c>
      <c r="C758" s="34" t="s">
        <v>92</v>
      </c>
      <c r="D758" s="34" t="str">
        <f>CONCATENATE('Ingest Template'!E758&amp;Char(10)&amp;'Ingest Template'!G758&amp;Char(10)&amp;'Ingest Template'!H758&amp;Char(10)&amp;'Ingest Template'!I758&amp;Char(10)&amp;'Ingest Template'!J758&amp;Char(10)&amp;'Ingest Template'!K758&amp;Char(10)&amp;'Ingest Template'!L758)</f>
        <v>
</v>
      </c>
      <c r="E758" s="25" t="str">
        <f>('Ingest Template'!M758)</f>
        <v/>
      </c>
      <c r="F758" s="40" t="str">
        <f t="array" ref="F758">INDEX(DropDown!$J$2:$J$63,MATCH(1,COUNTIF(E758,DropDown!$I$2:$I$63),0))</f>
        <v>#N/A</v>
      </c>
      <c r="G758" s="25"/>
      <c r="H758" s="25"/>
      <c r="I758" s="25"/>
      <c r="J758" s="25" t="str">
        <f>'Ingest Template'!B758</f>
        <v/>
      </c>
      <c r="K758" s="25" t="str">
        <f>IF('Ingest Template'!A757="Standard",'Ingest Template'!N757,"Competitive View")</f>
        <v>Competitive View</v>
      </c>
      <c r="L758" s="41" t="s">
        <v>145</v>
      </c>
      <c r="M758" s="25" t="str">
        <f>'Ingest Template'!D757</f>
        <v/>
      </c>
      <c r="N758" s="25"/>
      <c r="O758" s="25"/>
      <c r="P758" s="25"/>
      <c r="Q758" s="25"/>
      <c r="R758" s="25" t="str">
        <f>CONCATENATE('Ingest Template'!F757)</f>
        <v/>
      </c>
      <c r="S758" s="43" t="s">
        <v>160</v>
      </c>
      <c r="T758" s="25" t="str">
        <f>'Ingest Template'!W757</f>
        <v/>
      </c>
      <c r="U758" s="25"/>
      <c r="V758" s="25" t="str">
        <f>LOWER(SUBSTITUTE(SUBSTITUTE(SUBSTITUTE(SUBSTITUTE(SUBSTITUTE('Ingest Template'!Y757,"https:",""),"www.",""),"/",""),"?hl=en",""),"instagram.com",""))</f>
        <v/>
      </c>
      <c r="W758" s="34" t="str">
        <f>(IFERROR(vlookup('Ingest Template'!F758,DropDown!D:E,2,false)&amp;'Ingest Template'!C758,""))</f>
        <v/>
      </c>
      <c r="X758" s="25" t="str">
        <f>'Ingest Template'!AA757</f>
        <v/>
      </c>
      <c r="Y758" s="25"/>
      <c r="Z758" s="25"/>
      <c r="AA758" s="25"/>
      <c r="AB758" s="25" t="str">
        <f>'Ingest Template'!T757</f>
        <v/>
      </c>
      <c r="AC758" s="25"/>
      <c r="AD758" s="25" t="str">
        <f>'Ingest Template'!U757</f>
        <v/>
      </c>
      <c r="AE758" s="25" t="str">
        <f>'Ingest Template'!V757</f>
        <v/>
      </c>
      <c r="AF758" s="25"/>
      <c r="AG758" s="25" t="str">
        <f t="array" ref="AG758">IF('Ingest Template'!A757="Standard",(CONCATENATE(IF(ISBLANK('Ingest Template'!O757),"", 'Ingest Template'!O757&amp;"|DAR"),CHAR(10), IF(ISBLANK('Ingest Template'!P757),"", 'Ingest Template'!P757&amp;"|DAR"),CHAR(10), IF(ISBLANK('Ingest Template'!Q757),"", 'Ingest Template'!Q757&amp;"|DAR"))),(CONCATENATE(IF(ISBLANK('Ingest Template'!O757),"", 'Ingest Template'!O757&amp;"|Operations - Core Title"),CHAR(10), IF(ISBLANK('Ingest Template'!P757),"", 'Ingest Template'!P757&amp;"|Operations - Core Title"),CHAR(10), IF(ISBLANK('Ingest Template'!Q757),"", 'Ingest Template'!Q757&amp;"|Operations - Core Title"))))</f>
        <v>#|Operations - Core Title
#videoGame|Operations - Core Title
</v>
      </c>
      <c r="AH758" s="25"/>
      <c r="AI758" s="25"/>
      <c r="AJ758" s="50" t="str">
        <f>if('Ingest Template'!A757="Standard",'Ingest Template'!R757&amp; "|DAR|DAR|2021-01-01",'Ingest Template'!R757&amp; "|Operations - Core Title|Operations - Core Title")</f>
        <v>#N/A</v>
      </c>
      <c r="AK758" s="25"/>
      <c r="AL758" s="25" t="str">
        <f>if('Ingest Template'!A757="Standard",'Ingest Template'!S757&amp; "|2021-01-01",'Ingest Template'!S757)</f>
        <v>#N/A</v>
      </c>
      <c r="AM758" s="25"/>
    </row>
    <row r="759">
      <c r="A759" s="25"/>
      <c r="B759" s="25" t="str">
        <f>'Ingest Template'!C758&amp;IF('Ingest Template'!A758 = "Standard", " - DAR","")</f>
        <v/>
      </c>
      <c r="C759" s="34" t="s">
        <v>92</v>
      </c>
      <c r="D759" s="34" t="str">
        <f>CONCATENATE('Ingest Template'!E759&amp;Char(10)&amp;'Ingest Template'!G759&amp;Char(10)&amp;'Ingest Template'!H759&amp;Char(10)&amp;'Ingest Template'!I759&amp;Char(10)&amp;'Ingest Template'!J759&amp;Char(10)&amp;'Ingest Template'!K759&amp;Char(10)&amp;'Ingest Template'!L759)</f>
        <v>
</v>
      </c>
      <c r="E759" s="25" t="str">
        <f>('Ingest Template'!M759)</f>
        <v/>
      </c>
      <c r="F759" s="40" t="str">
        <f t="array" ref="F759">INDEX(DropDown!$J$2:$J$63,MATCH(1,COUNTIF(E759,DropDown!$I$2:$I$63),0))</f>
        <v>#N/A</v>
      </c>
      <c r="G759" s="25"/>
      <c r="H759" s="25"/>
      <c r="I759" s="25"/>
      <c r="J759" s="25" t="str">
        <f>'Ingest Template'!B759</f>
        <v/>
      </c>
      <c r="K759" s="25" t="str">
        <f>IF('Ingest Template'!A758="Standard",'Ingest Template'!N758,"Competitive View")</f>
        <v>Competitive View</v>
      </c>
      <c r="L759" s="41" t="s">
        <v>145</v>
      </c>
      <c r="M759" s="25" t="str">
        <f>'Ingest Template'!D758</f>
        <v/>
      </c>
      <c r="N759" s="25"/>
      <c r="O759" s="25"/>
      <c r="P759" s="25"/>
      <c r="Q759" s="25"/>
      <c r="R759" s="25" t="str">
        <f>CONCATENATE('Ingest Template'!F758)</f>
        <v/>
      </c>
      <c r="S759" s="43" t="s">
        <v>160</v>
      </c>
      <c r="T759" s="25" t="str">
        <f>'Ingest Template'!W758</f>
        <v/>
      </c>
      <c r="U759" s="25"/>
      <c r="V759" s="25" t="str">
        <f>LOWER(SUBSTITUTE(SUBSTITUTE(SUBSTITUTE(SUBSTITUTE(SUBSTITUTE('Ingest Template'!Y758,"https:",""),"www.",""),"/",""),"?hl=en",""),"instagram.com",""))</f>
        <v/>
      </c>
      <c r="W759" s="34" t="str">
        <f>(IFERROR(vlookup('Ingest Template'!F759,DropDown!D:E,2,false)&amp;'Ingest Template'!C759,""))</f>
        <v/>
      </c>
      <c r="X759" s="25" t="str">
        <f>'Ingest Template'!AA758</f>
        <v/>
      </c>
      <c r="Y759" s="25"/>
      <c r="Z759" s="25"/>
      <c r="AA759" s="25"/>
      <c r="AB759" s="25" t="str">
        <f>'Ingest Template'!T758</f>
        <v/>
      </c>
      <c r="AC759" s="25"/>
      <c r="AD759" s="25" t="str">
        <f>'Ingest Template'!U758</f>
        <v/>
      </c>
      <c r="AE759" s="25" t="str">
        <f>'Ingest Template'!V758</f>
        <v/>
      </c>
      <c r="AF759" s="25"/>
      <c r="AG759" s="25" t="str">
        <f t="array" ref="AG759">IF('Ingest Template'!A758="Standard",(CONCATENATE(IF(ISBLANK('Ingest Template'!O758),"", 'Ingest Template'!O758&amp;"|DAR"),CHAR(10), IF(ISBLANK('Ingest Template'!P758),"", 'Ingest Template'!P758&amp;"|DAR"),CHAR(10), IF(ISBLANK('Ingest Template'!Q758),"", 'Ingest Template'!Q758&amp;"|DAR"))),(CONCATENATE(IF(ISBLANK('Ingest Template'!O758),"", 'Ingest Template'!O758&amp;"|Operations - Core Title"),CHAR(10), IF(ISBLANK('Ingest Template'!P758),"", 'Ingest Template'!P758&amp;"|Operations - Core Title"),CHAR(10), IF(ISBLANK('Ingest Template'!Q758),"", 'Ingest Template'!Q758&amp;"|Operations - Core Title"))))</f>
        <v>#|Operations - Core Title
#videoGame|Operations - Core Title
</v>
      </c>
      <c r="AH759" s="25"/>
      <c r="AI759" s="25"/>
      <c r="AJ759" s="50" t="str">
        <f>if('Ingest Template'!A758="Standard",'Ingest Template'!R758&amp; "|DAR|DAR|2021-01-01",'Ingest Template'!R758&amp; "|Operations - Core Title|Operations - Core Title")</f>
        <v>#N/A</v>
      </c>
      <c r="AK759" s="25"/>
      <c r="AL759" s="25" t="str">
        <f>if('Ingest Template'!A758="Standard",'Ingest Template'!S758&amp; "|2021-01-01",'Ingest Template'!S758)</f>
        <v>#N/A</v>
      </c>
      <c r="AM759" s="25"/>
    </row>
    <row r="760">
      <c r="A760" s="25"/>
      <c r="B760" s="25" t="str">
        <f>'Ingest Template'!C759&amp;IF('Ingest Template'!A759 = "Standard", " - DAR","")</f>
        <v/>
      </c>
      <c r="C760" s="34" t="s">
        <v>92</v>
      </c>
      <c r="D760" s="34" t="str">
        <f>CONCATENATE('Ingest Template'!E760&amp;Char(10)&amp;'Ingest Template'!G760&amp;Char(10)&amp;'Ingest Template'!H760&amp;Char(10)&amp;'Ingest Template'!I760&amp;Char(10)&amp;'Ingest Template'!J760&amp;Char(10)&amp;'Ingest Template'!K760&amp;Char(10)&amp;'Ingest Template'!L760)</f>
        <v>
</v>
      </c>
      <c r="E760" s="25" t="str">
        <f>('Ingest Template'!M760)</f>
        <v/>
      </c>
      <c r="F760" s="40" t="str">
        <f t="array" ref="F760">INDEX(DropDown!$J$2:$J$63,MATCH(1,COUNTIF(E760,DropDown!$I$2:$I$63),0))</f>
        <v>#N/A</v>
      </c>
      <c r="G760" s="25"/>
      <c r="H760" s="25"/>
      <c r="I760" s="25"/>
      <c r="J760" s="25" t="str">
        <f>'Ingest Template'!B760</f>
        <v/>
      </c>
      <c r="K760" s="25" t="str">
        <f>IF('Ingest Template'!A759="Standard",'Ingest Template'!N759,"Competitive View")</f>
        <v>Competitive View</v>
      </c>
      <c r="L760" s="41" t="s">
        <v>145</v>
      </c>
      <c r="M760" s="25" t="str">
        <f>'Ingest Template'!D759</f>
        <v/>
      </c>
      <c r="N760" s="25"/>
      <c r="O760" s="25"/>
      <c r="P760" s="25"/>
      <c r="Q760" s="25"/>
      <c r="R760" s="25" t="str">
        <f>CONCATENATE('Ingest Template'!F759)</f>
        <v/>
      </c>
      <c r="S760" s="43" t="s">
        <v>160</v>
      </c>
      <c r="T760" s="25" t="str">
        <f>'Ingest Template'!W759</f>
        <v/>
      </c>
      <c r="U760" s="25"/>
      <c r="V760" s="25" t="str">
        <f>LOWER(SUBSTITUTE(SUBSTITUTE(SUBSTITUTE(SUBSTITUTE(SUBSTITUTE('Ingest Template'!Y759,"https:",""),"www.",""),"/",""),"?hl=en",""),"instagram.com",""))</f>
        <v/>
      </c>
      <c r="W760" s="34" t="str">
        <f>(IFERROR(vlookup('Ingest Template'!F760,DropDown!D:E,2,false)&amp;'Ingest Template'!C760,""))</f>
        <v/>
      </c>
      <c r="X760" s="25" t="str">
        <f>'Ingest Template'!AA759</f>
        <v/>
      </c>
      <c r="Y760" s="25"/>
      <c r="Z760" s="25"/>
      <c r="AA760" s="25"/>
      <c r="AB760" s="25" t="str">
        <f>'Ingest Template'!T759</f>
        <v/>
      </c>
      <c r="AC760" s="25"/>
      <c r="AD760" s="25" t="str">
        <f>'Ingest Template'!U759</f>
        <v/>
      </c>
      <c r="AE760" s="25" t="str">
        <f>'Ingest Template'!V759</f>
        <v/>
      </c>
      <c r="AF760" s="25"/>
      <c r="AG760" s="25" t="str">
        <f t="array" ref="AG760">IF('Ingest Template'!A759="Standard",(CONCATENATE(IF(ISBLANK('Ingest Template'!O759),"", 'Ingest Template'!O759&amp;"|DAR"),CHAR(10), IF(ISBLANK('Ingest Template'!P759),"", 'Ingest Template'!P759&amp;"|DAR"),CHAR(10), IF(ISBLANK('Ingest Template'!Q759),"", 'Ingest Template'!Q759&amp;"|DAR"))),(CONCATENATE(IF(ISBLANK('Ingest Template'!O759),"", 'Ingest Template'!O759&amp;"|Operations - Core Title"),CHAR(10), IF(ISBLANK('Ingest Template'!P759),"", 'Ingest Template'!P759&amp;"|Operations - Core Title"),CHAR(10), IF(ISBLANK('Ingest Template'!Q759),"", 'Ingest Template'!Q759&amp;"|Operations - Core Title"))))</f>
        <v>#|Operations - Core Title
#videoGame|Operations - Core Title
</v>
      </c>
      <c r="AH760" s="25"/>
      <c r="AI760" s="25"/>
      <c r="AJ760" s="50" t="str">
        <f>if('Ingest Template'!A759="Standard",'Ingest Template'!R759&amp; "|DAR|DAR|2021-01-01",'Ingest Template'!R759&amp; "|Operations - Core Title|Operations - Core Title")</f>
        <v>#N/A</v>
      </c>
      <c r="AK760" s="25"/>
      <c r="AL760" s="25" t="str">
        <f>if('Ingest Template'!A759="Standard",'Ingest Template'!S759&amp; "|2021-01-01",'Ingest Template'!S759)</f>
        <v>#N/A</v>
      </c>
      <c r="AM760" s="25"/>
    </row>
    <row r="761">
      <c r="A761" s="25"/>
      <c r="B761" s="25" t="str">
        <f>'Ingest Template'!C760&amp;IF('Ingest Template'!A760 = "Standard", " - DAR","")</f>
        <v/>
      </c>
      <c r="C761" s="34" t="s">
        <v>92</v>
      </c>
      <c r="D761" s="34" t="str">
        <f>CONCATENATE('Ingest Template'!E761&amp;Char(10)&amp;'Ingest Template'!G761&amp;Char(10)&amp;'Ingest Template'!H761&amp;Char(10)&amp;'Ingest Template'!I761&amp;Char(10)&amp;'Ingest Template'!J761&amp;Char(10)&amp;'Ingest Template'!K761&amp;Char(10)&amp;'Ingest Template'!L761)</f>
        <v>
</v>
      </c>
      <c r="E761" s="25" t="str">
        <f>('Ingest Template'!M761)</f>
        <v/>
      </c>
      <c r="F761" s="40" t="str">
        <f t="array" ref="F761">INDEX(DropDown!$J$2:$J$63,MATCH(1,COUNTIF(E761,DropDown!$I$2:$I$63),0))</f>
        <v>#N/A</v>
      </c>
      <c r="G761" s="25"/>
      <c r="H761" s="25"/>
      <c r="I761" s="25"/>
      <c r="J761" s="25" t="str">
        <f>'Ingest Template'!B761</f>
        <v/>
      </c>
      <c r="K761" s="25" t="str">
        <f>IF('Ingest Template'!A760="Standard",'Ingest Template'!N760,"Competitive View")</f>
        <v>Competitive View</v>
      </c>
      <c r="L761" s="41" t="s">
        <v>145</v>
      </c>
      <c r="M761" s="25" t="str">
        <f>'Ingest Template'!D760</f>
        <v/>
      </c>
      <c r="N761" s="25"/>
      <c r="O761" s="25"/>
      <c r="P761" s="25"/>
      <c r="Q761" s="25"/>
      <c r="R761" s="25" t="str">
        <f>CONCATENATE('Ingest Template'!F760)</f>
        <v/>
      </c>
      <c r="S761" s="43" t="s">
        <v>160</v>
      </c>
      <c r="T761" s="25" t="str">
        <f>'Ingest Template'!W760</f>
        <v/>
      </c>
      <c r="U761" s="25"/>
      <c r="V761" s="25" t="str">
        <f>LOWER(SUBSTITUTE(SUBSTITUTE(SUBSTITUTE(SUBSTITUTE(SUBSTITUTE('Ingest Template'!Y760,"https:",""),"www.",""),"/",""),"?hl=en",""),"instagram.com",""))</f>
        <v/>
      </c>
      <c r="W761" s="34" t="str">
        <f>(IFERROR(vlookup('Ingest Template'!F761,DropDown!D:E,2,false)&amp;'Ingest Template'!C761,""))</f>
        <v/>
      </c>
      <c r="X761" s="25" t="str">
        <f>'Ingest Template'!AA760</f>
        <v/>
      </c>
      <c r="Y761" s="25"/>
      <c r="Z761" s="25"/>
      <c r="AA761" s="25"/>
      <c r="AB761" s="25" t="str">
        <f>'Ingest Template'!T760</f>
        <v/>
      </c>
      <c r="AC761" s="25"/>
      <c r="AD761" s="25" t="str">
        <f>'Ingest Template'!U760</f>
        <v/>
      </c>
      <c r="AE761" s="25" t="str">
        <f>'Ingest Template'!V760</f>
        <v/>
      </c>
      <c r="AF761" s="25"/>
      <c r="AG761" s="25" t="str">
        <f t="array" ref="AG761">IF('Ingest Template'!A760="Standard",(CONCATENATE(IF(ISBLANK('Ingest Template'!O760),"", 'Ingest Template'!O760&amp;"|DAR"),CHAR(10), IF(ISBLANK('Ingest Template'!P760),"", 'Ingest Template'!P760&amp;"|DAR"),CHAR(10), IF(ISBLANK('Ingest Template'!Q760),"", 'Ingest Template'!Q760&amp;"|DAR"))),(CONCATENATE(IF(ISBLANK('Ingest Template'!O760),"", 'Ingest Template'!O760&amp;"|Operations - Core Title"),CHAR(10), IF(ISBLANK('Ingest Template'!P760),"", 'Ingest Template'!P760&amp;"|Operations - Core Title"),CHAR(10), IF(ISBLANK('Ingest Template'!Q760),"", 'Ingest Template'!Q760&amp;"|Operations - Core Title"))))</f>
        <v>#|Operations - Core Title
#videoGame|Operations - Core Title
</v>
      </c>
      <c r="AH761" s="25"/>
      <c r="AI761" s="25"/>
      <c r="AJ761" s="50" t="str">
        <f>if('Ingest Template'!A760="Standard",'Ingest Template'!R760&amp; "|DAR|DAR|2021-01-01",'Ingest Template'!R760&amp; "|Operations - Core Title|Operations - Core Title")</f>
        <v>#N/A</v>
      </c>
      <c r="AK761" s="25"/>
      <c r="AL761" s="25" t="str">
        <f>if('Ingest Template'!A760="Standard",'Ingest Template'!S760&amp; "|2021-01-01",'Ingest Template'!S760)</f>
        <v>#N/A</v>
      </c>
      <c r="AM761" s="25"/>
    </row>
    <row r="762">
      <c r="A762" s="25"/>
      <c r="B762" s="25" t="str">
        <f>'Ingest Template'!C761&amp;IF('Ingest Template'!A761 = "Standard", " - DAR","")</f>
        <v/>
      </c>
      <c r="C762" s="34" t="s">
        <v>92</v>
      </c>
      <c r="D762" s="34" t="str">
        <f>CONCATENATE('Ingest Template'!E762&amp;Char(10)&amp;'Ingest Template'!G762&amp;Char(10)&amp;'Ingest Template'!H762&amp;Char(10)&amp;'Ingest Template'!I762&amp;Char(10)&amp;'Ingest Template'!J762&amp;Char(10)&amp;'Ingest Template'!K762&amp;Char(10)&amp;'Ingest Template'!L762)</f>
        <v>
</v>
      </c>
      <c r="E762" s="25" t="str">
        <f>('Ingest Template'!M762)</f>
        <v/>
      </c>
      <c r="F762" s="40" t="str">
        <f t="array" ref="F762">INDEX(DropDown!$J$2:$J$63,MATCH(1,COUNTIF(E762,DropDown!$I$2:$I$63),0))</f>
        <v>#N/A</v>
      </c>
      <c r="G762" s="25"/>
      <c r="H762" s="25"/>
      <c r="I762" s="25"/>
      <c r="J762" s="25" t="str">
        <f>'Ingest Template'!B762</f>
        <v/>
      </c>
      <c r="K762" s="25" t="str">
        <f>IF('Ingest Template'!A761="Standard",'Ingest Template'!N761,"Competitive View")</f>
        <v>Competitive View</v>
      </c>
      <c r="L762" s="41" t="s">
        <v>145</v>
      </c>
      <c r="M762" s="25" t="str">
        <f>'Ingest Template'!D761</f>
        <v/>
      </c>
      <c r="N762" s="25"/>
      <c r="O762" s="25"/>
      <c r="P762" s="25"/>
      <c r="Q762" s="25"/>
      <c r="R762" s="25" t="str">
        <f>CONCATENATE('Ingest Template'!F761)</f>
        <v/>
      </c>
      <c r="S762" s="43" t="s">
        <v>160</v>
      </c>
      <c r="T762" s="25" t="str">
        <f>'Ingest Template'!W761</f>
        <v/>
      </c>
      <c r="U762" s="25"/>
      <c r="V762" s="25" t="str">
        <f>LOWER(SUBSTITUTE(SUBSTITUTE(SUBSTITUTE(SUBSTITUTE(SUBSTITUTE('Ingest Template'!Y761,"https:",""),"www.",""),"/",""),"?hl=en",""),"instagram.com",""))</f>
        <v/>
      </c>
      <c r="W762" s="34" t="str">
        <f>(IFERROR(vlookup('Ingest Template'!F762,DropDown!D:E,2,false)&amp;'Ingest Template'!C762,""))</f>
        <v/>
      </c>
      <c r="X762" s="25" t="str">
        <f>'Ingest Template'!AA761</f>
        <v/>
      </c>
      <c r="Y762" s="25"/>
      <c r="Z762" s="25"/>
      <c r="AA762" s="25"/>
      <c r="AB762" s="25" t="str">
        <f>'Ingest Template'!T761</f>
        <v/>
      </c>
      <c r="AC762" s="25"/>
      <c r="AD762" s="25" t="str">
        <f>'Ingest Template'!U761</f>
        <v/>
      </c>
      <c r="AE762" s="25" t="str">
        <f>'Ingest Template'!V761</f>
        <v/>
      </c>
      <c r="AF762" s="25"/>
      <c r="AG762" s="25" t="str">
        <f t="array" ref="AG762">IF('Ingest Template'!A761="Standard",(CONCATENATE(IF(ISBLANK('Ingest Template'!O761),"", 'Ingest Template'!O761&amp;"|DAR"),CHAR(10), IF(ISBLANK('Ingest Template'!P761),"", 'Ingest Template'!P761&amp;"|DAR"),CHAR(10), IF(ISBLANK('Ingest Template'!Q761),"", 'Ingest Template'!Q761&amp;"|DAR"))),(CONCATENATE(IF(ISBLANK('Ingest Template'!O761),"", 'Ingest Template'!O761&amp;"|Operations - Core Title"),CHAR(10), IF(ISBLANK('Ingest Template'!P761),"", 'Ingest Template'!P761&amp;"|Operations - Core Title"),CHAR(10), IF(ISBLANK('Ingest Template'!Q761),"", 'Ingest Template'!Q761&amp;"|Operations - Core Title"))))</f>
        <v>#|Operations - Core Title
#videoGame|Operations - Core Title
</v>
      </c>
      <c r="AH762" s="25"/>
      <c r="AI762" s="25"/>
      <c r="AJ762" s="50" t="str">
        <f>if('Ingest Template'!A761="Standard",'Ingest Template'!R761&amp; "|DAR|DAR|2021-01-01",'Ingest Template'!R761&amp; "|Operations - Core Title|Operations - Core Title")</f>
        <v>#N/A</v>
      </c>
      <c r="AK762" s="25"/>
      <c r="AL762" s="25" t="str">
        <f>if('Ingest Template'!A761="Standard",'Ingest Template'!S761&amp; "|2021-01-01",'Ingest Template'!S761)</f>
        <v>#N/A</v>
      </c>
      <c r="AM762" s="25"/>
    </row>
    <row r="763">
      <c r="A763" s="25"/>
      <c r="B763" s="25" t="str">
        <f>'Ingest Template'!C762&amp;IF('Ingest Template'!A762 = "Standard", " - DAR","")</f>
        <v/>
      </c>
      <c r="C763" s="34" t="s">
        <v>92</v>
      </c>
      <c r="D763" s="34" t="str">
        <f>CONCATENATE('Ingest Template'!E763&amp;Char(10)&amp;'Ingest Template'!G763&amp;Char(10)&amp;'Ingest Template'!H763&amp;Char(10)&amp;'Ingest Template'!I763&amp;Char(10)&amp;'Ingest Template'!J763&amp;Char(10)&amp;'Ingest Template'!K763&amp;Char(10)&amp;'Ingest Template'!L763)</f>
        <v>
</v>
      </c>
      <c r="E763" s="25" t="str">
        <f>('Ingest Template'!M763)</f>
        <v/>
      </c>
      <c r="F763" s="40" t="str">
        <f t="array" ref="F763">INDEX(DropDown!$J$2:$J$63,MATCH(1,COUNTIF(E763,DropDown!$I$2:$I$63),0))</f>
        <v>#N/A</v>
      </c>
      <c r="G763" s="25"/>
      <c r="H763" s="25"/>
      <c r="I763" s="25"/>
      <c r="J763" s="25" t="str">
        <f>'Ingest Template'!B763</f>
        <v/>
      </c>
      <c r="K763" s="25" t="str">
        <f>IF('Ingest Template'!A762="Standard",'Ingest Template'!N762,"Competitive View")</f>
        <v>Competitive View</v>
      </c>
      <c r="L763" s="41" t="s">
        <v>145</v>
      </c>
      <c r="M763" s="25" t="str">
        <f>'Ingest Template'!D762</f>
        <v/>
      </c>
      <c r="N763" s="25"/>
      <c r="O763" s="25"/>
      <c r="P763" s="25"/>
      <c r="Q763" s="25"/>
      <c r="R763" s="25" t="str">
        <f>CONCATENATE('Ingest Template'!F762)</f>
        <v/>
      </c>
      <c r="S763" s="43" t="s">
        <v>160</v>
      </c>
      <c r="T763" s="25" t="str">
        <f>'Ingest Template'!W762</f>
        <v/>
      </c>
      <c r="U763" s="25"/>
      <c r="V763" s="25" t="str">
        <f>LOWER(SUBSTITUTE(SUBSTITUTE(SUBSTITUTE(SUBSTITUTE(SUBSTITUTE('Ingest Template'!Y762,"https:",""),"www.",""),"/",""),"?hl=en",""),"instagram.com",""))</f>
        <v/>
      </c>
      <c r="W763" s="34" t="str">
        <f>(IFERROR(vlookup('Ingest Template'!F763,DropDown!D:E,2,false)&amp;'Ingest Template'!C763,""))</f>
        <v/>
      </c>
      <c r="X763" s="25" t="str">
        <f>'Ingest Template'!AA762</f>
        <v/>
      </c>
      <c r="Y763" s="25"/>
      <c r="Z763" s="25"/>
      <c r="AA763" s="25"/>
      <c r="AB763" s="25" t="str">
        <f>'Ingest Template'!T762</f>
        <v/>
      </c>
      <c r="AC763" s="25"/>
      <c r="AD763" s="25" t="str">
        <f>'Ingest Template'!U762</f>
        <v/>
      </c>
      <c r="AE763" s="25" t="str">
        <f>'Ingest Template'!V762</f>
        <v/>
      </c>
      <c r="AF763" s="25"/>
      <c r="AG763" s="25" t="str">
        <f t="array" ref="AG763">IF('Ingest Template'!A762="Standard",(CONCATENATE(IF(ISBLANK('Ingest Template'!O762),"", 'Ingest Template'!O762&amp;"|DAR"),CHAR(10), IF(ISBLANK('Ingest Template'!P762),"", 'Ingest Template'!P762&amp;"|DAR"),CHAR(10), IF(ISBLANK('Ingest Template'!Q762),"", 'Ingest Template'!Q762&amp;"|DAR"))),(CONCATENATE(IF(ISBLANK('Ingest Template'!O762),"", 'Ingest Template'!O762&amp;"|Operations - Core Title"),CHAR(10), IF(ISBLANK('Ingest Template'!P762),"", 'Ingest Template'!P762&amp;"|Operations - Core Title"),CHAR(10), IF(ISBLANK('Ingest Template'!Q762),"", 'Ingest Template'!Q762&amp;"|Operations - Core Title"))))</f>
        <v>#|Operations - Core Title
#videoGame|Operations - Core Title
</v>
      </c>
      <c r="AH763" s="25"/>
      <c r="AI763" s="25"/>
      <c r="AJ763" s="50" t="str">
        <f>if('Ingest Template'!A762="Standard",'Ingest Template'!R762&amp; "|DAR|DAR|2021-01-01",'Ingest Template'!R762&amp; "|Operations - Core Title|Operations - Core Title")</f>
        <v>#N/A</v>
      </c>
      <c r="AK763" s="25"/>
      <c r="AL763" s="25" t="str">
        <f>if('Ingest Template'!A762="Standard",'Ingest Template'!S762&amp; "|2021-01-01",'Ingest Template'!S762)</f>
        <v>#N/A</v>
      </c>
      <c r="AM763" s="25"/>
    </row>
    <row r="764">
      <c r="A764" s="25"/>
      <c r="B764" s="25" t="str">
        <f>'Ingest Template'!C763&amp;IF('Ingest Template'!A763 = "Standard", " - DAR","")</f>
        <v/>
      </c>
      <c r="C764" s="34" t="s">
        <v>92</v>
      </c>
      <c r="D764" s="34" t="str">
        <f>CONCATENATE('Ingest Template'!E764&amp;Char(10)&amp;'Ingest Template'!G764&amp;Char(10)&amp;'Ingest Template'!H764&amp;Char(10)&amp;'Ingest Template'!I764&amp;Char(10)&amp;'Ingest Template'!J764&amp;Char(10)&amp;'Ingest Template'!K764&amp;Char(10)&amp;'Ingest Template'!L764)</f>
        <v>
</v>
      </c>
      <c r="E764" s="25" t="str">
        <f>('Ingest Template'!M764)</f>
        <v/>
      </c>
      <c r="F764" s="40" t="str">
        <f t="array" ref="F764">INDEX(DropDown!$J$2:$J$63,MATCH(1,COUNTIF(E764,DropDown!$I$2:$I$63),0))</f>
        <v>#N/A</v>
      </c>
      <c r="G764" s="25"/>
      <c r="H764" s="25"/>
      <c r="I764" s="25"/>
      <c r="J764" s="25" t="str">
        <f>'Ingest Template'!B764</f>
        <v/>
      </c>
      <c r="K764" s="25" t="str">
        <f>IF('Ingest Template'!A763="Standard",'Ingest Template'!N763,"Competitive View")</f>
        <v>Competitive View</v>
      </c>
      <c r="L764" s="41" t="s">
        <v>145</v>
      </c>
      <c r="M764" s="25" t="str">
        <f>'Ingest Template'!D763</f>
        <v/>
      </c>
      <c r="N764" s="25"/>
      <c r="O764" s="25"/>
      <c r="P764" s="25"/>
      <c r="Q764" s="25"/>
      <c r="R764" s="25" t="str">
        <f>CONCATENATE('Ingest Template'!F763)</f>
        <v/>
      </c>
      <c r="S764" s="43" t="s">
        <v>160</v>
      </c>
      <c r="T764" s="25" t="str">
        <f>'Ingest Template'!W763</f>
        <v/>
      </c>
      <c r="U764" s="25"/>
      <c r="V764" s="25" t="str">
        <f>LOWER(SUBSTITUTE(SUBSTITUTE(SUBSTITUTE(SUBSTITUTE(SUBSTITUTE('Ingest Template'!Y763,"https:",""),"www.",""),"/",""),"?hl=en",""),"instagram.com",""))</f>
        <v/>
      </c>
      <c r="W764" s="34" t="str">
        <f>(IFERROR(vlookup('Ingest Template'!F764,DropDown!D:E,2,false)&amp;'Ingest Template'!C764,""))</f>
        <v/>
      </c>
      <c r="X764" s="25" t="str">
        <f>'Ingest Template'!AA763</f>
        <v/>
      </c>
      <c r="Y764" s="25"/>
      <c r="Z764" s="25"/>
      <c r="AA764" s="25"/>
      <c r="AB764" s="25" t="str">
        <f>'Ingest Template'!T763</f>
        <v/>
      </c>
      <c r="AC764" s="25"/>
      <c r="AD764" s="25" t="str">
        <f>'Ingest Template'!U763</f>
        <v/>
      </c>
      <c r="AE764" s="25" t="str">
        <f>'Ingest Template'!V763</f>
        <v/>
      </c>
      <c r="AF764" s="25"/>
      <c r="AG764" s="25" t="str">
        <f t="array" ref="AG764">IF('Ingest Template'!A763="Standard",(CONCATENATE(IF(ISBLANK('Ingest Template'!O763),"", 'Ingest Template'!O763&amp;"|DAR"),CHAR(10), IF(ISBLANK('Ingest Template'!P763),"", 'Ingest Template'!P763&amp;"|DAR"),CHAR(10), IF(ISBLANK('Ingest Template'!Q763),"", 'Ingest Template'!Q763&amp;"|DAR"))),(CONCATENATE(IF(ISBLANK('Ingest Template'!O763),"", 'Ingest Template'!O763&amp;"|Operations - Core Title"),CHAR(10), IF(ISBLANK('Ingest Template'!P763),"", 'Ingest Template'!P763&amp;"|Operations - Core Title"),CHAR(10), IF(ISBLANK('Ingest Template'!Q763),"", 'Ingest Template'!Q763&amp;"|Operations - Core Title"))))</f>
        <v>#|Operations - Core Title
#videoGame|Operations - Core Title
</v>
      </c>
      <c r="AH764" s="25"/>
      <c r="AI764" s="25"/>
      <c r="AJ764" s="50" t="str">
        <f>if('Ingest Template'!A763="Standard",'Ingest Template'!R763&amp; "|DAR|DAR|2021-01-01",'Ingest Template'!R763&amp; "|Operations - Core Title|Operations - Core Title")</f>
        <v>#N/A</v>
      </c>
      <c r="AK764" s="25"/>
      <c r="AL764" s="25" t="str">
        <f>if('Ingest Template'!A763="Standard",'Ingest Template'!S763&amp; "|2021-01-01",'Ingest Template'!S763)</f>
        <v>#N/A</v>
      </c>
      <c r="AM764" s="25"/>
    </row>
    <row r="765">
      <c r="A765" s="25"/>
      <c r="B765" s="25" t="str">
        <f>'Ingest Template'!C764&amp;IF('Ingest Template'!A764 = "Standard", " - DAR","")</f>
        <v/>
      </c>
      <c r="C765" s="34" t="s">
        <v>92</v>
      </c>
      <c r="D765" s="34" t="str">
        <f>CONCATENATE('Ingest Template'!E765&amp;Char(10)&amp;'Ingest Template'!G765&amp;Char(10)&amp;'Ingest Template'!H765&amp;Char(10)&amp;'Ingest Template'!I765&amp;Char(10)&amp;'Ingest Template'!J765&amp;Char(10)&amp;'Ingest Template'!K765&amp;Char(10)&amp;'Ingest Template'!L765)</f>
        <v>
</v>
      </c>
      <c r="E765" s="25" t="str">
        <f>('Ingest Template'!M765)</f>
        <v/>
      </c>
      <c r="F765" s="40" t="str">
        <f t="array" ref="F765">INDEX(DropDown!$J$2:$J$63,MATCH(1,COUNTIF(E765,DropDown!$I$2:$I$63),0))</f>
        <v>#N/A</v>
      </c>
      <c r="G765" s="25"/>
      <c r="H765" s="25"/>
      <c r="I765" s="25"/>
      <c r="J765" s="25" t="str">
        <f>'Ingest Template'!B765</f>
        <v/>
      </c>
      <c r="K765" s="25" t="str">
        <f>IF('Ingest Template'!A764="Standard",'Ingest Template'!N764,"Competitive View")</f>
        <v>Competitive View</v>
      </c>
      <c r="L765" s="41" t="s">
        <v>145</v>
      </c>
      <c r="M765" s="25" t="str">
        <f>'Ingest Template'!D764</f>
        <v/>
      </c>
      <c r="N765" s="25"/>
      <c r="O765" s="25"/>
      <c r="P765" s="25"/>
      <c r="Q765" s="25"/>
      <c r="R765" s="25" t="str">
        <f>CONCATENATE('Ingest Template'!F764)</f>
        <v/>
      </c>
      <c r="S765" s="43" t="s">
        <v>160</v>
      </c>
      <c r="T765" s="25" t="str">
        <f>'Ingest Template'!W764</f>
        <v/>
      </c>
      <c r="U765" s="25"/>
      <c r="V765" s="25" t="str">
        <f>LOWER(SUBSTITUTE(SUBSTITUTE(SUBSTITUTE(SUBSTITUTE(SUBSTITUTE('Ingest Template'!Y764,"https:",""),"www.",""),"/",""),"?hl=en",""),"instagram.com",""))</f>
        <v/>
      </c>
      <c r="W765" s="34" t="str">
        <f>(IFERROR(vlookup('Ingest Template'!F765,DropDown!D:E,2,false)&amp;'Ingest Template'!C765,""))</f>
        <v/>
      </c>
      <c r="X765" s="25" t="str">
        <f>'Ingest Template'!AA764</f>
        <v/>
      </c>
      <c r="Y765" s="25"/>
      <c r="Z765" s="25"/>
      <c r="AA765" s="25"/>
      <c r="AB765" s="25" t="str">
        <f>'Ingest Template'!T764</f>
        <v/>
      </c>
      <c r="AC765" s="25"/>
      <c r="AD765" s="25" t="str">
        <f>'Ingest Template'!U764</f>
        <v/>
      </c>
      <c r="AE765" s="25" t="str">
        <f>'Ingest Template'!V764</f>
        <v/>
      </c>
      <c r="AF765" s="25"/>
      <c r="AG765" s="25" t="str">
        <f t="array" ref="AG765">IF('Ingest Template'!A764="Standard",(CONCATENATE(IF(ISBLANK('Ingest Template'!O764),"", 'Ingest Template'!O764&amp;"|DAR"),CHAR(10), IF(ISBLANK('Ingest Template'!P764),"", 'Ingest Template'!P764&amp;"|DAR"),CHAR(10), IF(ISBLANK('Ingest Template'!Q764),"", 'Ingest Template'!Q764&amp;"|DAR"))),(CONCATENATE(IF(ISBLANK('Ingest Template'!O764),"", 'Ingest Template'!O764&amp;"|Operations - Core Title"),CHAR(10), IF(ISBLANK('Ingest Template'!P764),"", 'Ingest Template'!P764&amp;"|Operations - Core Title"),CHAR(10), IF(ISBLANK('Ingest Template'!Q764),"", 'Ingest Template'!Q764&amp;"|Operations - Core Title"))))</f>
        <v>#|Operations - Core Title
#videoGame|Operations - Core Title
</v>
      </c>
      <c r="AH765" s="25"/>
      <c r="AI765" s="25"/>
      <c r="AJ765" s="50" t="str">
        <f>if('Ingest Template'!A764="Standard",'Ingest Template'!R764&amp; "|DAR|DAR|2021-01-01",'Ingest Template'!R764&amp; "|Operations - Core Title|Operations - Core Title")</f>
        <v>#N/A</v>
      </c>
      <c r="AK765" s="25"/>
      <c r="AL765" s="25" t="str">
        <f>if('Ingest Template'!A764="Standard",'Ingest Template'!S764&amp; "|2021-01-01",'Ingest Template'!S764)</f>
        <v>#N/A</v>
      </c>
      <c r="AM765" s="25"/>
    </row>
    <row r="766">
      <c r="A766" s="25"/>
      <c r="B766" s="25" t="str">
        <f>'Ingest Template'!C765&amp;IF('Ingest Template'!A765 = "Standard", " - DAR","")</f>
        <v/>
      </c>
      <c r="C766" s="34" t="s">
        <v>92</v>
      </c>
      <c r="D766" s="34" t="str">
        <f>CONCATENATE('Ingest Template'!E766&amp;Char(10)&amp;'Ingest Template'!G766&amp;Char(10)&amp;'Ingest Template'!H766&amp;Char(10)&amp;'Ingest Template'!I766&amp;Char(10)&amp;'Ingest Template'!J766&amp;Char(10)&amp;'Ingest Template'!K766&amp;Char(10)&amp;'Ingest Template'!L766)</f>
        <v>
</v>
      </c>
      <c r="E766" s="25" t="str">
        <f>('Ingest Template'!M766)</f>
        <v/>
      </c>
      <c r="F766" s="40" t="str">
        <f t="array" ref="F766">INDEX(DropDown!$J$2:$J$63,MATCH(1,COUNTIF(E766,DropDown!$I$2:$I$63),0))</f>
        <v>#N/A</v>
      </c>
      <c r="G766" s="25"/>
      <c r="H766" s="25"/>
      <c r="I766" s="25"/>
      <c r="J766" s="25" t="str">
        <f>'Ingest Template'!B766</f>
        <v/>
      </c>
      <c r="K766" s="25" t="str">
        <f>IF('Ingest Template'!A765="Standard",'Ingest Template'!N765,"Competitive View")</f>
        <v>Competitive View</v>
      </c>
      <c r="L766" s="41" t="s">
        <v>145</v>
      </c>
      <c r="M766" s="25" t="str">
        <f>'Ingest Template'!D765</f>
        <v/>
      </c>
      <c r="N766" s="25"/>
      <c r="O766" s="25"/>
      <c r="P766" s="25"/>
      <c r="Q766" s="25"/>
      <c r="R766" s="25" t="str">
        <f>CONCATENATE('Ingest Template'!F765)</f>
        <v/>
      </c>
      <c r="S766" s="43" t="s">
        <v>160</v>
      </c>
      <c r="T766" s="25" t="str">
        <f>'Ingest Template'!W765</f>
        <v/>
      </c>
      <c r="U766" s="25"/>
      <c r="V766" s="25" t="str">
        <f>LOWER(SUBSTITUTE(SUBSTITUTE(SUBSTITUTE(SUBSTITUTE(SUBSTITUTE('Ingest Template'!Y765,"https:",""),"www.",""),"/",""),"?hl=en",""),"instagram.com",""))</f>
        <v/>
      </c>
      <c r="W766" s="34" t="str">
        <f>(IFERROR(vlookup('Ingest Template'!F766,DropDown!D:E,2,false)&amp;'Ingest Template'!C766,""))</f>
        <v/>
      </c>
      <c r="X766" s="25" t="str">
        <f>'Ingest Template'!AA765</f>
        <v/>
      </c>
      <c r="Y766" s="25"/>
      <c r="Z766" s="25"/>
      <c r="AA766" s="25"/>
      <c r="AB766" s="25" t="str">
        <f>'Ingest Template'!T765</f>
        <v/>
      </c>
      <c r="AC766" s="25"/>
      <c r="AD766" s="25" t="str">
        <f>'Ingest Template'!U765</f>
        <v/>
      </c>
      <c r="AE766" s="25" t="str">
        <f>'Ingest Template'!V765</f>
        <v/>
      </c>
      <c r="AF766" s="25"/>
      <c r="AG766" s="25" t="str">
        <f t="array" ref="AG766">IF('Ingest Template'!A765="Standard",(CONCATENATE(IF(ISBLANK('Ingest Template'!O765),"", 'Ingest Template'!O765&amp;"|DAR"),CHAR(10), IF(ISBLANK('Ingest Template'!P765),"", 'Ingest Template'!P765&amp;"|DAR"),CHAR(10), IF(ISBLANK('Ingest Template'!Q765),"", 'Ingest Template'!Q765&amp;"|DAR"))),(CONCATENATE(IF(ISBLANK('Ingest Template'!O765),"", 'Ingest Template'!O765&amp;"|Operations - Core Title"),CHAR(10), IF(ISBLANK('Ingest Template'!P765),"", 'Ingest Template'!P765&amp;"|Operations - Core Title"),CHAR(10), IF(ISBLANK('Ingest Template'!Q765),"", 'Ingest Template'!Q765&amp;"|Operations - Core Title"))))</f>
        <v>#|Operations - Core Title
#videoGame|Operations - Core Title
</v>
      </c>
      <c r="AH766" s="25"/>
      <c r="AI766" s="25"/>
      <c r="AJ766" s="50" t="str">
        <f>if('Ingest Template'!A765="Standard",'Ingest Template'!R765&amp; "|DAR|DAR|2021-01-01",'Ingest Template'!R765&amp; "|Operations - Core Title|Operations - Core Title")</f>
        <v>#N/A</v>
      </c>
      <c r="AK766" s="25"/>
      <c r="AL766" s="25" t="str">
        <f>if('Ingest Template'!A765="Standard",'Ingest Template'!S765&amp; "|2021-01-01",'Ingest Template'!S765)</f>
        <v>#N/A</v>
      </c>
      <c r="AM766" s="25"/>
    </row>
    <row r="767">
      <c r="A767" s="25"/>
      <c r="B767" s="25" t="str">
        <f>'Ingest Template'!C766&amp;IF('Ingest Template'!A766 = "Standard", " - DAR","")</f>
        <v/>
      </c>
      <c r="C767" s="34" t="s">
        <v>92</v>
      </c>
      <c r="D767" s="34" t="str">
        <f>CONCATENATE('Ingest Template'!E767&amp;Char(10)&amp;'Ingest Template'!G767&amp;Char(10)&amp;'Ingest Template'!H767&amp;Char(10)&amp;'Ingest Template'!I767&amp;Char(10)&amp;'Ingest Template'!J767&amp;Char(10)&amp;'Ingest Template'!K767&amp;Char(10)&amp;'Ingest Template'!L767)</f>
        <v>
</v>
      </c>
      <c r="E767" s="25" t="str">
        <f>('Ingest Template'!M767)</f>
        <v/>
      </c>
      <c r="F767" s="40" t="str">
        <f t="array" ref="F767">INDEX(DropDown!$J$2:$J$63,MATCH(1,COUNTIF(E767,DropDown!$I$2:$I$63),0))</f>
        <v>#N/A</v>
      </c>
      <c r="G767" s="25"/>
      <c r="H767" s="25"/>
      <c r="I767" s="25"/>
      <c r="J767" s="25" t="str">
        <f>'Ingest Template'!B767</f>
        <v/>
      </c>
      <c r="K767" s="25" t="str">
        <f>IF('Ingest Template'!A766="Standard",'Ingest Template'!N766,"Competitive View")</f>
        <v>Competitive View</v>
      </c>
      <c r="L767" s="41" t="s">
        <v>145</v>
      </c>
      <c r="M767" s="25" t="str">
        <f>'Ingest Template'!D766</f>
        <v/>
      </c>
      <c r="N767" s="25"/>
      <c r="O767" s="25"/>
      <c r="P767" s="25"/>
      <c r="Q767" s="25"/>
      <c r="R767" s="25" t="str">
        <f>CONCATENATE('Ingest Template'!F766)</f>
        <v/>
      </c>
      <c r="S767" s="43" t="s">
        <v>160</v>
      </c>
      <c r="T767" s="25" t="str">
        <f>'Ingest Template'!W766</f>
        <v/>
      </c>
      <c r="U767" s="25"/>
      <c r="V767" s="25" t="str">
        <f>LOWER(SUBSTITUTE(SUBSTITUTE(SUBSTITUTE(SUBSTITUTE(SUBSTITUTE('Ingest Template'!Y766,"https:",""),"www.",""),"/",""),"?hl=en",""),"instagram.com",""))</f>
        <v/>
      </c>
      <c r="W767" s="34" t="str">
        <f>(IFERROR(vlookup('Ingest Template'!F767,DropDown!D:E,2,false)&amp;'Ingest Template'!C767,""))</f>
        <v/>
      </c>
      <c r="X767" s="25" t="str">
        <f>'Ingest Template'!AA766</f>
        <v/>
      </c>
      <c r="Y767" s="25"/>
      <c r="Z767" s="25"/>
      <c r="AA767" s="25"/>
      <c r="AB767" s="25" t="str">
        <f>'Ingest Template'!T766</f>
        <v/>
      </c>
      <c r="AC767" s="25"/>
      <c r="AD767" s="25" t="str">
        <f>'Ingest Template'!U766</f>
        <v/>
      </c>
      <c r="AE767" s="25" t="str">
        <f>'Ingest Template'!V766</f>
        <v/>
      </c>
      <c r="AF767" s="25"/>
      <c r="AG767" s="25" t="str">
        <f t="array" ref="AG767">IF('Ingest Template'!A766="Standard",(CONCATENATE(IF(ISBLANK('Ingest Template'!O766),"", 'Ingest Template'!O766&amp;"|DAR"),CHAR(10), IF(ISBLANK('Ingest Template'!P766),"", 'Ingest Template'!P766&amp;"|DAR"),CHAR(10), IF(ISBLANK('Ingest Template'!Q766),"", 'Ingest Template'!Q766&amp;"|DAR"))),(CONCATENATE(IF(ISBLANK('Ingest Template'!O766),"", 'Ingest Template'!O766&amp;"|Operations - Core Title"),CHAR(10), IF(ISBLANK('Ingest Template'!P766),"", 'Ingest Template'!P766&amp;"|Operations - Core Title"),CHAR(10), IF(ISBLANK('Ingest Template'!Q766),"", 'Ingest Template'!Q766&amp;"|Operations - Core Title"))))</f>
        <v>#|Operations - Core Title
#videoGame|Operations - Core Title
</v>
      </c>
      <c r="AH767" s="25"/>
      <c r="AI767" s="25"/>
      <c r="AJ767" s="50" t="str">
        <f>if('Ingest Template'!A766="Standard",'Ingest Template'!R766&amp; "|DAR|DAR|2021-01-01",'Ingest Template'!R766&amp; "|Operations - Core Title|Operations - Core Title")</f>
        <v>#N/A</v>
      </c>
      <c r="AK767" s="25"/>
      <c r="AL767" s="25" t="str">
        <f>if('Ingest Template'!A766="Standard",'Ingest Template'!S766&amp; "|2021-01-01",'Ingest Template'!S766)</f>
        <v>#N/A</v>
      </c>
      <c r="AM767" s="25"/>
    </row>
    <row r="768">
      <c r="A768" s="25"/>
      <c r="B768" s="25" t="str">
        <f>'Ingest Template'!C767&amp;IF('Ingest Template'!A767 = "Standard", " - DAR","")</f>
        <v/>
      </c>
      <c r="C768" s="34" t="s">
        <v>92</v>
      </c>
      <c r="D768" s="34" t="str">
        <f>CONCATENATE('Ingest Template'!E768&amp;Char(10)&amp;'Ingest Template'!G768&amp;Char(10)&amp;'Ingest Template'!H768&amp;Char(10)&amp;'Ingest Template'!I768&amp;Char(10)&amp;'Ingest Template'!J768&amp;Char(10)&amp;'Ingest Template'!K768&amp;Char(10)&amp;'Ingest Template'!L768)</f>
        <v>
</v>
      </c>
      <c r="E768" s="25" t="str">
        <f>('Ingest Template'!M768)</f>
        <v/>
      </c>
      <c r="F768" s="40" t="str">
        <f t="array" ref="F768">INDEX(DropDown!$J$2:$J$63,MATCH(1,COUNTIF(E768,DropDown!$I$2:$I$63),0))</f>
        <v>#N/A</v>
      </c>
      <c r="G768" s="25"/>
      <c r="H768" s="25"/>
      <c r="I768" s="25"/>
      <c r="J768" s="25" t="str">
        <f>'Ingest Template'!B768</f>
        <v/>
      </c>
      <c r="K768" s="25" t="str">
        <f>IF('Ingest Template'!A767="Standard",'Ingest Template'!N767,"Competitive View")</f>
        <v>Competitive View</v>
      </c>
      <c r="L768" s="41" t="s">
        <v>145</v>
      </c>
      <c r="M768" s="25" t="str">
        <f>'Ingest Template'!D767</f>
        <v/>
      </c>
      <c r="N768" s="25"/>
      <c r="O768" s="25"/>
      <c r="P768" s="25"/>
      <c r="Q768" s="25"/>
      <c r="R768" s="25" t="str">
        <f>CONCATENATE('Ingest Template'!F767)</f>
        <v/>
      </c>
      <c r="S768" s="43" t="s">
        <v>160</v>
      </c>
      <c r="T768" s="25" t="str">
        <f>'Ingest Template'!W767</f>
        <v/>
      </c>
      <c r="U768" s="25"/>
      <c r="V768" s="25" t="str">
        <f>LOWER(SUBSTITUTE(SUBSTITUTE(SUBSTITUTE(SUBSTITUTE(SUBSTITUTE('Ingest Template'!Y767,"https:",""),"www.",""),"/",""),"?hl=en",""),"instagram.com",""))</f>
        <v/>
      </c>
      <c r="W768" s="34" t="str">
        <f>(IFERROR(vlookup('Ingest Template'!F768,DropDown!D:E,2,false)&amp;'Ingest Template'!C768,""))</f>
        <v/>
      </c>
      <c r="X768" s="25" t="str">
        <f>'Ingest Template'!AA767</f>
        <v/>
      </c>
      <c r="Y768" s="25"/>
      <c r="Z768" s="25"/>
      <c r="AA768" s="25"/>
      <c r="AB768" s="25" t="str">
        <f>'Ingest Template'!T767</f>
        <v/>
      </c>
      <c r="AC768" s="25"/>
      <c r="AD768" s="25" t="str">
        <f>'Ingest Template'!U767</f>
        <v/>
      </c>
      <c r="AE768" s="25" t="str">
        <f>'Ingest Template'!V767</f>
        <v/>
      </c>
      <c r="AF768" s="25"/>
      <c r="AG768" s="25" t="str">
        <f t="array" ref="AG768">IF('Ingest Template'!A767="Standard",(CONCATENATE(IF(ISBLANK('Ingest Template'!O767),"", 'Ingest Template'!O767&amp;"|DAR"),CHAR(10), IF(ISBLANK('Ingest Template'!P767),"", 'Ingest Template'!P767&amp;"|DAR"),CHAR(10), IF(ISBLANK('Ingest Template'!Q767),"", 'Ingest Template'!Q767&amp;"|DAR"))),(CONCATENATE(IF(ISBLANK('Ingest Template'!O767),"", 'Ingest Template'!O767&amp;"|Operations - Core Title"),CHAR(10), IF(ISBLANK('Ingest Template'!P767),"", 'Ingest Template'!P767&amp;"|Operations - Core Title"),CHAR(10), IF(ISBLANK('Ingest Template'!Q767),"", 'Ingest Template'!Q767&amp;"|Operations - Core Title"))))</f>
        <v>#|Operations - Core Title
#videoGame|Operations - Core Title
</v>
      </c>
      <c r="AH768" s="25"/>
      <c r="AI768" s="25"/>
      <c r="AJ768" s="50" t="str">
        <f>if('Ingest Template'!A767="Standard",'Ingest Template'!R767&amp; "|DAR|DAR|2021-01-01",'Ingest Template'!R767&amp; "|Operations - Core Title|Operations - Core Title")</f>
        <v>#N/A</v>
      </c>
      <c r="AK768" s="25"/>
      <c r="AL768" s="25" t="str">
        <f>if('Ingest Template'!A767="Standard",'Ingest Template'!S767&amp; "|2021-01-01",'Ingest Template'!S767)</f>
        <v>#N/A</v>
      </c>
      <c r="AM768" s="25"/>
    </row>
    <row r="769">
      <c r="A769" s="25"/>
      <c r="B769" s="25" t="str">
        <f>'Ingest Template'!C768&amp;IF('Ingest Template'!A768 = "Standard", " - DAR","")</f>
        <v/>
      </c>
      <c r="C769" s="34" t="s">
        <v>92</v>
      </c>
      <c r="D769" s="34" t="str">
        <f>CONCATENATE('Ingest Template'!E769&amp;Char(10)&amp;'Ingest Template'!G769&amp;Char(10)&amp;'Ingest Template'!H769&amp;Char(10)&amp;'Ingest Template'!I769&amp;Char(10)&amp;'Ingest Template'!J769&amp;Char(10)&amp;'Ingest Template'!K769&amp;Char(10)&amp;'Ingest Template'!L769)</f>
        <v>
</v>
      </c>
      <c r="E769" s="25" t="str">
        <f>('Ingest Template'!M769)</f>
        <v/>
      </c>
      <c r="F769" s="40" t="str">
        <f t="array" ref="F769">INDEX(DropDown!$J$2:$J$63,MATCH(1,COUNTIF(E769,DropDown!$I$2:$I$63),0))</f>
        <v>#N/A</v>
      </c>
      <c r="G769" s="25"/>
      <c r="H769" s="25"/>
      <c r="I769" s="25"/>
      <c r="J769" s="25" t="str">
        <f>'Ingest Template'!B769</f>
        <v/>
      </c>
      <c r="K769" s="25" t="str">
        <f>IF('Ingest Template'!A768="Standard",'Ingest Template'!N768,"Competitive View")</f>
        <v>Competitive View</v>
      </c>
      <c r="L769" s="41" t="s">
        <v>145</v>
      </c>
      <c r="M769" s="25" t="str">
        <f>'Ingest Template'!D768</f>
        <v/>
      </c>
      <c r="N769" s="25"/>
      <c r="O769" s="25"/>
      <c r="P769" s="25"/>
      <c r="Q769" s="25"/>
      <c r="R769" s="25" t="str">
        <f>CONCATENATE('Ingest Template'!F768)</f>
        <v/>
      </c>
      <c r="S769" s="43" t="s">
        <v>160</v>
      </c>
      <c r="T769" s="25" t="str">
        <f>'Ingest Template'!W768</f>
        <v/>
      </c>
      <c r="U769" s="25"/>
      <c r="V769" s="25" t="str">
        <f>LOWER(SUBSTITUTE(SUBSTITUTE(SUBSTITUTE(SUBSTITUTE(SUBSTITUTE('Ingest Template'!Y768,"https:",""),"www.",""),"/",""),"?hl=en",""),"instagram.com",""))</f>
        <v/>
      </c>
      <c r="W769" s="34" t="str">
        <f>(IFERROR(vlookup('Ingest Template'!F769,DropDown!D:E,2,false)&amp;'Ingest Template'!C769,""))</f>
        <v/>
      </c>
      <c r="X769" s="25" t="str">
        <f>'Ingest Template'!AA768</f>
        <v/>
      </c>
      <c r="Y769" s="25"/>
      <c r="Z769" s="25"/>
      <c r="AA769" s="25"/>
      <c r="AB769" s="25" t="str">
        <f>'Ingest Template'!T768</f>
        <v/>
      </c>
      <c r="AC769" s="25"/>
      <c r="AD769" s="25" t="str">
        <f>'Ingest Template'!U768</f>
        <v/>
      </c>
      <c r="AE769" s="25" t="str">
        <f>'Ingest Template'!V768</f>
        <v/>
      </c>
      <c r="AF769" s="25"/>
      <c r="AG769" s="25" t="str">
        <f t="array" ref="AG769">IF('Ingest Template'!A768="Standard",(CONCATENATE(IF(ISBLANK('Ingest Template'!O768),"", 'Ingest Template'!O768&amp;"|DAR"),CHAR(10), IF(ISBLANK('Ingest Template'!P768),"", 'Ingest Template'!P768&amp;"|DAR"),CHAR(10), IF(ISBLANK('Ingest Template'!Q768),"", 'Ingest Template'!Q768&amp;"|DAR"))),(CONCATENATE(IF(ISBLANK('Ingest Template'!O768),"", 'Ingest Template'!O768&amp;"|Operations - Core Title"),CHAR(10), IF(ISBLANK('Ingest Template'!P768),"", 'Ingest Template'!P768&amp;"|Operations - Core Title"),CHAR(10), IF(ISBLANK('Ingest Template'!Q768),"", 'Ingest Template'!Q768&amp;"|Operations - Core Title"))))</f>
        <v>#|Operations - Core Title
#videoGame|Operations - Core Title
</v>
      </c>
      <c r="AH769" s="25"/>
      <c r="AI769" s="25"/>
      <c r="AJ769" s="50" t="str">
        <f>if('Ingest Template'!A768="Standard",'Ingest Template'!R768&amp; "|DAR|DAR|2021-01-01",'Ingest Template'!R768&amp; "|Operations - Core Title|Operations - Core Title")</f>
        <v>#N/A</v>
      </c>
      <c r="AK769" s="25"/>
      <c r="AL769" s="25" t="str">
        <f>if('Ingest Template'!A768="Standard",'Ingest Template'!S768&amp; "|2021-01-01",'Ingest Template'!S768)</f>
        <v>#N/A</v>
      </c>
      <c r="AM769" s="25"/>
    </row>
    <row r="770">
      <c r="A770" s="25"/>
      <c r="B770" s="25" t="str">
        <f>'Ingest Template'!C769&amp;IF('Ingest Template'!A769 = "Standard", " - DAR","")</f>
        <v/>
      </c>
      <c r="C770" s="34" t="s">
        <v>92</v>
      </c>
      <c r="D770" s="34" t="str">
        <f>CONCATENATE('Ingest Template'!E770&amp;Char(10)&amp;'Ingest Template'!G770&amp;Char(10)&amp;'Ingest Template'!H770&amp;Char(10)&amp;'Ingest Template'!I770&amp;Char(10)&amp;'Ingest Template'!J770&amp;Char(10)&amp;'Ingest Template'!K770&amp;Char(10)&amp;'Ingest Template'!L770)</f>
        <v>
</v>
      </c>
      <c r="E770" s="25" t="str">
        <f>('Ingest Template'!M770)</f>
        <v/>
      </c>
      <c r="F770" s="40" t="str">
        <f t="array" ref="F770">INDEX(DropDown!$J$2:$J$63,MATCH(1,COUNTIF(E770,DropDown!$I$2:$I$63),0))</f>
        <v>#N/A</v>
      </c>
      <c r="G770" s="25"/>
      <c r="H770" s="25"/>
      <c r="I770" s="25"/>
      <c r="J770" s="25" t="str">
        <f>'Ingest Template'!B770</f>
        <v/>
      </c>
      <c r="K770" s="25" t="str">
        <f>IF('Ingest Template'!A769="Standard",'Ingest Template'!N769,"Competitive View")</f>
        <v>Competitive View</v>
      </c>
      <c r="L770" s="41" t="s">
        <v>145</v>
      </c>
      <c r="M770" s="25" t="str">
        <f>'Ingest Template'!D769</f>
        <v/>
      </c>
      <c r="N770" s="25"/>
      <c r="O770" s="25"/>
      <c r="P770" s="25"/>
      <c r="Q770" s="25"/>
      <c r="R770" s="25" t="str">
        <f>CONCATENATE('Ingest Template'!F769)</f>
        <v/>
      </c>
      <c r="S770" s="43" t="s">
        <v>160</v>
      </c>
      <c r="T770" s="25" t="str">
        <f>'Ingest Template'!W769</f>
        <v/>
      </c>
      <c r="U770" s="25"/>
      <c r="V770" s="25" t="str">
        <f>LOWER(SUBSTITUTE(SUBSTITUTE(SUBSTITUTE(SUBSTITUTE(SUBSTITUTE('Ingest Template'!Y769,"https:",""),"www.",""),"/",""),"?hl=en",""),"instagram.com",""))</f>
        <v/>
      </c>
      <c r="W770" s="34" t="str">
        <f>(IFERROR(vlookup('Ingest Template'!F770,DropDown!D:E,2,false)&amp;'Ingest Template'!C770,""))</f>
        <v/>
      </c>
      <c r="X770" s="25" t="str">
        <f>'Ingest Template'!AA769</f>
        <v/>
      </c>
      <c r="Y770" s="25"/>
      <c r="Z770" s="25"/>
      <c r="AA770" s="25"/>
      <c r="AB770" s="25" t="str">
        <f>'Ingest Template'!T769</f>
        <v/>
      </c>
      <c r="AC770" s="25"/>
      <c r="AD770" s="25" t="str">
        <f>'Ingest Template'!U769</f>
        <v/>
      </c>
      <c r="AE770" s="25" t="str">
        <f>'Ingest Template'!V769</f>
        <v/>
      </c>
      <c r="AF770" s="25"/>
      <c r="AG770" s="25" t="str">
        <f t="array" ref="AG770">IF('Ingest Template'!A769="Standard",(CONCATENATE(IF(ISBLANK('Ingest Template'!O769),"", 'Ingest Template'!O769&amp;"|DAR"),CHAR(10), IF(ISBLANK('Ingest Template'!P769),"", 'Ingest Template'!P769&amp;"|DAR"),CHAR(10), IF(ISBLANK('Ingest Template'!Q769),"", 'Ingest Template'!Q769&amp;"|DAR"))),(CONCATENATE(IF(ISBLANK('Ingest Template'!O769),"", 'Ingest Template'!O769&amp;"|Operations - Core Title"),CHAR(10), IF(ISBLANK('Ingest Template'!P769),"", 'Ingest Template'!P769&amp;"|Operations - Core Title"),CHAR(10), IF(ISBLANK('Ingest Template'!Q769),"", 'Ingest Template'!Q769&amp;"|Operations - Core Title"))))</f>
        <v>#|Operations - Core Title
#videoGame|Operations - Core Title
</v>
      </c>
      <c r="AH770" s="25"/>
      <c r="AI770" s="25"/>
      <c r="AJ770" s="50" t="str">
        <f>if('Ingest Template'!A769="Standard",'Ingest Template'!R769&amp; "|DAR|DAR|2021-01-01",'Ingest Template'!R769&amp; "|Operations - Core Title|Operations - Core Title")</f>
        <v>#N/A</v>
      </c>
      <c r="AK770" s="25"/>
      <c r="AL770" s="25" t="str">
        <f>if('Ingest Template'!A769="Standard",'Ingest Template'!S769&amp; "|2021-01-01",'Ingest Template'!S769)</f>
        <v>#N/A</v>
      </c>
      <c r="AM770" s="25"/>
    </row>
    <row r="771">
      <c r="A771" s="25"/>
      <c r="B771" s="25" t="str">
        <f>'Ingest Template'!C770&amp;IF('Ingest Template'!A770 = "Standard", " - DAR","")</f>
        <v/>
      </c>
      <c r="C771" s="34" t="s">
        <v>92</v>
      </c>
      <c r="D771" s="34" t="str">
        <f>CONCATENATE('Ingest Template'!E771&amp;Char(10)&amp;'Ingest Template'!G771&amp;Char(10)&amp;'Ingest Template'!H771&amp;Char(10)&amp;'Ingest Template'!I771&amp;Char(10)&amp;'Ingest Template'!J771&amp;Char(10)&amp;'Ingest Template'!K771&amp;Char(10)&amp;'Ingest Template'!L771)</f>
        <v>
</v>
      </c>
      <c r="E771" s="25" t="str">
        <f>('Ingest Template'!M771)</f>
        <v/>
      </c>
      <c r="F771" s="40" t="str">
        <f t="array" ref="F771">INDEX(DropDown!$J$2:$J$63,MATCH(1,COUNTIF(E771,DropDown!$I$2:$I$63),0))</f>
        <v>#N/A</v>
      </c>
      <c r="G771" s="25"/>
      <c r="H771" s="25"/>
      <c r="I771" s="25"/>
      <c r="J771" s="25" t="str">
        <f>'Ingest Template'!B771</f>
        <v/>
      </c>
      <c r="K771" s="25" t="str">
        <f>IF('Ingest Template'!A770="Standard",'Ingest Template'!N770,"Competitive View")</f>
        <v>Competitive View</v>
      </c>
      <c r="L771" s="41" t="s">
        <v>145</v>
      </c>
      <c r="M771" s="25" t="str">
        <f>'Ingest Template'!D770</f>
        <v/>
      </c>
      <c r="N771" s="25"/>
      <c r="O771" s="25"/>
      <c r="P771" s="25"/>
      <c r="Q771" s="25"/>
      <c r="R771" s="25" t="str">
        <f>CONCATENATE('Ingest Template'!F770)</f>
        <v/>
      </c>
      <c r="S771" s="43" t="s">
        <v>160</v>
      </c>
      <c r="T771" s="25" t="str">
        <f>'Ingest Template'!W770</f>
        <v/>
      </c>
      <c r="U771" s="25"/>
      <c r="V771" s="25" t="str">
        <f>LOWER(SUBSTITUTE(SUBSTITUTE(SUBSTITUTE(SUBSTITUTE(SUBSTITUTE('Ingest Template'!Y770,"https:",""),"www.",""),"/",""),"?hl=en",""),"instagram.com",""))</f>
        <v/>
      </c>
      <c r="W771" s="34" t="str">
        <f>(IFERROR(vlookup('Ingest Template'!F771,DropDown!D:E,2,false)&amp;'Ingest Template'!C771,""))</f>
        <v/>
      </c>
      <c r="X771" s="25" t="str">
        <f>'Ingest Template'!AA770</f>
        <v/>
      </c>
      <c r="Y771" s="25"/>
      <c r="Z771" s="25"/>
      <c r="AA771" s="25"/>
      <c r="AB771" s="25" t="str">
        <f>'Ingest Template'!T770</f>
        <v/>
      </c>
      <c r="AC771" s="25"/>
      <c r="AD771" s="25" t="str">
        <f>'Ingest Template'!U770</f>
        <v/>
      </c>
      <c r="AE771" s="25" t="str">
        <f>'Ingest Template'!V770</f>
        <v/>
      </c>
      <c r="AF771" s="25"/>
      <c r="AG771" s="25" t="str">
        <f t="array" ref="AG771">IF('Ingest Template'!A770="Standard",(CONCATENATE(IF(ISBLANK('Ingest Template'!O770),"", 'Ingest Template'!O770&amp;"|DAR"),CHAR(10), IF(ISBLANK('Ingest Template'!P770),"", 'Ingest Template'!P770&amp;"|DAR"),CHAR(10), IF(ISBLANK('Ingest Template'!Q770),"", 'Ingest Template'!Q770&amp;"|DAR"))),(CONCATENATE(IF(ISBLANK('Ingest Template'!O770),"", 'Ingest Template'!O770&amp;"|Operations - Core Title"),CHAR(10), IF(ISBLANK('Ingest Template'!P770),"", 'Ingest Template'!P770&amp;"|Operations - Core Title"),CHAR(10), IF(ISBLANK('Ingest Template'!Q770),"", 'Ingest Template'!Q770&amp;"|Operations - Core Title"))))</f>
        <v>#|Operations - Core Title
#videoGame|Operations - Core Title
</v>
      </c>
      <c r="AH771" s="25"/>
      <c r="AI771" s="25"/>
      <c r="AJ771" s="50" t="str">
        <f>if('Ingest Template'!A770="Standard",'Ingest Template'!R770&amp; "|DAR|DAR|2021-01-01",'Ingest Template'!R770&amp; "|Operations - Core Title|Operations - Core Title")</f>
        <v>#N/A</v>
      </c>
      <c r="AK771" s="25"/>
      <c r="AL771" s="25" t="str">
        <f>if('Ingest Template'!A770="Standard",'Ingest Template'!S770&amp; "|2021-01-01",'Ingest Template'!S770)</f>
        <v>#N/A</v>
      </c>
      <c r="AM771" s="25"/>
    </row>
    <row r="772">
      <c r="A772" s="25"/>
      <c r="B772" s="25" t="str">
        <f>'Ingest Template'!C771&amp;IF('Ingest Template'!A771 = "Standard", " - DAR","")</f>
        <v/>
      </c>
      <c r="C772" s="34" t="s">
        <v>92</v>
      </c>
      <c r="D772" s="34" t="str">
        <f>CONCATENATE('Ingest Template'!E772&amp;Char(10)&amp;'Ingest Template'!G772&amp;Char(10)&amp;'Ingest Template'!H772&amp;Char(10)&amp;'Ingest Template'!I772&amp;Char(10)&amp;'Ingest Template'!J772&amp;Char(10)&amp;'Ingest Template'!K772&amp;Char(10)&amp;'Ingest Template'!L772)</f>
        <v>
</v>
      </c>
      <c r="E772" s="25" t="str">
        <f>('Ingest Template'!M772)</f>
        <v/>
      </c>
      <c r="F772" s="40" t="str">
        <f t="array" ref="F772">INDEX(DropDown!$J$2:$J$63,MATCH(1,COUNTIF(E772,DropDown!$I$2:$I$63),0))</f>
        <v>#N/A</v>
      </c>
      <c r="G772" s="25"/>
      <c r="H772" s="25"/>
      <c r="I772" s="25"/>
      <c r="J772" s="25" t="str">
        <f>'Ingest Template'!B772</f>
        <v/>
      </c>
      <c r="K772" s="25" t="str">
        <f>IF('Ingest Template'!A771="Standard",'Ingest Template'!N771,"Competitive View")</f>
        <v>Competitive View</v>
      </c>
      <c r="L772" s="41" t="s">
        <v>145</v>
      </c>
      <c r="M772" s="25" t="str">
        <f>'Ingest Template'!D771</f>
        <v/>
      </c>
      <c r="N772" s="25"/>
      <c r="O772" s="25"/>
      <c r="P772" s="25"/>
      <c r="Q772" s="25"/>
      <c r="R772" s="25" t="str">
        <f>CONCATENATE('Ingest Template'!F771)</f>
        <v/>
      </c>
      <c r="S772" s="43" t="s">
        <v>160</v>
      </c>
      <c r="T772" s="25" t="str">
        <f>'Ingest Template'!W771</f>
        <v/>
      </c>
      <c r="U772" s="25"/>
      <c r="V772" s="25" t="str">
        <f>LOWER(SUBSTITUTE(SUBSTITUTE(SUBSTITUTE(SUBSTITUTE(SUBSTITUTE('Ingest Template'!Y771,"https:",""),"www.",""),"/",""),"?hl=en",""),"instagram.com",""))</f>
        <v/>
      </c>
      <c r="W772" s="34" t="str">
        <f>(IFERROR(vlookup('Ingest Template'!F772,DropDown!D:E,2,false)&amp;'Ingest Template'!C772,""))</f>
        <v/>
      </c>
      <c r="X772" s="25" t="str">
        <f>'Ingest Template'!AA771</f>
        <v/>
      </c>
      <c r="Y772" s="25"/>
      <c r="Z772" s="25"/>
      <c r="AA772" s="25"/>
      <c r="AB772" s="25" t="str">
        <f>'Ingest Template'!T771</f>
        <v/>
      </c>
      <c r="AC772" s="25"/>
      <c r="AD772" s="25" t="str">
        <f>'Ingest Template'!U771</f>
        <v/>
      </c>
      <c r="AE772" s="25" t="str">
        <f>'Ingest Template'!V771</f>
        <v/>
      </c>
      <c r="AF772" s="25"/>
      <c r="AG772" s="25" t="str">
        <f t="array" ref="AG772">IF('Ingest Template'!A771="Standard",(CONCATENATE(IF(ISBLANK('Ingest Template'!O771),"", 'Ingest Template'!O771&amp;"|DAR"),CHAR(10), IF(ISBLANK('Ingest Template'!P771),"", 'Ingest Template'!P771&amp;"|DAR"),CHAR(10), IF(ISBLANK('Ingest Template'!Q771),"", 'Ingest Template'!Q771&amp;"|DAR"))),(CONCATENATE(IF(ISBLANK('Ingest Template'!O771),"", 'Ingest Template'!O771&amp;"|Operations - Core Title"),CHAR(10), IF(ISBLANK('Ingest Template'!P771),"", 'Ingest Template'!P771&amp;"|Operations - Core Title"),CHAR(10), IF(ISBLANK('Ingest Template'!Q771),"", 'Ingest Template'!Q771&amp;"|Operations - Core Title"))))</f>
        <v>#|Operations - Core Title
#videoGame|Operations - Core Title
</v>
      </c>
      <c r="AH772" s="25"/>
      <c r="AI772" s="25"/>
      <c r="AJ772" s="50" t="str">
        <f>if('Ingest Template'!A771="Standard",'Ingest Template'!R771&amp; "|DAR|DAR|2021-01-01",'Ingest Template'!R771&amp; "|Operations - Core Title|Operations - Core Title")</f>
        <v>#N/A</v>
      </c>
      <c r="AK772" s="25"/>
      <c r="AL772" s="25" t="str">
        <f>if('Ingest Template'!A771="Standard",'Ingest Template'!S771&amp; "|2021-01-01",'Ingest Template'!S771)</f>
        <v>#N/A</v>
      </c>
      <c r="AM772" s="25"/>
    </row>
    <row r="773">
      <c r="A773" s="25"/>
      <c r="B773" s="25" t="str">
        <f>'Ingest Template'!C772&amp;IF('Ingest Template'!A772 = "Standard", " - DAR","")</f>
        <v/>
      </c>
      <c r="C773" s="34" t="s">
        <v>92</v>
      </c>
      <c r="D773" s="34" t="str">
        <f>CONCATENATE('Ingest Template'!E773&amp;Char(10)&amp;'Ingest Template'!G773&amp;Char(10)&amp;'Ingest Template'!H773&amp;Char(10)&amp;'Ingest Template'!I773&amp;Char(10)&amp;'Ingest Template'!J773&amp;Char(10)&amp;'Ingest Template'!K773&amp;Char(10)&amp;'Ingest Template'!L773)</f>
        <v>
</v>
      </c>
      <c r="E773" s="25" t="str">
        <f>('Ingest Template'!M773)</f>
        <v/>
      </c>
      <c r="F773" s="40" t="str">
        <f t="array" ref="F773">INDEX(DropDown!$J$2:$J$63,MATCH(1,COUNTIF(E773,DropDown!$I$2:$I$63),0))</f>
        <v>#N/A</v>
      </c>
      <c r="G773" s="25"/>
      <c r="H773" s="25"/>
      <c r="I773" s="25"/>
      <c r="J773" s="25" t="str">
        <f>'Ingest Template'!B773</f>
        <v/>
      </c>
      <c r="K773" s="25" t="str">
        <f>IF('Ingest Template'!A772="Standard",'Ingest Template'!N772,"Competitive View")</f>
        <v>Competitive View</v>
      </c>
      <c r="L773" s="41" t="s">
        <v>145</v>
      </c>
      <c r="M773" s="25" t="str">
        <f>'Ingest Template'!D772</f>
        <v/>
      </c>
      <c r="N773" s="25"/>
      <c r="O773" s="25"/>
      <c r="P773" s="25"/>
      <c r="Q773" s="25"/>
      <c r="R773" s="25" t="str">
        <f>CONCATENATE('Ingest Template'!F772)</f>
        <v/>
      </c>
      <c r="S773" s="43" t="s">
        <v>160</v>
      </c>
      <c r="T773" s="25" t="str">
        <f>'Ingest Template'!W772</f>
        <v/>
      </c>
      <c r="U773" s="25"/>
      <c r="V773" s="25" t="str">
        <f>LOWER(SUBSTITUTE(SUBSTITUTE(SUBSTITUTE(SUBSTITUTE(SUBSTITUTE('Ingest Template'!Y772,"https:",""),"www.",""),"/",""),"?hl=en",""),"instagram.com",""))</f>
        <v/>
      </c>
      <c r="W773" s="34" t="str">
        <f>(IFERROR(vlookup('Ingest Template'!F773,DropDown!D:E,2,false)&amp;'Ingest Template'!C773,""))</f>
        <v/>
      </c>
      <c r="X773" s="25" t="str">
        <f>'Ingest Template'!AA772</f>
        <v/>
      </c>
      <c r="Y773" s="25"/>
      <c r="Z773" s="25"/>
      <c r="AA773" s="25"/>
      <c r="AB773" s="25" t="str">
        <f>'Ingest Template'!T772</f>
        <v/>
      </c>
      <c r="AC773" s="25"/>
      <c r="AD773" s="25" t="str">
        <f>'Ingest Template'!U772</f>
        <v/>
      </c>
      <c r="AE773" s="25" t="str">
        <f>'Ingest Template'!V772</f>
        <v/>
      </c>
      <c r="AF773" s="25"/>
      <c r="AG773" s="25" t="str">
        <f t="array" ref="AG773">IF('Ingest Template'!A772="Standard",(CONCATENATE(IF(ISBLANK('Ingest Template'!O772),"", 'Ingest Template'!O772&amp;"|DAR"),CHAR(10), IF(ISBLANK('Ingest Template'!P772),"", 'Ingest Template'!P772&amp;"|DAR"),CHAR(10), IF(ISBLANK('Ingest Template'!Q772),"", 'Ingest Template'!Q772&amp;"|DAR"))),(CONCATENATE(IF(ISBLANK('Ingest Template'!O772),"", 'Ingest Template'!O772&amp;"|Operations - Core Title"),CHAR(10), IF(ISBLANK('Ingest Template'!P772),"", 'Ingest Template'!P772&amp;"|Operations - Core Title"),CHAR(10), IF(ISBLANK('Ingest Template'!Q772),"", 'Ingest Template'!Q772&amp;"|Operations - Core Title"))))</f>
        <v>#|Operations - Core Title
#videoGame|Operations - Core Title
</v>
      </c>
      <c r="AH773" s="25"/>
      <c r="AI773" s="25"/>
      <c r="AJ773" s="50" t="str">
        <f>if('Ingest Template'!A772="Standard",'Ingest Template'!R772&amp; "|DAR|DAR|2021-01-01",'Ingest Template'!R772&amp; "|Operations - Core Title|Operations - Core Title")</f>
        <v>#N/A</v>
      </c>
      <c r="AK773" s="25"/>
      <c r="AL773" s="25" t="str">
        <f>if('Ingest Template'!A772="Standard",'Ingest Template'!S772&amp; "|2021-01-01",'Ingest Template'!S772)</f>
        <v>#N/A</v>
      </c>
      <c r="AM773" s="25"/>
    </row>
    <row r="774">
      <c r="A774" s="25"/>
      <c r="B774" s="25" t="str">
        <f>'Ingest Template'!C773&amp;IF('Ingest Template'!A773 = "Standard", " - DAR","")</f>
        <v/>
      </c>
      <c r="C774" s="34" t="s">
        <v>92</v>
      </c>
      <c r="D774" s="34" t="str">
        <f>CONCATENATE('Ingest Template'!E774&amp;Char(10)&amp;'Ingest Template'!G774&amp;Char(10)&amp;'Ingest Template'!H774&amp;Char(10)&amp;'Ingest Template'!I774&amp;Char(10)&amp;'Ingest Template'!J774&amp;Char(10)&amp;'Ingest Template'!K774&amp;Char(10)&amp;'Ingest Template'!L774)</f>
        <v>
</v>
      </c>
      <c r="E774" s="25" t="str">
        <f>('Ingest Template'!M774)</f>
        <v/>
      </c>
      <c r="F774" s="40" t="str">
        <f t="array" ref="F774">INDEX(DropDown!$J$2:$J$63,MATCH(1,COUNTIF(E774,DropDown!$I$2:$I$63),0))</f>
        <v>#N/A</v>
      </c>
      <c r="G774" s="25"/>
      <c r="H774" s="25"/>
      <c r="I774" s="25"/>
      <c r="J774" s="25" t="str">
        <f>'Ingest Template'!B774</f>
        <v/>
      </c>
      <c r="K774" s="25" t="str">
        <f>IF('Ingest Template'!A773="Standard",'Ingest Template'!N773,"Competitive View")</f>
        <v>Competitive View</v>
      </c>
      <c r="L774" s="41" t="s">
        <v>145</v>
      </c>
      <c r="M774" s="25" t="str">
        <f>'Ingest Template'!D773</f>
        <v/>
      </c>
      <c r="N774" s="25"/>
      <c r="O774" s="25"/>
      <c r="P774" s="25"/>
      <c r="Q774" s="25"/>
      <c r="R774" s="25" t="str">
        <f>CONCATENATE('Ingest Template'!F773)</f>
        <v/>
      </c>
      <c r="S774" s="43" t="s">
        <v>160</v>
      </c>
      <c r="T774" s="25" t="str">
        <f>'Ingest Template'!W773</f>
        <v/>
      </c>
      <c r="U774" s="25"/>
      <c r="V774" s="25" t="str">
        <f>LOWER(SUBSTITUTE(SUBSTITUTE(SUBSTITUTE(SUBSTITUTE(SUBSTITUTE('Ingest Template'!Y773,"https:",""),"www.",""),"/",""),"?hl=en",""),"instagram.com",""))</f>
        <v/>
      </c>
      <c r="W774" s="34" t="str">
        <f>(IFERROR(vlookup('Ingest Template'!F774,DropDown!D:E,2,false)&amp;'Ingest Template'!C774,""))</f>
        <v/>
      </c>
      <c r="X774" s="25" t="str">
        <f>'Ingest Template'!AA773</f>
        <v/>
      </c>
      <c r="Y774" s="25"/>
      <c r="Z774" s="25"/>
      <c r="AA774" s="25"/>
      <c r="AB774" s="25" t="str">
        <f>'Ingest Template'!T773</f>
        <v/>
      </c>
      <c r="AC774" s="25"/>
      <c r="AD774" s="25" t="str">
        <f>'Ingest Template'!U773</f>
        <v/>
      </c>
      <c r="AE774" s="25" t="str">
        <f>'Ingest Template'!V773</f>
        <v/>
      </c>
      <c r="AF774" s="25"/>
      <c r="AG774" s="25" t="str">
        <f t="array" ref="AG774">IF('Ingest Template'!A773="Standard",(CONCATENATE(IF(ISBLANK('Ingest Template'!O773),"", 'Ingest Template'!O773&amp;"|DAR"),CHAR(10), IF(ISBLANK('Ingest Template'!P773),"", 'Ingest Template'!P773&amp;"|DAR"),CHAR(10), IF(ISBLANK('Ingest Template'!Q773),"", 'Ingest Template'!Q773&amp;"|DAR"))),(CONCATENATE(IF(ISBLANK('Ingest Template'!O773),"", 'Ingest Template'!O773&amp;"|Operations - Core Title"),CHAR(10), IF(ISBLANK('Ingest Template'!P773),"", 'Ingest Template'!P773&amp;"|Operations - Core Title"),CHAR(10), IF(ISBLANK('Ingest Template'!Q773),"", 'Ingest Template'!Q773&amp;"|Operations - Core Title"))))</f>
        <v>#|Operations - Core Title
#videoGame|Operations - Core Title
</v>
      </c>
      <c r="AH774" s="25"/>
      <c r="AI774" s="25"/>
      <c r="AJ774" s="50" t="str">
        <f>if('Ingest Template'!A773="Standard",'Ingest Template'!R773&amp; "|DAR|DAR|2021-01-01",'Ingest Template'!R773&amp; "|Operations - Core Title|Operations - Core Title")</f>
        <v>#N/A</v>
      </c>
      <c r="AK774" s="25"/>
      <c r="AL774" s="25" t="str">
        <f>if('Ingest Template'!A773="Standard",'Ingest Template'!S773&amp; "|2021-01-01",'Ingest Template'!S773)</f>
        <v>#N/A</v>
      </c>
      <c r="AM774" s="25"/>
    </row>
    <row r="775">
      <c r="A775" s="25"/>
      <c r="B775" s="25" t="str">
        <f>'Ingest Template'!C774&amp;IF('Ingest Template'!A774 = "Standard", " - DAR","")</f>
        <v/>
      </c>
      <c r="C775" s="34" t="s">
        <v>92</v>
      </c>
      <c r="D775" s="34" t="str">
        <f>CONCATENATE('Ingest Template'!E775&amp;Char(10)&amp;'Ingest Template'!G775&amp;Char(10)&amp;'Ingest Template'!H775&amp;Char(10)&amp;'Ingest Template'!I775&amp;Char(10)&amp;'Ingest Template'!J775&amp;Char(10)&amp;'Ingest Template'!K775&amp;Char(10)&amp;'Ingest Template'!L775)</f>
        <v>
</v>
      </c>
      <c r="E775" s="25" t="str">
        <f>('Ingest Template'!M775)</f>
        <v/>
      </c>
      <c r="F775" s="40" t="str">
        <f t="array" ref="F775">INDEX(DropDown!$J$2:$J$63,MATCH(1,COUNTIF(E775,DropDown!$I$2:$I$63),0))</f>
        <v>#N/A</v>
      </c>
      <c r="G775" s="25"/>
      <c r="H775" s="25"/>
      <c r="I775" s="25"/>
      <c r="J775" s="25" t="str">
        <f>'Ingest Template'!B775</f>
        <v/>
      </c>
      <c r="K775" s="25" t="str">
        <f>IF('Ingest Template'!A774="Standard",'Ingest Template'!N774,"Competitive View")</f>
        <v>Competitive View</v>
      </c>
      <c r="L775" s="41" t="s">
        <v>145</v>
      </c>
      <c r="M775" s="25" t="str">
        <f>'Ingest Template'!D774</f>
        <v/>
      </c>
      <c r="N775" s="25"/>
      <c r="O775" s="25"/>
      <c r="P775" s="25"/>
      <c r="Q775" s="25"/>
      <c r="R775" s="25" t="str">
        <f>CONCATENATE('Ingest Template'!F774)</f>
        <v/>
      </c>
      <c r="S775" s="43" t="s">
        <v>160</v>
      </c>
      <c r="T775" s="25" t="str">
        <f>'Ingest Template'!W774</f>
        <v/>
      </c>
      <c r="U775" s="25"/>
      <c r="V775" s="25" t="str">
        <f>LOWER(SUBSTITUTE(SUBSTITUTE(SUBSTITUTE(SUBSTITUTE(SUBSTITUTE('Ingest Template'!Y774,"https:",""),"www.",""),"/",""),"?hl=en",""),"instagram.com",""))</f>
        <v/>
      </c>
      <c r="W775" s="34" t="str">
        <f>(IFERROR(vlookup('Ingest Template'!F775,DropDown!D:E,2,false)&amp;'Ingest Template'!C775,""))</f>
        <v/>
      </c>
      <c r="X775" s="25" t="str">
        <f>'Ingest Template'!AA774</f>
        <v/>
      </c>
      <c r="Y775" s="25"/>
      <c r="Z775" s="25"/>
      <c r="AA775" s="25"/>
      <c r="AB775" s="25" t="str">
        <f>'Ingest Template'!T774</f>
        <v/>
      </c>
      <c r="AC775" s="25"/>
      <c r="AD775" s="25" t="str">
        <f>'Ingest Template'!U774</f>
        <v/>
      </c>
      <c r="AE775" s="25" t="str">
        <f>'Ingest Template'!V774</f>
        <v/>
      </c>
      <c r="AF775" s="25"/>
      <c r="AG775" s="25" t="str">
        <f t="array" ref="AG775">IF('Ingest Template'!A774="Standard",(CONCATENATE(IF(ISBLANK('Ingest Template'!O774),"", 'Ingest Template'!O774&amp;"|DAR"),CHAR(10), IF(ISBLANK('Ingest Template'!P774),"", 'Ingest Template'!P774&amp;"|DAR"),CHAR(10), IF(ISBLANK('Ingest Template'!Q774),"", 'Ingest Template'!Q774&amp;"|DAR"))),(CONCATENATE(IF(ISBLANK('Ingest Template'!O774),"", 'Ingest Template'!O774&amp;"|Operations - Core Title"),CHAR(10), IF(ISBLANK('Ingest Template'!P774),"", 'Ingest Template'!P774&amp;"|Operations - Core Title"),CHAR(10), IF(ISBLANK('Ingest Template'!Q774),"", 'Ingest Template'!Q774&amp;"|Operations - Core Title"))))</f>
        <v>#|Operations - Core Title
#videoGame|Operations - Core Title
</v>
      </c>
      <c r="AH775" s="25"/>
      <c r="AI775" s="25"/>
      <c r="AJ775" s="50" t="str">
        <f>if('Ingest Template'!A774="Standard",'Ingest Template'!R774&amp; "|DAR|DAR|2021-01-01",'Ingest Template'!R774&amp; "|Operations - Core Title|Operations - Core Title")</f>
        <v>#N/A</v>
      </c>
      <c r="AK775" s="25"/>
      <c r="AL775" s="25" t="str">
        <f>if('Ingest Template'!A774="Standard",'Ingest Template'!S774&amp; "|2021-01-01",'Ingest Template'!S774)</f>
        <v>#N/A</v>
      </c>
      <c r="AM775" s="25"/>
    </row>
    <row r="776">
      <c r="A776" s="25"/>
      <c r="B776" s="25" t="str">
        <f>'Ingest Template'!C775&amp;IF('Ingest Template'!A775 = "Standard", " - DAR","")</f>
        <v/>
      </c>
      <c r="C776" s="34" t="s">
        <v>92</v>
      </c>
      <c r="D776" s="34" t="str">
        <f>CONCATENATE('Ingest Template'!E776&amp;Char(10)&amp;'Ingest Template'!G776&amp;Char(10)&amp;'Ingest Template'!H776&amp;Char(10)&amp;'Ingest Template'!I776&amp;Char(10)&amp;'Ingest Template'!J776&amp;Char(10)&amp;'Ingest Template'!K776&amp;Char(10)&amp;'Ingest Template'!L776)</f>
        <v>
</v>
      </c>
      <c r="E776" s="25" t="str">
        <f>('Ingest Template'!M776)</f>
        <v/>
      </c>
      <c r="F776" s="40" t="str">
        <f t="array" ref="F776">INDEX(DropDown!$J$2:$J$63,MATCH(1,COUNTIF(E776,DropDown!$I$2:$I$63),0))</f>
        <v>#N/A</v>
      </c>
      <c r="G776" s="25"/>
      <c r="H776" s="25"/>
      <c r="I776" s="25"/>
      <c r="J776" s="25" t="str">
        <f>'Ingest Template'!B776</f>
        <v/>
      </c>
      <c r="K776" s="25" t="str">
        <f>IF('Ingest Template'!A775="Standard",'Ingest Template'!N775,"Competitive View")</f>
        <v>Competitive View</v>
      </c>
      <c r="L776" s="41" t="s">
        <v>145</v>
      </c>
      <c r="M776" s="25" t="str">
        <f>'Ingest Template'!D775</f>
        <v/>
      </c>
      <c r="N776" s="25"/>
      <c r="O776" s="25"/>
      <c r="P776" s="25"/>
      <c r="Q776" s="25"/>
      <c r="R776" s="25" t="str">
        <f>CONCATENATE('Ingest Template'!F775)</f>
        <v/>
      </c>
      <c r="S776" s="43" t="s">
        <v>160</v>
      </c>
      <c r="T776" s="25" t="str">
        <f>'Ingest Template'!W775</f>
        <v/>
      </c>
      <c r="U776" s="25"/>
      <c r="V776" s="25" t="str">
        <f>LOWER(SUBSTITUTE(SUBSTITUTE(SUBSTITUTE(SUBSTITUTE(SUBSTITUTE('Ingest Template'!Y775,"https:",""),"www.",""),"/",""),"?hl=en",""),"instagram.com",""))</f>
        <v/>
      </c>
      <c r="W776" s="34" t="str">
        <f>(IFERROR(vlookup('Ingest Template'!F776,DropDown!D:E,2,false)&amp;'Ingest Template'!C776,""))</f>
        <v/>
      </c>
      <c r="X776" s="25" t="str">
        <f>'Ingest Template'!AA775</f>
        <v/>
      </c>
      <c r="Y776" s="25"/>
      <c r="Z776" s="25"/>
      <c r="AA776" s="25"/>
      <c r="AB776" s="25" t="str">
        <f>'Ingest Template'!T775</f>
        <v/>
      </c>
      <c r="AC776" s="25"/>
      <c r="AD776" s="25" t="str">
        <f>'Ingest Template'!U775</f>
        <v/>
      </c>
      <c r="AE776" s="25" t="str">
        <f>'Ingest Template'!V775</f>
        <v/>
      </c>
      <c r="AF776" s="25"/>
      <c r="AG776" s="25" t="str">
        <f t="array" ref="AG776">IF('Ingest Template'!A775="Standard",(CONCATENATE(IF(ISBLANK('Ingest Template'!O775),"", 'Ingest Template'!O775&amp;"|DAR"),CHAR(10), IF(ISBLANK('Ingest Template'!P775),"", 'Ingest Template'!P775&amp;"|DAR"),CHAR(10), IF(ISBLANK('Ingest Template'!Q775),"", 'Ingest Template'!Q775&amp;"|DAR"))),(CONCATENATE(IF(ISBLANK('Ingest Template'!O775),"", 'Ingest Template'!O775&amp;"|Operations - Core Title"),CHAR(10), IF(ISBLANK('Ingest Template'!P775),"", 'Ingest Template'!P775&amp;"|Operations - Core Title"),CHAR(10), IF(ISBLANK('Ingest Template'!Q775),"", 'Ingest Template'!Q775&amp;"|Operations - Core Title"))))</f>
        <v>#|Operations - Core Title
#videoGame|Operations - Core Title
</v>
      </c>
      <c r="AH776" s="25"/>
      <c r="AI776" s="25"/>
      <c r="AJ776" s="50" t="str">
        <f>if('Ingest Template'!A775="Standard",'Ingest Template'!R775&amp; "|DAR|DAR|2021-01-01",'Ingest Template'!R775&amp; "|Operations - Core Title|Operations - Core Title")</f>
        <v>#N/A</v>
      </c>
      <c r="AK776" s="25"/>
      <c r="AL776" s="25" t="str">
        <f>if('Ingest Template'!A775="Standard",'Ingest Template'!S775&amp; "|2021-01-01",'Ingest Template'!S775)</f>
        <v>#N/A</v>
      </c>
      <c r="AM776" s="25"/>
    </row>
    <row r="777">
      <c r="A777" s="25"/>
      <c r="B777" s="25" t="str">
        <f>'Ingest Template'!C776&amp;IF('Ingest Template'!A776 = "Standard", " - DAR","")</f>
        <v/>
      </c>
      <c r="C777" s="34" t="s">
        <v>92</v>
      </c>
      <c r="D777" s="34" t="str">
        <f>CONCATENATE('Ingest Template'!E777&amp;Char(10)&amp;'Ingest Template'!G777&amp;Char(10)&amp;'Ingest Template'!H777&amp;Char(10)&amp;'Ingest Template'!I777&amp;Char(10)&amp;'Ingest Template'!J777&amp;Char(10)&amp;'Ingest Template'!K777&amp;Char(10)&amp;'Ingest Template'!L777)</f>
        <v>
</v>
      </c>
      <c r="E777" s="25" t="str">
        <f>('Ingest Template'!M777)</f>
        <v/>
      </c>
      <c r="F777" s="40" t="str">
        <f t="array" ref="F777">INDEX(DropDown!$J$2:$J$63,MATCH(1,COUNTIF(E777,DropDown!$I$2:$I$63),0))</f>
        <v>#N/A</v>
      </c>
      <c r="G777" s="25"/>
      <c r="H777" s="25"/>
      <c r="I777" s="25"/>
      <c r="J777" s="25" t="str">
        <f>'Ingest Template'!B777</f>
        <v/>
      </c>
      <c r="K777" s="25" t="str">
        <f>IF('Ingest Template'!A776="Standard",'Ingest Template'!N776,"Competitive View")</f>
        <v>Competitive View</v>
      </c>
      <c r="L777" s="41" t="s">
        <v>145</v>
      </c>
      <c r="M777" s="25" t="str">
        <f>'Ingest Template'!D776</f>
        <v/>
      </c>
      <c r="N777" s="25"/>
      <c r="O777" s="25"/>
      <c r="P777" s="25"/>
      <c r="Q777" s="25"/>
      <c r="R777" s="25" t="str">
        <f>CONCATENATE('Ingest Template'!F776)</f>
        <v/>
      </c>
      <c r="S777" s="43" t="s">
        <v>160</v>
      </c>
      <c r="T777" s="25" t="str">
        <f>'Ingest Template'!W776</f>
        <v/>
      </c>
      <c r="U777" s="25"/>
      <c r="V777" s="25" t="str">
        <f>LOWER(SUBSTITUTE(SUBSTITUTE(SUBSTITUTE(SUBSTITUTE(SUBSTITUTE('Ingest Template'!Y776,"https:",""),"www.",""),"/",""),"?hl=en",""),"instagram.com",""))</f>
        <v/>
      </c>
      <c r="W777" s="34" t="str">
        <f>(IFERROR(vlookup('Ingest Template'!F777,DropDown!D:E,2,false)&amp;'Ingest Template'!C777,""))</f>
        <v/>
      </c>
      <c r="X777" s="25" t="str">
        <f>'Ingest Template'!AA776</f>
        <v/>
      </c>
      <c r="Y777" s="25"/>
      <c r="Z777" s="25"/>
      <c r="AA777" s="25"/>
      <c r="AB777" s="25" t="str">
        <f>'Ingest Template'!T776</f>
        <v/>
      </c>
      <c r="AC777" s="25"/>
      <c r="AD777" s="25" t="str">
        <f>'Ingest Template'!U776</f>
        <v/>
      </c>
      <c r="AE777" s="25" t="str">
        <f>'Ingest Template'!V776</f>
        <v/>
      </c>
      <c r="AF777" s="25"/>
      <c r="AG777" s="25" t="str">
        <f t="array" ref="AG777">IF('Ingest Template'!A776="Standard",(CONCATENATE(IF(ISBLANK('Ingest Template'!O776),"", 'Ingest Template'!O776&amp;"|DAR"),CHAR(10), IF(ISBLANK('Ingest Template'!P776),"", 'Ingest Template'!P776&amp;"|DAR"),CHAR(10), IF(ISBLANK('Ingest Template'!Q776),"", 'Ingest Template'!Q776&amp;"|DAR"))),(CONCATENATE(IF(ISBLANK('Ingest Template'!O776),"", 'Ingest Template'!O776&amp;"|Operations - Core Title"),CHAR(10), IF(ISBLANK('Ingest Template'!P776),"", 'Ingest Template'!P776&amp;"|Operations - Core Title"),CHAR(10), IF(ISBLANK('Ingest Template'!Q776),"", 'Ingest Template'!Q776&amp;"|Operations - Core Title"))))</f>
        <v>#|Operations - Core Title
#videoGame|Operations - Core Title
</v>
      </c>
      <c r="AH777" s="25"/>
      <c r="AI777" s="25"/>
      <c r="AJ777" s="50" t="str">
        <f>if('Ingest Template'!A776="Standard",'Ingest Template'!R776&amp; "|DAR|DAR|2021-01-01",'Ingest Template'!R776&amp; "|Operations - Core Title|Operations - Core Title")</f>
        <v>#N/A</v>
      </c>
      <c r="AK777" s="25"/>
      <c r="AL777" s="25" t="str">
        <f>if('Ingest Template'!A776="Standard",'Ingest Template'!S776&amp; "|2021-01-01",'Ingest Template'!S776)</f>
        <v>#N/A</v>
      </c>
      <c r="AM777" s="25"/>
    </row>
    <row r="778">
      <c r="A778" s="25"/>
      <c r="B778" s="25" t="str">
        <f>'Ingest Template'!C777&amp;IF('Ingest Template'!A777 = "Standard", " - DAR","")</f>
        <v/>
      </c>
      <c r="C778" s="34" t="s">
        <v>92</v>
      </c>
      <c r="D778" s="34" t="str">
        <f>CONCATENATE('Ingest Template'!E778&amp;Char(10)&amp;'Ingest Template'!G778&amp;Char(10)&amp;'Ingest Template'!H778&amp;Char(10)&amp;'Ingest Template'!I778&amp;Char(10)&amp;'Ingest Template'!J778&amp;Char(10)&amp;'Ingest Template'!K778&amp;Char(10)&amp;'Ingest Template'!L778)</f>
        <v>
</v>
      </c>
      <c r="E778" s="25" t="str">
        <f>('Ingest Template'!M778)</f>
        <v/>
      </c>
      <c r="F778" s="40" t="str">
        <f t="array" ref="F778">INDEX(DropDown!$J$2:$J$63,MATCH(1,COUNTIF(E778,DropDown!$I$2:$I$63),0))</f>
        <v>#N/A</v>
      </c>
      <c r="G778" s="25"/>
      <c r="H778" s="25"/>
      <c r="I778" s="25"/>
      <c r="J778" s="25" t="str">
        <f>'Ingest Template'!B778</f>
        <v/>
      </c>
      <c r="K778" s="25" t="str">
        <f>IF('Ingest Template'!A777="Standard",'Ingest Template'!N777,"Competitive View")</f>
        <v>Competitive View</v>
      </c>
      <c r="L778" s="41" t="s">
        <v>145</v>
      </c>
      <c r="M778" s="25" t="str">
        <f>'Ingest Template'!D777</f>
        <v/>
      </c>
      <c r="N778" s="25"/>
      <c r="O778" s="25"/>
      <c r="P778" s="25"/>
      <c r="Q778" s="25"/>
      <c r="R778" s="25" t="str">
        <f>CONCATENATE('Ingest Template'!F777)</f>
        <v/>
      </c>
      <c r="S778" s="43" t="s">
        <v>160</v>
      </c>
      <c r="T778" s="25" t="str">
        <f>'Ingest Template'!W777</f>
        <v/>
      </c>
      <c r="U778" s="25"/>
      <c r="V778" s="25" t="str">
        <f>LOWER(SUBSTITUTE(SUBSTITUTE(SUBSTITUTE(SUBSTITUTE(SUBSTITUTE('Ingest Template'!Y777,"https:",""),"www.",""),"/",""),"?hl=en",""),"instagram.com",""))</f>
        <v/>
      </c>
      <c r="W778" s="34" t="str">
        <f>(IFERROR(vlookup('Ingest Template'!F778,DropDown!D:E,2,false)&amp;'Ingest Template'!C778,""))</f>
        <v/>
      </c>
      <c r="X778" s="25" t="str">
        <f>'Ingest Template'!AA777</f>
        <v/>
      </c>
      <c r="Y778" s="25"/>
      <c r="Z778" s="25"/>
      <c r="AA778" s="25"/>
      <c r="AB778" s="25" t="str">
        <f>'Ingest Template'!T777</f>
        <v/>
      </c>
      <c r="AC778" s="25"/>
      <c r="AD778" s="25" t="str">
        <f>'Ingest Template'!U777</f>
        <v/>
      </c>
      <c r="AE778" s="25" t="str">
        <f>'Ingest Template'!V777</f>
        <v/>
      </c>
      <c r="AF778" s="25"/>
      <c r="AG778" s="25" t="str">
        <f t="array" ref="AG778">IF('Ingest Template'!A777="Standard",(CONCATENATE(IF(ISBLANK('Ingest Template'!O777),"", 'Ingest Template'!O777&amp;"|DAR"),CHAR(10), IF(ISBLANK('Ingest Template'!P777),"", 'Ingest Template'!P777&amp;"|DAR"),CHAR(10), IF(ISBLANK('Ingest Template'!Q777),"", 'Ingest Template'!Q777&amp;"|DAR"))),(CONCATENATE(IF(ISBLANK('Ingest Template'!O777),"", 'Ingest Template'!O777&amp;"|Operations - Core Title"),CHAR(10), IF(ISBLANK('Ingest Template'!P777),"", 'Ingest Template'!P777&amp;"|Operations - Core Title"),CHAR(10), IF(ISBLANK('Ingest Template'!Q777),"", 'Ingest Template'!Q777&amp;"|Operations - Core Title"))))</f>
        <v>#|Operations - Core Title
#videoGame|Operations - Core Title
</v>
      </c>
      <c r="AH778" s="25"/>
      <c r="AI778" s="25"/>
      <c r="AJ778" s="50" t="str">
        <f>if('Ingest Template'!A777="Standard",'Ingest Template'!R777&amp; "|DAR|DAR|2021-01-01",'Ingest Template'!R777&amp; "|Operations - Core Title|Operations - Core Title")</f>
        <v>#N/A</v>
      </c>
      <c r="AK778" s="25"/>
      <c r="AL778" s="25" t="str">
        <f>if('Ingest Template'!A777="Standard",'Ingest Template'!S777&amp; "|2021-01-01",'Ingest Template'!S777)</f>
        <v>#N/A</v>
      </c>
      <c r="AM778" s="25"/>
    </row>
    <row r="779">
      <c r="A779" s="25"/>
      <c r="B779" s="25" t="str">
        <f>'Ingest Template'!C778&amp;IF('Ingest Template'!A778 = "Standard", " - DAR","")</f>
        <v/>
      </c>
      <c r="C779" s="34" t="s">
        <v>92</v>
      </c>
      <c r="D779" s="34" t="str">
        <f>CONCATENATE('Ingest Template'!E779&amp;Char(10)&amp;'Ingest Template'!G779&amp;Char(10)&amp;'Ingest Template'!H779&amp;Char(10)&amp;'Ingest Template'!I779&amp;Char(10)&amp;'Ingest Template'!J779&amp;Char(10)&amp;'Ingest Template'!K779&amp;Char(10)&amp;'Ingest Template'!L779)</f>
        <v>
</v>
      </c>
      <c r="E779" s="25" t="str">
        <f>('Ingest Template'!M779)</f>
        <v/>
      </c>
      <c r="F779" s="40" t="str">
        <f t="array" ref="F779">INDEX(DropDown!$J$2:$J$63,MATCH(1,COUNTIF(E779,DropDown!$I$2:$I$63),0))</f>
        <v>#N/A</v>
      </c>
      <c r="G779" s="25"/>
      <c r="H779" s="25"/>
      <c r="I779" s="25"/>
      <c r="J779" s="25" t="str">
        <f>'Ingest Template'!B779</f>
        <v/>
      </c>
      <c r="K779" s="25" t="str">
        <f>IF('Ingest Template'!A778="Standard",'Ingest Template'!N778,"Competitive View")</f>
        <v>Competitive View</v>
      </c>
      <c r="L779" s="41" t="s">
        <v>145</v>
      </c>
      <c r="M779" s="25" t="str">
        <f>'Ingest Template'!D778</f>
        <v/>
      </c>
      <c r="N779" s="25"/>
      <c r="O779" s="25"/>
      <c r="P779" s="25"/>
      <c r="Q779" s="25"/>
      <c r="R779" s="25" t="str">
        <f>CONCATENATE('Ingest Template'!F778)</f>
        <v/>
      </c>
      <c r="S779" s="43" t="s">
        <v>160</v>
      </c>
      <c r="T779" s="25" t="str">
        <f>'Ingest Template'!W778</f>
        <v/>
      </c>
      <c r="U779" s="25"/>
      <c r="V779" s="25" t="str">
        <f>LOWER(SUBSTITUTE(SUBSTITUTE(SUBSTITUTE(SUBSTITUTE(SUBSTITUTE('Ingest Template'!Y778,"https:",""),"www.",""),"/",""),"?hl=en",""),"instagram.com",""))</f>
        <v/>
      </c>
      <c r="W779" s="34" t="str">
        <f>(IFERROR(vlookup('Ingest Template'!F779,DropDown!D:E,2,false)&amp;'Ingest Template'!C779,""))</f>
        <v/>
      </c>
      <c r="X779" s="25" t="str">
        <f>'Ingest Template'!AA778</f>
        <v/>
      </c>
      <c r="Y779" s="25"/>
      <c r="Z779" s="25"/>
      <c r="AA779" s="25"/>
      <c r="AB779" s="25" t="str">
        <f>'Ingest Template'!T778</f>
        <v/>
      </c>
      <c r="AC779" s="25"/>
      <c r="AD779" s="25" t="str">
        <f>'Ingest Template'!U778</f>
        <v/>
      </c>
      <c r="AE779" s="25" t="str">
        <f>'Ingest Template'!V778</f>
        <v/>
      </c>
      <c r="AF779" s="25"/>
      <c r="AG779" s="25" t="str">
        <f t="array" ref="AG779">IF('Ingest Template'!A778="Standard",(CONCATENATE(IF(ISBLANK('Ingest Template'!O778),"", 'Ingest Template'!O778&amp;"|DAR"),CHAR(10), IF(ISBLANK('Ingest Template'!P778),"", 'Ingest Template'!P778&amp;"|DAR"),CHAR(10), IF(ISBLANK('Ingest Template'!Q778),"", 'Ingest Template'!Q778&amp;"|DAR"))),(CONCATENATE(IF(ISBLANK('Ingest Template'!O778),"", 'Ingest Template'!O778&amp;"|Operations - Core Title"),CHAR(10), IF(ISBLANK('Ingest Template'!P778),"", 'Ingest Template'!P778&amp;"|Operations - Core Title"),CHAR(10), IF(ISBLANK('Ingest Template'!Q778),"", 'Ingest Template'!Q778&amp;"|Operations - Core Title"))))</f>
        <v>#|Operations - Core Title
#videoGame|Operations - Core Title
</v>
      </c>
      <c r="AH779" s="25"/>
      <c r="AI779" s="25"/>
      <c r="AJ779" s="50" t="str">
        <f>if('Ingest Template'!A778="Standard",'Ingest Template'!R778&amp; "|DAR|DAR|2021-01-01",'Ingest Template'!R778&amp; "|Operations - Core Title|Operations - Core Title")</f>
        <v>#N/A</v>
      </c>
      <c r="AK779" s="25"/>
      <c r="AL779" s="25" t="str">
        <f>if('Ingest Template'!A778="Standard",'Ingest Template'!S778&amp; "|2021-01-01",'Ingest Template'!S778)</f>
        <v>#N/A</v>
      </c>
      <c r="AM779" s="25"/>
    </row>
    <row r="780">
      <c r="A780" s="25"/>
      <c r="B780" s="25" t="str">
        <f>'Ingest Template'!C779&amp;IF('Ingest Template'!A779 = "Standard", " - DAR","")</f>
        <v/>
      </c>
      <c r="C780" s="34" t="s">
        <v>92</v>
      </c>
      <c r="D780" s="34" t="str">
        <f>CONCATENATE('Ingest Template'!E780&amp;Char(10)&amp;'Ingest Template'!G780&amp;Char(10)&amp;'Ingest Template'!H780&amp;Char(10)&amp;'Ingest Template'!I780&amp;Char(10)&amp;'Ingest Template'!J780&amp;Char(10)&amp;'Ingest Template'!K780&amp;Char(10)&amp;'Ingest Template'!L780)</f>
        <v>
</v>
      </c>
      <c r="E780" s="25" t="str">
        <f>('Ingest Template'!M780)</f>
        <v/>
      </c>
      <c r="F780" s="40" t="str">
        <f t="array" ref="F780">INDEX(DropDown!$J$2:$J$63,MATCH(1,COUNTIF(E780,DropDown!$I$2:$I$63),0))</f>
        <v>#N/A</v>
      </c>
      <c r="G780" s="25"/>
      <c r="H780" s="25"/>
      <c r="I780" s="25"/>
      <c r="J780" s="25" t="str">
        <f>'Ingest Template'!B780</f>
        <v/>
      </c>
      <c r="K780" s="25" t="str">
        <f>IF('Ingest Template'!A779="Standard",'Ingest Template'!N779,"Competitive View")</f>
        <v>Competitive View</v>
      </c>
      <c r="L780" s="41" t="s">
        <v>145</v>
      </c>
      <c r="M780" s="25" t="str">
        <f>'Ingest Template'!D779</f>
        <v/>
      </c>
      <c r="N780" s="25"/>
      <c r="O780" s="25"/>
      <c r="P780" s="25"/>
      <c r="Q780" s="25"/>
      <c r="R780" s="25" t="str">
        <f>CONCATENATE('Ingest Template'!F779)</f>
        <v/>
      </c>
      <c r="S780" s="43" t="s">
        <v>160</v>
      </c>
      <c r="T780" s="25" t="str">
        <f>'Ingest Template'!W779</f>
        <v/>
      </c>
      <c r="U780" s="25"/>
      <c r="V780" s="25" t="str">
        <f>LOWER(SUBSTITUTE(SUBSTITUTE(SUBSTITUTE(SUBSTITUTE(SUBSTITUTE('Ingest Template'!Y779,"https:",""),"www.",""),"/",""),"?hl=en",""),"instagram.com",""))</f>
        <v/>
      </c>
      <c r="W780" s="34" t="str">
        <f>(IFERROR(vlookup('Ingest Template'!F780,DropDown!D:E,2,false)&amp;'Ingest Template'!C780,""))</f>
        <v/>
      </c>
      <c r="X780" s="25" t="str">
        <f>'Ingest Template'!AA779</f>
        <v/>
      </c>
      <c r="Y780" s="25"/>
      <c r="Z780" s="25"/>
      <c r="AA780" s="25"/>
      <c r="AB780" s="25" t="str">
        <f>'Ingest Template'!T779</f>
        <v/>
      </c>
      <c r="AC780" s="25"/>
      <c r="AD780" s="25" t="str">
        <f>'Ingest Template'!U779</f>
        <v/>
      </c>
      <c r="AE780" s="25" t="str">
        <f>'Ingest Template'!V779</f>
        <v/>
      </c>
      <c r="AF780" s="25"/>
      <c r="AG780" s="25" t="str">
        <f t="array" ref="AG780">IF('Ingest Template'!A779="Standard",(CONCATENATE(IF(ISBLANK('Ingest Template'!O779),"", 'Ingest Template'!O779&amp;"|DAR"),CHAR(10), IF(ISBLANK('Ingest Template'!P779),"", 'Ingest Template'!P779&amp;"|DAR"),CHAR(10), IF(ISBLANK('Ingest Template'!Q779),"", 'Ingest Template'!Q779&amp;"|DAR"))),(CONCATENATE(IF(ISBLANK('Ingest Template'!O779),"", 'Ingest Template'!O779&amp;"|Operations - Core Title"),CHAR(10), IF(ISBLANK('Ingest Template'!P779),"", 'Ingest Template'!P779&amp;"|Operations - Core Title"),CHAR(10), IF(ISBLANK('Ingest Template'!Q779),"", 'Ingest Template'!Q779&amp;"|Operations - Core Title"))))</f>
        <v>#|Operations - Core Title
#videoGame|Operations - Core Title
</v>
      </c>
      <c r="AH780" s="25"/>
      <c r="AI780" s="25"/>
      <c r="AJ780" s="50" t="str">
        <f>if('Ingest Template'!A779="Standard",'Ingest Template'!R779&amp; "|DAR|DAR|2021-01-01",'Ingest Template'!R779&amp; "|Operations - Core Title|Operations - Core Title")</f>
        <v>#N/A</v>
      </c>
      <c r="AK780" s="25"/>
      <c r="AL780" s="25" t="str">
        <f>if('Ingest Template'!A779="Standard",'Ingest Template'!S779&amp; "|2021-01-01",'Ingest Template'!S779)</f>
        <v>#N/A</v>
      </c>
      <c r="AM780" s="25"/>
    </row>
    <row r="781">
      <c r="A781" s="25"/>
      <c r="B781" s="25" t="str">
        <f>'Ingest Template'!C780&amp;IF('Ingest Template'!A780 = "Standard", " - DAR","")</f>
        <v/>
      </c>
      <c r="C781" s="34" t="s">
        <v>92</v>
      </c>
      <c r="D781" s="34" t="str">
        <f>CONCATENATE('Ingest Template'!E781&amp;Char(10)&amp;'Ingest Template'!G781&amp;Char(10)&amp;'Ingest Template'!H781&amp;Char(10)&amp;'Ingest Template'!I781&amp;Char(10)&amp;'Ingest Template'!J781&amp;Char(10)&amp;'Ingest Template'!K781&amp;Char(10)&amp;'Ingest Template'!L781)</f>
        <v>
</v>
      </c>
      <c r="E781" s="25" t="str">
        <f>('Ingest Template'!M781)</f>
        <v/>
      </c>
      <c r="F781" s="40" t="str">
        <f t="array" ref="F781">INDEX(DropDown!$J$2:$J$63,MATCH(1,COUNTIF(E781,DropDown!$I$2:$I$63),0))</f>
        <v>#N/A</v>
      </c>
      <c r="G781" s="25"/>
      <c r="H781" s="25"/>
      <c r="I781" s="25"/>
      <c r="J781" s="25" t="str">
        <f>'Ingest Template'!B781</f>
        <v/>
      </c>
      <c r="K781" s="25" t="str">
        <f>IF('Ingest Template'!A780="Standard",'Ingest Template'!N780,"Competitive View")</f>
        <v>Competitive View</v>
      </c>
      <c r="L781" s="41" t="s">
        <v>145</v>
      </c>
      <c r="M781" s="25" t="str">
        <f>'Ingest Template'!D780</f>
        <v/>
      </c>
      <c r="N781" s="25"/>
      <c r="O781" s="25"/>
      <c r="P781" s="25"/>
      <c r="Q781" s="25"/>
      <c r="R781" s="25" t="str">
        <f>CONCATENATE('Ingest Template'!F780)</f>
        <v/>
      </c>
      <c r="S781" s="43" t="s">
        <v>160</v>
      </c>
      <c r="T781" s="25" t="str">
        <f>'Ingest Template'!W780</f>
        <v/>
      </c>
      <c r="U781" s="25"/>
      <c r="V781" s="25" t="str">
        <f>LOWER(SUBSTITUTE(SUBSTITUTE(SUBSTITUTE(SUBSTITUTE(SUBSTITUTE('Ingest Template'!Y780,"https:",""),"www.",""),"/",""),"?hl=en",""),"instagram.com",""))</f>
        <v/>
      </c>
      <c r="W781" s="34" t="str">
        <f>(IFERROR(vlookup('Ingest Template'!F781,DropDown!D:E,2,false)&amp;'Ingest Template'!C781,""))</f>
        <v/>
      </c>
      <c r="X781" s="25" t="str">
        <f>'Ingest Template'!AA780</f>
        <v/>
      </c>
      <c r="Y781" s="25"/>
      <c r="Z781" s="25"/>
      <c r="AA781" s="25"/>
      <c r="AB781" s="25" t="str">
        <f>'Ingest Template'!T780</f>
        <v/>
      </c>
      <c r="AC781" s="25"/>
      <c r="AD781" s="25" t="str">
        <f>'Ingest Template'!U780</f>
        <v/>
      </c>
      <c r="AE781" s="25" t="str">
        <f>'Ingest Template'!V780</f>
        <v/>
      </c>
      <c r="AF781" s="25"/>
      <c r="AG781" s="25" t="str">
        <f t="array" ref="AG781">IF('Ingest Template'!A780="Standard",(CONCATENATE(IF(ISBLANK('Ingest Template'!O780),"", 'Ingest Template'!O780&amp;"|DAR"),CHAR(10), IF(ISBLANK('Ingest Template'!P780),"", 'Ingest Template'!P780&amp;"|DAR"),CHAR(10), IF(ISBLANK('Ingest Template'!Q780),"", 'Ingest Template'!Q780&amp;"|DAR"))),(CONCATENATE(IF(ISBLANK('Ingest Template'!O780),"", 'Ingest Template'!O780&amp;"|Operations - Core Title"),CHAR(10), IF(ISBLANK('Ingest Template'!P780),"", 'Ingest Template'!P780&amp;"|Operations - Core Title"),CHAR(10), IF(ISBLANK('Ingest Template'!Q780),"", 'Ingest Template'!Q780&amp;"|Operations - Core Title"))))</f>
        <v>#|Operations - Core Title
#videoGame|Operations - Core Title
</v>
      </c>
      <c r="AH781" s="25"/>
      <c r="AI781" s="25"/>
      <c r="AJ781" s="50" t="str">
        <f>if('Ingest Template'!A780="Standard",'Ingest Template'!R780&amp; "|DAR|DAR|2021-01-01",'Ingest Template'!R780&amp; "|Operations - Core Title|Operations - Core Title")</f>
        <v>#N/A</v>
      </c>
      <c r="AK781" s="25"/>
      <c r="AL781" s="25" t="str">
        <f>if('Ingest Template'!A780="Standard",'Ingest Template'!S780&amp; "|2021-01-01",'Ingest Template'!S780)</f>
        <v>#N/A</v>
      </c>
      <c r="AM781" s="25"/>
    </row>
    <row r="782">
      <c r="A782" s="25"/>
      <c r="B782" s="25" t="str">
        <f>'Ingest Template'!C781&amp;IF('Ingest Template'!A781 = "Standard", " - DAR","")</f>
        <v/>
      </c>
      <c r="C782" s="34" t="s">
        <v>92</v>
      </c>
      <c r="D782" s="34" t="str">
        <f>CONCATENATE('Ingest Template'!E782&amp;Char(10)&amp;'Ingest Template'!G782&amp;Char(10)&amp;'Ingest Template'!H782&amp;Char(10)&amp;'Ingest Template'!I782&amp;Char(10)&amp;'Ingest Template'!J782&amp;Char(10)&amp;'Ingest Template'!K782&amp;Char(10)&amp;'Ingest Template'!L782)</f>
        <v>
</v>
      </c>
      <c r="E782" s="25" t="str">
        <f>('Ingest Template'!M782)</f>
        <v/>
      </c>
      <c r="F782" s="40" t="str">
        <f t="array" ref="F782">INDEX(DropDown!$J$2:$J$63,MATCH(1,COUNTIF(E782,DropDown!$I$2:$I$63),0))</f>
        <v>#N/A</v>
      </c>
      <c r="G782" s="25"/>
      <c r="H782" s="25"/>
      <c r="I782" s="25"/>
      <c r="J782" s="25" t="str">
        <f>'Ingest Template'!B782</f>
        <v/>
      </c>
      <c r="K782" s="25" t="str">
        <f>IF('Ingest Template'!A781="Standard",'Ingest Template'!N781,"Competitive View")</f>
        <v>Competitive View</v>
      </c>
      <c r="L782" s="41" t="s">
        <v>145</v>
      </c>
      <c r="M782" s="25" t="str">
        <f>'Ingest Template'!D781</f>
        <v/>
      </c>
      <c r="N782" s="25"/>
      <c r="O782" s="25"/>
      <c r="P782" s="25"/>
      <c r="Q782" s="25"/>
      <c r="R782" s="25" t="str">
        <f>CONCATENATE('Ingest Template'!F781)</f>
        <v/>
      </c>
      <c r="S782" s="43" t="s">
        <v>160</v>
      </c>
      <c r="T782" s="25" t="str">
        <f>'Ingest Template'!W781</f>
        <v/>
      </c>
      <c r="U782" s="25"/>
      <c r="V782" s="25" t="str">
        <f>LOWER(SUBSTITUTE(SUBSTITUTE(SUBSTITUTE(SUBSTITUTE(SUBSTITUTE('Ingest Template'!Y781,"https:",""),"www.",""),"/",""),"?hl=en",""),"instagram.com",""))</f>
        <v/>
      </c>
      <c r="W782" s="34" t="str">
        <f>(IFERROR(vlookup('Ingest Template'!F782,DropDown!D:E,2,false)&amp;'Ingest Template'!C782,""))</f>
        <v/>
      </c>
      <c r="X782" s="25" t="str">
        <f>'Ingest Template'!AA781</f>
        <v/>
      </c>
      <c r="Y782" s="25"/>
      <c r="Z782" s="25"/>
      <c r="AA782" s="25"/>
      <c r="AB782" s="25" t="str">
        <f>'Ingest Template'!T781</f>
        <v/>
      </c>
      <c r="AC782" s="25"/>
      <c r="AD782" s="25" t="str">
        <f>'Ingest Template'!U781</f>
        <v/>
      </c>
      <c r="AE782" s="25" t="str">
        <f>'Ingest Template'!V781</f>
        <v/>
      </c>
      <c r="AF782" s="25"/>
      <c r="AG782" s="25" t="str">
        <f t="array" ref="AG782">IF('Ingest Template'!A781="Standard",(CONCATENATE(IF(ISBLANK('Ingest Template'!O781),"", 'Ingest Template'!O781&amp;"|DAR"),CHAR(10), IF(ISBLANK('Ingest Template'!P781),"", 'Ingest Template'!P781&amp;"|DAR"),CHAR(10), IF(ISBLANK('Ingest Template'!Q781),"", 'Ingest Template'!Q781&amp;"|DAR"))),(CONCATENATE(IF(ISBLANK('Ingest Template'!O781),"", 'Ingest Template'!O781&amp;"|Operations - Core Title"),CHAR(10), IF(ISBLANK('Ingest Template'!P781),"", 'Ingest Template'!P781&amp;"|Operations - Core Title"),CHAR(10), IF(ISBLANK('Ingest Template'!Q781),"", 'Ingest Template'!Q781&amp;"|Operations - Core Title"))))</f>
        <v>#|Operations - Core Title
#videoGame|Operations - Core Title
</v>
      </c>
      <c r="AH782" s="25"/>
      <c r="AI782" s="25"/>
      <c r="AJ782" s="50" t="str">
        <f>if('Ingest Template'!A781="Standard",'Ingest Template'!R781&amp; "|DAR|DAR|2021-01-01",'Ingest Template'!R781&amp; "|Operations - Core Title|Operations - Core Title")</f>
        <v>#N/A</v>
      </c>
      <c r="AK782" s="25"/>
      <c r="AL782" s="25" t="str">
        <f>if('Ingest Template'!A781="Standard",'Ingest Template'!S781&amp; "|2021-01-01",'Ingest Template'!S781)</f>
        <v>#N/A</v>
      </c>
      <c r="AM782" s="25"/>
    </row>
    <row r="783">
      <c r="A783" s="25"/>
      <c r="B783" s="25" t="str">
        <f>'Ingest Template'!C782&amp;IF('Ingest Template'!A782 = "Standard", " - DAR","")</f>
        <v/>
      </c>
      <c r="C783" s="34" t="s">
        <v>92</v>
      </c>
      <c r="D783" s="34" t="str">
        <f>CONCATENATE('Ingest Template'!E783&amp;Char(10)&amp;'Ingest Template'!G783&amp;Char(10)&amp;'Ingest Template'!H783&amp;Char(10)&amp;'Ingest Template'!I783&amp;Char(10)&amp;'Ingest Template'!J783&amp;Char(10)&amp;'Ingest Template'!K783&amp;Char(10)&amp;'Ingest Template'!L783)</f>
        <v>
</v>
      </c>
      <c r="E783" s="25" t="str">
        <f>('Ingest Template'!M783)</f>
        <v/>
      </c>
      <c r="F783" s="40" t="str">
        <f t="array" ref="F783">INDEX(DropDown!$J$2:$J$63,MATCH(1,COUNTIF(E783,DropDown!$I$2:$I$63),0))</f>
        <v>#N/A</v>
      </c>
      <c r="G783" s="25"/>
      <c r="H783" s="25"/>
      <c r="I783" s="25"/>
      <c r="J783" s="25" t="str">
        <f>'Ingest Template'!B783</f>
        <v/>
      </c>
      <c r="K783" s="25" t="str">
        <f>IF('Ingest Template'!A782="Standard",'Ingest Template'!N782,"Competitive View")</f>
        <v>Competitive View</v>
      </c>
      <c r="L783" s="41" t="s">
        <v>145</v>
      </c>
      <c r="M783" s="25" t="str">
        <f>'Ingest Template'!D782</f>
        <v/>
      </c>
      <c r="N783" s="25"/>
      <c r="O783" s="25"/>
      <c r="P783" s="25"/>
      <c r="Q783" s="25"/>
      <c r="R783" s="25" t="str">
        <f>CONCATENATE('Ingest Template'!F782)</f>
        <v/>
      </c>
      <c r="S783" s="43" t="s">
        <v>160</v>
      </c>
      <c r="T783" s="25" t="str">
        <f>'Ingest Template'!W782</f>
        <v/>
      </c>
      <c r="U783" s="25"/>
      <c r="V783" s="25" t="str">
        <f>LOWER(SUBSTITUTE(SUBSTITUTE(SUBSTITUTE(SUBSTITUTE(SUBSTITUTE('Ingest Template'!Y782,"https:",""),"www.",""),"/",""),"?hl=en",""),"instagram.com",""))</f>
        <v/>
      </c>
      <c r="W783" s="34" t="str">
        <f>(IFERROR(vlookup('Ingest Template'!F783,DropDown!D:E,2,false)&amp;'Ingest Template'!C783,""))</f>
        <v/>
      </c>
      <c r="X783" s="25" t="str">
        <f>'Ingest Template'!AA782</f>
        <v/>
      </c>
      <c r="Y783" s="25"/>
      <c r="Z783" s="25"/>
      <c r="AA783" s="25"/>
      <c r="AB783" s="25" t="str">
        <f>'Ingest Template'!T782</f>
        <v/>
      </c>
      <c r="AC783" s="25"/>
      <c r="AD783" s="25" t="str">
        <f>'Ingest Template'!U782</f>
        <v/>
      </c>
      <c r="AE783" s="25" t="str">
        <f>'Ingest Template'!V782</f>
        <v/>
      </c>
      <c r="AF783" s="25"/>
      <c r="AG783" s="25" t="str">
        <f t="array" ref="AG783">IF('Ingest Template'!A782="Standard",(CONCATENATE(IF(ISBLANK('Ingest Template'!O782),"", 'Ingest Template'!O782&amp;"|DAR"),CHAR(10), IF(ISBLANK('Ingest Template'!P782),"", 'Ingest Template'!P782&amp;"|DAR"),CHAR(10), IF(ISBLANK('Ingest Template'!Q782),"", 'Ingest Template'!Q782&amp;"|DAR"))),(CONCATENATE(IF(ISBLANK('Ingest Template'!O782),"", 'Ingest Template'!O782&amp;"|Operations - Core Title"),CHAR(10), IF(ISBLANK('Ingest Template'!P782),"", 'Ingest Template'!P782&amp;"|Operations - Core Title"),CHAR(10), IF(ISBLANK('Ingest Template'!Q782),"", 'Ingest Template'!Q782&amp;"|Operations - Core Title"))))</f>
        <v>#|Operations - Core Title
#videoGame|Operations - Core Title
</v>
      </c>
      <c r="AH783" s="25"/>
      <c r="AI783" s="25"/>
      <c r="AJ783" s="50" t="str">
        <f>if('Ingest Template'!A782="Standard",'Ingest Template'!R782&amp; "|DAR|DAR|2021-01-01",'Ingest Template'!R782&amp; "|Operations - Core Title|Operations - Core Title")</f>
        <v>#N/A</v>
      </c>
      <c r="AK783" s="25"/>
      <c r="AL783" s="25" t="str">
        <f>if('Ingest Template'!A782="Standard",'Ingest Template'!S782&amp; "|2021-01-01",'Ingest Template'!S782)</f>
        <v>#N/A</v>
      </c>
      <c r="AM783" s="25"/>
    </row>
    <row r="784">
      <c r="A784" s="25"/>
      <c r="B784" s="25" t="str">
        <f>'Ingest Template'!C783&amp;IF('Ingest Template'!A783 = "Standard", " - DAR","")</f>
        <v/>
      </c>
      <c r="C784" s="34" t="s">
        <v>92</v>
      </c>
      <c r="D784" s="34" t="str">
        <f>CONCATENATE('Ingest Template'!E784&amp;Char(10)&amp;'Ingest Template'!G784&amp;Char(10)&amp;'Ingest Template'!H784&amp;Char(10)&amp;'Ingest Template'!I784&amp;Char(10)&amp;'Ingest Template'!J784&amp;Char(10)&amp;'Ingest Template'!K784&amp;Char(10)&amp;'Ingest Template'!L784)</f>
        <v>
</v>
      </c>
      <c r="E784" s="25" t="str">
        <f>('Ingest Template'!M784)</f>
        <v/>
      </c>
      <c r="F784" s="40" t="str">
        <f t="array" ref="F784">INDEX(DropDown!$J$2:$J$63,MATCH(1,COUNTIF(E784,DropDown!$I$2:$I$63),0))</f>
        <v>#N/A</v>
      </c>
      <c r="G784" s="25"/>
      <c r="H784" s="25"/>
      <c r="I784" s="25"/>
      <c r="J784" s="25" t="str">
        <f>'Ingest Template'!B784</f>
        <v/>
      </c>
      <c r="K784" s="25" t="str">
        <f>IF('Ingest Template'!A783="Standard",'Ingest Template'!N783,"Competitive View")</f>
        <v>Competitive View</v>
      </c>
      <c r="L784" s="41" t="s">
        <v>145</v>
      </c>
      <c r="M784" s="25" t="str">
        <f>'Ingest Template'!D783</f>
        <v/>
      </c>
      <c r="N784" s="25"/>
      <c r="O784" s="25"/>
      <c r="P784" s="25"/>
      <c r="Q784" s="25"/>
      <c r="R784" s="25" t="str">
        <f>CONCATENATE('Ingest Template'!F783)</f>
        <v/>
      </c>
      <c r="S784" s="43" t="s">
        <v>160</v>
      </c>
      <c r="T784" s="25" t="str">
        <f>'Ingest Template'!W783</f>
        <v/>
      </c>
      <c r="U784" s="25"/>
      <c r="V784" s="25" t="str">
        <f>LOWER(SUBSTITUTE(SUBSTITUTE(SUBSTITUTE(SUBSTITUTE(SUBSTITUTE('Ingest Template'!Y783,"https:",""),"www.",""),"/",""),"?hl=en",""),"instagram.com",""))</f>
        <v/>
      </c>
      <c r="W784" s="34" t="str">
        <f>(IFERROR(vlookup('Ingest Template'!F784,DropDown!D:E,2,false)&amp;'Ingest Template'!C784,""))</f>
        <v/>
      </c>
      <c r="X784" s="25" t="str">
        <f>'Ingest Template'!AA783</f>
        <v/>
      </c>
      <c r="Y784" s="25"/>
      <c r="Z784" s="25"/>
      <c r="AA784" s="25"/>
      <c r="AB784" s="25" t="str">
        <f>'Ingest Template'!T783</f>
        <v/>
      </c>
      <c r="AC784" s="25"/>
      <c r="AD784" s="25" t="str">
        <f>'Ingest Template'!U783</f>
        <v/>
      </c>
      <c r="AE784" s="25" t="str">
        <f>'Ingest Template'!V783</f>
        <v/>
      </c>
      <c r="AF784" s="25"/>
      <c r="AG784" s="25" t="str">
        <f t="array" ref="AG784">IF('Ingest Template'!A783="Standard",(CONCATENATE(IF(ISBLANK('Ingest Template'!O783),"", 'Ingest Template'!O783&amp;"|DAR"),CHAR(10), IF(ISBLANK('Ingest Template'!P783),"", 'Ingest Template'!P783&amp;"|DAR"),CHAR(10), IF(ISBLANK('Ingest Template'!Q783),"", 'Ingest Template'!Q783&amp;"|DAR"))),(CONCATENATE(IF(ISBLANK('Ingest Template'!O783),"", 'Ingest Template'!O783&amp;"|Operations - Core Title"),CHAR(10), IF(ISBLANK('Ingest Template'!P783),"", 'Ingest Template'!P783&amp;"|Operations - Core Title"),CHAR(10), IF(ISBLANK('Ingest Template'!Q783),"", 'Ingest Template'!Q783&amp;"|Operations - Core Title"))))</f>
        <v>#|Operations - Core Title
#videoGame|Operations - Core Title
</v>
      </c>
      <c r="AH784" s="25"/>
      <c r="AI784" s="25"/>
      <c r="AJ784" s="50" t="str">
        <f>if('Ingest Template'!A783="Standard",'Ingest Template'!R783&amp; "|DAR|DAR|2021-01-01",'Ingest Template'!R783&amp; "|Operations - Core Title|Operations - Core Title")</f>
        <v>#N/A</v>
      </c>
      <c r="AK784" s="25"/>
      <c r="AL784" s="25" t="str">
        <f>if('Ingest Template'!A783="Standard",'Ingest Template'!S783&amp; "|2021-01-01",'Ingest Template'!S783)</f>
        <v>#N/A</v>
      </c>
      <c r="AM784" s="25"/>
    </row>
    <row r="785">
      <c r="A785" s="25"/>
      <c r="B785" s="25" t="str">
        <f>'Ingest Template'!C784&amp;IF('Ingest Template'!A784 = "Standard", " - DAR","")</f>
        <v/>
      </c>
      <c r="C785" s="34" t="s">
        <v>92</v>
      </c>
      <c r="D785" s="34" t="str">
        <f>CONCATENATE('Ingest Template'!E785&amp;Char(10)&amp;'Ingest Template'!G785&amp;Char(10)&amp;'Ingest Template'!H785&amp;Char(10)&amp;'Ingest Template'!I785&amp;Char(10)&amp;'Ingest Template'!J785&amp;Char(10)&amp;'Ingest Template'!K785&amp;Char(10)&amp;'Ingest Template'!L785)</f>
        <v>
</v>
      </c>
      <c r="E785" s="25" t="str">
        <f>('Ingest Template'!M785)</f>
        <v/>
      </c>
      <c r="F785" s="40" t="str">
        <f t="array" ref="F785">INDEX(DropDown!$J$2:$J$63,MATCH(1,COUNTIF(E785,DropDown!$I$2:$I$63),0))</f>
        <v>#N/A</v>
      </c>
      <c r="G785" s="25"/>
      <c r="H785" s="25"/>
      <c r="I785" s="25"/>
      <c r="J785" s="25" t="str">
        <f>'Ingest Template'!B785</f>
        <v/>
      </c>
      <c r="K785" s="25" t="str">
        <f>IF('Ingest Template'!A784="Standard",'Ingest Template'!N784,"Competitive View")</f>
        <v>Competitive View</v>
      </c>
      <c r="L785" s="41" t="s">
        <v>145</v>
      </c>
      <c r="M785" s="25" t="str">
        <f>'Ingest Template'!D784</f>
        <v/>
      </c>
      <c r="N785" s="25"/>
      <c r="O785" s="25"/>
      <c r="P785" s="25"/>
      <c r="Q785" s="25"/>
      <c r="R785" s="25" t="str">
        <f>CONCATENATE('Ingest Template'!F784)</f>
        <v/>
      </c>
      <c r="S785" s="43" t="s">
        <v>160</v>
      </c>
      <c r="T785" s="25" t="str">
        <f>'Ingest Template'!W784</f>
        <v/>
      </c>
      <c r="U785" s="25"/>
      <c r="V785" s="25" t="str">
        <f>LOWER(SUBSTITUTE(SUBSTITUTE(SUBSTITUTE(SUBSTITUTE(SUBSTITUTE('Ingest Template'!Y784,"https:",""),"www.",""),"/",""),"?hl=en",""),"instagram.com",""))</f>
        <v/>
      </c>
      <c r="W785" s="34" t="str">
        <f>(IFERROR(vlookup('Ingest Template'!F785,DropDown!D:E,2,false)&amp;'Ingest Template'!C785,""))</f>
        <v/>
      </c>
      <c r="X785" s="25" t="str">
        <f>'Ingest Template'!AA784</f>
        <v/>
      </c>
      <c r="Y785" s="25"/>
      <c r="Z785" s="25"/>
      <c r="AA785" s="25"/>
      <c r="AB785" s="25" t="str">
        <f>'Ingest Template'!T784</f>
        <v/>
      </c>
      <c r="AC785" s="25"/>
      <c r="AD785" s="25" t="str">
        <f>'Ingest Template'!U784</f>
        <v/>
      </c>
      <c r="AE785" s="25" t="str">
        <f>'Ingest Template'!V784</f>
        <v/>
      </c>
      <c r="AF785" s="25"/>
      <c r="AG785" s="25" t="str">
        <f t="array" ref="AG785">IF('Ingest Template'!A784="Standard",(CONCATENATE(IF(ISBLANK('Ingest Template'!O784),"", 'Ingest Template'!O784&amp;"|DAR"),CHAR(10), IF(ISBLANK('Ingest Template'!P784),"", 'Ingest Template'!P784&amp;"|DAR"),CHAR(10), IF(ISBLANK('Ingest Template'!Q784),"", 'Ingest Template'!Q784&amp;"|DAR"))),(CONCATENATE(IF(ISBLANK('Ingest Template'!O784),"", 'Ingest Template'!O784&amp;"|Operations - Core Title"),CHAR(10), IF(ISBLANK('Ingest Template'!P784),"", 'Ingest Template'!P784&amp;"|Operations - Core Title"),CHAR(10), IF(ISBLANK('Ingest Template'!Q784),"", 'Ingest Template'!Q784&amp;"|Operations - Core Title"))))</f>
        <v>#|Operations - Core Title
#videoGame|Operations - Core Title
</v>
      </c>
      <c r="AH785" s="25"/>
      <c r="AI785" s="25"/>
      <c r="AJ785" s="50" t="str">
        <f>if('Ingest Template'!A784="Standard",'Ingest Template'!R784&amp; "|DAR|DAR|2021-01-01",'Ingest Template'!R784&amp; "|Operations - Core Title|Operations - Core Title")</f>
        <v>#N/A</v>
      </c>
      <c r="AK785" s="25"/>
      <c r="AL785" s="25" t="str">
        <f>if('Ingest Template'!A784="Standard",'Ingest Template'!S784&amp; "|2021-01-01",'Ingest Template'!S784)</f>
        <v>#N/A</v>
      </c>
      <c r="AM785" s="25"/>
    </row>
    <row r="786">
      <c r="A786" s="25"/>
      <c r="B786" s="25" t="str">
        <f>'Ingest Template'!C785&amp;IF('Ingest Template'!A785 = "Standard", " - DAR","")</f>
        <v/>
      </c>
      <c r="C786" s="34" t="s">
        <v>92</v>
      </c>
      <c r="D786" s="34" t="str">
        <f>CONCATENATE('Ingest Template'!E786&amp;Char(10)&amp;'Ingest Template'!G786&amp;Char(10)&amp;'Ingest Template'!H786&amp;Char(10)&amp;'Ingest Template'!I786&amp;Char(10)&amp;'Ingest Template'!J786&amp;Char(10)&amp;'Ingest Template'!K786&amp;Char(10)&amp;'Ingest Template'!L786)</f>
        <v>
</v>
      </c>
      <c r="E786" s="25" t="str">
        <f>('Ingest Template'!M786)</f>
        <v/>
      </c>
      <c r="F786" s="40" t="str">
        <f t="array" ref="F786">INDEX(DropDown!$J$2:$J$63,MATCH(1,COUNTIF(E786,DropDown!$I$2:$I$63),0))</f>
        <v>#N/A</v>
      </c>
      <c r="G786" s="25"/>
      <c r="H786" s="25"/>
      <c r="I786" s="25"/>
      <c r="J786" s="25" t="str">
        <f>'Ingest Template'!B786</f>
        <v/>
      </c>
      <c r="K786" s="25" t="str">
        <f>IF('Ingest Template'!A785="Standard",'Ingest Template'!N785,"Competitive View")</f>
        <v>Competitive View</v>
      </c>
      <c r="L786" s="41" t="s">
        <v>145</v>
      </c>
      <c r="M786" s="25" t="str">
        <f>'Ingest Template'!D785</f>
        <v/>
      </c>
      <c r="N786" s="25"/>
      <c r="O786" s="25"/>
      <c r="P786" s="25"/>
      <c r="Q786" s="25"/>
      <c r="R786" s="25" t="str">
        <f>CONCATENATE('Ingest Template'!F785)</f>
        <v/>
      </c>
      <c r="S786" s="43" t="s">
        <v>160</v>
      </c>
      <c r="T786" s="25" t="str">
        <f>'Ingest Template'!W785</f>
        <v/>
      </c>
      <c r="U786" s="25"/>
      <c r="V786" s="25" t="str">
        <f>LOWER(SUBSTITUTE(SUBSTITUTE(SUBSTITUTE(SUBSTITUTE(SUBSTITUTE('Ingest Template'!Y785,"https:",""),"www.",""),"/",""),"?hl=en",""),"instagram.com",""))</f>
        <v/>
      </c>
      <c r="W786" s="34" t="str">
        <f>(IFERROR(vlookup('Ingest Template'!F786,DropDown!D:E,2,false)&amp;'Ingest Template'!C786,""))</f>
        <v/>
      </c>
      <c r="X786" s="25" t="str">
        <f>'Ingest Template'!AA785</f>
        <v/>
      </c>
      <c r="Y786" s="25"/>
      <c r="Z786" s="25"/>
      <c r="AA786" s="25"/>
      <c r="AB786" s="25" t="str">
        <f>'Ingest Template'!T785</f>
        <v/>
      </c>
      <c r="AC786" s="25"/>
      <c r="AD786" s="25" t="str">
        <f>'Ingest Template'!U785</f>
        <v/>
      </c>
      <c r="AE786" s="25" t="str">
        <f>'Ingest Template'!V785</f>
        <v/>
      </c>
      <c r="AF786" s="25"/>
      <c r="AG786" s="25" t="str">
        <f t="array" ref="AG786">IF('Ingest Template'!A785="Standard",(CONCATENATE(IF(ISBLANK('Ingest Template'!O785),"", 'Ingest Template'!O785&amp;"|DAR"),CHAR(10), IF(ISBLANK('Ingest Template'!P785),"", 'Ingest Template'!P785&amp;"|DAR"),CHAR(10), IF(ISBLANK('Ingest Template'!Q785),"", 'Ingest Template'!Q785&amp;"|DAR"))),(CONCATENATE(IF(ISBLANK('Ingest Template'!O785),"", 'Ingest Template'!O785&amp;"|Operations - Core Title"),CHAR(10), IF(ISBLANK('Ingest Template'!P785),"", 'Ingest Template'!P785&amp;"|Operations - Core Title"),CHAR(10), IF(ISBLANK('Ingest Template'!Q785),"", 'Ingest Template'!Q785&amp;"|Operations - Core Title"))))</f>
        <v>#|Operations - Core Title
#videoGame|Operations - Core Title
</v>
      </c>
      <c r="AH786" s="25"/>
      <c r="AI786" s="25"/>
      <c r="AJ786" s="50" t="str">
        <f>if('Ingest Template'!A785="Standard",'Ingest Template'!R785&amp; "|DAR|DAR|2021-01-01",'Ingest Template'!R785&amp; "|Operations - Core Title|Operations - Core Title")</f>
        <v>#N/A</v>
      </c>
      <c r="AK786" s="25"/>
      <c r="AL786" s="25" t="str">
        <f>if('Ingest Template'!A785="Standard",'Ingest Template'!S785&amp; "|2021-01-01",'Ingest Template'!S785)</f>
        <v>#N/A</v>
      </c>
      <c r="AM786" s="25"/>
    </row>
    <row r="787">
      <c r="A787" s="25"/>
      <c r="B787" s="25" t="str">
        <f>'Ingest Template'!C786&amp;IF('Ingest Template'!A786 = "Standard", " - DAR","")</f>
        <v/>
      </c>
      <c r="C787" s="34" t="s">
        <v>92</v>
      </c>
      <c r="D787" s="34" t="str">
        <f>CONCATENATE('Ingest Template'!E787&amp;Char(10)&amp;'Ingest Template'!G787&amp;Char(10)&amp;'Ingest Template'!H787&amp;Char(10)&amp;'Ingest Template'!I787&amp;Char(10)&amp;'Ingest Template'!J787&amp;Char(10)&amp;'Ingest Template'!K787&amp;Char(10)&amp;'Ingest Template'!L787)</f>
        <v>
</v>
      </c>
      <c r="E787" s="25" t="str">
        <f>('Ingest Template'!M787)</f>
        <v/>
      </c>
      <c r="F787" s="40" t="str">
        <f t="array" ref="F787">INDEX(DropDown!$J$2:$J$63,MATCH(1,COUNTIF(E787,DropDown!$I$2:$I$63),0))</f>
        <v>#N/A</v>
      </c>
      <c r="G787" s="25"/>
      <c r="H787" s="25"/>
      <c r="I787" s="25"/>
      <c r="J787" s="25" t="str">
        <f>'Ingest Template'!B787</f>
        <v/>
      </c>
      <c r="K787" s="25" t="str">
        <f>IF('Ingest Template'!A786="Standard",'Ingest Template'!N786,"Competitive View")</f>
        <v>Competitive View</v>
      </c>
      <c r="L787" s="41" t="s">
        <v>145</v>
      </c>
      <c r="M787" s="25" t="str">
        <f>'Ingest Template'!D786</f>
        <v/>
      </c>
      <c r="N787" s="25"/>
      <c r="O787" s="25"/>
      <c r="P787" s="25"/>
      <c r="Q787" s="25"/>
      <c r="R787" s="25" t="str">
        <f>CONCATENATE('Ingest Template'!F786)</f>
        <v/>
      </c>
      <c r="S787" s="43" t="s">
        <v>160</v>
      </c>
      <c r="T787" s="25" t="str">
        <f>'Ingest Template'!W786</f>
        <v/>
      </c>
      <c r="U787" s="25"/>
      <c r="V787" s="25" t="str">
        <f>LOWER(SUBSTITUTE(SUBSTITUTE(SUBSTITUTE(SUBSTITUTE(SUBSTITUTE('Ingest Template'!Y786,"https:",""),"www.",""),"/",""),"?hl=en",""),"instagram.com",""))</f>
        <v/>
      </c>
      <c r="W787" s="34" t="str">
        <f>(IFERROR(vlookup('Ingest Template'!F787,DropDown!D:E,2,false)&amp;'Ingest Template'!C787,""))</f>
        <v/>
      </c>
      <c r="X787" s="25" t="str">
        <f>'Ingest Template'!AA786</f>
        <v/>
      </c>
      <c r="Y787" s="25"/>
      <c r="Z787" s="25"/>
      <c r="AA787" s="25"/>
      <c r="AB787" s="25" t="str">
        <f>'Ingest Template'!T786</f>
        <v/>
      </c>
      <c r="AC787" s="25"/>
      <c r="AD787" s="25" t="str">
        <f>'Ingest Template'!U786</f>
        <v/>
      </c>
      <c r="AE787" s="25" t="str">
        <f>'Ingest Template'!V786</f>
        <v/>
      </c>
      <c r="AF787" s="25"/>
      <c r="AG787" s="25" t="str">
        <f t="array" ref="AG787">IF('Ingest Template'!A786="Standard",(CONCATENATE(IF(ISBLANK('Ingest Template'!O786),"", 'Ingest Template'!O786&amp;"|DAR"),CHAR(10), IF(ISBLANK('Ingest Template'!P786),"", 'Ingest Template'!P786&amp;"|DAR"),CHAR(10), IF(ISBLANK('Ingest Template'!Q786),"", 'Ingest Template'!Q786&amp;"|DAR"))),(CONCATENATE(IF(ISBLANK('Ingest Template'!O786),"", 'Ingest Template'!O786&amp;"|Operations - Core Title"),CHAR(10), IF(ISBLANK('Ingest Template'!P786),"", 'Ingest Template'!P786&amp;"|Operations - Core Title"),CHAR(10), IF(ISBLANK('Ingest Template'!Q786),"", 'Ingest Template'!Q786&amp;"|Operations - Core Title"))))</f>
        <v>#|Operations - Core Title
#videoGame|Operations - Core Title
</v>
      </c>
      <c r="AH787" s="25"/>
      <c r="AI787" s="25"/>
      <c r="AJ787" s="50" t="str">
        <f>if('Ingest Template'!A786="Standard",'Ingest Template'!R786&amp; "|DAR|DAR|2021-01-01",'Ingest Template'!R786&amp; "|Operations - Core Title|Operations - Core Title")</f>
        <v>#N/A</v>
      </c>
      <c r="AK787" s="25"/>
      <c r="AL787" s="25" t="str">
        <f>if('Ingest Template'!A786="Standard",'Ingest Template'!S786&amp; "|2021-01-01",'Ingest Template'!S786)</f>
        <v>#N/A</v>
      </c>
      <c r="AM787" s="25"/>
    </row>
    <row r="788">
      <c r="A788" s="25"/>
      <c r="B788" s="25" t="str">
        <f>'Ingest Template'!C787&amp;IF('Ingest Template'!A787 = "Standard", " - DAR","")</f>
        <v/>
      </c>
      <c r="C788" s="34" t="s">
        <v>92</v>
      </c>
      <c r="D788" s="34" t="str">
        <f>CONCATENATE('Ingest Template'!E788&amp;Char(10)&amp;'Ingest Template'!G788&amp;Char(10)&amp;'Ingest Template'!H788&amp;Char(10)&amp;'Ingest Template'!I788&amp;Char(10)&amp;'Ingest Template'!J788&amp;Char(10)&amp;'Ingest Template'!K788&amp;Char(10)&amp;'Ingest Template'!L788)</f>
        <v>
</v>
      </c>
      <c r="E788" s="25" t="str">
        <f>('Ingest Template'!M788)</f>
        <v/>
      </c>
      <c r="F788" s="40" t="str">
        <f t="array" ref="F788">INDEX(DropDown!$J$2:$J$63,MATCH(1,COUNTIF(E788,DropDown!$I$2:$I$63),0))</f>
        <v>#N/A</v>
      </c>
      <c r="G788" s="25"/>
      <c r="H788" s="25"/>
      <c r="I788" s="25"/>
      <c r="J788" s="25" t="str">
        <f>'Ingest Template'!B788</f>
        <v/>
      </c>
      <c r="K788" s="25" t="str">
        <f>IF('Ingest Template'!A787="Standard",'Ingest Template'!N787,"Competitive View")</f>
        <v>Competitive View</v>
      </c>
      <c r="L788" s="41" t="s">
        <v>145</v>
      </c>
      <c r="M788" s="25" t="str">
        <f>'Ingest Template'!D787</f>
        <v/>
      </c>
      <c r="N788" s="25"/>
      <c r="O788" s="25"/>
      <c r="P788" s="25"/>
      <c r="Q788" s="25"/>
      <c r="R788" s="25" t="str">
        <f>CONCATENATE('Ingest Template'!F787)</f>
        <v/>
      </c>
      <c r="S788" s="43" t="s">
        <v>160</v>
      </c>
      <c r="T788" s="25" t="str">
        <f>'Ingest Template'!W787</f>
        <v/>
      </c>
      <c r="U788" s="25"/>
      <c r="V788" s="25" t="str">
        <f>LOWER(SUBSTITUTE(SUBSTITUTE(SUBSTITUTE(SUBSTITUTE(SUBSTITUTE('Ingest Template'!Y787,"https:",""),"www.",""),"/",""),"?hl=en",""),"instagram.com",""))</f>
        <v/>
      </c>
      <c r="W788" s="34" t="str">
        <f>(IFERROR(vlookup('Ingest Template'!F788,DropDown!D:E,2,false)&amp;'Ingest Template'!C788,""))</f>
        <v/>
      </c>
      <c r="X788" s="25" t="str">
        <f>'Ingest Template'!AA787</f>
        <v/>
      </c>
      <c r="Y788" s="25"/>
      <c r="Z788" s="25"/>
      <c r="AA788" s="25"/>
      <c r="AB788" s="25" t="str">
        <f>'Ingest Template'!T787</f>
        <v/>
      </c>
      <c r="AC788" s="25"/>
      <c r="AD788" s="25" t="str">
        <f>'Ingest Template'!U787</f>
        <v/>
      </c>
      <c r="AE788" s="25" t="str">
        <f>'Ingest Template'!V787</f>
        <v/>
      </c>
      <c r="AF788" s="25"/>
      <c r="AG788" s="25" t="str">
        <f t="array" ref="AG788">IF('Ingest Template'!A787="Standard",(CONCATENATE(IF(ISBLANK('Ingest Template'!O787),"", 'Ingest Template'!O787&amp;"|DAR"),CHAR(10), IF(ISBLANK('Ingest Template'!P787),"", 'Ingest Template'!P787&amp;"|DAR"),CHAR(10), IF(ISBLANK('Ingest Template'!Q787),"", 'Ingest Template'!Q787&amp;"|DAR"))),(CONCATENATE(IF(ISBLANK('Ingest Template'!O787),"", 'Ingest Template'!O787&amp;"|Operations - Core Title"),CHAR(10), IF(ISBLANK('Ingest Template'!P787),"", 'Ingest Template'!P787&amp;"|Operations - Core Title"),CHAR(10), IF(ISBLANK('Ingest Template'!Q787),"", 'Ingest Template'!Q787&amp;"|Operations - Core Title"))))</f>
        <v>#|Operations - Core Title
#videoGame|Operations - Core Title
</v>
      </c>
      <c r="AH788" s="25"/>
      <c r="AI788" s="25"/>
      <c r="AJ788" s="50" t="str">
        <f>if('Ingest Template'!A787="Standard",'Ingest Template'!R787&amp; "|DAR|DAR|2021-01-01",'Ingest Template'!R787&amp; "|Operations - Core Title|Operations - Core Title")</f>
        <v>#N/A</v>
      </c>
      <c r="AK788" s="25"/>
      <c r="AL788" s="25" t="str">
        <f>if('Ingest Template'!A787="Standard",'Ingest Template'!S787&amp; "|2021-01-01",'Ingest Template'!S787)</f>
        <v>#N/A</v>
      </c>
      <c r="AM788" s="25"/>
    </row>
    <row r="789">
      <c r="A789" s="25"/>
      <c r="B789" s="25" t="str">
        <f>'Ingest Template'!C788&amp;IF('Ingest Template'!A788 = "Standard", " - DAR","")</f>
        <v/>
      </c>
      <c r="C789" s="34" t="s">
        <v>92</v>
      </c>
      <c r="D789" s="34" t="str">
        <f>CONCATENATE('Ingest Template'!E789&amp;Char(10)&amp;'Ingest Template'!G789&amp;Char(10)&amp;'Ingest Template'!H789&amp;Char(10)&amp;'Ingest Template'!I789&amp;Char(10)&amp;'Ingest Template'!J789&amp;Char(10)&amp;'Ingest Template'!K789&amp;Char(10)&amp;'Ingest Template'!L789)</f>
        <v>
</v>
      </c>
      <c r="E789" s="25" t="str">
        <f>('Ingest Template'!M789)</f>
        <v/>
      </c>
      <c r="F789" s="40" t="str">
        <f t="array" ref="F789">INDEX(DropDown!$J$2:$J$63,MATCH(1,COUNTIF(E789,DropDown!$I$2:$I$63),0))</f>
        <v>#N/A</v>
      </c>
      <c r="G789" s="25"/>
      <c r="H789" s="25"/>
      <c r="I789" s="25"/>
      <c r="J789" s="25" t="str">
        <f>'Ingest Template'!B789</f>
        <v/>
      </c>
      <c r="K789" s="25" t="str">
        <f>IF('Ingest Template'!A788="Standard",'Ingest Template'!N788,"Competitive View")</f>
        <v>Competitive View</v>
      </c>
      <c r="L789" s="41" t="s">
        <v>145</v>
      </c>
      <c r="M789" s="25" t="str">
        <f>'Ingest Template'!D788</f>
        <v/>
      </c>
      <c r="N789" s="25"/>
      <c r="O789" s="25"/>
      <c r="P789" s="25"/>
      <c r="Q789" s="25"/>
      <c r="R789" s="25" t="str">
        <f>CONCATENATE('Ingest Template'!F788)</f>
        <v/>
      </c>
      <c r="S789" s="43" t="s">
        <v>160</v>
      </c>
      <c r="T789" s="25" t="str">
        <f>'Ingest Template'!W788</f>
        <v/>
      </c>
      <c r="U789" s="25"/>
      <c r="V789" s="25" t="str">
        <f>LOWER(SUBSTITUTE(SUBSTITUTE(SUBSTITUTE(SUBSTITUTE(SUBSTITUTE('Ingest Template'!Y788,"https:",""),"www.",""),"/",""),"?hl=en",""),"instagram.com",""))</f>
        <v/>
      </c>
      <c r="W789" s="34" t="str">
        <f>(IFERROR(vlookup('Ingest Template'!F789,DropDown!D:E,2,false)&amp;'Ingest Template'!C789,""))</f>
        <v/>
      </c>
      <c r="X789" s="25" t="str">
        <f>'Ingest Template'!AA788</f>
        <v/>
      </c>
      <c r="Y789" s="25"/>
      <c r="Z789" s="25"/>
      <c r="AA789" s="25"/>
      <c r="AB789" s="25" t="str">
        <f>'Ingest Template'!T788</f>
        <v/>
      </c>
      <c r="AC789" s="25"/>
      <c r="AD789" s="25" t="str">
        <f>'Ingest Template'!U788</f>
        <v/>
      </c>
      <c r="AE789" s="25" t="str">
        <f>'Ingest Template'!V788</f>
        <v/>
      </c>
      <c r="AF789" s="25"/>
      <c r="AG789" s="25" t="str">
        <f t="array" ref="AG789">IF('Ingest Template'!A788="Standard",(CONCATENATE(IF(ISBLANK('Ingest Template'!O788),"", 'Ingest Template'!O788&amp;"|DAR"),CHAR(10), IF(ISBLANK('Ingest Template'!P788),"", 'Ingest Template'!P788&amp;"|DAR"),CHAR(10), IF(ISBLANK('Ingest Template'!Q788),"", 'Ingest Template'!Q788&amp;"|DAR"))),(CONCATENATE(IF(ISBLANK('Ingest Template'!O788),"", 'Ingest Template'!O788&amp;"|Operations - Core Title"),CHAR(10), IF(ISBLANK('Ingest Template'!P788),"", 'Ingest Template'!P788&amp;"|Operations - Core Title"),CHAR(10), IF(ISBLANK('Ingest Template'!Q788),"", 'Ingest Template'!Q788&amp;"|Operations - Core Title"))))</f>
        <v>#|Operations - Core Title
#videoGame|Operations - Core Title
</v>
      </c>
      <c r="AH789" s="25"/>
      <c r="AI789" s="25"/>
      <c r="AJ789" s="50" t="str">
        <f>if('Ingest Template'!A788="Standard",'Ingest Template'!R788&amp; "|DAR|DAR|2021-01-01",'Ingest Template'!R788&amp; "|Operations - Core Title|Operations - Core Title")</f>
        <v>#N/A</v>
      </c>
      <c r="AK789" s="25"/>
      <c r="AL789" s="25" t="str">
        <f>if('Ingest Template'!A788="Standard",'Ingest Template'!S788&amp; "|2021-01-01",'Ingest Template'!S788)</f>
        <v>#N/A</v>
      </c>
      <c r="AM789" s="25"/>
    </row>
    <row r="790">
      <c r="A790" s="25"/>
      <c r="B790" s="25" t="str">
        <f>'Ingest Template'!C789&amp;IF('Ingest Template'!A789 = "Standard", " - DAR","")</f>
        <v/>
      </c>
      <c r="C790" s="34" t="s">
        <v>92</v>
      </c>
      <c r="D790" s="34" t="str">
        <f>CONCATENATE('Ingest Template'!E790&amp;Char(10)&amp;'Ingest Template'!G790&amp;Char(10)&amp;'Ingest Template'!H790&amp;Char(10)&amp;'Ingest Template'!I790&amp;Char(10)&amp;'Ingest Template'!J790&amp;Char(10)&amp;'Ingest Template'!K790&amp;Char(10)&amp;'Ingest Template'!L790)</f>
        <v>
</v>
      </c>
      <c r="E790" s="25" t="str">
        <f>('Ingest Template'!M790)</f>
        <v/>
      </c>
      <c r="F790" s="40" t="str">
        <f t="array" ref="F790">INDEX(DropDown!$J$2:$J$63,MATCH(1,COUNTIF(E790,DropDown!$I$2:$I$63),0))</f>
        <v>#N/A</v>
      </c>
      <c r="G790" s="25"/>
      <c r="H790" s="25"/>
      <c r="I790" s="25"/>
      <c r="J790" s="25" t="str">
        <f>'Ingest Template'!B790</f>
        <v/>
      </c>
      <c r="K790" s="25" t="str">
        <f>IF('Ingest Template'!A789="Standard",'Ingest Template'!N789,"Competitive View")</f>
        <v>Competitive View</v>
      </c>
      <c r="L790" s="41" t="s">
        <v>145</v>
      </c>
      <c r="M790" s="25" t="str">
        <f>'Ingest Template'!D789</f>
        <v/>
      </c>
      <c r="N790" s="25"/>
      <c r="O790" s="25"/>
      <c r="P790" s="25"/>
      <c r="Q790" s="25"/>
      <c r="R790" s="25" t="str">
        <f>CONCATENATE('Ingest Template'!F789)</f>
        <v/>
      </c>
      <c r="S790" s="43" t="s">
        <v>160</v>
      </c>
      <c r="T790" s="25" t="str">
        <f>'Ingest Template'!W789</f>
        <v/>
      </c>
      <c r="U790" s="25"/>
      <c r="V790" s="25" t="str">
        <f>LOWER(SUBSTITUTE(SUBSTITUTE(SUBSTITUTE(SUBSTITUTE(SUBSTITUTE('Ingest Template'!Y789,"https:",""),"www.",""),"/",""),"?hl=en",""),"instagram.com",""))</f>
        <v/>
      </c>
      <c r="W790" s="34" t="str">
        <f>(IFERROR(vlookup('Ingest Template'!F790,DropDown!D:E,2,false)&amp;'Ingest Template'!C790,""))</f>
        <v/>
      </c>
      <c r="X790" s="25" t="str">
        <f>'Ingest Template'!AA789</f>
        <v/>
      </c>
      <c r="Y790" s="25"/>
      <c r="Z790" s="25"/>
      <c r="AA790" s="25"/>
      <c r="AB790" s="25" t="str">
        <f>'Ingest Template'!T789</f>
        <v/>
      </c>
      <c r="AC790" s="25"/>
      <c r="AD790" s="25" t="str">
        <f>'Ingest Template'!U789</f>
        <v/>
      </c>
      <c r="AE790" s="25" t="str">
        <f>'Ingest Template'!V789</f>
        <v/>
      </c>
      <c r="AF790" s="25"/>
      <c r="AG790" s="25" t="str">
        <f t="array" ref="AG790">IF('Ingest Template'!A789="Standard",(CONCATENATE(IF(ISBLANK('Ingest Template'!O789),"", 'Ingest Template'!O789&amp;"|DAR"),CHAR(10), IF(ISBLANK('Ingest Template'!P789),"", 'Ingest Template'!P789&amp;"|DAR"),CHAR(10), IF(ISBLANK('Ingest Template'!Q789),"", 'Ingest Template'!Q789&amp;"|DAR"))),(CONCATENATE(IF(ISBLANK('Ingest Template'!O789),"", 'Ingest Template'!O789&amp;"|Operations - Core Title"),CHAR(10), IF(ISBLANK('Ingest Template'!P789),"", 'Ingest Template'!P789&amp;"|Operations - Core Title"),CHAR(10), IF(ISBLANK('Ingest Template'!Q789),"", 'Ingest Template'!Q789&amp;"|Operations - Core Title"))))</f>
        <v>#|Operations - Core Title
#videoGame|Operations - Core Title
</v>
      </c>
      <c r="AH790" s="25"/>
      <c r="AI790" s="25"/>
      <c r="AJ790" s="50" t="str">
        <f>if('Ingest Template'!A789="Standard",'Ingest Template'!R789&amp; "|DAR|DAR|2021-01-01",'Ingest Template'!R789&amp; "|Operations - Core Title|Operations - Core Title")</f>
        <v>#N/A</v>
      </c>
      <c r="AK790" s="25"/>
      <c r="AL790" s="25" t="str">
        <f>if('Ingest Template'!A789="Standard",'Ingest Template'!S789&amp; "|2021-01-01",'Ingest Template'!S789)</f>
        <v>#N/A</v>
      </c>
      <c r="AM790" s="25"/>
    </row>
    <row r="791">
      <c r="A791" s="25"/>
      <c r="B791" s="25" t="str">
        <f>'Ingest Template'!C790&amp;IF('Ingest Template'!A790 = "Standard", " - DAR","")</f>
        <v/>
      </c>
      <c r="C791" s="34" t="s">
        <v>92</v>
      </c>
      <c r="D791" s="34" t="str">
        <f>CONCATENATE('Ingest Template'!E791&amp;Char(10)&amp;'Ingest Template'!G791&amp;Char(10)&amp;'Ingest Template'!H791&amp;Char(10)&amp;'Ingest Template'!I791&amp;Char(10)&amp;'Ingest Template'!J791&amp;Char(10)&amp;'Ingest Template'!K791&amp;Char(10)&amp;'Ingest Template'!L791)</f>
        <v>
</v>
      </c>
      <c r="E791" s="25" t="str">
        <f>('Ingest Template'!M791)</f>
        <v/>
      </c>
      <c r="F791" s="40" t="str">
        <f t="array" ref="F791">INDEX(DropDown!$J$2:$J$63,MATCH(1,COUNTIF(E791,DropDown!$I$2:$I$63),0))</f>
        <v>#N/A</v>
      </c>
      <c r="G791" s="25"/>
      <c r="H791" s="25"/>
      <c r="I791" s="25"/>
      <c r="J791" s="25" t="str">
        <f>'Ingest Template'!B791</f>
        <v/>
      </c>
      <c r="K791" s="25" t="str">
        <f>IF('Ingest Template'!A790="Standard",'Ingest Template'!N790,"Competitive View")</f>
        <v>Competitive View</v>
      </c>
      <c r="L791" s="41" t="s">
        <v>145</v>
      </c>
      <c r="M791" s="25" t="str">
        <f>'Ingest Template'!D790</f>
        <v/>
      </c>
      <c r="N791" s="25"/>
      <c r="O791" s="25"/>
      <c r="P791" s="25"/>
      <c r="Q791" s="25"/>
      <c r="R791" s="25" t="str">
        <f>CONCATENATE('Ingest Template'!F790)</f>
        <v/>
      </c>
      <c r="S791" s="43" t="s">
        <v>160</v>
      </c>
      <c r="T791" s="25" t="str">
        <f>'Ingest Template'!W790</f>
        <v/>
      </c>
      <c r="U791" s="25"/>
      <c r="V791" s="25" t="str">
        <f>LOWER(SUBSTITUTE(SUBSTITUTE(SUBSTITUTE(SUBSTITUTE(SUBSTITUTE('Ingest Template'!Y790,"https:",""),"www.",""),"/",""),"?hl=en",""),"instagram.com",""))</f>
        <v/>
      </c>
      <c r="W791" s="34" t="str">
        <f>(IFERROR(vlookup('Ingest Template'!F791,DropDown!D:E,2,false)&amp;'Ingest Template'!C791,""))</f>
        <v/>
      </c>
      <c r="X791" s="25" t="str">
        <f>'Ingest Template'!AA790</f>
        <v/>
      </c>
      <c r="Y791" s="25"/>
      <c r="Z791" s="25"/>
      <c r="AA791" s="25"/>
      <c r="AB791" s="25" t="str">
        <f>'Ingest Template'!T790</f>
        <v/>
      </c>
      <c r="AC791" s="25"/>
      <c r="AD791" s="25" t="str">
        <f>'Ingest Template'!U790</f>
        <v/>
      </c>
      <c r="AE791" s="25" t="str">
        <f>'Ingest Template'!V790</f>
        <v/>
      </c>
      <c r="AF791" s="25"/>
      <c r="AG791" s="25" t="str">
        <f t="array" ref="AG791">IF('Ingest Template'!A790="Standard",(CONCATENATE(IF(ISBLANK('Ingest Template'!O790),"", 'Ingest Template'!O790&amp;"|DAR"),CHAR(10), IF(ISBLANK('Ingest Template'!P790),"", 'Ingest Template'!P790&amp;"|DAR"),CHAR(10), IF(ISBLANK('Ingest Template'!Q790),"", 'Ingest Template'!Q790&amp;"|DAR"))),(CONCATENATE(IF(ISBLANK('Ingest Template'!O790),"", 'Ingest Template'!O790&amp;"|Operations - Core Title"),CHAR(10), IF(ISBLANK('Ingest Template'!P790),"", 'Ingest Template'!P790&amp;"|Operations - Core Title"),CHAR(10), IF(ISBLANK('Ingest Template'!Q790),"", 'Ingest Template'!Q790&amp;"|Operations - Core Title"))))</f>
        <v>#|Operations - Core Title
#videoGame|Operations - Core Title
</v>
      </c>
      <c r="AH791" s="25"/>
      <c r="AI791" s="25"/>
      <c r="AJ791" s="50" t="str">
        <f>if('Ingest Template'!A790="Standard",'Ingest Template'!R790&amp; "|DAR|DAR|2021-01-01",'Ingest Template'!R790&amp; "|Operations - Core Title|Operations - Core Title")</f>
        <v>#N/A</v>
      </c>
      <c r="AK791" s="25"/>
      <c r="AL791" s="25" t="str">
        <f>if('Ingest Template'!A790="Standard",'Ingest Template'!S790&amp; "|2021-01-01",'Ingest Template'!S790)</f>
        <v>#N/A</v>
      </c>
      <c r="AM791" s="25"/>
    </row>
    <row r="792">
      <c r="A792" s="25"/>
      <c r="B792" s="25" t="str">
        <f>'Ingest Template'!C791&amp;IF('Ingest Template'!A791 = "Standard", " - DAR","")</f>
        <v/>
      </c>
      <c r="C792" s="34" t="s">
        <v>92</v>
      </c>
      <c r="D792" s="34" t="str">
        <f>CONCATENATE('Ingest Template'!E792&amp;Char(10)&amp;'Ingest Template'!G792&amp;Char(10)&amp;'Ingest Template'!H792&amp;Char(10)&amp;'Ingest Template'!I792&amp;Char(10)&amp;'Ingest Template'!J792&amp;Char(10)&amp;'Ingest Template'!K792&amp;Char(10)&amp;'Ingest Template'!L792)</f>
        <v>
</v>
      </c>
      <c r="E792" s="25" t="str">
        <f>('Ingest Template'!M792)</f>
        <v/>
      </c>
      <c r="F792" s="40" t="str">
        <f t="array" ref="F792">INDEX(DropDown!$J$2:$J$63,MATCH(1,COUNTIF(E792,DropDown!$I$2:$I$63),0))</f>
        <v>#N/A</v>
      </c>
      <c r="G792" s="25"/>
      <c r="H792" s="25"/>
      <c r="I792" s="25"/>
      <c r="J792" s="25" t="str">
        <f>'Ingest Template'!B792</f>
        <v/>
      </c>
      <c r="K792" s="25" t="str">
        <f>IF('Ingest Template'!A791="Standard",'Ingest Template'!N791,"Competitive View")</f>
        <v>Competitive View</v>
      </c>
      <c r="L792" s="41" t="s">
        <v>145</v>
      </c>
      <c r="M792" s="25" t="str">
        <f>'Ingest Template'!D791</f>
        <v/>
      </c>
      <c r="N792" s="25"/>
      <c r="O792" s="25"/>
      <c r="P792" s="25"/>
      <c r="Q792" s="25"/>
      <c r="R792" s="25" t="str">
        <f>CONCATENATE('Ingest Template'!F791)</f>
        <v/>
      </c>
      <c r="S792" s="43" t="s">
        <v>160</v>
      </c>
      <c r="T792" s="25" t="str">
        <f>'Ingest Template'!W791</f>
        <v/>
      </c>
      <c r="U792" s="25"/>
      <c r="V792" s="25" t="str">
        <f>LOWER(SUBSTITUTE(SUBSTITUTE(SUBSTITUTE(SUBSTITUTE(SUBSTITUTE('Ingest Template'!Y791,"https:",""),"www.",""),"/",""),"?hl=en",""),"instagram.com",""))</f>
        <v/>
      </c>
      <c r="W792" s="34" t="str">
        <f>(IFERROR(vlookup('Ingest Template'!F792,DropDown!D:E,2,false)&amp;'Ingest Template'!C792,""))</f>
        <v/>
      </c>
      <c r="X792" s="25" t="str">
        <f>'Ingest Template'!AA791</f>
        <v/>
      </c>
      <c r="Y792" s="25"/>
      <c r="Z792" s="25"/>
      <c r="AA792" s="25"/>
      <c r="AB792" s="25" t="str">
        <f>'Ingest Template'!T791</f>
        <v/>
      </c>
      <c r="AC792" s="25"/>
      <c r="AD792" s="25" t="str">
        <f>'Ingest Template'!U791</f>
        <v/>
      </c>
      <c r="AE792" s="25" t="str">
        <f>'Ingest Template'!V791</f>
        <v/>
      </c>
      <c r="AF792" s="25"/>
      <c r="AG792" s="25" t="str">
        <f t="array" ref="AG792">IF('Ingest Template'!A791="Standard",(CONCATENATE(IF(ISBLANK('Ingest Template'!O791),"", 'Ingest Template'!O791&amp;"|DAR"),CHAR(10), IF(ISBLANK('Ingest Template'!P791),"", 'Ingest Template'!P791&amp;"|DAR"),CHAR(10), IF(ISBLANK('Ingest Template'!Q791),"", 'Ingest Template'!Q791&amp;"|DAR"))),(CONCATENATE(IF(ISBLANK('Ingest Template'!O791),"", 'Ingest Template'!O791&amp;"|Operations - Core Title"),CHAR(10), IF(ISBLANK('Ingest Template'!P791),"", 'Ingest Template'!P791&amp;"|Operations - Core Title"),CHAR(10), IF(ISBLANK('Ingest Template'!Q791),"", 'Ingest Template'!Q791&amp;"|Operations - Core Title"))))</f>
        <v>#|Operations - Core Title
#videoGame|Operations - Core Title
</v>
      </c>
      <c r="AH792" s="25"/>
      <c r="AI792" s="25"/>
      <c r="AJ792" s="50" t="str">
        <f>if('Ingest Template'!A791="Standard",'Ingest Template'!R791&amp; "|DAR|DAR|2021-01-01",'Ingest Template'!R791&amp; "|Operations - Core Title|Operations - Core Title")</f>
        <v>#N/A</v>
      </c>
      <c r="AK792" s="25"/>
      <c r="AL792" s="25" t="str">
        <f>if('Ingest Template'!A791="Standard",'Ingest Template'!S791&amp; "|2021-01-01",'Ingest Template'!S791)</f>
        <v>#N/A</v>
      </c>
      <c r="AM792" s="25"/>
    </row>
    <row r="793">
      <c r="A793" s="25"/>
      <c r="B793" s="25" t="str">
        <f>'Ingest Template'!C792&amp;IF('Ingest Template'!A792 = "Standard", " - DAR","")</f>
        <v/>
      </c>
      <c r="C793" s="34" t="s">
        <v>92</v>
      </c>
      <c r="D793" s="34" t="str">
        <f>CONCATENATE('Ingest Template'!E793&amp;Char(10)&amp;'Ingest Template'!G793&amp;Char(10)&amp;'Ingest Template'!H793&amp;Char(10)&amp;'Ingest Template'!I793&amp;Char(10)&amp;'Ingest Template'!J793&amp;Char(10)&amp;'Ingest Template'!K793&amp;Char(10)&amp;'Ingest Template'!L793)</f>
        <v>
</v>
      </c>
      <c r="E793" s="25" t="str">
        <f>('Ingest Template'!M793)</f>
        <v/>
      </c>
      <c r="F793" s="40" t="str">
        <f t="array" ref="F793">INDEX(DropDown!$J$2:$J$63,MATCH(1,COUNTIF(E793,DropDown!$I$2:$I$63),0))</f>
        <v>#N/A</v>
      </c>
      <c r="G793" s="25"/>
      <c r="H793" s="25"/>
      <c r="I793" s="25"/>
      <c r="J793" s="25" t="str">
        <f>'Ingest Template'!B793</f>
        <v/>
      </c>
      <c r="K793" s="25" t="str">
        <f>IF('Ingest Template'!A792="Standard",'Ingest Template'!N792,"Competitive View")</f>
        <v>Competitive View</v>
      </c>
      <c r="L793" s="41" t="s">
        <v>145</v>
      </c>
      <c r="M793" s="25" t="str">
        <f>'Ingest Template'!D792</f>
        <v/>
      </c>
      <c r="N793" s="25"/>
      <c r="O793" s="25"/>
      <c r="P793" s="25"/>
      <c r="Q793" s="25"/>
      <c r="R793" s="25" t="str">
        <f>CONCATENATE('Ingest Template'!F792)</f>
        <v/>
      </c>
      <c r="S793" s="43" t="s">
        <v>160</v>
      </c>
      <c r="T793" s="25" t="str">
        <f>'Ingest Template'!W792</f>
        <v/>
      </c>
      <c r="U793" s="25"/>
      <c r="V793" s="25" t="str">
        <f>LOWER(SUBSTITUTE(SUBSTITUTE(SUBSTITUTE(SUBSTITUTE(SUBSTITUTE('Ingest Template'!Y792,"https:",""),"www.",""),"/",""),"?hl=en",""),"instagram.com",""))</f>
        <v/>
      </c>
      <c r="W793" s="34" t="str">
        <f>(IFERROR(vlookup('Ingest Template'!F793,DropDown!D:E,2,false)&amp;'Ingest Template'!C793,""))</f>
        <v/>
      </c>
      <c r="X793" s="25" t="str">
        <f>'Ingest Template'!AA792</f>
        <v/>
      </c>
      <c r="Y793" s="25"/>
      <c r="Z793" s="25"/>
      <c r="AA793" s="25"/>
      <c r="AB793" s="25" t="str">
        <f>'Ingest Template'!T792</f>
        <v/>
      </c>
      <c r="AC793" s="25"/>
      <c r="AD793" s="25" t="str">
        <f>'Ingest Template'!U792</f>
        <v/>
      </c>
      <c r="AE793" s="25" t="str">
        <f>'Ingest Template'!V792</f>
        <v/>
      </c>
      <c r="AF793" s="25"/>
      <c r="AG793" s="25" t="str">
        <f t="array" ref="AG793">IF('Ingest Template'!A792="Standard",(CONCATENATE(IF(ISBLANK('Ingest Template'!O792),"", 'Ingest Template'!O792&amp;"|DAR"),CHAR(10), IF(ISBLANK('Ingest Template'!P792),"", 'Ingest Template'!P792&amp;"|DAR"),CHAR(10), IF(ISBLANK('Ingest Template'!Q792),"", 'Ingest Template'!Q792&amp;"|DAR"))),(CONCATENATE(IF(ISBLANK('Ingest Template'!O792),"", 'Ingest Template'!O792&amp;"|Operations - Core Title"),CHAR(10), IF(ISBLANK('Ingest Template'!P792),"", 'Ingest Template'!P792&amp;"|Operations - Core Title"),CHAR(10), IF(ISBLANK('Ingest Template'!Q792),"", 'Ingest Template'!Q792&amp;"|Operations - Core Title"))))</f>
        <v>#|Operations - Core Title
#videoGame|Operations - Core Title
</v>
      </c>
      <c r="AH793" s="25"/>
      <c r="AI793" s="25"/>
      <c r="AJ793" s="50" t="str">
        <f>if('Ingest Template'!A792="Standard",'Ingest Template'!R792&amp; "|DAR|DAR|2021-01-01",'Ingest Template'!R792&amp; "|Operations - Core Title|Operations - Core Title")</f>
        <v>#N/A</v>
      </c>
      <c r="AK793" s="25"/>
      <c r="AL793" s="25" t="str">
        <f>if('Ingest Template'!A792="Standard",'Ingest Template'!S792&amp; "|2021-01-01",'Ingest Template'!S792)</f>
        <v>#N/A</v>
      </c>
      <c r="AM793" s="25"/>
    </row>
    <row r="794">
      <c r="A794" s="25"/>
      <c r="B794" s="25" t="str">
        <f>'Ingest Template'!C793&amp;IF('Ingest Template'!A793 = "Standard", " - DAR","")</f>
        <v/>
      </c>
      <c r="C794" s="34" t="s">
        <v>92</v>
      </c>
      <c r="D794" s="34" t="str">
        <f>CONCATENATE('Ingest Template'!E794&amp;Char(10)&amp;'Ingest Template'!G794&amp;Char(10)&amp;'Ingest Template'!H794&amp;Char(10)&amp;'Ingest Template'!I794&amp;Char(10)&amp;'Ingest Template'!J794&amp;Char(10)&amp;'Ingest Template'!K794&amp;Char(10)&amp;'Ingest Template'!L794)</f>
        <v>
</v>
      </c>
      <c r="E794" s="25" t="str">
        <f>('Ingest Template'!M794)</f>
        <v/>
      </c>
      <c r="F794" s="40" t="str">
        <f t="array" ref="F794">INDEX(DropDown!$J$2:$J$63,MATCH(1,COUNTIF(E794,DropDown!$I$2:$I$63),0))</f>
        <v>#N/A</v>
      </c>
      <c r="G794" s="25"/>
      <c r="H794" s="25"/>
      <c r="I794" s="25"/>
      <c r="J794" s="25" t="str">
        <f>'Ingest Template'!B794</f>
        <v/>
      </c>
      <c r="K794" s="25" t="str">
        <f>IF('Ingest Template'!A793="Standard",'Ingest Template'!N793,"Competitive View")</f>
        <v>Competitive View</v>
      </c>
      <c r="L794" s="41" t="s">
        <v>145</v>
      </c>
      <c r="M794" s="25" t="str">
        <f>'Ingest Template'!D793</f>
        <v/>
      </c>
      <c r="N794" s="25"/>
      <c r="O794" s="25"/>
      <c r="P794" s="25"/>
      <c r="Q794" s="25"/>
      <c r="R794" s="25" t="str">
        <f>CONCATENATE('Ingest Template'!F793)</f>
        <v/>
      </c>
      <c r="S794" s="43" t="s">
        <v>160</v>
      </c>
      <c r="T794" s="25" t="str">
        <f>'Ingest Template'!W793</f>
        <v/>
      </c>
      <c r="U794" s="25"/>
      <c r="V794" s="25" t="str">
        <f>LOWER(SUBSTITUTE(SUBSTITUTE(SUBSTITUTE(SUBSTITUTE(SUBSTITUTE('Ingest Template'!Y793,"https:",""),"www.",""),"/",""),"?hl=en",""),"instagram.com",""))</f>
        <v/>
      </c>
      <c r="W794" s="34" t="str">
        <f>(IFERROR(vlookup('Ingest Template'!F794,DropDown!D:E,2,false)&amp;'Ingest Template'!C794,""))</f>
        <v/>
      </c>
      <c r="X794" s="25" t="str">
        <f>'Ingest Template'!AA793</f>
        <v/>
      </c>
      <c r="Y794" s="25"/>
      <c r="Z794" s="25"/>
      <c r="AA794" s="25"/>
      <c r="AB794" s="25" t="str">
        <f>'Ingest Template'!T793</f>
        <v/>
      </c>
      <c r="AC794" s="25"/>
      <c r="AD794" s="25" t="str">
        <f>'Ingest Template'!U793</f>
        <v/>
      </c>
      <c r="AE794" s="25" t="str">
        <f>'Ingest Template'!V793</f>
        <v/>
      </c>
      <c r="AF794" s="25"/>
      <c r="AG794" s="25" t="str">
        <f t="array" ref="AG794">IF('Ingest Template'!A793="Standard",(CONCATENATE(IF(ISBLANK('Ingest Template'!O793),"", 'Ingest Template'!O793&amp;"|DAR"),CHAR(10), IF(ISBLANK('Ingest Template'!P793),"", 'Ingest Template'!P793&amp;"|DAR"),CHAR(10), IF(ISBLANK('Ingest Template'!Q793),"", 'Ingest Template'!Q793&amp;"|DAR"))),(CONCATENATE(IF(ISBLANK('Ingest Template'!O793),"", 'Ingest Template'!O793&amp;"|Operations - Core Title"),CHAR(10), IF(ISBLANK('Ingest Template'!P793),"", 'Ingest Template'!P793&amp;"|Operations - Core Title"),CHAR(10), IF(ISBLANK('Ingest Template'!Q793),"", 'Ingest Template'!Q793&amp;"|Operations - Core Title"))))</f>
        <v>#|Operations - Core Title
#videoGame|Operations - Core Title
</v>
      </c>
      <c r="AH794" s="25"/>
      <c r="AI794" s="25"/>
      <c r="AJ794" s="50" t="str">
        <f>if('Ingest Template'!A793="Standard",'Ingest Template'!R793&amp; "|DAR|DAR|2021-01-01",'Ingest Template'!R793&amp; "|Operations - Core Title|Operations - Core Title")</f>
        <v>#N/A</v>
      </c>
      <c r="AK794" s="25"/>
      <c r="AL794" s="25" t="str">
        <f>if('Ingest Template'!A793="Standard",'Ingest Template'!S793&amp; "|2021-01-01",'Ingest Template'!S793)</f>
        <v>#N/A</v>
      </c>
      <c r="AM794" s="25"/>
    </row>
    <row r="795">
      <c r="A795" s="25"/>
      <c r="B795" s="25" t="str">
        <f>'Ingest Template'!C794&amp;IF('Ingest Template'!A794 = "Standard", " - DAR","")</f>
        <v/>
      </c>
      <c r="C795" s="34" t="s">
        <v>92</v>
      </c>
      <c r="D795" s="34" t="str">
        <f>CONCATENATE('Ingest Template'!E795&amp;Char(10)&amp;'Ingest Template'!G795&amp;Char(10)&amp;'Ingest Template'!H795&amp;Char(10)&amp;'Ingest Template'!I795&amp;Char(10)&amp;'Ingest Template'!J795&amp;Char(10)&amp;'Ingest Template'!K795&amp;Char(10)&amp;'Ingest Template'!L795)</f>
        <v>
</v>
      </c>
      <c r="E795" s="25" t="str">
        <f>('Ingest Template'!M795)</f>
        <v/>
      </c>
      <c r="F795" s="40" t="str">
        <f t="array" ref="F795">INDEX(DropDown!$J$2:$J$63,MATCH(1,COUNTIF(E795,DropDown!$I$2:$I$63),0))</f>
        <v>#N/A</v>
      </c>
      <c r="G795" s="25"/>
      <c r="H795" s="25"/>
      <c r="I795" s="25"/>
      <c r="J795" s="25" t="str">
        <f>'Ingest Template'!B795</f>
        <v/>
      </c>
      <c r="K795" s="25" t="str">
        <f>IF('Ingest Template'!A794="Standard",'Ingest Template'!N794,"Competitive View")</f>
        <v>Competitive View</v>
      </c>
      <c r="L795" s="41" t="s">
        <v>145</v>
      </c>
      <c r="M795" s="25" t="str">
        <f>'Ingest Template'!D794</f>
        <v/>
      </c>
      <c r="N795" s="25"/>
      <c r="O795" s="25"/>
      <c r="P795" s="25"/>
      <c r="Q795" s="25"/>
      <c r="R795" s="25" t="str">
        <f>CONCATENATE('Ingest Template'!F794)</f>
        <v/>
      </c>
      <c r="S795" s="43" t="s">
        <v>160</v>
      </c>
      <c r="T795" s="25" t="str">
        <f>'Ingest Template'!W794</f>
        <v/>
      </c>
      <c r="U795" s="25"/>
      <c r="V795" s="25" t="str">
        <f>LOWER(SUBSTITUTE(SUBSTITUTE(SUBSTITUTE(SUBSTITUTE(SUBSTITUTE('Ingest Template'!Y794,"https:",""),"www.",""),"/",""),"?hl=en",""),"instagram.com",""))</f>
        <v/>
      </c>
      <c r="W795" s="34" t="str">
        <f>(IFERROR(vlookup('Ingest Template'!F795,DropDown!D:E,2,false)&amp;'Ingest Template'!C795,""))</f>
        <v/>
      </c>
      <c r="X795" s="25" t="str">
        <f>'Ingest Template'!AA794</f>
        <v/>
      </c>
      <c r="Y795" s="25"/>
      <c r="Z795" s="25"/>
      <c r="AA795" s="25"/>
      <c r="AB795" s="25" t="str">
        <f>'Ingest Template'!T794</f>
        <v/>
      </c>
      <c r="AC795" s="25"/>
      <c r="AD795" s="25" t="str">
        <f>'Ingest Template'!U794</f>
        <v/>
      </c>
      <c r="AE795" s="25" t="str">
        <f>'Ingest Template'!V794</f>
        <v/>
      </c>
      <c r="AF795" s="25"/>
      <c r="AG795" s="25" t="str">
        <f t="array" ref="AG795">IF('Ingest Template'!A794="Standard",(CONCATENATE(IF(ISBLANK('Ingest Template'!O794),"", 'Ingest Template'!O794&amp;"|DAR"),CHAR(10), IF(ISBLANK('Ingest Template'!P794),"", 'Ingest Template'!P794&amp;"|DAR"),CHAR(10), IF(ISBLANK('Ingest Template'!Q794),"", 'Ingest Template'!Q794&amp;"|DAR"))),(CONCATENATE(IF(ISBLANK('Ingest Template'!O794),"", 'Ingest Template'!O794&amp;"|Operations - Core Title"),CHAR(10), IF(ISBLANK('Ingest Template'!P794),"", 'Ingest Template'!P794&amp;"|Operations - Core Title"),CHAR(10), IF(ISBLANK('Ingest Template'!Q794),"", 'Ingest Template'!Q794&amp;"|Operations - Core Title"))))</f>
        <v>#|Operations - Core Title
#videoGame|Operations - Core Title
</v>
      </c>
      <c r="AH795" s="25"/>
      <c r="AI795" s="25"/>
      <c r="AJ795" s="50" t="str">
        <f>if('Ingest Template'!A794="Standard",'Ingest Template'!R794&amp; "|DAR|DAR|2021-01-01",'Ingest Template'!R794&amp; "|Operations - Core Title|Operations - Core Title")</f>
        <v>#N/A</v>
      </c>
      <c r="AK795" s="25"/>
      <c r="AL795" s="25" t="str">
        <f>if('Ingest Template'!A794="Standard",'Ingest Template'!S794&amp; "|2021-01-01",'Ingest Template'!S794)</f>
        <v>#N/A</v>
      </c>
      <c r="AM795" s="25"/>
    </row>
    <row r="796">
      <c r="A796" s="25"/>
      <c r="B796" s="25" t="str">
        <f>'Ingest Template'!C795&amp;IF('Ingest Template'!A795 = "Standard", " - DAR","")</f>
        <v/>
      </c>
      <c r="C796" s="34" t="s">
        <v>92</v>
      </c>
      <c r="D796" s="34" t="str">
        <f>CONCATENATE('Ingest Template'!E796&amp;Char(10)&amp;'Ingest Template'!G796&amp;Char(10)&amp;'Ingest Template'!H796&amp;Char(10)&amp;'Ingest Template'!I796&amp;Char(10)&amp;'Ingest Template'!J796&amp;Char(10)&amp;'Ingest Template'!K796&amp;Char(10)&amp;'Ingest Template'!L796)</f>
        <v>
</v>
      </c>
      <c r="E796" s="25" t="str">
        <f>('Ingest Template'!M796)</f>
        <v/>
      </c>
      <c r="F796" s="40" t="str">
        <f t="array" ref="F796">INDEX(DropDown!$J$2:$J$63,MATCH(1,COUNTIF(E796,DropDown!$I$2:$I$63),0))</f>
        <v>#N/A</v>
      </c>
      <c r="G796" s="25"/>
      <c r="H796" s="25"/>
      <c r="I796" s="25"/>
      <c r="J796" s="25" t="str">
        <f>'Ingest Template'!B796</f>
        <v/>
      </c>
      <c r="K796" s="25" t="str">
        <f>IF('Ingest Template'!A795="Standard",'Ingest Template'!N795,"Competitive View")</f>
        <v>Competitive View</v>
      </c>
      <c r="L796" s="41" t="s">
        <v>145</v>
      </c>
      <c r="M796" s="25" t="str">
        <f>'Ingest Template'!D795</f>
        <v/>
      </c>
      <c r="N796" s="25"/>
      <c r="O796" s="25"/>
      <c r="P796" s="25"/>
      <c r="Q796" s="25"/>
      <c r="R796" s="25" t="str">
        <f>CONCATENATE('Ingest Template'!F795)</f>
        <v/>
      </c>
      <c r="S796" s="43" t="s">
        <v>160</v>
      </c>
      <c r="T796" s="25" t="str">
        <f>'Ingest Template'!W795</f>
        <v/>
      </c>
      <c r="U796" s="25"/>
      <c r="V796" s="25" t="str">
        <f>LOWER(SUBSTITUTE(SUBSTITUTE(SUBSTITUTE(SUBSTITUTE(SUBSTITUTE('Ingest Template'!Y795,"https:",""),"www.",""),"/",""),"?hl=en",""),"instagram.com",""))</f>
        <v/>
      </c>
      <c r="W796" s="34" t="str">
        <f>(IFERROR(vlookup('Ingest Template'!F796,DropDown!D:E,2,false)&amp;'Ingest Template'!C796,""))</f>
        <v/>
      </c>
      <c r="X796" s="25" t="str">
        <f>'Ingest Template'!AA795</f>
        <v/>
      </c>
      <c r="Y796" s="25"/>
      <c r="Z796" s="25"/>
      <c r="AA796" s="25"/>
      <c r="AB796" s="25" t="str">
        <f>'Ingest Template'!T795</f>
        <v/>
      </c>
      <c r="AC796" s="25"/>
      <c r="AD796" s="25" t="str">
        <f>'Ingest Template'!U795</f>
        <v/>
      </c>
      <c r="AE796" s="25" t="str">
        <f>'Ingest Template'!V795</f>
        <v/>
      </c>
      <c r="AF796" s="25"/>
      <c r="AG796" s="25" t="str">
        <f t="array" ref="AG796">IF('Ingest Template'!A795="Standard",(CONCATENATE(IF(ISBLANK('Ingest Template'!O795),"", 'Ingest Template'!O795&amp;"|DAR"),CHAR(10), IF(ISBLANK('Ingest Template'!P795),"", 'Ingest Template'!P795&amp;"|DAR"),CHAR(10), IF(ISBLANK('Ingest Template'!Q795),"", 'Ingest Template'!Q795&amp;"|DAR"))),(CONCATENATE(IF(ISBLANK('Ingest Template'!O795),"", 'Ingest Template'!O795&amp;"|Operations - Core Title"),CHAR(10), IF(ISBLANK('Ingest Template'!P795),"", 'Ingest Template'!P795&amp;"|Operations - Core Title"),CHAR(10), IF(ISBLANK('Ingest Template'!Q795),"", 'Ingest Template'!Q795&amp;"|Operations - Core Title"))))</f>
        <v>#|Operations - Core Title
#videoGame|Operations - Core Title
</v>
      </c>
      <c r="AH796" s="25"/>
      <c r="AI796" s="25"/>
      <c r="AJ796" s="50" t="str">
        <f>if('Ingest Template'!A795="Standard",'Ingest Template'!R795&amp; "|DAR|DAR|2021-01-01",'Ingest Template'!R795&amp; "|Operations - Core Title|Operations - Core Title")</f>
        <v>#N/A</v>
      </c>
      <c r="AK796" s="25"/>
      <c r="AL796" s="25" t="str">
        <f>if('Ingest Template'!A795="Standard",'Ingest Template'!S795&amp; "|2021-01-01",'Ingest Template'!S795)</f>
        <v>#N/A</v>
      </c>
      <c r="AM796" s="25"/>
    </row>
    <row r="797">
      <c r="A797" s="25"/>
      <c r="B797" s="25" t="str">
        <f>'Ingest Template'!C796&amp;IF('Ingest Template'!A796 = "Standard", " - DAR","")</f>
        <v/>
      </c>
      <c r="C797" s="34" t="s">
        <v>92</v>
      </c>
      <c r="D797" s="34" t="str">
        <f>CONCATENATE('Ingest Template'!E797&amp;Char(10)&amp;'Ingest Template'!G797&amp;Char(10)&amp;'Ingest Template'!H797&amp;Char(10)&amp;'Ingest Template'!I797&amp;Char(10)&amp;'Ingest Template'!J797&amp;Char(10)&amp;'Ingest Template'!K797&amp;Char(10)&amp;'Ingest Template'!L797)</f>
        <v>
</v>
      </c>
      <c r="E797" s="25" t="str">
        <f>('Ingest Template'!M797)</f>
        <v/>
      </c>
      <c r="F797" s="40" t="str">
        <f t="array" ref="F797">INDEX(DropDown!$J$2:$J$63,MATCH(1,COUNTIF(E797,DropDown!$I$2:$I$63),0))</f>
        <v>#N/A</v>
      </c>
      <c r="G797" s="25"/>
      <c r="H797" s="25"/>
      <c r="I797" s="25"/>
      <c r="J797" s="25" t="str">
        <f>'Ingest Template'!B797</f>
        <v/>
      </c>
      <c r="K797" s="25" t="str">
        <f>IF('Ingest Template'!A796="Standard",'Ingest Template'!N796,"Competitive View")</f>
        <v>Competitive View</v>
      </c>
      <c r="L797" s="41" t="s">
        <v>145</v>
      </c>
      <c r="M797" s="25" t="str">
        <f>'Ingest Template'!D796</f>
        <v/>
      </c>
      <c r="N797" s="25"/>
      <c r="O797" s="25"/>
      <c r="P797" s="25"/>
      <c r="Q797" s="25"/>
      <c r="R797" s="25" t="str">
        <f>CONCATENATE('Ingest Template'!F796)</f>
        <v/>
      </c>
      <c r="S797" s="43" t="s">
        <v>160</v>
      </c>
      <c r="T797" s="25" t="str">
        <f>'Ingest Template'!W796</f>
        <v/>
      </c>
      <c r="U797" s="25"/>
      <c r="V797" s="25" t="str">
        <f>LOWER(SUBSTITUTE(SUBSTITUTE(SUBSTITUTE(SUBSTITUTE(SUBSTITUTE('Ingest Template'!Y796,"https:",""),"www.",""),"/",""),"?hl=en",""),"instagram.com",""))</f>
        <v/>
      </c>
      <c r="W797" s="34" t="str">
        <f>(IFERROR(vlookup('Ingest Template'!F797,DropDown!D:E,2,false)&amp;'Ingest Template'!C797,""))</f>
        <v/>
      </c>
      <c r="X797" s="25" t="str">
        <f>'Ingest Template'!AA796</f>
        <v/>
      </c>
      <c r="Y797" s="25"/>
      <c r="Z797" s="25"/>
      <c r="AA797" s="25"/>
      <c r="AB797" s="25" t="str">
        <f>'Ingest Template'!T796</f>
        <v/>
      </c>
      <c r="AC797" s="25"/>
      <c r="AD797" s="25" t="str">
        <f>'Ingest Template'!U796</f>
        <v/>
      </c>
      <c r="AE797" s="25" t="str">
        <f>'Ingest Template'!V796</f>
        <v/>
      </c>
      <c r="AF797" s="25"/>
      <c r="AG797" s="25" t="str">
        <f t="array" ref="AG797">IF('Ingest Template'!A796="Standard",(CONCATENATE(IF(ISBLANK('Ingest Template'!O796),"", 'Ingest Template'!O796&amp;"|DAR"),CHAR(10), IF(ISBLANK('Ingest Template'!P796),"", 'Ingest Template'!P796&amp;"|DAR"),CHAR(10), IF(ISBLANK('Ingest Template'!Q796),"", 'Ingest Template'!Q796&amp;"|DAR"))),(CONCATENATE(IF(ISBLANK('Ingest Template'!O796),"", 'Ingest Template'!O796&amp;"|Operations - Core Title"),CHAR(10), IF(ISBLANK('Ingest Template'!P796),"", 'Ingest Template'!P796&amp;"|Operations - Core Title"),CHAR(10), IF(ISBLANK('Ingest Template'!Q796),"", 'Ingest Template'!Q796&amp;"|Operations - Core Title"))))</f>
        <v>#|Operations - Core Title
#videoGame|Operations - Core Title
</v>
      </c>
      <c r="AH797" s="25"/>
      <c r="AI797" s="25"/>
      <c r="AJ797" s="50" t="str">
        <f>if('Ingest Template'!A796="Standard",'Ingest Template'!R796&amp; "|DAR|DAR|2021-01-01",'Ingest Template'!R796&amp; "|Operations - Core Title|Operations - Core Title")</f>
        <v>#N/A</v>
      </c>
      <c r="AK797" s="25"/>
      <c r="AL797" s="25" t="str">
        <f>if('Ingest Template'!A796="Standard",'Ingest Template'!S796&amp; "|2021-01-01",'Ingest Template'!S796)</f>
        <v>#N/A</v>
      </c>
      <c r="AM797" s="25"/>
    </row>
    <row r="798">
      <c r="A798" s="25"/>
      <c r="B798" s="25" t="str">
        <f>'Ingest Template'!C797&amp;IF('Ingest Template'!A797 = "Standard", " - DAR","")</f>
        <v/>
      </c>
      <c r="C798" s="34" t="s">
        <v>92</v>
      </c>
      <c r="D798" s="34" t="str">
        <f>CONCATENATE('Ingest Template'!E798&amp;Char(10)&amp;'Ingest Template'!G798&amp;Char(10)&amp;'Ingest Template'!H798&amp;Char(10)&amp;'Ingest Template'!I798&amp;Char(10)&amp;'Ingest Template'!J798&amp;Char(10)&amp;'Ingest Template'!K798&amp;Char(10)&amp;'Ingest Template'!L798)</f>
        <v>
</v>
      </c>
      <c r="E798" s="25" t="str">
        <f>('Ingest Template'!M798)</f>
        <v/>
      </c>
      <c r="F798" s="40" t="str">
        <f t="array" ref="F798">INDEX(DropDown!$J$2:$J$63,MATCH(1,COUNTIF(E798,DropDown!$I$2:$I$63),0))</f>
        <v>#N/A</v>
      </c>
      <c r="G798" s="25"/>
      <c r="H798" s="25"/>
      <c r="I798" s="25"/>
      <c r="J798" s="25" t="str">
        <f>'Ingest Template'!B798</f>
        <v/>
      </c>
      <c r="K798" s="25" t="str">
        <f>IF('Ingest Template'!A797="Standard",'Ingest Template'!N797,"Competitive View")</f>
        <v>Competitive View</v>
      </c>
      <c r="L798" s="41" t="s">
        <v>145</v>
      </c>
      <c r="M798" s="25" t="str">
        <f>'Ingest Template'!D797</f>
        <v/>
      </c>
      <c r="N798" s="25"/>
      <c r="O798" s="25"/>
      <c r="P798" s="25"/>
      <c r="Q798" s="25"/>
      <c r="R798" s="25" t="str">
        <f>CONCATENATE('Ingest Template'!F797)</f>
        <v/>
      </c>
      <c r="S798" s="43" t="s">
        <v>160</v>
      </c>
      <c r="T798" s="25" t="str">
        <f>'Ingest Template'!W797</f>
        <v/>
      </c>
      <c r="U798" s="25"/>
      <c r="V798" s="25" t="str">
        <f>LOWER(SUBSTITUTE(SUBSTITUTE(SUBSTITUTE(SUBSTITUTE(SUBSTITUTE('Ingest Template'!Y797,"https:",""),"www.",""),"/",""),"?hl=en",""),"instagram.com",""))</f>
        <v/>
      </c>
      <c r="W798" s="34" t="str">
        <f>(IFERROR(vlookup('Ingest Template'!F798,DropDown!D:E,2,false)&amp;'Ingest Template'!C798,""))</f>
        <v/>
      </c>
      <c r="X798" s="25" t="str">
        <f>'Ingest Template'!AA797</f>
        <v/>
      </c>
      <c r="Y798" s="25"/>
      <c r="Z798" s="25"/>
      <c r="AA798" s="25"/>
      <c r="AB798" s="25" t="str">
        <f>'Ingest Template'!T797</f>
        <v/>
      </c>
      <c r="AC798" s="25"/>
      <c r="AD798" s="25" t="str">
        <f>'Ingest Template'!U797</f>
        <v/>
      </c>
      <c r="AE798" s="25" t="str">
        <f>'Ingest Template'!V797</f>
        <v/>
      </c>
      <c r="AF798" s="25"/>
      <c r="AG798" s="25" t="str">
        <f t="array" ref="AG798">IF('Ingest Template'!A797="Standard",(CONCATENATE(IF(ISBLANK('Ingest Template'!O797),"", 'Ingest Template'!O797&amp;"|DAR"),CHAR(10), IF(ISBLANK('Ingest Template'!P797),"", 'Ingest Template'!P797&amp;"|DAR"),CHAR(10), IF(ISBLANK('Ingest Template'!Q797),"", 'Ingest Template'!Q797&amp;"|DAR"))),(CONCATENATE(IF(ISBLANK('Ingest Template'!O797),"", 'Ingest Template'!O797&amp;"|Operations - Core Title"),CHAR(10), IF(ISBLANK('Ingest Template'!P797),"", 'Ingest Template'!P797&amp;"|Operations - Core Title"),CHAR(10), IF(ISBLANK('Ingest Template'!Q797),"", 'Ingest Template'!Q797&amp;"|Operations - Core Title"))))</f>
        <v>#|Operations - Core Title
#videoGame|Operations - Core Title
</v>
      </c>
      <c r="AH798" s="25"/>
      <c r="AI798" s="25"/>
      <c r="AJ798" s="50" t="str">
        <f>if('Ingest Template'!A797="Standard",'Ingest Template'!R797&amp; "|DAR|DAR|2021-01-01",'Ingest Template'!R797&amp; "|Operations - Core Title|Operations - Core Title")</f>
        <v>#N/A</v>
      </c>
      <c r="AK798" s="25"/>
      <c r="AL798" s="25" t="str">
        <f>if('Ingest Template'!A797="Standard",'Ingest Template'!S797&amp; "|2021-01-01",'Ingest Template'!S797)</f>
        <v>#N/A</v>
      </c>
      <c r="AM798" s="25"/>
    </row>
    <row r="799">
      <c r="A799" s="25"/>
      <c r="B799" s="25" t="str">
        <f>'Ingest Template'!C798&amp;IF('Ingest Template'!A798 = "Standard", " - DAR","")</f>
        <v/>
      </c>
      <c r="C799" s="34" t="s">
        <v>92</v>
      </c>
      <c r="D799" s="34" t="str">
        <f>CONCATENATE('Ingest Template'!E799&amp;Char(10)&amp;'Ingest Template'!G799&amp;Char(10)&amp;'Ingest Template'!H799&amp;Char(10)&amp;'Ingest Template'!I799&amp;Char(10)&amp;'Ingest Template'!J799&amp;Char(10)&amp;'Ingest Template'!K799&amp;Char(10)&amp;'Ingest Template'!L799)</f>
        <v>
</v>
      </c>
      <c r="E799" s="25" t="str">
        <f>('Ingest Template'!M799)</f>
        <v/>
      </c>
      <c r="F799" s="40" t="str">
        <f t="array" ref="F799">INDEX(DropDown!$J$2:$J$63,MATCH(1,COUNTIF(E799,DropDown!$I$2:$I$63),0))</f>
        <v>#N/A</v>
      </c>
      <c r="G799" s="25"/>
      <c r="H799" s="25"/>
      <c r="I799" s="25"/>
      <c r="J799" s="25" t="str">
        <f>'Ingest Template'!B799</f>
        <v/>
      </c>
      <c r="K799" s="25" t="str">
        <f>IF('Ingest Template'!A798="Standard",'Ingest Template'!N798,"Competitive View")</f>
        <v>Competitive View</v>
      </c>
      <c r="L799" s="41" t="s">
        <v>145</v>
      </c>
      <c r="M799" s="25" t="str">
        <f>'Ingest Template'!D798</f>
        <v/>
      </c>
      <c r="N799" s="25"/>
      <c r="O799" s="25"/>
      <c r="P799" s="25"/>
      <c r="Q799" s="25"/>
      <c r="R799" s="25" t="str">
        <f>CONCATENATE('Ingest Template'!F798)</f>
        <v/>
      </c>
      <c r="S799" s="43" t="s">
        <v>160</v>
      </c>
      <c r="T799" s="25" t="str">
        <f>'Ingest Template'!W798</f>
        <v/>
      </c>
      <c r="U799" s="25"/>
      <c r="V799" s="25" t="str">
        <f>LOWER(SUBSTITUTE(SUBSTITUTE(SUBSTITUTE(SUBSTITUTE(SUBSTITUTE('Ingest Template'!Y798,"https:",""),"www.",""),"/",""),"?hl=en",""),"instagram.com",""))</f>
        <v/>
      </c>
      <c r="W799" s="34" t="str">
        <f>(IFERROR(vlookup('Ingest Template'!F799,DropDown!D:E,2,false)&amp;'Ingest Template'!C799,""))</f>
        <v/>
      </c>
      <c r="X799" s="25" t="str">
        <f>'Ingest Template'!AA798</f>
        <v/>
      </c>
      <c r="Y799" s="25"/>
      <c r="Z799" s="25"/>
      <c r="AA799" s="25"/>
      <c r="AB799" s="25" t="str">
        <f>'Ingest Template'!T798</f>
        <v/>
      </c>
      <c r="AC799" s="25"/>
      <c r="AD799" s="25" t="str">
        <f>'Ingest Template'!U798</f>
        <v/>
      </c>
      <c r="AE799" s="25" t="str">
        <f>'Ingest Template'!V798</f>
        <v/>
      </c>
      <c r="AF799" s="25"/>
      <c r="AG799" s="25" t="str">
        <f t="array" ref="AG799">IF('Ingest Template'!A798="Standard",(CONCATENATE(IF(ISBLANK('Ingest Template'!O798),"", 'Ingest Template'!O798&amp;"|DAR"),CHAR(10), IF(ISBLANK('Ingest Template'!P798),"", 'Ingest Template'!P798&amp;"|DAR"),CHAR(10), IF(ISBLANK('Ingest Template'!Q798),"", 'Ingest Template'!Q798&amp;"|DAR"))),(CONCATENATE(IF(ISBLANK('Ingest Template'!O798),"", 'Ingest Template'!O798&amp;"|Operations - Core Title"),CHAR(10), IF(ISBLANK('Ingest Template'!P798),"", 'Ingest Template'!P798&amp;"|Operations - Core Title"),CHAR(10), IF(ISBLANK('Ingest Template'!Q798),"", 'Ingest Template'!Q798&amp;"|Operations - Core Title"))))</f>
        <v>#|Operations - Core Title
#videoGame|Operations - Core Title
</v>
      </c>
      <c r="AH799" s="25"/>
      <c r="AI799" s="25"/>
      <c r="AJ799" s="50" t="str">
        <f>if('Ingest Template'!A798="Standard",'Ingest Template'!R798&amp; "|DAR|DAR|2021-01-01",'Ingest Template'!R798&amp; "|Operations - Core Title|Operations - Core Title")</f>
        <v>#N/A</v>
      </c>
      <c r="AK799" s="25"/>
      <c r="AL799" s="25" t="str">
        <f>if('Ingest Template'!A798="Standard",'Ingest Template'!S798&amp; "|2021-01-01",'Ingest Template'!S798)</f>
        <v>#N/A</v>
      </c>
      <c r="AM799" s="25"/>
    </row>
    <row r="800">
      <c r="A800" s="25"/>
      <c r="B800" s="25" t="str">
        <f>'Ingest Template'!C799&amp;IF('Ingest Template'!A799 = "Standard", " - DAR","")</f>
        <v/>
      </c>
      <c r="C800" s="34" t="s">
        <v>92</v>
      </c>
      <c r="D800" s="34" t="str">
        <f>CONCATENATE('Ingest Template'!E800&amp;Char(10)&amp;'Ingest Template'!G800&amp;Char(10)&amp;'Ingest Template'!H800&amp;Char(10)&amp;'Ingest Template'!I800&amp;Char(10)&amp;'Ingest Template'!J800&amp;Char(10)&amp;'Ingest Template'!K800&amp;Char(10)&amp;'Ingest Template'!L800)</f>
        <v>
</v>
      </c>
      <c r="E800" s="25" t="str">
        <f>('Ingest Template'!M800)</f>
        <v/>
      </c>
      <c r="F800" s="40" t="str">
        <f t="array" ref="F800">INDEX(DropDown!$J$2:$J$63,MATCH(1,COUNTIF(E800,DropDown!$I$2:$I$63),0))</f>
        <v>#N/A</v>
      </c>
      <c r="G800" s="25"/>
      <c r="H800" s="25"/>
      <c r="I800" s="25"/>
      <c r="J800" s="25" t="str">
        <f>'Ingest Template'!B800</f>
        <v/>
      </c>
      <c r="K800" s="25" t="str">
        <f>IF('Ingest Template'!A799="Standard",'Ingest Template'!N799,"Competitive View")</f>
        <v>Competitive View</v>
      </c>
      <c r="L800" s="41" t="s">
        <v>145</v>
      </c>
      <c r="M800" s="25" t="str">
        <f>'Ingest Template'!D799</f>
        <v/>
      </c>
      <c r="N800" s="25"/>
      <c r="O800" s="25"/>
      <c r="P800" s="25"/>
      <c r="Q800" s="25"/>
      <c r="R800" s="25" t="str">
        <f>CONCATENATE('Ingest Template'!F799)</f>
        <v/>
      </c>
      <c r="S800" s="43" t="s">
        <v>160</v>
      </c>
      <c r="T800" s="25" t="str">
        <f>'Ingest Template'!W799</f>
        <v/>
      </c>
      <c r="U800" s="25"/>
      <c r="V800" s="25" t="str">
        <f>LOWER(SUBSTITUTE(SUBSTITUTE(SUBSTITUTE(SUBSTITUTE(SUBSTITUTE('Ingest Template'!Y799,"https:",""),"www.",""),"/",""),"?hl=en",""),"instagram.com",""))</f>
        <v/>
      </c>
      <c r="W800" s="34" t="str">
        <f>(IFERROR(vlookup('Ingest Template'!F800,DropDown!D:E,2,false)&amp;'Ingest Template'!C800,""))</f>
        <v/>
      </c>
      <c r="X800" s="25" t="str">
        <f>'Ingest Template'!AA799</f>
        <v/>
      </c>
      <c r="Y800" s="25"/>
      <c r="Z800" s="25"/>
      <c r="AA800" s="25"/>
      <c r="AB800" s="25" t="str">
        <f>'Ingest Template'!T799</f>
        <v/>
      </c>
      <c r="AC800" s="25"/>
      <c r="AD800" s="25" t="str">
        <f>'Ingest Template'!U799</f>
        <v/>
      </c>
      <c r="AE800" s="25" t="str">
        <f>'Ingest Template'!V799</f>
        <v/>
      </c>
      <c r="AF800" s="25"/>
      <c r="AG800" s="25" t="str">
        <f t="array" ref="AG800">IF('Ingest Template'!A799="Standard",(CONCATENATE(IF(ISBLANK('Ingest Template'!O799),"", 'Ingest Template'!O799&amp;"|DAR"),CHAR(10), IF(ISBLANK('Ingest Template'!P799),"", 'Ingest Template'!P799&amp;"|DAR"),CHAR(10), IF(ISBLANK('Ingest Template'!Q799),"", 'Ingest Template'!Q799&amp;"|DAR"))),(CONCATENATE(IF(ISBLANK('Ingest Template'!O799),"", 'Ingest Template'!O799&amp;"|Operations - Core Title"),CHAR(10), IF(ISBLANK('Ingest Template'!P799),"", 'Ingest Template'!P799&amp;"|Operations - Core Title"),CHAR(10), IF(ISBLANK('Ingest Template'!Q799),"", 'Ingest Template'!Q799&amp;"|Operations - Core Title"))))</f>
        <v>#|Operations - Core Title
#videoGame|Operations - Core Title
</v>
      </c>
      <c r="AH800" s="25"/>
      <c r="AI800" s="25"/>
      <c r="AJ800" s="50" t="str">
        <f>if('Ingest Template'!A799="Standard",'Ingest Template'!R799&amp; "|DAR|DAR|2021-01-01",'Ingest Template'!R799&amp; "|Operations - Core Title|Operations - Core Title")</f>
        <v>#N/A</v>
      </c>
      <c r="AK800" s="25"/>
      <c r="AL800" s="25" t="str">
        <f>if('Ingest Template'!A799="Standard",'Ingest Template'!S799&amp; "|2021-01-01",'Ingest Template'!S799)</f>
        <v>#N/A</v>
      </c>
      <c r="AM800" s="25"/>
    </row>
    <row r="801">
      <c r="A801" s="25"/>
      <c r="B801" s="25" t="str">
        <f>'Ingest Template'!C800&amp;IF('Ingest Template'!A800 = "Standard", " - DAR","")</f>
        <v/>
      </c>
      <c r="C801" s="34" t="s">
        <v>92</v>
      </c>
      <c r="D801" s="34" t="str">
        <f>CONCATENATE('Ingest Template'!E801&amp;Char(10)&amp;'Ingest Template'!G801&amp;Char(10)&amp;'Ingest Template'!H801&amp;Char(10)&amp;'Ingest Template'!I801&amp;Char(10)&amp;'Ingest Template'!J801&amp;Char(10)&amp;'Ingest Template'!K801&amp;Char(10)&amp;'Ingest Template'!L801)</f>
        <v>
</v>
      </c>
      <c r="E801" s="25" t="str">
        <f>('Ingest Template'!M801)</f>
        <v/>
      </c>
      <c r="F801" s="40" t="str">
        <f t="array" ref="F801">INDEX(DropDown!$J$2:$J$63,MATCH(1,COUNTIF(E801,DropDown!$I$2:$I$63),0))</f>
        <v>#N/A</v>
      </c>
      <c r="G801" s="25"/>
      <c r="H801" s="25"/>
      <c r="I801" s="25"/>
      <c r="J801" s="25" t="str">
        <f>'Ingest Template'!B801</f>
        <v/>
      </c>
      <c r="K801" s="25" t="str">
        <f>IF('Ingest Template'!A800="Standard",'Ingest Template'!N800,"Competitive View")</f>
        <v>Competitive View</v>
      </c>
      <c r="L801" s="41" t="s">
        <v>145</v>
      </c>
      <c r="M801" s="25" t="str">
        <f>'Ingest Template'!D800</f>
        <v/>
      </c>
      <c r="N801" s="25"/>
      <c r="O801" s="25"/>
      <c r="P801" s="25"/>
      <c r="Q801" s="25"/>
      <c r="R801" s="25" t="str">
        <f>CONCATENATE('Ingest Template'!F800)</f>
        <v/>
      </c>
      <c r="S801" s="43" t="s">
        <v>160</v>
      </c>
      <c r="T801" s="25" t="str">
        <f>'Ingest Template'!W800</f>
        <v/>
      </c>
      <c r="U801" s="25"/>
      <c r="V801" s="25" t="str">
        <f>LOWER(SUBSTITUTE(SUBSTITUTE(SUBSTITUTE(SUBSTITUTE(SUBSTITUTE('Ingest Template'!Y800,"https:",""),"www.",""),"/",""),"?hl=en",""),"instagram.com",""))</f>
        <v/>
      </c>
      <c r="W801" s="34" t="str">
        <f>(IFERROR(vlookup('Ingest Template'!F801,DropDown!D:E,2,false)&amp;'Ingest Template'!C801,""))</f>
        <v/>
      </c>
      <c r="X801" s="25" t="str">
        <f>'Ingest Template'!AA800</f>
        <v/>
      </c>
      <c r="Y801" s="25"/>
      <c r="Z801" s="25"/>
      <c r="AA801" s="25"/>
      <c r="AB801" s="25" t="str">
        <f>'Ingest Template'!T800</f>
        <v/>
      </c>
      <c r="AC801" s="25"/>
      <c r="AD801" s="25" t="str">
        <f>'Ingest Template'!U800</f>
        <v/>
      </c>
      <c r="AE801" s="25" t="str">
        <f>'Ingest Template'!V800</f>
        <v/>
      </c>
      <c r="AF801" s="25"/>
      <c r="AG801" s="25" t="str">
        <f t="array" ref="AG801">IF('Ingest Template'!A800="Standard",(CONCATENATE(IF(ISBLANK('Ingest Template'!O800),"", 'Ingest Template'!O800&amp;"|DAR"),CHAR(10), IF(ISBLANK('Ingest Template'!P800),"", 'Ingest Template'!P800&amp;"|DAR"),CHAR(10), IF(ISBLANK('Ingest Template'!Q800),"", 'Ingest Template'!Q800&amp;"|DAR"))),(CONCATENATE(IF(ISBLANK('Ingest Template'!O800),"", 'Ingest Template'!O800&amp;"|Operations - Core Title"),CHAR(10), IF(ISBLANK('Ingest Template'!P800),"", 'Ingest Template'!P800&amp;"|Operations - Core Title"),CHAR(10), IF(ISBLANK('Ingest Template'!Q800),"", 'Ingest Template'!Q800&amp;"|Operations - Core Title"))))</f>
        <v>#|Operations - Core Title
#videoGame|Operations - Core Title
</v>
      </c>
      <c r="AH801" s="25"/>
      <c r="AI801" s="25"/>
      <c r="AJ801" s="50" t="str">
        <f>if('Ingest Template'!A800="Standard",'Ingest Template'!R800&amp; "|DAR|DAR|2021-01-01",'Ingest Template'!R800&amp; "|Operations - Core Title|Operations - Core Title")</f>
        <v>#N/A</v>
      </c>
      <c r="AK801" s="25"/>
      <c r="AL801" s="25" t="str">
        <f>if('Ingest Template'!A800="Standard",'Ingest Template'!S800&amp; "|2021-01-01",'Ingest Template'!S800)</f>
        <v>#N/A</v>
      </c>
      <c r="AM801" s="25"/>
    </row>
    <row r="802">
      <c r="A802" s="25"/>
      <c r="B802" s="25" t="str">
        <f>'Ingest Template'!C801&amp;IF('Ingest Template'!A801 = "Standard", " - DAR","")</f>
        <v/>
      </c>
      <c r="C802" s="34" t="s">
        <v>92</v>
      </c>
      <c r="D802" s="34" t="str">
        <f>CONCATENATE('Ingest Template'!E802&amp;Char(10)&amp;'Ingest Template'!G802&amp;Char(10)&amp;'Ingest Template'!H802&amp;Char(10)&amp;'Ingest Template'!I802&amp;Char(10)&amp;'Ingest Template'!J802&amp;Char(10)&amp;'Ingest Template'!K802&amp;Char(10)&amp;'Ingest Template'!L802)</f>
        <v>
</v>
      </c>
      <c r="E802" s="25" t="str">
        <f>('Ingest Template'!M802)</f>
        <v/>
      </c>
      <c r="F802" s="40" t="str">
        <f t="array" ref="F802">INDEX(DropDown!$J$2:$J$63,MATCH(1,COUNTIF(E802,DropDown!$I$2:$I$63),0))</f>
        <v>#N/A</v>
      </c>
      <c r="G802" s="25"/>
      <c r="H802" s="25"/>
      <c r="I802" s="25"/>
      <c r="J802" s="25" t="str">
        <f>'Ingest Template'!B802</f>
        <v/>
      </c>
      <c r="K802" s="25" t="str">
        <f>IF('Ingest Template'!A801="Standard",'Ingest Template'!N801,"Competitive View")</f>
        <v>Competitive View</v>
      </c>
      <c r="L802" s="41" t="s">
        <v>145</v>
      </c>
      <c r="M802" s="25" t="str">
        <f>'Ingest Template'!D801</f>
        <v/>
      </c>
      <c r="N802" s="25"/>
      <c r="O802" s="25"/>
      <c r="P802" s="25"/>
      <c r="Q802" s="25"/>
      <c r="R802" s="25" t="str">
        <f>CONCATENATE('Ingest Template'!F801)</f>
        <v/>
      </c>
      <c r="S802" s="43" t="s">
        <v>160</v>
      </c>
      <c r="T802" s="25" t="str">
        <f>'Ingest Template'!W801</f>
        <v/>
      </c>
      <c r="U802" s="25"/>
      <c r="V802" s="25" t="str">
        <f>LOWER(SUBSTITUTE(SUBSTITUTE(SUBSTITUTE(SUBSTITUTE(SUBSTITUTE('Ingest Template'!Y801,"https:",""),"www.",""),"/",""),"?hl=en",""),"instagram.com",""))</f>
        <v/>
      </c>
      <c r="W802" s="34" t="str">
        <f>(IFERROR(vlookup('Ingest Template'!F802,DropDown!D:E,2,false)&amp;'Ingest Template'!C802,""))</f>
        <v/>
      </c>
      <c r="X802" s="25" t="str">
        <f>'Ingest Template'!AA801</f>
        <v/>
      </c>
      <c r="Y802" s="25"/>
      <c r="Z802" s="25"/>
      <c r="AA802" s="25"/>
      <c r="AB802" s="25" t="str">
        <f>'Ingest Template'!T801</f>
        <v/>
      </c>
      <c r="AC802" s="25"/>
      <c r="AD802" s="25" t="str">
        <f>'Ingest Template'!U801</f>
        <v/>
      </c>
      <c r="AE802" s="25" t="str">
        <f>'Ingest Template'!V801</f>
        <v/>
      </c>
      <c r="AF802" s="25"/>
      <c r="AG802" s="25" t="str">
        <f t="array" ref="AG802">IF('Ingest Template'!A801="Standard",(CONCATENATE(IF(ISBLANK('Ingest Template'!O801),"", 'Ingest Template'!O801&amp;"|DAR"),CHAR(10), IF(ISBLANK('Ingest Template'!P801),"", 'Ingest Template'!P801&amp;"|DAR"),CHAR(10), IF(ISBLANK('Ingest Template'!Q801),"", 'Ingest Template'!Q801&amp;"|DAR"))),(CONCATENATE(IF(ISBLANK('Ingest Template'!O801),"", 'Ingest Template'!O801&amp;"|Operations - Core Title"),CHAR(10), IF(ISBLANK('Ingest Template'!P801),"", 'Ingest Template'!P801&amp;"|Operations - Core Title"),CHAR(10), IF(ISBLANK('Ingest Template'!Q801),"", 'Ingest Template'!Q801&amp;"|Operations - Core Title"))))</f>
        <v>#|Operations - Core Title
#videoGame|Operations - Core Title
</v>
      </c>
      <c r="AH802" s="25"/>
      <c r="AI802" s="25"/>
      <c r="AJ802" s="50" t="str">
        <f>if('Ingest Template'!A801="Standard",'Ingest Template'!R801&amp; "|DAR|DAR|2021-01-01",'Ingest Template'!R801&amp; "|Operations - Core Title|Operations - Core Title")</f>
        <v>#N/A</v>
      </c>
      <c r="AK802" s="25"/>
      <c r="AL802" s="25" t="str">
        <f>if('Ingest Template'!A801="Standard",'Ingest Template'!S801&amp; "|2021-01-01",'Ingest Template'!S801)</f>
        <v>#N/A</v>
      </c>
      <c r="AM802" s="25"/>
    </row>
    <row r="803">
      <c r="A803" s="25"/>
      <c r="B803" s="25" t="str">
        <f>'Ingest Template'!C802&amp;IF('Ingest Template'!A802 = "Standard", " - DAR","")</f>
        <v/>
      </c>
      <c r="C803" s="34" t="s">
        <v>92</v>
      </c>
      <c r="D803" s="34" t="str">
        <f>CONCATENATE('Ingest Template'!E803&amp;Char(10)&amp;'Ingest Template'!G803&amp;Char(10)&amp;'Ingest Template'!H803&amp;Char(10)&amp;'Ingest Template'!I803&amp;Char(10)&amp;'Ingest Template'!J803&amp;Char(10)&amp;'Ingest Template'!K803&amp;Char(10)&amp;'Ingest Template'!L803)</f>
        <v>
</v>
      </c>
      <c r="E803" s="25" t="str">
        <f>('Ingest Template'!M803)</f>
        <v/>
      </c>
      <c r="F803" s="40" t="str">
        <f t="array" ref="F803">INDEX(DropDown!$J$2:$J$63,MATCH(1,COUNTIF(E803,DropDown!$I$2:$I$63),0))</f>
        <v>#N/A</v>
      </c>
      <c r="G803" s="25"/>
      <c r="H803" s="25"/>
      <c r="I803" s="25"/>
      <c r="J803" s="25" t="str">
        <f>'Ingest Template'!B803</f>
        <v/>
      </c>
      <c r="K803" s="25" t="str">
        <f>IF('Ingest Template'!A802="Standard",'Ingest Template'!N802,"Competitive View")</f>
        <v>Competitive View</v>
      </c>
      <c r="L803" s="41" t="s">
        <v>145</v>
      </c>
      <c r="M803" s="25" t="str">
        <f>'Ingest Template'!D802</f>
        <v/>
      </c>
      <c r="N803" s="25"/>
      <c r="O803" s="25"/>
      <c r="P803" s="25"/>
      <c r="Q803" s="25"/>
      <c r="R803" s="25" t="str">
        <f>CONCATENATE('Ingest Template'!F802)</f>
        <v/>
      </c>
      <c r="S803" s="43" t="s">
        <v>160</v>
      </c>
      <c r="T803" s="25" t="str">
        <f>'Ingest Template'!W802</f>
        <v/>
      </c>
      <c r="U803" s="25"/>
      <c r="V803" s="25" t="str">
        <f>LOWER(SUBSTITUTE(SUBSTITUTE(SUBSTITUTE(SUBSTITUTE(SUBSTITUTE('Ingest Template'!Y802,"https:",""),"www.",""),"/",""),"?hl=en",""),"instagram.com",""))</f>
        <v/>
      </c>
      <c r="W803" s="34" t="str">
        <f>(IFERROR(vlookup('Ingest Template'!F803,DropDown!D:E,2,false)&amp;'Ingest Template'!C803,""))</f>
        <v/>
      </c>
      <c r="X803" s="25" t="str">
        <f>'Ingest Template'!AA802</f>
        <v/>
      </c>
      <c r="Y803" s="25"/>
      <c r="Z803" s="25"/>
      <c r="AA803" s="25"/>
      <c r="AB803" s="25" t="str">
        <f>'Ingest Template'!T802</f>
        <v/>
      </c>
      <c r="AC803" s="25"/>
      <c r="AD803" s="25" t="str">
        <f>'Ingest Template'!U802</f>
        <v/>
      </c>
      <c r="AE803" s="25" t="str">
        <f>'Ingest Template'!V802</f>
        <v/>
      </c>
      <c r="AF803" s="25"/>
      <c r="AG803" s="25" t="str">
        <f t="array" ref="AG803">IF('Ingest Template'!A802="Standard",(CONCATENATE(IF(ISBLANK('Ingest Template'!O802),"", 'Ingest Template'!O802&amp;"|DAR"),CHAR(10), IF(ISBLANK('Ingest Template'!P802),"", 'Ingest Template'!P802&amp;"|DAR"),CHAR(10), IF(ISBLANK('Ingest Template'!Q802),"", 'Ingest Template'!Q802&amp;"|DAR"))),(CONCATENATE(IF(ISBLANK('Ingest Template'!O802),"", 'Ingest Template'!O802&amp;"|Operations - Core Title"),CHAR(10), IF(ISBLANK('Ingest Template'!P802),"", 'Ingest Template'!P802&amp;"|Operations - Core Title"),CHAR(10), IF(ISBLANK('Ingest Template'!Q802),"", 'Ingest Template'!Q802&amp;"|Operations - Core Title"))))</f>
        <v>#|Operations - Core Title
#videoGame|Operations - Core Title
</v>
      </c>
      <c r="AH803" s="25"/>
      <c r="AI803" s="25"/>
      <c r="AJ803" s="50" t="str">
        <f>if('Ingest Template'!A802="Standard",'Ingest Template'!R802&amp; "|DAR|DAR|2021-01-01",'Ingest Template'!R802&amp; "|Operations - Core Title|Operations - Core Title")</f>
        <v>#N/A</v>
      </c>
      <c r="AK803" s="25"/>
      <c r="AL803" s="25" t="str">
        <f>if('Ingest Template'!A802="Standard",'Ingest Template'!S802&amp; "|2021-01-01",'Ingest Template'!S802)</f>
        <v>#N/A</v>
      </c>
      <c r="AM803" s="25"/>
    </row>
    <row r="804">
      <c r="A804" s="25"/>
      <c r="B804" s="25" t="str">
        <f>'Ingest Template'!C803&amp;IF('Ingest Template'!A803 = "Standard", " - DAR","")</f>
        <v/>
      </c>
      <c r="C804" s="34" t="s">
        <v>92</v>
      </c>
      <c r="D804" s="34" t="str">
        <f>CONCATENATE('Ingest Template'!E804&amp;Char(10)&amp;'Ingest Template'!G804&amp;Char(10)&amp;'Ingest Template'!H804&amp;Char(10)&amp;'Ingest Template'!I804&amp;Char(10)&amp;'Ingest Template'!J804&amp;Char(10)&amp;'Ingest Template'!K804&amp;Char(10)&amp;'Ingest Template'!L804)</f>
        <v>
</v>
      </c>
      <c r="E804" s="25" t="str">
        <f>('Ingest Template'!M804)</f>
        <v/>
      </c>
      <c r="F804" s="40" t="str">
        <f t="array" ref="F804">INDEX(DropDown!$J$2:$J$63,MATCH(1,COUNTIF(E804,DropDown!$I$2:$I$63),0))</f>
        <v>#N/A</v>
      </c>
      <c r="G804" s="25"/>
      <c r="H804" s="25"/>
      <c r="I804" s="25"/>
      <c r="J804" s="25" t="str">
        <f>'Ingest Template'!B804</f>
        <v/>
      </c>
      <c r="K804" s="25" t="str">
        <f>IF('Ingest Template'!A803="Standard",'Ingest Template'!N803,"Competitive View")</f>
        <v>Competitive View</v>
      </c>
      <c r="L804" s="41" t="s">
        <v>145</v>
      </c>
      <c r="M804" s="25" t="str">
        <f>'Ingest Template'!D803</f>
        <v/>
      </c>
      <c r="N804" s="25"/>
      <c r="O804" s="25"/>
      <c r="P804" s="25"/>
      <c r="Q804" s="25"/>
      <c r="R804" s="25" t="str">
        <f>CONCATENATE('Ingest Template'!F803)</f>
        <v/>
      </c>
      <c r="S804" s="43" t="s">
        <v>160</v>
      </c>
      <c r="T804" s="25" t="str">
        <f>'Ingest Template'!W803</f>
        <v/>
      </c>
      <c r="U804" s="25"/>
      <c r="V804" s="25" t="str">
        <f>LOWER(SUBSTITUTE(SUBSTITUTE(SUBSTITUTE(SUBSTITUTE(SUBSTITUTE('Ingest Template'!Y803,"https:",""),"www.",""),"/",""),"?hl=en",""),"instagram.com",""))</f>
        <v/>
      </c>
      <c r="W804" s="34" t="str">
        <f>(IFERROR(vlookup('Ingest Template'!F804,DropDown!D:E,2,false)&amp;'Ingest Template'!C804,""))</f>
        <v/>
      </c>
      <c r="X804" s="25" t="str">
        <f>'Ingest Template'!AA803</f>
        <v/>
      </c>
      <c r="Y804" s="25"/>
      <c r="Z804" s="25"/>
      <c r="AA804" s="25"/>
      <c r="AB804" s="25" t="str">
        <f>'Ingest Template'!T803</f>
        <v/>
      </c>
      <c r="AC804" s="25"/>
      <c r="AD804" s="25" t="str">
        <f>'Ingest Template'!U803</f>
        <v/>
      </c>
      <c r="AE804" s="25" t="str">
        <f>'Ingest Template'!V803</f>
        <v/>
      </c>
      <c r="AF804" s="25"/>
      <c r="AG804" s="25" t="str">
        <f t="array" ref="AG804">IF('Ingest Template'!A803="Standard",(CONCATENATE(IF(ISBLANK('Ingest Template'!O803),"", 'Ingest Template'!O803&amp;"|DAR"),CHAR(10), IF(ISBLANK('Ingest Template'!P803),"", 'Ingest Template'!P803&amp;"|DAR"),CHAR(10), IF(ISBLANK('Ingest Template'!Q803),"", 'Ingest Template'!Q803&amp;"|DAR"))),(CONCATENATE(IF(ISBLANK('Ingest Template'!O803),"", 'Ingest Template'!O803&amp;"|Operations - Core Title"),CHAR(10), IF(ISBLANK('Ingest Template'!P803),"", 'Ingest Template'!P803&amp;"|Operations - Core Title"),CHAR(10), IF(ISBLANK('Ingest Template'!Q803),"", 'Ingest Template'!Q803&amp;"|Operations - Core Title"))))</f>
        <v>#|Operations - Core Title
#videoGame|Operations - Core Title
</v>
      </c>
      <c r="AH804" s="25"/>
      <c r="AI804" s="25"/>
      <c r="AJ804" s="50" t="str">
        <f>if('Ingest Template'!A803="Standard",'Ingest Template'!R803&amp; "|DAR|DAR|2021-01-01",'Ingest Template'!R803&amp; "|Operations - Core Title|Operations - Core Title")</f>
        <v>#N/A</v>
      </c>
      <c r="AK804" s="25"/>
      <c r="AL804" s="25" t="str">
        <f>if('Ingest Template'!A803="Standard",'Ingest Template'!S803&amp; "|2021-01-01",'Ingest Template'!S803)</f>
        <v>#N/A</v>
      </c>
      <c r="AM804" s="25"/>
    </row>
    <row r="805">
      <c r="A805" s="25"/>
      <c r="B805" s="25" t="str">
        <f>'Ingest Template'!C804&amp;IF('Ingest Template'!A804 = "Standard", " - DAR","")</f>
        <v/>
      </c>
      <c r="C805" s="34" t="s">
        <v>92</v>
      </c>
      <c r="D805" s="34" t="str">
        <f>CONCATENATE('Ingest Template'!E805&amp;Char(10)&amp;'Ingest Template'!G805&amp;Char(10)&amp;'Ingest Template'!H805&amp;Char(10)&amp;'Ingest Template'!I805&amp;Char(10)&amp;'Ingest Template'!J805&amp;Char(10)&amp;'Ingest Template'!K805&amp;Char(10)&amp;'Ingest Template'!L805)</f>
        <v>
</v>
      </c>
      <c r="E805" s="25" t="str">
        <f>('Ingest Template'!M805)</f>
        <v/>
      </c>
      <c r="F805" s="40" t="str">
        <f t="array" ref="F805">INDEX(DropDown!$J$2:$J$63,MATCH(1,COUNTIF(E805,DropDown!$I$2:$I$63),0))</f>
        <v>#N/A</v>
      </c>
      <c r="G805" s="25"/>
      <c r="H805" s="25"/>
      <c r="I805" s="25"/>
      <c r="J805" s="25" t="str">
        <f>'Ingest Template'!B805</f>
        <v/>
      </c>
      <c r="K805" s="25" t="str">
        <f>IF('Ingest Template'!A804="Standard",'Ingest Template'!N804,"Competitive View")</f>
        <v>Competitive View</v>
      </c>
      <c r="L805" s="41" t="s">
        <v>145</v>
      </c>
      <c r="M805" s="25" t="str">
        <f>'Ingest Template'!D804</f>
        <v/>
      </c>
      <c r="N805" s="25"/>
      <c r="O805" s="25"/>
      <c r="P805" s="25"/>
      <c r="Q805" s="25"/>
      <c r="R805" s="25" t="str">
        <f>CONCATENATE('Ingest Template'!F804)</f>
        <v/>
      </c>
      <c r="S805" s="43" t="s">
        <v>160</v>
      </c>
      <c r="T805" s="25" t="str">
        <f>'Ingest Template'!W804</f>
        <v/>
      </c>
      <c r="U805" s="25"/>
      <c r="V805" s="25" t="str">
        <f>LOWER(SUBSTITUTE(SUBSTITUTE(SUBSTITUTE(SUBSTITUTE(SUBSTITUTE('Ingest Template'!Y804,"https:",""),"www.",""),"/",""),"?hl=en",""),"instagram.com",""))</f>
        <v/>
      </c>
      <c r="W805" s="34" t="str">
        <f>(IFERROR(vlookup('Ingest Template'!F805,DropDown!D:E,2,false)&amp;'Ingest Template'!C805,""))</f>
        <v/>
      </c>
      <c r="X805" s="25" t="str">
        <f>'Ingest Template'!AA804</f>
        <v/>
      </c>
      <c r="Y805" s="25"/>
      <c r="Z805" s="25"/>
      <c r="AA805" s="25"/>
      <c r="AB805" s="25" t="str">
        <f>'Ingest Template'!T804</f>
        <v/>
      </c>
      <c r="AC805" s="25"/>
      <c r="AD805" s="25" t="str">
        <f>'Ingest Template'!U804</f>
        <v/>
      </c>
      <c r="AE805" s="25" t="str">
        <f>'Ingest Template'!V804</f>
        <v/>
      </c>
      <c r="AF805" s="25"/>
      <c r="AG805" s="25" t="str">
        <f t="array" ref="AG805">IF('Ingest Template'!A804="Standard",(CONCATENATE(IF(ISBLANK('Ingest Template'!O804),"", 'Ingest Template'!O804&amp;"|DAR"),CHAR(10), IF(ISBLANK('Ingest Template'!P804),"", 'Ingest Template'!P804&amp;"|DAR"),CHAR(10), IF(ISBLANK('Ingest Template'!Q804),"", 'Ingest Template'!Q804&amp;"|DAR"))),(CONCATENATE(IF(ISBLANK('Ingest Template'!O804),"", 'Ingest Template'!O804&amp;"|Operations - Core Title"),CHAR(10), IF(ISBLANK('Ingest Template'!P804),"", 'Ingest Template'!P804&amp;"|Operations - Core Title"),CHAR(10), IF(ISBLANK('Ingest Template'!Q804),"", 'Ingest Template'!Q804&amp;"|Operations - Core Title"))))</f>
        <v>#|Operations - Core Title
#videoGame|Operations - Core Title
</v>
      </c>
      <c r="AH805" s="25"/>
      <c r="AI805" s="25"/>
      <c r="AJ805" s="50" t="str">
        <f>if('Ingest Template'!A804="Standard",'Ingest Template'!R804&amp; "|DAR|DAR|2021-01-01",'Ingest Template'!R804&amp; "|Operations - Core Title|Operations - Core Title")</f>
        <v>#N/A</v>
      </c>
      <c r="AK805" s="25"/>
      <c r="AL805" s="25" t="str">
        <f>if('Ingest Template'!A804="Standard",'Ingest Template'!S804&amp; "|2021-01-01",'Ingest Template'!S804)</f>
        <v>#N/A</v>
      </c>
      <c r="AM805" s="25"/>
    </row>
    <row r="806">
      <c r="A806" s="25"/>
      <c r="B806" s="25" t="str">
        <f>'Ingest Template'!C805&amp;IF('Ingest Template'!A805 = "Standard", " - DAR","")</f>
        <v/>
      </c>
      <c r="C806" s="34" t="s">
        <v>92</v>
      </c>
      <c r="D806" s="34" t="str">
        <f>CONCATENATE('Ingest Template'!E806&amp;Char(10)&amp;'Ingest Template'!G806&amp;Char(10)&amp;'Ingest Template'!H806&amp;Char(10)&amp;'Ingest Template'!I806&amp;Char(10)&amp;'Ingest Template'!J806&amp;Char(10)&amp;'Ingest Template'!K806&amp;Char(10)&amp;'Ingest Template'!L806)</f>
        <v>
</v>
      </c>
      <c r="E806" s="25" t="str">
        <f>('Ingest Template'!M806)</f>
        <v/>
      </c>
      <c r="F806" s="40" t="str">
        <f t="array" ref="F806">INDEX(DropDown!$J$2:$J$63,MATCH(1,COUNTIF(E806,DropDown!$I$2:$I$63),0))</f>
        <v>#N/A</v>
      </c>
      <c r="G806" s="25"/>
      <c r="H806" s="25"/>
      <c r="I806" s="25"/>
      <c r="J806" s="25" t="str">
        <f>'Ingest Template'!B806</f>
        <v/>
      </c>
      <c r="K806" s="25" t="str">
        <f>IF('Ingest Template'!A805="Standard",'Ingest Template'!N805,"Competitive View")</f>
        <v>Competitive View</v>
      </c>
      <c r="L806" s="41" t="s">
        <v>145</v>
      </c>
      <c r="M806" s="25" t="str">
        <f>'Ingest Template'!D805</f>
        <v/>
      </c>
      <c r="N806" s="25"/>
      <c r="O806" s="25"/>
      <c r="P806" s="25"/>
      <c r="Q806" s="25"/>
      <c r="R806" s="25" t="str">
        <f>CONCATENATE('Ingest Template'!F805)</f>
        <v/>
      </c>
      <c r="S806" s="43" t="s">
        <v>160</v>
      </c>
      <c r="T806" s="25" t="str">
        <f>'Ingest Template'!W805</f>
        <v/>
      </c>
      <c r="U806" s="25"/>
      <c r="V806" s="25" t="str">
        <f>LOWER(SUBSTITUTE(SUBSTITUTE(SUBSTITUTE(SUBSTITUTE(SUBSTITUTE('Ingest Template'!Y805,"https:",""),"www.",""),"/",""),"?hl=en",""),"instagram.com",""))</f>
        <v/>
      </c>
      <c r="W806" s="34" t="str">
        <f>(IFERROR(vlookup('Ingest Template'!F806,DropDown!D:E,2,false)&amp;'Ingest Template'!C806,""))</f>
        <v/>
      </c>
      <c r="X806" s="25" t="str">
        <f>'Ingest Template'!AA805</f>
        <v/>
      </c>
      <c r="Y806" s="25"/>
      <c r="Z806" s="25"/>
      <c r="AA806" s="25"/>
      <c r="AB806" s="25" t="str">
        <f>'Ingest Template'!T805</f>
        <v/>
      </c>
      <c r="AC806" s="25"/>
      <c r="AD806" s="25" t="str">
        <f>'Ingest Template'!U805</f>
        <v/>
      </c>
      <c r="AE806" s="25" t="str">
        <f>'Ingest Template'!V805</f>
        <v/>
      </c>
      <c r="AF806" s="25"/>
      <c r="AG806" s="25" t="str">
        <f t="array" ref="AG806">IF('Ingest Template'!A805="Standard",(CONCATENATE(IF(ISBLANK('Ingest Template'!O805),"", 'Ingest Template'!O805&amp;"|DAR"),CHAR(10), IF(ISBLANK('Ingest Template'!P805),"", 'Ingest Template'!P805&amp;"|DAR"),CHAR(10), IF(ISBLANK('Ingest Template'!Q805),"", 'Ingest Template'!Q805&amp;"|DAR"))),(CONCATENATE(IF(ISBLANK('Ingest Template'!O805),"", 'Ingest Template'!O805&amp;"|Operations - Core Title"),CHAR(10), IF(ISBLANK('Ingest Template'!P805),"", 'Ingest Template'!P805&amp;"|Operations - Core Title"),CHAR(10), IF(ISBLANK('Ingest Template'!Q805),"", 'Ingest Template'!Q805&amp;"|Operations - Core Title"))))</f>
        <v>#|Operations - Core Title
#videoGame|Operations - Core Title
</v>
      </c>
      <c r="AH806" s="25"/>
      <c r="AI806" s="25"/>
      <c r="AJ806" s="50" t="str">
        <f>if('Ingest Template'!A805="Standard",'Ingest Template'!R805&amp; "|DAR|DAR|2021-01-01",'Ingest Template'!R805&amp; "|Operations - Core Title|Operations - Core Title")</f>
        <v>#N/A</v>
      </c>
      <c r="AK806" s="25"/>
      <c r="AL806" s="25" t="str">
        <f>if('Ingest Template'!A805="Standard",'Ingest Template'!S805&amp; "|2021-01-01",'Ingest Template'!S805)</f>
        <v>#N/A</v>
      </c>
      <c r="AM806" s="25"/>
    </row>
    <row r="807">
      <c r="A807" s="25"/>
      <c r="B807" s="25" t="str">
        <f>'Ingest Template'!C806&amp;IF('Ingest Template'!A806 = "Standard", " - DAR","")</f>
        <v/>
      </c>
      <c r="C807" s="34" t="s">
        <v>92</v>
      </c>
      <c r="D807" s="34" t="str">
        <f>CONCATENATE('Ingest Template'!E807&amp;Char(10)&amp;'Ingest Template'!G807&amp;Char(10)&amp;'Ingest Template'!H807&amp;Char(10)&amp;'Ingest Template'!I807&amp;Char(10)&amp;'Ingest Template'!J807&amp;Char(10)&amp;'Ingest Template'!K807&amp;Char(10)&amp;'Ingest Template'!L807)</f>
        <v>
</v>
      </c>
      <c r="E807" s="25" t="str">
        <f>('Ingest Template'!M807)</f>
        <v/>
      </c>
      <c r="F807" s="40" t="str">
        <f t="array" ref="F807">INDEX(DropDown!$J$2:$J$63,MATCH(1,COUNTIF(E807,DropDown!$I$2:$I$63),0))</f>
        <v>#N/A</v>
      </c>
      <c r="G807" s="25"/>
      <c r="H807" s="25"/>
      <c r="I807" s="25"/>
      <c r="J807" s="25" t="str">
        <f>'Ingest Template'!B807</f>
        <v/>
      </c>
      <c r="K807" s="25" t="str">
        <f>IF('Ingest Template'!A806="Standard",'Ingest Template'!N806,"Competitive View")</f>
        <v>Competitive View</v>
      </c>
      <c r="L807" s="41" t="s">
        <v>145</v>
      </c>
      <c r="M807" s="25" t="str">
        <f>'Ingest Template'!D806</f>
        <v/>
      </c>
      <c r="N807" s="25"/>
      <c r="O807" s="25"/>
      <c r="P807" s="25"/>
      <c r="Q807" s="25"/>
      <c r="R807" s="25" t="str">
        <f>CONCATENATE('Ingest Template'!F806)</f>
        <v/>
      </c>
      <c r="S807" s="43" t="s">
        <v>160</v>
      </c>
      <c r="T807" s="25" t="str">
        <f>'Ingest Template'!W806</f>
        <v/>
      </c>
      <c r="U807" s="25"/>
      <c r="V807" s="25" t="str">
        <f>LOWER(SUBSTITUTE(SUBSTITUTE(SUBSTITUTE(SUBSTITUTE(SUBSTITUTE('Ingest Template'!Y806,"https:",""),"www.",""),"/",""),"?hl=en",""),"instagram.com",""))</f>
        <v/>
      </c>
      <c r="W807" s="34" t="str">
        <f>(IFERROR(vlookup('Ingest Template'!F807,DropDown!D:E,2,false)&amp;'Ingest Template'!C807,""))</f>
        <v/>
      </c>
      <c r="X807" s="25" t="str">
        <f>'Ingest Template'!AA806</f>
        <v/>
      </c>
      <c r="Y807" s="25"/>
      <c r="Z807" s="25"/>
      <c r="AA807" s="25"/>
      <c r="AB807" s="25" t="str">
        <f>'Ingest Template'!T806</f>
        <v/>
      </c>
      <c r="AC807" s="25"/>
      <c r="AD807" s="25" t="str">
        <f>'Ingest Template'!U806</f>
        <v/>
      </c>
      <c r="AE807" s="25" t="str">
        <f>'Ingest Template'!V806</f>
        <v/>
      </c>
      <c r="AF807" s="25"/>
      <c r="AG807" s="25" t="str">
        <f t="array" ref="AG807">IF('Ingest Template'!A806="Standard",(CONCATENATE(IF(ISBLANK('Ingest Template'!O806),"", 'Ingest Template'!O806&amp;"|DAR"),CHAR(10), IF(ISBLANK('Ingest Template'!P806),"", 'Ingest Template'!P806&amp;"|DAR"),CHAR(10), IF(ISBLANK('Ingest Template'!Q806),"", 'Ingest Template'!Q806&amp;"|DAR"))),(CONCATENATE(IF(ISBLANK('Ingest Template'!O806),"", 'Ingest Template'!O806&amp;"|Operations - Core Title"),CHAR(10), IF(ISBLANK('Ingest Template'!P806),"", 'Ingest Template'!P806&amp;"|Operations - Core Title"),CHAR(10), IF(ISBLANK('Ingest Template'!Q806),"", 'Ingest Template'!Q806&amp;"|Operations - Core Title"))))</f>
        <v>#|Operations - Core Title
#videoGame|Operations - Core Title
</v>
      </c>
      <c r="AH807" s="25"/>
      <c r="AI807" s="25"/>
      <c r="AJ807" s="50" t="str">
        <f>if('Ingest Template'!A806="Standard",'Ingest Template'!R806&amp; "|DAR|DAR|2021-01-01",'Ingest Template'!R806&amp; "|Operations - Core Title|Operations - Core Title")</f>
        <v>#N/A</v>
      </c>
      <c r="AK807" s="25"/>
      <c r="AL807" s="25" t="str">
        <f>if('Ingest Template'!A806="Standard",'Ingest Template'!S806&amp; "|2021-01-01",'Ingest Template'!S806)</f>
        <v>#N/A</v>
      </c>
      <c r="AM807" s="25"/>
    </row>
    <row r="808">
      <c r="A808" s="25"/>
      <c r="B808" s="25" t="str">
        <f>'Ingest Template'!C807&amp;IF('Ingest Template'!A807 = "Standard", " - DAR","")</f>
        <v/>
      </c>
      <c r="C808" s="34" t="s">
        <v>92</v>
      </c>
      <c r="D808" s="34" t="str">
        <f>CONCATENATE('Ingest Template'!E808&amp;Char(10)&amp;'Ingest Template'!G808&amp;Char(10)&amp;'Ingest Template'!H808&amp;Char(10)&amp;'Ingest Template'!I808&amp;Char(10)&amp;'Ingest Template'!J808&amp;Char(10)&amp;'Ingest Template'!K808&amp;Char(10)&amp;'Ingest Template'!L808)</f>
        <v>
</v>
      </c>
      <c r="E808" s="25" t="str">
        <f>('Ingest Template'!M808)</f>
        <v/>
      </c>
      <c r="F808" s="40" t="str">
        <f t="array" ref="F808">INDEX(DropDown!$J$2:$J$63,MATCH(1,COUNTIF(E808,DropDown!$I$2:$I$63),0))</f>
        <v>#N/A</v>
      </c>
      <c r="G808" s="25"/>
      <c r="H808" s="25"/>
      <c r="I808" s="25"/>
      <c r="J808" s="25" t="str">
        <f>'Ingest Template'!B808</f>
        <v/>
      </c>
      <c r="K808" s="25" t="str">
        <f>IF('Ingest Template'!A807="Standard",'Ingest Template'!N807,"Competitive View")</f>
        <v>Competitive View</v>
      </c>
      <c r="L808" s="41" t="s">
        <v>145</v>
      </c>
      <c r="M808" s="25" t="str">
        <f>'Ingest Template'!D807</f>
        <v/>
      </c>
      <c r="N808" s="25"/>
      <c r="O808" s="25"/>
      <c r="P808" s="25"/>
      <c r="Q808" s="25"/>
      <c r="R808" s="25" t="str">
        <f>CONCATENATE('Ingest Template'!F807)</f>
        <v/>
      </c>
      <c r="S808" s="43" t="s">
        <v>160</v>
      </c>
      <c r="T808" s="25" t="str">
        <f>'Ingest Template'!W807</f>
        <v/>
      </c>
      <c r="U808" s="25"/>
      <c r="V808" s="25" t="str">
        <f>LOWER(SUBSTITUTE(SUBSTITUTE(SUBSTITUTE(SUBSTITUTE(SUBSTITUTE('Ingest Template'!Y807,"https:",""),"www.",""),"/",""),"?hl=en",""),"instagram.com",""))</f>
        <v/>
      </c>
      <c r="W808" s="34" t="str">
        <f>(IFERROR(vlookup('Ingest Template'!F808,DropDown!D:E,2,false)&amp;'Ingest Template'!C808,""))</f>
        <v/>
      </c>
      <c r="X808" s="25" t="str">
        <f>'Ingest Template'!AA807</f>
        <v/>
      </c>
      <c r="Y808" s="25"/>
      <c r="Z808" s="25"/>
      <c r="AA808" s="25"/>
      <c r="AB808" s="25" t="str">
        <f>'Ingest Template'!T807</f>
        <v/>
      </c>
      <c r="AC808" s="25"/>
      <c r="AD808" s="25" t="str">
        <f>'Ingest Template'!U807</f>
        <v/>
      </c>
      <c r="AE808" s="25" t="str">
        <f>'Ingest Template'!V807</f>
        <v/>
      </c>
      <c r="AF808" s="25"/>
      <c r="AG808" s="25" t="str">
        <f t="array" ref="AG808">IF('Ingest Template'!A807="Standard",(CONCATENATE(IF(ISBLANK('Ingest Template'!O807),"", 'Ingest Template'!O807&amp;"|DAR"),CHAR(10), IF(ISBLANK('Ingest Template'!P807),"", 'Ingest Template'!P807&amp;"|DAR"),CHAR(10), IF(ISBLANK('Ingest Template'!Q807),"", 'Ingest Template'!Q807&amp;"|DAR"))),(CONCATENATE(IF(ISBLANK('Ingest Template'!O807),"", 'Ingest Template'!O807&amp;"|Operations - Core Title"),CHAR(10), IF(ISBLANK('Ingest Template'!P807),"", 'Ingest Template'!P807&amp;"|Operations - Core Title"),CHAR(10), IF(ISBLANK('Ingest Template'!Q807),"", 'Ingest Template'!Q807&amp;"|Operations - Core Title"))))</f>
        <v>#|Operations - Core Title
#videoGame|Operations - Core Title
</v>
      </c>
      <c r="AH808" s="25"/>
      <c r="AI808" s="25"/>
      <c r="AJ808" s="50" t="str">
        <f>if('Ingest Template'!A807="Standard",'Ingest Template'!R807&amp; "|DAR|DAR|2021-01-01",'Ingest Template'!R807&amp; "|Operations - Core Title|Operations - Core Title")</f>
        <v>#N/A</v>
      </c>
      <c r="AK808" s="25"/>
      <c r="AL808" s="25" t="str">
        <f>if('Ingest Template'!A807="Standard",'Ingest Template'!S807&amp; "|2021-01-01",'Ingest Template'!S807)</f>
        <v>#N/A</v>
      </c>
      <c r="AM808" s="25"/>
    </row>
    <row r="809">
      <c r="A809" s="25"/>
      <c r="B809" s="25" t="str">
        <f>'Ingest Template'!C808&amp;IF('Ingest Template'!A808 = "Standard", " - DAR","")</f>
        <v/>
      </c>
      <c r="C809" s="34" t="s">
        <v>92</v>
      </c>
      <c r="D809" s="34" t="str">
        <f>CONCATENATE('Ingest Template'!E809&amp;Char(10)&amp;'Ingest Template'!G809&amp;Char(10)&amp;'Ingest Template'!H809&amp;Char(10)&amp;'Ingest Template'!I809&amp;Char(10)&amp;'Ingest Template'!J809&amp;Char(10)&amp;'Ingest Template'!K809&amp;Char(10)&amp;'Ingest Template'!L809)</f>
        <v>
</v>
      </c>
      <c r="E809" s="25" t="str">
        <f>('Ingest Template'!M809)</f>
        <v/>
      </c>
      <c r="F809" s="40" t="str">
        <f t="array" ref="F809">INDEX(DropDown!$J$2:$J$63,MATCH(1,COUNTIF(E809,DropDown!$I$2:$I$63),0))</f>
        <v>#N/A</v>
      </c>
      <c r="G809" s="25"/>
      <c r="H809" s="25"/>
      <c r="I809" s="25"/>
      <c r="J809" s="25" t="str">
        <f>'Ingest Template'!B809</f>
        <v/>
      </c>
      <c r="K809" s="25" t="str">
        <f>IF('Ingest Template'!A808="Standard",'Ingest Template'!N808,"Competitive View")</f>
        <v>Competitive View</v>
      </c>
      <c r="L809" s="41" t="s">
        <v>145</v>
      </c>
      <c r="M809" s="25" t="str">
        <f>'Ingest Template'!D808</f>
        <v/>
      </c>
      <c r="N809" s="25"/>
      <c r="O809" s="25"/>
      <c r="P809" s="25"/>
      <c r="Q809" s="25"/>
      <c r="R809" s="25" t="str">
        <f>CONCATENATE('Ingest Template'!F808)</f>
        <v/>
      </c>
      <c r="S809" s="43" t="s">
        <v>160</v>
      </c>
      <c r="T809" s="25" t="str">
        <f>'Ingest Template'!W808</f>
        <v/>
      </c>
      <c r="U809" s="25"/>
      <c r="V809" s="25" t="str">
        <f>LOWER(SUBSTITUTE(SUBSTITUTE(SUBSTITUTE(SUBSTITUTE(SUBSTITUTE('Ingest Template'!Y808,"https:",""),"www.",""),"/",""),"?hl=en",""),"instagram.com",""))</f>
        <v/>
      </c>
      <c r="W809" s="34" t="str">
        <f>(IFERROR(vlookup('Ingest Template'!F809,DropDown!D:E,2,false)&amp;'Ingest Template'!C809,""))</f>
        <v/>
      </c>
      <c r="X809" s="25" t="str">
        <f>'Ingest Template'!AA808</f>
        <v/>
      </c>
      <c r="Y809" s="25"/>
      <c r="Z809" s="25"/>
      <c r="AA809" s="25"/>
      <c r="AB809" s="25" t="str">
        <f>'Ingest Template'!T808</f>
        <v/>
      </c>
      <c r="AC809" s="25"/>
      <c r="AD809" s="25" t="str">
        <f>'Ingest Template'!U808</f>
        <v/>
      </c>
      <c r="AE809" s="25" t="str">
        <f>'Ingest Template'!V808</f>
        <v/>
      </c>
      <c r="AF809" s="25"/>
      <c r="AG809" s="25" t="str">
        <f t="array" ref="AG809">IF('Ingest Template'!A808="Standard",(CONCATENATE(IF(ISBLANK('Ingest Template'!O808),"", 'Ingest Template'!O808&amp;"|DAR"),CHAR(10), IF(ISBLANK('Ingest Template'!P808),"", 'Ingest Template'!P808&amp;"|DAR"),CHAR(10), IF(ISBLANK('Ingest Template'!Q808),"", 'Ingest Template'!Q808&amp;"|DAR"))),(CONCATENATE(IF(ISBLANK('Ingest Template'!O808),"", 'Ingest Template'!O808&amp;"|Operations - Core Title"),CHAR(10), IF(ISBLANK('Ingest Template'!P808),"", 'Ingest Template'!P808&amp;"|Operations - Core Title"),CHAR(10), IF(ISBLANK('Ingest Template'!Q808),"", 'Ingest Template'!Q808&amp;"|Operations - Core Title"))))</f>
        <v>#|Operations - Core Title
#videoGame|Operations - Core Title
</v>
      </c>
      <c r="AH809" s="25"/>
      <c r="AI809" s="25"/>
      <c r="AJ809" s="50" t="str">
        <f>if('Ingest Template'!A808="Standard",'Ingest Template'!R808&amp; "|DAR|DAR|2021-01-01",'Ingest Template'!R808&amp; "|Operations - Core Title|Operations - Core Title")</f>
        <v>#N/A</v>
      </c>
      <c r="AK809" s="25"/>
      <c r="AL809" s="25" t="str">
        <f>if('Ingest Template'!A808="Standard",'Ingest Template'!S808&amp; "|2021-01-01",'Ingest Template'!S808)</f>
        <v>#N/A</v>
      </c>
      <c r="AM809" s="25"/>
    </row>
    <row r="810">
      <c r="A810" s="25"/>
      <c r="B810" s="25" t="str">
        <f>'Ingest Template'!C809&amp;IF('Ingest Template'!A809 = "Standard", " - DAR","")</f>
        <v/>
      </c>
      <c r="C810" s="34" t="s">
        <v>92</v>
      </c>
      <c r="D810" s="34" t="str">
        <f>CONCATENATE('Ingest Template'!E810&amp;Char(10)&amp;'Ingest Template'!G810&amp;Char(10)&amp;'Ingest Template'!H810&amp;Char(10)&amp;'Ingest Template'!I810&amp;Char(10)&amp;'Ingest Template'!J810&amp;Char(10)&amp;'Ingest Template'!K810&amp;Char(10)&amp;'Ingest Template'!L810)</f>
        <v>
</v>
      </c>
      <c r="E810" s="25" t="str">
        <f>('Ingest Template'!M810)</f>
        <v/>
      </c>
      <c r="F810" s="40" t="str">
        <f t="array" ref="F810">INDEX(DropDown!$J$2:$J$63,MATCH(1,COUNTIF(E810,DropDown!$I$2:$I$63),0))</f>
        <v>#N/A</v>
      </c>
      <c r="G810" s="25"/>
      <c r="H810" s="25"/>
      <c r="I810" s="25"/>
      <c r="J810" s="25" t="str">
        <f>'Ingest Template'!B810</f>
        <v/>
      </c>
      <c r="K810" s="25" t="str">
        <f>IF('Ingest Template'!A809="Standard",'Ingest Template'!N809,"Competitive View")</f>
        <v>Competitive View</v>
      </c>
      <c r="L810" s="41" t="s">
        <v>145</v>
      </c>
      <c r="M810" s="25" t="str">
        <f>'Ingest Template'!D809</f>
        <v/>
      </c>
      <c r="N810" s="25"/>
      <c r="O810" s="25"/>
      <c r="P810" s="25"/>
      <c r="Q810" s="25"/>
      <c r="R810" s="25" t="str">
        <f>CONCATENATE('Ingest Template'!F809)</f>
        <v/>
      </c>
      <c r="S810" s="43" t="s">
        <v>160</v>
      </c>
      <c r="T810" s="25" t="str">
        <f>'Ingest Template'!W809</f>
        <v/>
      </c>
      <c r="U810" s="25"/>
      <c r="V810" s="25" t="str">
        <f>LOWER(SUBSTITUTE(SUBSTITUTE(SUBSTITUTE(SUBSTITUTE(SUBSTITUTE('Ingest Template'!Y809,"https:",""),"www.",""),"/",""),"?hl=en",""),"instagram.com",""))</f>
        <v/>
      </c>
      <c r="W810" s="34" t="str">
        <f>(IFERROR(vlookup('Ingest Template'!F810,DropDown!D:E,2,false)&amp;'Ingest Template'!C810,""))</f>
        <v/>
      </c>
      <c r="X810" s="25" t="str">
        <f>'Ingest Template'!AA809</f>
        <v/>
      </c>
      <c r="Y810" s="25"/>
      <c r="Z810" s="25"/>
      <c r="AA810" s="25"/>
      <c r="AB810" s="25" t="str">
        <f>'Ingest Template'!T809</f>
        <v/>
      </c>
      <c r="AC810" s="25"/>
      <c r="AD810" s="25" t="str">
        <f>'Ingest Template'!U809</f>
        <v/>
      </c>
      <c r="AE810" s="25" t="str">
        <f>'Ingest Template'!V809</f>
        <v/>
      </c>
      <c r="AF810" s="25"/>
      <c r="AG810" s="25" t="str">
        <f t="array" ref="AG810">IF('Ingest Template'!A809="Standard",(CONCATENATE(IF(ISBLANK('Ingest Template'!O809),"", 'Ingest Template'!O809&amp;"|DAR"),CHAR(10), IF(ISBLANK('Ingest Template'!P809),"", 'Ingest Template'!P809&amp;"|DAR"),CHAR(10), IF(ISBLANK('Ingest Template'!Q809),"", 'Ingest Template'!Q809&amp;"|DAR"))),(CONCATENATE(IF(ISBLANK('Ingest Template'!O809),"", 'Ingest Template'!O809&amp;"|Operations - Core Title"),CHAR(10), IF(ISBLANK('Ingest Template'!P809),"", 'Ingest Template'!P809&amp;"|Operations - Core Title"),CHAR(10), IF(ISBLANK('Ingest Template'!Q809),"", 'Ingest Template'!Q809&amp;"|Operations - Core Title"))))</f>
        <v>#|Operations - Core Title
#videoGame|Operations - Core Title
</v>
      </c>
      <c r="AH810" s="25"/>
      <c r="AI810" s="25"/>
      <c r="AJ810" s="50" t="str">
        <f>if('Ingest Template'!A809="Standard",'Ingest Template'!R809&amp; "|DAR|DAR|2021-01-01",'Ingest Template'!R809&amp; "|Operations - Core Title|Operations - Core Title")</f>
        <v>#N/A</v>
      </c>
      <c r="AK810" s="25"/>
      <c r="AL810" s="25" t="str">
        <f>if('Ingest Template'!A809="Standard",'Ingest Template'!S809&amp; "|2021-01-01",'Ingest Template'!S809)</f>
        <v>#N/A</v>
      </c>
      <c r="AM810" s="25"/>
    </row>
    <row r="811">
      <c r="A811" s="25"/>
      <c r="B811" s="25" t="str">
        <f>'Ingest Template'!C810&amp;IF('Ingest Template'!A810 = "Standard", " - DAR","")</f>
        <v/>
      </c>
      <c r="C811" s="34" t="s">
        <v>92</v>
      </c>
      <c r="D811" s="34" t="str">
        <f>CONCATENATE('Ingest Template'!E811&amp;Char(10)&amp;'Ingest Template'!G811&amp;Char(10)&amp;'Ingest Template'!H811&amp;Char(10)&amp;'Ingest Template'!I811&amp;Char(10)&amp;'Ingest Template'!J811&amp;Char(10)&amp;'Ingest Template'!K811&amp;Char(10)&amp;'Ingest Template'!L811)</f>
        <v>
</v>
      </c>
      <c r="E811" s="25" t="str">
        <f>('Ingest Template'!M811)</f>
        <v/>
      </c>
      <c r="F811" s="40" t="str">
        <f t="array" ref="F811">INDEX(DropDown!$J$2:$J$63,MATCH(1,COUNTIF(E811,DropDown!$I$2:$I$63),0))</f>
        <v>#N/A</v>
      </c>
      <c r="G811" s="25"/>
      <c r="H811" s="25"/>
      <c r="I811" s="25"/>
      <c r="J811" s="25" t="str">
        <f>'Ingest Template'!B811</f>
        <v/>
      </c>
      <c r="K811" s="25" t="str">
        <f>IF('Ingest Template'!A810="Standard",'Ingest Template'!N810,"Competitive View")</f>
        <v>Competitive View</v>
      </c>
      <c r="L811" s="41" t="s">
        <v>145</v>
      </c>
      <c r="M811" s="25" t="str">
        <f>'Ingest Template'!D810</f>
        <v/>
      </c>
      <c r="N811" s="25"/>
      <c r="O811" s="25"/>
      <c r="P811" s="25"/>
      <c r="Q811" s="25"/>
      <c r="R811" s="25" t="str">
        <f>CONCATENATE('Ingest Template'!F810)</f>
        <v/>
      </c>
      <c r="S811" s="43" t="s">
        <v>160</v>
      </c>
      <c r="T811" s="25" t="str">
        <f>'Ingest Template'!W810</f>
        <v/>
      </c>
      <c r="U811" s="25"/>
      <c r="V811" s="25" t="str">
        <f>LOWER(SUBSTITUTE(SUBSTITUTE(SUBSTITUTE(SUBSTITUTE(SUBSTITUTE('Ingest Template'!Y810,"https:",""),"www.",""),"/",""),"?hl=en",""),"instagram.com",""))</f>
        <v/>
      </c>
      <c r="W811" s="34" t="str">
        <f>(IFERROR(vlookup('Ingest Template'!F811,DropDown!D:E,2,false)&amp;'Ingest Template'!C811,""))</f>
        <v/>
      </c>
      <c r="X811" s="25" t="str">
        <f>'Ingest Template'!AA810</f>
        <v/>
      </c>
      <c r="Y811" s="25"/>
      <c r="Z811" s="25"/>
      <c r="AA811" s="25"/>
      <c r="AB811" s="25" t="str">
        <f>'Ingest Template'!T810</f>
        <v/>
      </c>
      <c r="AC811" s="25"/>
      <c r="AD811" s="25" t="str">
        <f>'Ingest Template'!U810</f>
        <v/>
      </c>
      <c r="AE811" s="25" t="str">
        <f>'Ingest Template'!V810</f>
        <v/>
      </c>
      <c r="AF811" s="25"/>
      <c r="AG811" s="25" t="str">
        <f t="array" ref="AG811">IF('Ingest Template'!A810="Standard",(CONCATENATE(IF(ISBLANK('Ingest Template'!O810),"", 'Ingest Template'!O810&amp;"|DAR"),CHAR(10), IF(ISBLANK('Ingest Template'!P810),"", 'Ingest Template'!P810&amp;"|DAR"),CHAR(10), IF(ISBLANK('Ingest Template'!Q810),"", 'Ingest Template'!Q810&amp;"|DAR"))),(CONCATENATE(IF(ISBLANK('Ingest Template'!O810),"", 'Ingest Template'!O810&amp;"|Operations - Core Title"),CHAR(10), IF(ISBLANK('Ingest Template'!P810),"", 'Ingest Template'!P810&amp;"|Operations - Core Title"),CHAR(10), IF(ISBLANK('Ingest Template'!Q810),"", 'Ingest Template'!Q810&amp;"|Operations - Core Title"))))</f>
        <v>#|Operations - Core Title
#videoGame|Operations - Core Title
</v>
      </c>
      <c r="AH811" s="25"/>
      <c r="AI811" s="25"/>
      <c r="AJ811" s="50" t="str">
        <f>if('Ingest Template'!A810="Standard",'Ingest Template'!R810&amp; "|DAR|DAR|2021-01-01",'Ingest Template'!R810&amp; "|Operations - Core Title|Operations - Core Title")</f>
        <v>#N/A</v>
      </c>
      <c r="AK811" s="25"/>
      <c r="AL811" s="25" t="str">
        <f>if('Ingest Template'!A810="Standard",'Ingest Template'!S810&amp; "|2021-01-01",'Ingest Template'!S810)</f>
        <v>#N/A</v>
      </c>
      <c r="AM811" s="25"/>
    </row>
    <row r="812">
      <c r="A812" s="25"/>
      <c r="B812" s="25" t="str">
        <f>'Ingest Template'!C811&amp;IF('Ingest Template'!A811 = "Standard", " - DAR","")</f>
        <v/>
      </c>
      <c r="C812" s="34" t="s">
        <v>92</v>
      </c>
      <c r="D812" s="34" t="str">
        <f>CONCATENATE('Ingest Template'!E812&amp;Char(10)&amp;'Ingest Template'!G812&amp;Char(10)&amp;'Ingest Template'!H812&amp;Char(10)&amp;'Ingest Template'!I812&amp;Char(10)&amp;'Ingest Template'!J812&amp;Char(10)&amp;'Ingest Template'!K812&amp;Char(10)&amp;'Ingest Template'!L812)</f>
        <v>
</v>
      </c>
      <c r="E812" s="25" t="str">
        <f>('Ingest Template'!M812)</f>
        <v/>
      </c>
      <c r="F812" s="40" t="str">
        <f t="array" ref="F812">INDEX(DropDown!$J$2:$J$63,MATCH(1,COUNTIF(E812,DropDown!$I$2:$I$63),0))</f>
        <v>#N/A</v>
      </c>
      <c r="G812" s="25"/>
      <c r="H812" s="25"/>
      <c r="I812" s="25"/>
      <c r="J812" s="25" t="str">
        <f>'Ingest Template'!B812</f>
        <v/>
      </c>
      <c r="K812" s="25" t="str">
        <f>IF('Ingest Template'!A811="Standard",'Ingest Template'!N811,"Competitive View")</f>
        <v>Competitive View</v>
      </c>
      <c r="L812" s="41" t="s">
        <v>145</v>
      </c>
      <c r="M812" s="25" t="str">
        <f>'Ingest Template'!D811</f>
        <v/>
      </c>
      <c r="N812" s="25"/>
      <c r="O812" s="25"/>
      <c r="P812" s="25"/>
      <c r="Q812" s="25"/>
      <c r="R812" s="25" t="str">
        <f>CONCATENATE('Ingest Template'!F811)</f>
        <v/>
      </c>
      <c r="S812" s="43" t="s">
        <v>160</v>
      </c>
      <c r="T812" s="25" t="str">
        <f>'Ingest Template'!W811</f>
        <v/>
      </c>
      <c r="U812" s="25"/>
      <c r="V812" s="25" t="str">
        <f>LOWER(SUBSTITUTE(SUBSTITUTE(SUBSTITUTE(SUBSTITUTE(SUBSTITUTE('Ingest Template'!Y811,"https:",""),"www.",""),"/",""),"?hl=en",""),"instagram.com",""))</f>
        <v/>
      </c>
      <c r="W812" s="34" t="str">
        <f>(IFERROR(vlookup('Ingest Template'!F812,DropDown!D:E,2,false)&amp;'Ingest Template'!C812,""))</f>
        <v/>
      </c>
      <c r="X812" s="25" t="str">
        <f>'Ingest Template'!AA811</f>
        <v/>
      </c>
      <c r="Y812" s="25"/>
      <c r="Z812" s="25"/>
      <c r="AA812" s="25"/>
      <c r="AB812" s="25" t="str">
        <f>'Ingest Template'!T811</f>
        <v/>
      </c>
      <c r="AC812" s="25"/>
      <c r="AD812" s="25" t="str">
        <f>'Ingest Template'!U811</f>
        <v/>
      </c>
      <c r="AE812" s="25" t="str">
        <f>'Ingest Template'!V811</f>
        <v/>
      </c>
      <c r="AF812" s="25"/>
      <c r="AG812" s="25" t="str">
        <f t="array" ref="AG812">IF('Ingest Template'!A811="Standard",(CONCATENATE(IF(ISBLANK('Ingest Template'!O811),"", 'Ingest Template'!O811&amp;"|DAR"),CHAR(10), IF(ISBLANK('Ingest Template'!P811),"", 'Ingest Template'!P811&amp;"|DAR"),CHAR(10), IF(ISBLANK('Ingest Template'!Q811),"", 'Ingest Template'!Q811&amp;"|DAR"))),(CONCATENATE(IF(ISBLANK('Ingest Template'!O811),"", 'Ingest Template'!O811&amp;"|Operations - Core Title"),CHAR(10), IF(ISBLANK('Ingest Template'!P811),"", 'Ingest Template'!P811&amp;"|Operations - Core Title"),CHAR(10), IF(ISBLANK('Ingest Template'!Q811),"", 'Ingest Template'!Q811&amp;"|Operations - Core Title"))))</f>
        <v>#|Operations - Core Title
#videoGame|Operations - Core Title
</v>
      </c>
      <c r="AH812" s="25"/>
      <c r="AI812" s="25"/>
      <c r="AJ812" s="50" t="str">
        <f>if('Ingest Template'!A811="Standard",'Ingest Template'!R811&amp; "|DAR|DAR|2021-01-01",'Ingest Template'!R811&amp; "|Operations - Core Title|Operations - Core Title")</f>
        <v>#N/A</v>
      </c>
      <c r="AK812" s="25"/>
      <c r="AL812" s="25" t="str">
        <f>if('Ingest Template'!A811="Standard",'Ingest Template'!S811&amp; "|2021-01-01",'Ingest Template'!S811)</f>
        <v>#N/A</v>
      </c>
      <c r="AM812" s="25"/>
    </row>
    <row r="813">
      <c r="A813" s="25"/>
      <c r="B813" s="25" t="str">
        <f>'Ingest Template'!C812&amp;IF('Ingest Template'!A812 = "Standard", " - DAR","")</f>
        <v/>
      </c>
      <c r="C813" s="34" t="s">
        <v>92</v>
      </c>
      <c r="D813" s="34" t="str">
        <f>CONCATENATE('Ingest Template'!E813&amp;Char(10)&amp;'Ingest Template'!G813&amp;Char(10)&amp;'Ingest Template'!H813&amp;Char(10)&amp;'Ingest Template'!I813&amp;Char(10)&amp;'Ingest Template'!J813&amp;Char(10)&amp;'Ingest Template'!K813&amp;Char(10)&amp;'Ingest Template'!L813)</f>
        <v>
</v>
      </c>
      <c r="E813" s="25" t="str">
        <f>('Ingest Template'!M813)</f>
        <v/>
      </c>
      <c r="F813" s="40" t="str">
        <f t="array" ref="F813">INDEX(DropDown!$J$2:$J$63,MATCH(1,COUNTIF(E813,DropDown!$I$2:$I$63),0))</f>
        <v>#N/A</v>
      </c>
      <c r="G813" s="25"/>
      <c r="H813" s="25"/>
      <c r="I813" s="25"/>
      <c r="J813" s="25" t="str">
        <f>'Ingest Template'!B813</f>
        <v/>
      </c>
      <c r="K813" s="25" t="str">
        <f>IF('Ingest Template'!A812="Standard",'Ingest Template'!N812,"Competitive View")</f>
        <v>Competitive View</v>
      </c>
      <c r="L813" s="41" t="s">
        <v>145</v>
      </c>
      <c r="M813" s="25" t="str">
        <f>'Ingest Template'!D812</f>
        <v/>
      </c>
      <c r="N813" s="25"/>
      <c r="O813" s="25"/>
      <c r="P813" s="25"/>
      <c r="Q813" s="25"/>
      <c r="R813" s="25" t="str">
        <f>CONCATENATE('Ingest Template'!F812)</f>
        <v/>
      </c>
      <c r="S813" s="43" t="s">
        <v>160</v>
      </c>
      <c r="T813" s="25" t="str">
        <f>'Ingest Template'!W812</f>
        <v/>
      </c>
      <c r="U813" s="25"/>
      <c r="V813" s="25" t="str">
        <f>LOWER(SUBSTITUTE(SUBSTITUTE(SUBSTITUTE(SUBSTITUTE(SUBSTITUTE('Ingest Template'!Y812,"https:",""),"www.",""),"/",""),"?hl=en",""),"instagram.com",""))</f>
        <v/>
      </c>
      <c r="W813" s="34" t="str">
        <f>(IFERROR(vlookup('Ingest Template'!F813,DropDown!D:E,2,false)&amp;'Ingest Template'!C813,""))</f>
        <v/>
      </c>
      <c r="X813" s="25" t="str">
        <f>'Ingest Template'!AA812</f>
        <v/>
      </c>
      <c r="Y813" s="25"/>
      <c r="Z813" s="25"/>
      <c r="AA813" s="25"/>
      <c r="AB813" s="25" t="str">
        <f>'Ingest Template'!T812</f>
        <v/>
      </c>
      <c r="AC813" s="25"/>
      <c r="AD813" s="25" t="str">
        <f>'Ingest Template'!U812</f>
        <v/>
      </c>
      <c r="AE813" s="25" t="str">
        <f>'Ingest Template'!V812</f>
        <v/>
      </c>
      <c r="AF813" s="25"/>
      <c r="AG813" s="25" t="str">
        <f t="array" ref="AG813">IF('Ingest Template'!A812="Standard",(CONCATENATE(IF(ISBLANK('Ingest Template'!O812),"", 'Ingest Template'!O812&amp;"|DAR"),CHAR(10), IF(ISBLANK('Ingest Template'!P812),"", 'Ingest Template'!P812&amp;"|DAR"),CHAR(10), IF(ISBLANK('Ingest Template'!Q812),"", 'Ingest Template'!Q812&amp;"|DAR"))),(CONCATENATE(IF(ISBLANK('Ingest Template'!O812),"", 'Ingest Template'!O812&amp;"|Operations - Core Title"),CHAR(10), IF(ISBLANK('Ingest Template'!P812),"", 'Ingest Template'!P812&amp;"|Operations - Core Title"),CHAR(10), IF(ISBLANK('Ingest Template'!Q812),"", 'Ingest Template'!Q812&amp;"|Operations - Core Title"))))</f>
        <v>#|Operations - Core Title
#videoGame|Operations - Core Title
</v>
      </c>
      <c r="AH813" s="25"/>
      <c r="AI813" s="25"/>
      <c r="AJ813" s="50" t="str">
        <f>if('Ingest Template'!A812="Standard",'Ingest Template'!R812&amp; "|DAR|DAR|2021-01-01",'Ingest Template'!R812&amp; "|Operations - Core Title|Operations - Core Title")</f>
        <v>#N/A</v>
      </c>
      <c r="AK813" s="25"/>
      <c r="AL813" s="25" t="str">
        <f>if('Ingest Template'!A812="Standard",'Ingest Template'!S812&amp; "|2021-01-01",'Ingest Template'!S812)</f>
        <v>#N/A</v>
      </c>
      <c r="AM813" s="25"/>
    </row>
    <row r="814">
      <c r="A814" s="25"/>
      <c r="B814" s="25" t="str">
        <f>'Ingest Template'!C813&amp;IF('Ingest Template'!A813 = "Standard", " - DAR","")</f>
        <v/>
      </c>
      <c r="C814" s="34" t="s">
        <v>92</v>
      </c>
      <c r="D814" s="34" t="str">
        <f>CONCATENATE('Ingest Template'!E814&amp;Char(10)&amp;'Ingest Template'!G814&amp;Char(10)&amp;'Ingest Template'!H814&amp;Char(10)&amp;'Ingest Template'!I814&amp;Char(10)&amp;'Ingest Template'!J814&amp;Char(10)&amp;'Ingest Template'!K814&amp;Char(10)&amp;'Ingest Template'!L814)</f>
        <v>
</v>
      </c>
      <c r="E814" s="25" t="str">
        <f>('Ingest Template'!M814)</f>
        <v/>
      </c>
      <c r="F814" s="40" t="str">
        <f t="array" ref="F814">INDEX(DropDown!$J$2:$J$63,MATCH(1,COUNTIF(E814,DropDown!$I$2:$I$63),0))</f>
        <v>#N/A</v>
      </c>
      <c r="G814" s="25"/>
      <c r="H814" s="25"/>
      <c r="I814" s="25"/>
      <c r="J814" s="25" t="str">
        <f>'Ingest Template'!B814</f>
        <v/>
      </c>
      <c r="K814" s="25" t="str">
        <f>IF('Ingest Template'!A813="Standard",'Ingest Template'!N813,"Competitive View")</f>
        <v>Competitive View</v>
      </c>
      <c r="L814" s="41" t="s">
        <v>145</v>
      </c>
      <c r="M814" s="25" t="str">
        <f>'Ingest Template'!D813</f>
        <v/>
      </c>
      <c r="N814" s="25"/>
      <c r="O814" s="25"/>
      <c r="P814" s="25"/>
      <c r="Q814" s="25"/>
      <c r="R814" s="25" t="str">
        <f>CONCATENATE('Ingest Template'!F813)</f>
        <v/>
      </c>
      <c r="S814" s="43" t="s">
        <v>160</v>
      </c>
      <c r="T814" s="25" t="str">
        <f>'Ingest Template'!W813</f>
        <v/>
      </c>
      <c r="U814" s="25"/>
      <c r="V814" s="25" t="str">
        <f>LOWER(SUBSTITUTE(SUBSTITUTE(SUBSTITUTE(SUBSTITUTE(SUBSTITUTE('Ingest Template'!Y813,"https:",""),"www.",""),"/",""),"?hl=en",""),"instagram.com",""))</f>
        <v/>
      </c>
      <c r="W814" s="34" t="str">
        <f>(IFERROR(vlookup('Ingest Template'!F814,DropDown!D:E,2,false)&amp;'Ingest Template'!C814,""))</f>
        <v/>
      </c>
      <c r="X814" s="25" t="str">
        <f>'Ingest Template'!AA813</f>
        <v/>
      </c>
      <c r="Y814" s="25"/>
      <c r="Z814" s="25"/>
      <c r="AA814" s="25"/>
      <c r="AB814" s="25" t="str">
        <f>'Ingest Template'!T813</f>
        <v/>
      </c>
      <c r="AC814" s="25"/>
      <c r="AD814" s="25" t="str">
        <f>'Ingest Template'!U813</f>
        <v/>
      </c>
      <c r="AE814" s="25" t="str">
        <f>'Ingest Template'!V813</f>
        <v/>
      </c>
      <c r="AF814" s="25"/>
      <c r="AG814" s="25" t="str">
        <f t="array" ref="AG814">IF('Ingest Template'!A813="Standard",(CONCATENATE(IF(ISBLANK('Ingest Template'!O813),"", 'Ingest Template'!O813&amp;"|DAR"),CHAR(10), IF(ISBLANK('Ingest Template'!P813),"", 'Ingest Template'!P813&amp;"|DAR"),CHAR(10), IF(ISBLANK('Ingest Template'!Q813),"", 'Ingest Template'!Q813&amp;"|DAR"))),(CONCATENATE(IF(ISBLANK('Ingest Template'!O813),"", 'Ingest Template'!O813&amp;"|Operations - Core Title"),CHAR(10), IF(ISBLANK('Ingest Template'!P813),"", 'Ingest Template'!P813&amp;"|Operations - Core Title"),CHAR(10), IF(ISBLANK('Ingest Template'!Q813),"", 'Ingest Template'!Q813&amp;"|Operations - Core Title"))))</f>
        <v>#|Operations - Core Title
#videoGame|Operations - Core Title
</v>
      </c>
      <c r="AH814" s="25"/>
      <c r="AI814" s="25"/>
      <c r="AJ814" s="50" t="str">
        <f>if('Ingest Template'!A813="Standard",'Ingest Template'!R813&amp; "|DAR|DAR|2021-01-01",'Ingest Template'!R813&amp; "|Operations - Core Title|Operations - Core Title")</f>
        <v>#N/A</v>
      </c>
      <c r="AK814" s="25"/>
      <c r="AL814" s="25" t="str">
        <f>if('Ingest Template'!A813="Standard",'Ingest Template'!S813&amp; "|2021-01-01",'Ingest Template'!S813)</f>
        <v>#N/A</v>
      </c>
      <c r="AM814" s="25"/>
    </row>
    <row r="815">
      <c r="A815" s="25"/>
      <c r="B815" s="25" t="str">
        <f>'Ingest Template'!C814&amp;IF('Ingest Template'!A814 = "Standard", " - DAR","")</f>
        <v/>
      </c>
      <c r="C815" s="34" t="s">
        <v>92</v>
      </c>
      <c r="D815" s="34" t="str">
        <f>CONCATENATE('Ingest Template'!E815&amp;Char(10)&amp;'Ingest Template'!G815&amp;Char(10)&amp;'Ingest Template'!H815&amp;Char(10)&amp;'Ingest Template'!I815&amp;Char(10)&amp;'Ingest Template'!J815&amp;Char(10)&amp;'Ingest Template'!K815&amp;Char(10)&amp;'Ingest Template'!L815)</f>
        <v>
</v>
      </c>
      <c r="E815" s="25" t="str">
        <f>('Ingest Template'!M815)</f>
        <v/>
      </c>
      <c r="F815" s="40" t="str">
        <f t="array" ref="F815">INDEX(DropDown!$J$2:$J$63,MATCH(1,COUNTIF(E815,DropDown!$I$2:$I$63),0))</f>
        <v>#N/A</v>
      </c>
      <c r="G815" s="25"/>
      <c r="H815" s="25"/>
      <c r="I815" s="25"/>
      <c r="J815" s="25" t="str">
        <f>'Ingest Template'!B815</f>
        <v/>
      </c>
      <c r="K815" s="25" t="str">
        <f>IF('Ingest Template'!A814="Standard",'Ingest Template'!N814,"Competitive View")</f>
        <v>Competitive View</v>
      </c>
      <c r="L815" s="41" t="s">
        <v>145</v>
      </c>
      <c r="M815" s="25" t="str">
        <f>'Ingest Template'!D814</f>
        <v/>
      </c>
      <c r="N815" s="25"/>
      <c r="O815" s="25"/>
      <c r="P815" s="25"/>
      <c r="Q815" s="25"/>
      <c r="R815" s="25" t="str">
        <f>CONCATENATE('Ingest Template'!F814)</f>
        <v/>
      </c>
      <c r="S815" s="43" t="s">
        <v>160</v>
      </c>
      <c r="T815" s="25" t="str">
        <f>'Ingest Template'!W814</f>
        <v/>
      </c>
      <c r="U815" s="25"/>
      <c r="V815" s="25" t="str">
        <f>LOWER(SUBSTITUTE(SUBSTITUTE(SUBSTITUTE(SUBSTITUTE(SUBSTITUTE('Ingest Template'!Y814,"https:",""),"www.",""),"/",""),"?hl=en",""),"instagram.com",""))</f>
        <v/>
      </c>
      <c r="W815" s="34" t="str">
        <f>(IFERROR(vlookup('Ingest Template'!F815,DropDown!D:E,2,false)&amp;'Ingest Template'!C815,""))</f>
        <v/>
      </c>
      <c r="X815" s="25" t="str">
        <f>'Ingest Template'!AA814</f>
        <v/>
      </c>
      <c r="Y815" s="25"/>
      <c r="Z815" s="25"/>
      <c r="AA815" s="25"/>
      <c r="AB815" s="25" t="str">
        <f>'Ingest Template'!T814</f>
        <v/>
      </c>
      <c r="AC815" s="25"/>
      <c r="AD815" s="25" t="str">
        <f>'Ingest Template'!U814</f>
        <v/>
      </c>
      <c r="AE815" s="25" t="str">
        <f>'Ingest Template'!V814</f>
        <v/>
      </c>
      <c r="AF815" s="25"/>
      <c r="AG815" s="25" t="str">
        <f t="array" ref="AG815">IF('Ingest Template'!A814="Standard",(CONCATENATE(IF(ISBLANK('Ingest Template'!O814),"", 'Ingest Template'!O814&amp;"|DAR"),CHAR(10), IF(ISBLANK('Ingest Template'!P814),"", 'Ingest Template'!P814&amp;"|DAR"),CHAR(10), IF(ISBLANK('Ingest Template'!Q814),"", 'Ingest Template'!Q814&amp;"|DAR"))),(CONCATENATE(IF(ISBLANK('Ingest Template'!O814),"", 'Ingest Template'!O814&amp;"|Operations - Core Title"),CHAR(10), IF(ISBLANK('Ingest Template'!P814),"", 'Ingest Template'!P814&amp;"|Operations - Core Title"),CHAR(10), IF(ISBLANK('Ingest Template'!Q814),"", 'Ingest Template'!Q814&amp;"|Operations - Core Title"))))</f>
        <v>#|Operations - Core Title
#videoGame|Operations - Core Title
</v>
      </c>
      <c r="AH815" s="25"/>
      <c r="AI815" s="25"/>
      <c r="AJ815" s="50" t="str">
        <f>if('Ingest Template'!A814="Standard",'Ingest Template'!R814&amp; "|DAR|DAR|2021-01-01",'Ingest Template'!R814&amp; "|Operations - Core Title|Operations - Core Title")</f>
        <v>#N/A</v>
      </c>
      <c r="AK815" s="25"/>
      <c r="AL815" s="25" t="str">
        <f>if('Ingest Template'!A814="Standard",'Ingest Template'!S814&amp; "|2021-01-01",'Ingest Template'!S814)</f>
        <v>#N/A</v>
      </c>
      <c r="AM815" s="25"/>
    </row>
    <row r="816">
      <c r="A816" s="25"/>
      <c r="B816" s="25" t="str">
        <f>'Ingest Template'!C815&amp;IF('Ingest Template'!A815 = "Standard", " - DAR","")</f>
        <v/>
      </c>
      <c r="C816" s="34" t="s">
        <v>92</v>
      </c>
      <c r="D816" s="34" t="str">
        <f>CONCATENATE('Ingest Template'!E816&amp;Char(10)&amp;'Ingest Template'!G816&amp;Char(10)&amp;'Ingest Template'!H816&amp;Char(10)&amp;'Ingest Template'!I816&amp;Char(10)&amp;'Ingest Template'!J816&amp;Char(10)&amp;'Ingest Template'!K816&amp;Char(10)&amp;'Ingest Template'!L816)</f>
        <v>
</v>
      </c>
      <c r="E816" s="25" t="str">
        <f>('Ingest Template'!M816)</f>
        <v/>
      </c>
      <c r="F816" s="40" t="str">
        <f t="array" ref="F816">INDEX(DropDown!$J$2:$J$63,MATCH(1,COUNTIF(E816,DropDown!$I$2:$I$63),0))</f>
        <v>#N/A</v>
      </c>
      <c r="G816" s="25"/>
      <c r="H816" s="25"/>
      <c r="I816" s="25"/>
      <c r="J816" s="25" t="str">
        <f>'Ingest Template'!B816</f>
        <v/>
      </c>
      <c r="K816" s="25" t="str">
        <f>IF('Ingest Template'!A815="Standard",'Ingest Template'!N815,"Competitive View")</f>
        <v>Competitive View</v>
      </c>
      <c r="L816" s="41" t="s">
        <v>145</v>
      </c>
      <c r="M816" s="25" t="str">
        <f>'Ingest Template'!D815</f>
        <v/>
      </c>
      <c r="N816" s="25"/>
      <c r="O816" s="25"/>
      <c r="P816" s="25"/>
      <c r="Q816" s="25"/>
      <c r="R816" s="25" t="str">
        <f>CONCATENATE('Ingest Template'!F815)</f>
        <v/>
      </c>
      <c r="S816" s="43" t="s">
        <v>160</v>
      </c>
      <c r="T816" s="25" t="str">
        <f>'Ingest Template'!W815</f>
        <v/>
      </c>
      <c r="U816" s="25"/>
      <c r="V816" s="25" t="str">
        <f>LOWER(SUBSTITUTE(SUBSTITUTE(SUBSTITUTE(SUBSTITUTE(SUBSTITUTE('Ingest Template'!Y815,"https:",""),"www.",""),"/",""),"?hl=en",""),"instagram.com",""))</f>
        <v/>
      </c>
      <c r="W816" s="34" t="str">
        <f>(IFERROR(vlookup('Ingest Template'!F816,DropDown!D:E,2,false)&amp;'Ingest Template'!C816,""))</f>
        <v/>
      </c>
      <c r="X816" s="25" t="str">
        <f>'Ingest Template'!AA815</f>
        <v/>
      </c>
      <c r="Y816" s="25"/>
      <c r="Z816" s="25"/>
      <c r="AA816" s="25"/>
      <c r="AB816" s="25" t="str">
        <f>'Ingest Template'!T815</f>
        <v/>
      </c>
      <c r="AC816" s="25"/>
      <c r="AD816" s="25" t="str">
        <f>'Ingest Template'!U815</f>
        <v/>
      </c>
      <c r="AE816" s="25" t="str">
        <f>'Ingest Template'!V815</f>
        <v/>
      </c>
      <c r="AF816" s="25"/>
      <c r="AG816" s="25" t="str">
        <f t="array" ref="AG816">IF('Ingest Template'!A815="Standard",(CONCATENATE(IF(ISBLANK('Ingest Template'!O815),"", 'Ingest Template'!O815&amp;"|DAR"),CHAR(10), IF(ISBLANK('Ingest Template'!P815),"", 'Ingest Template'!P815&amp;"|DAR"),CHAR(10), IF(ISBLANK('Ingest Template'!Q815),"", 'Ingest Template'!Q815&amp;"|DAR"))),(CONCATENATE(IF(ISBLANK('Ingest Template'!O815),"", 'Ingest Template'!O815&amp;"|Operations - Core Title"),CHAR(10), IF(ISBLANK('Ingest Template'!P815),"", 'Ingest Template'!P815&amp;"|Operations - Core Title"),CHAR(10), IF(ISBLANK('Ingest Template'!Q815),"", 'Ingest Template'!Q815&amp;"|Operations - Core Title"))))</f>
        <v>#|Operations - Core Title
#videoGame|Operations - Core Title
</v>
      </c>
      <c r="AH816" s="25"/>
      <c r="AI816" s="25"/>
      <c r="AJ816" s="50" t="str">
        <f>if('Ingest Template'!A815="Standard",'Ingest Template'!R815&amp; "|DAR|DAR|2021-01-01",'Ingest Template'!R815&amp; "|Operations - Core Title|Operations - Core Title")</f>
        <v>#N/A</v>
      </c>
      <c r="AK816" s="25"/>
      <c r="AL816" s="25" t="str">
        <f>if('Ingest Template'!A815="Standard",'Ingest Template'!S815&amp; "|2021-01-01",'Ingest Template'!S815)</f>
        <v>#N/A</v>
      </c>
      <c r="AM816" s="25"/>
    </row>
    <row r="817">
      <c r="A817" s="25"/>
      <c r="B817" s="25" t="str">
        <f>'Ingest Template'!C816&amp;IF('Ingest Template'!A816 = "Standard", " - DAR","")</f>
        <v/>
      </c>
      <c r="C817" s="34" t="s">
        <v>92</v>
      </c>
      <c r="D817" s="34" t="str">
        <f>CONCATENATE('Ingest Template'!E817&amp;Char(10)&amp;'Ingest Template'!G817&amp;Char(10)&amp;'Ingest Template'!H817&amp;Char(10)&amp;'Ingest Template'!I817&amp;Char(10)&amp;'Ingest Template'!J817&amp;Char(10)&amp;'Ingest Template'!K817&amp;Char(10)&amp;'Ingest Template'!L817)</f>
        <v>
</v>
      </c>
      <c r="E817" s="25" t="str">
        <f>('Ingest Template'!M817)</f>
        <v/>
      </c>
      <c r="F817" s="40" t="str">
        <f t="array" ref="F817">INDEX(DropDown!$J$2:$J$63,MATCH(1,COUNTIF(E817,DropDown!$I$2:$I$63),0))</f>
        <v>#N/A</v>
      </c>
      <c r="G817" s="25"/>
      <c r="H817" s="25"/>
      <c r="I817" s="25"/>
      <c r="J817" s="25" t="str">
        <f>'Ingest Template'!B817</f>
        <v/>
      </c>
      <c r="K817" s="25" t="str">
        <f>IF('Ingest Template'!A816="Standard",'Ingest Template'!N816,"Competitive View")</f>
        <v>Competitive View</v>
      </c>
      <c r="L817" s="41" t="s">
        <v>145</v>
      </c>
      <c r="M817" s="25" t="str">
        <f>'Ingest Template'!D816</f>
        <v/>
      </c>
      <c r="N817" s="25"/>
      <c r="O817" s="25"/>
      <c r="P817" s="25"/>
      <c r="Q817" s="25"/>
      <c r="R817" s="25" t="str">
        <f>CONCATENATE('Ingest Template'!F816)</f>
        <v/>
      </c>
      <c r="S817" s="43" t="s">
        <v>160</v>
      </c>
      <c r="T817" s="25" t="str">
        <f>'Ingest Template'!W816</f>
        <v/>
      </c>
      <c r="U817" s="25"/>
      <c r="V817" s="25" t="str">
        <f>LOWER(SUBSTITUTE(SUBSTITUTE(SUBSTITUTE(SUBSTITUTE(SUBSTITUTE('Ingest Template'!Y816,"https:",""),"www.",""),"/",""),"?hl=en",""),"instagram.com",""))</f>
        <v/>
      </c>
      <c r="W817" s="34" t="str">
        <f>(IFERROR(vlookup('Ingest Template'!F817,DropDown!D:E,2,false)&amp;'Ingest Template'!C817,""))</f>
        <v/>
      </c>
      <c r="X817" s="25" t="str">
        <f>'Ingest Template'!AA816</f>
        <v/>
      </c>
      <c r="Y817" s="25"/>
      <c r="Z817" s="25"/>
      <c r="AA817" s="25"/>
      <c r="AB817" s="25" t="str">
        <f>'Ingest Template'!T816</f>
        <v/>
      </c>
      <c r="AC817" s="25"/>
      <c r="AD817" s="25" t="str">
        <f>'Ingest Template'!U816</f>
        <v/>
      </c>
      <c r="AE817" s="25" t="str">
        <f>'Ingest Template'!V816</f>
        <v/>
      </c>
      <c r="AF817" s="25"/>
      <c r="AG817" s="25" t="str">
        <f t="array" ref="AG817">IF('Ingest Template'!A816="Standard",(CONCATENATE(IF(ISBLANK('Ingest Template'!O816),"", 'Ingest Template'!O816&amp;"|DAR"),CHAR(10), IF(ISBLANK('Ingest Template'!P816),"", 'Ingest Template'!P816&amp;"|DAR"),CHAR(10), IF(ISBLANK('Ingest Template'!Q816),"", 'Ingest Template'!Q816&amp;"|DAR"))),(CONCATENATE(IF(ISBLANK('Ingest Template'!O816),"", 'Ingest Template'!O816&amp;"|Operations - Core Title"),CHAR(10), IF(ISBLANK('Ingest Template'!P816),"", 'Ingest Template'!P816&amp;"|Operations - Core Title"),CHAR(10), IF(ISBLANK('Ingest Template'!Q816),"", 'Ingest Template'!Q816&amp;"|Operations - Core Title"))))</f>
        <v>#|Operations - Core Title
#videoGame|Operations - Core Title
</v>
      </c>
      <c r="AH817" s="25"/>
      <c r="AI817" s="25"/>
      <c r="AJ817" s="50" t="str">
        <f>if('Ingest Template'!A816="Standard",'Ingest Template'!R816&amp; "|DAR|DAR|2021-01-01",'Ingest Template'!R816&amp; "|Operations - Core Title|Operations - Core Title")</f>
        <v>#N/A</v>
      </c>
      <c r="AK817" s="25"/>
      <c r="AL817" s="25" t="str">
        <f>if('Ingest Template'!A816="Standard",'Ingest Template'!S816&amp; "|2021-01-01",'Ingest Template'!S816)</f>
        <v>#N/A</v>
      </c>
      <c r="AM817" s="25"/>
    </row>
    <row r="818">
      <c r="A818" s="25"/>
      <c r="B818" s="25" t="str">
        <f>'Ingest Template'!C817&amp;IF('Ingest Template'!A817 = "Standard", " - DAR","")</f>
        <v/>
      </c>
      <c r="C818" s="34" t="s">
        <v>92</v>
      </c>
      <c r="D818" s="34" t="str">
        <f>CONCATENATE('Ingest Template'!E818&amp;Char(10)&amp;'Ingest Template'!G818&amp;Char(10)&amp;'Ingest Template'!H818&amp;Char(10)&amp;'Ingest Template'!I818&amp;Char(10)&amp;'Ingest Template'!J818&amp;Char(10)&amp;'Ingest Template'!K818&amp;Char(10)&amp;'Ingest Template'!L818)</f>
        <v>
</v>
      </c>
      <c r="E818" s="25" t="str">
        <f>('Ingest Template'!M818)</f>
        <v/>
      </c>
      <c r="F818" s="40" t="str">
        <f t="array" ref="F818">INDEX(DropDown!$J$2:$J$63,MATCH(1,COUNTIF(E818,DropDown!$I$2:$I$63),0))</f>
        <v>#N/A</v>
      </c>
      <c r="G818" s="25"/>
      <c r="H818" s="25"/>
      <c r="I818" s="25"/>
      <c r="J818" s="25" t="str">
        <f>'Ingest Template'!B818</f>
        <v/>
      </c>
      <c r="K818" s="25" t="str">
        <f>IF('Ingest Template'!A817="Standard",'Ingest Template'!N817,"Competitive View")</f>
        <v>Competitive View</v>
      </c>
      <c r="L818" s="41" t="s">
        <v>145</v>
      </c>
      <c r="M818" s="25" t="str">
        <f>'Ingest Template'!D817</f>
        <v/>
      </c>
      <c r="N818" s="25"/>
      <c r="O818" s="25"/>
      <c r="P818" s="25"/>
      <c r="Q818" s="25"/>
      <c r="R818" s="25" t="str">
        <f>CONCATENATE('Ingest Template'!F817)</f>
        <v/>
      </c>
      <c r="S818" s="43" t="s">
        <v>160</v>
      </c>
      <c r="T818" s="25" t="str">
        <f>'Ingest Template'!W817</f>
        <v/>
      </c>
      <c r="U818" s="25"/>
      <c r="V818" s="25" t="str">
        <f>LOWER(SUBSTITUTE(SUBSTITUTE(SUBSTITUTE(SUBSTITUTE(SUBSTITUTE('Ingest Template'!Y817,"https:",""),"www.",""),"/",""),"?hl=en",""),"instagram.com",""))</f>
        <v/>
      </c>
      <c r="W818" s="34" t="str">
        <f>(IFERROR(vlookup('Ingest Template'!F818,DropDown!D:E,2,false)&amp;'Ingest Template'!C818,""))</f>
        <v/>
      </c>
      <c r="X818" s="25" t="str">
        <f>'Ingest Template'!AA817</f>
        <v/>
      </c>
      <c r="Y818" s="25"/>
      <c r="Z818" s="25"/>
      <c r="AA818" s="25"/>
      <c r="AB818" s="25" t="str">
        <f>'Ingest Template'!T817</f>
        <v/>
      </c>
      <c r="AC818" s="25"/>
      <c r="AD818" s="25" t="str">
        <f>'Ingest Template'!U817</f>
        <v/>
      </c>
      <c r="AE818" s="25" t="str">
        <f>'Ingest Template'!V817</f>
        <v/>
      </c>
      <c r="AF818" s="25"/>
      <c r="AG818" s="25" t="str">
        <f t="array" ref="AG818">IF('Ingest Template'!A817="Standard",(CONCATENATE(IF(ISBLANK('Ingest Template'!O817),"", 'Ingest Template'!O817&amp;"|DAR"),CHAR(10), IF(ISBLANK('Ingest Template'!P817),"", 'Ingest Template'!P817&amp;"|DAR"),CHAR(10), IF(ISBLANK('Ingest Template'!Q817),"", 'Ingest Template'!Q817&amp;"|DAR"))),(CONCATENATE(IF(ISBLANK('Ingest Template'!O817),"", 'Ingest Template'!O817&amp;"|Operations - Core Title"),CHAR(10), IF(ISBLANK('Ingest Template'!P817),"", 'Ingest Template'!P817&amp;"|Operations - Core Title"),CHAR(10), IF(ISBLANK('Ingest Template'!Q817),"", 'Ingest Template'!Q817&amp;"|Operations - Core Title"))))</f>
        <v>#|Operations - Core Title
#videoGame|Operations - Core Title
</v>
      </c>
      <c r="AH818" s="25"/>
      <c r="AI818" s="25"/>
      <c r="AJ818" s="50" t="str">
        <f>if('Ingest Template'!A817="Standard",'Ingest Template'!R817&amp; "|DAR|DAR|2021-01-01",'Ingest Template'!R817&amp; "|Operations - Core Title|Operations - Core Title")</f>
        <v>#N/A</v>
      </c>
      <c r="AK818" s="25"/>
      <c r="AL818" s="25" t="str">
        <f>if('Ingest Template'!A817="Standard",'Ingest Template'!S817&amp; "|2021-01-01",'Ingest Template'!S817)</f>
        <v>#N/A</v>
      </c>
      <c r="AM818" s="25"/>
    </row>
    <row r="819">
      <c r="A819" s="25"/>
      <c r="B819" s="25" t="str">
        <f>'Ingest Template'!C818&amp;IF('Ingest Template'!A818 = "Standard", " - DAR","")</f>
        <v/>
      </c>
      <c r="C819" s="34" t="s">
        <v>92</v>
      </c>
      <c r="D819" s="34" t="str">
        <f>CONCATENATE('Ingest Template'!E819&amp;Char(10)&amp;'Ingest Template'!G819&amp;Char(10)&amp;'Ingest Template'!H819&amp;Char(10)&amp;'Ingest Template'!I819&amp;Char(10)&amp;'Ingest Template'!J819&amp;Char(10)&amp;'Ingest Template'!K819&amp;Char(10)&amp;'Ingest Template'!L819)</f>
        <v>
</v>
      </c>
      <c r="E819" s="25" t="str">
        <f>('Ingest Template'!M819)</f>
        <v/>
      </c>
      <c r="F819" s="40" t="str">
        <f t="array" ref="F819">INDEX(DropDown!$J$2:$J$63,MATCH(1,COUNTIF(E819,DropDown!$I$2:$I$63),0))</f>
        <v>#N/A</v>
      </c>
      <c r="G819" s="25"/>
      <c r="H819" s="25"/>
      <c r="I819" s="25"/>
      <c r="J819" s="25" t="str">
        <f>'Ingest Template'!B819</f>
        <v/>
      </c>
      <c r="K819" s="25" t="str">
        <f>IF('Ingest Template'!A818="Standard",'Ingest Template'!N818,"Competitive View")</f>
        <v>Competitive View</v>
      </c>
      <c r="L819" s="41" t="s">
        <v>145</v>
      </c>
      <c r="M819" s="25" t="str">
        <f>'Ingest Template'!D818</f>
        <v/>
      </c>
      <c r="N819" s="25"/>
      <c r="O819" s="25"/>
      <c r="P819" s="25"/>
      <c r="Q819" s="25"/>
      <c r="R819" s="25" t="str">
        <f>CONCATENATE('Ingest Template'!F818)</f>
        <v/>
      </c>
      <c r="S819" s="43" t="s">
        <v>160</v>
      </c>
      <c r="T819" s="25" t="str">
        <f>'Ingest Template'!W818</f>
        <v/>
      </c>
      <c r="U819" s="25"/>
      <c r="V819" s="25" t="str">
        <f>LOWER(SUBSTITUTE(SUBSTITUTE(SUBSTITUTE(SUBSTITUTE(SUBSTITUTE('Ingest Template'!Y818,"https:",""),"www.",""),"/",""),"?hl=en",""),"instagram.com",""))</f>
        <v/>
      </c>
      <c r="W819" s="34" t="str">
        <f>(IFERROR(vlookup('Ingest Template'!F819,DropDown!D:E,2,false)&amp;'Ingest Template'!C819,""))</f>
        <v/>
      </c>
      <c r="X819" s="25" t="str">
        <f>'Ingest Template'!AA818</f>
        <v/>
      </c>
      <c r="Y819" s="25"/>
      <c r="Z819" s="25"/>
      <c r="AA819" s="25"/>
      <c r="AB819" s="25" t="str">
        <f>'Ingest Template'!T818</f>
        <v/>
      </c>
      <c r="AC819" s="25"/>
      <c r="AD819" s="25" t="str">
        <f>'Ingest Template'!U818</f>
        <v/>
      </c>
      <c r="AE819" s="25" t="str">
        <f>'Ingest Template'!V818</f>
        <v/>
      </c>
      <c r="AF819" s="25"/>
      <c r="AG819" s="25" t="str">
        <f t="array" ref="AG819">IF('Ingest Template'!A818="Standard",(CONCATENATE(IF(ISBLANK('Ingest Template'!O818),"", 'Ingest Template'!O818&amp;"|DAR"),CHAR(10), IF(ISBLANK('Ingest Template'!P818),"", 'Ingest Template'!P818&amp;"|DAR"),CHAR(10), IF(ISBLANK('Ingest Template'!Q818),"", 'Ingest Template'!Q818&amp;"|DAR"))),(CONCATENATE(IF(ISBLANK('Ingest Template'!O818),"", 'Ingest Template'!O818&amp;"|Operations - Core Title"),CHAR(10), IF(ISBLANK('Ingest Template'!P818),"", 'Ingest Template'!P818&amp;"|Operations - Core Title"),CHAR(10), IF(ISBLANK('Ingest Template'!Q818),"", 'Ingest Template'!Q818&amp;"|Operations - Core Title"))))</f>
        <v>#|Operations - Core Title
#videoGame|Operations - Core Title
</v>
      </c>
      <c r="AH819" s="25"/>
      <c r="AI819" s="25"/>
      <c r="AJ819" s="50" t="str">
        <f>if('Ingest Template'!A818="Standard",'Ingest Template'!R818&amp; "|DAR|DAR|2021-01-01",'Ingest Template'!R818&amp; "|Operations - Core Title|Operations - Core Title")</f>
        <v>#N/A</v>
      </c>
      <c r="AK819" s="25"/>
      <c r="AL819" s="25" t="str">
        <f>if('Ingest Template'!A818="Standard",'Ingest Template'!S818&amp; "|2021-01-01",'Ingest Template'!S818)</f>
        <v>#N/A</v>
      </c>
      <c r="AM819" s="25"/>
    </row>
    <row r="820">
      <c r="A820" s="25"/>
      <c r="B820" s="25" t="str">
        <f>'Ingest Template'!C819&amp;IF('Ingest Template'!A819 = "Standard", " - DAR","")</f>
        <v/>
      </c>
      <c r="C820" s="34" t="s">
        <v>92</v>
      </c>
      <c r="D820" s="34" t="str">
        <f>CONCATENATE('Ingest Template'!E820&amp;Char(10)&amp;'Ingest Template'!G820&amp;Char(10)&amp;'Ingest Template'!H820&amp;Char(10)&amp;'Ingest Template'!I820&amp;Char(10)&amp;'Ingest Template'!J820&amp;Char(10)&amp;'Ingest Template'!K820&amp;Char(10)&amp;'Ingest Template'!L820)</f>
        <v>
</v>
      </c>
      <c r="E820" s="25" t="str">
        <f>('Ingest Template'!M820)</f>
        <v/>
      </c>
      <c r="F820" s="40" t="str">
        <f t="array" ref="F820">INDEX(DropDown!$J$2:$J$63,MATCH(1,COUNTIF(E820,DropDown!$I$2:$I$63),0))</f>
        <v>#N/A</v>
      </c>
      <c r="G820" s="25"/>
      <c r="H820" s="25"/>
      <c r="I820" s="25"/>
      <c r="J820" s="25" t="str">
        <f>'Ingest Template'!B820</f>
        <v/>
      </c>
      <c r="K820" s="25" t="str">
        <f>IF('Ingest Template'!A819="Standard",'Ingest Template'!N819,"Competitive View")</f>
        <v>Competitive View</v>
      </c>
      <c r="L820" s="41" t="s">
        <v>145</v>
      </c>
      <c r="M820" s="25" t="str">
        <f>'Ingest Template'!D819</f>
        <v/>
      </c>
      <c r="N820" s="25"/>
      <c r="O820" s="25"/>
      <c r="P820" s="25"/>
      <c r="Q820" s="25"/>
      <c r="R820" s="25" t="str">
        <f>CONCATENATE('Ingest Template'!F819)</f>
        <v/>
      </c>
      <c r="S820" s="43" t="s">
        <v>160</v>
      </c>
      <c r="T820" s="25" t="str">
        <f>'Ingest Template'!W819</f>
        <v/>
      </c>
      <c r="U820" s="25"/>
      <c r="V820" s="25" t="str">
        <f>LOWER(SUBSTITUTE(SUBSTITUTE(SUBSTITUTE(SUBSTITUTE(SUBSTITUTE('Ingest Template'!Y819,"https:",""),"www.",""),"/",""),"?hl=en",""),"instagram.com",""))</f>
        <v/>
      </c>
      <c r="W820" s="34" t="str">
        <f>(IFERROR(vlookup('Ingest Template'!F820,DropDown!D:E,2,false)&amp;'Ingest Template'!C820,""))</f>
        <v/>
      </c>
      <c r="X820" s="25" t="str">
        <f>'Ingest Template'!AA819</f>
        <v/>
      </c>
      <c r="Y820" s="25"/>
      <c r="Z820" s="25"/>
      <c r="AA820" s="25"/>
      <c r="AB820" s="25" t="str">
        <f>'Ingest Template'!T819</f>
        <v/>
      </c>
      <c r="AC820" s="25"/>
      <c r="AD820" s="25" t="str">
        <f>'Ingest Template'!U819</f>
        <v/>
      </c>
      <c r="AE820" s="25" t="str">
        <f>'Ingest Template'!V819</f>
        <v/>
      </c>
      <c r="AF820" s="25"/>
      <c r="AG820" s="25" t="str">
        <f t="array" ref="AG820">IF('Ingest Template'!A819="Standard",(CONCATENATE(IF(ISBLANK('Ingest Template'!O819),"", 'Ingest Template'!O819&amp;"|DAR"),CHAR(10), IF(ISBLANK('Ingest Template'!P819),"", 'Ingest Template'!P819&amp;"|DAR"),CHAR(10), IF(ISBLANK('Ingest Template'!Q819),"", 'Ingest Template'!Q819&amp;"|DAR"))),(CONCATENATE(IF(ISBLANK('Ingest Template'!O819),"", 'Ingest Template'!O819&amp;"|Operations - Core Title"),CHAR(10), IF(ISBLANK('Ingest Template'!P819),"", 'Ingest Template'!P819&amp;"|Operations - Core Title"),CHAR(10), IF(ISBLANK('Ingest Template'!Q819),"", 'Ingest Template'!Q819&amp;"|Operations - Core Title"))))</f>
        <v>#|Operations - Core Title
#videoGame|Operations - Core Title
</v>
      </c>
      <c r="AH820" s="25"/>
      <c r="AI820" s="25"/>
      <c r="AJ820" s="50" t="str">
        <f>if('Ingest Template'!A819="Standard",'Ingest Template'!R819&amp; "|DAR|DAR|2021-01-01",'Ingest Template'!R819&amp; "|Operations - Core Title|Operations - Core Title")</f>
        <v>#N/A</v>
      </c>
      <c r="AK820" s="25"/>
      <c r="AL820" s="25" t="str">
        <f>if('Ingest Template'!A819="Standard",'Ingest Template'!S819&amp; "|2021-01-01",'Ingest Template'!S819)</f>
        <v>#N/A</v>
      </c>
      <c r="AM820" s="25"/>
    </row>
    <row r="821">
      <c r="A821" s="25"/>
      <c r="B821" s="25" t="str">
        <f>'Ingest Template'!C820&amp;IF('Ingest Template'!A820 = "Standard", " - DAR","")</f>
        <v/>
      </c>
      <c r="C821" s="34" t="s">
        <v>92</v>
      </c>
      <c r="D821" s="34" t="str">
        <f>CONCATENATE('Ingest Template'!E821&amp;Char(10)&amp;'Ingest Template'!G821&amp;Char(10)&amp;'Ingest Template'!H821&amp;Char(10)&amp;'Ingest Template'!I821&amp;Char(10)&amp;'Ingest Template'!J821&amp;Char(10)&amp;'Ingest Template'!K821&amp;Char(10)&amp;'Ingest Template'!L821)</f>
        <v>
</v>
      </c>
      <c r="E821" s="25" t="str">
        <f>('Ingest Template'!M821)</f>
        <v/>
      </c>
      <c r="F821" s="40" t="str">
        <f t="array" ref="F821">INDEX(DropDown!$J$2:$J$63,MATCH(1,COUNTIF(E821,DropDown!$I$2:$I$63),0))</f>
        <v>#N/A</v>
      </c>
      <c r="G821" s="25"/>
      <c r="H821" s="25"/>
      <c r="I821" s="25"/>
      <c r="J821" s="25" t="str">
        <f>'Ingest Template'!B821</f>
        <v/>
      </c>
      <c r="K821" s="25" t="str">
        <f>IF('Ingest Template'!A820="Standard",'Ingest Template'!N820,"Competitive View")</f>
        <v>Competitive View</v>
      </c>
      <c r="L821" s="41" t="s">
        <v>145</v>
      </c>
      <c r="M821" s="25" t="str">
        <f>'Ingest Template'!D820</f>
        <v/>
      </c>
      <c r="N821" s="25"/>
      <c r="O821" s="25"/>
      <c r="P821" s="25"/>
      <c r="Q821" s="25"/>
      <c r="R821" s="25" t="str">
        <f>CONCATENATE('Ingest Template'!F820)</f>
        <v/>
      </c>
      <c r="S821" s="43" t="s">
        <v>160</v>
      </c>
      <c r="T821" s="25" t="str">
        <f>'Ingest Template'!W820</f>
        <v/>
      </c>
      <c r="U821" s="25"/>
      <c r="V821" s="25" t="str">
        <f>LOWER(SUBSTITUTE(SUBSTITUTE(SUBSTITUTE(SUBSTITUTE(SUBSTITUTE('Ingest Template'!Y820,"https:",""),"www.",""),"/",""),"?hl=en",""),"instagram.com",""))</f>
        <v/>
      </c>
      <c r="W821" s="34" t="str">
        <f>(IFERROR(vlookup('Ingest Template'!F821,DropDown!D:E,2,false)&amp;'Ingest Template'!C821,""))</f>
        <v/>
      </c>
      <c r="X821" s="25" t="str">
        <f>'Ingest Template'!AA820</f>
        <v/>
      </c>
      <c r="Y821" s="25"/>
      <c r="Z821" s="25"/>
      <c r="AA821" s="25"/>
      <c r="AB821" s="25" t="str">
        <f>'Ingest Template'!T820</f>
        <v/>
      </c>
      <c r="AC821" s="25"/>
      <c r="AD821" s="25" t="str">
        <f>'Ingest Template'!U820</f>
        <v/>
      </c>
      <c r="AE821" s="25" t="str">
        <f>'Ingest Template'!V820</f>
        <v/>
      </c>
      <c r="AF821" s="25"/>
      <c r="AG821" s="25" t="str">
        <f t="array" ref="AG821">IF('Ingest Template'!A820="Standard",(CONCATENATE(IF(ISBLANK('Ingest Template'!O820),"", 'Ingest Template'!O820&amp;"|DAR"),CHAR(10), IF(ISBLANK('Ingest Template'!P820),"", 'Ingest Template'!P820&amp;"|DAR"),CHAR(10), IF(ISBLANK('Ingest Template'!Q820),"", 'Ingest Template'!Q820&amp;"|DAR"))),(CONCATENATE(IF(ISBLANK('Ingest Template'!O820),"", 'Ingest Template'!O820&amp;"|Operations - Core Title"),CHAR(10), IF(ISBLANK('Ingest Template'!P820),"", 'Ingest Template'!P820&amp;"|Operations - Core Title"),CHAR(10), IF(ISBLANK('Ingest Template'!Q820),"", 'Ingest Template'!Q820&amp;"|Operations - Core Title"))))</f>
        <v>#|Operations - Core Title
#videoGame|Operations - Core Title
</v>
      </c>
      <c r="AH821" s="25"/>
      <c r="AI821" s="25"/>
      <c r="AJ821" s="50" t="str">
        <f>if('Ingest Template'!A820="Standard",'Ingest Template'!R820&amp; "|DAR|DAR|2021-01-01",'Ingest Template'!R820&amp; "|Operations - Core Title|Operations - Core Title")</f>
        <v>#N/A</v>
      </c>
      <c r="AK821" s="25"/>
      <c r="AL821" s="25" t="str">
        <f>if('Ingest Template'!A820="Standard",'Ingest Template'!S820&amp; "|2021-01-01",'Ingest Template'!S820)</f>
        <v>#N/A</v>
      </c>
      <c r="AM821" s="25"/>
    </row>
    <row r="822">
      <c r="A822" s="25"/>
      <c r="B822" s="25" t="str">
        <f>'Ingest Template'!C821&amp;IF('Ingest Template'!A821 = "Standard", " - DAR","")</f>
        <v/>
      </c>
      <c r="C822" s="34" t="s">
        <v>92</v>
      </c>
      <c r="D822" s="34" t="str">
        <f>CONCATENATE('Ingest Template'!E822&amp;Char(10)&amp;'Ingest Template'!G822&amp;Char(10)&amp;'Ingest Template'!H822&amp;Char(10)&amp;'Ingest Template'!I822&amp;Char(10)&amp;'Ingest Template'!J822&amp;Char(10)&amp;'Ingest Template'!K822&amp;Char(10)&amp;'Ingest Template'!L822)</f>
        <v>
</v>
      </c>
      <c r="E822" s="25" t="str">
        <f>('Ingest Template'!M822)</f>
        <v/>
      </c>
      <c r="F822" s="40" t="str">
        <f t="array" ref="F822">INDEX(DropDown!$J$2:$J$63,MATCH(1,COUNTIF(E822,DropDown!$I$2:$I$63),0))</f>
        <v>#N/A</v>
      </c>
      <c r="G822" s="25"/>
      <c r="H822" s="25"/>
      <c r="I822" s="25"/>
      <c r="J822" s="25" t="str">
        <f>'Ingest Template'!B822</f>
        <v/>
      </c>
      <c r="K822" s="25" t="str">
        <f>IF('Ingest Template'!A821="Standard",'Ingest Template'!N821,"Competitive View")</f>
        <v>Competitive View</v>
      </c>
      <c r="L822" s="41" t="s">
        <v>145</v>
      </c>
      <c r="M822" s="25" t="str">
        <f>'Ingest Template'!D821</f>
        <v/>
      </c>
      <c r="N822" s="25"/>
      <c r="O822" s="25"/>
      <c r="P822" s="25"/>
      <c r="Q822" s="25"/>
      <c r="R822" s="25" t="str">
        <f>CONCATENATE('Ingest Template'!F821)</f>
        <v/>
      </c>
      <c r="S822" s="43" t="s">
        <v>160</v>
      </c>
      <c r="T822" s="25" t="str">
        <f>'Ingest Template'!W821</f>
        <v/>
      </c>
      <c r="U822" s="25"/>
      <c r="V822" s="25" t="str">
        <f>LOWER(SUBSTITUTE(SUBSTITUTE(SUBSTITUTE(SUBSTITUTE(SUBSTITUTE('Ingest Template'!Y821,"https:",""),"www.",""),"/",""),"?hl=en",""),"instagram.com",""))</f>
        <v/>
      </c>
      <c r="W822" s="34" t="str">
        <f>(IFERROR(vlookup('Ingest Template'!F822,DropDown!D:E,2,false)&amp;'Ingest Template'!C822,""))</f>
        <v/>
      </c>
      <c r="X822" s="25" t="str">
        <f>'Ingest Template'!AA821</f>
        <v/>
      </c>
      <c r="Y822" s="25"/>
      <c r="Z822" s="25"/>
      <c r="AA822" s="25"/>
      <c r="AB822" s="25" t="str">
        <f>'Ingest Template'!T821</f>
        <v/>
      </c>
      <c r="AC822" s="25"/>
      <c r="AD822" s="25" t="str">
        <f>'Ingest Template'!U821</f>
        <v/>
      </c>
      <c r="AE822" s="25" t="str">
        <f>'Ingest Template'!V821</f>
        <v/>
      </c>
      <c r="AF822" s="25"/>
      <c r="AG822" s="25" t="str">
        <f t="array" ref="AG822">IF('Ingest Template'!A821="Standard",(CONCATENATE(IF(ISBLANK('Ingest Template'!O821),"", 'Ingest Template'!O821&amp;"|DAR"),CHAR(10), IF(ISBLANK('Ingest Template'!P821),"", 'Ingest Template'!P821&amp;"|DAR"),CHAR(10), IF(ISBLANK('Ingest Template'!Q821),"", 'Ingest Template'!Q821&amp;"|DAR"))),(CONCATENATE(IF(ISBLANK('Ingest Template'!O821),"", 'Ingest Template'!O821&amp;"|Operations - Core Title"),CHAR(10), IF(ISBLANK('Ingest Template'!P821),"", 'Ingest Template'!P821&amp;"|Operations - Core Title"),CHAR(10), IF(ISBLANK('Ingest Template'!Q821),"", 'Ingest Template'!Q821&amp;"|Operations - Core Title"))))</f>
        <v>#|Operations - Core Title
#videoGame|Operations - Core Title
</v>
      </c>
      <c r="AH822" s="25"/>
      <c r="AI822" s="25"/>
      <c r="AJ822" s="50" t="str">
        <f>if('Ingest Template'!A821="Standard",'Ingest Template'!R821&amp; "|DAR|DAR|2021-01-01",'Ingest Template'!R821&amp; "|Operations - Core Title|Operations - Core Title")</f>
        <v>#N/A</v>
      </c>
      <c r="AK822" s="25"/>
      <c r="AL822" s="25" t="str">
        <f>if('Ingest Template'!A821="Standard",'Ingest Template'!S821&amp; "|2021-01-01",'Ingest Template'!S821)</f>
        <v>#N/A</v>
      </c>
      <c r="AM822" s="25"/>
    </row>
    <row r="823">
      <c r="A823" s="25"/>
      <c r="B823" s="25" t="str">
        <f>'Ingest Template'!C822&amp;IF('Ingest Template'!A822 = "Standard", " - DAR","")</f>
        <v/>
      </c>
      <c r="C823" s="34" t="s">
        <v>92</v>
      </c>
      <c r="D823" s="34" t="str">
        <f>CONCATENATE('Ingest Template'!E823&amp;Char(10)&amp;'Ingest Template'!G823&amp;Char(10)&amp;'Ingest Template'!H823&amp;Char(10)&amp;'Ingest Template'!I823&amp;Char(10)&amp;'Ingest Template'!J823&amp;Char(10)&amp;'Ingest Template'!K823&amp;Char(10)&amp;'Ingest Template'!L823)</f>
        <v>
</v>
      </c>
      <c r="E823" s="25" t="str">
        <f>('Ingest Template'!M823)</f>
        <v/>
      </c>
      <c r="F823" s="40" t="str">
        <f t="array" ref="F823">INDEX(DropDown!$J$2:$J$63,MATCH(1,COUNTIF(E823,DropDown!$I$2:$I$63),0))</f>
        <v>#N/A</v>
      </c>
      <c r="G823" s="25"/>
      <c r="H823" s="25"/>
      <c r="I823" s="25"/>
      <c r="J823" s="25" t="str">
        <f>'Ingest Template'!B823</f>
        <v/>
      </c>
      <c r="K823" s="25" t="str">
        <f>IF('Ingest Template'!A822="Standard",'Ingest Template'!N822,"Competitive View")</f>
        <v>Competitive View</v>
      </c>
      <c r="L823" s="41" t="s">
        <v>145</v>
      </c>
      <c r="M823" s="25" t="str">
        <f>'Ingest Template'!D822</f>
        <v/>
      </c>
      <c r="N823" s="25"/>
      <c r="O823" s="25"/>
      <c r="P823" s="25"/>
      <c r="Q823" s="25"/>
      <c r="R823" s="25" t="str">
        <f>CONCATENATE('Ingest Template'!F822)</f>
        <v/>
      </c>
      <c r="S823" s="43" t="s">
        <v>160</v>
      </c>
      <c r="T823" s="25" t="str">
        <f>'Ingest Template'!W822</f>
        <v/>
      </c>
      <c r="U823" s="25"/>
      <c r="V823" s="25" t="str">
        <f>LOWER(SUBSTITUTE(SUBSTITUTE(SUBSTITUTE(SUBSTITUTE(SUBSTITUTE('Ingest Template'!Y822,"https:",""),"www.",""),"/",""),"?hl=en",""),"instagram.com",""))</f>
        <v/>
      </c>
      <c r="W823" s="34" t="str">
        <f>(IFERROR(vlookup('Ingest Template'!F823,DropDown!D:E,2,false)&amp;'Ingest Template'!C823,""))</f>
        <v/>
      </c>
      <c r="X823" s="25" t="str">
        <f>'Ingest Template'!AA822</f>
        <v/>
      </c>
      <c r="Y823" s="25"/>
      <c r="Z823" s="25"/>
      <c r="AA823" s="25"/>
      <c r="AB823" s="25" t="str">
        <f>'Ingest Template'!T822</f>
        <v/>
      </c>
      <c r="AC823" s="25"/>
      <c r="AD823" s="25" t="str">
        <f>'Ingest Template'!U822</f>
        <v/>
      </c>
      <c r="AE823" s="25" t="str">
        <f>'Ingest Template'!V822</f>
        <v/>
      </c>
      <c r="AF823" s="25"/>
      <c r="AG823" s="25" t="str">
        <f t="array" ref="AG823">IF('Ingest Template'!A822="Standard",(CONCATENATE(IF(ISBLANK('Ingest Template'!O822),"", 'Ingest Template'!O822&amp;"|DAR"),CHAR(10), IF(ISBLANK('Ingest Template'!P822),"", 'Ingest Template'!P822&amp;"|DAR"),CHAR(10), IF(ISBLANK('Ingest Template'!Q822),"", 'Ingest Template'!Q822&amp;"|DAR"))),(CONCATENATE(IF(ISBLANK('Ingest Template'!O822),"", 'Ingest Template'!O822&amp;"|Operations - Core Title"),CHAR(10), IF(ISBLANK('Ingest Template'!P822),"", 'Ingest Template'!P822&amp;"|Operations - Core Title"),CHAR(10), IF(ISBLANK('Ingest Template'!Q822),"", 'Ingest Template'!Q822&amp;"|Operations - Core Title"))))</f>
        <v>#|Operations - Core Title
#videoGame|Operations - Core Title
</v>
      </c>
      <c r="AH823" s="25"/>
      <c r="AI823" s="25"/>
      <c r="AJ823" s="50" t="str">
        <f>if('Ingest Template'!A822="Standard",'Ingest Template'!R822&amp; "|DAR|DAR|2021-01-01",'Ingest Template'!R822&amp; "|Operations - Core Title|Operations - Core Title")</f>
        <v>#N/A</v>
      </c>
      <c r="AK823" s="25"/>
      <c r="AL823" s="25" t="str">
        <f>if('Ingest Template'!A822="Standard",'Ingest Template'!S822&amp; "|2021-01-01",'Ingest Template'!S822)</f>
        <v>#N/A</v>
      </c>
      <c r="AM823" s="25"/>
    </row>
    <row r="824">
      <c r="A824" s="25"/>
      <c r="B824" s="25" t="str">
        <f>'Ingest Template'!C823&amp;IF('Ingest Template'!A823 = "Standard", " - DAR","")</f>
        <v/>
      </c>
      <c r="C824" s="34" t="s">
        <v>92</v>
      </c>
      <c r="D824" s="34" t="str">
        <f>CONCATENATE('Ingest Template'!E824&amp;Char(10)&amp;'Ingest Template'!G824&amp;Char(10)&amp;'Ingest Template'!H824&amp;Char(10)&amp;'Ingest Template'!I824&amp;Char(10)&amp;'Ingest Template'!J824&amp;Char(10)&amp;'Ingest Template'!K824&amp;Char(10)&amp;'Ingest Template'!L824)</f>
        <v>
</v>
      </c>
      <c r="E824" s="25" t="str">
        <f>('Ingest Template'!M824)</f>
        <v/>
      </c>
      <c r="F824" s="40" t="str">
        <f t="array" ref="F824">INDEX(DropDown!$J$2:$J$63,MATCH(1,COUNTIF(E824,DropDown!$I$2:$I$63),0))</f>
        <v>#N/A</v>
      </c>
      <c r="G824" s="25"/>
      <c r="H824" s="25"/>
      <c r="I824" s="25"/>
      <c r="J824" s="25" t="str">
        <f>'Ingest Template'!B824</f>
        <v/>
      </c>
      <c r="K824" s="25" t="str">
        <f>IF('Ingest Template'!A823="Standard",'Ingest Template'!N823,"Competitive View")</f>
        <v>Competitive View</v>
      </c>
      <c r="L824" s="41" t="s">
        <v>145</v>
      </c>
      <c r="M824" s="25" t="str">
        <f>'Ingest Template'!D823</f>
        <v/>
      </c>
      <c r="N824" s="25"/>
      <c r="O824" s="25"/>
      <c r="P824" s="25"/>
      <c r="Q824" s="25"/>
      <c r="R824" s="25" t="str">
        <f>CONCATENATE('Ingest Template'!F823)</f>
        <v/>
      </c>
      <c r="S824" s="43" t="s">
        <v>160</v>
      </c>
      <c r="T824" s="25" t="str">
        <f>'Ingest Template'!W823</f>
        <v/>
      </c>
      <c r="U824" s="25"/>
      <c r="V824" s="25" t="str">
        <f>LOWER(SUBSTITUTE(SUBSTITUTE(SUBSTITUTE(SUBSTITUTE(SUBSTITUTE('Ingest Template'!Y823,"https:",""),"www.",""),"/",""),"?hl=en",""),"instagram.com",""))</f>
        <v/>
      </c>
      <c r="W824" s="34" t="str">
        <f>(IFERROR(vlookup('Ingest Template'!F824,DropDown!D:E,2,false)&amp;'Ingest Template'!C824,""))</f>
        <v/>
      </c>
      <c r="X824" s="25" t="str">
        <f>'Ingest Template'!AA823</f>
        <v/>
      </c>
      <c r="Y824" s="25"/>
      <c r="Z824" s="25"/>
      <c r="AA824" s="25"/>
      <c r="AB824" s="25" t="str">
        <f>'Ingest Template'!T823</f>
        <v/>
      </c>
      <c r="AC824" s="25"/>
      <c r="AD824" s="25" t="str">
        <f>'Ingest Template'!U823</f>
        <v/>
      </c>
      <c r="AE824" s="25" t="str">
        <f>'Ingest Template'!V823</f>
        <v/>
      </c>
      <c r="AF824" s="25"/>
      <c r="AG824" s="25" t="str">
        <f t="array" ref="AG824">IF('Ingest Template'!A823="Standard",(CONCATENATE(IF(ISBLANK('Ingest Template'!O823),"", 'Ingest Template'!O823&amp;"|DAR"),CHAR(10), IF(ISBLANK('Ingest Template'!P823),"", 'Ingest Template'!P823&amp;"|DAR"),CHAR(10), IF(ISBLANK('Ingest Template'!Q823),"", 'Ingest Template'!Q823&amp;"|DAR"))),(CONCATENATE(IF(ISBLANK('Ingest Template'!O823),"", 'Ingest Template'!O823&amp;"|Operations - Core Title"),CHAR(10), IF(ISBLANK('Ingest Template'!P823),"", 'Ingest Template'!P823&amp;"|Operations - Core Title"),CHAR(10), IF(ISBLANK('Ingest Template'!Q823),"", 'Ingest Template'!Q823&amp;"|Operations - Core Title"))))</f>
        <v>#|Operations - Core Title
#videoGame|Operations - Core Title
</v>
      </c>
      <c r="AH824" s="25"/>
      <c r="AI824" s="25"/>
      <c r="AJ824" s="50" t="str">
        <f>if('Ingest Template'!A823="Standard",'Ingest Template'!R823&amp; "|DAR|DAR|2021-01-01",'Ingest Template'!R823&amp; "|Operations - Core Title|Operations - Core Title")</f>
        <v>#N/A</v>
      </c>
      <c r="AK824" s="25"/>
      <c r="AL824" s="25" t="str">
        <f>if('Ingest Template'!A823="Standard",'Ingest Template'!S823&amp; "|2021-01-01",'Ingest Template'!S823)</f>
        <v>#N/A</v>
      </c>
      <c r="AM824" s="25"/>
    </row>
    <row r="825">
      <c r="A825" s="25"/>
      <c r="B825" s="25" t="str">
        <f>'Ingest Template'!C824&amp;IF('Ingest Template'!A824 = "Standard", " - DAR","")</f>
        <v/>
      </c>
      <c r="C825" s="34" t="s">
        <v>92</v>
      </c>
      <c r="D825" s="34" t="str">
        <f>CONCATENATE('Ingest Template'!E825&amp;Char(10)&amp;'Ingest Template'!G825&amp;Char(10)&amp;'Ingest Template'!H825&amp;Char(10)&amp;'Ingest Template'!I825&amp;Char(10)&amp;'Ingest Template'!J825&amp;Char(10)&amp;'Ingest Template'!K825&amp;Char(10)&amp;'Ingest Template'!L825)</f>
        <v>
</v>
      </c>
      <c r="E825" s="25" t="str">
        <f>('Ingest Template'!M825)</f>
        <v/>
      </c>
      <c r="F825" s="40" t="str">
        <f t="array" ref="F825">INDEX(DropDown!$J$2:$J$63,MATCH(1,COUNTIF(E825,DropDown!$I$2:$I$63),0))</f>
        <v>#N/A</v>
      </c>
      <c r="G825" s="25"/>
      <c r="H825" s="25"/>
      <c r="I825" s="25"/>
      <c r="J825" s="25" t="str">
        <f>'Ingest Template'!B825</f>
        <v/>
      </c>
      <c r="K825" s="25" t="str">
        <f>IF('Ingest Template'!A824="Standard",'Ingest Template'!N824,"Competitive View")</f>
        <v>Competitive View</v>
      </c>
      <c r="L825" s="41" t="s">
        <v>145</v>
      </c>
      <c r="M825" s="25" t="str">
        <f>'Ingest Template'!D824</f>
        <v/>
      </c>
      <c r="N825" s="25"/>
      <c r="O825" s="25"/>
      <c r="P825" s="25"/>
      <c r="Q825" s="25"/>
      <c r="R825" s="25" t="str">
        <f>CONCATENATE('Ingest Template'!F824)</f>
        <v/>
      </c>
      <c r="S825" s="43" t="s">
        <v>160</v>
      </c>
      <c r="T825" s="25" t="str">
        <f>'Ingest Template'!W824</f>
        <v/>
      </c>
      <c r="U825" s="25"/>
      <c r="V825" s="25" t="str">
        <f>LOWER(SUBSTITUTE(SUBSTITUTE(SUBSTITUTE(SUBSTITUTE(SUBSTITUTE('Ingest Template'!Y824,"https:",""),"www.",""),"/",""),"?hl=en",""),"instagram.com",""))</f>
        <v/>
      </c>
      <c r="W825" s="34" t="str">
        <f>(IFERROR(vlookup('Ingest Template'!F825,DropDown!D:E,2,false)&amp;'Ingest Template'!C825,""))</f>
        <v/>
      </c>
      <c r="X825" s="25" t="str">
        <f>'Ingest Template'!AA824</f>
        <v/>
      </c>
      <c r="Y825" s="25"/>
      <c r="Z825" s="25"/>
      <c r="AA825" s="25"/>
      <c r="AB825" s="25" t="str">
        <f>'Ingest Template'!T824</f>
        <v/>
      </c>
      <c r="AC825" s="25"/>
      <c r="AD825" s="25" t="str">
        <f>'Ingest Template'!U824</f>
        <v/>
      </c>
      <c r="AE825" s="25" t="str">
        <f>'Ingest Template'!V824</f>
        <v/>
      </c>
      <c r="AF825" s="25"/>
      <c r="AG825" s="25" t="str">
        <f t="array" ref="AG825">IF('Ingest Template'!A824="Standard",(CONCATENATE(IF(ISBLANK('Ingest Template'!O824),"", 'Ingest Template'!O824&amp;"|DAR"),CHAR(10), IF(ISBLANK('Ingest Template'!P824),"", 'Ingest Template'!P824&amp;"|DAR"),CHAR(10), IF(ISBLANK('Ingest Template'!Q824),"", 'Ingest Template'!Q824&amp;"|DAR"))),(CONCATENATE(IF(ISBLANK('Ingest Template'!O824),"", 'Ingest Template'!O824&amp;"|Operations - Core Title"),CHAR(10), IF(ISBLANK('Ingest Template'!P824),"", 'Ingest Template'!P824&amp;"|Operations - Core Title"),CHAR(10), IF(ISBLANK('Ingest Template'!Q824),"", 'Ingest Template'!Q824&amp;"|Operations - Core Title"))))</f>
        <v>#|Operations - Core Title
#videoGame|Operations - Core Title
</v>
      </c>
      <c r="AH825" s="25"/>
      <c r="AI825" s="25"/>
      <c r="AJ825" s="50" t="str">
        <f>if('Ingest Template'!A824="Standard",'Ingest Template'!R824&amp; "|DAR|DAR|2021-01-01",'Ingest Template'!R824&amp; "|Operations - Core Title|Operations - Core Title")</f>
        <v>#N/A</v>
      </c>
      <c r="AK825" s="25"/>
      <c r="AL825" s="25" t="str">
        <f>if('Ingest Template'!A824="Standard",'Ingest Template'!S824&amp; "|2021-01-01",'Ingest Template'!S824)</f>
        <v>#N/A</v>
      </c>
      <c r="AM825" s="25"/>
    </row>
    <row r="826">
      <c r="A826" s="25"/>
      <c r="B826" s="25" t="str">
        <f>'Ingest Template'!C825&amp;IF('Ingest Template'!A825 = "Standard", " - DAR","")</f>
        <v/>
      </c>
      <c r="C826" s="34" t="s">
        <v>92</v>
      </c>
      <c r="D826" s="34" t="str">
        <f>CONCATENATE('Ingest Template'!E826&amp;Char(10)&amp;'Ingest Template'!G826&amp;Char(10)&amp;'Ingest Template'!H826&amp;Char(10)&amp;'Ingest Template'!I826&amp;Char(10)&amp;'Ingest Template'!J826&amp;Char(10)&amp;'Ingest Template'!K826&amp;Char(10)&amp;'Ingest Template'!L826)</f>
        <v>
</v>
      </c>
      <c r="E826" s="25" t="str">
        <f>('Ingest Template'!M826)</f>
        <v/>
      </c>
      <c r="F826" s="40" t="str">
        <f t="array" ref="F826">INDEX(DropDown!$J$2:$J$63,MATCH(1,COUNTIF(E826,DropDown!$I$2:$I$63),0))</f>
        <v>#N/A</v>
      </c>
      <c r="G826" s="25"/>
      <c r="H826" s="25"/>
      <c r="I826" s="25"/>
      <c r="J826" s="25" t="str">
        <f>'Ingest Template'!B826</f>
        <v/>
      </c>
      <c r="K826" s="25" t="str">
        <f>IF('Ingest Template'!A825="Standard",'Ingest Template'!N825,"Competitive View")</f>
        <v>Competitive View</v>
      </c>
      <c r="L826" s="41" t="s">
        <v>145</v>
      </c>
      <c r="M826" s="25" t="str">
        <f>'Ingest Template'!D825</f>
        <v/>
      </c>
      <c r="N826" s="25"/>
      <c r="O826" s="25"/>
      <c r="P826" s="25"/>
      <c r="Q826" s="25"/>
      <c r="R826" s="25" t="str">
        <f>CONCATENATE('Ingest Template'!F825)</f>
        <v/>
      </c>
      <c r="S826" s="43" t="s">
        <v>160</v>
      </c>
      <c r="T826" s="25" t="str">
        <f>'Ingest Template'!W825</f>
        <v/>
      </c>
      <c r="U826" s="25"/>
      <c r="V826" s="25" t="str">
        <f>LOWER(SUBSTITUTE(SUBSTITUTE(SUBSTITUTE(SUBSTITUTE(SUBSTITUTE('Ingest Template'!Y825,"https:",""),"www.",""),"/",""),"?hl=en",""),"instagram.com",""))</f>
        <v/>
      </c>
      <c r="W826" s="34" t="str">
        <f>(IFERROR(vlookup('Ingest Template'!F826,DropDown!D:E,2,false)&amp;'Ingest Template'!C826,""))</f>
        <v/>
      </c>
      <c r="X826" s="25" t="str">
        <f>'Ingest Template'!AA825</f>
        <v/>
      </c>
      <c r="Y826" s="25"/>
      <c r="Z826" s="25"/>
      <c r="AA826" s="25"/>
      <c r="AB826" s="25" t="str">
        <f>'Ingest Template'!T825</f>
        <v/>
      </c>
      <c r="AC826" s="25"/>
      <c r="AD826" s="25" t="str">
        <f>'Ingest Template'!U825</f>
        <v/>
      </c>
      <c r="AE826" s="25" t="str">
        <f>'Ingest Template'!V825</f>
        <v/>
      </c>
      <c r="AF826" s="25"/>
      <c r="AG826" s="25" t="str">
        <f t="array" ref="AG826">IF('Ingest Template'!A825="Standard",(CONCATENATE(IF(ISBLANK('Ingest Template'!O825),"", 'Ingest Template'!O825&amp;"|DAR"),CHAR(10), IF(ISBLANK('Ingest Template'!P825),"", 'Ingest Template'!P825&amp;"|DAR"),CHAR(10), IF(ISBLANK('Ingest Template'!Q825),"", 'Ingest Template'!Q825&amp;"|DAR"))),(CONCATENATE(IF(ISBLANK('Ingest Template'!O825),"", 'Ingest Template'!O825&amp;"|Operations - Core Title"),CHAR(10), IF(ISBLANK('Ingest Template'!P825),"", 'Ingest Template'!P825&amp;"|Operations - Core Title"),CHAR(10), IF(ISBLANK('Ingest Template'!Q825),"", 'Ingest Template'!Q825&amp;"|Operations - Core Title"))))</f>
        <v>#|Operations - Core Title
#videoGame|Operations - Core Title
</v>
      </c>
      <c r="AH826" s="25"/>
      <c r="AI826" s="25"/>
      <c r="AJ826" s="50" t="str">
        <f>if('Ingest Template'!A825="Standard",'Ingest Template'!R825&amp; "|DAR|DAR|2021-01-01",'Ingest Template'!R825&amp; "|Operations - Core Title|Operations - Core Title")</f>
        <v>#N/A</v>
      </c>
      <c r="AK826" s="25"/>
      <c r="AL826" s="25" t="str">
        <f>if('Ingest Template'!A825="Standard",'Ingest Template'!S825&amp; "|2021-01-01",'Ingest Template'!S825)</f>
        <v>#N/A</v>
      </c>
      <c r="AM826" s="25"/>
    </row>
    <row r="827">
      <c r="A827" s="25"/>
      <c r="B827" s="25" t="str">
        <f>'Ingest Template'!C826&amp;IF('Ingest Template'!A826 = "Standard", " - DAR","")</f>
        <v/>
      </c>
      <c r="C827" s="34" t="s">
        <v>92</v>
      </c>
      <c r="D827" s="34" t="str">
        <f>CONCATENATE('Ingest Template'!E827&amp;Char(10)&amp;'Ingest Template'!G827&amp;Char(10)&amp;'Ingest Template'!H827&amp;Char(10)&amp;'Ingest Template'!I827&amp;Char(10)&amp;'Ingest Template'!J827&amp;Char(10)&amp;'Ingest Template'!K827&amp;Char(10)&amp;'Ingest Template'!L827)</f>
        <v>
</v>
      </c>
      <c r="E827" s="25" t="str">
        <f>('Ingest Template'!M827)</f>
        <v/>
      </c>
      <c r="F827" s="40" t="str">
        <f t="array" ref="F827">INDEX(DropDown!$J$2:$J$63,MATCH(1,COUNTIF(E827,DropDown!$I$2:$I$63),0))</f>
        <v>#N/A</v>
      </c>
      <c r="G827" s="25"/>
      <c r="H827" s="25"/>
      <c r="I827" s="25"/>
      <c r="J827" s="25" t="str">
        <f>'Ingest Template'!B827</f>
        <v/>
      </c>
      <c r="K827" s="25" t="str">
        <f>IF('Ingest Template'!A826="Standard",'Ingest Template'!N826,"Competitive View")</f>
        <v>Competitive View</v>
      </c>
      <c r="L827" s="41" t="s">
        <v>145</v>
      </c>
      <c r="M827" s="25" t="str">
        <f>'Ingest Template'!D826</f>
        <v/>
      </c>
      <c r="N827" s="25"/>
      <c r="O827" s="25"/>
      <c r="P827" s="25"/>
      <c r="Q827" s="25"/>
      <c r="R827" s="25" t="str">
        <f>CONCATENATE('Ingest Template'!F826)</f>
        <v/>
      </c>
      <c r="S827" s="43" t="s">
        <v>160</v>
      </c>
      <c r="T827" s="25" t="str">
        <f>'Ingest Template'!W826</f>
        <v/>
      </c>
      <c r="U827" s="25"/>
      <c r="V827" s="25" t="str">
        <f>LOWER(SUBSTITUTE(SUBSTITUTE(SUBSTITUTE(SUBSTITUTE(SUBSTITUTE('Ingest Template'!Y826,"https:",""),"www.",""),"/",""),"?hl=en",""),"instagram.com",""))</f>
        <v/>
      </c>
      <c r="W827" s="34" t="str">
        <f>(IFERROR(vlookup('Ingest Template'!F827,DropDown!D:E,2,false)&amp;'Ingest Template'!C827,""))</f>
        <v/>
      </c>
      <c r="X827" s="25" t="str">
        <f>'Ingest Template'!AA826</f>
        <v/>
      </c>
      <c r="Y827" s="25"/>
      <c r="Z827" s="25"/>
      <c r="AA827" s="25"/>
      <c r="AB827" s="25" t="str">
        <f>'Ingest Template'!T826</f>
        <v/>
      </c>
      <c r="AC827" s="25"/>
      <c r="AD827" s="25" t="str">
        <f>'Ingest Template'!U826</f>
        <v/>
      </c>
      <c r="AE827" s="25" t="str">
        <f>'Ingest Template'!V826</f>
        <v/>
      </c>
      <c r="AF827" s="25"/>
      <c r="AG827" s="25" t="str">
        <f t="array" ref="AG827">IF('Ingest Template'!A826="Standard",(CONCATENATE(IF(ISBLANK('Ingest Template'!O826),"", 'Ingest Template'!O826&amp;"|DAR"),CHAR(10), IF(ISBLANK('Ingest Template'!P826),"", 'Ingest Template'!P826&amp;"|DAR"),CHAR(10), IF(ISBLANK('Ingest Template'!Q826),"", 'Ingest Template'!Q826&amp;"|DAR"))),(CONCATENATE(IF(ISBLANK('Ingest Template'!O826),"", 'Ingest Template'!O826&amp;"|Operations - Core Title"),CHAR(10), IF(ISBLANK('Ingest Template'!P826),"", 'Ingest Template'!P826&amp;"|Operations - Core Title"),CHAR(10), IF(ISBLANK('Ingest Template'!Q826),"", 'Ingest Template'!Q826&amp;"|Operations - Core Title"))))</f>
        <v>#|Operations - Core Title
#videoGame|Operations - Core Title
</v>
      </c>
      <c r="AH827" s="25"/>
      <c r="AI827" s="25"/>
      <c r="AJ827" s="50" t="str">
        <f>if('Ingest Template'!A826="Standard",'Ingest Template'!R826&amp; "|DAR|DAR|2021-01-01",'Ingest Template'!R826&amp; "|Operations - Core Title|Operations - Core Title")</f>
        <v>#N/A</v>
      </c>
      <c r="AK827" s="25"/>
      <c r="AL827" s="25" t="str">
        <f>if('Ingest Template'!A826="Standard",'Ingest Template'!S826&amp; "|2021-01-01",'Ingest Template'!S826)</f>
        <v>#N/A</v>
      </c>
      <c r="AM827" s="25"/>
    </row>
    <row r="828">
      <c r="A828" s="25"/>
      <c r="B828" s="25" t="str">
        <f>'Ingest Template'!C827&amp;IF('Ingest Template'!A827 = "Standard", " - DAR","")</f>
        <v/>
      </c>
      <c r="C828" s="34" t="s">
        <v>92</v>
      </c>
      <c r="D828" s="34" t="str">
        <f>CONCATENATE('Ingest Template'!E828&amp;Char(10)&amp;'Ingest Template'!G828&amp;Char(10)&amp;'Ingest Template'!H828&amp;Char(10)&amp;'Ingest Template'!I828&amp;Char(10)&amp;'Ingest Template'!J828&amp;Char(10)&amp;'Ingest Template'!K828&amp;Char(10)&amp;'Ingest Template'!L828)</f>
        <v>
</v>
      </c>
      <c r="E828" s="25" t="str">
        <f>('Ingest Template'!M828)</f>
        <v/>
      </c>
      <c r="F828" s="40" t="str">
        <f t="array" ref="F828">INDEX(DropDown!$J$2:$J$63,MATCH(1,COUNTIF(E828,DropDown!$I$2:$I$63),0))</f>
        <v>#N/A</v>
      </c>
      <c r="G828" s="25"/>
      <c r="H828" s="25"/>
      <c r="I828" s="25"/>
      <c r="J828" s="25" t="str">
        <f>'Ingest Template'!B828</f>
        <v/>
      </c>
      <c r="K828" s="25" t="str">
        <f>IF('Ingest Template'!A827="Standard",'Ingest Template'!N827,"Competitive View")</f>
        <v>Competitive View</v>
      </c>
      <c r="L828" s="41" t="s">
        <v>145</v>
      </c>
      <c r="M828" s="25" t="str">
        <f>'Ingest Template'!D827</f>
        <v/>
      </c>
      <c r="N828" s="25"/>
      <c r="O828" s="25"/>
      <c r="P828" s="25"/>
      <c r="Q828" s="25"/>
      <c r="R828" s="25" t="str">
        <f>CONCATENATE('Ingest Template'!F827)</f>
        <v/>
      </c>
      <c r="S828" s="43" t="s">
        <v>160</v>
      </c>
      <c r="T828" s="25" t="str">
        <f>'Ingest Template'!W827</f>
        <v/>
      </c>
      <c r="U828" s="25"/>
      <c r="V828" s="25" t="str">
        <f>LOWER(SUBSTITUTE(SUBSTITUTE(SUBSTITUTE(SUBSTITUTE(SUBSTITUTE('Ingest Template'!Y827,"https:",""),"www.",""),"/",""),"?hl=en",""),"instagram.com",""))</f>
        <v/>
      </c>
      <c r="W828" s="34" t="str">
        <f>(IFERROR(vlookup('Ingest Template'!F828,DropDown!D:E,2,false)&amp;'Ingest Template'!C828,""))</f>
        <v/>
      </c>
      <c r="X828" s="25" t="str">
        <f>'Ingest Template'!AA827</f>
        <v/>
      </c>
      <c r="Y828" s="25"/>
      <c r="Z828" s="25"/>
      <c r="AA828" s="25"/>
      <c r="AB828" s="25" t="str">
        <f>'Ingest Template'!T827</f>
        <v/>
      </c>
      <c r="AC828" s="25"/>
      <c r="AD828" s="25" t="str">
        <f>'Ingest Template'!U827</f>
        <v/>
      </c>
      <c r="AE828" s="25" t="str">
        <f>'Ingest Template'!V827</f>
        <v/>
      </c>
      <c r="AF828" s="25"/>
      <c r="AG828" s="25" t="str">
        <f t="array" ref="AG828">IF('Ingest Template'!A827="Standard",(CONCATENATE(IF(ISBLANK('Ingest Template'!O827),"", 'Ingest Template'!O827&amp;"|DAR"),CHAR(10), IF(ISBLANK('Ingest Template'!P827),"", 'Ingest Template'!P827&amp;"|DAR"),CHAR(10), IF(ISBLANK('Ingest Template'!Q827),"", 'Ingest Template'!Q827&amp;"|DAR"))),(CONCATENATE(IF(ISBLANK('Ingest Template'!O827),"", 'Ingest Template'!O827&amp;"|Operations - Core Title"),CHAR(10), IF(ISBLANK('Ingest Template'!P827),"", 'Ingest Template'!P827&amp;"|Operations - Core Title"),CHAR(10), IF(ISBLANK('Ingest Template'!Q827),"", 'Ingest Template'!Q827&amp;"|Operations - Core Title"))))</f>
        <v>#|Operations - Core Title
#videoGame|Operations - Core Title
</v>
      </c>
      <c r="AH828" s="25"/>
      <c r="AI828" s="25"/>
      <c r="AJ828" s="50" t="str">
        <f>if('Ingest Template'!A827="Standard",'Ingest Template'!R827&amp; "|DAR|DAR|2021-01-01",'Ingest Template'!R827&amp; "|Operations - Core Title|Operations - Core Title")</f>
        <v>#N/A</v>
      </c>
      <c r="AK828" s="25"/>
      <c r="AL828" s="25" t="str">
        <f>if('Ingest Template'!A827="Standard",'Ingest Template'!S827&amp; "|2021-01-01",'Ingest Template'!S827)</f>
        <v>#N/A</v>
      </c>
      <c r="AM828" s="25"/>
    </row>
    <row r="829">
      <c r="A829" s="25"/>
      <c r="B829" s="25" t="str">
        <f>'Ingest Template'!C828&amp;IF('Ingest Template'!A828 = "Standard", " - DAR","")</f>
        <v/>
      </c>
      <c r="C829" s="34" t="s">
        <v>92</v>
      </c>
      <c r="D829" s="34" t="str">
        <f>CONCATENATE('Ingest Template'!E829&amp;Char(10)&amp;'Ingest Template'!G829&amp;Char(10)&amp;'Ingest Template'!H829&amp;Char(10)&amp;'Ingest Template'!I829&amp;Char(10)&amp;'Ingest Template'!J829&amp;Char(10)&amp;'Ingest Template'!K829&amp;Char(10)&amp;'Ingest Template'!L829)</f>
        <v>
</v>
      </c>
      <c r="E829" s="25" t="str">
        <f>('Ingest Template'!M829)</f>
        <v/>
      </c>
      <c r="F829" s="40" t="str">
        <f t="array" ref="F829">INDEX(DropDown!$J$2:$J$63,MATCH(1,COUNTIF(E829,DropDown!$I$2:$I$63),0))</f>
        <v>#N/A</v>
      </c>
      <c r="G829" s="25"/>
      <c r="H829" s="25"/>
      <c r="I829" s="25"/>
      <c r="J829" s="25" t="str">
        <f>'Ingest Template'!B829</f>
        <v/>
      </c>
      <c r="K829" s="25" t="str">
        <f>IF('Ingest Template'!A828="Standard",'Ingest Template'!N828,"Competitive View")</f>
        <v>Competitive View</v>
      </c>
      <c r="L829" s="41" t="s">
        <v>145</v>
      </c>
      <c r="M829" s="25" t="str">
        <f>'Ingest Template'!D828</f>
        <v/>
      </c>
      <c r="N829" s="25"/>
      <c r="O829" s="25"/>
      <c r="P829" s="25"/>
      <c r="Q829" s="25"/>
      <c r="R829" s="25" t="str">
        <f>CONCATENATE('Ingest Template'!F828)</f>
        <v/>
      </c>
      <c r="S829" s="43" t="s">
        <v>160</v>
      </c>
      <c r="T829" s="25" t="str">
        <f>'Ingest Template'!W828</f>
        <v/>
      </c>
      <c r="U829" s="25"/>
      <c r="V829" s="25" t="str">
        <f>LOWER(SUBSTITUTE(SUBSTITUTE(SUBSTITUTE(SUBSTITUTE(SUBSTITUTE('Ingest Template'!Y828,"https:",""),"www.",""),"/",""),"?hl=en",""),"instagram.com",""))</f>
        <v/>
      </c>
      <c r="W829" s="34" t="str">
        <f>(IFERROR(vlookup('Ingest Template'!F829,DropDown!D:E,2,false)&amp;'Ingest Template'!C829,""))</f>
        <v/>
      </c>
      <c r="X829" s="25" t="str">
        <f>'Ingest Template'!AA828</f>
        <v/>
      </c>
      <c r="Y829" s="25"/>
      <c r="Z829" s="25"/>
      <c r="AA829" s="25"/>
      <c r="AB829" s="25" t="str">
        <f>'Ingest Template'!T828</f>
        <v/>
      </c>
      <c r="AC829" s="25"/>
      <c r="AD829" s="25" t="str">
        <f>'Ingest Template'!U828</f>
        <v/>
      </c>
      <c r="AE829" s="25" t="str">
        <f>'Ingest Template'!V828</f>
        <v/>
      </c>
      <c r="AF829" s="25"/>
      <c r="AG829" s="25" t="str">
        <f t="array" ref="AG829">IF('Ingest Template'!A828="Standard",(CONCATENATE(IF(ISBLANK('Ingest Template'!O828),"", 'Ingest Template'!O828&amp;"|DAR"),CHAR(10), IF(ISBLANK('Ingest Template'!P828),"", 'Ingest Template'!P828&amp;"|DAR"),CHAR(10), IF(ISBLANK('Ingest Template'!Q828),"", 'Ingest Template'!Q828&amp;"|DAR"))),(CONCATENATE(IF(ISBLANK('Ingest Template'!O828),"", 'Ingest Template'!O828&amp;"|Operations - Core Title"),CHAR(10), IF(ISBLANK('Ingest Template'!P828),"", 'Ingest Template'!P828&amp;"|Operations - Core Title"),CHAR(10), IF(ISBLANK('Ingest Template'!Q828),"", 'Ingest Template'!Q828&amp;"|Operations - Core Title"))))</f>
        <v>#|Operations - Core Title
#videoGame|Operations - Core Title
</v>
      </c>
      <c r="AH829" s="25"/>
      <c r="AI829" s="25"/>
      <c r="AJ829" s="50" t="str">
        <f>if('Ingest Template'!A828="Standard",'Ingest Template'!R828&amp; "|DAR|DAR|2021-01-01",'Ingest Template'!R828&amp; "|Operations - Core Title|Operations - Core Title")</f>
        <v>#N/A</v>
      </c>
      <c r="AK829" s="25"/>
      <c r="AL829" s="25" t="str">
        <f>if('Ingest Template'!A828="Standard",'Ingest Template'!S828&amp; "|2021-01-01",'Ingest Template'!S828)</f>
        <v>#N/A</v>
      </c>
      <c r="AM829" s="25"/>
    </row>
    <row r="830">
      <c r="A830" s="25"/>
      <c r="B830" s="25" t="str">
        <f>'Ingest Template'!C829&amp;IF('Ingest Template'!A829 = "Standard", " - DAR","")</f>
        <v/>
      </c>
      <c r="C830" s="34" t="s">
        <v>92</v>
      </c>
      <c r="D830" s="34" t="str">
        <f>CONCATENATE('Ingest Template'!E830&amp;Char(10)&amp;'Ingest Template'!G830&amp;Char(10)&amp;'Ingest Template'!H830&amp;Char(10)&amp;'Ingest Template'!I830&amp;Char(10)&amp;'Ingest Template'!J830&amp;Char(10)&amp;'Ingest Template'!K830&amp;Char(10)&amp;'Ingest Template'!L830)</f>
        <v>
</v>
      </c>
      <c r="E830" s="25" t="str">
        <f>('Ingest Template'!M830)</f>
        <v/>
      </c>
      <c r="F830" s="40" t="str">
        <f t="array" ref="F830">INDEX(DropDown!$J$2:$J$63,MATCH(1,COUNTIF(E830,DropDown!$I$2:$I$63),0))</f>
        <v>#N/A</v>
      </c>
      <c r="G830" s="25"/>
      <c r="H830" s="25"/>
      <c r="I830" s="25"/>
      <c r="J830" s="25" t="str">
        <f>'Ingest Template'!B830</f>
        <v/>
      </c>
      <c r="K830" s="25" t="str">
        <f>IF('Ingest Template'!A829="Standard",'Ingest Template'!N829,"Competitive View")</f>
        <v>Competitive View</v>
      </c>
      <c r="L830" s="41" t="s">
        <v>145</v>
      </c>
      <c r="M830" s="25" t="str">
        <f>'Ingest Template'!D829</f>
        <v/>
      </c>
      <c r="N830" s="25"/>
      <c r="O830" s="25"/>
      <c r="P830" s="25"/>
      <c r="Q830" s="25"/>
      <c r="R830" s="25" t="str">
        <f>CONCATENATE('Ingest Template'!F829)</f>
        <v/>
      </c>
      <c r="S830" s="43" t="s">
        <v>160</v>
      </c>
      <c r="T830" s="25" t="str">
        <f>'Ingest Template'!W829</f>
        <v/>
      </c>
      <c r="U830" s="25"/>
      <c r="V830" s="25" t="str">
        <f>LOWER(SUBSTITUTE(SUBSTITUTE(SUBSTITUTE(SUBSTITUTE(SUBSTITUTE('Ingest Template'!Y829,"https:",""),"www.",""),"/",""),"?hl=en",""),"instagram.com",""))</f>
        <v/>
      </c>
      <c r="W830" s="34" t="str">
        <f>(IFERROR(vlookup('Ingest Template'!F830,DropDown!D:E,2,false)&amp;'Ingest Template'!C830,""))</f>
        <v/>
      </c>
      <c r="X830" s="25" t="str">
        <f>'Ingest Template'!AA829</f>
        <v/>
      </c>
      <c r="Y830" s="25"/>
      <c r="Z830" s="25"/>
      <c r="AA830" s="25"/>
      <c r="AB830" s="25" t="str">
        <f>'Ingest Template'!T829</f>
        <v/>
      </c>
      <c r="AC830" s="25"/>
      <c r="AD830" s="25" t="str">
        <f>'Ingest Template'!U829</f>
        <v/>
      </c>
      <c r="AE830" s="25" t="str">
        <f>'Ingest Template'!V829</f>
        <v/>
      </c>
      <c r="AF830" s="25"/>
      <c r="AG830" s="25" t="str">
        <f t="array" ref="AG830">IF('Ingest Template'!A829="Standard",(CONCATENATE(IF(ISBLANK('Ingest Template'!O829),"", 'Ingest Template'!O829&amp;"|DAR"),CHAR(10), IF(ISBLANK('Ingest Template'!P829),"", 'Ingest Template'!P829&amp;"|DAR"),CHAR(10), IF(ISBLANK('Ingest Template'!Q829),"", 'Ingest Template'!Q829&amp;"|DAR"))),(CONCATENATE(IF(ISBLANK('Ingest Template'!O829),"", 'Ingest Template'!O829&amp;"|Operations - Core Title"),CHAR(10), IF(ISBLANK('Ingest Template'!P829),"", 'Ingest Template'!P829&amp;"|Operations - Core Title"),CHAR(10), IF(ISBLANK('Ingest Template'!Q829),"", 'Ingest Template'!Q829&amp;"|Operations - Core Title"))))</f>
        <v>#|Operations - Core Title
#videoGame|Operations - Core Title
</v>
      </c>
      <c r="AH830" s="25"/>
      <c r="AI830" s="25"/>
      <c r="AJ830" s="50" t="str">
        <f>if('Ingest Template'!A829="Standard",'Ingest Template'!R829&amp; "|DAR|DAR|2021-01-01",'Ingest Template'!R829&amp; "|Operations - Core Title|Operations - Core Title")</f>
        <v>#N/A</v>
      </c>
      <c r="AK830" s="25"/>
      <c r="AL830" s="25" t="str">
        <f>if('Ingest Template'!A829="Standard",'Ingest Template'!S829&amp; "|2021-01-01",'Ingest Template'!S829)</f>
        <v>#N/A</v>
      </c>
      <c r="AM830" s="25"/>
    </row>
    <row r="831">
      <c r="A831" s="25"/>
      <c r="B831" s="25" t="str">
        <f>'Ingest Template'!C830&amp;IF('Ingest Template'!A830 = "Standard", " - DAR","")</f>
        <v/>
      </c>
      <c r="C831" s="34" t="s">
        <v>92</v>
      </c>
      <c r="D831" s="34" t="str">
        <f>CONCATENATE('Ingest Template'!E831&amp;Char(10)&amp;'Ingest Template'!G831&amp;Char(10)&amp;'Ingest Template'!H831&amp;Char(10)&amp;'Ingest Template'!I831&amp;Char(10)&amp;'Ingest Template'!J831&amp;Char(10)&amp;'Ingest Template'!K831&amp;Char(10)&amp;'Ingest Template'!L831)</f>
        <v>
</v>
      </c>
      <c r="E831" s="25" t="str">
        <f>('Ingest Template'!M831)</f>
        <v/>
      </c>
      <c r="F831" s="40" t="str">
        <f t="array" ref="F831">INDEX(DropDown!$J$2:$J$63,MATCH(1,COUNTIF(E831,DropDown!$I$2:$I$63),0))</f>
        <v>#N/A</v>
      </c>
      <c r="G831" s="25"/>
      <c r="H831" s="25"/>
      <c r="I831" s="25"/>
      <c r="J831" s="25" t="str">
        <f>'Ingest Template'!B831</f>
        <v/>
      </c>
      <c r="K831" s="25" t="str">
        <f>IF('Ingest Template'!A830="Standard",'Ingest Template'!N830,"Competitive View")</f>
        <v>Competitive View</v>
      </c>
      <c r="L831" s="41" t="s">
        <v>145</v>
      </c>
      <c r="M831" s="25" t="str">
        <f>'Ingest Template'!D830</f>
        <v/>
      </c>
      <c r="N831" s="25"/>
      <c r="O831" s="25"/>
      <c r="P831" s="25"/>
      <c r="Q831" s="25"/>
      <c r="R831" s="25" t="str">
        <f>CONCATENATE('Ingest Template'!F830)</f>
        <v/>
      </c>
      <c r="S831" s="43" t="s">
        <v>160</v>
      </c>
      <c r="T831" s="25" t="str">
        <f>'Ingest Template'!W830</f>
        <v/>
      </c>
      <c r="U831" s="25"/>
      <c r="V831" s="25" t="str">
        <f>LOWER(SUBSTITUTE(SUBSTITUTE(SUBSTITUTE(SUBSTITUTE(SUBSTITUTE('Ingest Template'!Y830,"https:",""),"www.",""),"/",""),"?hl=en",""),"instagram.com",""))</f>
        <v/>
      </c>
      <c r="W831" s="34" t="str">
        <f>(IFERROR(vlookup('Ingest Template'!F831,DropDown!D:E,2,false)&amp;'Ingest Template'!C831,""))</f>
        <v/>
      </c>
      <c r="X831" s="25" t="str">
        <f>'Ingest Template'!AA830</f>
        <v/>
      </c>
      <c r="Y831" s="25"/>
      <c r="Z831" s="25"/>
      <c r="AA831" s="25"/>
      <c r="AB831" s="25" t="str">
        <f>'Ingest Template'!T830</f>
        <v/>
      </c>
      <c r="AC831" s="25"/>
      <c r="AD831" s="25" t="str">
        <f>'Ingest Template'!U830</f>
        <v/>
      </c>
      <c r="AE831" s="25" t="str">
        <f>'Ingest Template'!V830</f>
        <v/>
      </c>
      <c r="AF831" s="25"/>
      <c r="AG831" s="25" t="str">
        <f t="array" ref="AG831">IF('Ingest Template'!A830="Standard",(CONCATENATE(IF(ISBLANK('Ingest Template'!O830),"", 'Ingest Template'!O830&amp;"|DAR"),CHAR(10), IF(ISBLANK('Ingest Template'!P830),"", 'Ingest Template'!P830&amp;"|DAR"),CHAR(10), IF(ISBLANK('Ingest Template'!Q830),"", 'Ingest Template'!Q830&amp;"|DAR"))),(CONCATENATE(IF(ISBLANK('Ingest Template'!O830),"", 'Ingest Template'!O830&amp;"|Operations - Core Title"),CHAR(10), IF(ISBLANK('Ingest Template'!P830),"", 'Ingest Template'!P830&amp;"|Operations - Core Title"),CHAR(10), IF(ISBLANK('Ingest Template'!Q830),"", 'Ingest Template'!Q830&amp;"|Operations - Core Title"))))</f>
        <v>#|Operations - Core Title
#videoGame|Operations - Core Title
</v>
      </c>
      <c r="AH831" s="25"/>
      <c r="AI831" s="25"/>
      <c r="AJ831" s="50" t="str">
        <f>if('Ingest Template'!A830="Standard",'Ingest Template'!R830&amp; "|DAR|DAR|2021-01-01",'Ingest Template'!R830&amp; "|Operations - Core Title|Operations - Core Title")</f>
        <v>#N/A</v>
      </c>
      <c r="AK831" s="25"/>
      <c r="AL831" s="25" t="str">
        <f>if('Ingest Template'!A830="Standard",'Ingest Template'!S830&amp; "|2021-01-01",'Ingest Template'!S830)</f>
        <v>#N/A</v>
      </c>
      <c r="AM831" s="25"/>
    </row>
    <row r="832">
      <c r="A832" s="25"/>
      <c r="B832" s="25" t="str">
        <f>'Ingest Template'!C831&amp;IF('Ingest Template'!A831 = "Standard", " - DAR","")</f>
        <v/>
      </c>
      <c r="C832" s="34" t="s">
        <v>92</v>
      </c>
      <c r="D832" s="34" t="str">
        <f>CONCATENATE('Ingest Template'!E832&amp;Char(10)&amp;'Ingest Template'!G832&amp;Char(10)&amp;'Ingest Template'!H832&amp;Char(10)&amp;'Ingest Template'!I832&amp;Char(10)&amp;'Ingest Template'!J832&amp;Char(10)&amp;'Ingest Template'!K832&amp;Char(10)&amp;'Ingest Template'!L832)</f>
        <v>
</v>
      </c>
      <c r="E832" s="25" t="str">
        <f>('Ingest Template'!M832)</f>
        <v/>
      </c>
      <c r="F832" s="40" t="str">
        <f t="array" ref="F832">INDEX(DropDown!$J$2:$J$63,MATCH(1,COUNTIF(E832,DropDown!$I$2:$I$63),0))</f>
        <v>#N/A</v>
      </c>
      <c r="G832" s="25"/>
      <c r="H832" s="25"/>
      <c r="I832" s="25"/>
      <c r="J832" s="25" t="str">
        <f>'Ingest Template'!B832</f>
        <v/>
      </c>
      <c r="K832" s="25" t="str">
        <f>IF('Ingest Template'!A831="Standard",'Ingest Template'!N831,"Competitive View")</f>
        <v>Competitive View</v>
      </c>
      <c r="L832" s="41" t="s">
        <v>145</v>
      </c>
      <c r="M832" s="25" t="str">
        <f>'Ingest Template'!D831</f>
        <v/>
      </c>
      <c r="N832" s="25"/>
      <c r="O832" s="25"/>
      <c r="P832" s="25"/>
      <c r="Q832" s="25"/>
      <c r="R832" s="25" t="str">
        <f>CONCATENATE('Ingest Template'!F831)</f>
        <v/>
      </c>
      <c r="S832" s="43" t="s">
        <v>160</v>
      </c>
      <c r="T832" s="25" t="str">
        <f>'Ingest Template'!W831</f>
        <v/>
      </c>
      <c r="U832" s="25"/>
      <c r="V832" s="25" t="str">
        <f>LOWER(SUBSTITUTE(SUBSTITUTE(SUBSTITUTE(SUBSTITUTE(SUBSTITUTE('Ingest Template'!Y831,"https:",""),"www.",""),"/",""),"?hl=en",""),"instagram.com",""))</f>
        <v/>
      </c>
      <c r="W832" s="34" t="str">
        <f>(IFERROR(vlookup('Ingest Template'!F832,DropDown!D:E,2,false)&amp;'Ingest Template'!C832,""))</f>
        <v/>
      </c>
      <c r="X832" s="25" t="str">
        <f>'Ingest Template'!AA831</f>
        <v/>
      </c>
      <c r="Y832" s="25"/>
      <c r="Z832" s="25"/>
      <c r="AA832" s="25"/>
      <c r="AB832" s="25" t="str">
        <f>'Ingest Template'!T831</f>
        <v/>
      </c>
      <c r="AC832" s="25"/>
      <c r="AD832" s="25" t="str">
        <f>'Ingest Template'!U831</f>
        <v/>
      </c>
      <c r="AE832" s="25" t="str">
        <f>'Ingest Template'!V831</f>
        <v/>
      </c>
      <c r="AF832" s="25"/>
      <c r="AG832" s="25" t="str">
        <f t="array" ref="AG832">IF('Ingest Template'!A831="Standard",(CONCATENATE(IF(ISBLANK('Ingest Template'!O831),"", 'Ingest Template'!O831&amp;"|DAR"),CHAR(10), IF(ISBLANK('Ingest Template'!P831),"", 'Ingest Template'!P831&amp;"|DAR"),CHAR(10), IF(ISBLANK('Ingest Template'!Q831),"", 'Ingest Template'!Q831&amp;"|DAR"))),(CONCATENATE(IF(ISBLANK('Ingest Template'!O831),"", 'Ingest Template'!O831&amp;"|Operations - Core Title"),CHAR(10), IF(ISBLANK('Ingest Template'!P831),"", 'Ingest Template'!P831&amp;"|Operations - Core Title"),CHAR(10), IF(ISBLANK('Ingest Template'!Q831),"", 'Ingest Template'!Q831&amp;"|Operations - Core Title"))))</f>
        <v>#|Operations - Core Title
#videoGame|Operations - Core Title
</v>
      </c>
      <c r="AH832" s="25"/>
      <c r="AI832" s="25"/>
      <c r="AJ832" s="50" t="str">
        <f>if('Ingest Template'!A831="Standard",'Ingest Template'!R831&amp; "|DAR|DAR|2021-01-01",'Ingest Template'!R831&amp; "|Operations - Core Title|Operations - Core Title")</f>
        <v>#N/A</v>
      </c>
      <c r="AK832" s="25"/>
      <c r="AL832" s="25" t="str">
        <f>if('Ingest Template'!A831="Standard",'Ingest Template'!S831&amp; "|2021-01-01",'Ingest Template'!S831)</f>
        <v>#N/A</v>
      </c>
      <c r="AM832" s="25"/>
    </row>
    <row r="833">
      <c r="A833" s="25"/>
      <c r="B833" s="25" t="str">
        <f>'Ingest Template'!C832&amp;IF('Ingest Template'!A832 = "Standard", " - DAR","")</f>
        <v/>
      </c>
      <c r="C833" s="34" t="s">
        <v>92</v>
      </c>
      <c r="D833" s="34" t="str">
        <f>CONCATENATE('Ingest Template'!E833&amp;Char(10)&amp;'Ingest Template'!G833&amp;Char(10)&amp;'Ingest Template'!H833&amp;Char(10)&amp;'Ingest Template'!I833&amp;Char(10)&amp;'Ingest Template'!J833&amp;Char(10)&amp;'Ingest Template'!K833&amp;Char(10)&amp;'Ingest Template'!L833)</f>
        <v>
</v>
      </c>
      <c r="E833" s="25" t="str">
        <f>('Ingest Template'!M833)</f>
        <v/>
      </c>
      <c r="F833" s="40" t="str">
        <f t="array" ref="F833">INDEX(DropDown!$J$2:$J$63,MATCH(1,COUNTIF(E833,DropDown!$I$2:$I$63),0))</f>
        <v>#N/A</v>
      </c>
      <c r="G833" s="25"/>
      <c r="H833" s="25"/>
      <c r="I833" s="25"/>
      <c r="J833" s="25" t="str">
        <f>'Ingest Template'!B833</f>
        <v/>
      </c>
      <c r="K833" s="25" t="str">
        <f>IF('Ingest Template'!A832="Standard",'Ingest Template'!N832,"Competitive View")</f>
        <v>Competitive View</v>
      </c>
      <c r="L833" s="41" t="s">
        <v>145</v>
      </c>
      <c r="M833" s="25" t="str">
        <f>'Ingest Template'!D832</f>
        <v/>
      </c>
      <c r="N833" s="25"/>
      <c r="O833" s="25"/>
      <c r="P833" s="25"/>
      <c r="Q833" s="25"/>
      <c r="R833" s="25" t="str">
        <f>CONCATENATE('Ingest Template'!F832)</f>
        <v/>
      </c>
      <c r="S833" s="43" t="s">
        <v>160</v>
      </c>
      <c r="T833" s="25" t="str">
        <f>'Ingest Template'!W832</f>
        <v/>
      </c>
      <c r="U833" s="25"/>
      <c r="V833" s="25" t="str">
        <f>LOWER(SUBSTITUTE(SUBSTITUTE(SUBSTITUTE(SUBSTITUTE(SUBSTITUTE('Ingest Template'!Y832,"https:",""),"www.",""),"/",""),"?hl=en",""),"instagram.com",""))</f>
        <v/>
      </c>
      <c r="W833" s="34" t="str">
        <f>(IFERROR(vlookup('Ingest Template'!F833,DropDown!D:E,2,false)&amp;'Ingest Template'!C833,""))</f>
        <v/>
      </c>
      <c r="X833" s="25" t="str">
        <f>'Ingest Template'!AA832</f>
        <v/>
      </c>
      <c r="Y833" s="25"/>
      <c r="Z833" s="25"/>
      <c r="AA833" s="25"/>
      <c r="AB833" s="25" t="str">
        <f>'Ingest Template'!T832</f>
        <v/>
      </c>
      <c r="AC833" s="25"/>
      <c r="AD833" s="25" t="str">
        <f>'Ingest Template'!U832</f>
        <v/>
      </c>
      <c r="AE833" s="25" t="str">
        <f>'Ingest Template'!V832</f>
        <v/>
      </c>
      <c r="AF833" s="25"/>
      <c r="AG833" s="25" t="str">
        <f t="array" ref="AG833">IF('Ingest Template'!A832="Standard",(CONCATENATE(IF(ISBLANK('Ingest Template'!O832),"", 'Ingest Template'!O832&amp;"|DAR"),CHAR(10), IF(ISBLANK('Ingest Template'!P832),"", 'Ingest Template'!P832&amp;"|DAR"),CHAR(10), IF(ISBLANK('Ingest Template'!Q832),"", 'Ingest Template'!Q832&amp;"|DAR"))),(CONCATENATE(IF(ISBLANK('Ingest Template'!O832),"", 'Ingest Template'!O832&amp;"|Operations - Core Title"),CHAR(10), IF(ISBLANK('Ingest Template'!P832),"", 'Ingest Template'!P832&amp;"|Operations - Core Title"),CHAR(10), IF(ISBLANK('Ingest Template'!Q832),"", 'Ingest Template'!Q832&amp;"|Operations - Core Title"))))</f>
        <v>#|Operations - Core Title
#videoGame|Operations - Core Title
</v>
      </c>
      <c r="AH833" s="25"/>
      <c r="AI833" s="25"/>
      <c r="AJ833" s="50" t="str">
        <f>if('Ingest Template'!A832="Standard",'Ingest Template'!R832&amp; "|DAR|DAR|2021-01-01",'Ingest Template'!R832&amp; "|Operations - Core Title|Operations - Core Title")</f>
        <v>#N/A</v>
      </c>
      <c r="AK833" s="25"/>
      <c r="AL833" s="25" t="str">
        <f>if('Ingest Template'!A832="Standard",'Ingest Template'!S832&amp; "|2021-01-01",'Ingest Template'!S832)</f>
        <v>#N/A</v>
      </c>
      <c r="AM833" s="25"/>
    </row>
    <row r="834">
      <c r="A834" s="25"/>
      <c r="B834" s="25" t="str">
        <f>'Ingest Template'!C833&amp;IF('Ingest Template'!A833 = "Standard", " - DAR","")</f>
        <v/>
      </c>
      <c r="C834" s="34" t="s">
        <v>92</v>
      </c>
      <c r="D834" s="34" t="str">
        <f>CONCATENATE('Ingest Template'!E834&amp;Char(10)&amp;'Ingest Template'!G834&amp;Char(10)&amp;'Ingest Template'!H834&amp;Char(10)&amp;'Ingest Template'!I834&amp;Char(10)&amp;'Ingest Template'!J834&amp;Char(10)&amp;'Ingest Template'!K834&amp;Char(10)&amp;'Ingest Template'!L834)</f>
        <v>
</v>
      </c>
      <c r="E834" s="25" t="str">
        <f>('Ingest Template'!M834)</f>
        <v/>
      </c>
      <c r="F834" s="40" t="str">
        <f t="array" ref="F834">INDEX(DropDown!$J$2:$J$63,MATCH(1,COUNTIF(E834,DropDown!$I$2:$I$63),0))</f>
        <v>#N/A</v>
      </c>
      <c r="G834" s="25"/>
      <c r="H834" s="25"/>
      <c r="I834" s="25"/>
      <c r="J834" s="25" t="str">
        <f>'Ingest Template'!B834</f>
        <v/>
      </c>
      <c r="K834" s="25" t="str">
        <f>IF('Ingest Template'!A833="Standard",'Ingest Template'!N833,"Competitive View")</f>
        <v>Competitive View</v>
      </c>
      <c r="L834" s="41" t="s">
        <v>145</v>
      </c>
      <c r="M834" s="25" t="str">
        <f>'Ingest Template'!D833</f>
        <v/>
      </c>
      <c r="N834" s="25"/>
      <c r="O834" s="25"/>
      <c r="P834" s="25"/>
      <c r="Q834" s="25"/>
      <c r="R834" s="25" t="str">
        <f>CONCATENATE('Ingest Template'!F833)</f>
        <v/>
      </c>
      <c r="S834" s="43" t="s">
        <v>160</v>
      </c>
      <c r="T834" s="25" t="str">
        <f>'Ingest Template'!W833</f>
        <v/>
      </c>
      <c r="U834" s="25"/>
      <c r="V834" s="25" t="str">
        <f>LOWER(SUBSTITUTE(SUBSTITUTE(SUBSTITUTE(SUBSTITUTE(SUBSTITUTE('Ingest Template'!Y833,"https:",""),"www.",""),"/",""),"?hl=en",""),"instagram.com",""))</f>
        <v/>
      </c>
      <c r="W834" s="34" t="str">
        <f>(IFERROR(vlookup('Ingest Template'!F834,DropDown!D:E,2,false)&amp;'Ingest Template'!C834,""))</f>
        <v/>
      </c>
      <c r="X834" s="25" t="str">
        <f>'Ingest Template'!AA833</f>
        <v/>
      </c>
      <c r="Y834" s="25"/>
      <c r="Z834" s="25"/>
      <c r="AA834" s="25"/>
      <c r="AB834" s="25" t="str">
        <f>'Ingest Template'!T833</f>
        <v/>
      </c>
      <c r="AC834" s="25"/>
      <c r="AD834" s="25" t="str">
        <f>'Ingest Template'!U833</f>
        <v/>
      </c>
      <c r="AE834" s="25" t="str">
        <f>'Ingest Template'!V833</f>
        <v/>
      </c>
      <c r="AF834" s="25"/>
      <c r="AG834" s="25" t="str">
        <f t="array" ref="AG834">IF('Ingest Template'!A833="Standard",(CONCATENATE(IF(ISBLANK('Ingest Template'!O833),"", 'Ingest Template'!O833&amp;"|DAR"),CHAR(10), IF(ISBLANK('Ingest Template'!P833),"", 'Ingest Template'!P833&amp;"|DAR"),CHAR(10), IF(ISBLANK('Ingest Template'!Q833),"", 'Ingest Template'!Q833&amp;"|DAR"))),(CONCATENATE(IF(ISBLANK('Ingest Template'!O833),"", 'Ingest Template'!O833&amp;"|Operations - Core Title"),CHAR(10), IF(ISBLANK('Ingest Template'!P833),"", 'Ingest Template'!P833&amp;"|Operations - Core Title"),CHAR(10), IF(ISBLANK('Ingest Template'!Q833),"", 'Ingest Template'!Q833&amp;"|Operations - Core Title"))))</f>
        <v>#|Operations - Core Title
#videoGame|Operations - Core Title
</v>
      </c>
      <c r="AH834" s="25"/>
      <c r="AI834" s="25"/>
      <c r="AJ834" s="50" t="str">
        <f>if('Ingest Template'!A833="Standard",'Ingest Template'!R833&amp; "|DAR|DAR|2021-01-01",'Ingest Template'!R833&amp; "|Operations - Core Title|Operations - Core Title")</f>
        <v>#N/A</v>
      </c>
      <c r="AK834" s="25"/>
      <c r="AL834" s="25" t="str">
        <f>if('Ingest Template'!A833="Standard",'Ingest Template'!S833&amp; "|2021-01-01",'Ingest Template'!S833)</f>
        <v>#N/A</v>
      </c>
      <c r="AM834" s="25"/>
    </row>
    <row r="835">
      <c r="A835" s="25"/>
      <c r="B835" s="25" t="str">
        <f>'Ingest Template'!C834&amp;IF('Ingest Template'!A834 = "Standard", " - DAR","")</f>
        <v/>
      </c>
      <c r="C835" s="34" t="s">
        <v>92</v>
      </c>
      <c r="D835" s="34" t="str">
        <f>CONCATENATE('Ingest Template'!E835&amp;Char(10)&amp;'Ingest Template'!G835&amp;Char(10)&amp;'Ingest Template'!H835&amp;Char(10)&amp;'Ingest Template'!I835&amp;Char(10)&amp;'Ingest Template'!J835&amp;Char(10)&amp;'Ingest Template'!K835&amp;Char(10)&amp;'Ingest Template'!L835)</f>
        <v>
</v>
      </c>
      <c r="E835" s="25" t="str">
        <f>('Ingest Template'!M835)</f>
        <v/>
      </c>
      <c r="F835" s="40" t="str">
        <f t="array" ref="F835">INDEX(DropDown!$J$2:$J$63,MATCH(1,COUNTIF(E835,DropDown!$I$2:$I$63),0))</f>
        <v>#N/A</v>
      </c>
      <c r="G835" s="25"/>
      <c r="H835" s="25"/>
      <c r="I835" s="25"/>
      <c r="J835" s="25" t="str">
        <f>'Ingest Template'!B835</f>
        <v/>
      </c>
      <c r="K835" s="25" t="str">
        <f>IF('Ingest Template'!A834="Standard",'Ingest Template'!N834,"Competitive View")</f>
        <v>Competitive View</v>
      </c>
      <c r="L835" s="41" t="s">
        <v>145</v>
      </c>
      <c r="M835" s="25" t="str">
        <f>'Ingest Template'!D834</f>
        <v/>
      </c>
      <c r="N835" s="25"/>
      <c r="O835" s="25"/>
      <c r="P835" s="25"/>
      <c r="Q835" s="25"/>
      <c r="R835" s="25" t="str">
        <f>CONCATENATE('Ingest Template'!F834)</f>
        <v/>
      </c>
      <c r="S835" s="43" t="s">
        <v>160</v>
      </c>
      <c r="T835" s="25" t="str">
        <f>'Ingest Template'!W834</f>
        <v/>
      </c>
      <c r="U835" s="25"/>
      <c r="V835" s="25" t="str">
        <f>LOWER(SUBSTITUTE(SUBSTITUTE(SUBSTITUTE(SUBSTITUTE(SUBSTITUTE('Ingest Template'!Y834,"https:",""),"www.",""),"/",""),"?hl=en",""),"instagram.com",""))</f>
        <v/>
      </c>
      <c r="W835" s="34" t="str">
        <f>(IFERROR(vlookup('Ingest Template'!F835,DropDown!D:E,2,false)&amp;'Ingest Template'!C835,""))</f>
        <v/>
      </c>
      <c r="X835" s="25" t="str">
        <f>'Ingest Template'!AA834</f>
        <v/>
      </c>
      <c r="Y835" s="25"/>
      <c r="Z835" s="25"/>
      <c r="AA835" s="25"/>
      <c r="AB835" s="25" t="str">
        <f>'Ingest Template'!T834</f>
        <v/>
      </c>
      <c r="AC835" s="25"/>
      <c r="AD835" s="25" t="str">
        <f>'Ingest Template'!U834</f>
        <v/>
      </c>
      <c r="AE835" s="25" t="str">
        <f>'Ingest Template'!V834</f>
        <v/>
      </c>
      <c r="AF835" s="25"/>
      <c r="AG835" s="25" t="str">
        <f t="array" ref="AG835">IF('Ingest Template'!A834="Standard",(CONCATENATE(IF(ISBLANK('Ingest Template'!O834),"", 'Ingest Template'!O834&amp;"|DAR"),CHAR(10), IF(ISBLANK('Ingest Template'!P834),"", 'Ingest Template'!P834&amp;"|DAR"),CHAR(10), IF(ISBLANK('Ingest Template'!Q834),"", 'Ingest Template'!Q834&amp;"|DAR"))),(CONCATENATE(IF(ISBLANK('Ingest Template'!O834),"", 'Ingest Template'!O834&amp;"|Operations - Core Title"),CHAR(10), IF(ISBLANK('Ingest Template'!P834),"", 'Ingest Template'!P834&amp;"|Operations - Core Title"),CHAR(10), IF(ISBLANK('Ingest Template'!Q834),"", 'Ingest Template'!Q834&amp;"|Operations - Core Title"))))</f>
        <v>#|Operations - Core Title
#videoGame|Operations - Core Title
</v>
      </c>
      <c r="AH835" s="25"/>
      <c r="AI835" s="25"/>
      <c r="AJ835" s="50" t="str">
        <f>if('Ingest Template'!A834="Standard",'Ingest Template'!R834&amp; "|DAR|DAR|2021-01-01",'Ingest Template'!R834&amp; "|Operations - Core Title|Operations - Core Title")</f>
        <v>#N/A</v>
      </c>
      <c r="AK835" s="25"/>
      <c r="AL835" s="25" t="str">
        <f>if('Ingest Template'!A834="Standard",'Ingest Template'!S834&amp; "|2021-01-01",'Ingest Template'!S834)</f>
        <v>#N/A</v>
      </c>
      <c r="AM835" s="25"/>
    </row>
    <row r="836">
      <c r="A836" s="25"/>
      <c r="B836" s="25" t="str">
        <f>'Ingest Template'!C835&amp;IF('Ingest Template'!A835 = "Standard", " - DAR","")</f>
        <v/>
      </c>
      <c r="C836" s="34" t="s">
        <v>92</v>
      </c>
      <c r="D836" s="34" t="str">
        <f>CONCATENATE('Ingest Template'!E836&amp;Char(10)&amp;'Ingest Template'!G836&amp;Char(10)&amp;'Ingest Template'!H836&amp;Char(10)&amp;'Ingest Template'!I836&amp;Char(10)&amp;'Ingest Template'!J836&amp;Char(10)&amp;'Ingest Template'!K836&amp;Char(10)&amp;'Ingest Template'!L836)</f>
        <v>
</v>
      </c>
      <c r="E836" s="25" t="str">
        <f>('Ingest Template'!M836)</f>
        <v/>
      </c>
      <c r="F836" s="40" t="str">
        <f t="array" ref="F836">INDEX(DropDown!$J$2:$J$63,MATCH(1,COUNTIF(E836,DropDown!$I$2:$I$63),0))</f>
        <v>#N/A</v>
      </c>
      <c r="G836" s="25"/>
      <c r="H836" s="25"/>
      <c r="I836" s="25"/>
      <c r="J836" s="25" t="str">
        <f>'Ingest Template'!B836</f>
        <v/>
      </c>
      <c r="K836" s="25" t="str">
        <f>IF('Ingest Template'!A835="Standard",'Ingest Template'!N835,"Competitive View")</f>
        <v>Competitive View</v>
      </c>
      <c r="L836" s="41" t="s">
        <v>145</v>
      </c>
      <c r="M836" s="25" t="str">
        <f>'Ingest Template'!D835</f>
        <v/>
      </c>
      <c r="N836" s="25"/>
      <c r="O836" s="25"/>
      <c r="P836" s="25"/>
      <c r="Q836" s="25"/>
      <c r="R836" s="25" t="str">
        <f>CONCATENATE('Ingest Template'!F835)</f>
        <v/>
      </c>
      <c r="S836" s="43" t="s">
        <v>160</v>
      </c>
      <c r="T836" s="25" t="str">
        <f>'Ingest Template'!W835</f>
        <v/>
      </c>
      <c r="U836" s="25"/>
      <c r="V836" s="25" t="str">
        <f>LOWER(SUBSTITUTE(SUBSTITUTE(SUBSTITUTE(SUBSTITUTE(SUBSTITUTE('Ingest Template'!Y835,"https:",""),"www.",""),"/",""),"?hl=en",""),"instagram.com",""))</f>
        <v/>
      </c>
      <c r="W836" s="34" t="str">
        <f>(IFERROR(vlookup('Ingest Template'!F836,DropDown!D:E,2,false)&amp;'Ingest Template'!C836,""))</f>
        <v/>
      </c>
      <c r="X836" s="25" t="str">
        <f>'Ingest Template'!AA835</f>
        <v/>
      </c>
      <c r="Y836" s="25"/>
      <c r="Z836" s="25"/>
      <c r="AA836" s="25"/>
      <c r="AB836" s="25" t="str">
        <f>'Ingest Template'!T835</f>
        <v/>
      </c>
      <c r="AC836" s="25"/>
      <c r="AD836" s="25" t="str">
        <f>'Ingest Template'!U835</f>
        <v/>
      </c>
      <c r="AE836" s="25" t="str">
        <f>'Ingest Template'!V835</f>
        <v/>
      </c>
      <c r="AF836" s="25"/>
      <c r="AG836" s="25" t="str">
        <f t="array" ref="AG836">IF('Ingest Template'!A835="Standard",(CONCATENATE(IF(ISBLANK('Ingest Template'!O835),"", 'Ingest Template'!O835&amp;"|DAR"),CHAR(10), IF(ISBLANK('Ingest Template'!P835),"", 'Ingest Template'!P835&amp;"|DAR"),CHAR(10), IF(ISBLANK('Ingest Template'!Q835),"", 'Ingest Template'!Q835&amp;"|DAR"))),(CONCATENATE(IF(ISBLANK('Ingest Template'!O835),"", 'Ingest Template'!O835&amp;"|Operations - Core Title"),CHAR(10), IF(ISBLANK('Ingest Template'!P835),"", 'Ingest Template'!P835&amp;"|Operations - Core Title"),CHAR(10), IF(ISBLANK('Ingest Template'!Q835),"", 'Ingest Template'!Q835&amp;"|Operations - Core Title"))))</f>
        <v>#|Operations - Core Title
#videoGame|Operations - Core Title
</v>
      </c>
      <c r="AH836" s="25"/>
      <c r="AI836" s="25"/>
      <c r="AJ836" s="50" t="str">
        <f>if('Ingest Template'!A835="Standard",'Ingest Template'!R835&amp; "|DAR|DAR|2021-01-01",'Ingest Template'!R835&amp; "|Operations - Core Title|Operations - Core Title")</f>
        <v>#N/A</v>
      </c>
      <c r="AK836" s="25"/>
      <c r="AL836" s="25" t="str">
        <f>if('Ingest Template'!A835="Standard",'Ingest Template'!S835&amp; "|2021-01-01",'Ingest Template'!S835)</f>
        <v>#N/A</v>
      </c>
      <c r="AM836" s="25"/>
    </row>
    <row r="837">
      <c r="A837" s="25"/>
      <c r="B837" s="25" t="str">
        <f>'Ingest Template'!C836&amp;IF('Ingest Template'!A836 = "Standard", " - DAR","")</f>
        <v/>
      </c>
      <c r="C837" s="34" t="s">
        <v>92</v>
      </c>
      <c r="D837" s="34" t="str">
        <f>CONCATENATE('Ingest Template'!E837&amp;Char(10)&amp;'Ingest Template'!G837&amp;Char(10)&amp;'Ingest Template'!H837&amp;Char(10)&amp;'Ingest Template'!I837&amp;Char(10)&amp;'Ingest Template'!J837&amp;Char(10)&amp;'Ingest Template'!K837&amp;Char(10)&amp;'Ingest Template'!L837)</f>
        <v>
</v>
      </c>
      <c r="E837" s="25" t="str">
        <f>('Ingest Template'!M837)</f>
        <v/>
      </c>
      <c r="F837" s="40" t="str">
        <f t="array" ref="F837">INDEX(DropDown!$J$2:$J$63,MATCH(1,COUNTIF(E837,DropDown!$I$2:$I$63),0))</f>
        <v>#N/A</v>
      </c>
      <c r="G837" s="25"/>
      <c r="H837" s="25"/>
      <c r="I837" s="25"/>
      <c r="J837" s="25" t="str">
        <f>'Ingest Template'!B837</f>
        <v/>
      </c>
      <c r="K837" s="25" t="str">
        <f>IF('Ingest Template'!A836="Standard",'Ingest Template'!N836,"Competitive View")</f>
        <v>Competitive View</v>
      </c>
      <c r="L837" s="41" t="s">
        <v>145</v>
      </c>
      <c r="M837" s="25" t="str">
        <f>'Ingest Template'!D836</f>
        <v/>
      </c>
      <c r="N837" s="25"/>
      <c r="O837" s="25"/>
      <c r="P837" s="25"/>
      <c r="Q837" s="25"/>
      <c r="R837" s="25" t="str">
        <f>CONCATENATE('Ingest Template'!F836)</f>
        <v/>
      </c>
      <c r="S837" s="43" t="s">
        <v>160</v>
      </c>
      <c r="T837" s="25" t="str">
        <f>'Ingest Template'!W836</f>
        <v/>
      </c>
      <c r="U837" s="25"/>
      <c r="V837" s="25" t="str">
        <f>LOWER(SUBSTITUTE(SUBSTITUTE(SUBSTITUTE(SUBSTITUTE(SUBSTITUTE('Ingest Template'!Y836,"https:",""),"www.",""),"/",""),"?hl=en",""),"instagram.com",""))</f>
        <v/>
      </c>
      <c r="W837" s="34" t="str">
        <f>(IFERROR(vlookup('Ingest Template'!F837,DropDown!D:E,2,false)&amp;'Ingest Template'!C837,""))</f>
        <v/>
      </c>
      <c r="X837" s="25" t="str">
        <f>'Ingest Template'!AA836</f>
        <v/>
      </c>
      <c r="Y837" s="25"/>
      <c r="Z837" s="25"/>
      <c r="AA837" s="25"/>
      <c r="AB837" s="25" t="str">
        <f>'Ingest Template'!T836</f>
        <v/>
      </c>
      <c r="AC837" s="25"/>
      <c r="AD837" s="25" t="str">
        <f>'Ingest Template'!U836</f>
        <v/>
      </c>
      <c r="AE837" s="25" t="str">
        <f>'Ingest Template'!V836</f>
        <v/>
      </c>
      <c r="AF837" s="25"/>
      <c r="AG837" s="25" t="str">
        <f t="array" ref="AG837">IF('Ingest Template'!A836="Standard",(CONCATENATE(IF(ISBLANK('Ingest Template'!O836),"", 'Ingest Template'!O836&amp;"|DAR"),CHAR(10), IF(ISBLANK('Ingest Template'!P836),"", 'Ingest Template'!P836&amp;"|DAR"),CHAR(10), IF(ISBLANK('Ingest Template'!Q836),"", 'Ingest Template'!Q836&amp;"|DAR"))),(CONCATENATE(IF(ISBLANK('Ingest Template'!O836),"", 'Ingest Template'!O836&amp;"|Operations - Core Title"),CHAR(10), IF(ISBLANK('Ingest Template'!P836),"", 'Ingest Template'!P836&amp;"|Operations - Core Title"),CHAR(10), IF(ISBLANK('Ingest Template'!Q836),"", 'Ingest Template'!Q836&amp;"|Operations - Core Title"))))</f>
        <v>#|Operations - Core Title
#videoGame|Operations - Core Title
</v>
      </c>
      <c r="AH837" s="25"/>
      <c r="AI837" s="25"/>
      <c r="AJ837" s="50" t="str">
        <f>if('Ingest Template'!A836="Standard",'Ingest Template'!R836&amp; "|DAR|DAR|2021-01-01",'Ingest Template'!R836&amp; "|Operations - Core Title|Operations - Core Title")</f>
        <v>#N/A</v>
      </c>
      <c r="AK837" s="25"/>
      <c r="AL837" s="25" t="str">
        <f>if('Ingest Template'!A836="Standard",'Ingest Template'!S836&amp; "|2021-01-01",'Ingest Template'!S836)</f>
        <v>#N/A</v>
      </c>
      <c r="AM837" s="25"/>
    </row>
    <row r="838">
      <c r="A838" s="25"/>
      <c r="B838" s="25" t="str">
        <f>'Ingest Template'!C837&amp;IF('Ingest Template'!A837 = "Standard", " - DAR","")</f>
        <v/>
      </c>
      <c r="C838" s="34" t="s">
        <v>92</v>
      </c>
      <c r="D838" s="34" t="str">
        <f>CONCATENATE('Ingest Template'!E838&amp;Char(10)&amp;'Ingest Template'!G838&amp;Char(10)&amp;'Ingest Template'!H838&amp;Char(10)&amp;'Ingest Template'!I838&amp;Char(10)&amp;'Ingest Template'!J838&amp;Char(10)&amp;'Ingest Template'!K838&amp;Char(10)&amp;'Ingest Template'!L838)</f>
        <v>
</v>
      </c>
      <c r="E838" s="25" t="str">
        <f>('Ingest Template'!M838)</f>
        <v/>
      </c>
      <c r="F838" s="40" t="str">
        <f t="array" ref="F838">INDEX(DropDown!$J$2:$J$63,MATCH(1,COUNTIF(E838,DropDown!$I$2:$I$63),0))</f>
        <v>#N/A</v>
      </c>
      <c r="G838" s="25"/>
      <c r="H838" s="25"/>
      <c r="I838" s="25"/>
      <c r="J838" s="25" t="str">
        <f>'Ingest Template'!B838</f>
        <v/>
      </c>
      <c r="K838" s="25" t="str">
        <f>IF('Ingest Template'!A837="Standard",'Ingest Template'!N837,"Competitive View")</f>
        <v>Competitive View</v>
      </c>
      <c r="L838" s="41" t="s">
        <v>145</v>
      </c>
      <c r="M838" s="25" t="str">
        <f>'Ingest Template'!D837</f>
        <v/>
      </c>
      <c r="N838" s="25"/>
      <c r="O838" s="25"/>
      <c r="P838" s="25"/>
      <c r="Q838" s="25"/>
      <c r="R838" s="25" t="str">
        <f>CONCATENATE('Ingest Template'!F837)</f>
        <v/>
      </c>
      <c r="S838" s="43" t="s">
        <v>160</v>
      </c>
      <c r="T838" s="25" t="str">
        <f>'Ingest Template'!W837</f>
        <v/>
      </c>
      <c r="U838" s="25"/>
      <c r="V838" s="25" t="str">
        <f>LOWER(SUBSTITUTE(SUBSTITUTE(SUBSTITUTE(SUBSTITUTE(SUBSTITUTE('Ingest Template'!Y837,"https:",""),"www.",""),"/",""),"?hl=en",""),"instagram.com",""))</f>
        <v/>
      </c>
      <c r="W838" s="34" t="str">
        <f>(IFERROR(vlookup('Ingest Template'!F838,DropDown!D:E,2,false)&amp;'Ingest Template'!C838,""))</f>
        <v/>
      </c>
      <c r="X838" s="25" t="str">
        <f>'Ingest Template'!AA837</f>
        <v/>
      </c>
      <c r="Y838" s="25"/>
      <c r="Z838" s="25"/>
      <c r="AA838" s="25"/>
      <c r="AB838" s="25" t="str">
        <f>'Ingest Template'!T837</f>
        <v/>
      </c>
      <c r="AC838" s="25"/>
      <c r="AD838" s="25" t="str">
        <f>'Ingest Template'!U837</f>
        <v/>
      </c>
      <c r="AE838" s="25" t="str">
        <f>'Ingest Template'!V837</f>
        <v/>
      </c>
      <c r="AF838" s="25"/>
      <c r="AG838" s="25" t="str">
        <f t="array" ref="AG838">IF('Ingest Template'!A837="Standard",(CONCATENATE(IF(ISBLANK('Ingest Template'!O837),"", 'Ingest Template'!O837&amp;"|DAR"),CHAR(10), IF(ISBLANK('Ingest Template'!P837),"", 'Ingest Template'!P837&amp;"|DAR"),CHAR(10), IF(ISBLANK('Ingest Template'!Q837),"", 'Ingest Template'!Q837&amp;"|DAR"))),(CONCATENATE(IF(ISBLANK('Ingest Template'!O837),"", 'Ingest Template'!O837&amp;"|Operations - Core Title"),CHAR(10), IF(ISBLANK('Ingest Template'!P837),"", 'Ingest Template'!P837&amp;"|Operations - Core Title"),CHAR(10), IF(ISBLANK('Ingest Template'!Q837),"", 'Ingest Template'!Q837&amp;"|Operations - Core Title"))))</f>
        <v>#|Operations - Core Title
#videoGame|Operations - Core Title
</v>
      </c>
      <c r="AH838" s="25"/>
      <c r="AI838" s="25"/>
      <c r="AJ838" s="50" t="str">
        <f>if('Ingest Template'!A837="Standard",'Ingest Template'!R837&amp; "|DAR|DAR|2021-01-01",'Ingest Template'!R837&amp; "|Operations - Core Title|Operations - Core Title")</f>
        <v>#N/A</v>
      </c>
      <c r="AK838" s="25"/>
      <c r="AL838" s="25" t="str">
        <f>if('Ingest Template'!A837="Standard",'Ingest Template'!S837&amp; "|2021-01-01",'Ingest Template'!S837)</f>
        <v>#N/A</v>
      </c>
      <c r="AM838" s="25"/>
    </row>
    <row r="839">
      <c r="A839" s="25"/>
      <c r="B839" s="25" t="str">
        <f>'Ingest Template'!C838&amp;IF('Ingest Template'!A838 = "Standard", " - DAR","")</f>
        <v/>
      </c>
      <c r="C839" s="34" t="s">
        <v>92</v>
      </c>
      <c r="D839" s="34" t="str">
        <f>CONCATENATE('Ingest Template'!E839&amp;Char(10)&amp;'Ingest Template'!G839&amp;Char(10)&amp;'Ingest Template'!H839&amp;Char(10)&amp;'Ingest Template'!I839&amp;Char(10)&amp;'Ingest Template'!J839&amp;Char(10)&amp;'Ingest Template'!K839&amp;Char(10)&amp;'Ingest Template'!L839)</f>
        <v>
</v>
      </c>
      <c r="E839" s="25" t="str">
        <f>('Ingest Template'!M839)</f>
        <v/>
      </c>
      <c r="F839" s="40" t="str">
        <f t="array" ref="F839">INDEX(DropDown!$J$2:$J$63,MATCH(1,COUNTIF(E839,DropDown!$I$2:$I$63),0))</f>
        <v>#N/A</v>
      </c>
      <c r="G839" s="25"/>
      <c r="H839" s="25"/>
      <c r="I839" s="25"/>
      <c r="J839" s="25" t="str">
        <f>'Ingest Template'!B839</f>
        <v/>
      </c>
      <c r="K839" s="25" t="str">
        <f>IF('Ingest Template'!A838="Standard",'Ingest Template'!N838,"Competitive View")</f>
        <v>Competitive View</v>
      </c>
      <c r="L839" s="41" t="s">
        <v>145</v>
      </c>
      <c r="M839" s="25" t="str">
        <f>'Ingest Template'!D838</f>
        <v/>
      </c>
      <c r="N839" s="25"/>
      <c r="O839" s="25"/>
      <c r="P839" s="25"/>
      <c r="Q839" s="25"/>
      <c r="R839" s="25" t="str">
        <f>CONCATENATE('Ingest Template'!F838)</f>
        <v/>
      </c>
      <c r="S839" s="43" t="s">
        <v>160</v>
      </c>
      <c r="T839" s="25" t="str">
        <f>'Ingest Template'!W838</f>
        <v/>
      </c>
      <c r="U839" s="25"/>
      <c r="V839" s="25" t="str">
        <f>LOWER(SUBSTITUTE(SUBSTITUTE(SUBSTITUTE(SUBSTITUTE(SUBSTITUTE('Ingest Template'!Y838,"https:",""),"www.",""),"/",""),"?hl=en",""),"instagram.com",""))</f>
        <v/>
      </c>
      <c r="W839" s="34" t="str">
        <f>(IFERROR(vlookup('Ingest Template'!F839,DropDown!D:E,2,false)&amp;'Ingest Template'!C839,""))</f>
        <v/>
      </c>
      <c r="X839" s="25" t="str">
        <f>'Ingest Template'!AA838</f>
        <v/>
      </c>
      <c r="Y839" s="25"/>
      <c r="Z839" s="25"/>
      <c r="AA839" s="25"/>
      <c r="AB839" s="25" t="str">
        <f>'Ingest Template'!T838</f>
        <v/>
      </c>
      <c r="AC839" s="25"/>
      <c r="AD839" s="25" t="str">
        <f>'Ingest Template'!U838</f>
        <v/>
      </c>
      <c r="AE839" s="25" t="str">
        <f>'Ingest Template'!V838</f>
        <v/>
      </c>
      <c r="AF839" s="25"/>
      <c r="AG839" s="25" t="str">
        <f t="array" ref="AG839">IF('Ingest Template'!A838="Standard",(CONCATENATE(IF(ISBLANK('Ingest Template'!O838),"", 'Ingest Template'!O838&amp;"|DAR"),CHAR(10), IF(ISBLANK('Ingest Template'!P838),"", 'Ingest Template'!P838&amp;"|DAR"),CHAR(10), IF(ISBLANK('Ingest Template'!Q838),"", 'Ingest Template'!Q838&amp;"|DAR"))),(CONCATENATE(IF(ISBLANK('Ingest Template'!O838),"", 'Ingest Template'!O838&amp;"|Operations - Core Title"),CHAR(10), IF(ISBLANK('Ingest Template'!P838),"", 'Ingest Template'!P838&amp;"|Operations - Core Title"),CHAR(10), IF(ISBLANK('Ingest Template'!Q838),"", 'Ingest Template'!Q838&amp;"|Operations - Core Title"))))</f>
        <v>#|Operations - Core Title
#videoGame|Operations - Core Title
</v>
      </c>
      <c r="AH839" s="25"/>
      <c r="AI839" s="25"/>
      <c r="AJ839" s="50" t="str">
        <f>if('Ingest Template'!A838="Standard",'Ingest Template'!R838&amp; "|DAR|DAR|2021-01-01",'Ingest Template'!R838&amp; "|Operations - Core Title|Operations - Core Title")</f>
        <v>#N/A</v>
      </c>
      <c r="AK839" s="25"/>
      <c r="AL839" s="25" t="str">
        <f>if('Ingest Template'!A838="Standard",'Ingest Template'!S838&amp; "|2021-01-01",'Ingest Template'!S838)</f>
        <v>#N/A</v>
      </c>
      <c r="AM839" s="25"/>
    </row>
    <row r="840">
      <c r="A840" s="25"/>
      <c r="B840" s="25" t="str">
        <f>'Ingest Template'!C839&amp;IF('Ingest Template'!A839 = "Standard", " - DAR","")</f>
        <v/>
      </c>
      <c r="C840" s="34" t="s">
        <v>92</v>
      </c>
      <c r="D840" s="34" t="str">
        <f>CONCATENATE('Ingest Template'!E840&amp;Char(10)&amp;'Ingest Template'!G840&amp;Char(10)&amp;'Ingest Template'!H840&amp;Char(10)&amp;'Ingest Template'!I840&amp;Char(10)&amp;'Ingest Template'!J840&amp;Char(10)&amp;'Ingest Template'!K840&amp;Char(10)&amp;'Ingest Template'!L840)</f>
        <v>
</v>
      </c>
      <c r="E840" s="25" t="str">
        <f>('Ingest Template'!M840)</f>
        <v/>
      </c>
      <c r="F840" s="40" t="str">
        <f t="array" ref="F840">INDEX(DropDown!$J$2:$J$63,MATCH(1,COUNTIF(E840,DropDown!$I$2:$I$63),0))</f>
        <v>#N/A</v>
      </c>
      <c r="G840" s="25"/>
      <c r="H840" s="25"/>
      <c r="I840" s="25"/>
      <c r="J840" s="25" t="str">
        <f>'Ingest Template'!B840</f>
        <v/>
      </c>
      <c r="K840" s="25" t="str">
        <f>IF('Ingest Template'!A839="Standard",'Ingest Template'!N839,"Competitive View")</f>
        <v>Competitive View</v>
      </c>
      <c r="L840" s="41" t="s">
        <v>145</v>
      </c>
      <c r="M840" s="25" t="str">
        <f>'Ingest Template'!D839</f>
        <v/>
      </c>
      <c r="N840" s="25"/>
      <c r="O840" s="25"/>
      <c r="P840" s="25"/>
      <c r="Q840" s="25"/>
      <c r="R840" s="25" t="str">
        <f>CONCATENATE('Ingest Template'!F839)</f>
        <v/>
      </c>
      <c r="S840" s="43" t="s">
        <v>160</v>
      </c>
      <c r="T840" s="25" t="str">
        <f>'Ingest Template'!W839</f>
        <v/>
      </c>
      <c r="U840" s="25"/>
      <c r="V840" s="25" t="str">
        <f>LOWER(SUBSTITUTE(SUBSTITUTE(SUBSTITUTE(SUBSTITUTE(SUBSTITUTE('Ingest Template'!Y839,"https:",""),"www.",""),"/",""),"?hl=en",""),"instagram.com",""))</f>
        <v/>
      </c>
      <c r="W840" s="34" t="str">
        <f>(IFERROR(vlookup('Ingest Template'!F840,DropDown!D:E,2,false)&amp;'Ingest Template'!C840,""))</f>
        <v/>
      </c>
      <c r="X840" s="25" t="str">
        <f>'Ingest Template'!AA839</f>
        <v/>
      </c>
      <c r="Y840" s="25"/>
      <c r="Z840" s="25"/>
      <c r="AA840" s="25"/>
      <c r="AB840" s="25" t="str">
        <f>'Ingest Template'!T839</f>
        <v/>
      </c>
      <c r="AC840" s="25"/>
      <c r="AD840" s="25" t="str">
        <f>'Ingest Template'!U839</f>
        <v/>
      </c>
      <c r="AE840" s="25" t="str">
        <f>'Ingest Template'!V839</f>
        <v/>
      </c>
      <c r="AF840" s="25"/>
      <c r="AG840" s="25" t="str">
        <f t="array" ref="AG840">IF('Ingest Template'!A839="Standard",(CONCATENATE(IF(ISBLANK('Ingest Template'!O839),"", 'Ingest Template'!O839&amp;"|DAR"),CHAR(10), IF(ISBLANK('Ingest Template'!P839),"", 'Ingest Template'!P839&amp;"|DAR"),CHAR(10), IF(ISBLANK('Ingest Template'!Q839),"", 'Ingest Template'!Q839&amp;"|DAR"))),(CONCATENATE(IF(ISBLANK('Ingest Template'!O839),"", 'Ingest Template'!O839&amp;"|Operations - Core Title"),CHAR(10), IF(ISBLANK('Ingest Template'!P839),"", 'Ingest Template'!P839&amp;"|Operations - Core Title"),CHAR(10), IF(ISBLANK('Ingest Template'!Q839),"", 'Ingest Template'!Q839&amp;"|Operations - Core Title"))))</f>
        <v>#|Operations - Core Title
#videoGame|Operations - Core Title
</v>
      </c>
      <c r="AH840" s="25"/>
      <c r="AI840" s="25"/>
      <c r="AJ840" s="50" t="str">
        <f>if('Ingest Template'!A839="Standard",'Ingest Template'!R839&amp; "|DAR|DAR|2021-01-01",'Ingest Template'!R839&amp; "|Operations - Core Title|Operations - Core Title")</f>
        <v>#N/A</v>
      </c>
      <c r="AK840" s="25"/>
      <c r="AL840" s="25" t="str">
        <f>if('Ingest Template'!A839="Standard",'Ingest Template'!S839&amp; "|2021-01-01",'Ingest Template'!S839)</f>
        <v>#N/A</v>
      </c>
      <c r="AM840" s="25"/>
    </row>
    <row r="841">
      <c r="A841" s="25"/>
      <c r="B841" s="25" t="str">
        <f>'Ingest Template'!C840&amp;IF('Ingest Template'!A840 = "Standard", " - DAR","")</f>
        <v/>
      </c>
      <c r="C841" s="34" t="s">
        <v>92</v>
      </c>
      <c r="D841" s="34" t="str">
        <f>CONCATENATE('Ingest Template'!E841&amp;Char(10)&amp;'Ingest Template'!G841&amp;Char(10)&amp;'Ingest Template'!H841&amp;Char(10)&amp;'Ingest Template'!I841&amp;Char(10)&amp;'Ingest Template'!J841&amp;Char(10)&amp;'Ingest Template'!K841&amp;Char(10)&amp;'Ingest Template'!L841)</f>
        <v>
</v>
      </c>
      <c r="E841" s="25" t="str">
        <f>('Ingest Template'!M841)</f>
        <v/>
      </c>
      <c r="F841" s="40" t="str">
        <f t="array" ref="F841">INDEX(DropDown!$J$2:$J$63,MATCH(1,COUNTIF(E841,DropDown!$I$2:$I$63),0))</f>
        <v>#N/A</v>
      </c>
      <c r="G841" s="25"/>
      <c r="H841" s="25"/>
      <c r="I841" s="25"/>
      <c r="J841" s="25" t="str">
        <f>'Ingest Template'!B841</f>
        <v/>
      </c>
      <c r="K841" s="25" t="str">
        <f>IF('Ingest Template'!A840="Standard",'Ingest Template'!N840,"Competitive View")</f>
        <v>Competitive View</v>
      </c>
      <c r="L841" s="41" t="s">
        <v>145</v>
      </c>
      <c r="M841" s="25" t="str">
        <f>'Ingest Template'!D840</f>
        <v/>
      </c>
      <c r="N841" s="25"/>
      <c r="O841" s="25"/>
      <c r="P841" s="25"/>
      <c r="Q841" s="25"/>
      <c r="R841" s="25" t="str">
        <f>CONCATENATE('Ingest Template'!F840)</f>
        <v/>
      </c>
      <c r="S841" s="43" t="s">
        <v>160</v>
      </c>
      <c r="T841" s="25" t="str">
        <f>'Ingest Template'!W840</f>
        <v/>
      </c>
      <c r="U841" s="25"/>
      <c r="V841" s="25" t="str">
        <f>LOWER(SUBSTITUTE(SUBSTITUTE(SUBSTITUTE(SUBSTITUTE(SUBSTITUTE('Ingest Template'!Y840,"https:",""),"www.",""),"/",""),"?hl=en",""),"instagram.com",""))</f>
        <v/>
      </c>
      <c r="W841" s="34" t="str">
        <f>(IFERROR(vlookup('Ingest Template'!F841,DropDown!D:E,2,false)&amp;'Ingest Template'!C841,""))</f>
        <v/>
      </c>
      <c r="X841" s="25" t="str">
        <f>'Ingest Template'!AA840</f>
        <v/>
      </c>
      <c r="Y841" s="25"/>
      <c r="Z841" s="25"/>
      <c r="AA841" s="25"/>
      <c r="AB841" s="25" t="str">
        <f>'Ingest Template'!T840</f>
        <v/>
      </c>
      <c r="AC841" s="25"/>
      <c r="AD841" s="25" t="str">
        <f>'Ingest Template'!U840</f>
        <v/>
      </c>
      <c r="AE841" s="25" t="str">
        <f>'Ingest Template'!V840</f>
        <v/>
      </c>
      <c r="AF841" s="25"/>
      <c r="AG841" s="25" t="str">
        <f t="array" ref="AG841">IF('Ingest Template'!A840="Standard",(CONCATENATE(IF(ISBLANK('Ingest Template'!O840),"", 'Ingest Template'!O840&amp;"|DAR"),CHAR(10), IF(ISBLANK('Ingest Template'!P840),"", 'Ingest Template'!P840&amp;"|DAR"),CHAR(10), IF(ISBLANK('Ingest Template'!Q840),"", 'Ingest Template'!Q840&amp;"|DAR"))),(CONCATENATE(IF(ISBLANK('Ingest Template'!O840),"", 'Ingest Template'!O840&amp;"|Operations - Core Title"),CHAR(10), IF(ISBLANK('Ingest Template'!P840),"", 'Ingest Template'!P840&amp;"|Operations - Core Title"),CHAR(10), IF(ISBLANK('Ingest Template'!Q840),"", 'Ingest Template'!Q840&amp;"|Operations - Core Title"))))</f>
        <v>#|Operations - Core Title
#videoGame|Operations - Core Title
</v>
      </c>
      <c r="AH841" s="25"/>
      <c r="AI841" s="25"/>
      <c r="AJ841" s="50" t="str">
        <f>if('Ingest Template'!A840="Standard",'Ingest Template'!R840&amp; "|DAR|DAR|2021-01-01",'Ingest Template'!R840&amp; "|Operations - Core Title|Operations - Core Title")</f>
        <v>#N/A</v>
      </c>
      <c r="AK841" s="25"/>
      <c r="AL841" s="25" t="str">
        <f>if('Ingest Template'!A840="Standard",'Ingest Template'!S840&amp; "|2021-01-01",'Ingest Template'!S840)</f>
        <v>#N/A</v>
      </c>
      <c r="AM841" s="25"/>
    </row>
    <row r="842">
      <c r="A842" s="25"/>
      <c r="B842" s="25" t="str">
        <f>'Ingest Template'!C841&amp;IF('Ingest Template'!A841 = "Standard", " - DAR","")</f>
        <v/>
      </c>
      <c r="C842" s="34" t="s">
        <v>92</v>
      </c>
      <c r="D842" s="34" t="str">
        <f>CONCATENATE('Ingest Template'!E842&amp;Char(10)&amp;'Ingest Template'!G842&amp;Char(10)&amp;'Ingest Template'!H842&amp;Char(10)&amp;'Ingest Template'!I842&amp;Char(10)&amp;'Ingest Template'!J842&amp;Char(10)&amp;'Ingest Template'!K842&amp;Char(10)&amp;'Ingest Template'!L842)</f>
        <v>
</v>
      </c>
      <c r="E842" s="25" t="str">
        <f>('Ingest Template'!M842)</f>
        <v/>
      </c>
      <c r="F842" s="40" t="str">
        <f t="array" ref="F842">INDEX(DropDown!$J$2:$J$63,MATCH(1,COUNTIF(E842,DropDown!$I$2:$I$63),0))</f>
        <v>#N/A</v>
      </c>
      <c r="G842" s="25"/>
      <c r="H842" s="25"/>
      <c r="I842" s="25"/>
      <c r="J842" s="25" t="str">
        <f>'Ingest Template'!B842</f>
        <v/>
      </c>
      <c r="K842" s="25" t="str">
        <f>IF('Ingest Template'!A841="Standard",'Ingest Template'!N841,"Competitive View")</f>
        <v>Competitive View</v>
      </c>
      <c r="L842" s="41" t="s">
        <v>145</v>
      </c>
      <c r="M842" s="25" t="str">
        <f>'Ingest Template'!D841</f>
        <v/>
      </c>
      <c r="N842" s="25"/>
      <c r="O842" s="25"/>
      <c r="P842" s="25"/>
      <c r="Q842" s="25"/>
      <c r="R842" s="25" t="str">
        <f>CONCATENATE('Ingest Template'!F841)</f>
        <v/>
      </c>
      <c r="S842" s="43" t="s">
        <v>160</v>
      </c>
      <c r="T842" s="25" t="str">
        <f>'Ingest Template'!W841</f>
        <v/>
      </c>
      <c r="U842" s="25"/>
      <c r="V842" s="25" t="str">
        <f>LOWER(SUBSTITUTE(SUBSTITUTE(SUBSTITUTE(SUBSTITUTE(SUBSTITUTE('Ingest Template'!Y841,"https:",""),"www.",""),"/",""),"?hl=en",""),"instagram.com",""))</f>
        <v/>
      </c>
      <c r="W842" s="34" t="str">
        <f>(IFERROR(vlookup('Ingest Template'!F842,DropDown!D:E,2,false)&amp;'Ingest Template'!C842,""))</f>
        <v/>
      </c>
      <c r="X842" s="25" t="str">
        <f>'Ingest Template'!AA841</f>
        <v/>
      </c>
      <c r="Y842" s="25"/>
      <c r="Z842" s="25"/>
      <c r="AA842" s="25"/>
      <c r="AB842" s="25" t="str">
        <f>'Ingest Template'!T841</f>
        <v/>
      </c>
      <c r="AC842" s="25"/>
      <c r="AD842" s="25" t="str">
        <f>'Ingest Template'!U841</f>
        <v/>
      </c>
      <c r="AE842" s="25" t="str">
        <f>'Ingest Template'!V841</f>
        <v/>
      </c>
      <c r="AF842" s="25"/>
      <c r="AG842" s="25" t="str">
        <f t="array" ref="AG842">IF('Ingest Template'!A841="Standard",(CONCATENATE(IF(ISBLANK('Ingest Template'!O841),"", 'Ingest Template'!O841&amp;"|DAR"),CHAR(10), IF(ISBLANK('Ingest Template'!P841),"", 'Ingest Template'!P841&amp;"|DAR"),CHAR(10), IF(ISBLANK('Ingest Template'!Q841),"", 'Ingest Template'!Q841&amp;"|DAR"))),(CONCATENATE(IF(ISBLANK('Ingest Template'!O841),"", 'Ingest Template'!O841&amp;"|Operations - Core Title"),CHAR(10), IF(ISBLANK('Ingest Template'!P841),"", 'Ingest Template'!P841&amp;"|Operations - Core Title"),CHAR(10), IF(ISBLANK('Ingest Template'!Q841),"", 'Ingest Template'!Q841&amp;"|Operations - Core Title"))))</f>
        <v>#|Operations - Core Title
#videoGame|Operations - Core Title
</v>
      </c>
      <c r="AH842" s="25"/>
      <c r="AI842" s="25"/>
      <c r="AJ842" s="50" t="str">
        <f>if('Ingest Template'!A841="Standard",'Ingest Template'!R841&amp; "|DAR|DAR|2021-01-01",'Ingest Template'!R841&amp; "|Operations - Core Title|Operations - Core Title")</f>
        <v>#N/A</v>
      </c>
      <c r="AK842" s="25"/>
      <c r="AL842" s="25" t="str">
        <f>if('Ingest Template'!A841="Standard",'Ingest Template'!S841&amp; "|2021-01-01",'Ingest Template'!S841)</f>
        <v>#N/A</v>
      </c>
      <c r="AM842" s="25"/>
    </row>
    <row r="843">
      <c r="A843" s="25"/>
      <c r="B843" s="25" t="str">
        <f>'Ingest Template'!C842&amp;IF('Ingest Template'!A842 = "Standard", " - DAR","")</f>
        <v/>
      </c>
      <c r="C843" s="34" t="s">
        <v>92</v>
      </c>
      <c r="D843" s="34" t="str">
        <f>CONCATENATE('Ingest Template'!E843&amp;Char(10)&amp;'Ingest Template'!G843&amp;Char(10)&amp;'Ingest Template'!H843&amp;Char(10)&amp;'Ingest Template'!I843&amp;Char(10)&amp;'Ingest Template'!J843&amp;Char(10)&amp;'Ingest Template'!K843&amp;Char(10)&amp;'Ingest Template'!L843)</f>
        <v>
</v>
      </c>
      <c r="E843" s="25" t="str">
        <f>('Ingest Template'!M843)</f>
        <v/>
      </c>
      <c r="F843" s="40" t="str">
        <f t="array" ref="F843">INDEX(DropDown!$J$2:$J$63,MATCH(1,COUNTIF(E843,DropDown!$I$2:$I$63),0))</f>
        <v>#N/A</v>
      </c>
      <c r="G843" s="25"/>
      <c r="H843" s="25"/>
      <c r="I843" s="25"/>
      <c r="J843" s="25" t="str">
        <f>'Ingest Template'!B843</f>
        <v/>
      </c>
      <c r="K843" s="25" t="str">
        <f>IF('Ingest Template'!A842="Standard",'Ingest Template'!N842,"Competitive View")</f>
        <v>Competitive View</v>
      </c>
      <c r="L843" s="41" t="s">
        <v>145</v>
      </c>
      <c r="M843" s="25" t="str">
        <f>'Ingest Template'!D842</f>
        <v/>
      </c>
      <c r="N843" s="25"/>
      <c r="O843" s="25"/>
      <c r="P843" s="25"/>
      <c r="Q843" s="25"/>
      <c r="R843" s="25" t="str">
        <f>CONCATENATE('Ingest Template'!F842)</f>
        <v/>
      </c>
      <c r="S843" s="43" t="s">
        <v>160</v>
      </c>
      <c r="T843" s="25" t="str">
        <f>'Ingest Template'!W842</f>
        <v/>
      </c>
      <c r="U843" s="25"/>
      <c r="V843" s="25" t="str">
        <f>LOWER(SUBSTITUTE(SUBSTITUTE(SUBSTITUTE(SUBSTITUTE(SUBSTITUTE('Ingest Template'!Y842,"https:",""),"www.",""),"/",""),"?hl=en",""),"instagram.com",""))</f>
        <v/>
      </c>
      <c r="W843" s="34" t="str">
        <f>(IFERROR(vlookup('Ingest Template'!F843,DropDown!D:E,2,false)&amp;'Ingest Template'!C843,""))</f>
        <v/>
      </c>
      <c r="X843" s="25" t="str">
        <f>'Ingest Template'!AA842</f>
        <v/>
      </c>
      <c r="Y843" s="25"/>
      <c r="Z843" s="25"/>
      <c r="AA843" s="25"/>
      <c r="AB843" s="25" t="str">
        <f>'Ingest Template'!T842</f>
        <v/>
      </c>
      <c r="AC843" s="25"/>
      <c r="AD843" s="25" t="str">
        <f>'Ingest Template'!U842</f>
        <v/>
      </c>
      <c r="AE843" s="25" t="str">
        <f>'Ingest Template'!V842</f>
        <v/>
      </c>
      <c r="AF843" s="25"/>
      <c r="AG843" s="25" t="str">
        <f t="array" ref="AG843">IF('Ingest Template'!A842="Standard",(CONCATENATE(IF(ISBLANK('Ingest Template'!O842),"", 'Ingest Template'!O842&amp;"|DAR"),CHAR(10), IF(ISBLANK('Ingest Template'!P842),"", 'Ingest Template'!P842&amp;"|DAR"),CHAR(10), IF(ISBLANK('Ingest Template'!Q842),"", 'Ingest Template'!Q842&amp;"|DAR"))),(CONCATENATE(IF(ISBLANK('Ingest Template'!O842),"", 'Ingest Template'!O842&amp;"|Operations - Core Title"),CHAR(10), IF(ISBLANK('Ingest Template'!P842),"", 'Ingest Template'!P842&amp;"|Operations - Core Title"),CHAR(10), IF(ISBLANK('Ingest Template'!Q842),"", 'Ingest Template'!Q842&amp;"|Operations - Core Title"))))</f>
        <v>#|Operations - Core Title
#videoGame|Operations - Core Title
</v>
      </c>
      <c r="AH843" s="25"/>
      <c r="AI843" s="25"/>
      <c r="AJ843" s="50" t="str">
        <f>if('Ingest Template'!A842="Standard",'Ingest Template'!R842&amp; "|DAR|DAR|2021-01-01",'Ingest Template'!R842&amp; "|Operations - Core Title|Operations - Core Title")</f>
        <v>#N/A</v>
      </c>
      <c r="AK843" s="25"/>
      <c r="AL843" s="25" t="str">
        <f>if('Ingest Template'!A842="Standard",'Ingest Template'!S842&amp; "|2021-01-01",'Ingest Template'!S842)</f>
        <v>#N/A</v>
      </c>
      <c r="AM843" s="25"/>
    </row>
    <row r="844">
      <c r="A844" s="25"/>
      <c r="B844" s="25" t="str">
        <f>'Ingest Template'!C843&amp;IF('Ingest Template'!A843 = "Standard", " - DAR","")</f>
        <v/>
      </c>
      <c r="C844" s="34" t="s">
        <v>92</v>
      </c>
      <c r="D844" s="34" t="str">
        <f>CONCATENATE('Ingest Template'!E844&amp;Char(10)&amp;'Ingest Template'!G844&amp;Char(10)&amp;'Ingest Template'!H844&amp;Char(10)&amp;'Ingest Template'!I844&amp;Char(10)&amp;'Ingest Template'!J844&amp;Char(10)&amp;'Ingest Template'!K844&amp;Char(10)&amp;'Ingest Template'!L844)</f>
        <v>
</v>
      </c>
      <c r="E844" s="25" t="str">
        <f>('Ingest Template'!M844)</f>
        <v/>
      </c>
      <c r="F844" s="40" t="str">
        <f t="array" ref="F844">INDEX(DropDown!$J$2:$J$63,MATCH(1,COUNTIF(E844,DropDown!$I$2:$I$63),0))</f>
        <v>#N/A</v>
      </c>
      <c r="G844" s="25"/>
      <c r="H844" s="25"/>
      <c r="I844" s="25"/>
      <c r="J844" s="25" t="str">
        <f>'Ingest Template'!B844</f>
        <v/>
      </c>
      <c r="K844" s="25" t="str">
        <f>IF('Ingest Template'!A843="Standard",'Ingest Template'!N843,"Competitive View")</f>
        <v>Competitive View</v>
      </c>
      <c r="L844" s="41" t="s">
        <v>145</v>
      </c>
      <c r="M844" s="25" t="str">
        <f>'Ingest Template'!D843</f>
        <v/>
      </c>
      <c r="N844" s="25"/>
      <c r="O844" s="25"/>
      <c r="P844" s="25"/>
      <c r="Q844" s="25"/>
      <c r="R844" s="25" t="str">
        <f>CONCATENATE('Ingest Template'!F843)</f>
        <v/>
      </c>
      <c r="S844" s="43" t="s">
        <v>160</v>
      </c>
      <c r="T844" s="25" t="str">
        <f>'Ingest Template'!W843</f>
        <v/>
      </c>
      <c r="U844" s="25"/>
      <c r="V844" s="25" t="str">
        <f>LOWER(SUBSTITUTE(SUBSTITUTE(SUBSTITUTE(SUBSTITUTE(SUBSTITUTE('Ingest Template'!Y843,"https:",""),"www.",""),"/",""),"?hl=en",""),"instagram.com",""))</f>
        <v/>
      </c>
      <c r="W844" s="34" t="str">
        <f>(IFERROR(vlookup('Ingest Template'!F844,DropDown!D:E,2,false)&amp;'Ingest Template'!C844,""))</f>
        <v/>
      </c>
      <c r="X844" s="25" t="str">
        <f>'Ingest Template'!AA843</f>
        <v/>
      </c>
      <c r="Y844" s="25"/>
      <c r="Z844" s="25"/>
      <c r="AA844" s="25"/>
      <c r="AB844" s="25" t="str">
        <f>'Ingest Template'!T843</f>
        <v/>
      </c>
      <c r="AC844" s="25"/>
      <c r="AD844" s="25" t="str">
        <f>'Ingest Template'!U843</f>
        <v/>
      </c>
      <c r="AE844" s="25" t="str">
        <f>'Ingest Template'!V843</f>
        <v/>
      </c>
      <c r="AF844" s="25"/>
      <c r="AG844" s="25" t="str">
        <f t="array" ref="AG844">IF('Ingest Template'!A843="Standard",(CONCATENATE(IF(ISBLANK('Ingest Template'!O843),"", 'Ingest Template'!O843&amp;"|DAR"),CHAR(10), IF(ISBLANK('Ingest Template'!P843),"", 'Ingest Template'!P843&amp;"|DAR"),CHAR(10), IF(ISBLANK('Ingest Template'!Q843),"", 'Ingest Template'!Q843&amp;"|DAR"))),(CONCATENATE(IF(ISBLANK('Ingest Template'!O843),"", 'Ingest Template'!O843&amp;"|Operations - Core Title"),CHAR(10), IF(ISBLANK('Ingest Template'!P843),"", 'Ingest Template'!P843&amp;"|Operations - Core Title"),CHAR(10), IF(ISBLANK('Ingest Template'!Q843),"", 'Ingest Template'!Q843&amp;"|Operations - Core Title"))))</f>
        <v>#|Operations - Core Title
#videoGame|Operations - Core Title
</v>
      </c>
      <c r="AH844" s="25"/>
      <c r="AI844" s="25"/>
      <c r="AJ844" s="50" t="str">
        <f>if('Ingest Template'!A843="Standard",'Ingest Template'!R843&amp; "|DAR|DAR|2021-01-01",'Ingest Template'!R843&amp; "|Operations - Core Title|Operations - Core Title")</f>
        <v>#N/A</v>
      </c>
      <c r="AK844" s="25"/>
      <c r="AL844" s="25" t="str">
        <f>if('Ingest Template'!A843="Standard",'Ingest Template'!S843&amp; "|2021-01-01",'Ingest Template'!S843)</f>
        <v>#N/A</v>
      </c>
      <c r="AM844" s="25"/>
    </row>
    <row r="845">
      <c r="A845" s="25"/>
      <c r="B845" s="25" t="str">
        <f>'Ingest Template'!C844&amp;IF('Ingest Template'!A844 = "Standard", " - DAR","")</f>
        <v/>
      </c>
      <c r="C845" s="34" t="s">
        <v>92</v>
      </c>
      <c r="D845" s="34" t="str">
        <f>CONCATENATE('Ingest Template'!E845&amp;Char(10)&amp;'Ingest Template'!G845&amp;Char(10)&amp;'Ingest Template'!H845&amp;Char(10)&amp;'Ingest Template'!I845&amp;Char(10)&amp;'Ingest Template'!J845&amp;Char(10)&amp;'Ingest Template'!K845&amp;Char(10)&amp;'Ingest Template'!L845)</f>
        <v>
</v>
      </c>
      <c r="E845" s="25" t="str">
        <f>('Ingest Template'!M845)</f>
        <v/>
      </c>
      <c r="F845" s="40" t="str">
        <f t="array" ref="F845">INDEX(DropDown!$J$2:$J$63,MATCH(1,COUNTIF(E845,DropDown!$I$2:$I$63),0))</f>
        <v>#N/A</v>
      </c>
      <c r="G845" s="25"/>
      <c r="H845" s="25"/>
      <c r="I845" s="25"/>
      <c r="J845" s="25" t="str">
        <f>'Ingest Template'!B845</f>
        <v/>
      </c>
      <c r="K845" s="25" t="str">
        <f>IF('Ingest Template'!A844="Standard",'Ingest Template'!N844,"Competitive View")</f>
        <v>Competitive View</v>
      </c>
      <c r="L845" s="41" t="s">
        <v>145</v>
      </c>
      <c r="M845" s="25" t="str">
        <f>'Ingest Template'!D844</f>
        <v/>
      </c>
      <c r="N845" s="25"/>
      <c r="O845" s="25"/>
      <c r="P845" s="25"/>
      <c r="Q845" s="25"/>
      <c r="R845" s="25" t="str">
        <f>CONCATENATE('Ingest Template'!F844)</f>
        <v/>
      </c>
      <c r="S845" s="43" t="s">
        <v>160</v>
      </c>
      <c r="T845" s="25" t="str">
        <f>'Ingest Template'!W844</f>
        <v/>
      </c>
      <c r="U845" s="25"/>
      <c r="V845" s="25" t="str">
        <f>LOWER(SUBSTITUTE(SUBSTITUTE(SUBSTITUTE(SUBSTITUTE(SUBSTITUTE('Ingest Template'!Y844,"https:",""),"www.",""),"/",""),"?hl=en",""),"instagram.com",""))</f>
        <v/>
      </c>
      <c r="W845" s="34" t="str">
        <f>(IFERROR(vlookup('Ingest Template'!F845,DropDown!D:E,2,false)&amp;'Ingest Template'!C845,""))</f>
        <v/>
      </c>
      <c r="X845" s="25" t="str">
        <f>'Ingest Template'!AA844</f>
        <v/>
      </c>
      <c r="Y845" s="25"/>
      <c r="Z845" s="25"/>
      <c r="AA845" s="25"/>
      <c r="AB845" s="25" t="str">
        <f>'Ingest Template'!T844</f>
        <v/>
      </c>
      <c r="AC845" s="25"/>
      <c r="AD845" s="25" t="str">
        <f>'Ingest Template'!U844</f>
        <v/>
      </c>
      <c r="AE845" s="25" t="str">
        <f>'Ingest Template'!V844</f>
        <v/>
      </c>
      <c r="AF845" s="25"/>
      <c r="AG845" s="25" t="str">
        <f t="array" ref="AG845">IF('Ingest Template'!A844="Standard",(CONCATENATE(IF(ISBLANK('Ingest Template'!O844),"", 'Ingest Template'!O844&amp;"|DAR"),CHAR(10), IF(ISBLANK('Ingest Template'!P844),"", 'Ingest Template'!P844&amp;"|DAR"),CHAR(10), IF(ISBLANK('Ingest Template'!Q844),"", 'Ingest Template'!Q844&amp;"|DAR"))),(CONCATENATE(IF(ISBLANK('Ingest Template'!O844),"", 'Ingest Template'!O844&amp;"|Operations - Core Title"),CHAR(10), IF(ISBLANK('Ingest Template'!P844),"", 'Ingest Template'!P844&amp;"|Operations - Core Title"),CHAR(10), IF(ISBLANK('Ingest Template'!Q844),"", 'Ingest Template'!Q844&amp;"|Operations - Core Title"))))</f>
        <v>#|Operations - Core Title
#videoGame|Operations - Core Title
</v>
      </c>
      <c r="AH845" s="25"/>
      <c r="AI845" s="25"/>
      <c r="AJ845" s="50" t="str">
        <f>if('Ingest Template'!A844="Standard",'Ingest Template'!R844&amp; "|DAR|DAR|2021-01-01",'Ingest Template'!R844&amp; "|Operations - Core Title|Operations - Core Title")</f>
        <v>#N/A</v>
      </c>
      <c r="AK845" s="25"/>
      <c r="AL845" s="25" t="str">
        <f>if('Ingest Template'!A844="Standard",'Ingest Template'!S844&amp; "|2021-01-01",'Ingest Template'!S844)</f>
        <v>#N/A</v>
      </c>
      <c r="AM845" s="25"/>
    </row>
    <row r="846">
      <c r="A846" s="25"/>
      <c r="B846" s="25" t="str">
        <f>'Ingest Template'!C845&amp;IF('Ingest Template'!A845 = "Standard", " - DAR","")</f>
        <v/>
      </c>
      <c r="C846" s="34" t="s">
        <v>92</v>
      </c>
      <c r="D846" s="34" t="str">
        <f>CONCATENATE('Ingest Template'!E846&amp;Char(10)&amp;'Ingest Template'!G846&amp;Char(10)&amp;'Ingest Template'!H846&amp;Char(10)&amp;'Ingest Template'!I846&amp;Char(10)&amp;'Ingest Template'!J846&amp;Char(10)&amp;'Ingest Template'!K846&amp;Char(10)&amp;'Ingest Template'!L846)</f>
        <v>
</v>
      </c>
      <c r="E846" s="25" t="str">
        <f>('Ingest Template'!M846)</f>
        <v/>
      </c>
      <c r="F846" s="40" t="str">
        <f t="array" ref="F846">INDEX(DropDown!$J$2:$J$63,MATCH(1,COUNTIF(E846,DropDown!$I$2:$I$63),0))</f>
        <v>#N/A</v>
      </c>
      <c r="G846" s="25"/>
      <c r="H846" s="25"/>
      <c r="I846" s="25"/>
      <c r="J846" s="25" t="str">
        <f>'Ingest Template'!B846</f>
        <v/>
      </c>
      <c r="K846" s="25" t="str">
        <f>IF('Ingest Template'!A845="Standard",'Ingest Template'!N845,"Competitive View")</f>
        <v>Competitive View</v>
      </c>
      <c r="L846" s="41" t="s">
        <v>145</v>
      </c>
      <c r="M846" s="25" t="str">
        <f>'Ingest Template'!D845</f>
        <v/>
      </c>
      <c r="N846" s="25"/>
      <c r="O846" s="25"/>
      <c r="P846" s="25"/>
      <c r="Q846" s="25"/>
      <c r="R846" s="25" t="str">
        <f>CONCATENATE('Ingest Template'!F845)</f>
        <v/>
      </c>
      <c r="S846" s="43" t="s">
        <v>160</v>
      </c>
      <c r="T846" s="25" t="str">
        <f>'Ingest Template'!W845</f>
        <v/>
      </c>
      <c r="U846" s="25"/>
      <c r="V846" s="25" t="str">
        <f>LOWER(SUBSTITUTE(SUBSTITUTE(SUBSTITUTE(SUBSTITUTE(SUBSTITUTE('Ingest Template'!Y845,"https:",""),"www.",""),"/",""),"?hl=en",""),"instagram.com",""))</f>
        <v/>
      </c>
      <c r="W846" s="34" t="str">
        <f>(IFERROR(vlookup('Ingest Template'!F846,DropDown!D:E,2,false)&amp;'Ingest Template'!C846,""))</f>
        <v/>
      </c>
      <c r="X846" s="25" t="str">
        <f>'Ingest Template'!AA845</f>
        <v/>
      </c>
      <c r="Y846" s="25"/>
      <c r="Z846" s="25"/>
      <c r="AA846" s="25"/>
      <c r="AB846" s="25" t="str">
        <f>'Ingest Template'!T845</f>
        <v/>
      </c>
      <c r="AC846" s="25"/>
      <c r="AD846" s="25" t="str">
        <f>'Ingest Template'!U845</f>
        <v/>
      </c>
      <c r="AE846" s="25" t="str">
        <f>'Ingest Template'!V845</f>
        <v/>
      </c>
      <c r="AF846" s="25"/>
      <c r="AG846" s="25" t="str">
        <f t="array" ref="AG846">IF('Ingest Template'!A845="Standard",(CONCATENATE(IF(ISBLANK('Ingest Template'!O845),"", 'Ingest Template'!O845&amp;"|DAR"),CHAR(10), IF(ISBLANK('Ingest Template'!P845),"", 'Ingest Template'!P845&amp;"|DAR"),CHAR(10), IF(ISBLANK('Ingest Template'!Q845),"", 'Ingest Template'!Q845&amp;"|DAR"))),(CONCATENATE(IF(ISBLANK('Ingest Template'!O845),"", 'Ingest Template'!O845&amp;"|Operations - Core Title"),CHAR(10), IF(ISBLANK('Ingest Template'!P845),"", 'Ingest Template'!P845&amp;"|Operations - Core Title"),CHAR(10), IF(ISBLANK('Ingest Template'!Q845),"", 'Ingest Template'!Q845&amp;"|Operations - Core Title"))))</f>
        <v>#|Operations - Core Title
#videoGame|Operations - Core Title
</v>
      </c>
      <c r="AH846" s="25"/>
      <c r="AI846" s="25"/>
      <c r="AJ846" s="50" t="str">
        <f>if('Ingest Template'!A845="Standard",'Ingest Template'!R845&amp; "|DAR|DAR|2021-01-01",'Ingest Template'!R845&amp; "|Operations - Core Title|Operations - Core Title")</f>
        <v>#N/A</v>
      </c>
      <c r="AK846" s="25"/>
      <c r="AL846" s="25" t="str">
        <f>if('Ingest Template'!A845="Standard",'Ingest Template'!S845&amp; "|2021-01-01",'Ingest Template'!S845)</f>
        <v>#N/A</v>
      </c>
      <c r="AM846" s="25"/>
    </row>
    <row r="847">
      <c r="A847" s="25"/>
      <c r="B847" s="25" t="str">
        <f>'Ingest Template'!C846&amp;IF('Ingest Template'!A846 = "Standard", " - DAR","")</f>
        <v/>
      </c>
      <c r="C847" s="34" t="s">
        <v>92</v>
      </c>
      <c r="D847" s="34" t="str">
        <f>CONCATENATE('Ingest Template'!E847&amp;Char(10)&amp;'Ingest Template'!G847&amp;Char(10)&amp;'Ingest Template'!H847&amp;Char(10)&amp;'Ingest Template'!I847&amp;Char(10)&amp;'Ingest Template'!J847&amp;Char(10)&amp;'Ingest Template'!K847&amp;Char(10)&amp;'Ingest Template'!L847)</f>
        <v>
</v>
      </c>
      <c r="E847" s="25" t="str">
        <f>('Ingest Template'!M847)</f>
        <v/>
      </c>
      <c r="F847" s="40" t="str">
        <f t="array" ref="F847">INDEX(DropDown!$J$2:$J$63,MATCH(1,COUNTIF(E847,DropDown!$I$2:$I$63),0))</f>
        <v>#N/A</v>
      </c>
      <c r="G847" s="25"/>
      <c r="H847" s="25"/>
      <c r="I847" s="25"/>
      <c r="J847" s="25" t="str">
        <f>'Ingest Template'!B847</f>
        <v/>
      </c>
      <c r="K847" s="25" t="str">
        <f>IF('Ingest Template'!A846="Standard",'Ingest Template'!N846,"Competitive View")</f>
        <v>Competitive View</v>
      </c>
      <c r="L847" s="41" t="s">
        <v>145</v>
      </c>
      <c r="M847" s="25" t="str">
        <f>'Ingest Template'!D846</f>
        <v/>
      </c>
      <c r="N847" s="25"/>
      <c r="O847" s="25"/>
      <c r="P847" s="25"/>
      <c r="Q847" s="25"/>
      <c r="R847" s="25" t="str">
        <f>CONCATENATE('Ingest Template'!F846)</f>
        <v/>
      </c>
      <c r="S847" s="43" t="s">
        <v>160</v>
      </c>
      <c r="T847" s="25" t="str">
        <f>'Ingest Template'!W846</f>
        <v/>
      </c>
      <c r="U847" s="25"/>
      <c r="V847" s="25" t="str">
        <f>LOWER(SUBSTITUTE(SUBSTITUTE(SUBSTITUTE(SUBSTITUTE(SUBSTITUTE('Ingest Template'!Y846,"https:",""),"www.",""),"/",""),"?hl=en",""),"instagram.com",""))</f>
        <v/>
      </c>
      <c r="W847" s="34" t="str">
        <f>(IFERROR(vlookup('Ingest Template'!F847,DropDown!D:E,2,false)&amp;'Ingest Template'!C847,""))</f>
        <v/>
      </c>
      <c r="X847" s="25" t="str">
        <f>'Ingest Template'!AA846</f>
        <v/>
      </c>
      <c r="Y847" s="25"/>
      <c r="Z847" s="25"/>
      <c r="AA847" s="25"/>
      <c r="AB847" s="25" t="str">
        <f>'Ingest Template'!T846</f>
        <v/>
      </c>
      <c r="AC847" s="25"/>
      <c r="AD847" s="25" t="str">
        <f>'Ingest Template'!U846</f>
        <v/>
      </c>
      <c r="AE847" s="25" t="str">
        <f>'Ingest Template'!V846</f>
        <v/>
      </c>
      <c r="AF847" s="25"/>
      <c r="AG847" s="25" t="str">
        <f t="array" ref="AG847">IF('Ingest Template'!A846="Standard",(CONCATENATE(IF(ISBLANK('Ingest Template'!O846),"", 'Ingest Template'!O846&amp;"|DAR"),CHAR(10), IF(ISBLANK('Ingest Template'!P846),"", 'Ingest Template'!P846&amp;"|DAR"),CHAR(10), IF(ISBLANK('Ingest Template'!Q846),"", 'Ingest Template'!Q846&amp;"|DAR"))),(CONCATENATE(IF(ISBLANK('Ingest Template'!O846),"", 'Ingest Template'!O846&amp;"|Operations - Core Title"),CHAR(10), IF(ISBLANK('Ingest Template'!P846),"", 'Ingest Template'!P846&amp;"|Operations - Core Title"),CHAR(10), IF(ISBLANK('Ingest Template'!Q846),"", 'Ingest Template'!Q846&amp;"|Operations - Core Title"))))</f>
        <v>#|Operations - Core Title
#videoGame|Operations - Core Title
</v>
      </c>
      <c r="AH847" s="25"/>
      <c r="AI847" s="25"/>
      <c r="AJ847" s="50" t="str">
        <f>if('Ingest Template'!A846="Standard",'Ingest Template'!R846&amp; "|DAR|DAR|2021-01-01",'Ingest Template'!R846&amp; "|Operations - Core Title|Operations - Core Title")</f>
        <v>#N/A</v>
      </c>
      <c r="AK847" s="25"/>
      <c r="AL847" s="25" t="str">
        <f>if('Ingest Template'!A846="Standard",'Ingest Template'!S846&amp; "|2021-01-01",'Ingest Template'!S846)</f>
        <v>#N/A</v>
      </c>
      <c r="AM847" s="25"/>
    </row>
    <row r="848">
      <c r="A848" s="25"/>
      <c r="B848" s="25" t="str">
        <f>'Ingest Template'!C847&amp;IF('Ingest Template'!A847 = "Standard", " - DAR","")</f>
        <v/>
      </c>
      <c r="C848" s="34" t="s">
        <v>92</v>
      </c>
      <c r="D848" s="34" t="str">
        <f>CONCATENATE('Ingest Template'!E848&amp;Char(10)&amp;'Ingest Template'!G848&amp;Char(10)&amp;'Ingest Template'!H848&amp;Char(10)&amp;'Ingest Template'!I848&amp;Char(10)&amp;'Ingest Template'!J848&amp;Char(10)&amp;'Ingest Template'!K848&amp;Char(10)&amp;'Ingest Template'!L848)</f>
        <v>
</v>
      </c>
      <c r="E848" s="25" t="str">
        <f>('Ingest Template'!M848)</f>
        <v/>
      </c>
      <c r="F848" s="40" t="str">
        <f t="array" ref="F848">INDEX(DropDown!$J$2:$J$63,MATCH(1,COUNTIF(E848,DropDown!$I$2:$I$63),0))</f>
        <v>#N/A</v>
      </c>
      <c r="G848" s="25"/>
      <c r="H848" s="25"/>
      <c r="I848" s="25"/>
      <c r="J848" s="25" t="str">
        <f>'Ingest Template'!B848</f>
        <v/>
      </c>
      <c r="K848" s="25" t="str">
        <f>IF('Ingest Template'!A847="Standard",'Ingest Template'!N847,"Competitive View")</f>
        <v>Competitive View</v>
      </c>
      <c r="L848" s="41" t="s">
        <v>145</v>
      </c>
      <c r="M848" s="25" t="str">
        <f>'Ingest Template'!D847</f>
        <v/>
      </c>
      <c r="N848" s="25"/>
      <c r="O848" s="25"/>
      <c r="P848" s="25"/>
      <c r="Q848" s="25"/>
      <c r="R848" s="25" t="str">
        <f>CONCATENATE('Ingest Template'!F847)</f>
        <v/>
      </c>
      <c r="S848" s="43" t="s">
        <v>160</v>
      </c>
      <c r="T848" s="25" t="str">
        <f>'Ingest Template'!W847</f>
        <v/>
      </c>
      <c r="U848" s="25"/>
      <c r="V848" s="25" t="str">
        <f>LOWER(SUBSTITUTE(SUBSTITUTE(SUBSTITUTE(SUBSTITUTE(SUBSTITUTE('Ingest Template'!Y847,"https:",""),"www.",""),"/",""),"?hl=en",""),"instagram.com",""))</f>
        <v/>
      </c>
      <c r="W848" s="34" t="str">
        <f>(IFERROR(vlookup('Ingest Template'!F848,DropDown!D:E,2,false)&amp;'Ingest Template'!C848,""))</f>
        <v/>
      </c>
      <c r="X848" s="25" t="str">
        <f>'Ingest Template'!AA847</f>
        <v/>
      </c>
      <c r="Y848" s="25"/>
      <c r="Z848" s="25"/>
      <c r="AA848" s="25"/>
      <c r="AB848" s="25" t="str">
        <f>'Ingest Template'!T847</f>
        <v/>
      </c>
      <c r="AC848" s="25"/>
      <c r="AD848" s="25" t="str">
        <f>'Ingest Template'!U847</f>
        <v/>
      </c>
      <c r="AE848" s="25" t="str">
        <f>'Ingest Template'!V847</f>
        <v/>
      </c>
      <c r="AF848" s="25"/>
      <c r="AG848" s="25" t="str">
        <f t="array" ref="AG848">IF('Ingest Template'!A847="Standard",(CONCATENATE(IF(ISBLANK('Ingest Template'!O847),"", 'Ingest Template'!O847&amp;"|DAR"),CHAR(10), IF(ISBLANK('Ingest Template'!P847),"", 'Ingest Template'!P847&amp;"|DAR"),CHAR(10), IF(ISBLANK('Ingest Template'!Q847),"", 'Ingest Template'!Q847&amp;"|DAR"))),(CONCATENATE(IF(ISBLANK('Ingest Template'!O847),"", 'Ingest Template'!O847&amp;"|Operations - Core Title"),CHAR(10), IF(ISBLANK('Ingest Template'!P847),"", 'Ingest Template'!P847&amp;"|Operations - Core Title"),CHAR(10), IF(ISBLANK('Ingest Template'!Q847),"", 'Ingest Template'!Q847&amp;"|Operations - Core Title"))))</f>
        <v>#|Operations - Core Title
#videoGame|Operations - Core Title
</v>
      </c>
      <c r="AH848" s="25"/>
      <c r="AI848" s="25"/>
      <c r="AJ848" s="50" t="str">
        <f>if('Ingest Template'!A847="Standard",'Ingest Template'!R847&amp; "|DAR|DAR|2021-01-01",'Ingest Template'!R847&amp; "|Operations - Core Title|Operations - Core Title")</f>
        <v>#N/A</v>
      </c>
      <c r="AK848" s="25"/>
      <c r="AL848" s="25" t="str">
        <f>if('Ingest Template'!A847="Standard",'Ingest Template'!S847&amp; "|2021-01-01",'Ingest Template'!S847)</f>
        <v>#N/A</v>
      </c>
      <c r="AM848" s="25"/>
    </row>
    <row r="849">
      <c r="A849" s="25"/>
      <c r="B849" s="25" t="str">
        <f>'Ingest Template'!C848&amp;IF('Ingest Template'!A848 = "Standard", " - DAR","")</f>
        <v/>
      </c>
      <c r="C849" s="34" t="s">
        <v>92</v>
      </c>
      <c r="D849" s="34" t="str">
        <f>CONCATENATE('Ingest Template'!E849&amp;Char(10)&amp;'Ingest Template'!G849&amp;Char(10)&amp;'Ingest Template'!H849&amp;Char(10)&amp;'Ingest Template'!I849&amp;Char(10)&amp;'Ingest Template'!J849&amp;Char(10)&amp;'Ingest Template'!K849&amp;Char(10)&amp;'Ingest Template'!L849)</f>
        <v>
</v>
      </c>
      <c r="E849" s="25" t="str">
        <f>('Ingest Template'!M849)</f>
        <v/>
      </c>
      <c r="F849" s="40" t="str">
        <f t="array" ref="F849">INDEX(DropDown!$J$2:$J$63,MATCH(1,COUNTIF(E849,DropDown!$I$2:$I$63),0))</f>
        <v>#N/A</v>
      </c>
      <c r="G849" s="25"/>
      <c r="H849" s="25"/>
      <c r="I849" s="25"/>
      <c r="J849" s="25" t="str">
        <f>'Ingest Template'!B849</f>
        <v/>
      </c>
      <c r="K849" s="25" t="str">
        <f>IF('Ingest Template'!A848="Standard",'Ingest Template'!N848,"Competitive View")</f>
        <v>Competitive View</v>
      </c>
      <c r="L849" s="41" t="s">
        <v>145</v>
      </c>
      <c r="M849" s="25" t="str">
        <f>'Ingest Template'!D848</f>
        <v/>
      </c>
      <c r="N849" s="25"/>
      <c r="O849" s="25"/>
      <c r="P849" s="25"/>
      <c r="Q849" s="25"/>
      <c r="R849" s="25" t="str">
        <f>CONCATENATE('Ingest Template'!F848)</f>
        <v/>
      </c>
      <c r="S849" s="43" t="s">
        <v>160</v>
      </c>
      <c r="T849" s="25" t="str">
        <f>'Ingest Template'!W848</f>
        <v/>
      </c>
      <c r="U849" s="25"/>
      <c r="V849" s="25" t="str">
        <f>LOWER(SUBSTITUTE(SUBSTITUTE(SUBSTITUTE(SUBSTITUTE(SUBSTITUTE('Ingest Template'!Y848,"https:",""),"www.",""),"/",""),"?hl=en",""),"instagram.com",""))</f>
        <v/>
      </c>
      <c r="W849" s="34" t="str">
        <f>(IFERROR(vlookup('Ingest Template'!F849,DropDown!D:E,2,false)&amp;'Ingest Template'!C849,""))</f>
        <v/>
      </c>
      <c r="X849" s="25" t="str">
        <f>'Ingest Template'!AA848</f>
        <v/>
      </c>
      <c r="Y849" s="25"/>
      <c r="Z849" s="25"/>
      <c r="AA849" s="25"/>
      <c r="AB849" s="25" t="str">
        <f>'Ingest Template'!T848</f>
        <v/>
      </c>
      <c r="AC849" s="25"/>
      <c r="AD849" s="25" t="str">
        <f>'Ingest Template'!U848</f>
        <v/>
      </c>
      <c r="AE849" s="25" t="str">
        <f>'Ingest Template'!V848</f>
        <v/>
      </c>
      <c r="AF849" s="25"/>
      <c r="AG849" s="25" t="str">
        <f t="array" ref="AG849">IF('Ingest Template'!A848="Standard",(CONCATENATE(IF(ISBLANK('Ingest Template'!O848),"", 'Ingest Template'!O848&amp;"|DAR"),CHAR(10), IF(ISBLANK('Ingest Template'!P848),"", 'Ingest Template'!P848&amp;"|DAR"),CHAR(10), IF(ISBLANK('Ingest Template'!Q848),"", 'Ingest Template'!Q848&amp;"|DAR"))),(CONCATENATE(IF(ISBLANK('Ingest Template'!O848),"", 'Ingest Template'!O848&amp;"|Operations - Core Title"),CHAR(10), IF(ISBLANK('Ingest Template'!P848),"", 'Ingest Template'!P848&amp;"|Operations - Core Title"),CHAR(10), IF(ISBLANK('Ingest Template'!Q848),"", 'Ingest Template'!Q848&amp;"|Operations - Core Title"))))</f>
        <v>#|Operations - Core Title
#videoGame|Operations - Core Title
</v>
      </c>
      <c r="AH849" s="25"/>
      <c r="AI849" s="25"/>
      <c r="AJ849" s="50" t="str">
        <f>if('Ingest Template'!A848="Standard",'Ingest Template'!R848&amp; "|DAR|DAR|2021-01-01",'Ingest Template'!R848&amp; "|Operations - Core Title|Operations - Core Title")</f>
        <v>#N/A</v>
      </c>
      <c r="AK849" s="25"/>
      <c r="AL849" s="25" t="str">
        <f>if('Ingest Template'!A848="Standard",'Ingest Template'!S848&amp; "|2021-01-01",'Ingest Template'!S848)</f>
        <v>#N/A</v>
      </c>
      <c r="AM849" s="25"/>
    </row>
    <row r="850">
      <c r="A850" s="25"/>
      <c r="B850" s="25" t="str">
        <f>'Ingest Template'!C849&amp;IF('Ingest Template'!A849 = "Standard", " - DAR","")</f>
        <v/>
      </c>
      <c r="C850" s="34" t="s">
        <v>92</v>
      </c>
      <c r="D850" s="34" t="str">
        <f>CONCATENATE('Ingest Template'!E850&amp;Char(10)&amp;'Ingest Template'!G850&amp;Char(10)&amp;'Ingest Template'!H850&amp;Char(10)&amp;'Ingest Template'!I850&amp;Char(10)&amp;'Ingest Template'!J850&amp;Char(10)&amp;'Ingest Template'!K850&amp;Char(10)&amp;'Ingest Template'!L850)</f>
        <v>
</v>
      </c>
      <c r="E850" s="25" t="str">
        <f>('Ingest Template'!M850)</f>
        <v/>
      </c>
      <c r="F850" s="40" t="str">
        <f t="array" ref="F850">INDEX(DropDown!$J$2:$J$63,MATCH(1,COUNTIF(E850,DropDown!$I$2:$I$63),0))</f>
        <v>#N/A</v>
      </c>
      <c r="G850" s="25"/>
      <c r="H850" s="25"/>
      <c r="I850" s="25"/>
      <c r="J850" s="25" t="str">
        <f>'Ingest Template'!B850</f>
        <v/>
      </c>
      <c r="K850" s="25" t="str">
        <f>IF('Ingest Template'!A849="Standard",'Ingest Template'!N849,"Competitive View")</f>
        <v>Competitive View</v>
      </c>
      <c r="L850" s="41" t="s">
        <v>145</v>
      </c>
      <c r="M850" s="25" t="str">
        <f>'Ingest Template'!D849</f>
        <v/>
      </c>
      <c r="N850" s="25"/>
      <c r="O850" s="25"/>
      <c r="P850" s="25"/>
      <c r="Q850" s="25"/>
      <c r="R850" s="25" t="str">
        <f>CONCATENATE('Ingest Template'!F849)</f>
        <v/>
      </c>
      <c r="S850" s="43" t="s">
        <v>160</v>
      </c>
      <c r="T850" s="25" t="str">
        <f>'Ingest Template'!W849</f>
        <v/>
      </c>
      <c r="U850" s="25"/>
      <c r="V850" s="25" t="str">
        <f>LOWER(SUBSTITUTE(SUBSTITUTE(SUBSTITUTE(SUBSTITUTE(SUBSTITUTE('Ingest Template'!Y849,"https:",""),"www.",""),"/",""),"?hl=en",""),"instagram.com",""))</f>
        <v/>
      </c>
      <c r="W850" s="34" t="str">
        <f>(IFERROR(vlookup('Ingest Template'!F850,DropDown!D:E,2,false)&amp;'Ingest Template'!C850,""))</f>
        <v/>
      </c>
      <c r="X850" s="25" t="str">
        <f>'Ingest Template'!AA849</f>
        <v/>
      </c>
      <c r="Y850" s="25"/>
      <c r="Z850" s="25"/>
      <c r="AA850" s="25"/>
      <c r="AB850" s="25" t="str">
        <f>'Ingest Template'!T849</f>
        <v/>
      </c>
      <c r="AC850" s="25"/>
      <c r="AD850" s="25" t="str">
        <f>'Ingest Template'!U849</f>
        <v/>
      </c>
      <c r="AE850" s="25" t="str">
        <f>'Ingest Template'!V849</f>
        <v/>
      </c>
      <c r="AF850" s="25"/>
      <c r="AG850" s="25" t="str">
        <f t="array" ref="AG850">IF('Ingest Template'!A849="Standard",(CONCATENATE(IF(ISBLANK('Ingest Template'!O849),"", 'Ingest Template'!O849&amp;"|DAR"),CHAR(10), IF(ISBLANK('Ingest Template'!P849),"", 'Ingest Template'!P849&amp;"|DAR"),CHAR(10), IF(ISBLANK('Ingest Template'!Q849),"", 'Ingest Template'!Q849&amp;"|DAR"))),(CONCATENATE(IF(ISBLANK('Ingest Template'!O849),"", 'Ingest Template'!O849&amp;"|Operations - Core Title"),CHAR(10), IF(ISBLANK('Ingest Template'!P849),"", 'Ingest Template'!P849&amp;"|Operations - Core Title"),CHAR(10), IF(ISBLANK('Ingest Template'!Q849),"", 'Ingest Template'!Q849&amp;"|Operations - Core Title"))))</f>
        <v>#|Operations - Core Title
#videoGame|Operations - Core Title
</v>
      </c>
      <c r="AH850" s="25"/>
      <c r="AI850" s="25"/>
      <c r="AJ850" s="50" t="str">
        <f>if('Ingest Template'!A849="Standard",'Ingest Template'!R849&amp; "|DAR|DAR|2021-01-01",'Ingest Template'!R849&amp; "|Operations - Core Title|Operations - Core Title")</f>
        <v>#N/A</v>
      </c>
      <c r="AK850" s="25"/>
      <c r="AL850" s="25" t="str">
        <f>if('Ingest Template'!A849="Standard",'Ingest Template'!S849&amp; "|2021-01-01",'Ingest Template'!S849)</f>
        <v>#N/A</v>
      </c>
      <c r="AM850" s="25"/>
    </row>
    <row r="851">
      <c r="A851" s="25"/>
      <c r="B851" s="25" t="str">
        <f>'Ingest Template'!C850&amp;IF('Ingest Template'!A850 = "Standard", " - DAR","")</f>
        <v/>
      </c>
      <c r="C851" s="34" t="s">
        <v>92</v>
      </c>
      <c r="D851" s="34" t="str">
        <f>CONCATENATE('Ingest Template'!E851&amp;Char(10)&amp;'Ingest Template'!G851&amp;Char(10)&amp;'Ingest Template'!H851&amp;Char(10)&amp;'Ingest Template'!I851&amp;Char(10)&amp;'Ingest Template'!J851&amp;Char(10)&amp;'Ingest Template'!K851&amp;Char(10)&amp;'Ingest Template'!L851)</f>
        <v>
</v>
      </c>
      <c r="E851" s="25" t="str">
        <f>('Ingest Template'!M851)</f>
        <v/>
      </c>
      <c r="F851" s="40" t="str">
        <f t="array" ref="F851">INDEX(DropDown!$J$2:$J$63,MATCH(1,COUNTIF(E851,DropDown!$I$2:$I$63),0))</f>
        <v>#N/A</v>
      </c>
      <c r="G851" s="25"/>
      <c r="H851" s="25"/>
      <c r="I851" s="25"/>
      <c r="J851" s="25" t="str">
        <f>'Ingest Template'!B851</f>
        <v/>
      </c>
      <c r="K851" s="25" t="str">
        <f>IF('Ingest Template'!A850="Standard",'Ingest Template'!N850,"Competitive View")</f>
        <v>Competitive View</v>
      </c>
      <c r="L851" s="41" t="s">
        <v>145</v>
      </c>
      <c r="M851" s="25" t="str">
        <f>'Ingest Template'!D850</f>
        <v/>
      </c>
      <c r="N851" s="25"/>
      <c r="O851" s="25"/>
      <c r="P851" s="25"/>
      <c r="Q851" s="25"/>
      <c r="R851" s="25" t="str">
        <f>CONCATENATE('Ingest Template'!F850)</f>
        <v/>
      </c>
      <c r="S851" s="43" t="s">
        <v>160</v>
      </c>
      <c r="T851" s="25" t="str">
        <f>'Ingest Template'!W850</f>
        <v/>
      </c>
      <c r="U851" s="25"/>
      <c r="V851" s="25" t="str">
        <f>LOWER(SUBSTITUTE(SUBSTITUTE(SUBSTITUTE(SUBSTITUTE(SUBSTITUTE('Ingest Template'!Y850,"https:",""),"www.",""),"/",""),"?hl=en",""),"instagram.com",""))</f>
        <v/>
      </c>
      <c r="W851" s="34" t="str">
        <f>(IFERROR(vlookup('Ingest Template'!F851,DropDown!D:E,2,false)&amp;'Ingest Template'!C851,""))</f>
        <v/>
      </c>
      <c r="X851" s="25" t="str">
        <f>'Ingest Template'!AA850</f>
        <v/>
      </c>
      <c r="Y851" s="25"/>
      <c r="Z851" s="25"/>
      <c r="AA851" s="25"/>
      <c r="AB851" s="25" t="str">
        <f>'Ingest Template'!T850</f>
        <v/>
      </c>
      <c r="AC851" s="25"/>
      <c r="AD851" s="25" t="str">
        <f>'Ingest Template'!U850</f>
        <v/>
      </c>
      <c r="AE851" s="25" t="str">
        <f>'Ingest Template'!V850</f>
        <v/>
      </c>
      <c r="AF851" s="25"/>
      <c r="AG851" s="25" t="str">
        <f t="array" ref="AG851">IF('Ingest Template'!A850="Standard",(CONCATENATE(IF(ISBLANK('Ingest Template'!O850),"", 'Ingest Template'!O850&amp;"|DAR"),CHAR(10), IF(ISBLANK('Ingest Template'!P850),"", 'Ingest Template'!P850&amp;"|DAR"),CHAR(10), IF(ISBLANK('Ingest Template'!Q850),"", 'Ingest Template'!Q850&amp;"|DAR"))),(CONCATENATE(IF(ISBLANK('Ingest Template'!O850),"", 'Ingest Template'!O850&amp;"|Operations - Core Title"),CHAR(10), IF(ISBLANK('Ingest Template'!P850),"", 'Ingest Template'!P850&amp;"|Operations - Core Title"),CHAR(10), IF(ISBLANK('Ingest Template'!Q850),"", 'Ingest Template'!Q850&amp;"|Operations - Core Title"))))</f>
        <v>#|Operations - Core Title
#videoGame|Operations - Core Title
</v>
      </c>
      <c r="AH851" s="25"/>
      <c r="AI851" s="25"/>
      <c r="AJ851" s="50" t="str">
        <f>if('Ingest Template'!A850="Standard",'Ingest Template'!R850&amp; "|DAR|DAR|2021-01-01",'Ingest Template'!R850&amp; "|Operations - Core Title|Operations - Core Title")</f>
        <v>#N/A</v>
      </c>
      <c r="AK851" s="25"/>
      <c r="AL851" s="25" t="str">
        <f>if('Ingest Template'!A850="Standard",'Ingest Template'!S850&amp; "|2021-01-01",'Ingest Template'!S850)</f>
        <v>#N/A</v>
      </c>
      <c r="AM851" s="25"/>
    </row>
    <row r="852">
      <c r="A852" s="25"/>
      <c r="B852" s="25" t="str">
        <f>'Ingest Template'!C851&amp;IF('Ingest Template'!A851 = "Standard", " - DAR","")</f>
        <v/>
      </c>
      <c r="C852" s="34" t="s">
        <v>92</v>
      </c>
      <c r="D852" s="34" t="str">
        <f>CONCATENATE('Ingest Template'!E852&amp;Char(10)&amp;'Ingest Template'!G852&amp;Char(10)&amp;'Ingest Template'!H852&amp;Char(10)&amp;'Ingest Template'!I852&amp;Char(10)&amp;'Ingest Template'!J852&amp;Char(10)&amp;'Ingest Template'!K852&amp;Char(10)&amp;'Ingest Template'!L852)</f>
        <v>
</v>
      </c>
      <c r="E852" s="25" t="str">
        <f>('Ingest Template'!M852)</f>
        <v/>
      </c>
      <c r="F852" s="40" t="str">
        <f t="array" ref="F852">INDEX(DropDown!$J$2:$J$63,MATCH(1,COUNTIF(E852,DropDown!$I$2:$I$63),0))</f>
        <v>#N/A</v>
      </c>
      <c r="G852" s="25"/>
      <c r="H852" s="25"/>
      <c r="I852" s="25"/>
      <c r="J852" s="25" t="str">
        <f>'Ingest Template'!B852</f>
        <v/>
      </c>
      <c r="K852" s="25" t="str">
        <f>IF('Ingest Template'!A851="Standard",'Ingest Template'!N851,"Competitive View")</f>
        <v>Competitive View</v>
      </c>
      <c r="L852" s="41" t="s">
        <v>145</v>
      </c>
      <c r="M852" s="25" t="str">
        <f>'Ingest Template'!D851</f>
        <v/>
      </c>
      <c r="N852" s="25"/>
      <c r="O852" s="25"/>
      <c r="P852" s="25"/>
      <c r="Q852" s="25"/>
      <c r="R852" s="25" t="str">
        <f>CONCATENATE('Ingest Template'!F851)</f>
        <v/>
      </c>
      <c r="S852" s="43" t="s">
        <v>160</v>
      </c>
      <c r="T852" s="25" t="str">
        <f>'Ingest Template'!W851</f>
        <v/>
      </c>
      <c r="U852" s="25"/>
      <c r="V852" s="25" t="str">
        <f>LOWER(SUBSTITUTE(SUBSTITUTE(SUBSTITUTE(SUBSTITUTE(SUBSTITUTE('Ingest Template'!Y851,"https:",""),"www.",""),"/",""),"?hl=en",""),"instagram.com",""))</f>
        <v/>
      </c>
      <c r="W852" s="34" t="str">
        <f>(IFERROR(vlookup('Ingest Template'!F852,DropDown!D:E,2,false)&amp;'Ingest Template'!C852,""))</f>
        <v/>
      </c>
      <c r="X852" s="25" t="str">
        <f>'Ingest Template'!AA851</f>
        <v/>
      </c>
      <c r="Y852" s="25"/>
      <c r="Z852" s="25"/>
      <c r="AA852" s="25"/>
      <c r="AB852" s="25" t="str">
        <f>'Ingest Template'!T851</f>
        <v/>
      </c>
      <c r="AC852" s="25"/>
      <c r="AD852" s="25" t="str">
        <f>'Ingest Template'!U851</f>
        <v/>
      </c>
      <c r="AE852" s="25" t="str">
        <f>'Ingest Template'!V851</f>
        <v/>
      </c>
      <c r="AF852" s="25"/>
      <c r="AG852" s="25" t="str">
        <f t="array" ref="AG852">IF('Ingest Template'!A851="Standard",(CONCATENATE(IF(ISBLANK('Ingest Template'!O851),"", 'Ingest Template'!O851&amp;"|DAR"),CHAR(10), IF(ISBLANK('Ingest Template'!P851),"", 'Ingest Template'!P851&amp;"|DAR"),CHAR(10), IF(ISBLANK('Ingest Template'!Q851),"", 'Ingest Template'!Q851&amp;"|DAR"))),(CONCATENATE(IF(ISBLANK('Ingest Template'!O851),"", 'Ingest Template'!O851&amp;"|Operations - Core Title"),CHAR(10), IF(ISBLANK('Ingest Template'!P851),"", 'Ingest Template'!P851&amp;"|Operations - Core Title"),CHAR(10), IF(ISBLANK('Ingest Template'!Q851),"", 'Ingest Template'!Q851&amp;"|Operations - Core Title"))))</f>
        <v>#|Operations - Core Title
#videoGame|Operations - Core Title
</v>
      </c>
      <c r="AH852" s="25"/>
      <c r="AI852" s="25"/>
      <c r="AJ852" s="50" t="str">
        <f>if('Ingest Template'!A851="Standard",'Ingest Template'!R851&amp; "|DAR|DAR|2021-01-01",'Ingest Template'!R851&amp; "|Operations - Core Title|Operations - Core Title")</f>
        <v>#N/A</v>
      </c>
      <c r="AK852" s="25"/>
      <c r="AL852" s="25" t="str">
        <f>if('Ingest Template'!A851="Standard",'Ingest Template'!S851&amp; "|2021-01-01",'Ingest Template'!S851)</f>
        <v>#N/A</v>
      </c>
      <c r="AM852" s="25"/>
    </row>
    <row r="853">
      <c r="A853" s="25"/>
      <c r="B853" s="25" t="str">
        <f>'Ingest Template'!C852&amp;IF('Ingest Template'!A852 = "Standard", " - DAR","")</f>
        <v/>
      </c>
      <c r="C853" s="34" t="s">
        <v>92</v>
      </c>
      <c r="D853" s="34" t="str">
        <f>CONCATENATE('Ingest Template'!E853&amp;Char(10)&amp;'Ingest Template'!G853&amp;Char(10)&amp;'Ingest Template'!H853&amp;Char(10)&amp;'Ingest Template'!I853&amp;Char(10)&amp;'Ingest Template'!J853&amp;Char(10)&amp;'Ingest Template'!K853&amp;Char(10)&amp;'Ingest Template'!L853)</f>
        <v>
</v>
      </c>
      <c r="E853" s="25" t="str">
        <f>('Ingest Template'!M853)</f>
        <v/>
      </c>
      <c r="F853" s="40" t="str">
        <f t="array" ref="F853">INDEX(DropDown!$J$2:$J$63,MATCH(1,COUNTIF(E853,DropDown!$I$2:$I$63),0))</f>
        <v>#N/A</v>
      </c>
      <c r="G853" s="25"/>
      <c r="H853" s="25"/>
      <c r="I853" s="25"/>
      <c r="J853" s="25" t="str">
        <f>'Ingest Template'!B853</f>
        <v/>
      </c>
      <c r="K853" s="25" t="str">
        <f>IF('Ingest Template'!A852="Standard",'Ingest Template'!N852,"Competitive View")</f>
        <v>Competitive View</v>
      </c>
      <c r="L853" s="41" t="s">
        <v>145</v>
      </c>
      <c r="M853" s="25" t="str">
        <f>'Ingest Template'!D852</f>
        <v/>
      </c>
      <c r="N853" s="25"/>
      <c r="O853" s="25"/>
      <c r="P853" s="25"/>
      <c r="Q853" s="25"/>
      <c r="R853" s="25" t="str">
        <f>CONCATENATE('Ingest Template'!F852)</f>
        <v/>
      </c>
      <c r="S853" s="43" t="s">
        <v>160</v>
      </c>
      <c r="T853" s="25" t="str">
        <f>'Ingest Template'!W852</f>
        <v/>
      </c>
      <c r="U853" s="25"/>
      <c r="V853" s="25" t="str">
        <f>LOWER(SUBSTITUTE(SUBSTITUTE(SUBSTITUTE(SUBSTITUTE(SUBSTITUTE('Ingest Template'!Y852,"https:",""),"www.",""),"/",""),"?hl=en",""),"instagram.com",""))</f>
        <v/>
      </c>
      <c r="W853" s="34" t="str">
        <f>(IFERROR(vlookup('Ingest Template'!F853,DropDown!D:E,2,false)&amp;'Ingest Template'!C853,""))</f>
        <v/>
      </c>
      <c r="X853" s="25" t="str">
        <f>'Ingest Template'!AA852</f>
        <v/>
      </c>
      <c r="Y853" s="25"/>
      <c r="Z853" s="25"/>
      <c r="AA853" s="25"/>
      <c r="AB853" s="25" t="str">
        <f>'Ingest Template'!T852</f>
        <v/>
      </c>
      <c r="AC853" s="25"/>
      <c r="AD853" s="25" t="str">
        <f>'Ingest Template'!U852</f>
        <v/>
      </c>
      <c r="AE853" s="25" t="str">
        <f>'Ingest Template'!V852</f>
        <v/>
      </c>
      <c r="AF853" s="25"/>
      <c r="AG853" s="25" t="str">
        <f t="array" ref="AG853">IF('Ingest Template'!A852="Standard",(CONCATENATE(IF(ISBLANK('Ingest Template'!O852),"", 'Ingest Template'!O852&amp;"|DAR"),CHAR(10), IF(ISBLANK('Ingest Template'!P852),"", 'Ingest Template'!P852&amp;"|DAR"),CHAR(10), IF(ISBLANK('Ingest Template'!Q852),"", 'Ingest Template'!Q852&amp;"|DAR"))),(CONCATENATE(IF(ISBLANK('Ingest Template'!O852),"", 'Ingest Template'!O852&amp;"|Operations - Core Title"),CHAR(10), IF(ISBLANK('Ingest Template'!P852),"", 'Ingest Template'!P852&amp;"|Operations - Core Title"),CHAR(10), IF(ISBLANK('Ingest Template'!Q852),"", 'Ingest Template'!Q852&amp;"|Operations - Core Title"))))</f>
        <v>#|Operations - Core Title
#videoGame|Operations - Core Title
</v>
      </c>
      <c r="AH853" s="25"/>
      <c r="AI853" s="25"/>
      <c r="AJ853" s="50" t="str">
        <f>if('Ingest Template'!A852="Standard",'Ingest Template'!R852&amp; "|DAR|DAR|2021-01-01",'Ingest Template'!R852&amp; "|Operations - Core Title|Operations - Core Title")</f>
        <v>#N/A</v>
      </c>
      <c r="AK853" s="25"/>
      <c r="AL853" s="25" t="str">
        <f>if('Ingest Template'!A852="Standard",'Ingest Template'!S852&amp; "|2021-01-01",'Ingest Template'!S852)</f>
        <v>#N/A</v>
      </c>
      <c r="AM853" s="25"/>
    </row>
    <row r="854">
      <c r="A854" s="25"/>
      <c r="B854" s="25" t="str">
        <f>'Ingest Template'!C853&amp;IF('Ingest Template'!A853 = "Standard", " - DAR","")</f>
        <v/>
      </c>
      <c r="C854" s="34" t="s">
        <v>92</v>
      </c>
      <c r="D854" s="34" t="str">
        <f>CONCATENATE('Ingest Template'!E854&amp;Char(10)&amp;'Ingest Template'!G854&amp;Char(10)&amp;'Ingest Template'!H854&amp;Char(10)&amp;'Ingest Template'!I854&amp;Char(10)&amp;'Ingest Template'!J854&amp;Char(10)&amp;'Ingest Template'!K854&amp;Char(10)&amp;'Ingest Template'!L854)</f>
        <v>
</v>
      </c>
      <c r="E854" s="25" t="str">
        <f>('Ingest Template'!M854)</f>
        <v/>
      </c>
      <c r="F854" s="40" t="str">
        <f t="array" ref="F854">INDEX(DropDown!$J$2:$J$63,MATCH(1,COUNTIF(E854,DropDown!$I$2:$I$63),0))</f>
        <v>#N/A</v>
      </c>
      <c r="G854" s="25"/>
      <c r="H854" s="25"/>
      <c r="I854" s="25"/>
      <c r="J854" s="25" t="str">
        <f>'Ingest Template'!B854</f>
        <v/>
      </c>
      <c r="K854" s="25" t="str">
        <f>IF('Ingest Template'!A853="Standard",'Ingest Template'!N853,"Competitive View")</f>
        <v>Competitive View</v>
      </c>
      <c r="L854" s="41" t="s">
        <v>145</v>
      </c>
      <c r="M854" s="25" t="str">
        <f>'Ingest Template'!D853</f>
        <v/>
      </c>
      <c r="N854" s="25"/>
      <c r="O854" s="25"/>
      <c r="P854" s="25"/>
      <c r="Q854" s="25"/>
      <c r="R854" s="25" t="str">
        <f>CONCATENATE('Ingest Template'!F853)</f>
        <v/>
      </c>
      <c r="S854" s="43" t="s">
        <v>160</v>
      </c>
      <c r="T854" s="25" t="str">
        <f>'Ingest Template'!W853</f>
        <v/>
      </c>
      <c r="U854" s="25"/>
      <c r="V854" s="25" t="str">
        <f>LOWER(SUBSTITUTE(SUBSTITUTE(SUBSTITUTE(SUBSTITUTE(SUBSTITUTE('Ingest Template'!Y853,"https:",""),"www.",""),"/",""),"?hl=en",""),"instagram.com",""))</f>
        <v/>
      </c>
      <c r="W854" s="34" t="str">
        <f>(IFERROR(vlookup('Ingest Template'!F854,DropDown!D:E,2,false)&amp;'Ingest Template'!C854,""))</f>
        <v/>
      </c>
      <c r="X854" s="25" t="str">
        <f>'Ingest Template'!AA853</f>
        <v/>
      </c>
      <c r="Y854" s="25"/>
      <c r="Z854" s="25"/>
      <c r="AA854" s="25"/>
      <c r="AB854" s="25" t="str">
        <f>'Ingest Template'!T853</f>
        <v/>
      </c>
      <c r="AC854" s="25"/>
      <c r="AD854" s="25" t="str">
        <f>'Ingest Template'!U853</f>
        <v/>
      </c>
      <c r="AE854" s="25" t="str">
        <f>'Ingest Template'!V853</f>
        <v/>
      </c>
      <c r="AF854" s="25"/>
      <c r="AG854" s="25" t="str">
        <f t="array" ref="AG854">IF('Ingest Template'!A853="Standard",(CONCATENATE(IF(ISBLANK('Ingest Template'!O853),"", 'Ingest Template'!O853&amp;"|DAR"),CHAR(10), IF(ISBLANK('Ingest Template'!P853),"", 'Ingest Template'!P853&amp;"|DAR"),CHAR(10), IF(ISBLANK('Ingest Template'!Q853),"", 'Ingest Template'!Q853&amp;"|DAR"))),(CONCATENATE(IF(ISBLANK('Ingest Template'!O853),"", 'Ingest Template'!O853&amp;"|Operations - Core Title"),CHAR(10), IF(ISBLANK('Ingest Template'!P853),"", 'Ingest Template'!P853&amp;"|Operations - Core Title"),CHAR(10), IF(ISBLANK('Ingest Template'!Q853),"", 'Ingest Template'!Q853&amp;"|Operations - Core Title"))))</f>
        <v>#|Operations - Core Title
#videoGame|Operations - Core Title
</v>
      </c>
      <c r="AH854" s="25"/>
      <c r="AI854" s="25"/>
      <c r="AJ854" s="50" t="str">
        <f>if('Ingest Template'!A853="Standard",'Ingest Template'!R853&amp; "|DAR|DAR|2021-01-01",'Ingest Template'!R853&amp; "|Operations - Core Title|Operations - Core Title")</f>
        <v>#N/A</v>
      </c>
      <c r="AK854" s="25"/>
      <c r="AL854" s="25" t="str">
        <f>if('Ingest Template'!A853="Standard",'Ingest Template'!S853&amp; "|2021-01-01",'Ingest Template'!S853)</f>
        <v>#N/A</v>
      </c>
      <c r="AM854" s="25"/>
    </row>
    <row r="855">
      <c r="A855" s="25"/>
      <c r="B855" s="25" t="str">
        <f>'Ingest Template'!C854&amp;IF('Ingest Template'!A854 = "Standard", " - DAR","")</f>
        <v/>
      </c>
      <c r="C855" s="34" t="s">
        <v>92</v>
      </c>
      <c r="D855" s="34" t="str">
        <f>CONCATENATE('Ingest Template'!E855&amp;Char(10)&amp;'Ingest Template'!G855&amp;Char(10)&amp;'Ingest Template'!H855&amp;Char(10)&amp;'Ingest Template'!I855&amp;Char(10)&amp;'Ingest Template'!J855&amp;Char(10)&amp;'Ingest Template'!K855&amp;Char(10)&amp;'Ingest Template'!L855)</f>
        <v>
</v>
      </c>
      <c r="E855" s="25" t="str">
        <f>('Ingest Template'!M855)</f>
        <v/>
      </c>
      <c r="F855" s="40" t="str">
        <f t="array" ref="F855">INDEX(DropDown!$J$2:$J$63,MATCH(1,COUNTIF(E855,DropDown!$I$2:$I$63),0))</f>
        <v>#N/A</v>
      </c>
      <c r="G855" s="25"/>
      <c r="H855" s="25"/>
      <c r="I855" s="25"/>
      <c r="J855" s="25" t="str">
        <f>'Ingest Template'!B855</f>
        <v/>
      </c>
      <c r="K855" s="25" t="str">
        <f>IF('Ingest Template'!A854="Standard",'Ingest Template'!N854,"Competitive View")</f>
        <v>Competitive View</v>
      </c>
      <c r="L855" s="41" t="s">
        <v>145</v>
      </c>
      <c r="M855" s="25" t="str">
        <f>'Ingest Template'!D854</f>
        <v/>
      </c>
      <c r="N855" s="25"/>
      <c r="O855" s="25"/>
      <c r="P855" s="25"/>
      <c r="Q855" s="25"/>
      <c r="R855" s="25" t="str">
        <f>CONCATENATE('Ingest Template'!F854)</f>
        <v/>
      </c>
      <c r="S855" s="43" t="s">
        <v>160</v>
      </c>
      <c r="T855" s="25" t="str">
        <f>'Ingest Template'!W854</f>
        <v/>
      </c>
      <c r="U855" s="25"/>
      <c r="V855" s="25" t="str">
        <f>LOWER(SUBSTITUTE(SUBSTITUTE(SUBSTITUTE(SUBSTITUTE(SUBSTITUTE('Ingest Template'!Y854,"https:",""),"www.",""),"/",""),"?hl=en",""),"instagram.com",""))</f>
        <v/>
      </c>
      <c r="W855" s="34" t="str">
        <f>(IFERROR(vlookup('Ingest Template'!F855,DropDown!D:E,2,false)&amp;'Ingest Template'!C855,""))</f>
        <v/>
      </c>
      <c r="X855" s="25" t="str">
        <f>'Ingest Template'!AA854</f>
        <v/>
      </c>
      <c r="Y855" s="25"/>
      <c r="Z855" s="25"/>
      <c r="AA855" s="25"/>
      <c r="AB855" s="25" t="str">
        <f>'Ingest Template'!T854</f>
        <v/>
      </c>
      <c r="AC855" s="25"/>
      <c r="AD855" s="25" t="str">
        <f>'Ingest Template'!U854</f>
        <v/>
      </c>
      <c r="AE855" s="25" t="str">
        <f>'Ingest Template'!V854</f>
        <v/>
      </c>
      <c r="AF855" s="25"/>
      <c r="AG855" s="25" t="str">
        <f t="array" ref="AG855">IF('Ingest Template'!A854="Standard",(CONCATENATE(IF(ISBLANK('Ingest Template'!O854),"", 'Ingest Template'!O854&amp;"|DAR"),CHAR(10), IF(ISBLANK('Ingest Template'!P854),"", 'Ingest Template'!P854&amp;"|DAR"),CHAR(10), IF(ISBLANK('Ingest Template'!Q854),"", 'Ingest Template'!Q854&amp;"|DAR"))),(CONCATENATE(IF(ISBLANK('Ingest Template'!O854),"", 'Ingest Template'!O854&amp;"|Operations - Core Title"),CHAR(10), IF(ISBLANK('Ingest Template'!P854),"", 'Ingest Template'!P854&amp;"|Operations - Core Title"),CHAR(10), IF(ISBLANK('Ingest Template'!Q854),"", 'Ingest Template'!Q854&amp;"|Operations - Core Title"))))</f>
        <v>#|Operations - Core Title
#videoGame|Operations - Core Title
</v>
      </c>
      <c r="AH855" s="25"/>
      <c r="AI855" s="25"/>
      <c r="AJ855" s="50" t="str">
        <f>if('Ingest Template'!A854="Standard",'Ingest Template'!R854&amp; "|DAR|DAR|2021-01-01",'Ingest Template'!R854&amp; "|Operations - Core Title|Operations - Core Title")</f>
        <v>#N/A</v>
      </c>
      <c r="AK855" s="25"/>
      <c r="AL855" s="25" t="str">
        <f>if('Ingest Template'!A854="Standard",'Ingest Template'!S854&amp; "|2021-01-01",'Ingest Template'!S854)</f>
        <v>#N/A</v>
      </c>
      <c r="AM855" s="25"/>
    </row>
    <row r="856">
      <c r="A856" s="25"/>
      <c r="B856" s="25" t="str">
        <f>'Ingest Template'!C855&amp;IF('Ingest Template'!A855 = "Standard", " - DAR","")</f>
        <v/>
      </c>
      <c r="C856" s="34" t="s">
        <v>92</v>
      </c>
      <c r="D856" s="34" t="str">
        <f>CONCATENATE('Ingest Template'!E856&amp;Char(10)&amp;'Ingest Template'!G856&amp;Char(10)&amp;'Ingest Template'!H856&amp;Char(10)&amp;'Ingest Template'!I856&amp;Char(10)&amp;'Ingest Template'!J856&amp;Char(10)&amp;'Ingest Template'!K856&amp;Char(10)&amp;'Ingest Template'!L856)</f>
        <v>
</v>
      </c>
      <c r="E856" s="25" t="str">
        <f>('Ingest Template'!M856)</f>
        <v/>
      </c>
      <c r="F856" s="40" t="str">
        <f t="array" ref="F856">INDEX(DropDown!$J$2:$J$63,MATCH(1,COUNTIF(E856,DropDown!$I$2:$I$63),0))</f>
        <v>#N/A</v>
      </c>
      <c r="G856" s="25"/>
      <c r="H856" s="25"/>
      <c r="I856" s="25"/>
      <c r="J856" s="25" t="str">
        <f>'Ingest Template'!B856</f>
        <v/>
      </c>
      <c r="K856" s="25" t="str">
        <f>IF('Ingest Template'!A855="Standard",'Ingest Template'!N855,"Competitive View")</f>
        <v>Competitive View</v>
      </c>
      <c r="L856" s="41" t="s">
        <v>145</v>
      </c>
      <c r="M856" s="25" t="str">
        <f>'Ingest Template'!D855</f>
        <v/>
      </c>
      <c r="N856" s="25"/>
      <c r="O856" s="25"/>
      <c r="P856" s="25"/>
      <c r="Q856" s="25"/>
      <c r="R856" s="25" t="str">
        <f>CONCATENATE('Ingest Template'!F855)</f>
        <v/>
      </c>
      <c r="S856" s="43" t="s">
        <v>160</v>
      </c>
      <c r="T856" s="25" t="str">
        <f>'Ingest Template'!W855</f>
        <v/>
      </c>
      <c r="U856" s="25"/>
      <c r="V856" s="25" t="str">
        <f>LOWER(SUBSTITUTE(SUBSTITUTE(SUBSTITUTE(SUBSTITUTE(SUBSTITUTE('Ingest Template'!Y855,"https:",""),"www.",""),"/",""),"?hl=en",""),"instagram.com",""))</f>
        <v/>
      </c>
      <c r="W856" s="34" t="str">
        <f>(IFERROR(vlookup('Ingest Template'!F856,DropDown!D:E,2,false)&amp;'Ingest Template'!C856,""))</f>
        <v/>
      </c>
      <c r="X856" s="25" t="str">
        <f>'Ingest Template'!AA855</f>
        <v/>
      </c>
      <c r="Y856" s="25"/>
      <c r="Z856" s="25"/>
      <c r="AA856" s="25"/>
      <c r="AB856" s="25" t="str">
        <f>'Ingest Template'!T855</f>
        <v/>
      </c>
      <c r="AC856" s="25"/>
      <c r="AD856" s="25" t="str">
        <f>'Ingest Template'!U855</f>
        <v/>
      </c>
      <c r="AE856" s="25" t="str">
        <f>'Ingest Template'!V855</f>
        <v/>
      </c>
      <c r="AF856" s="25"/>
      <c r="AG856" s="25" t="str">
        <f t="array" ref="AG856">IF('Ingest Template'!A855="Standard",(CONCATENATE(IF(ISBLANK('Ingest Template'!O855),"", 'Ingest Template'!O855&amp;"|DAR"),CHAR(10), IF(ISBLANK('Ingest Template'!P855),"", 'Ingest Template'!P855&amp;"|DAR"),CHAR(10), IF(ISBLANK('Ingest Template'!Q855),"", 'Ingest Template'!Q855&amp;"|DAR"))),(CONCATENATE(IF(ISBLANK('Ingest Template'!O855),"", 'Ingest Template'!O855&amp;"|Operations - Core Title"),CHAR(10), IF(ISBLANK('Ingest Template'!P855),"", 'Ingest Template'!P855&amp;"|Operations - Core Title"),CHAR(10), IF(ISBLANK('Ingest Template'!Q855),"", 'Ingest Template'!Q855&amp;"|Operations - Core Title"))))</f>
        <v>#|Operations - Core Title
#videoGame|Operations - Core Title
</v>
      </c>
      <c r="AH856" s="25"/>
      <c r="AI856" s="25"/>
      <c r="AJ856" s="50" t="str">
        <f>if('Ingest Template'!A855="Standard",'Ingest Template'!R855&amp; "|DAR|DAR|2021-01-01",'Ingest Template'!R855&amp; "|Operations - Core Title|Operations - Core Title")</f>
        <v>#N/A</v>
      </c>
      <c r="AK856" s="25"/>
      <c r="AL856" s="25" t="str">
        <f>if('Ingest Template'!A855="Standard",'Ingest Template'!S855&amp; "|2021-01-01",'Ingest Template'!S855)</f>
        <v>#N/A</v>
      </c>
      <c r="AM856" s="25"/>
    </row>
    <row r="857">
      <c r="A857" s="25"/>
      <c r="B857" s="25" t="str">
        <f>'Ingest Template'!C856&amp;IF('Ingest Template'!A856 = "Standard", " - DAR","")</f>
        <v/>
      </c>
      <c r="C857" s="34" t="s">
        <v>92</v>
      </c>
      <c r="D857" s="34" t="str">
        <f>CONCATENATE('Ingest Template'!E857&amp;Char(10)&amp;'Ingest Template'!G857&amp;Char(10)&amp;'Ingest Template'!H857&amp;Char(10)&amp;'Ingest Template'!I857&amp;Char(10)&amp;'Ingest Template'!J857&amp;Char(10)&amp;'Ingest Template'!K857&amp;Char(10)&amp;'Ingest Template'!L857)</f>
        <v>
</v>
      </c>
      <c r="E857" s="25" t="str">
        <f>('Ingest Template'!M857)</f>
        <v/>
      </c>
      <c r="F857" s="40" t="str">
        <f t="array" ref="F857">INDEX(DropDown!$J$2:$J$63,MATCH(1,COUNTIF(E857,DropDown!$I$2:$I$63),0))</f>
        <v>#N/A</v>
      </c>
      <c r="G857" s="25"/>
      <c r="H857" s="25"/>
      <c r="I857" s="25"/>
      <c r="J857" s="25" t="str">
        <f>'Ingest Template'!B857</f>
        <v/>
      </c>
      <c r="K857" s="25" t="str">
        <f>IF('Ingest Template'!A856="Standard",'Ingest Template'!N856,"Competitive View")</f>
        <v>Competitive View</v>
      </c>
      <c r="L857" s="41" t="s">
        <v>145</v>
      </c>
      <c r="M857" s="25" t="str">
        <f>'Ingest Template'!D856</f>
        <v/>
      </c>
      <c r="N857" s="25"/>
      <c r="O857" s="25"/>
      <c r="P857" s="25"/>
      <c r="Q857" s="25"/>
      <c r="R857" s="25" t="str">
        <f>CONCATENATE('Ingest Template'!F856)</f>
        <v/>
      </c>
      <c r="S857" s="43" t="s">
        <v>160</v>
      </c>
      <c r="T857" s="25" t="str">
        <f>'Ingest Template'!W856</f>
        <v/>
      </c>
      <c r="U857" s="25"/>
      <c r="V857" s="25" t="str">
        <f>LOWER(SUBSTITUTE(SUBSTITUTE(SUBSTITUTE(SUBSTITUTE(SUBSTITUTE('Ingest Template'!Y856,"https:",""),"www.",""),"/",""),"?hl=en",""),"instagram.com",""))</f>
        <v/>
      </c>
      <c r="W857" s="34" t="str">
        <f>(IFERROR(vlookup('Ingest Template'!F857,DropDown!D:E,2,false)&amp;'Ingest Template'!C857,""))</f>
        <v/>
      </c>
      <c r="X857" s="25" t="str">
        <f>'Ingest Template'!AA856</f>
        <v/>
      </c>
      <c r="Y857" s="25"/>
      <c r="Z857" s="25"/>
      <c r="AA857" s="25"/>
      <c r="AB857" s="25" t="str">
        <f>'Ingest Template'!T856</f>
        <v/>
      </c>
      <c r="AC857" s="25"/>
      <c r="AD857" s="25" t="str">
        <f>'Ingest Template'!U856</f>
        <v/>
      </c>
      <c r="AE857" s="25" t="str">
        <f>'Ingest Template'!V856</f>
        <v/>
      </c>
      <c r="AF857" s="25"/>
      <c r="AG857" s="25" t="str">
        <f t="array" ref="AG857">IF('Ingest Template'!A856="Standard",(CONCATENATE(IF(ISBLANK('Ingest Template'!O856),"", 'Ingest Template'!O856&amp;"|DAR"),CHAR(10), IF(ISBLANK('Ingest Template'!P856),"", 'Ingest Template'!P856&amp;"|DAR"),CHAR(10), IF(ISBLANK('Ingest Template'!Q856),"", 'Ingest Template'!Q856&amp;"|DAR"))),(CONCATENATE(IF(ISBLANK('Ingest Template'!O856),"", 'Ingest Template'!O856&amp;"|Operations - Core Title"),CHAR(10), IF(ISBLANK('Ingest Template'!P856),"", 'Ingest Template'!P856&amp;"|Operations - Core Title"),CHAR(10), IF(ISBLANK('Ingest Template'!Q856),"", 'Ingest Template'!Q856&amp;"|Operations - Core Title"))))</f>
        <v>#|Operations - Core Title
#videoGame|Operations - Core Title
</v>
      </c>
      <c r="AH857" s="25"/>
      <c r="AI857" s="25"/>
      <c r="AJ857" s="50" t="str">
        <f>if('Ingest Template'!A856="Standard",'Ingest Template'!R856&amp; "|DAR|DAR|2021-01-01",'Ingest Template'!R856&amp; "|Operations - Core Title|Operations - Core Title")</f>
        <v>#N/A</v>
      </c>
      <c r="AK857" s="25"/>
      <c r="AL857" s="25" t="str">
        <f>if('Ingest Template'!A856="Standard",'Ingest Template'!S856&amp; "|2021-01-01",'Ingest Template'!S856)</f>
        <v>#N/A</v>
      </c>
      <c r="AM857" s="25"/>
    </row>
    <row r="858">
      <c r="A858" s="25"/>
      <c r="B858" s="25" t="str">
        <f>'Ingest Template'!C857&amp;IF('Ingest Template'!A857 = "Standard", " - DAR","")</f>
        <v/>
      </c>
      <c r="C858" s="34" t="s">
        <v>92</v>
      </c>
      <c r="D858" s="34" t="str">
        <f>CONCATENATE('Ingest Template'!E858&amp;Char(10)&amp;'Ingest Template'!G858&amp;Char(10)&amp;'Ingest Template'!H858&amp;Char(10)&amp;'Ingest Template'!I858&amp;Char(10)&amp;'Ingest Template'!J858&amp;Char(10)&amp;'Ingest Template'!K858&amp;Char(10)&amp;'Ingest Template'!L858)</f>
        <v>
</v>
      </c>
      <c r="E858" s="25" t="str">
        <f>('Ingest Template'!M858)</f>
        <v/>
      </c>
      <c r="F858" s="40" t="str">
        <f t="array" ref="F858">INDEX(DropDown!$J$2:$J$63,MATCH(1,COUNTIF(E858,DropDown!$I$2:$I$63),0))</f>
        <v>#N/A</v>
      </c>
      <c r="G858" s="25"/>
      <c r="H858" s="25"/>
      <c r="I858" s="25"/>
      <c r="J858" s="25" t="str">
        <f>'Ingest Template'!B858</f>
        <v/>
      </c>
      <c r="K858" s="25" t="str">
        <f>IF('Ingest Template'!A857="Standard",'Ingest Template'!N857,"Competitive View")</f>
        <v>Competitive View</v>
      </c>
      <c r="L858" s="41" t="s">
        <v>145</v>
      </c>
      <c r="M858" s="25" t="str">
        <f>'Ingest Template'!D857</f>
        <v/>
      </c>
      <c r="N858" s="25"/>
      <c r="O858" s="25"/>
      <c r="P858" s="25"/>
      <c r="Q858" s="25"/>
      <c r="R858" s="25" t="str">
        <f>CONCATENATE('Ingest Template'!F857)</f>
        <v/>
      </c>
      <c r="S858" s="43" t="s">
        <v>160</v>
      </c>
      <c r="T858" s="25" t="str">
        <f>'Ingest Template'!W857</f>
        <v/>
      </c>
      <c r="U858" s="25"/>
      <c r="V858" s="25" t="str">
        <f>LOWER(SUBSTITUTE(SUBSTITUTE(SUBSTITUTE(SUBSTITUTE(SUBSTITUTE('Ingest Template'!Y857,"https:",""),"www.",""),"/",""),"?hl=en",""),"instagram.com",""))</f>
        <v/>
      </c>
      <c r="W858" s="34" t="str">
        <f>(IFERROR(vlookup('Ingest Template'!F858,DropDown!D:E,2,false)&amp;'Ingest Template'!C858,""))</f>
        <v/>
      </c>
      <c r="X858" s="25" t="str">
        <f>'Ingest Template'!AA857</f>
        <v/>
      </c>
      <c r="Y858" s="25"/>
      <c r="Z858" s="25"/>
      <c r="AA858" s="25"/>
      <c r="AB858" s="25" t="str">
        <f>'Ingest Template'!T857</f>
        <v/>
      </c>
      <c r="AC858" s="25"/>
      <c r="AD858" s="25" t="str">
        <f>'Ingest Template'!U857</f>
        <v/>
      </c>
      <c r="AE858" s="25" t="str">
        <f>'Ingest Template'!V857</f>
        <v/>
      </c>
      <c r="AF858" s="25"/>
      <c r="AG858" s="25" t="str">
        <f t="array" ref="AG858">IF('Ingest Template'!A857="Standard",(CONCATENATE(IF(ISBLANK('Ingest Template'!O857),"", 'Ingest Template'!O857&amp;"|DAR"),CHAR(10), IF(ISBLANK('Ingest Template'!P857),"", 'Ingest Template'!P857&amp;"|DAR"),CHAR(10), IF(ISBLANK('Ingest Template'!Q857),"", 'Ingest Template'!Q857&amp;"|DAR"))),(CONCATENATE(IF(ISBLANK('Ingest Template'!O857),"", 'Ingest Template'!O857&amp;"|Operations - Core Title"),CHAR(10), IF(ISBLANK('Ingest Template'!P857),"", 'Ingest Template'!P857&amp;"|Operations - Core Title"),CHAR(10), IF(ISBLANK('Ingest Template'!Q857),"", 'Ingest Template'!Q857&amp;"|Operations - Core Title"))))</f>
        <v>#|Operations - Core Title
#videoGame|Operations - Core Title
</v>
      </c>
      <c r="AH858" s="25"/>
      <c r="AI858" s="25"/>
      <c r="AJ858" s="50" t="str">
        <f>if('Ingest Template'!A857="Standard",'Ingest Template'!R857&amp; "|DAR|DAR|2021-01-01",'Ingest Template'!R857&amp; "|Operations - Core Title|Operations - Core Title")</f>
        <v>#N/A</v>
      </c>
      <c r="AK858" s="25"/>
      <c r="AL858" s="25" t="str">
        <f>if('Ingest Template'!A857="Standard",'Ingest Template'!S857&amp; "|2021-01-01",'Ingest Template'!S857)</f>
        <v>#N/A</v>
      </c>
      <c r="AM858" s="25"/>
    </row>
    <row r="859">
      <c r="A859" s="25"/>
      <c r="B859" s="25" t="str">
        <f>'Ingest Template'!C858&amp;IF('Ingest Template'!A858 = "Standard", " - DAR","")</f>
        <v/>
      </c>
      <c r="C859" s="34" t="s">
        <v>92</v>
      </c>
      <c r="D859" s="34" t="str">
        <f>CONCATENATE('Ingest Template'!E859&amp;Char(10)&amp;'Ingest Template'!G859&amp;Char(10)&amp;'Ingest Template'!H859&amp;Char(10)&amp;'Ingest Template'!I859&amp;Char(10)&amp;'Ingest Template'!J859&amp;Char(10)&amp;'Ingest Template'!K859&amp;Char(10)&amp;'Ingest Template'!L859)</f>
        <v>
</v>
      </c>
      <c r="E859" s="25" t="str">
        <f>('Ingest Template'!M859)</f>
        <v/>
      </c>
      <c r="F859" s="40" t="str">
        <f t="array" ref="F859">INDEX(DropDown!$J$2:$J$63,MATCH(1,COUNTIF(E859,DropDown!$I$2:$I$63),0))</f>
        <v>#N/A</v>
      </c>
      <c r="G859" s="25"/>
      <c r="H859" s="25"/>
      <c r="I859" s="25"/>
      <c r="J859" s="25" t="str">
        <f>'Ingest Template'!B859</f>
        <v/>
      </c>
      <c r="K859" s="25" t="str">
        <f>IF('Ingest Template'!A858="Standard",'Ingest Template'!N858,"Competitive View")</f>
        <v>Competitive View</v>
      </c>
      <c r="L859" s="41" t="s">
        <v>145</v>
      </c>
      <c r="M859" s="25" t="str">
        <f>'Ingest Template'!D858</f>
        <v/>
      </c>
      <c r="N859" s="25"/>
      <c r="O859" s="25"/>
      <c r="P859" s="25"/>
      <c r="Q859" s="25"/>
      <c r="R859" s="25" t="str">
        <f>CONCATENATE('Ingest Template'!F858)</f>
        <v/>
      </c>
      <c r="S859" s="43" t="s">
        <v>160</v>
      </c>
      <c r="T859" s="25" t="str">
        <f>'Ingest Template'!W858</f>
        <v/>
      </c>
      <c r="U859" s="25"/>
      <c r="V859" s="25" t="str">
        <f>LOWER(SUBSTITUTE(SUBSTITUTE(SUBSTITUTE(SUBSTITUTE(SUBSTITUTE('Ingest Template'!Y858,"https:",""),"www.",""),"/",""),"?hl=en",""),"instagram.com",""))</f>
        <v/>
      </c>
      <c r="W859" s="34" t="str">
        <f>(IFERROR(vlookup('Ingest Template'!F859,DropDown!D:E,2,false)&amp;'Ingest Template'!C859,""))</f>
        <v/>
      </c>
      <c r="X859" s="25" t="str">
        <f>'Ingest Template'!AA858</f>
        <v/>
      </c>
      <c r="Y859" s="25"/>
      <c r="Z859" s="25"/>
      <c r="AA859" s="25"/>
      <c r="AB859" s="25" t="str">
        <f>'Ingest Template'!T858</f>
        <v/>
      </c>
      <c r="AC859" s="25"/>
      <c r="AD859" s="25" t="str">
        <f>'Ingest Template'!U858</f>
        <v/>
      </c>
      <c r="AE859" s="25" t="str">
        <f>'Ingest Template'!V858</f>
        <v/>
      </c>
      <c r="AF859" s="25"/>
      <c r="AG859" s="25" t="str">
        <f t="array" ref="AG859">IF('Ingest Template'!A858="Standard",(CONCATENATE(IF(ISBLANK('Ingest Template'!O858),"", 'Ingest Template'!O858&amp;"|DAR"),CHAR(10), IF(ISBLANK('Ingest Template'!P858),"", 'Ingest Template'!P858&amp;"|DAR"),CHAR(10), IF(ISBLANK('Ingest Template'!Q858),"", 'Ingest Template'!Q858&amp;"|DAR"))),(CONCATENATE(IF(ISBLANK('Ingest Template'!O858),"", 'Ingest Template'!O858&amp;"|Operations - Core Title"),CHAR(10), IF(ISBLANK('Ingest Template'!P858),"", 'Ingest Template'!P858&amp;"|Operations - Core Title"),CHAR(10), IF(ISBLANK('Ingest Template'!Q858),"", 'Ingest Template'!Q858&amp;"|Operations - Core Title"))))</f>
        <v>#|Operations - Core Title
#videoGame|Operations - Core Title
</v>
      </c>
      <c r="AH859" s="25"/>
      <c r="AI859" s="25"/>
      <c r="AJ859" s="50" t="str">
        <f>if('Ingest Template'!A858="Standard",'Ingest Template'!R858&amp; "|DAR|DAR|2021-01-01",'Ingest Template'!R858&amp; "|Operations - Core Title|Operations - Core Title")</f>
        <v>#N/A</v>
      </c>
      <c r="AK859" s="25"/>
      <c r="AL859" s="25" t="str">
        <f>if('Ingest Template'!A858="Standard",'Ingest Template'!S858&amp; "|2021-01-01",'Ingest Template'!S858)</f>
        <v>#N/A</v>
      </c>
      <c r="AM859" s="25"/>
    </row>
    <row r="860">
      <c r="A860" s="25"/>
      <c r="B860" s="25" t="str">
        <f>'Ingest Template'!C859&amp;IF('Ingest Template'!A859 = "Standard", " - DAR","")</f>
        <v/>
      </c>
      <c r="C860" s="34" t="s">
        <v>92</v>
      </c>
      <c r="D860" s="34" t="str">
        <f>CONCATENATE('Ingest Template'!E860&amp;Char(10)&amp;'Ingest Template'!G860&amp;Char(10)&amp;'Ingest Template'!H860&amp;Char(10)&amp;'Ingest Template'!I860&amp;Char(10)&amp;'Ingest Template'!J860&amp;Char(10)&amp;'Ingest Template'!K860&amp;Char(10)&amp;'Ingest Template'!L860)</f>
        <v>
</v>
      </c>
      <c r="E860" s="25" t="str">
        <f>('Ingest Template'!M860)</f>
        <v/>
      </c>
      <c r="F860" s="40" t="str">
        <f t="array" ref="F860">INDEX(DropDown!$J$2:$J$63,MATCH(1,COUNTIF(E860,DropDown!$I$2:$I$63),0))</f>
        <v>#N/A</v>
      </c>
      <c r="G860" s="25"/>
      <c r="H860" s="25"/>
      <c r="I860" s="25"/>
      <c r="J860" s="25" t="str">
        <f>'Ingest Template'!B860</f>
        <v/>
      </c>
      <c r="K860" s="25" t="str">
        <f>IF('Ingest Template'!A859="Standard",'Ingest Template'!N859,"Competitive View")</f>
        <v>Competitive View</v>
      </c>
      <c r="L860" s="41" t="s">
        <v>145</v>
      </c>
      <c r="M860" s="25" t="str">
        <f>'Ingest Template'!D859</f>
        <v/>
      </c>
      <c r="N860" s="25"/>
      <c r="O860" s="25"/>
      <c r="P860" s="25"/>
      <c r="Q860" s="25"/>
      <c r="R860" s="25" t="str">
        <f>CONCATENATE('Ingest Template'!F859)</f>
        <v/>
      </c>
      <c r="S860" s="43" t="s">
        <v>160</v>
      </c>
      <c r="T860" s="25" t="str">
        <f>'Ingest Template'!W859</f>
        <v/>
      </c>
      <c r="U860" s="25"/>
      <c r="V860" s="25" t="str">
        <f>LOWER(SUBSTITUTE(SUBSTITUTE(SUBSTITUTE(SUBSTITUTE(SUBSTITUTE('Ingest Template'!Y859,"https:",""),"www.",""),"/",""),"?hl=en",""),"instagram.com",""))</f>
        <v/>
      </c>
      <c r="W860" s="34" t="str">
        <f>(IFERROR(vlookup('Ingest Template'!F860,DropDown!D:E,2,false)&amp;'Ingest Template'!C860,""))</f>
        <v/>
      </c>
      <c r="X860" s="25" t="str">
        <f>'Ingest Template'!AA859</f>
        <v/>
      </c>
      <c r="Y860" s="25"/>
      <c r="Z860" s="25"/>
      <c r="AA860" s="25"/>
      <c r="AB860" s="25" t="str">
        <f>'Ingest Template'!T859</f>
        <v/>
      </c>
      <c r="AC860" s="25"/>
      <c r="AD860" s="25" t="str">
        <f>'Ingest Template'!U859</f>
        <v/>
      </c>
      <c r="AE860" s="25" t="str">
        <f>'Ingest Template'!V859</f>
        <v/>
      </c>
      <c r="AF860" s="25"/>
      <c r="AG860" s="25" t="str">
        <f t="array" ref="AG860">IF('Ingest Template'!A859="Standard",(CONCATENATE(IF(ISBLANK('Ingest Template'!O859),"", 'Ingest Template'!O859&amp;"|DAR"),CHAR(10), IF(ISBLANK('Ingest Template'!P859),"", 'Ingest Template'!P859&amp;"|DAR"),CHAR(10), IF(ISBLANK('Ingest Template'!Q859),"", 'Ingest Template'!Q859&amp;"|DAR"))),(CONCATENATE(IF(ISBLANK('Ingest Template'!O859),"", 'Ingest Template'!O859&amp;"|Operations - Core Title"),CHAR(10), IF(ISBLANK('Ingest Template'!P859),"", 'Ingest Template'!P859&amp;"|Operations - Core Title"),CHAR(10), IF(ISBLANK('Ingest Template'!Q859),"", 'Ingest Template'!Q859&amp;"|Operations - Core Title"))))</f>
        <v>#|Operations - Core Title
#videoGame|Operations - Core Title
</v>
      </c>
      <c r="AH860" s="25"/>
      <c r="AI860" s="25"/>
      <c r="AJ860" s="50" t="str">
        <f>if('Ingest Template'!A859="Standard",'Ingest Template'!R859&amp; "|DAR|DAR|2021-01-01",'Ingest Template'!R859&amp; "|Operations - Core Title|Operations - Core Title")</f>
        <v>#N/A</v>
      </c>
      <c r="AK860" s="25"/>
      <c r="AL860" s="25" t="str">
        <f>if('Ingest Template'!A859="Standard",'Ingest Template'!S859&amp; "|2021-01-01",'Ingest Template'!S859)</f>
        <v>#N/A</v>
      </c>
      <c r="AM860" s="25"/>
    </row>
    <row r="861">
      <c r="A861" s="25"/>
      <c r="B861" s="25" t="str">
        <f>'Ingest Template'!C860&amp;IF('Ingest Template'!A860 = "Standard", " - DAR","")</f>
        <v/>
      </c>
      <c r="C861" s="34" t="s">
        <v>92</v>
      </c>
      <c r="D861" s="34" t="str">
        <f>CONCATENATE('Ingest Template'!E861&amp;Char(10)&amp;'Ingest Template'!G861&amp;Char(10)&amp;'Ingest Template'!H861&amp;Char(10)&amp;'Ingest Template'!I861&amp;Char(10)&amp;'Ingest Template'!J861&amp;Char(10)&amp;'Ingest Template'!K861&amp;Char(10)&amp;'Ingest Template'!L861)</f>
        <v>
</v>
      </c>
      <c r="E861" s="25" t="str">
        <f>('Ingest Template'!M861)</f>
        <v/>
      </c>
      <c r="F861" s="40" t="str">
        <f t="array" ref="F861">INDEX(DropDown!$J$2:$J$63,MATCH(1,COUNTIF(E861,DropDown!$I$2:$I$63),0))</f>
        <v>#N/A</v>
      </c>
      <c r="G861" s="25"/>
      <c r="H861" s="25"/>
      <c r="I861" s="25"/>
      <c r="J861" s="25" t="str">
        <f>'Ingest Template'!B861</f>
        <v/>
      </c>
      <c r="K861" s="25" t="str">
        <f>IF('Ingest Template'!A860="Standard",'Ingest Template'!N860,"Competitive View")</f>
        <v>Competitive View</v>
      </c>
      <c r="L861" s="41" t="s">
        <v>145</v>
      </c>
      <c r="M861" s="25" t="str">
        <f>'Ingest Template'!D860</f>
        <v/>
      </c>
      <c r="N861" s="25"/>
      <c r="O861" s="25"/>
      <c r="P861" s="25"/>
      <c r="Q861" s="25"/>
      <c r="R861" s="25" t="str">
        <f>CONCATENATE('Ingest Template'!F860)</f>
        <v/>
      </c>
      <c r="S861" s="43" t="s">
        <v>160</v>
      </c>
      <c r="T861" s="25" t="str">
        <f>'Ingest Template'!W860</f>
        <v/>
      </c>
      <c r="U861" s="25"/>
      <c r="V861" s="25" t="str">
        <f>LOWER(SUBSTITUTE(SUBSTITUTE(SUBSTITUTE(SUBSTITUTE(SUBSTITUTE('Ingest Template'!Y860,"https:",""),"www.",""),"/",""),"?hl=en",""),"instagram.com",""))</f>
        <v/>
      </c>
      <c r="W861" s="34" t="str">
        <f>(IFERROR(vlookup('Ingest Template'!F861,DropDown!D:E,2,false)&amp;'Ingest Template'!C861,""))</f>
        <v/>
      </c>
      <c r="X861" s="25" t="str">
        <f>'Ingest Template'!AA860</f>
        <v/>
      </c>
      <c r="Y861" s="25"/>
      <c r="Z861" s="25"/>
      <c r="AA861" s="25"/>
      <c r="AB861" s="25" t="str">
        <f>'Ingest Template'!T860</f>
        <v/>
      </c>
      <c r="AC861" s="25"/>
      <c r="AD861" s="25" t="str">
        <f>'Ingest Template'!U860</f>
        <v/>
      </c>
      <c r="AE861" s="25" t="str">
        <f>'Ingest Template'!V860</f>
        <v/>
      </c>
      <c r="AF861" s="25"/>
      <c r="AG861" s="25" t="str">
        <f t="array" ref="AG861">IF('Ingest Template'!A860="Standard",(CONCATENATE(IF(ISBLANK('Ingest Template'!O860),"", 'Ingest Template'!O860&amp;"|DAR"),CHAR(10), IF(ISBLANK('Ingest Template'!P860),"", 'Ingest Template'!P860&amp;"|DAR"),CHAR(10), IF(ISBLANK('Ingest Template'!Q860),"", 'Ingest Template'!Q860&amp;"|DAR"))),(CONCATENATE(IF(ISBLANK('Ingest Template'!O860),"", 'Ingest Template'!O860&amp;"|Operations - Core Title"),CHAR(10), IF(ISBLANK('Ingest Template'!P860),"", 'Ingest Template'!P860&amp;"|Operations - Core Title"),CHAR(10), IF(ISBLANK('Ingest Template'!Q860),"", 'Ingest Template'!Q860&amp;"|Operations - Core Title"))))</f>
        <v>#|Operations - Core Title
#videoGame|Operations - Core Title
</v>
      </c>
      <c r="AH861" s="25"/>
      <c r="AI861" s="25"/>
      <c r="AJ861" s="50" t="str">
        <f>if('Ingest Template'!A860="Standard",'Ingest Template'!R860&amp; "|DAR|DAR|2021-01-01",'Ingest Template'!R860&amp; "|Operations - Core Title|Operations - Core Title")</f>
        <v>#N/A</v>
      </c>
      <c r="AK861" s="25"/>
      <c r="AL861" s="25" t="str">
        <f>if('Ingest Template'!A860="Standard",'Ingest Template'!S860&amp; "|2021-01-01",'Ingest Template'!S860)</f>
        <v>#N/A</v>
      </c>
      <c r="AM861" s="25"/>
    </row>
    <row r="862">
      <c r="A862" s="25"/>
      <c r="B862" s="25" t="str">
        <f>'Ingest Template'!C861&amp;IF('Ingest Template'!A861 = "Standard", " - DAR","")</f>
        <v/>
      </c>
      <c r="C862" s="34" t="s">
        <v>92</v>
      </c>
      <c r="D862" s="34" t="str">
        <f>CONCATENATE('Ingest Template'!E862&amp;Char(10)&amp;'Ingest Template'!G862&amp;Char(10)&amp;'Ingest Template'!H862&amp;Char(10)&amp;'Ingest Template'!I862&amp;Char(10)&amp;'Ingest Template'!J862&amp;Char(10)&amp;'Ingest Template'!K862&amp;Char(10)&amp;'Ingest Template'!L862)</f>
        <v>
</v>
      </c>
      <c r="E862" s="25" t="str">
        <f>('Ingest Template'!M862)</f>
        <v/>
      </c>
      <c r="F862" s="40" t="str">
        <f t="array" ref="F862">INDEX(DropDown!$J$2:$J$63,MATCH(1,COUNTIF(E862,DropDown!$I$2:$I$63),0))</f>
        <v>#N/A</v>
      </c>
      <c r="G862" s="25"/>
      <c r="H862" s="25"/>
      <c r="I862" s="25"/>
      <c r="J862" s="25" t="str">
        <f>'Ingest Template'!B862</f>
        <v/>
      </c>
      <c r="K862" s="25" t="str">
        <f>IF('Ingest Template'!A861="Standard",'Ingest Template'!N861,"Competitive View")</f>
        <v>Competitive View</v>
      </c>
      <c r="L862" s="41" t="s">
        <v>145</v>
      </c>
      <c r="M862" s="25" t="str">
        <f>'Ingest Template'!D861</f>
        <v/>
      </c>
      <c r="N862" s="25"/>
      <c r="O862" s="25"/>
      <c r="P862" s="25"/>
      <c r="Q862" s="25"/>
      <c r="R862" s="25" t="str">
        <f>CONCATENATE('Ingest Template'!F861)</f>
        <v/>
      </c>
      <c r="S862" s="43" t="s">
        <v>160</v>
      </c>
      <c r="T862" s="25" t="str">
        <f>'Ingest Template'!W861</f>
        <v/>
      </c>
      <c r="U862" s="25"/>
      <c r="V862" s="25" t="str">
        <f>LOWER(SUBSTITUTE(SUBSTITUTE(SUBSTITUTE(SUBSTITUTE(SUBSTITUTE('Ingest Template'!Y861,"https:",""),"www.",""),"/",""),"?hl=en",""),"instagram.com",""))</f>
        <v/>
      </c>
      <c r="W862" s="34" t="str">
        <f>(IFERROR(vlookup('Ingest Template'!F862,DropDown!D:E,2,false)&amp;'Ingest Template'!C862,""))</f>
        <v/>
      </c>
      <c r="X862" s="25" t="str">
        <f>'Ingest Template'!AA861</f>
        <v/>
      </c>
      <c r="Y862" s="25"/>
      <c r="Z862" s="25"/>
      <c r="AA862" s="25"/>
      <c r="AB862" s="25" t="str">
        <f>'Ingest Template'!T861</f>
        <v/>
      </c>
      <c r="AC862" s="25"/>
      <c r="AD862" s="25" t="str">
        <f>'Ingest Template'!U861</f>
        <v/>
      </c>
      <c r="AE862" s="25" t="str">
        <f>'Ingest Template'!V861</f>
        <v/>
      </c>
      <c r="AF862" s="25"/>
      <c r="AG862" s="25" t="str">
        <f t="array" ref="AG862">IF('Ingest Template'!A861="Standard",(CONCATENATE(IF(ISBLANK('Ingest Template'!O861),"", 'Ingest Template'!O861&amp;"|DAR"),CHAR(10), IF(ISBLANK('Ingest Template'!P861),"", 'Ingest Template'!P861&amp;"|DAR"),CHAR(10), IF(ISBLANK('Ingest Template'!Q861),"", 'Ingest Template'!Q861&amp;"|DAR"))),(CONCATENATE(IF(ISBLANK('Ingest Template'!O861),"", 'Ingest Template'!O861&amp;"|Operations - Core Title"),CHAR(10), IF(ISBLANK('Ingest Template'!P861),"", 'Ingest Template'!P861&amp;"|Operations - Core Title"),CHAR(10), IF(ISBLANK('Ingest Template'!Q861),"", 'Ingest Template'!Q861&amp;"|Operations - Core Title"))))</f>
        <v>#|Operations - Core Title
#videoGame|Operations - Core Title
</v>
      </c>
      <c r="AH862" s="25"/>
      <c r="AI862" s="25"/>
      <c r="AJ862" s="50" t="str">
        <f>if('Ingest Template'!A861="Standard",'Ingest Template'!R861&amp; "|DAR|DAR|2021-01-01",'Ingest Template'!R861&amp; "|Operations - Core Title|Operations - Core Title")</f>
        <v>#N/A</v>
      </c>
      <c r="AK862" s="25"/>
      <c r="AL862" s="25" t="str">
        <f>if('Ingest Template'!A861="Standard",'Ingest Template'!S861&amp; "|2021-01-01",'Ingest Template'!S861)</f>
        <v>#N/A</v>
      </c>
      <c r="AM862" s="25"/>
    </row>
    <row r="863">
      <c r="A863" s="25"/>
      <c r="B863" s="25" t="str">
        <f>'Ingest Template'!C862&amp;IF('Ingest Template'!A862 = "Standard", " - DAR","")</f>
        <v/>
      </c>
      <c r="C863" s="34" t="s">
        <v>92</v>
      </c>
      <c r="D863" s="34" t="str">
        <f>CONCATENATE('Ingest Template'!E863&amp;Char(10)&amp;'Ingest Template'!G863&amp;Char(10)&amp;'Ingest Template'!H863&amp;Char(10)&amp;'Ingest Template'!I863&amp;Char(10)&amp;'Ingest Template'!J863&amp;Char(10)&amp;'Ingest Template'!K863&amp;Char(10)&amp;'Ingest Template'!L863)</f>
        <v>
</v>
      </c>
      <c r="E863" s="25" t="str">
        <f>('Ingest Template'!M863)</f>
        <v/>
      </c>
      <c r="F863" s="40" t="str">
        <f t="array" ref="F863">INDEX(DropDown!$J$2:$J$63,MATCH(1,COUNTIF(E863,DropDown!$I$2:$I$63),0))</f>
        <v>#N/A</v>
      </c>
      <c r="G863" s="25"/>
      <c r="H863" s="25"/>
      <c r="I863" s="25"/>
      <c r="J863" s="25" t="str">
        <f>'Ingest Template'!B863</f>
        <v/>
      </c>
      <c r="K863" s="25" t="str">
        <f>IF('Ingest Template'!A862="Standard",'Ingest Template'!N862,"Competitive View")</f>
        <v>Competitive View</v>
      </c>
      <c r="L863" s="41" t="s">
        <v>145</v>
      </c>
      <c r="M863" s="25" t="str">
        <f>'Ingest Template'!D862</f>
        <v/>
      </c>
      <c r="N863" s="25"/>
      <c r="O863" s="25"/>
      <c r="P863" s="25"/>
      <c r="Q863" s="25"/>
      <c r="R863" s="25" t="str">
        <f>CONCATENATE('Ingest Template'!F862)</f>
        <v/>
      </c>
      <c r="S863" s="43" t="s">
        <v>160</v>
      </c>
      <c r="T863" s="25" t="str">
        <f>'Ingest Template'!W862</f>
        <v/>
      </c>
      <c r="U863" s="25"/>
      <c r="V863" s="25" t="str">
        <f>LOWER(SUBSTITUTE(SUBSTITUTE(SUBSTITUTE(SUBSTITUTE(SUBSTITUTE('Ingest Template'!Y862,"https:",""),"www.",""),"/",""),"?hl=en",""),"instagram.com",""))</f>
        <v/>
      </c>
      <c r="W863" s="34" t="str">
        <f>(IFERROR(vlookup('Ingest Template'!F863,DropDown!D:E,2,false)&amp;'Ingest Template'!C863,""))</f>
        <v/>
      </c>
      <c r="X863" s="25" t="str">
        <f>'Ingest Template'!AA862</f>
        <v/>
      </c>
      <c r="Y863" s="25"/>
      <c r="Z863" s="25"/>
      <c r="AA863" s="25"/>
      <c r="AB863" s="25" t="str">
        <f>'Ingest Template'!T862</f>
        <v/>
      </c>
      <c r="AC863" s="25"/>
      <c r="AD863" s="25" t="str">
        <f>'Ingest Template'!U862</f>
        <v/>
      </c>
      <c r="AE863" s="25" t="str">
        <f>'Ingest Template'!V862</f>
        <v/>
      </c>
      <c r="AF863" s="25"/>
      <c r="AG863" s="25" t="str">
        <f t="array" ref="AG863">IF('Ingest Template'!A862="Standard",(CONCATENATE(IF(ISBLANK('Ingest Template'!O862),"", 'Ingest Template'!O862&amp;"|DAR"),CHAR(10), IF(ISBLANK('Ingest Template'!P862),"", 'Ingest Template'!P862&amp;"|DAR"),CHAR(10), IF(ISBLANK('Ingest Template'!Q862),"", 'Ingest Template'!Q862&amp;"|DAR"))),(CONCATENATE(IF(ISBLANK('Ingest Template'!O862),"", 'Ingest Template'!O862&amp;"|Operations - Core Title"),CHAR(10), IF(ISBLANK('Ingest Template'!P862),"", 'Ingest Template'!P862&amp;"|Operations - Core Title"),CHAR(10), IF(ISBLANK('Ingest Template'!Q862),"", 'Ingest Template'!Q862&amp;"|Operations - Core Title"))))</f>
        <v>#|Operations - Core Title
#videoGame|Operations - Core Title
</v>
      </c>
      <c r="AH863" s="25"/>
      <c r="AI863" s="25"/>
      <c r="AJ863" s="50" t="str">
        <f>if('Ingest Template'!A862="Standard",'Ingest Template'!R862&amp; "|DAR|DAR|2021-01-01",'Ingest Template'!R862&amp; "|Operations - Core Title|Operations - Core Title")</f>
        <v>#N/A</v>
      </c>
      <c r="AK863" s="25"/>
      <c r="AL863" s="25" t="str">
        <f>if('Ingest Template'!A862="Standard",'Ingest Template'!S862&amp; "|2021-01-01",'Ingest Template'!S862)</f>
        <v>#N/A</v>
      </c>
      <c r="AM863" s="25"/>
    </row>
    <row r="864">
      <c r="A864" s="25"/>
      <c r="B864" s="25" t="str">
        <f>'Ingest Template'!C863&amp;IF('Ingest Template'!A863 = "Standard", " - DAR","")</f>
        <v/>
      </c>
      <c r="C864" s="34" t="s">
        <v>92</v>
      </c>
      <c r="D864" s="34" t="str">
        <f>CONCATENATE('Ingest Template'!E864&amp;Char(10)&amp;'Ingest Template'!G864&amp;Char(10)&amp;'Ingest Template'!H864&amp;Char(10)&amp;'Ingest Template'!I864&amp;Char(10)&amp;'Ingest Template'!J864&amp;Char(10)&amp;'Ingest Template'!K864&amp;Char(10)&amp;'Ingest Template'!L864)</f>
        <v>
</v>
      </c>
      <c r="E864" s="25" t="str">
        <f>('Ingest Template'!M864)</f>
        <v/>
      </c>
      <c r="F864" s="40" t="str">
        <f t="array" ref="F864">INDEX(DropDown!$J$2:$J$63,MATCH(1,COUNTIF(E864,DropDown!$I$2:$I$63),0))</f>
        <v>#N/A</v>
      </c>
      <c r="G864" s="25"/>
      <c r="H864" s="25"/>
      <c r="I864" s="25"/>
      <c r="J864" s="25" t="str">
        <f>'Ingest Template'!B864</f>
        <v/>
      </c>
      <c r="K864" s="25" t="str">
        <f>IF('Ingest Template'!A863="Standard",'Ingest Template'!N863,"Competitive View")</f>
        <v>Competitive View</v>
      </c>
      <c r="L864" s="41" t="s">
        <v>145</v>
      </c>
      <c r="M864" s="25" t="str">
        <f>'Ingest Template'!D863</f>
        <v/>
      </c>
      <c r="N864" s="25"/>
      <c r="O864" s="25"/>
      <c r="P864" s="25"/>
      <c r="Q864" s="25"/>
      <c r="R864" s="25" t="str">
        <f>CONCATENATE('Ingest Template'!F863)</f>
        <v/>
      </c>
      <c r="S864" s="43" t="s">
        <v>160</v>
      </c>
      <c r="T864" s="25" t="str">
        <f>'Ingest Template'!W863</f>
        <v/>
      </c>
      <c r="U864" s="25"/>
      <c r="V864" s="25" t="str">
        <f>LOWER(SUBSTITUTE(SUBSTITUTE(SUBSTITUTE(SUBSTITUTE(SUBSTITUTE('Ingest Template'!Y863,"https:",""),"www.",""),"/",""),"?hl=en",""),"instagram.com",""))</f>
        <v/>
      </c>
      <c r="W864" s="34" t="str">
        <f>(IFERROR(vlookup('Ingest Template'!F864,DropDown!D:E,2,false)&amp;'Ingest Template'!C864,""))</f>
        <v/>
      </c>
      <c r="X864" s="25" t="str">
        <f>'Ingest Template'!AA863</f>
        <v/>
      </c>
      <c r="Y864" s="25"/>
      <c r="Z864" s="25"/>
      <c r="AA864" s="25"/>
      <c r="AB864" s="25" t="str">
        <f>'Ingest Template'!T863</f>
        <v/>
      </c>
      <c r="AC864" s="25"/>
      <c r="AD864" s="25" t="str">
        <f>'Ingest Template'!U863</f>
        <v/>
      </c>
      <c r="AE864" s="25" t="str">
        <f>'Ingest Template'!V863</f>
        <v/>
      </c>
      <c r="AF864" s="25"/>
      <c r="AG864" s="25" t="str">
        <f t="array" ref="AG864">IF('Ingest Template'!A863="Standard",(CONCATENATE(IF(ISBLANK('Ingest Template'!O863),"", 'Ingest Template'!O863&amp;"|DAR"),CHAR(10), IF(ISBLANK('Ingest Template'!P863),"", 'Ingest Template'!P863&amp;"|DAR"),CHAR(10), IF(ISBLANK('Ingest Template'!Q863),"", 'Ingest Template'!Q863&amp;"|DAR"))),(CONCATENATE(IF(ISBLANK('Ingest Template'!O863),"", 'Ingest Template'!O863&amp;"|Operations - Core Title"),CHAR(10), IF(ISBLANK('Ingest Template'!P863),"", 'Ingest Template'!P863&amp;"|Operations - Core Title"),CHAR(10), IF(ISBLANK('Ingest Template'!Q863),"", 'Ingest Template'!Q863&amp;"|Operations - Core Title"))))</f>
        <v>#|Operations - Core Title
#videoGame|Operations - Core Title
</v>
      </c>
      <c r="AH864" s="25"/>
      <c r="AI864" s="25"/>
      <c r="AJ864" s="50" t="str">
        <f>if('Ingest Template'!A863="Standard",'Ingest Template'!R863&amp; "|DAR|DAR|2021-01-01",'Ingest Template'!R863&amp; "|Operations - Core Title|Operations - Core Title")</f>
        <v>#N/A</v>
      </c>
      <c r="AK864" s="25"/>
      <c r="AL864" s="25" t="str">
        <f>if('Ingest Template'!A863="Standard",'Ingest Template'!S863&amp; "|2021-01-01",'Ingest Template'!S863)</f>
        <v>#N/A</v>
      </c>
      <c r="AM864" s="25"/>
    </row>
    <row r="865">
      <c r="A865" s="25"/>
      <c r="B865" s="25" t="str">
        <f>'Ingest Template'!C864&amp;IF('Ingest Template'!A864 = "Standard", " - DAR","")</f>
        <v/>
      </c>
      <c r="C865" s="34" t="s">
        <v>92</v>
      </c>
      <c r="D865" s="34" t="str">
        <f>CONCATENATE('Ingest Template'!E865&amp;Char(10)&amp;'Ingest Template'!G865&amp;Char(10)&amp;'Ingest Template'!H865&amp;Char(10)&amp;'Ingest Template'!I865&amp;Char(10)&amp;'Ingest Template'!J865&amp;Char(10)&amp;'Ingest Template'!K865&amp;Char(10)&amp;'Ingest Template'!L865)</f>
        <v>
</v>
      </c>
      <c r="E865" s="25" t="str">
        <f>('Ingest Template'!M865)</f>
        <v/>
      </c>
      <c r="F865" s="40" t="str">
        <f t="array" ref="F865">INDEX(DropDown!$J$2:$J$63,MATCH(1,COUNTIF(E865,DropDown!$I$2:$I$63),0))</f>
        <v>#N/A</v>
      </c>
      <c r="G865" s="25"/>
      <c r="H865" s="25"/>
      <c r="I865" s="25"/>
      <c r="J865" s="25" t="str">
        <f>'Ingest Template'!B865</f>
        <v/>
      </c>
      <c r="K865" s="25" t="str">
        <f>IF('Ingest Template'!A864="Standard",'Ingest Template'!N864,"Competitive View")</f>
        <v>Competitive View</v>
      </c>
      <c r="L865" s="41" t="s">
        <v>145</v>
      </c>
      <c r="M865" s="25" t="str">
        <f>'Ingest Template'!D864</f>
        <v/>
      </c>
      <c r="N865" s="25"/>
      <c r="O865" s="25"/>
      <c r="P865" s="25"/>
      <c r="Q865" s="25"/>
      <c r="R865" s="25" t="str">
        <f>CONCATENATE('Ingest Template'!F864)</f>
        <v/>
      </c>
      <c r="S865" s="43" t="s">
        <v>160</v>
      </c>
      <c r="T865" s="25" t="str">
        <f>'Ingest Template'!W864</f>
        <v/>
      </c>
      <c r="U865" s="25"/>
      <c r="V865" s="25" t="str">
        <f>LOWER(SUBSTITUTE(SUBSTITUTE(SUBSTITUTE(SUBSTITUTE(SUBSTITUTE('Ingest Template'!Y864,"https:",""),"www.",""),"/",""),"?hl=en",""),"instagram.com",""))</f>
        <v/>
      </c>
      <c r="W865" s="34" t="str">
        <f>(IFERROR(vlookup('Ingest Template'!F865,DropDown!D:E,2,false)&amp;'Ingest Template'!C865,""))</f>
        <v/>
      </c>
      <c r="X865" s="25" t="str">
        <f>'Ingest Template'!AA864</f>
        <v/>
      </c>
      <c r="Y865" s="25"/>
      <c r="Z865" s="25"/>
      <c r="AA865" s="25"/>
      <c r="AB865" s="25" t="str">
        <f>'Ingest Template'!T864</f>
        <v/>
      </c>
      <c r="AC865" s="25"/>
      <c r="AD865" s="25" t="str">
        <f>'Ingest Template'!U864</f>
        <v/>
      </c>
      <c r="AE865" s="25" t="str">
        <f>'Ingest Template'!V864</f>
        <v/>
      </c>
      <c r="AF865" s="25"/>
      <c r="AG865" s="25" t="str">
        <f t="array" ref="AG865">IF('Ingest Template'!A864="Standard",(CONCATENATE(IF(ISBLANK('Ingest Template'!O864),"", 'Ingest Template'!O864&amp;"|DAR"),CHAR(10), IF(ISBLANK('Ingest Template'!P864),"", 'Ingest Template'!P864&amp;"|DAR"),CHAR(10), IF(ISBLANK('Ingest Template'!Q864),"", 'Ingest Template'!Q864&amp;"|DAR"))),(CONCATENATE(IF(ISBLANK('Ingest Template'!O864),"", 'Ingest Template'!O864&amp;"|Operations - Core Title"),CHAR(10), IF(ISBLANK('Ingest Template'!P864),"", 'Ingest Template'!P864&amp;"|Operations - Core Title"),CHAR(10), IF(ISBLANK('Ingest Template'!Q864),"", 'Ingest Template'!Q864&amp;"|Operations - Core Title"))))</f>
        <v>#|Operations - Core Title
#videoGame|Operations - Core Title
</v>
      </c>
      <c r="AH865" s="25"/>
      <c r="AI865" s="25"/>
      <c r="AJ865" s="50" t="str">
        <f>if('Ingest Template'!A864="Standard",'Ingest Template'!R864&amp; "|DAR|DAR|2021-01-01",'Ingest Template'!R864&amp; "|Operations - Core Title|Operations - Core Title")</f>
        <v>#N/A</v>
      </c>
      <c r="AK865" s="25"/>
      <c r="AL865" s="25" t="str">
        <f>if('Ingest Template'!A864="Standard",'Ingest Template'!S864&amp; "|2021-01-01",'Ingest Template'!S864)</f>
        <v>#N/A</v>
      </c>
      <c r="AM865" s="25"/>
    </row>
    <row r="866">
      <c r="A866" s="25"/>
      <c r="B866" s="25" t="str">
        <f>'Ingest Template'!C865&amp;IF('Ingest Template'!A865 = "Standard", " - DAR","")</f>
        <v/>
      </c>
      <c r="C866" s="34" t="s">
        <v>92</v>
      </c>
      <c r="D866" s="34" t="str">
        <f>CONCATENATE('Ingest Template'!E866&amp;Char(10)&amp;'Ingest Template'!G866&amp;Char(10)&amp;'Ingest Template'!H866&amp;Char(10)&amp;'Ingest Template'!I866&amp;Char(10)&amp;'Ingest Template'!J866&amp;Char(10)&amp;'Ingest Template'!K866&amp;Char(10)&amp;'Ingest Template'!L866)</f>
        <v>
</v>
      </c>
      <c r="E866" s="25" t="str">
        <f>('Ingest Template'!M866)</f>
        <v/>
      </c>
      <c r="F866" s="40" t="str">
        <f t="array" ref="F866">INDEX(DropDown!$J$2:$J$63,MATCH(1,COUNTIF(E866,DropDown!$I$2:$I$63),0))</f>
        <v>#N/A</v>
      </c>
      <c r="G866" s="25"/>
      <c r="H866" s="25"/>
      <c r="I866" s="25"/>
      <c r="J866" s="25" t="str">
        <f>'Ingest Template'!B866</f>
        <v/>
      </c>
      <c r="K866" s="25" t="str">
        <f>IF('Ingest Template'!A865="Standard",'Ingest Template'!N865,"Competitive View")</f>
        <v>Competitive View</v>
      </c>
      <c r="L866" s="41" t="s">
        <v>145</v>
      </c>
      <c r="M866" s="25" t="str">
        <f>'Ingest Template'!D865</f>
        <v/>
      </c>
      <c r="N866" s="25"/>
      <c r="O866" s="25"/>
      <c r="P866" s="25"/>
      <c r="Q866" s="25"/>
      <c r="R866" s="25" t="str">
        <f>CONCATENATE('Ingest Template'!F865)</f>
        <v/>
      </c>
      <c r="S866" s="43" t="s">
        <v>160</v>
      </c>
      <c r="T866" s="25" t="str">
        <f>'Ingest Template'!W865</f>
        <v/>
      </c>
      <c r="U866" s="25"/>
      <c r="V866" s="25" t="str">
        <f>LOWER(SUBSTITUTE(SUBSTITUTE(SUBSTITUTE(SUBSTITUTE(SUBSTITUTE('Ingest Template'!Y865,"https:",""),"www.",""),"/",""),"?hl=en",""),"instagram.com",""))</f>
        <v/>
      </c>
      <c r="W866" s="34" t="str">
        <f>(IFERROR(vlookup('Ingest Template'!F866,DropDown!D:E,2,false)&amp;'Ingest Template'!C866,""))</f>
        <v/>
      </c>
      <c r="X866" s="25" t="str">
        <f>'Ingest Template'!AA865</f>
        <v/>
      </c>
      <c r="Y866" s="25"/>
      <c r="Z866" s="25"/>
      <c r="AA866" s="25"/>
      <c r="AB866" s="25" t="str">
        <f>'Ingest Template'!T865</f>
        <v/>
      </c>
      <c r="AC866" s="25"/>
      <c r="AD866" s="25" t="str">
        <f>'Ingest Template'!U865</f>
        <v/>
      </c>
      <c r="AE866" s="25" t="str">
        <f>'Ingest Template'!V865</f>
        <v/>
      </c>
      <c r="AF866" s="25"/>
      <c r="AG866" s="25" t="str">
        <f t="array" ref="AG866">IF('Ingest Template'!A865="Standard",(CONCATENATE(IF(ISBLANK('Ingest Template'!O865),"", 'Ingest Template'!O865&amp;"|DAR"),CHAR(10), IF(ISBLANK('Ingest Template'!P865),"", 'Ingest Template'!P865&amp;"|DAR"),CHAR(10), IF(ISBLANK('Ingest Template'!Q865),"", 'Ingest Template'!Q865&amp;"|DAR"))),(CONCATENATE(IF(ISBLANK('Ingest Template'!O865),"", 'Ingest Template'!O865&amp;"|Operations - Core Title"),CHAR(10), IF(ISBLANK('Ingest Template'!P865),"", 'Ingest Template'!P865&amp;"|Operations - Core Title"),CHAR(10), IF(ISBLANK('Ingest Template'!Q865),"", 'Ingest Template'!Q865&amp;"|Operations - Core Title"))))</f>
        <v>#|Operations - Core Title
#videoGame|Operations - Core Title
</v>
      </c>
      <c r="AH866" s="25"/>
      <c r="AI866" s="25"/>
      <c r="AJ866" s="50" t="str">
        <f>if('Ingest Template'!A865="Standard",'Ingest Template'!R865&amp; "|DAR|DAR|2021-01-01",'Ingest Template'!R865&amp; "|Operations - Core Title|Operations - Core Title")</f>
        <v>#N/A</v>
      </c>
      <c r="AK866" s="25"/>
      <c r="AL866" s="25" t="str">
        <f>if('Ingest Template'!A865="Standard",'Ingest Template'!S865&amp; "|2021-01-01",'Ingest Template'!S865)</f>
        <v>#N/A</v>
      </c>
      <c r="AM866" s="25"/>
    </row>
    <row r="867">
      <c r="A867" s="25"/>
      <c r="B867" s="25" t="str">
        <f>'Ingest Template'!C866&amp;IF('Ingest Template'!A866 = "Standard", " - DAR","")</f>
        <v/>
      </c>
      <c r="C867" s="34" t="s">
        <v>92</v>
      </c>
      <c r="D867" s="34" t="str">
        <f>CONCATENATE('Ingest Template'!E867&amp;Char(10)&amp;'Ingest Template'!G867&amp;Char(10)&amp;'Ingest Template'!H867&amp;Char(10)&amp;'Ingest Template'!I867&amp;Char(10)&amp;'Ingest Template'!J867&amp;Char(10)&amp;'Ingest Template'!K867&amp;Char(10)&amp;'Ingest Template'!L867)</f>
        <v>
</v>
      </c>
      <c r="E867" s="25" t="str">
        <f>('Ingest Template'!M867)</f>
        <v/>
      </c>
      <c r="F867" s="40" t="str">
        <f t="array" ref="F867">INDEX(DropDown!$J$2:$J$63,MATCH(1,COUNTIF(E867,DropDown!$I$2:$I$63),0))</f>
        <v>#N/A</v>
      </c>
      <c r="G867" s="25"/>
      <c r="H867" s="25"/>
      <c r="I867" s="25"/>
      <c r="J867" s="25" t="str">
        <f>'Ingest Template'!B867</f>
        <v/>
      </c>
      <c r="K867" s="25" t="str">
        <f>IF('Ingest Template'!A866="Standard",'Ingest Template'!N866,"Competitive View")</f>
        <v>Competitive View</v>
      </c>
      <c r="L867" s="41" t="s">
        <v>145</v>
      </c>
      <c r="M867" s="25" t="str">
        <f>'Ingest Template'!D866</f>
        <v/>
      </c>
      <c r="N867" s="25"/>
      <c r="O867" s="25"/>
      <c r="P867" s="25"/>
      <c r="Q867" s="25"/>
      <c r="R867" s="25" t="str">
        <f>CONCATENATE('Ingest Template'!F866)</f>
        <v/>
      </c>
      <c r="S867" s="43" t="s">
        <v>160</v>
      </c>
      <c r="T867" s="25" t="str">
        <f>'Ingest Template'!W866</f>
        <v/>
      </c>
      <c r="U867" s="25"/>
      <c r="V867" s="25" t="str">
        <f>LOWER(SUBSTITUTE(SUBSTITUTE(SUBSTITUTE(SUBSTITUTE(SUBSTITUTE('Ingest Template'!Y866,"https:",""),"www.",""),"/",""),"?hl=en",""),"instagram.com",""))</f>
        <v/>
      </c>
      <c r="W867" s="34" t="str">
        <f>(IFERROR(vlookup('Ingest Template'!F867,DropDown!D:E,2,false)&amp;'Ingest Template'!C867,""))</f>
        <v/>
      </c>
      <c r="X867" s="25" t="str">
        <f>'Ingest Template'!AA866</f>
        <v/>
      </c>
      <c r="Y867" s="25"/>
      <c r="Z867" s="25"/>
      <c r="AA867" s="25"/>
      <c r="AB867" s="25" t="str">
        <f>'Ingest Template'!T866</f>
        <v/>
      </c>
      <c r="AC867" s="25"/>
      <c r="AD867" s="25" t="str">
        <f>'Ingest Template'!U866</f>
        <v/>
      </c>
      <c r="AE867" s="25" t="str">
        <f>'Ingest Template'!V866</f>
        <v/>
      </c>
      <c r="AF867" s="25"/>
      <c r="AG867" s="25" t="str">
        <f t="array" ref="AG867">IF('Ingest Template'!A866="Standard",(CONCATENATE(IF(ISBLANK('Ingest Template'!O866),"", 'Ingest Template'!O866&amp;"|DAR"),CHAR(10), IF(ISBLANK('Ingest Template'!P866),"", 'Ingest Template'!P866&amp;"|DAR"),CHAR(10), IF(ISBLANK('Ingest Template'!Q866),"", 'Ingest Template'!Q866&amp;"|DAR"))),(CONCATENATE(IF(ISBLANK('Ingest Template'!O866),"", 'Ingest Template'!O866&amp;"|Operations - Core Title"),CHAR(10), IF(ISBLANK('Ingest Template'!P866),"", 'Ingest Template'!P866&amp;"|Operations - Core Title"),CHAR(10), IF(ISBLANK('Ingest Template'!Q866),"", 'Ingest Template'!Q866&amp;"|Operations - Core Title"))))</f>
        <v>#|Operations - Core Title
#videoGame|Operations - Core Title
</v>
      </c>
      <c r="AH867" s="25"/>
      <c r="AI867" s="25"/>
      <c r="AJ867" s="50" t="str">
        <f>if('Ingest Template'!A866="Standard",'Ingest Template'!R866&amp; "|DAR|DAR|2021-01-01",'Ingest Template'!R866&amp; "|Operations - Core Title|Operations - Core Title")</f>
        <v>#N/A</v>
      </c>
      <c r="AK867" s="25"/>
      <c r="AL867" s="25" t="str">
        <f>if('Ingest Template'!A866="Standard",'Ingest Template'!S866&amp; "|2021-01-01",'Ingest Template'!S866)</f>
        <v>#N/A</v>
      </c>
      <c r="AM867" s="25"/>
    </row>
    <row r="868">
      <c r="A868" s="25"/>
      <c r="B868" s="25" t="str">
        <f>'Ingest Template'!C867&amp;IF('Ingest Template'!A867 = "Standard", " - DAR","")</f>
        <v/>
      </c>
      <c r="C868" s="34" t="s">
        <v>92</v>
      </c>
      <c r="D868" s="34" t="str">
        <f>CONCATENATE('Ingest Template'!E868&amp;Char(10)&amp;'Ingest Template'!G868&amp;Char(10)&amp;'Ingest Template'!H868&amp;Char(10)&amp;'Ingest Template'!I868&amp;Char(10)&amp;'Ingest Template'!J868&amp;Char(10)&amp;'Ingest Template'!K868&amp;Char(10)&amp;'Ingest Template'!L868)</f>
        <v>
</v>
      </c>
      <c r="E868" s="25" t="str">
        <f>('Ingest Template'!M868)</f>
        <v/>
      </c>
      <c r="F868" s="40" t="str">
        <f t="array" ref="F868">INDEX(DropDown!$J$2:$J$63,MATCH(1,COUNTIF(E868,DropDown!$I$2:$I$63),0))</f>
        <v>#N/A</v>
      </c>
      <c r="G868" s="25"/>
      <c r="H868" s="25"/>
      <c r="I868" s="25"/>
      <c r="J868" s="25" t="str">
        <f>'Ingest Template'!B868</f>
        <v/>
      </c>
      <c r="K868" s="25" t="str">
        <f>IF('Ingest Template'!A867="Standard",'Ingest Template'!N867,"Competitive View")</f>
        <v>Competitive View</v>
      </c>
      <c r="L868" s="41" t="s">
        <v>145</v>
      </c>
      <c r="M868" s="25" t="str">
        <f>'Ingest Template'!D867</f>
        <v/>
      </c>
      <c r="N868" s="25"/>
      <c r="O868" s="25"/>
      <c r="P868" s="25"/>
      <c r="Q868" s="25"/>
      <c r="R868" s="25" t="str">
        <f>CONCATENATE('Ingest Template'!F867)</f>
        <v/>
      </c>
      <c r="S868" s="43" t="s">
        <v>160</v>
      </c>
      <c r="T868" s="25" t="str">
        <f>'Ingest Template'!W867</f>
        <v/>
      </c>
      <c r="U868" s="25"/>
      <c r="V868" s="25" t="str">
        <f>LOWER(SUBSTITUTE(SUBSTITUTE(SUBSTITUTE(SUBSTITUTE(SUBSTITUTE('Ingest Template'!Y867,"https:",""),"www.",""),"/",""),"?hl=en",""),"instagram.com",""))</f>
        <v/>
      </c>
      <c r="W868" s="34" t="str">
        <f>(IFERROR(vlookup('Ingest Template'!F868,DropDown!D:E,2,false)&amp;'Ingest Template'!C868,""))</f>
        <v/>
      </c>
      <c r="X868" s="25" t="str">
        <f>'Ingest Template'!AA867</f>
        <v/>
      </c>
      <c r="Y868" s="25"/>
      <c r="Z868" s="25"/>
      <c r="AA868" s="25"/>
      <c r="AB868" s="25" t="str">
        <f>'Ingest Template'!T867</f>
        <v/>
      </c>
      <c r="AC868" s="25"/>
      <c r="AD868" s="25" t="str">
        <f>'Ingest Template'!U867</f>
        <v/>
      </c>
      <c r="AE868" s="25" t="str">
        <f>'Ingest Template'!V867</f>
        <v/>
      </c>
      <c r="AF868" s="25"/>
      <c r="AG868" s="25" t="str">
        <f t="array" ref="AG868">IF('Ingest Template'!A867="Standard",(CONCATENATE(IF(ISBLANK('Ingest Template'!O867),"", 'Ingest Template'!O867&amp;"|DAR"),CHAR(10), IF(ISBLANK('Ingest Template'!P867),"", 'Ingest Template'!P867&amp;"|DAR"),CHAR(10), IF(ISBLANK('Ingest Template'!Q867),"", 'Ingest Template'!Q867&amp;"|DAR"))),(CONCATENATE(IF(ISBLANK('Ingest Template'!O867),"", 'Ingest Template'!O867&amp;"|Operations - Core Title"),CHAR(10), IF(ISBLANK('Ingest Template'!P867),"", 'Ingest Template'!P867&amp;"|Operations - Core Title"),CHAR(10), IF(ISBLANK('Ingest Template'!Q867),"", 'Ingest Template'!Q867&amp;"|Operations - Core Title"))))</f>
        <v>#|Operations - Core Title
#videoGame|Operations - Core Title
</v>
      </c>
      <c r="AH868" s="25"/>
      <c r="AI868" s="25"/>
      <c r="AJ868" s="50" t="str">
        <f>if('Ingest Template'!A867="Standard",'Ingest Template'!R867&amp; "|DAR|DAR|2021-01-01",'Ingest Template'!R867&amp; "|Operations - Core Title|Operations - Core Title")</f>
        <v>#N/A</v>
      </c>
      <c r="AK868" s="25"/>
      <c r="AL868" s="25" t="str">
        <f>if('Ingest Template'!A867="Standard",'Ingest Template'!S867&amp; "|2021-01-01",'Ingest Template'!S867)</f>
        <v>#N/A</v>
      </c>
      <c r="AM868" s="25"/>
    </row>
    <row r="869">
      <c r="A869" s="25"/>
      <c r="B869" s="25" t="str">
        <f>'Ingest Template'!C868&amp;IF('Ingest Template'!A868 = "Standard", " - DAR","")</f>
        <v/>
      </c>
      <c r="C869" s="34" t="s">
        <v>92</v>
      </c>
      <c r="D869" s="34" t="str">
        <f>CONCATENATE('Ingest Template'!E869&amp;Char(10)&amp;'Ingest Template'!G869&amp;Char(10)&amp;'Ingest Template'!H869&amp;Char(10)&amp;'Ingest Template'!I869&amp;Char(10)&amp;'Ingest Template'!J869&amp;Char(10)&amp;'Ingest Template'!K869&amp;Char(10)&amp;'Ingest Template'!L869)</f>
        <v>
</v>
      </c>
      <c r="E869" s="25" t="str">
        <f>('Ingest Template'!M869)</f>
        <v/>
      </c>
      <c r="F869" s="40" t="str">
        <f t="array" ref="F869">INDEX(DropDown!$J$2:$J$63,MATCH(1,COUNTIF(E869,DropDown!$I$2:$I$63),0))</f>
        <v>#N/A</v>
      </c>
      <c r="G869" s="25"/>
      <c r="H869" s="25"/>
      <c r="I869" s="25"/>
      <c r="J869" s="25" t="str">
        <f>'Ingest Template'!B869</f>
        <v/>
      </c>
      <c r="K869" s="25" t="str">
        <f>IF('Ingest Template'!A868="Standard",'Ingest Template'!N868,"Competitive View")</f>
        <v>Competitive View</v>
      </c>
      <c r="L869" s="41" t="s">
        <v>145</v>
      </c>
      <c r="M869" s="25" t="str">
        <f>'Ingest Template'!D868</f>
        <v/>
      </c>
      <c r="N869" s="25"/>
      <c r="O869" s="25"/>
      <c r="P869" s="25"/>
      <c r="Q869" s="25"/>
      <c r="R869" s="25" t="str">
        <f>CONCATENATE('Ingest Template'!F868)</f>
        <v/>
      </c>
      <c r="S869" s="43" t="s">
        <v>160</v>
      </c>
      <c r="T869" s="25" t="str">
        <f>'Ingest Template'!W868</f>
        <v/>
      </c>
      <c r="U869" s="25"/>
      <c r="V869" s="25" t="str">
        <f>LOWER(SUBSTITUTE(SUBSTITUTE(SUBSTITUTE(SUBSTITUTE(SUBSTITUTE('Ingest Template'!Y868,"https:",""),"www.",""),"/",""),"?hl=en",""),"instagram.com",""))</f>
        <v/>
      </c>
      <c r="W869" s="34" t="str">
        <f>(IFERROR(vlookup('Ingest Template'!F869,DropDown!D:E,2,false)&amp;'Ingest Template'!C869,""))</f>
        <v/>
      </c>
      <c r="X869" s="25" t="str">
        <f>'Ingest Template'!AA868</f>
        <v/>
      </c>
      <c r="Y869" s="25"/>
      <c r="Z869" s="25"/>
      <c r="AA869" s="25"/>
      <c r="AB869" s="25" t="str">
        <f>'Ingest Template'!T868</f>
        <v/>
      </c>
      <c r="AC869" s="25"/>
      <c r="AD869" s="25" t="str">
        <f>'Ingest Template'!U868</f>
        <v/>
      </c>
      <c r="AE869" s="25" t="str">
        <f>'Ingest Template'!V868</f>
        <v/>
      </c>
      <c r="AF869" s="25"/>
      <c r="AG869" s="25" t="str">
        <f t="array" ref="AG869">IF('Ingest Template'!A868="Standard",(CONCATENATE(IF(ISBLANK('Ingest Template'!O868),"", 'Ingest Template'!O868&amp;"|DAR"),CHAR(10), IF(ISBLANK('Ingest Template'!P868),"", 'Ingest Template'!P868&amp;"|DAR"),CHAR(10), IF(ISBLANK('Ingest Template'!Q868),"", 'Ingest Template'!Q868&amp;"|DAR"))),(CONCATENATE(IF(ISBLANK('Ingest Template'!O868),"", 'Ingest Template'!O868&amp;"|Operations - Core Title"),CHAR(10), IF(ISBLANK('Ingest Template'!P868),"", 'Ingest Template'!P868&amp;"|Operations - Core Title"),CHAR(10), IF(ISBLANK('Ingest Template'!Q868),"", 'Ingest Template'!Q868&amp;"|Operations - Core Title"))))</f>
        <v>#|Operations - Core Title
#videoGame|Operations - Core Title
</v>
      </c>
      <c r="AH869" s="25"/>
      <c r="AI869" s="25"/>
      <c r="AJ869" s="50" t="str">
        <f>if('Ingest Template'!A868="Standard",'Ingest Template'!R868&amp; "|DAR|DAR|2021-01-01",'Ingest Template'!R868&amp; "|Operations - Core Title|Operations - Core Title")</f>
        <v>#N/A</v>
      </c>
      <c r="AK869" s="25"/>
      <c r="AL869" s="25" t="str">
        <f>if('Ingest Template'!A868="Standard",'Ingest Template'!S868&amp; "|2021-01-01",'Ingest Template'!S868)</f>
        <v>#N/A</v>
      </c>
      <c r="AM869" s="25"/>
    </row>
    <row r="870">
      <c r="A870" s="25"/>
      <c r="B870" s="25" t="str">
        <f>'Ingest Template'!C869&amp;IF('Ingest Template'!A869 = "Standard", " - DAR","")</f>
        <v/>
      </c>
      <c r="C870" s="34" t="s">
        <v>92</v>
      </c>
      <c r="D870" s="34" t="str">
        <f>CONCATENATE('Ingest Template'!E870&amp;Char(10)&amp;'Ingest Template'!G870&amp;Char(10)&amp;'Ingest Template'!H870&amp;Char(10)&amp;'Ingest Template'!I870&amp;Char(10)&amp;'Ingest Template'!J870&amp;Char(10)&amp;'Ingest Template'!K870&amp;Char(10)&amp;'Ingest Template'!L870)</f>
        <v>
</v>
      </c>
      <c r="E870" s="25" t="str">
        <f>('Ingest Template'!M870)</f>
        <v/>
      </c>
      <c r="F870" s="40" t="str">
        <f t="array" ref="F870">INDEX(DropDown!$J$2:$J$63,MATCH(1,COUNTIF(E870,DropDown!$I$2:$I$63),0))</f>
        <v>#N/A</v>
      </c>
      <c r="G870" s="25"/>
      <c r="H870" s="25"/>
      <c r="I870" s="25"/>
      <c r="J870" s="25" t="str">
        <f>'Ingest Template'!B870</f>
        <v/>
      </c>
      <c r="K870" s="25" t="str">
        <f>IF('Ingest Template'!A869="Standard",'Ingest Template'!N869,"Competitive View")</f>
        <v>Competitive View</v>
      </c>
      <c r="L870" s="41" t="s">
        <v>145</v>
      </c>
      <c r="M870" s="25" t="str">
        <f>'Ingest Template'!D869</f>
        <v/>
      </c>
      <c r="N870" s="25"/>
      <c r="O870" s="25"/>
      <c r="P870" s="25"/>
      <c r="Q870" s="25"/>
      <c r="R870" s="25" t="str">
        <f>CONCATENATE('Ingest Template'!F869)</f>
        <v/>
      </c>
      <c r="S870" s="43" t="s">
        <v>160</v>
      </c>
      <c r="T870" s="25" t="str">
        <f>'Ingest Template'!W869</f>
        <v/>
      </c>
      <c r="U870" s="25"/>
      <c r="V870" s="25" t="str">
        <f>LOWER(SUBSTITUTE(SUBSTITUTE(SUBSTITUTE(SUBSTITUTE(SUBSTITUTE('Ingest Template'!Y869,"https:",""),"www.",""),"/",""),"?hl=en",""),"instagram.com",""))</f>
        <v/>
      </c>
      <c r="W870" s="34" t="str">
        <f>(IFERROR(vlookup('Ingest Template'!F870,DropDown!D:E,2,false)&amp;'Ingest Template'!C870,""))</f>
        <v/>
      </c>
      <c r="X870" s="25" t="str">
        <f>'Ingest Template'!AA869</f>
        <v/>
      </c>
      <c r="Y870" s="25"/>
      <c r="Z870" s="25"/>
      <c r="AA870" s="25"/>
      <c r="AB870" s="25" t="str">
        <f>'Ingest Template'!T869</f>
        <v/>
      </c>
      <c r="AC870" s="25"/>
      <c r="AD870" s="25" t="str">
        <f>'Ingest Template'!U869</f>
        <v/>
      </c>
      <c r="AE870" s="25" t="str">
        <f>'Ingest Template'!V869</f>
        <v/>
      </c>
      <c r="AF870" s="25"/>
      <c r="AG870" s="25" t="str">
        <f t="array" ref="AG870">IF('Ingest Template'!A869="Standard",(CONCATENATE(IF(ISBLANK('Ingest Template'!O869),"", 'Ingest Template'!O869&amp;"|DAR"),CHAR(10), IF(ISBLANK('Ingest Template'!P869),"", 'Ingest Template'!P869&amp;"|DAR"),CHAR(10), IF(ISBLANK('Ingest Template'!Q869),"", 'Ingest Template'!Q869&amp;"|DAR"))),(CONCATENATE(IF(ISBLANK('Ingest Template'!O869),"", 'Ingest Template'!O869&amp;"|Operations - Core Title"),CHAR(10), IF(ISBLANK('Ingest Template'!P869),"", 'Ingest Template'!P869&amp;"|Operations - Core Title"),CHAR(10), IF(ISBLANK('Ingest Template'!Q869),"", 'Ingest Template'!Q869&amp;"|Operations - Core Title"))))</f>
        <v>#|Operations - Core Title
#videoGame|Operations - Core Title
</v>
      </c>
      <c r="AH870" s="25"/>
      <c r="AI870" s="25"/>
      <c r="AJ870" s="50" t="str">
        <f>if('Ingest Template'!A869="Standard",'Ingest Template'!R869&amp; "|DAR|DAR|2021-01-01",'Ingest Template'!R869&amp; "|Operations - Core Title|Operations - Core Title")</f>
        <v>#N/A</v>
      </c>
      <c r="AK870" s="25"/>
      <c r="AL870" s="25" t="str">
        <f>if('Ingest Template'!A869="Standard",'Ingest Template'!S869&amp; "|2021-01-01",'Ingest Template'!S869)</f>
        <v>#N/A</v>
      </c>
      <c r="AM870" s="25"/>
    </row>
    <row r="871">
      <c r="A871" s="25"/>
      <c r="B871" s="25" t="str">
        <f>'Ingest Template'!C870&amp;IF('Ingest Template'!A870 = "Standard", " - DAR","")</f>
        <v/>
      </c>
      <c r="C871" s="34" t="s">
        <v>92</v>
      </c>
      <c r="D871" s="34" t="str">
        <f>CONCATENATE('Ingest Template'!E871&amp;Char(10)&amp;'Ingest Template'!G871&amp;Char(10)&amp;'Ingest Template'!H871&amp;Char(10)&amp;'Ingest Template'!I871&amp;Char(10)&amp;'Ingest Template'!J871&amp;Char(10)&amp;'Ingest Template'!K871&amp;Char(10)&amp;'Ingest Template'!L871)</f>
        <v>
</v>
      </c>
      <c r="E871" s="25" t="str">
        <f>('Ingest Template'!M871)</f>
        <v/>
      </c>
      <c r="F871" s="40" t="str">
        <f t="array" ref="F871">INDEX(DropDown!$J$2:$J$63,MATCH(1,COUNTIF(E871,DropDown!$I$2:$I$63),0))</f>
        <v>#N/A</v>
      </c>
      <c r="G871" s="25"/>
      <c r="H871" s="25"/>
      <c r="I871" s="25"/>
      <c r="J871" s="25" t="str">
        <f>'Ingest Template'!B871</f>
        <v/>
      </c>
      <c r="K871" s="25" t="str">
        <f>IF('Ingest Template'!A870="Standard",'Ingest Template'!N870,"Competitive View")</f>
        <v>Competitive View</v>
      </c>
      <c r="L871" s="41" t="s">
        <v>145</v>
      </c>
      <c r="M871" s="25" t="str">
        <f>'Ingest Template'!D870</f>
        <v/>
      </c>
      <c r="N871" s="25"/>
      <c r="O871" s="25"/>
      <c r="P871" s="25"/>
      <c r="Q871" s="25"/>
      <c r="R871" s="25" t="str">
        <f>CONCATENATE('Ingest Template'!F870)</f>
        <v/>
      </c>
      <c r="S871" s="43" t="s">
        <v>160</v>
      </c>
      <c r="T871" s="25" t="str">
        <f>'Ingest Template'!W870</f>
        <v/>
      </c>
      <c r="U871" s="25"/>
      <c r="V871" s="25" t="str">
        <f>LOWER(SUBSTITUTE(SUBSTITUTE(SUBSTITUTE(SUBSTITUTE(SUBSTITUTE('Ingest Template'!Y870,"https:",""),"www.",""),"/",""),"?hl=en",""),"instagram.com",""))</f>
        <v/>
      </c>
      <c r="W871" s="34" t="str">
        <f>(IFERROR(vlookup('Ingest Template'!F871,DropDown!D:E,2,false)&amp;'Ingest Template'!C871,""))</f>
        <v/>
      </c>
      <c r="X871" s="25" t="str">
        <f>'Ingest Template'!AA870</f>
        <v/>
      </c>
      <c r="Y871" s="25"/>
      <c r="Z871" s="25"/>
      <c r="AA871" s="25"/>
      <c r="AB871" s="25" t="str">
        <f>'Ingest Template'!T870</f>
        <v/>
      </c>
      <c r="AC871" s="25"/>
      <c r="AD871" s="25" t="str">
        <f>'Ingest Template'!U870</f>
        <v/>
      </c>
      <c r="AE871" s="25" t="str">
        <f>'Ingest Template'!V870</f>
        <v/>
      </c>
      <c r="AF871" s="25"/>
      <c r="AG871" s="25" t="str">
        <f t="array" ref="AG871">IF('Ingest Template'!A870="Standard",(CONCATENATE(IF(ISBLANK('Ingest Template'!O870),"", 'Ingest Template'!O870&amp;"|DAR"),CHAR(10), IF(ISBLANK('Ingest Template'!P870),"", 'Ingest Template'!P870&amp;"|DAR"),CHAR(10), IF(ISBLANK('Ingest Template'!Q870),"", 'Ingest Template'!Q870&amp;"|DAR"))),(CONCATENATE(IF(ISBLANK('Ingest Template'!O870),"", 'Ingest Template'!O870&amp;"|Operations - Core Title"),CHAR(10), IF(ISBLANK('Ingest Template'!P870),"", 'Ingest Template'!P870&amp;"|Operations - Core Title"),CHAR(10), IF(ISBLANK('Ingest Template'!Q870),"", 'Ingest Template'!Q870&amp;"|Operations - Core Title"))))</f>
        <v>#|Operations - Core Title
#videoGame|Operations - Core Title
</v>
      </c>
      <c r="AH871" s="25"/>
      <c r="AI871" s="25"/>
      <c r="AJ871" s="50" t="str">
        <f>if('Ingest Template'!A870="Standard",'Ingest Template'!R870&amp; "|DAR|DAR|2021-01-01",'Ingest Template'!R870&amp; "|Operations - Core Title|Operations - Core Title")</f>
        <v>#N/A</v>
      </c>
      <c r="AK871" s="25"/>
      <c r="AL871" s="25" t="str">
        <f>if('Ingest Template'!A870="Standard",'Ingest Template'!S870&amp; "|2021-01-01",'Ingest Template'!S870)</f>
        <v>#N/A</v>
      </c>
      <c r="AM871" s="25"/>
    </row>
    <row r="872">
      <c r="A872" s="25"/>
      <c r="B872" s="25" t="str">
        <f>'Ingest Template'!C871&amp;IF('Ingest Template'!A871 = "Standard", " - DAR","")</f>
        <v/>
      </c>
      <c r="C872" s="34" t="s">
        <v>92</v>
      </c>
      <c r="D872" s="34" t="str">
        <f>CONCATENATE('Ingest Template'!E872&amp;Char(10)&amp;'Ingest Template'!G872&amp;Char(10)&amp;'Ingest Template'!H872&amp;Char(10)&amp;'Ingest Template'!I872&amp;Char(10)&amp;'Ingest Template'!J872&amp;Char(10)&amp;'Ingest Template'!K872&amp;Char(10)&amp;'Ingest Template'!L872)</f>
        <v>
</v>
      </c>
      <c r="E872" s="25" t="str">
        <f>('Ingest Template'!M872)</f>
        <v/>
      </c>
      <c r="F872" s="40" t="str">
        <f t="array" ref="F872">INDEX(DropDown!$J$2:$J$63,MATCH(1,COUNTIF(E872,DropDown!$I$2:$I$63),0))</f>
        <v>#N/A</v>
      </c>
      <c r="G872" s="25"/>
      <c r="H872" s="25"/>
      <c r="I872" s="25"/>
      <c r="J872" s="25" t="str">
        <f>'Ingest Template'!B872</f>
        <v/>
      </c>
      <c r="K872" s="25" t="str">
        <f>IF('Ingest Template'!A871="Standard",'Ingest Template'!N871,"Competitive View")</f>
        <v>Competitive View</v>
      </c>
      <c r="L872" s="41" t="s">
        <v>145</v>
      </c>
      <c r="M872" s="25" t="str">
        <f>'Ingest Template'!D871</f>
        <v/>
      </c>
      <c r="N872" s="25"/>
      <c r="O872" s="25"/>
      <c r="P872" s="25"/>
      <c r="Q872" s="25"/>
      <c r="R872" s="25" t="str">
        <f>CONCATENATE('Ingest Template'!F871)</f>
        <v/>
      </c>
      <c r="S872" s="43" t="s">
        <v>160</v>
      </c>
      <c r="T872" s="25" t="str">
        <f>'Ingest Template'!W871</f>
        <v/>
      </c>
      <c r="U872" s="25"/>
      <c r="V872" s="25" t="str">
        <f>LOWER(SUBSTITUTE(SUBSTITUTE(SUBSTITUTE(SUBSTITUTE(SUBSTITUTE('Ingest Template'!Y871,"https:",""),"www.",""),"/",""),"?hl=en",""),"instagram.com",""))</f>
        <v/>
      </c>
      <c r="W872" s="34" t="str">
        <f>(IFERROR(vlookup('Ingest Template'!F872,DropDown!D:E,2,false)&amp;'Ingest Template'!C872,""))</f>
        <v/>
      </c>
      <c r="X872" s="25" t="str">
        <f>'Ingest Template'!AA871</f>
        <v/>
      </c>
      <c r="Y872" s="25"/>
      <c r="Z872" s="25"/>
      <c r="AA872" s="25"/>
      <c r="AB872" s="25" t="str">
        <f>'Ingest Template'!T871</f>
        <v/>
      </c>
      <c r="AC872" s="25"/>
      <c r="AD872" s="25" t="str">
        <f>'Ingest Template'!U871</f>
        <v/>
      </c>
      <c r="AE872" s="25" t="str">
        <f>'Ingest Template'!V871</f>
        <v/>
      </c>
      <c r="AF872" s="25"/>
      <c r="AG872" s="25" t="str">
        <f t="array" ref="AG872">IF('Ingest Template'!A871="Standard",(CONCATENATE(IF(ISBLANK('Ingest Template'!O871),"", 'Ingest Template'!O871&amp;"|DAR"),CHAR(10), IF(ISBLANK('Ingest Template'!P871),"", 'Ingest Template'!P871&amp;"|DAR"),CHAR(10), IF(ISBLANK('Ingest Template'!Q871),"", 'Ingest Template'!Q871&amp;"|DAR"))),(CONCATENATE(IF(ISBLANK('Ingest Template'!O871),"", 'Ingest Template'!O871&amp;"|Operations - Core Title"),CHAR(10), IF(ISBLANK('Ingest Template'!P871),"", 'Ingest Template'!P871&amp;"|Operations - Core Title"),CHAR(10), IF(ISBLANK('Ingest Template'!Q871),"", 'Ingest Template'!Q871&amp;"|Operations - Core Title"))))</f>
        <v>#|Operations - Core Title
#videoGame|Operations - Core Title
</v>
      </c>
      <c r="AH872" s="25"/>
      <c r="AI872" s="25"/>
      <c r="AJ872" s="50" t="str">
        <f>if('Ingest Template'!A871="Standard",'Ingest Template'!R871&amp; "|DAR|DAR|2021-01-01",'Ingest Template'!R871&amp; "|Operations - Core Title|Operations - Core Title")</f>
        <v>#N/A</v>
      </c>
      <c r="AK872" s="25"/>
      <c r="AL872" s="25" t="str">
        <f>if('Ingest Template'!A871="Standard",'Ingest Template'!S871&amp; "|2021-01-01",'Ingest Template'!S871)</f>
        <v>#N/A</v>
      </c>
      <c r="AM872" s="25"/>
    </row>
    <row r="873">
      <c r="A873" s="25"/>
      <c r="B873" s="25" t="str">
        <f>'Ingest Template'!C872&amp;IF('Ingest Template'!A872 = "Standard", " - DAR","")</f>
        <v/>
      </c>
      <c r="C873" s="34" t="s">
        <v>92</v>
      </c>
      <c r="D873" s="34" t="str">
        <f>CONCATENATE('Ingest Template'!E873&amp;Char(10)&amp;'Ingest Template'!G873&amp;Char(10)&amp;'Ingest Template'!H873&amp;Char(10)&amp;'Ingest Template'!I873&amp;Char(10)&amp;'Ingest Template'!J873&amp;Char(10)&amp;'Ingest Template'!K873&amp;Char(10)&amp;'Ingest Template'!L873)</f>
        <v>
</v>
      </c>
      <c r="E873" s="25" t="str">
        <f>('Ingest Template'!M873)</f>
        <v/>
      </c>
      <c r="F873" s="40" t="str">
        <f t="array" ref="F873">INDEX(DropDown!$J$2:$J$63,MATCH(1,COUNTIF(E873,DropDown!$I$2:$I$63),0))</f>
        <v>#N/A</v>
      </c>
      <c r="G873" s="25"/>
      <c r="H873" s="25"/>
      <c r="I873" s="25"/>
      <c r="J873" s="25" t="str">
        <f>'Ingest Template'!B873</f>
        <v/>
      </c>
      <c r="K873" s="25" t="str">
        <f>IF('Ingest Template'!A872="Standard",'Ingest Template'!N872,"Competitive View")</f>
        <v>Competitive View</v>
      </c>
      <c r="L873" s="41" t="s">
        <v>145</v>
      </c>
      <c r="M873" s="25" t="str">
        <f>'Ingest Template'!D872</f>
        <v/>
      </c>
      <c r="N873" s="25"/>
      <c r="O873" s="25"/>
      <c r="P873" s="25"/>
      <c r="Q873" s="25"/>
      <c r="R873" s="25" t="str">
        <f>CONCATENATE('Ingest Template'!F872)</f>
        <v/>
      </c>
      <c r="S873" s="43" t="s">
        <v>160</v>
      </c>
      <c r="T873" s="25" t="str">
        <f>'Ingest Template'!W872</f>
        <v/>
      </c>
      <c r="U873" s="25"/>
      <c r="V873" s="25" t="str">
        <f>LOWER(SUBSTITUTE(SUBSTITUTE(SUBSTITUTE(SUBSTITUTE(SUBSTITUTE('Ingest Template'!Y872,"https:",""),"www.",""),"/",""),"?hl=en",""),"instagram.com",""))</f>
        <v/>
      </c>
      <c r="W873" s="34" t="str">
        <f>(IFERROR(vlookup('Ingest Template'!F873,DropDown!D:E,2,false)&amp;'Ingest Template'!C873,""))</f>
        <v/>
      </c>
      <c r="X873" s="25" t="str">
        <f>'Ingest Template'!AA872</f>
        <v/>
      </c>
      <c r="Y873" s="25"/>
      <c r="Z873" s="25"/>
      <c r="AA873" s="25"/>
      <c r="AB873" s="25" t="str">
        <f>'Ingest Template'!T872</f>
        <v/>
      </c>
      <c r="AC873" s="25"/>
      <c r="AD873" s="25" t="str">
        <f>'Ingest Template'!U872</f>
        <v/>
      </c>
      <c r="AE873" s="25" t="str">
        <f>'Ingest Template'!V872</f>
        <v/>
      </c>
      <c r="AF873" s="25"/>
      <c r="AG873" s="25" t="str">
        <f t="array" ref="AG873">IF('Ingest Template'!A872="Standard",(CONCATENATE(IF(ISBLANK('Ingest Template'!O872),"", 'Ingest Template'!O872&amp;"|DAR"),CHAR(10), IF(ISBLANK('Ingest Template'!P872),"", 'Ingest Template'!P872&amp;"|DAR"),CHAR(10), IF(ISBLANK('Ingest Template'!Q872),"", 'Ingest Template'!Q872&amp;"|DAR"))),(CONCATENATE(IF(ISBLANK('Ingest Template'!O872),"", 'Ingest Template'!O872&amp;"|Operations - Core Title"),CHAR(10), IF(ISBLANK('Ingest Template'!P872),"", 'Ingest Template'!P872&amp;"|Operations - Core Title"),CHAR(10), IF(ISBLANK('Ingest Template'!Q872),"", 'Ingest Template'!Q872&amp;"|Operations - Core Title"))))</f>
        <v>#|Operations - Core Title
#videoGame|Operations - Core Title
</v>
      </c>
      <c r="AH873" s="25"/>
      <c r="AI873" s="25"/>
      <c r="AJ873" s="50" t="str">
        <f>if('Ingest Template'!A872="Standard",'Ingest Template'!R872&amp; "|DAR|DAR|2021-01-01",'Ingest Template'!R872&amp; "|Operations - Core Title|Operations - Core Title")</f>
        <v>#N/A</v>
      </c>
      <c r="AK873" s="25"/>
      <c r="AL873" s="25" t="str">
        <f>if('Ingest Template'!A872="Standard",'Ingest Template'!S872&amp; "|2021-01-01",'Ingest Template'!S872)</f>
        <v>#N/A</v>
      </c>
      <c r="AM873" s="25"/>
    </row>
    <row r="874">
      <c r="A874" s="25"/>
      <c r="B874" s="25" t="str">
        <f>'Ingest Template'!C873&amp;IF('Ingest Template'!A873 = "Standard", " - DAR","")</f>
        <v/>
      </c>
      <c r="C874" s="34" t="s">
        <v>92</v>
      </c>
      <c r="D874" s="34" t="str">
        <f>CONCATENATE('Ingest Template'!E874&amp;Char(10)&amp;'Ingest Template'!G874&amp;Char(10)&amp;'Ingest Template'!H874&amp;Char(10)&amp;'Ingest Template'!I874&amp;Char(10)&amp;'Ingest Template'!J874&amp;Char(10)&amp;'Ingest Template'!K874&amp;Char(10)&amp;'Ingest Template'!L874)</f>
        <v>
</v>
      </c>
      <c r="E874" s="25" t="str">
        <f>('Ingest Template'!M874)</f>
        <v/>
      </c>
      <c r="F874" s="40" t="str">
        <f t="array" ref="F874">INDEX(DropDown!$J$2:$J$63,MATCH(1,COUNTIF(E874,DropDown!$I$2:$I$63),0))</f>
        <v>#N/A</v>
      </c>
      <c r="G874" s="25"/>
      <c r="H874" s="25"/>
      <c r="I874" s="25"/>
      <c r="J874" s="25" t="str">
        <f>'Ingest Template'!B874</f>
        <v/>
      </c>
      <c r="K874" s="25" t="str">
        <f>IF('Ingest Template'!A873="Standard",'Ingest Template'!N873,"Competitive View")</f>
        <v>Competitive View</v>
      </c>
      <c r="L874" s="41" t="s">
        <v>145</v>
      </c>
      <c r="M874" s="25" t="str">
        <f>'Ingest Template'!D873</f>
        <v/>
      </c>
      <c r="N874" s="25"/>
      <c r="O874" s="25"/>
      <c r="P874" s="25"/>
      <c r="Q874" s="25"/>
      <c r="R874" s="25" t="str">
        <f>CONCATENATE('Ingest Template'!F873)</f>
        <v/>
      </c>
      <c r="S874" s="43" t="s">
        <v>160</v>
      </c>
      <c r="T874" s="25" t="str">
        <f>'Ingest Template'!W873</f>
        <v/>
      </c>
      <c r="U874" s="25"/>
      <c r="V874" s="25" t="str">
        <f>LOWER(SUBSTITUTE(SUBSTITUTE(SUBSTITUTE(SUBSTITUTE(SUBSTITUTE('Ingest Template'!Y873,"https:",""),"www.",""),"/",""),"?hl=en",""),"instagram.com",""))</f>
        <v/>
      </c>
      <c r="W874" s="34" t="str">
        <f>(IFERROR(vlookup('Ingest Template'!F874,DropDown!D:E,2,false)&amp;'Ingest Template'!C874,""))</f>
        <v/>
      </c>
      <c r="X874" s="25" t="str">
        <f>'Ingest Template'!AA873</f>
        <v/>
      </c>
      <c r="Y874" s="25"/>
      <c r="Z874" s="25"/>
      <c r="AA874" s="25"/>
      <c r="AB874" s="25" t="str">
        <f>'Ingest Template'!T873</f>
        <v/>
      </c>
      <c r="AC874" s="25"/>
      <c r="AD874" s="25" t="str">
        <f>'Ingest Template'!U873</f>
        <v/>
      </c>
      <c r="AE874" s="25" t="str">
        <f>'Ingest Template'!V873</f>
        <v/>
      </c>
      <c r="AF874" s="25"/>
      <c r="AG874" s="25" t="str">
        <f t="array" ref="AG874">IF('Ingest Template'!A873="Standard",(CONCATENATE(IF(ISBLANK('Ingest Template'!O873),"", 'Ingest Template'!O873&amp;"|DAR"),CHAR(10), IF(ISBLANK('Ingest Template'!P873),"", 'Ingest Template'!P873&amp;"|DAR"),CHAR(10), IF(ISBLANK('Ingest Template'!Q873),"", 'Ingest Template'!Q873&amp;"|DAR"))),(CONCATENATE(IF(ISBLANK('Ingest Template'!O873),"", 'Ingest Template'!O873&amp;"|Operations - Core Title"),CHAR(10), IF(ISBLANK('Ingest Template'!P873),"", 'Ingest Template'!P873&amp;"|Operations - Core Title"),CHAR(10), IF(ISBLANK('Ingest Template'!Q873),"", 'Ingest Template'!Q873&amp;"|Operations - Core Title"))))</f>
        <v>#|Operations - Core Title
#videoGame|Operations - Core Title
</v>
      </c>
      <c r="AH874" s="25"/>
      <c r="AI874" s="25"/>
      <c r="AJ874" s="50" t="str">
        <f>if('Ingest Template'!A873="Standard",'Ingest Template'!R873&amp; "|DAR|DAR|2021-01-01",'Ingest Template'!R873&amp; "|Operations - Core Title|Operations - Core Title")</f>
        <v>#N/A</v>
      </c>
      <c r="AK874" s="25"/>
      <c r="AL874" s="25" t="str">
        <f>if('Ingest Template'!A873="Standard",'Ingest Template'!S873&amp; "|2021-01-01",'Ingest Template'!S873)</f>
        <v>#N/A</v>
      </c>
      <c r="AM874" s="25"/>
    </row>
    <row r="875">
      <c r="A875" s="25"/>
      <c r="B875" s="25" t="str">
        <f>'Ingest Template'!C874&amp;IF('Ingest Template'!A874 = "Standard", " - DAR","")</f>
        <v/>
      </c>
      <c r="C875" s="34" t="s">
        <v>92</v>
      </c>
      <c r="D875" s="34" t="str">
        <f>CONCATENATE('Ingest Template'!E875&amp;Char(10)&amp;'Ingest Template'!G875&amp;Char(10)&amp;'Ingest Template'!H875&amp;Char(10)&amp;'Ingest Template'!I875&amp;Char(10)&amp;'Ingest Template'!J875&amp;Char(10)&amp;'Ingest Template'!K875&amp;Char(10)&amp;'Ingest Template'!L875)</f>
        <v>
</v>
      </c>
      <c r="E875" s="25" t="str">
        <f>('Ingest Template'!M875)</f>
        <v/>
      </c>
      <c r="F875" s="40" t="str">
        <f t="array" ref="F875">INDEX(DropDown!$J$2:$J$63,MATCH(1,COUNTIF(E875,DropDown!$I$2:$I$63),0))</f>
        <v>#N/A</v>
      </c>
      <c r="G875" s="25"/>
      <c r="H875" s="25"/>
      <c r="I875" s="25"/>
      <c r="J875" s="25" t="str">
        <f>'Ingest Template'!B875</f>
        <v/>
      </c>
      <c r="K875" s="25" t="str">
        <f>IF('Ingest Template'!A874="Standard",'Ingest Template'!N874,"Competitive View")</f>
        <v>Competitive View</v>
      </c>
      <c r="L875" s="41" t="s">
        <v>145</v>
      </c>
      <c r="M875" s="25" t="str">
        <f>'Ingest Template'!D874</f>
        <v/>
      </c>
      <c r="N875" s="25"/>
      <c r="O875" s="25"/>
      <c r="P875" s="25"/>
      <c r="Q875" s="25"/>
      <c r="R875" s="25" t="str">
        <f>CONCATENATE('Ingest Template'!F874)</f>
        <v/>
      </c>
      <c r="S875" s="43" t="s">
        <v>160</v>
      </c>
      <c r="T875" s="25" t="str">
        <f>'Ingest Template'!W874</f>
        <v/>
      </c>
      <c r="U875" s="25"/>
      <c r="V875" s="25" t="str">
        <f>LOWER(SUBSTITUTE(SUBSTITUTE(SUBSTITUTE(SUBSTITUTE(SUBSTITUTE('Ingest Template'!Y874,"https:",""),"www.",""),"/",""),"?hl=en",""),"instagram.com",""))</f>
        <v/>
      </c>
      <c r="W875" s="34" t="str">
        <f>(IFERROR(vlookup('Ingest Template'!F875,DropDown!D:E,2,false)&amp;'Ingest Template'!C875,""))</f>
        <v/>
      </c>
      <c r="X875" s="25" t="str">
        <f>'Ingest Template'!AA874</f>
        <v/>
      </c>
      <c r="Y875" s="25"/>
      <c r="Z875" s="25"/>
      <c r="AA875" s="25"/>
      <c r="AB875" s="25" t="str">
        <f>'Ingest Template'!T874</f>
        <v/>
      </c>
      <c r="AC875" s="25"/>
      <c r="AD875" s="25" t="str">
        <f>'Ingest Template'!U874</f>
        <v/>
      </c>
      <c r="AE875" s="25" t="str">
        <f>'Ingest Template'!V874</f>
        <v/>
      </c>
      <c r="AF875" s="25"/>
      <c r="AG875" s="25" t="str">
        <f t="array" ref="AG875">IF('Ingest Template'!A874="Standard",(CONCATENATE(IF(ISBLANK('Ingest Template'!O874),"", 'Ingest Template'!O874&amp;"|DAR"),CHAR(10), IF(ISBLANK('Ingest Template'!P874),"", 'Ingest Template'!P874&amp;"|DAR"),CHAR(10), IF(ISBLANK('Ingest Template'!Q874),"", 'Ingest Template'!Q874&amp;"|DAR"))),(CONCATENATE(IF(ISBLANK('Ingest Template'!O874),"", 'Ingest Template'!O874&amp;"|Operations - Core Title"),CHAR(10), IF(ISBLANK('Ingest Template'!P874),"", 'Ingest Template'!P874&amp;"|Operations - Core Title"),CHAR(10), IF(ISBLANK('Ingest Template'!Q874),"", 'Ingest Template'!Q874&amp;"|Operations - Core Title"))))</f>
        <v>#|Operations - Core Title
#videoGame|Operations - Core Title
</v>
      </c>
      <c r="AH875" s="25"/>
      <c r="AI875" s="25"/>
      <c r="AJ875" s="50" t="str">
        <f>if('Ingest Template'!A874="Standard",'Ingest Template'!R874&amp; "|DAR|DAR|2021-01-01",'Ingest Template'!R874&amp; "|Operations - Core Title|Operations - Core Title")</f>
        <v>#N/A</v>
      </c>
      <c r="AK875" s="25"/>
      <c r="AL875" s="25" t="str">
        <f>if('Ingest Template'!A874="Standard",'Ingest Template'!S874&amp; "|2021-01-01",'Ingest Template'!S874)</f>
        <v>#N/A</v>
      </c>
      <c r="AM875" s="25"/>
    </row>
    <row r="876">
      <c r="A876" s="25"/>
      <c r="B876" s="25" t="str">
        <f>'Ingest Template'!C875&amp;IF('Ingest Template'!A875 = "Standard", " - DAR","")</f>
        <v/>
      </c>
      <c r="C876" s="34" t="s">
        <v>92</v>
      </c>
      <c r="D876" s="34" t="str">
        <f>CONCATENATE('Ingest Template'!E876&amp;Char(10)&amp;'Ingest Template'!G876&amp;Char(10)&amp;'Ingest Template'!H876&amp;Char(10)&amp;'Ingest Template'!I876&amp;Char(10)&amp;'Ingest Template'!J876&amp;Char(10)&amp;'Ingest Template'!K876&amp;Char(10)&amp;'Ingest Template'!L876)</f>
        <v>
</v>
      </c>
      <c r="E876" s="25" t="str">
        <f>('Ingest Template'!M876)</f>
        <v/>
      </c>
      <c r="F876" s="40" t="str">
        <f t="array" ref="F876">INDEX(DropDown!$J$2:$J$63,MATCH(1,COUNTIF(E876,DropDown!$I$2:$I$63),0))</f>
        <v>#N/A</v>
      </c>
      <c r="G876" s="25"/>
      <c r="H876" s="25"/>
      <c r="I876" s="25"/>
      <c r="J876" s="25" t="str">
        <f>'Ingest Template'!B876</f>
        <v/>
      </c>
      <c r="K876" s="25" t="str">
        <f>IF('Ingest Template'!A875="Standard",'Ingest Template'!N875,"Competitive View")</f>
        <v>Competitive View</v>
      </c>
      <c r="L876" s="41" t="s">
        <v>145</v>
      </c>
      <c r="M876" s="25" t="str">
        <f>'Ingest Template'!D875</f>
        <v/>
      </c>
      <c r="N876" s="25"/>
      <c r="O876" s="25"/>
      <c r="P876" s="25"/>
      <c r="Q876" s="25"/>
      <c r="R876" s="25" t="str">
        <f>CONCATENATE('Ingest Template'!F875)</f>
        <v/>
      </c>
      <c r="S876" s="43" t="s">
        <v>160</v>
      </c>
      <c r="T876" s="25" t="str">
        <f>'Ingest Template'!W875</f>
        <v/>
      </c>
      <c r="U876" s="25"/>
      <c r="V876" s="25" t="str">
        <f>LOWER(SUBSTITUTE(SUBSTITUTE(SUBSTITUTE(SUBSTITUTE(SUBSTITUTE('Ingest Template'!Y875,"https:",""),"www.",""),"/",""),"?hl=en",""),"instagram.com",""))</f>
        <v/>
      </c>
      <c r="W876" s="34" t="str">
        <f>(IFERROR(vlookup('Ingest Template'!F876,DropDown!D:E,2,false)&amp;'Ingest Template'!C876,""))</f>
        <v/>
      </c>
      <c r="X876" s="25" t="str">
        <f>'Ingest Template'!AA875</f>
        <v/>
      </c>
      <c r="Y876" s="25"/>
      <c r="Z876" s="25"/>
      <c r="AA876" s="25"/>
      <c r="AB876" s="25" t="str">
        <f>'Ingest Template'!T875</f>
        <v/>
      </c>
      <c r="AC876" s="25"/>
      <c r="AD876" s="25" t="str">
        <f>'Ingest Template'!U875</f>
        <v/>
      </c>
      <c r="AE876" s="25" t="str">
        <f>'Ingest Template'!V875</f>
        <v/>
      </c>
      <c r="AF876" s="25"/>
      <c r="AG876" s="25" t="str">
        <f t="array" ref="AG876">IF('Ingest Template'!A875="Standard",(CONCATENATE(IF(ISBLANK('Ingest Template'!O875),"", 'Ingest Template'!O875&amp;"|DAR"),CHAR(10), IF(ISBLANK('Ingest Template'!P875),"", 'Ingest Template'!P875&amp;"|DAR"),CHAR(10), IF(ISBLANK('Ingest Template'!Q875),"", 'Ingest Template'!Q875&amp;"|DAR"))),(CONCATENATE(IF(ISBLANK('Ingest Template'!O875),"", 'Ingest Template'!O875&amp;"|Operations - Core Title"),CHAR(10), IF(ISBLANK('Ingest Template'!P875),"", 'Ingest Template'!P875&amp;"|Operations - Core Title"),CHAR(10), IF(ISBLANK('Ingest Template'!Q875),"", 'Ingest Template'!Q875&amp;"|Operations - Core Title"))))</f>
        <v>#|Operations - Core Title
#videoGame|Operations - Core Title
</v>
      </c>
      <c r="AH876" s="25"/>
      <c r="AI876" s="25"/>
      <c r="AJ876" s="50" t="str">
        <f>if('Ingest Template'!A875="Standard",'Ingest Template'!R875&amp; "|DAR|DAR|2021-01-01",'Ingest Template'!R875&amp; "|Operations - Core Title|Operations - Core Title")</f>
        <v>#N/A</v>
      </c>
      <c r="AK876" s="25"/>
      <c r="AL876" s="25" t="str">
        <f>if('Ingest Template'!A875="Standard",'Ingest Template'!S875&amp; "|2021-01-01",'Ingest Template'!S875)</f>
        <v>#N/A</v>
      </c>
      <c r="AM876" s="25"/>
    </row>
    <row r="877">
      <c r="A877" s="25"/>
      <c r="B877" s="25" t="str">
        <f>'Ingest Template'!C876&amp;IF('Ingest Template'!A876 = "Standard", " - DAR","")</f>
        <v/>
      </c>
      <c r="C877" s="34" t="s">
        <v>92</v>
      </c>
      <c r="D877" s="34" t="str">
        <f>CONCATENATE('Ingest Template'!E877&amp;Char(10)&amp;'Ingest Template'!G877&amp;Char(10)&amp;'Ingest Template'!H877&amp;Char(10)&amp;'Ingest Template'!I877&amp;Char(10)&amp;'Ingest Template'!J877&amp;Char(10)&amp;'Ingest Template'!K877&amp;Char(10)&amp;'Ingest Template'!L877)</f>
        <v>
</v>
      </c>
      <c r="E877" s="25" t="str">
        <f>('Ingest Template'!M877)</f>
        <v/>
      </c>
      <c r="F877" s="40" t="str">
        <f t="array" ref="F877">INDEX(DropDown!$J$2:$J$63,MATCH(1,COUNTIF(E877,DropDown!$I$2:$I$63),0))</f>
        <v>#N/A</v>
      </c>
      <c r="G877" s="25"/>
      <c r="H877" s="25"/>
      <c r="I877" s="25"/>
      <c r="J877" s="25" t="str">
        <f>'Ingest Template'!B877</f>
        <v/>
      </c>
      <c r="K877" s="25" t="str">
        <f>IF('Ingest Template'!A876="Standard",'Ingest Template'!N876,"Competitive View")</f>
        <v>Competitive View</v>
      </c>
      <c r="L877" s="41" t="s">
        <v>145</v>
      </c>
      <c r="M877" s="25" t="str">
        <f>'Ingest Template'!D876</f>
        <v/>
      </c>
      <c r="N877" s="25"/>
      <c r="O877" s="25"/>
      <c r="P877" s="25"/>
      <c r="Q877" s="25"/>
      <c r="R877" s="25" t="str">
        <f>CONCATENATE('Ingest Template'!F876)</f>
        <v/>
      </c>
      <c r="S877" s="43" t="s">
        <v>160</v>
      </c>
      <c r="T877" s="25" t="str">
        <f>'Ingest Template'!W876</f>
        <v/>
      </c>
      <c r="U877" s="25"/>
      <c r="V877" s="25" t="str">
        <f>LOWER(SUBSTITUTE(SUBSTITUTE(SUBSTITUTE(SUBSTITUTE(SUBSTITUTE('Ingest Template'!Y876,"https:",""),"www.",""),"/",""),"?hl=en",""),"instagram.com",""))</f>
        <v/>
      </c>
      <c r="W877" s="34" t="str">
        <f>(IFERROR(vlookup('Ingest Template'!F877,DropDown!D:E,2,false)&amp;'Ingest Template'!C877,""))</f>
        <v/>
      </c>
      <c r="X877" s="25" t="str">
        <f>'Ingest Template'!AA876</f>
        <v/>
      </c>
      <c r="Y877" s="25"/>
      <c r="Z877" s="25"/>
      <c r="AA877" s="25"/>
      <c r="AB877" s="25" t="str">
        <f>'Ingest Template'!T876</f>
        <v/>
      </c>
      <c r="AC877" s="25"/>
      <c r="AD877" s="25" t="str">
        <f>'Ingest Template'!U876</f>
        <v/>
      </c>
      <c r="AE877" s="25" t="str">
        <f>'Ingest Template'!V876</f>
        <v/>
      </c>
      <c r="AF877" s="25"/>
      <c r="AG877" s="25" t="str">
        <f t="array" ref="AG877">IF('Ingest Template'!A876="Standard",(CONCATENATE(IF(ISBLANK('Ingest Template'!O876),"", 'Ingest Template'!O876&amp;"|DAR"),CHAR(10), IF(ISBLANK('Ingest Template'!P876),"", 'Ingest Template'!P876&amp;"|DAR"),CHAR(10), IF(ISBLANK('Ingest Template'!Q876),"", 'Ingest Template'!Q876&amp;"|DAR"))),(CONCATENATE(IF(ISBLANK('Ingest Template'!O876),"", 'Ingest Template'!O876&amp;"|Operations - Core Title"),CHAR(10), IF(ISBLANK('Ingest Template'!P876),"", 'Ingest Template'!P876&amp;"|Operations - Core Title"),CHAR(10), IF(ISBLANK('Ingest Template'!Q876),"", 'Ingest Template'!Q876&amp;"|Operations - Core Title"))))</f>
        <v>#|Operations - Core Title
#videoGame|Operations - Core Title
</v>
      </c>
      <c r="AH877" s="25"/>
      <c r="AI877" s="25"/>
      <c r="AJ877" s="50" t="str">
        <f>if('Ingest Template'!A876="Standard",'Ingest Template'!R876&amp; "|DAR|DAR|2021-01-01",'Ingest Template'!R876&amp; "|Operations - Core Title|Operations - Core Title")</f>
        <v>#N/A</v>
      </c>
      <c r="AK877" s="25"/>
      <c r="AL877" s="25" t="str">
        <f>if('Ingest Template'!A876="Standard",'Ingest Template'!S876&amp; "|2021-01-01",'Ingest Template'!S876)</f>
        <v>#N/A</v>
      </c>
      <c r="AM877" s="25"/>
    </row>
    <row r="878">
      <c r="A878" s="25"/>
      <c r="B878" s="25" t="str">
        <f>'Ingest Template'!C877&amp;IF('Ingest Template'!A877 = "Standard", " - DAR","")</f>
        <v/>
      </c>
      <c r="C878" s="34" t="s">
        <v>92</v>
      </c>
      <c r="D878" s="34" t="str">
        <f>CONCATENATE('Ingest Template'!E878&amp;Char(10)&amp;'Ingest Template'!G878&amp;Char(10)&amp;'Ingest Template'!H878&amp;Char(10)&amp;'Ingest Template'!I878&amp;Char(10)&amp;'Ingest Template'!J878&amp;Char(10)&amp;'Ingest Template'!K878&amp;Char(10)&amp;'Ingest Template'!L878)</f>
        <v>
</v>
      </c>
      <c r="E878" s="25" t="str">
        <f>('Ingest Template'!M878)</f>
        <v/>
      </c>
      <c r="F878" s="40" t="str">
        <f t="array" ref="F878">INDEX(DropDown!$J$2:$J$63,MATCH(1,COUNTIF(E878,DropDown!$I$2:$I$63),0))</f>
        <v>#N/A</v>
      </c>
      <c r="G878" s="25"/>
      <c r="H878" s="25"/>
      <c r="I878" s="25"/>
      <c r="J878" s="25" t="str">
        <f>'Ingest Template'!B878</f>
        <v/>
      </c>
      <c r="K878" s="25" t="str">
        <f>IF('Ingest Template'!A877="Standard",'Ingest Template'!N877,"Competitive View")</f>
        <v>Competitive View</v>
      </c>
      <c r="L878" s="41" t="s">
        <v>145</v>
      </c>
      <c r="M878" s="25" t="str">
        <f>'Ingest Template'!D877</f>
        <v/>
      </c>
      <c r="N878" s="25"/>
      <c r="O878" s="25"/>
      <c r="P878" s="25"/>
      <c r="Q878" s="25"/>
      <c r="R878" s="25" t="str">
        <f>CONCATENATE('Ingest Template'!F877)</f>
        <v/>
      </c>
      <c r="S878" s="43" t="s">
        <v>160</v>
      </c>
      <c r="T878" s="25" t="str">
        <f>'Ingest Template'!W877</f>
        <v/>
      </c>
      <c r="U878" s="25"/>
      <c r="V878" s="25" t="str">
        <f>LOWER(SUBSTITUTE(SUBSTITUTE(SUBSTITUTE(SUBSTITUTE(SUBSTITUTE('Ingest Template'!Y877,"https:",""),"www.",""),"/",""),"?hl=en",""),"instagram.com",""))</f>
        <v/>
      </c>
      <c r="W878" s="34" t="str">
        <f>(IFERROR(vlookup('Ingest Template'!F878,DropDown!D:E,2,false)&amp;'Ingest Template'!C878,""))</f>
        <v/>
      </c>
      <c r="X878" s="25" t="str">
        <f>'Ingest Template'!AA877</f>
        <v/>
      </c>
      <c r="Y878" s="25"/>
      <c r="Z878" s="25"/>
      <c r="AA878" s="25"/>
      <c r="AB878" s="25" t="str">
        <f>'Ingest Template'!T877</f>
        <v/>
      </c>
      <c r="AC878" s="25"/>
      <c r="AD878" s="25" t="str">
        <f>'Ingest Template'!U877</f>
        <v/>
      </c>
      <c r="AE878" s="25" t="str">
        <f>'Ingest Template'!V877</f>
        <v/>
      </c>
      <c r="AF878" s="25"/>
      <c r="AG878" s="25" t="str">
        <f t="array" ref="AG878">IF('Ingest Template'!A877="Standard",(CONCATENATE(IF(ISBLANK('Ingest Template'!O877),"", 'Ingest Template'!O877&amp;"|DAR"),CHAR(10), IF(ISBLANK('Ingest Template'!P877),"", 'Ingest Template'!P877&amp;"|DAR"),CHAR(10), IF(ISBLANK('Ingest Template'!Q877),"", 'Ingest Template'!Q877&amp;"|DAR"))),(CONCATENATE(IF(ISBLANK('Ingest Template'!O877),"", 'Ingest Template'!O877&amp;"|Operations - Core Title"),CHAR(10), IF(ISBLANK('Ingest Template'!P877),"", 'Ingest Template'!P877&amp;"|Operations - Core Title"),CHAR(10), IF(ISBLANK('Ingest Template'!Q877),"", 'Ingest Template'!Q877&amp;"|Operations - Core Title"))))</f>
        <v>#|Operations - Core Title
#videoGame|Operations - Core Title
</v>
      </c>
      <c r="AH878" s="25"/>
      <c r="AI878" s="25"/>
      <c r="AJ878" s="50" t="str">
        <f>if('Ingest Template'!A877="Standard",'Ingest Template'!R877&amp; "|DAR|DAR|2021-01-01",'Ingest Template'!R877&amp; "|Operations - Core Title|Operations - Core Title")</f>
        <v>#N/A</v>
      </c>
      <c r="AK878" s="25"/>
      <c r="AL878" s="25" t="str">
        <f>if('Ingest Template'!A877="Standard",'Ingest Template'!S877&amp; "|2021-01-01",'Ingest Template'!S877)</f>
        <v>#N/A</v>
      </c>
      <c r="AM878" s="25"/>
    </row>
    <row r="879">
      <c r="A879" s="25"/>
      <c r="B879" s="25" t="str">
        <f>'Ingest Template'!C878&amp;IF('Ingest Template'!A878 = "Standard", " - DAR","")</f>
        <v/>
      </c>
      <c r="C879" s="34" t="s">
        <v>92</v>
      </c>
      <c r="D879" s="34" t="str">
        <f>CONCATENATE('Ingest Template'!E879&amp;Char(10)&amp;'Ingest Template'!G879&amp;Char(10)&amp;'Ingest Template'!H879&amp;Char(10)&amp;'Ingest Template'!I879&amp;Char(10)&amp;'Ingest Template'!J879&amp;Char(10)&amp;'Ingest Template'!K879&amp;Char(10)&amp;'Ingest Template'!L879)</f>
        <v>
</v>
      </c>
      <c r="E879" s="25" t="str">
        <f>('Ingest Template'!M879)</f>
        <v/>
      </c>
      <c r="F879" s="40" t="str">
        <f t="array" ref="F879">INDEX(DropDown!$J$2:$J$63,MATCH(1,COUNTIF(E879,DropDown!$I$2:$I$63),0))</f>
        <v>#N/A</v>
      </c>
      <c r="G879" s="25"/>
      <c r="H879" s="25"/>
      <c r="I879" s="25"/>
      <c r="J879" s="25" t="str">
        <f>'Ingest Template'!B879</f>
        <v/>
      </c>
      <c r="K879" s="25" t="str">
        <f>IF('Ingest Template'!A878="Standard",'Ingest Template'!N878,"Competitive View")</f>
        <v>Competitive View</v>
      </c>
      <c r="L879" s="41" t="s">
        <v>145</v>
      </c>
      <c r="M879" s="25" t="str">
        <f>'Ingest Template'!D878</f>
        <v/>
      </c>
      <c r="N879" s="25"/>
      <c r="O879" s="25"/>
      <c r="P879" s="25"/>
      <c r="Q879" s="25"/>
      <c r="R879" s="25" t="str">
        <f>CONCATENATE('Ingest Template'!F878)</f>
        <v/>
      </c>
      <c r="S879" s="43" t="s">
        <v>160</v>
      </c>
      <c r="T879" s="25" t="str">
        <f>'Ingest Template'!W878</f>
        <v/>
      </c>
      <c r="U879" s="25"/>
      <c r="V879" s="25" t="str">
        <f>LOWER(SUBSTITUTE(SUBSTITUTE(SUBSTITUTE(SUBSTITUTE(SUBSTITUTE('Ingest Template'!Y878,"https:",""),"www.",""),"/",""),"?hl=en",""),"instagram.com",""))</f>
        <v/>
      </c>
      <c r="W879" s="34" t="str">
        <f>(IFERROR(vlookup('Ingest Template'!F879,DropDown!D:E,2,false)&amp;'Ingest Template'!C879,""))</f>
        <v/>
      </c>
      <c r="X879" s="25" t="str">
        <f>'Ingest Template'!AA878</f>
        <v/>
      </c>
      <c r="Y879" s="25"/>
      <c r="Z879" s="25"/>
      <c r="AA879" s="25"/>
      <c r="AB879" s="25" t="str">
        <f>'Ingest Template'!T878</f>
        <v/>
      </c>
      <c r="AC879" s="25"/>
      <c r="AD879" s="25" t="str">
        <f>'Ingest Template'!U878</f>
        <v/>
      </c>
      <c r="AE879" s="25" t="str">
        <f>'Ingest Template'!V878</f>
        <v/>
      </c>
      <c r="AF879" s="25"/>
      <c r="AG879" s="25" t="str">
        <f t="array" ref="AG879">IF('Ingest Template'!A878="Standard",(CONCATENATE(IF(ISBLANK('Ingest Template'!O878),"", 'Ingest Template'!O878&amp;"|DAR"),CHAR(10), IF(ISBLANK('Ingest Template'!P878),"", 'Ingest Template'!P878&amp;"|DAR"),CHAR(10), IF(ISBLANK('Ingest Template'!Q878),"", 'Ingest Template'!Q878&amp;"|DAR"))),(CONCATENATE(IF(ISBLANK('Ingest Template'!O878),"", 'Ingest Template'!O878&amp;"|Operations - Core Title"),CHAR(10), IF(ISBLANK('Ingest Template'!P878),"", 'Ingest Template'!P878&amp;"|Operations - Core Title"),CHAR(10), IF(ISBLANK('Ingest Template'!Q878),"", 'Ingest Template'!Q878&amp;"|Operations - Core Title"))))</f>
        <v>#|Operations - Core Title
#videoGame|Operations - Core Title
</v>
      </c>
      <c r="AH879" s="25"/>
      <c r="AI879" s="25"/>
      <c r="AJ879" s="50" t="str">
        <f>if('Ingest Template'!A878="Standard",'Ingest Template'!R878&amp; "|DAR|DAR|2021-01-01",'Ingest Template'!R878&amp; "|Operations - Core Title|Operations - Core Title")</f>
        <v>#N/A</v>
      </c>
      <c r="AK879" s="25"/>
      <c r="AL879" s="25" t="str">
        <f>if('Ingest Template'!A878="Standard",'Ingest Template'!S878&amp; "|2021-01-01",'Ingest Template'!S878)</f>
        <v>#N/A</v>
      </c>
      <c r="AM879" s="25"/>
    </row>
    <row r="880">
      <c r="A880" s="25"/>
      <c r="B880" s="25" t="str">
        <f>'Ingest Template'!C879&amp;IF('Ingest Template'!A879 = "Standard", " - DAR","")</f>
        <v/>
      </c>
      <c r="C880" s="34" t="s">
        <v>92</v>
      </c>
      <c r="D880" s="34" t="str">
        <f>CONCATENATE('Ingest Template'!E880&amp;Char(10)&amp;'Ingest Template'!G880&amp;Char(10)&amp;'Ingest Template'!H880&amp;Char(10)&amp;'Ingest Template'!I880&amp;Char(10)&amp;'Ingest Template'!J880&amp;Char(10)&amp;'Ingest Template'!K880&amp;Char(10)&amp;'Ingest Template'!L880)</f>
        <v>
</v>
      </c>
      <c r="E880" s="25" t="str">
        <f>('Ingest Template'!M880)</f>
        <v/>
      </c>
      <c r="F880" s="40" t="str">
        <f t="array" ref="F880">INDEX(DropDown!$J$2:$J$63,MATCH(1,COUNTIF(E880,DropDown!$I$2:$I$63),0))</f>
        <v>#N/A</v>
      </c>
      <c r="G880" s="25"/>
      <c r="H880" s="25"/>
      <c r="I880" s="25"/>
      <c r="J880" s="25" t="str">
        <f>'Ingest Template'!B880</f>
        <v/>
      </c>
      <c r="K880" s="25" t="str">
        <f>IF('Ingest Template'!A879="Standard",'Ingest Template'!N879,"Competitive View")</f>
        <v>Competitive View</v>
      </c>
      <c r="L880" s="41" t="s">
        <v>145</v>
      </c>
      <c r="M880" s="25" t="str">
        <f>'Ingest Template'!D879</f>
        <v/>
      </c>
      <c r="N880" s="25"/>
      <c r="O880" s="25"/>
      <c r="P880" s="25"/>
      <c r="Q880" s="25"/>
      <c r="R880" s="25" t="str">
        <f>CONCATENATE('Ingest Template'!F879)</f>
        <v/>
      </c>
      <c r="S880" s="43" t="s">
        <v>160</v>
      </c>
      <c r="T880" s="25" t="str">
        <f>'Ingest Template'!W879</f>
        <v/>
      </c>
      <c r="U880" s="25"/>
      <c r="V880" s="25" t="str">
        <f>LOWER(SUBSTITUTE(SUBSTITUTE(SUBSTITUTE(SUBSTITUTE(SUBSTITUTE('Ingest Template'!Y879,"https:",""),"www.",""),"/",""),"?hl=en",""),"instagram.com",""))</f>
        <v/>
      </c>
      <c r="W880" s="34" t="str">
        <f>(IFERROR(vlookup('Ingest Template'!F880,DropDown!D:E,2,false)&amp;'Ingest Template'!C880,""))</f>
        <v/>
      </c>
      <c r="X880" s="25" t="str">
        <f>'Ingest Template'!AA879</f>
        <v/>
      </c>
      <c r="Y880" s="25"/>
      <c r="Z880" s="25"/>
      <c r="AA880" s="25"/>
      <c r="AB880" s="25" t="str">
        <f>'Ingest Template'!T879</f>
        <v/>
      </c>
      <c r="AC880" s="25"/>
      <c r="AD880" s="25" t="str">
        <f>'Ingest Template'!U879</f>
        <v/>
      </c>
      <c r="AE880" s="25" t="str">
        <f>'Ingest Template'!V879</f>
        <v/>
      </c>
      <c r="AF880" s="25"/>
      <c r="AG880" s="25" t="str">
        <f t="array" ref="AG880">IF('Ingest Template'!A879="Standard",(CONCATENATE(IF(ISBLANK('Ingest Template'!O879),"", 'Ingest Template'!O879&amp;"|DAR"),CHAR(10), IF(ISBLANK('Ingest Template'!P879),"", 'Ingest Template'!P879&amp;"|DAR"),CHAR(10), IF(ISBLANK('Ingest Template'!Q879),"", 'Ingest Template'!Q879&amp;"|DAR"))),(CONCATENATE(IF(ISBLANK('Ingest Template'!O879),"", 'Ingest Template'!O879&amp;"|Operations - Core Title"),CHAR(10), IF(ISBLANK('Ingest Template'!P879),"", 'Ingest Template'!P879&amp;"|Operations - Core Title"),CHAR(10), IF(ISBLANK('Ingest Template'!Q879),"", 'Ingest Template'!Q879&amp;"|Operations - Core Title"))))</f>
        <v>#|Operations - Core Title
#videoGame|Operations - Core Title
</v>
      </c>
      <c r="AH880" s="25"/>
      <c r="AI880" s="25"/>
      <c r="AJ880" s="50" t="str">
        <f>if('Ingest Template'!A879="Standard",'Ingest Template'!R879&amp; "|DAR|DAR|2021-01-01",'Ingest Template'!R879&amp; "|Operations - Core Title|Operations - Core Title")</f>
        <v>#N/A</v>
      </c>
      <c r="AK880" s="25"/>
      <c r="AL880" s="25" t="str">
        <f>if('Ingest Template'!A879="Standard",'Ingest Template'!S879&amp; "|2021-01-01",'Ingest Template'!S879)</f>
        <v>#N/A</v>
      </c>
      <c r="AM880" s="25"/>
    </row>
    <row r="881">
      <c r="A881" s="25"/>
      <c r="B881" s="25" t="str">
        <f>'Ingest Template'!C880&amp;IF('Ingest Template'!A880 = "Standard", " - DAR","")</f>
        <v/>
      </c>
      <c r="C881" s="34" t="s">
        <v>92</v>
      </c>
      <c r="D881" s="34" t="str">
        <f>CONCATENATE('Ingest Template'!E881&amp;Char(10)&amp;'Ingest Template'!G881&amp;Char(10)&amp;'Ingest Template'!H881&amp;Char(10)&amp;'Ingest Template'!I881&amp;Char(10)&amp;'Ingest Template'!J881&amp;Char(10)&amp;'Ingest Template'!K881&amp;Char(10)&amp;'Ingest Template'!L881)</f>
        <v>
</v>
      </c>
      <c r="E881" s="25" t="str">
        <f>('Ingest Template'!M881)</f>
        <v/>
      </c>
      <c r="F881" s="40" t="str">
        <f t="array" ref="F881">INDEX(DropDown!$J$2:$J$63,MATCH(1,COUNTIF(E881,DropDown!$I$2:$I$63),0))</f>
        <v>#N/A</v>
      </c>
      <c r="G881" s="25"/>
      <c r="H881" s="25"/>
      <c r="I881" s="25"/>
      <c r="J881" s="25" t="str">
        <f>'Ingest Template'!B881</f>
        <v/>
      </c>
      <c r="K881" s="25" t="str">
        <f>IF('Ingest Template'!A880="Standard",'Ingest Template'!N880,"Competitive View")</f>
        <v>Competitive View</v>
      </c>
      <c r="L881" s="41" t="s">
        <v>145</v>
      </c>
      <c r="M881" s="25" t="str">
        <f>'Ingest Template'!D880</f>
        <v/>
      </c>
      <c r="N881" s="25"/>
      <c r="O881" s="25"/>
      <c r="P881" s="25"/>
      <c r="Q881" s="25"/>
      <c r="R881" s="25" t="str">
        <f>CONCATENATE('Ingest Template'!F880)</f>
        <v/>
      </c>
      <c r="S881" s="43" t="s">
        <v>160</v>
      </c>
      <c r="T881" s="25" t="str">
        <f>'Ingest Template'!W880</f>
        <v/>
      </c>
      <c r="U881" s="25"/>
      <c r="V881" s="25" t="str">
        <f>LOWER(SUBSTITUTE(SUBSTITUTE(SUBSTITUTE(SUBSTITUTE(SUBSTITUTE('Ingest Template'!Y880,"https:",""),"www.",""),"/",""),"?hl=en",""),"instagram.com",""))</f>
        <v/>
      </c>
      <c r="W881" s="34" t="str">
        <f>(IFERROR(vlookup('Ingest Template'!F881,DropDown!D:E,2,false)&amp;'Ingest Template'!C881,""))</f>
        <v/>
      </c>
      <c r="X881" s="25" t="str">
        <f>'Ingest Template'!AA880</f>
        <v/>
      </c>
      <c r="Y881" s="25"/>
      <c r="Z881" s="25"/>
      <c r="AA881" s="25"/>
      <c r="AB881" s="25" t="str">
        <f>'Ingest Template'!T880</f>
        <v/>
      </c>
      <c r="AC881" s="25"/>
      <c r="AD881" s="25" t="str">
        <f>'Ingest Template'!U880</f>
        <v/>
      </c>
      <c r="AE881" s="25" t="str">
        <f>'Ingest Template'!V880</f>
        <v/>
      </c>
      <c r="AF881" s="25"/>
      <c r="AG881" s="25" t="str">
        <f t="array" ref="AG881">IF('Ingest Template'!A880="Standard",(CONCATENATE(IF(ISBLANK('Ingest Template'!O880),"", 'Ingest Template'!O880&amp;"|DAR"),CHAR(10), IF(ISBLANK('Ingest Template'!P880),"", 'Ingest Template'!P880&amp;"|DAR"),CHAR(10), IF(ISBLANK('Ingest Template'!Q880),"", 'Ingest Template'!Q880&amp;"|DAR"))),(CONCATENATE(IF(ISBLANK('Ingest Template'!O880),"", 'Ingest Template'!O880&amp;"|Operations - Core Title"),CHAR(10), IF(ISBLANK('Ingest Template'!P880),"", 'Ingest Template'!P880&amp;"|Operations - Core Title"),CHAR(10), IF(ISBLANK('Ingest Template'!Q880),"", 'Ingest Template'!Q880&amp;"|Operations - Core Title"))))</f>
        <v>#|Operations - Core Title
#videoGame|Operations - Core Title
</v>
      </c>
      <c r="AH881" s="25"/>
      <c r="AI881" s="25"/>
      <c r="AJ881" s="50" t="str">
        <f>if('Ingest Template'!A880="Standard",'Ingest Template'!R880&amp; "|DAR|DAR|2021-01-01",'Ingest Template'!R880&amp; "|Operations - Core Title|Operations - Core Title")</f>
        <v>#N/A</v>
      </c>
      <c r="AK881" s="25"/>
      <c r="AL881" s="25" t="str">
        <f>if('Ingest Template'!A880="Standard",'Ingest Template'!S880&amp; "|2021-01-01",'Ingest Template'!S880)</f>
        <v>#N/A</v>
      </c>
      <c r="AM881" s="25"/>
    </row>
    <row r="882">
      <c r="A882" s="25"/>
      <c r="B882" s="25" t="str">
        <f>'Ingest Template'!C881&amp;IF('Ingest Template'!A881 = "Standard", " - DAR","")</f>
        <v/>
      </c>
      <c r="C882" s="34" t="s">
        <v>92</v>
      </c>
      <c r="D882" s="34" t="str">
        <f>CONCATENATE('Ingest Template'!E882&amp;Char(10)&amp;'Ingest Template'!G882&amp;Char(10)&amp;'Ingest Template'!H882&amp;Char(10)&amp;'Ingest Template'!I882&amp;Char(10)&amp;'Ingest Template'!J882&amp;Char(10)&amp;'Ingest Template'!K882&amp;Char(10)&amp;'Ingest Template'!L882)</f>
        <v>
</v>
      </c>
      <c r="E882" s="25" t="str">
        <f>('Ingest Template'!M882)</f>
        <v/>
      </c>
      <c r="F882" s="40" t="str">
        <f t="array" ref="F882">INDEX(DropDown!$J$2:$J$63,MATCH(1,COUNTIF(E882,DropDown!$I$2:$I$63),0))</f>
        <v>#N/A</v>
      </c>
      <c r="G882" s="25"/>
      <c r="H882" s="25"/>
      <c r="I882" s="25"/>
      <c r="J882" s="25" t="str">
        <f>'Ingest Template'!B882</f>
        <v/>
      </c>
      <c r="K882" s="25" t="str">
        <f>IF('Ingest Template'!A881="Standard",'Ingest Template'!N881,"Competitive View")</f>
        <v>Competitive View</v>
      </c>
      <c r="L882" s="41" t="s">
        <v>145</v>
      </c>
      <c r="M882" s="25" t="str">
        <f>'Ingest Template'!D881</f>
        <v/>
      </c>
      <c r="N882" s="25"/>
      <c r="O882" s="25"/>
      <c r="P882" s="25"/>
      <c r="Q882" s="25"/>
      <c r="R882" s="25" t="str">
        <f>CONCATENATE('Ingest Template'!F881)</f>
        <v/>
      </c>
      <c r="S882" s="43" t="s">
        <v>160</v>
      </c>
      <c r="T882" s="25" t="str">
        <f>'Ingest Template'!W881</f>
        <v/>
      </c>
      <c r="U882" s="25"/>
      <c r="V882" s="25" t="str">
        <f>LOWER(SUBSTITUTE(SUBSTITUTE(SUBSTITUTE(SUBSTITUTE(SUBSTITUTE('Ingest Template'!Y881,"https:",""),"www.",""),"/",""),"?hl=en",""),"instagram.com",""))</f>
        <v/>
      </c>
      <c r="W882" s="34" t="str">
        <f>(IFERROR(vlookup('Ingest Template'!F882,DropDown!D:E,2,false)&amp;'Ingest Template'!C882,""))</f>
        <v/>
      </c>
      <c r="X882" s="25" t="str">
        <f>'Ingest Template'!AA881</f>
        <v/>
      </c>
      <c r="Y882" s="25"/>
      <c r="Z882" s="25"/>
      <c r="AA882" s="25"/>
      <c r="AB882" s="25" t="str">
        <f>'Ingest Template'!T881</f>
        <v/>
      </c>
      <c r="AC882" s="25"/>
      <c r="AD882" s="25" t="str">
        <f>'Ingest Template'!U881</f>
        <v/>
      </c>
      <c r="AE882" s="25" t="str">
        <f>'Ingest Template'!V881</f>
        <v/>
      </c>
      <c r="AF882" s="25"/>
      <c r="AG882" s="25" t="str">
        <f t="array" ref="AG882">IF('Ingest Template'!A881="Standard",(CONCATENATE(IF(ISBLANK('Ingest Template'!O881),"", 'Ingest Template'!O881&amp;"|DAR"),CHAR(10), IF(ISBLANK('Ingest Template'!P881),"", 'Ingest Template'!P881&amp;"|DAR"),CHAR(10), IF(ISBLANK('Ingest Template'!Q881),"", 'Ingest Template'!Q881&amp;"|DAR"))),(CONCATENATE(IF(ISBLANK('Ingest Template'!O881),"", 'Ingest Template'!O881&amp;"|Operations - Core Title"),CHAR(10), IF(ISBLANK('Ingest Template'!P881),"", 'Ingest Template'!P881&amp;"|Operations - Core Title"),CHAR(10), IF(ISBLANK('Ingest Template'!Q881),"", 'Ingest Template'!Q881&amp;"|Operations - Core Title"))))</f>
        <v>#|Operations - Core Title
#videoGame|Operations - Core Title
</v>
      </c>
      <c r="AH882" s="25"/>
      <c r="AI882" s="25"/>
      <c r="AJ882" s="50" t="str">
        <f>if('Ingest Template'!A881="Standard",'Ingest Template'!R881&amp; "|DAR|DAR|2021-01-01",'Ingest Template'!R881&amp; "|Operations - Core Title|Operations - Core Title")</f>
        <v>#N/A</v>
      </c>
      <c r="AK882" s="25"/>
      <c r="AL882" s="25" t="str">
        <f>if('Ingest Template'!A881="Standard",'Ingest Template'!S881&amp; "|2021-01-01",'Ingest Template'!S881)</f>
        <v>#N/A</v>
      </c>
      <c r="AM882" s="25"/>
    </row>
    <row r="883">
      <c r="A883" s="25"/>
      <c r="B883" s="25" t="str">
        <f>'Ingest Template'!C882&amp;IF('Ingest Template'!A882 = "Standard", " - DAR","")</f>
        <v/>
      </c>
      <c r="C883" s="34" t="s">
        <v>92</v>
      </c>
      <c r="D883" s="34" t="str">
        <f>CONCATENATE('Ingest Template'!E883&amp;Char(10)&amp;'Ingest Template'!G883&amp;Char(10)&amp;'Ingest Template'!H883&amp;Char(10)&amp;'Ingest Template'!I883&amp;Char(10)&amp;'Ingest Template'!J883&amp;Char(10)&amp;'Ingest Template'!K883&amp;Char(10)&amp;'Ingest Template'!L883)</f>
        <v>
</v>
      </c>
      <c r="E883" s="25" t="str">
        <f>('Ingest Template'!M883)</f>
        <v/>
      </c>
      <c r="F883" s="40" t="str">
        <f t="array" ref="F883">INDEX(DropDown!$J$2:$J$63,MATCH(1,COUNTIF(E883,DropDown!$I$2:$I$63),0))</f>
        <v>#N/A</v>
      </c>
      <c r="G883" s="25"/>
      <c r="H883" s="25"/>
      <c r="I883" s="25"/>
      <c r="J883" s="25" t="str">
        <f>'Ingest Template'!B883</f>
        <v/>
      </c>
      <c r="K883" s="25" t="str">
        <f>IF('Ingest Template'!A882="Standard",'Ingest Template'!N882,"Competitive View")</f>
        <v>Competitive View</v>
      </c>
      <c r="L883" s="41" t="s">
        <v>145</v>
      </c>
      <c r="M883" s="25" t="str">
        <f>'Ingest Template'!D882</f>
        <v/>
      </c>
      <c r="N883" s="25"/>
      <c r="O883" s="25"/>
      <c r="P883" s="25"/>
      <c r="Q883" s="25"/>
      <c r="R883" s="25" t="str">
        <f>CONCATENATE('Ingest Template'!F882)</f>
        <v/>
      </c>
      <c r="S883" s="43" t="s">
        <v>160</v>
      </c>
      <c r="T883" s="25" t="str">
        <f>'Ingest Template'!W882</f>
        <v/>
      </c>
      <c r="U883" s="25"/>
      <c r="V883" s="25" t="str">
        <f>LOWER(SUBSTITUTE(SUBSTITUTE(SUBSTITUTE(SUBSTITUTE(SUBSTITUTE('Ingest Template'!Y882,"https:",""),"www.",""),"/",""),"?hl=en",""),"instagram.com",""))</f>
        <v/>
      </c>
      <c r="W883" s="34" t="str">
        <f>(IFERROR(vlookup('Ingest Template'!F883,DropDown!D:E,2,false)&amp;'Ingest Template'!C883,""))</f>
        <v/>
      </c>
      <c r="X883" s="25" t="str">
        <f>'Ingest Template'!AA882</f>
        <v/>
      </c>
      <c r="Y883" s="25"/>
      <c r="Z883" s="25"/>
      <c r="AA883" s="25"/>
      <c r="AB883" s="25" t="str">
        <f>'Ingest Template'!T882</f>
        <v/>
      </c>
      <c r="AC883" s="25"/>
      <c r="AD883" s="25" t="str">
        <f>'Ingest Template'!U882</f>
        <v/>
      </c>
      <c r="AE883" s="25" t="str">
        <f>'Ingest Template'!V882</f>
        <v/>
      </c>
      <c r="AF883" s="25"/>
      <c r="AG883" s="25" t="str">
        <f t="array" ref="AG883">IF('Ingest Template'!A882="Standard",(CONCATENATE(IF(ISBLANK('Ingest Template'!O882),"", 'Ingest Template'!O882&amp;"|DAR"),CHAR(10), IF(ISBLANK('Ingest Template'!P882),"", 'Ingest Template'!P882&amp;"|DAR"),CHAR(10), IF(ISBLANK('Ingest Template'!Q882),"", 'Ingest Template'!Q882&amp;"|DAR"))),(CONCATENATE(IF(ISBLANK('Ingest Template'!O882),"", 'Ingest Template'!O882&amp;"|Operations - Core Title"),CHAR(10), IF(ISBLANK('Ingest Template'!P882),"", 'Ingest Template'!P882&amp;"|Operations - Core Title"),CHAR(10), IF(ISBLANK('Ingest Template'!Q882),"", 'Ingest Template'!Q882&amp;"|Operations - Core Title"))))</f>
        <v>#|Operations - Core Title
#videoGame|Operations - Core Title
</v>
      </c>
      <c r="AH883" s="25"/>
      <c r="AI883" s="25"/>
      <c r="AJ883" s="50" t="str">
        <f>if('Ingest Template'!A882="Standard",'Ingest Template'!R882&amp; "|DAR|DAR|2021-01-01",'Ingest Template'!R882&amp; "|Operations - Core Title|Operations - Core Title")</f>
        <v>#N/A</v>
      </c>
      <c r="AK883" s="25"/>
      <c r="AL883" s="25" t="str">
        <f>if('Ingest Template'!A882="Standard",'Ingest Template'!S882&amp; "|2021-01-01",'Ingest Template'!S882)</f>
        <v>#N/A</v>
      </c>
      <c r="AM883" s="25"/>
    </row>
    <row r="884">
      <c r="A884" s="25"/>
      <c r="B884" s="25" t="str">
        <f>'Ingest Template'!C883&amp;IF('Ingest Template'!A883 = "Standard", " - DAR","")</f>
        <v/>
      </c>
      <c r="C884" s="34" t="s">
        <v>92</v>
      </c>
      <c r="D884" s="34" t="str">
        <f>CONCATENATE('Ingest Template'!E884&amp;Char(10)&amp;'Ingest Template'!G884&amp;Char(10)&amp;'Ingest Template'!H884&amp;Char(10)&amp;'Ingest Template'!I884&amp;Char(10)&amp;'Ingest Template'!J884&amp;Char(10)&amp;'Ingest Template'!K884&amp;Char(10)&amp;'Ingest Template'!L884)</f>
        <v>
</v>
      </c>
      <c r="E884" s="25" t="str">
        <f>('Ingest Template'!M884)</f>
        <v/>
      </c>
      <c r="F884" s="40" t="str">
        <f t="array" ref="F884">INDEX(DropDown!$J$2:$J$63,MATCH(1,COUNTIF(E884,DropDown!$I$2:$I$63),0))</f>
        <v>#N/A</v>
      </c>
      <c r="G884" s="25"/>
      <c r="H884" s="25"/>
      <c r="I884" s="25"/>
      <c r="J884" s="25" t="str">
        <f>'Ingest Template'!B884</f>
        <v/>
      </c>
      <c r="K884" s="25" t="str">
        <f>IF('Ingest Template'!A883="Standard",'Ingest Template'!N883,"Competitive View")</f>
        <v>Competitive View</v>
      </c>
      <c r="L884" s="41" t="s">
        <v>145</v>
      </c>
      <c r="M884" s="25" t="str">
        <f>'Ingest Template'!D883</f>
        <v/>
      </c>
      <c r="N884" s="25"/>
      <c r="O884" s="25"/>
      <c r="P884" s="25"/>
      <c r="Q884" s="25"/>
      <c r="R884" s="25" t="str">
        <f>CONCATENATE('Ingest Template'!F883)</f>
        <v/>
      </c>
      <c r="S884" s="43" t="s">
        <v>160</v>
      </c>
      <c r="T884" s="25" t="str">
        <f>'Ingest Template'!W883</f>
        <v/>
      </c>
      <c r="U884" s="25"/>
      <c r="V884" s="25" t="str">
        <f>LOWER(SUBSTITUTE(SUBSTITUTE(SUBSTITUTE(SUBSTITUTE(SUBSTITUTE('Ingest Template'!Y883,"https:",""),"www.",""),"/",""),"?hl=en",""),"instagram.com",""))</f>
        <v/>
      </c>
      <c r="W884" s="34" t="str">
        <f>(IFERROR(vlookup('Ingest Template'!F884,DropDown!D:E,2,false)&amp;'Ingest Template'!C884,""))</f>
        <v/>
      </c>
      <c r="X884" s="25" t="str">
        <f>'Ingest Template'!AA883</f>
        <v/>
      </c>
      <c r="Y884" s="25"/>
      <c r="Z884" s="25"/>
      <c r="AA884" s="25"/>
      <c r="AB884" s="25" t="str">
        <f>'Ingest Template'!T883</f>
        <v/>
      </c>
      <c r="AC884" s="25"/>
      <c r="AD884" s="25" t="str">
        <f>'Ingest Template'!U883</f>
        <v/>
      </c>
      <c r="AE884" s="25" t="str">
        <f>'Ingest Template'!V883</f>
        <v/>
      </c>
      <c r="AF884" s="25"/>
      <c r="AG884" s="25" t="str">
        <f t="array" ref="AG884">IF('Ingest Template'!A883="Standard",(CONCATENATE(IF(ISBLANK('Ingest Template'!O883),"", 'Ingest Template'!O883&amp;"|DAR"),CHAR(10), IF(ISBLANK('Ingest Template'!P883),"", 'Ingest Template'!P883&amp;"|DAR"),CHAR(10), IF(ISBLANK('Ingest Template'!Q883),"", 'Ingest Template'!Q883&amp;"|DAR"))),(CONCATENATE(IF(ISBLANK('Ingest Template'!O883),"", 'Ingest Template'!O883&amp;"|Operations - Core Title"),CHAR(10), IF(ISBLANK('Ingest Template'!P883),"", 'Ingest Template'!P883&amp;"|Operations - Core Title"),CHAR(10), IF(ISBLANK('Ingest Template'!Q883),"", 'Ingest Template'!Q883&amp;"|Operations - Core Title"))))</f>
        <v>#|Operations - Core Title
#videoGame|Operations - Core Title
</v>
      </c>
      <c r="AH884" s="25"/>
      <c r="AI884" s="25"/>
      <c r="AJ884" s="50" t="str">
        <f>if('Ingest Template'!A883="Standard",'Ingest Template'!R883&amp; "|DAR|DAR|2021-01-01",'Ingest Template'!R883&amp; "|Operations - Core Title|Operations - Core Title")</f>
        <v>#N/A</v>
      </c>
      <c r="AK884" s="25"/>
      <c r="AL884" s="25" t="str">
        <f>if('Ingest Template'!A883="Standard",'Ingest Template'!S883&amp; "|2021-01-01",'Ingest Template'!S883)</f>
        <v>#N/A</v>
      </c>
      <c r="AM884" s="25"/>
    </row>
    <row r="885">
      <c r="A885" s="25"/>
      <c r="B885" s="25" t="str">
        <f>'Ingest Template'!C884&amp;IF('Ingest Template'!A884 = "Standard", " - DAR","")</f>
        <v/>
      </c>
      <c r="C885" s="34" t="s">
        <v>92</v>
      </c>
      <c r="D885" s="34" t="str">
        <f>CONCATENATE('Ingest Template'!E885&amp;Char(10)&amp;'Ingest Template'!G885&amp;Char(10)&amp;'Ingest Template'!H885&amp;Char(10)&amp;'Ingest Template'!I885&amp;Char(10)&amp;'Ingest Template'!J885&amp;Char(10)&amp;'Ingest Template'!K885&amp;Char(10)&amp;'Ingest Template'!L885)</f>
        <v>
</v>
      </c>
      <c r="E885" s="25" t="str">
        <f>('Ingest Template'!M885)</f>
        <v/>
      </c>
      <c r="F885" s="40" t="str">
        <f t="array" ref="F885">INDEX(DropDown!$J$2:$J$63,MATCH(1,COUNTIF(E885,DropDown!$I$2:$I$63),0))</f>
        <v>#N/A</v>
      </c>
      <c r="G885" s="25"/>
      <c r="H885" s="25"/>
      <c r="I885" s="25"/>
      <c r="J885" s="25" t="str">
        <f>'Ingest Template'!B885</f>
        <v/>
      </c>
      <c r="K885" s="25" t="str">
        <f>IF('Ingest Template'!A884="Standard",'Ingest Template'!N884,"Competitive View")</f>
        <v>Competitive View</v>
      </c>
      <c r="L885" s="41" t="s">
        <v>145</v>
      </c>
      <c r="M885" s="25" t="str">
        <f>'Ingest Template'!D884</f>
        <v/>
      </c>
      <c r="N885" s="25"/>
      <c r="O885" s="25"/>
      <c r="P885" s="25"/>
      <c r="Q885" s="25"/>
      <c r="R885" s="25" t="str">
        <f>CONCATENATE('Ingest Template'!F884)</f>
        <v/>
      </c>
      <c r="S885" s="43" t="s">
        <v>160</v>
      </c>
      <c r="T885" s="25" t="str">
        <f>'Ingest Template'!W884</f>
        <v/>
      </c>
      <c r="U885" s="25"/>
      <c r="V885" s="25" t="str">
        <f>LOWER(SUBSTITUTE(SUBSTITUTE(SUBSTITUTE(SUBSTITUTE(SUBSTITUTE('Ingest Template'!Y884,"https:",""),"www.",""),"/",""),"?hl=en",""),"instagram.com",""))</f>
        <v/>
      </c>
      <c r="W885" s="34" t="str">
        <f>(IFERROR(vlookup('Ingest Template'!F885,DropDown!D:E,2,false)&amp;'Ingest Template'!C885,""))</f>
        <v/>
      </c>
      <c r="X885" s="25" t="str">
        <f>'Ingest Template'!AA884</f>
        <v/>
      </c>
      <c r="Y885" s="25"/>
      <c r="Z885" s="25"/>
      <c r="AA885" s="25"/>
      <c r="AB885" s="25" t="str">
        <f>'Ingest Template'!T884</f>
        <v/>
      </c>
      <c r="AC885" s="25"/>
      <c r="AD885" s="25" t="str">
        <f>'Ingest Template'!U884</f>
        <v/>
      </c>
      <c r="AE885" s="25" t="str">
        <f>'Ingest Template'!V884</f>
        <v/>
      </c>
      <c r="AF885" s="25"/>
      <c r="AG885" s="25" t="str">
        <f t="array" ref="AG885">IF('Ingest Template'!A884="Standard",(CONCATENATE(IF(ISBLANK('Ingest Template'!O884),"", 'Ingest Template'!O884&amp;"|DAR"),CHAR(10), IF(ISBLANK('Ingest Template'!P884),"", 'Ingest Template'!P884&amp;"|DAR"),CHAR(10), IF(ISBLANK('Ingest Template'!Q884),"", 'Ingest Template'!Q884&amp;"|DAR"))),(CONCATENATE(IF(ISBLANK('Ingest Template'!O884),"", 'Ingest Template'!O884&amp;"|Operations - Core Title"),CHAR(10), IF(ISBLANK('Ingest Template'!P884),"", 'Ingest Template'!P884&amp;"|Operations - Core Title"),CHAR(10), IF(ISBLANK('Ingest Template'!Q884),"", 'Ingest Template'!Q884&amp;"|Operations - Core Title"))))</f>
        <v>#|Operations - Core Title
#videoGame|Operations - Core Title
</v>
      </c>
      <c r="AH885" s="25"/>
      <c r="AI885" s="25"/>
      <c r="AJ885" s="50" t="str">
        <f>if('Ingest Template'!A884="Standard",'Ingest Template'!R884&amp; "|DAR|DAR|2021-01-01",'Ingest Template'!R884&amp; "|Operations - Core Title|Operations - Core Title")</f>
        <v>#N/A</v>
      </c>
      <c r="AK885" s="25"/>
      <c r="AL885" s="25" t="str">
        <f>if('Ingest Template'!A884="Standard",'Ingest Template'!S884&amp; "|2021-01-01",'Ingest Template'!S884)</f>
        <v>#N/A</v>
      </c>
      <c r="AM885" s="25"/>
    </row>
    <row r="886">
      <c r="A886" s="25"/>
      <c r="B886" s="25" t="str">
        <f>'Ingest Template'!C885&amp;IF('Ingest Template'!A885 = "Standard", " - DAR","")</f>
        <v/>
      </c>
      <c r="C886" s="34" t="s">
        <v>92</v>
      </c>
      <c r="D886" s="34" t="str">
        <f>CONCATENATE('Ingest Template'!E886&amp;Char(10)&amp;'Ingest Template'!G886&amp;Char(10)&amp;'Ingest Template'!H886&amp;Char(10)&amp;'Ingest Template'!I886&amp;Char(10)&amp;'Ingest Template'!J886&amp;Char(10)&amp;'Ingest Template'!K886&amp;Char(10)&amp;'Ingest Template'!L886)</f>
        <v>
</v>
      </c>
      <c r="E886" s="25" t="str">
        <f>('Ingest Template'!M886)</f>
        <v/>
      </c>
      <c r="F886" s="40" t="str">
        <f t="array" ref="F886">INDEX(DropDown!$J$2:$J$63,MATCH(1,COUNTIF(E886,DropDown!$I$2:$I$63),0))</f>
        <v>#N/A</v>
      </c>
      <c r="G886" s="25"/>
      <c r="H886" s="25"/>
      <c r="I886" s="25"/>
      <c r="J886" s="25" t="str">
        <f>'Ingest Template'!B886</f>
        <v/>
      </c>
      <c r="K886" s="25" t="str">
        <f>IF('Ingest Template'!A885="Standard",'Ingest Template'!N885,"Competitive View")</f>
        <v>Competitive View</v>
      </c>
      <c r="L886" s="41" t="s">
        <v>145</v>
      </c>
      <c r="M886" s="25" t="str">
        <f>'Ingest Template'!D885</f>
        <v/>
      </c>
      <c r="N886" s="25"/>
      <c r="O886" s="25"/>
      <c r="P886" s="25"/>
      <c r="Q886" s="25"/>
      <c r="R886" s="25" t="str">
        <f>CONCATENATE('Ingest Template'!F885)</f>
        <v/>
      </c>
      <c r="S886" s="43" t="s">
        <v>160</v>
      </c>
      <c r="T886" s="25" t="str">
        <f>'Ingest Template'!W885</f>
        <v/>
      </c>
      <c r="U886" s="25"/>
      <c r="V886" s="25" t="str">
        <f>LOWER(SUBSTITUTE(SUBSTITUTE(SUBSTITUTE(SUBSTITUTE(SUBSTITUTE('Ingest Template'!Y885,"https:",""),"www.",""),"/",""),"?hl=en",""),"instagram.com",""))</f>
        <v/>
      </c>
      <c r="W886" s="34" t="str">
        <f>(IFERROR(vlookup('Ingest Template'!F886,DropDown!D:E,2,false)&amp;'Ingest Template'!C886,""))</f>
        <v/>
      </c>
      <c r="X886" s="25" t="str">
        <f>'Ingest Template'!AA885</f>
        <v/>
      </c>
      <c r="Y886" s="25"/>
      <c r="Z886" s="25"/>
      <c r="AA886" s="25"/>
      <c r="AB886" s="25" t="str">
        <f>'Ingest Template'!T885</f>
        <v/>
      </c>
      <c r="AC886" s="25"/>
      <c r="AD886" s="25" t="str">
        <f>'Ingest Template'!U885</f>
        <v/>
      </c>
      <c r="AE886" s="25" t="str">
        <f>'Ingest Template'!V885</f>
        <v/>
      </c>
      <c r="AF886" s="25"/>
      <c r="AG886" s="25" t="str">
        <f t="array" ref="AG886">IF('Ingest Template'!A885="Standard",(CONCATENATE(IF(ISBLANK('Ingest Template'!O885),"", 'Ingest Template'!O885&amp;"|DAR"),CHAR(10), IF(ISBLANK('Ingest Template'!P885),"", 'Ingest Template'!P885&amp;"|DAR"),CHAR(10), IF(ISBLANK('Ingest Template'!Q885),"", 'Ingest Template'!Q885&amp;"|DAR"))),(CONCATENATE(IF(ISBLANK('Ingest Template'!O885),"", 'Ingest Template'!O885&amp;"|Operations - Core Title"),CHAR(10), IF(ISBLANK('Ingest Template'!P885),"", 'Ingest Template'!P885&amp;"|Operations - Core Title"),CHAR(10), IF(ISBLANK('Ingest Template'!Q885),"", 'Ingest Template'!Q885&amp;"|Operations - Core Title"))))</f>
        <v>#|Operations - Core Title
#videoGame|Operations - Core Title
</v>
      </c>
      <c r="AH886" s="25"/>
      <c r="AI886" s="25"/>
      <c r="AJ886" s="50" t="str">
        <f>if('Ingest Template'!A885="Standard",'Ingest Template'!R885&amp; "|DAR|DAR|2021-01-01",'Ingest Template'!R885&amp; "|Operations - Core Title|Operations - Core Title")</f>
        <v>#N/A</v>
      </c>
      <c r="AK886" s="25"/>
      <c r="AL886" s="25" t="str">
        <f>if('Ingest Template'!A885="Standard",'Ingest Template'!S885&amp; "|2021-01-01",'Ingest Template'!S885)</f>
        <v>#N/A</v>
      </c>
      <c r="AM886" s="25"/>
    </row>
    <row r="887">
      <c r="A887" s="25"/>
      <c r="B887" s="25" t="str">
        <f>'Ingest Template'!C886&amp;IF('Ingest Template'!A886 = "Standard", " - DAR","")</f>
        <v/>
      </c>
      <c r="C887" s="34" t="s">
        <v>92</v>
      </c>
      <c r="D887" s="34" t="str">
        <f>CONCATENATE('Ingest Template'!E887&amp;Char(10)&amp;'Ingest Template'!G887&amp;Char(10)&amp;'Ingest Template'!H887&amp;Char(10)&amp;'Ingest Template'!I887&amp;Char(10)&amp;'Ingest Template'!J887&amp;Char(10)&amp;'Ingest Template'!K887&amp;Char(10)&amp;'Ingest Template'!L887)</f>
        <v>
</v>
      </c>
      <c r="E887" s="25" t="str">
        <f>('Ingest Template'!M887)</f>
        <v/>
      </c>
      <c r="F887" s="40" t="str">
        <f t="array" ref="F887">INDEX(DropDown!$J$2:$J$63,MATCH(1,COUNTIF(E887,DropDown!$I$2:$I$63),0))</f>
        <v>#N/A</v>
      </c>
      <c r="G887" s="25"/>
      <c r="H887" s="25"/>
      <c r="I887" s="25"/>
      <c r="J887" s="25" t="str">
        <f>'Ingest Template'!B887</f>
        <v/>
      </c>
      <c r="K887" s="25" t="str">
        <f>IF('Ingest Template'!A886="Standard",'Ingest Template'!N886,"Competitive View")</f>
        <v>Competitive View</v>
      </c>
      <c r="L887" s="41" t="s">
        <v>145</v>
      </c>
      <c r="M887" s="25" t="str">
        <f>'Ingest Template'!D886</f>
        <v/>
      </c>
      <c r="N887" s="25"/>
      <c r="O887" s="25"/>
      <c r="P887" s="25"/>
      <c r="Q887" s="25"/>
      <c r="R887" s="25" t="str">
        <f>CONCATENATE('Ingest Template'!F886)</f>
        <v/>
      </c>
      <c r="S887" s="43" t="s">
        <v>160</v>
      </c>
      <c r="T887" s="25" t="str">
        <f>'Ingest Template'!W886</f>
        <v/>
      </c>
      <c r="U887" s="25"/>
      <c r="V887" s="25" t="str">
        <f>LOWER(SUBSTITUTE(SUBSTITUTE(SUBSTITUTE(SUBSTITUTE(SUBSTITUTE('Ingest Template'!Y886,"https:",""),"www.",""),"/",""),"?hl=en",""),"instagram.com",""))</f>
        <v/>
      </c>
      <c r="W887" s="34" t="str">
        <f>(IFERROR(vlookup('Ingest Template'!F887,DropDown!D:E,2,false)&amp;'Ingest Template'!C887,""))</f>
        <v/>
      </c>
      <c r="X887" s="25" t="str">
        <f>'Ingest Template'!AA886</f>
        <v/>
      </c>
      <c r="Y887" s="25"/>
      <c r="Z887" s="25"/>
      <c r="AA887" s="25"/>
      <c r="AB887" s="25" t="str">
        <f>'Ingest Template'!T886</f>
        <v/>
      </c>
      <c r="AC887" s="25"/>
      <c r="AD887" s="25" t="str">
        <f>'Ingest Template'!U886</f>
        <v/>
      </c>
      <c r="AE887" s="25" t="str">
        <f>'Ingest Template'!V886</f>
        <v/>
      </c>
      <c r="AF887" s="25"/>
      <c r="AG887" s="25" t="str">
        <f t="array" ref="AG887">IF('Ingest Template'!A886="Standard",(CONCATENATE(IF(ISBLANK('Ingest Template'!O886),"", 'Ingest Template'!O886&amp;"|DAR"),CHAR(10), IF(ISBLANK('Ingest Template'!P886),"", 'Ingest Template'!P886&amp;"|DAR"),CHAR(10), IF(ISBLANK('Ingest Template'!Q886),"", 'Ingest Template'!Q886&amp;"|DAR"))),(CONCATENATE(IF(ISBLANK('Ingest Template'!O886),"", 'Ingest Template'!O886&amp;"|Operations - Core Title"),CHAR(10), IF(ISBLANK('Ingest Template'!P886),"", 'Ingest Template'!P886&amp;"|Operations - Core Title"),CHAR(10), IF(ISBLANK('Ingest Template'!Q886),"", 'Ingest Template'!Q886&amp;"|Operations - Core Title"))))</f>
        <v>#|Operations - Core Title
#videoGame|Operations - Core Title
</v>
      </c>
      <c r="AH887" s="25"/>
      <c r="AI887" s="25"/>
      <c r="AJ887" s="50" t="str">
        <f>if('Ingest Template'!A886="Standard",'Ingest Template'!R886&amp; "|DAR|DAR|2021-01-01",'Ingest Template'!R886&amp; "|Operations - Core Title|Operations - Core Title")</f>
        <v>#N/A</v>
      </c>
      <c r="AK887" s="25"/>
      <c r="AL887" s="25" t="str">
        <f>if('Ingest Template'!A886="Standard",'Ingest Template'!S886&amp; "|2021-01-01",'Ingest Template'!S886)</f>
        <v>#N/A</v>
      </c>
      <c r="AM887" s="25"/>
    </row>
    <row r="888">
      <c r="A888" s="25"/>
      <c r="B888" s="25" t="str">
        <f>'Ingest Template'!C887&amp;IF('Ingest Template'!A887 = "Standard", " - DAR","")</f>
        <v/>
      </c>
      <c r="C888" s="34" t="s">
        <v>92</v>
      </c>
      <c r="D888" s="34" t="str">
        <f>CONCATENATE('Ingest Template'!E888&amp;Char(10)&amp;'Ingest Template'!G888&amp;Char(10)&amp;'Ingest Template'!H888&amp;Char(10)&amp;'Ingest Template'!I888&amp;Char(10)&amp;'Ingest Template'!J888&amp;Char(10)&amp;'Ingest Template'!K888&amp;Char(10)&amp;'Ingest Template'!L888)</f>
        <v>
</v>
      </c>
      <c r="E888" s="25" t="str">
        <f>('Ingest Template'!M888)</f>
        <v/>
      </c>
      <c r="F888" s="40" t="str">
        <f t="array" ref="F888">INDEX(DropDown!$J$2:$J$63,MATCH(1,COUNTIF(E888,DropDown!$I$2:$I$63),0))</f>
        <v>#N/A</v>
      </c>
      <c r="G888" s="25"/>
      <c r="H888" s="25"/>
      <c r="I888" s="25"/>
      <c r="J888" s="25" t="str">
        <f>'Ingest Template'!B888</f>
        <v/>
      </c>
      <c r="K888" s="25" t="str">
        <f>IF('Ingest Template'!A887="Standard",'Ingest Template'!N887,"Competitive View")</f>
        <v>Competitive View</v>
      </c>
      <c r="L888" s="41" t="s">
        <v>145</v>
      </c>
      <c r="M888" s="25" t="str">
        <f>'Ingest Template'!D887</f>
        <v/>
      </c>
      <c r="N888" s="25"/>
      <c r="O888" s="25"/>
      <c r="P888" s="25"/>
      <c r="Q888" s="25"/>
      <c r="R888" s="25" t="str">
        <f>CONCATENATE('Ingest Template'!F887)</f>
        <v/>
      </c>
      <c r="S888" s="43" t="s">
        <v>160</v>
      </c>
      <c r="T888" s="25" t="str">
        <f>'Ingest Template'!W887</f>
        <v/>
      </c>
      <c r="U888" s="25"/>
      <c r="V888" s="25" t="str">
        <f>LOWER(SUBSTITUTE(SUBSTITUTE(SUBSTITUTE(SUBSTITUTE(SUBSTITUTE('Ingest Template'!Y887,"https:",""),"www.",""),"/",""),"?hl=en",""),"instagram.com",""))</f>
        <v/>
      </c>
      <c r="W888" s="34" t="str">
        <f>(IFERROR(vlookup('Ingest Template'!F888,DropDown!D:E,2,false)&amp;'Ingest Template'!C888,""))</f>
        <v/>
      </c>
      <c r="X888" s="25" t="str">
        <f>'Ingest Template'!AA887</f>
        <v/>
      </c>
      <c r="Y888" s="25"/>
      <c r="Z888" s="25"/>
      <c r="AA888" s="25"/>
      <c r="AB888" s="25" t="str">
        <f>'Ingest Template'!T887</f>
        <v/>
      </c>
      <c r="AC888" s="25"/>
      <c r="AD888" s="25" t="str">
        <f>'Ingest Template'!U887</f>
        <v/>
      </c>
      <c r="AE888" s="25" t="str">
        <f>'Ingest Template'!V887</f>
        <v/>
      </c>
      <c r="AF888" s="25"/>
      <c r="AG888" s="25" t="str">
        <f t="array" ref="AG888">IF('Ingest Template'!A887="Standard",(CONCATENATE(IF(ISBLANK('Ingest Template'!O887),"", 'Ingest Template'!O887&amp;"|DAR"),CHAR(10), IF(ISBLANK('Ingest Template'!P887),"", 'Ingest Template'!P887&amp;"|DAR"),CHAR(10), IF(ISBLANK('Ingest Template'!Q887),"", 'Ingest Template'!Q887&amp;"|DAR"))),(CONCATENATE(IF(ISBLANK('Ingest Template'!O887),"", 'Ingest Template'!O887&amp;"|Operations - Core Title"),CHAR(10), IF(ISBLANK('Ingest Template'!P887),"", 'Ingest Template'!P887&amp;"|Operations - Core Title"),CHAR(10), IF(ISBLANK('Ingest Template'!Q887),"", 'Ingest Template'!Q887&amp;"|Operations - Core Title"))))</f>
        <v>#|Operations - Core Title
#videoGame|Operations - Core Title
</v>
      </c>
      <c r="AH888" s="25"/>
      <c r="AI888" s="25"/>
      <c r="AJ888" s="50" t="str">
        <f>if('Ingest Template'!A887="Standard",'Ingest Template'!R887&amp; "|DAR|DAR|2021-01-01",'Ingest Template'!R887&amp; "|Operations - Core Title|Operations - Core Title")</f>
        <v>#N/A</v>
      </c>
      <c r="AK888" s="25"/>
      <c r="AL888" s="25" t="str">
        <f>if('Ingest Template'!A887="Standard",'Ingest Template'!S887&amp; "|2021-01-01",'Ingest Template'!S887)</f>
        <v>#N/A</v>
      </c>
      <c r="AM888" s="25"/>
    </row>
    <row r="889">
      <c r="A889" s="25"/>
      <c r="B889" s="25" t="str">
        <f>'Ingest Template'!C888&amp;IF('Ingest Template'!A888 = "Standard", " - DAR","")</f>
        <v/>
      </c>
      <c r="C889" s="34" t="s">
        <v>92</v>
      </c>
      <c r="D889" s="34" t="str">
        <f>CONCATENATE('Ingest Template'!E889&amp;Char(10)&amp;'Ingest Template'!G889&amp;Char(10)&amp;'Ingest Template'!H889&amp;Char(10)&amp;'Ingest Template'!I889&amp;Char(10)&amp;'Ingest Template'!J889&amp;Char(10)&amp;'Ingest Template'!K889&amp;Char(10)&amp;'Ingest Template'!L889)</f>
        <v>
</v>
      </c>
      <c r="E889" s="25" t="str">
        <f>('Ingest Template'!M889)</f>
        <v/>
      </c>
      <c r="F889" s="40" t="str">
        <f t="array" ref="F889">INDEX(DropDown!$J$2:$J$63,MATCH(1,COUNTIF(E889,DropDown!$I$2:$I$63),0))</f>
        <v>#N/A</v>
      </c>
      <c r="G889" s="25"/>
      <c r="H889" s="25"/>
      <c r="I889" s="25"/>
      <c r="J889" s="25" t="str">
        <f>'Ingest Template'!B889</f>
        <v/>
      </c>
      <c r="K889" s="25" t="str">
        <f>IF('Ingest Template'!A888="Standard",'Ingest Template'!N888,"Competitive View")</f>
        <v>Competitive View</v>
      </c>
      <c r="L889" s="41" t="s">
        <v>145</v>
      </c>
      <c r="M889" s="25" t="str">
        <f>'Ingest Template'!D888</f>
        <v/>
      </c>
      <c r="N889" s="25"/>
      <c r="O889" s="25"/>
      <c r="P889" s="25"/>
      <c r="Q889" s="25"/>
      <c r="R889" s="25" t="str">
        <f>CONCATENATE('Ingest Template'!F888)</f>
        <v/>
      </c>
      <c r="S889" s="43" t="s">
        <v>160</v>
      </c>
      <c r="T889" s="25" t="str">
        <f>'Ingest Template'!W888</f>
        <v/>
      </c>
      <c r="U889" s="25"/>
      <c r="V889" s="25" t="str">
        <f>LOWER(SUBSTITUTE(SUBSTITUTE(SUBSTITUTE(SUBSTITUTE(SUBSTITUTE('Ingest Template'!Y888,"https:",""),"www.",""),"/",""),"?hl=en",""),"instagram.com",""))</f>
        <v/>
      </c>
      <c r="W889" s="34" t="str">
        <f>(IFERROR(vlookup('Ingest Template'!F889,DropDown!D:E,2,false)&amp;'Ingest Template'!C889,""))</f>
        <v/>
      </c>
      <c r="X889" s="25" t="str">
        <f>'Ingest Template'!AA888</f>
        <v/>
      </c>
      <c r="Y889" s="25"/>
      <c r="Z889" s="25"/>
      <c r="AA889" s="25"/>
      <c r="AB889" s="25" t="str">
        <f>'Ingest Template'!T888</f>
        <v/>
      </c>
      <c r="AC889" s="25"/>
      <c r="AD889" s="25" t="str">
        <f>'Ingest Template'!U888</f>
        <v/>
      </c>
      <c r="AE889" s="25" t="str">
        <f>'Ingest Template'!V888</f>
        <v/>
      </c>
      <c r="AF889" s="25"/>
      <c r="AG889" s="25" t="str">
        <f t="array" ref="AG889">IF('Ingest Template'!A888="Standard",(CONCATENATE(IF(ISBLANK('Ingest Template'!O888),"", 'Ingest Template'!O888&amp;"|DAR"),CHAR(10), IF(ISBLANK('Ingest Template'!P888),"", 'Ingest Template'!P888&amp;"|DAR"),CHAR(10), IF(ISBLANK('Ingest Template'!Q888),"", 'Ingest Template'!Q888&amp;"|DAR"))),(CONCATENATE(IF(ISBLANK('Ingest Template'!O888),"", 'Ingest Template'!O888&amp;"|Operations - Core Title"),CHAR(10), IF(ISBLANK('Ingest Template'!P888),"", 'Ingest Template'!P888&amp;"|Operations - Core Title"),CHAR(10), IF(ISBLANK('Ingest Template'!Q888),"", 'Ingest Template'!Q888&amp;"|Operations - Core Title"))))</f>
        <v>#|Operations - Core Title
#videoGame|Operations - Core Title
</v>
      </c>
      <c r="AH889" s="25"/>
      <c r="AI889" s="25"/>
      <c r="AJ889" s="50" t="str">
        <f>if('Ingest Template'!A888="Standard",'Ingest Template'!R888&amp; "|DAR|DAR|2021-01-01",'Ingest Template'!R888&amp; "|Operations - Core Title|Operations - Core Title")</f>
        <v>#N/A</v>
      </c>
      <c r="AK889" s="25"/>
      <c r="AL889" s="25" t="str">
        <f>if('Ingest Template'!A888="Standard",'Ingest Template'!S888&amp; "|2021-01-01",'Ingest Template'!S888)</f>
        <v>#N/A</v>
      </c>
      <c r="AM889" s="25"/>
    </row>
    <row r="890">
      <c r="A890" s="25"/>
      <c r="B890" s="25" t="str">
        <f>'Ingest Template'!C889&amp;IF('Ingest Template'!A889 = "Standard", " - DAR","")</f>
        <v/>
      </c>
      <c r="C890" s="34" t="s">
        <v>92</v>
      </c>
      <c r="D890" s="34" t="str">
        <f>CONCATENATE('Ingest Template'!E890&amp;Char(10)&amp;'Ingest Template'!G890&amp;Char(10)&amp;'Ingest Template'!H890&amp;Char(10)&amp;'Ingest Template'!I890&amp;Char(10)&amp;'Ingest Template'!J890&amp;Char(10)&amp;'Ingest Template'!K890&amp;Char(10)&amp;'Ingest Template'!L890)</f>
        <v>
</v>
      </c>
      <c r="E890" s="25" t="str">
        <f>('Ingest Template'!M890)</f>
        <v/>
      </c>
      <c r="F890" s="40" t="str">
        <f t="array" ref="F890">INDEX(DropDown!$J$2:$J$63,MATCH(1,COUNTIF(E890,DropDown!$I$2:$I$63),0))</f>
        <v>#N/A</v>
      </c>
      <c r="G890" s="25"/>
      <c r="H890" s="25"/>
      <c r="I890" s="25"/>
      <c r="J890" s="25" t="str">
        <f>'Ingest Template'!B890</f>
        <v/>
      </c>
      <c r="K890" s="25" t="str">
        <f>IF('Ingest Template'!A889="Standard",'Ingest Template'!N889,"Competitive View")</f>
        <v>Competitive View</v>
      </c>
      <c r="L890" s="41" t="s">
        <v>145</v>
      </c>
      <c r="M890" s="25" t="str">
        <f>'Ingest Template'!D889</f>
        <v/>
      </c>
      <c r="N890" s="25"/>
      <c r="O890" s="25"/>
      <c r="P890" s="25"/>
      <c r="Q890" s="25"/>
      <c r="R890" s="25" t="str">
        <f>CONCATENATE('Ingest Template'!F889)</f>
        <v/>
      </c>
      <c r="S890" s="43" t="s">
        <v>160</v>
      </c>
      <c r="T890" s="25" t="str">
        <f>'Ingest Template'!W889</f>
        <v/>
      </c>
      <c r="U890" s="25"/>
      <c r="V890" s="25" t="str">
        <f>LOWER(SUBSTITUTE(SUBSTITUTE(SUBSTITUTE(SUBSTITUTE(SUBSTITUTE('Ingest Template'!Y889,"https:",""),"www.",""),"/",""),"?hl=en",""),"instagram.com",""))</f>
        <v/>
      </c>
      <c r="W890" s="34" t="str">
        <f>(IFERROR(vlookup('Ingest Template'!F890,DropDown!D:E,2,false)&amp;'Ingest Template'!C890,""))</f>
        <v/>
      </c>
      <c r="X890" s="25" t="str">
        <f>'Ingest Template'!AA889</f>
        <v/>
      </c>
      <c r="Y890" s="25"/>
      <c r="Z890" s="25"/>
      <c r="AA890" s="25"/>
      <c r="AB890" s="25" t="str">
        <f>'Ingest Template'!T889</f>
        <v/>
      </c>
      <c r="AC890" s="25"/>
      <c r="AD890" s="25" t="str">
        <f>'Ingest Template'!U889</f>
        <v/>
      </c>
      <c r="AE890" s="25" t="str">
        <f>'Ingest Template'!V889</f>
        <v/>
      </c>
      <c r="AF890" s="25"/>
      <c r="AG890" s="25" t="str">
        <f t="array" ref="AG890">IF('Ingest Template'!A889="Standard",(CONCATENATE(IF(ISBLANK('Ingest Template'!O889),"", 'Ingest Template'!O889&amp;"|DAR"),CHAR(10), IF(ISBLANK('Ingest Template'!P889),"", 'Ingest Template'!P889&amp;"|DAR"),CHAR(10), IF(ISBLANK('Ingest Template'!Q889),"", 'Ingest Template'!Q889&amp;"|DAR"))),(CONCATENATE(IF(ISBLANK('Ingest Template'!O889),"", 'Ingest Template'!O889&amp;"|Operations - Core Title"),CHAR(10), IF(ISBLANK('Ingest Template'!P889),"", 'Ingest Template'!P889&amp;"|Operations - Core Title"),CHAR(10), IF(ISBLANK('Ingest Template'!Q889),"", 'Ingest Template'!Q889&amp;"|Operations - Core Title"))))</f>
        <v>#|Operations - Core Title
#videoGame|Operations - Core Title
</v>
      </c>
      <c r="AH890" s="25"/>
      <c r="AI890" s="25"/>
      <c r="AJ890" s="50" t="str">
        <f>if('Ingest Template'!A889="Standard",'Ingest Template'!R889&amp; "|DAR|DAR|2021-01-01",'Ingest Template'!R889&amp; "|Operations - Core Title|Operations - Core Title")</f>
        <v>#N/A</v>
      </c>
      <c r="AK890" s="25"/>
      <c r="AL890" s="25" t="str">
        <f>if('Ingest Template'!A889="Standard",'Ingest Template'!S889&amp; "|2021-01-01",'Ingest Template'!S889)</f>
        <v>#N/A</v>
      </c>
      <c r="AM890" s="25"/>
    </row>
    <row r="891">
      <c r="A891" s="25"/>
      <c r="B891" s="25" t="str">
        <f>'Ingest Template'!C890&amp;IF('Ingest Template'!A890 = "Standard", " - DAR","")</f>
        <v/>
      </c>
      <c r="C891" s="34" t="s">
        <v>92</v>
      </c>
      <c r="D891" s="34" t="str">
        <f>CONCATENATE('Ingest Template'!E891&amp;Char(10)&amp;'Ingest Template'!G891&amp;Char(10)&amp;'Ingest Template'!H891&amp;Char(10)&amp;'Ingest Template'!I891&amp;Char(10)&amp;'Ingest Template'!J891&amp;Char(10)&amp;'Ingest Template'!K891&amp;Char(10)&amp;'Ingest Template'!L891)</f>
        <v>
</v>
      </c>
      <c r="E891" s="25" t="str">
        <f>('Ingest Template'!M891)</f>
        <v/>
      </c>
      <c r="F891" s="40" t="str">
        <f t="array" ref="F891">INDEX(DropDown!$J$2:$J$63,MATCH(1,COUNTIF(E891,DropDown!$I$2:$I$63),0))</f>
        <v>#N/A</v>
      </c>
      <c r="G891" s="25"/>
      <c r="H891" s="25"/>
      <c r="I891" s="25"/>
      <c r="J891" s="25" t="str">
        <f>'Ingest Template'!B891</f>
        <v/>
      </c>
      <c r="K891" s="25" t="str">
        <f>IF('Ingest Template'!A890="Standard",'Ingest Template'!N890,"Competitive View")</f>
        <v>Competitive View</v>
      </c>
      <c r="L891" s="41" t="s">
        <v>145</v>
      </c>
      <c r="M891" s="25" t="str">
        <f>'Ingest Template'!D890</f>
        <v/>
      </c>
      <c r="N891" s="25"/>
      <c r="O891" s="25"/>
      <c r="P891" s="25"/>
      <c r="Q891" s="25"/>
      <c r="R891" s="25" t="str">
        <f>CONCATENATE('Ingest Template'!F890)</f>
        <v/>
      </c>
      <c r="S891" s="43" t="s">
        <v>160</v>
      </c>
      <c r="T891" s="25" t="str">
        <f>'Ingest Template'!W890</f>
        <v/>
      </c>
      <c r="U891" s="25"/>
      <c r="V891" s="25" t="str">
        <f>LOWER(SUBSTITUTE(SUBSTITUTE(SUBSTITUTE(SUBSTITUTE(SUBSTITUTE('Ingest Template'!Y890,"https:",""),"www.",""),"/",""),"?hl=en",""),"instagram.com",""))</f>
        <v/>
      </c>
      <c r="W891" s="34" t="str">
        <f>(IFERROR(vlookup('Ingest Template'!F891,DropDown!D:E,2,false)&amp;'Ingest Template'!C891,""))</f>
        <v/>
      </c>
      <c r="X891" s="25" t="str">
        <f>'Ingest Template'!AA890</f>
        <v/>
      </c>
      <c r="Y891" s="25"/>
      <c r="Z891" s="25"/>
      <c r="AA891" s="25"/>
      <c r="AB891" s="25" t="str">
        <f>'Ingest Template'!T890</f>
        <v/>
      </c>
      <c r="AC891" s="25"/>
      <c r="AD891" s="25" t="str">
        <f>'Ingest Template'!U890</f>
        <v/>
      </c>
      <c r="AE891" s="25" t="str">
        <f>'Ingest Template'!V890</f>
        <v/>
      </c>
      <c r="AF891" s="25"/>
      <c r="AG891" s="25" t="str">
        <f t="array" ref="AG891">IF('Ingest Template'!A890="Standard",(CONCATENATE(IF(ISBLANK('Ingest Template'!O890),"", 'Ingest Template'!O890&amp;"|DAR"),CHAR(10), IF(ISBLANK('Ingest Template'!P890),"", 'Ingest Template'!P890&amp;"|DAR"),CHAR(10), IF(ISBLANK('Ingest Template'!Q890),"", 'Ingest Template'!Q890&amp;"|DAR"))),(CONCATENATE(IF(ISBLANK('Ingest Template'!O890),"", 'Ingest Template'!O890&amp;"|Operations - Core Title"),CHAR(10), IF(ISBLANK('Ingest Template'!P890),"", 'Ingest Template'!P890&amp;"|Operations - Core Title"),CHAR(10), IF(ISBLANK('Ingest Template'!Q890),"", 'Ingest Template'!Q890&amp;"|Operations - Core Title"))))</f>
        <v>#|Operations - Core Title
#videoGame|Operations - Core Title
</v>
      </c>
      <c r="AH891" s="25"/>
      <c r="AI891" s="25"/>
      <c r="AJ891" s="50" t="str">
        <f>if('Ingest Template'!A890="Standard",'Ingest Template'!R890&amp; "|DAR|DAR|2021-01-01",'Ingest Template'!R890&amp; "|Operations - Core Title|Operations - Core Title")</f>
        <v>#N/A</v>
      </c>
      <c r="AK891" s="25"/>
      <c r="AL891" s="25" t="str">
        <f>if('Ingest Template'!A890="Standard",'Ingest Template'!S890&amp; "|2021-01-01",'Ingest Template'!S890)</f>
        <v>#N/A</v>
      </c>
      <c r="AM891" s="25"/>
    </row>
    <row r="892">
      <c r="A892" s="25"/>
      <c r="B892" s="25" t="str">
        <f>'Ingest Template'!C891&amp;IF('Ingest Template'!A891 = "Standard", " - DAR","")</f>
        <v/>
      </c>
      <c r="C892" s="34" t="s">
        <v>92</v>
      </c>
      <c r="D892" s="34" t="str">
        <f>CONCATENATE('Ingest Template'!E892&amp;Char(10)&amp;'Ingest Template'!G892&amp;Char(10)&amp;'Ingest Template'!H892&amp;Char(10)&amp;'Ingest Template'!I892&amp;Char(10)&amp;'Ingest Template'!J892&amp;Char(10)&amp;'Ingest Template'!K892&amp;Char(10)&amp;'Ingest Template'!L892)</f>
        <v>
</v>
      </c>
      <c r="E892" s="25" t="str">
        <f>('Ingest Template'!M892)</f>
        <v/>
      </c>
      <c r="F892" s="40" t="str">
        <f t="array" ref="F892">INDEX(DropDown!$J$2:$J$63,MATCH(1,COUNTIF(E892,DropDown!$I$2:$I$63),0))</f>
        <v>#N/A</v>
      </c>
      <c r="G892" s="25"/>
      <c r="H892" s="25"/>
      <c r="I892" s="25"/>
      <c r="J892" s="25" t="str">
        <f>'Ingest Template'!B892</f>
        <v/>
      </c>
      <c r="K892" s="25" t="str">
        <f>IF('Ingest Template'!A891="Standard",'Ingest Template'!N891,"Competitive View")</f>
        <v>Competitive View</v>
      </c>
      <c r="L892" s="41" t="s">
        <v>145</v>
      </c>
      <c r="M892" s="25" t="str">
        <f>'Ingest Template'!D891</f>
        <v/>
      </c>
      <c r="N892" s="25"/>
      <c r="O892" s="25"/>
      <c r="P892" s="25"/>
      <c r="Q892" s="25"/>
      <c r="R892" s="25" t="str">
        <f>CONCATENATE('Ingest Template'!F891)</f>
        <v/>
      </c>
      <c r="S892" s="43" t="s">
        <v>160</v>
      </c>
      <c r="T892" s="25" t="str">
        <f>'Ingest Template'!W891</f>
        <v/>
      </c>
      <c r="U892" s="25"/>
      <c r="V892" s="25" t="str">
        <f>LOWER(SUBSTITUTE(SUBSTITUTE(SUBSTITUTE(SUBSTITUTE(SUBSTITUTE('Ingest Template'!Y891,"https:",""),"www.",""),"/",""),"?hl=en",""),"instagram.com",""))</f>
        <v/>
      </c>
      <c r="W892" s="34" t="str">
        <f>(IFERROR(vlookup('Ingest Template'!F892,DropDown!D:E,2,false)&amp;'Ingest Template'!C892,""))</f>
        <v/>
      </c>
      <c r="X892" s="25" t="str">
        <f>'Ingest Template'!AA891</f>
        <v/>
      </c>
      <c r="Y892" s="25"/>
      <c r="Z892" s="25"/>
      <c r="AA892" s="25"/>
      <c r="AB892" s="25" t="str">
        <f>'Ingest Template'!T891</f>
        <v/>
      </c>
      <c r="AC892" s="25"/>
      <c r="AD892" s="25" t="str">
        <f>'Ingest Template'!U891</f>
        <v/>
      </c>
      <c r="AE892" s="25" t="str">
        <f>'Ingest Template'!V891</f>
        <v/>
      </c>
      <c r="AF892" s="25"/>
      <c r="AG892" s="25" t="str">
        <f t="array" ref="AG892">IF('Ingest Template'!A891="Standard",(CONCATENATE(IF(ISBLANK('Ingest Template'!O891),"", 'Ingest Template'!O891&amp;"|DAR"),CHAR(10), IF(ISBLANK('Ingest Template'!P891),"", 'Ingest Template'!P891&amp;"|DAR"),CHAR(10), IF(ISBLANK('Ingest Template'!Q891),"", 'Ingest Template'!Q891&amp;"|DAR"))),(CONCATENATE(IF(ISBLANK('Ingest Template'!O891),"", 'Ingest Template'!O891&amp;"|Operations - Core Title"),CHAR(10), IF(ISBLANK('Ingest Template'!P891),"", 'Ingest Template'!P891&amp;"|Operations - Core Title"),CHAR(10), IF(ISBLANK('Ingest Template'!Q891),"", 'Ingest Template'!Q891&amp;"|Operations - Core Title"))))</f>
        <v>#|Operations - Core Title
#videoGame|Operations - Core Title
</v>
      </c>
      <c r="AH892" s="25"/>
      <c r="AI892" s="25"/>
      <c r="AJ892" s="50" t="str">
        <f>if('Ingest Template'!A891="Standard",'Ingest Template'!R891&amp; "|DAR|DAR|2021-01-01",'Ingest Template'!R891&amp; "|Operations - Core Title|Operations - Core Title")</f>
        <v>#N/A</v>
      </c>
      <c r="AK892" s="25"/>
      <c r="AL892" s="25" t="str">
        <f>if('Ingest Template'!A891="Standard",'Ingest Template'!S891&amp; "|2021-01-01",'Ingest Template'!S891)</f>
        <v>#N/A</v>
      </c>
      <c r="AM892" s="25"/>
    </row>
    <row r="893">
      <c r="A893" s="25"/>
      <c r="B893" s="25" t="str">
        <f>'Ingest Template'!C892&amp;IF('Ingest Template'!A892 = "Standard", " - DAR","")</f>
        <v/>
      </c>
      <c r="C893" s="34" t="s">
        <v>92</v>
      </c>
      <c r="D893" s="34" t="str">
        <f>CONCATENATE('Ingest Template'!E893&amp;Char(10)&amp;'Ingest Template'!G893&amp;Char(10)&amp;'Ingest Template'!H893&amp;Char(10)&amp;'Ingest Template'!I893&amp;Char(10)&amp;'Ingest Template'!J893&amp;Char(10)&amp;'Ingest Template'!K893&amp;Char(10)&amp;'Ingest Template'!L893)</f>
        <v>
</v>
      </c>
      <c r="E893" s="25" t="str">
        <f>('Ingest Template'!M893)</f>
        <v/>
      </c>
      <c r="F893" s="40" t="str">
        <f t="array" ref="F893">INDEX(DropDown!$J$2:$J$63,MATCH(1,COUNTIF(E893,DropDown!$I$2:$I$63),0))</f>
        <v>#N/A</v>
      </c>
      <c r="G893" s="25"/>
      <c r="H893" s="25"/>
      <c r="I893" s="25"/>
      <c r="J893" s="25" t="str">
        <f>'Ingest Template'!B893</f>
        <v/>
      </c>
      <c r="K893" s="25" t="str">
        <f>IF('Ingest Template'!A892="Standard",'Ingest Template'!N892,"Competitive View")</f>
        <v>Competitive View</v>
      </c>
      <c r="L893" s="41" t="s">
        <v>145</v>
      </c>
      <c r="M893" s="25" t="str">
        <f>'Ingest Template'!D892</f>
        <v/>
      </c>
      <c r="N893" s="25"/>
      <c r="O893" s="25"/>
      <c r="P893" s="25"/>
      <c r="Q893" s="25"/>
      <c r="R893" s="25" t="str">
        <f>CONCATENATE('Ingest Template'!F892)</f>
        <v/>
      </c>
      <c r="S893" s="43" t="s">
        <v>160</v>
      </c>
      <c r="T893" s="25" t="str">
        <f>'Ingest Template'!W892</f>
        <v/>
      </c>
      <c r="U893" s="25"/>
      <c r="V893" s="25" t="str">
        <f>LOWER(SUBSTITUTE(SUBSTITUTE(SUBSTITUTE(SUBSTITUTE(SUBSTITUTE('Ingest Template'!Y892,"https:",""),"www.",""),"/",""),"?hl=en",""),"instagram.com",""))</f>
        <v/>
      </c>
      <c r="W893" s="34" t="str">
        <f>(IFERROR(vlookup('Ingest Template'!F893,DropDown!D:E,2,false)&amp;'Ingest Template'!C893,""))</f>
        <v/>
      </c>
      <c r="X893" s="25" t="str">
        <f>'Ingest Template'!AA892</f>
        <v/>
      </c>
      <c r="Y893" s="25"/>
      <c r="Z893" s="25"/>
      <c r="AA893" s="25"/>
      <c r="AB893" s="25" t="str">
        <f>'Ingest Template'!T892</f>
        <v/>
      </c>
      <c r="AC893" s="25"/>
      <c r="AD893" s="25" t="str">
        <f>'Ingest Template'!U892</f>
        <v/>
      </c>
      <c r="AE893" s="25" t="str">
        <f>'Ingest Template'!V892</f>
        <v/>
      </c>
      <c r="AF893" s="25"/>
      <c r="AG893" s="25" t="str">
        <f t="array" ref="AG893">IF('Ingest Template'!A892="Standard",(CONCATENATE(IF(ISBLANK('Ingest Template'!O892),"", 'Ingest Template'!O892&amp;"|DAR"),CHAR(10), IF(ISBLANK('Ingest Template'!P892),"", 'Ingest Template'!P892&amp;"|DAR"),CHAR(10), IF(ISBLANK('Ingest Template'!Q892),"", 'Ingest Template'!Q892&amp;"|DAR"))),(CONCATENATE(IF(ISBLANK('Ingest Template'!O892),"", 'Ingest Template'!O892&amp;"|Operations - Core Title"),CHAR(10), IF(ISBLANK('Ingest Template'!P892),"", 'Ingest Template'!P892&amp;"|Operations - Core Title"),CHAR(10), IF(ISBLANK('Ingest Template'!Q892),"", 'Ingest Template'!Q892&amp;"|Operations - Core Title"))))</f>
        <v>#|Operations - Core Title
#videoGame|Operations - Core Title
</v>
      </c>
      <c r="AH893" s="25"/>
      <c r="AI893" s="25"/>
      <c r="AJ893" s="50" t="str">
        <f>if('Ingest Template'!A892="Standard",'Ingest Template'!R892&amp; "|DAR|DAR|2021-01-01",'Ingest Template'!R892&amp; "|Operations - Core Title|Operations - Core Title")</f>
        <v>#N/A</v>
      </c>
      <c r="AK893" s="25"/>
      <c r="AL893" s="25" t="str">
        <f>if('Ingest Template'!A892="Standard",'Ingest Template'!S892&amp; "|2021-01-01",'Ingest Template'!S892)</f>
        <v>#N/A</v>
      </c>
      <c r="AM893" s="25"/>
    </row>
    <row r="894">
      <c r="A894" s="25"/>
      <c r="B894" s="25" t="str">
        <f>'Ingest Template'!C893&amp;IF('Ingest Template'!A893 = "Standard", " - DAR","")</f>
        <v/>
      </c>
      <c r="C894" s="34" t="s">
        <v>92</v>
      </c>
      <c r="D894" s="34" t="str">
        <f>CONCATENATE('Ingest Template'!E894&amp;Char(10)&amp;'Ingest Template'!G894&amp;Char(10)&amp;'Ingest Template'!H894&amp;Char(10)&amp;'Ingest Template'!I894&amp;Char(10)&amp;'Ingest Template'!J894&amp;Char(10)&amp;'Ingest Template'!K894&amp;Char(10)&amp;'Ingest Template'!L894)</f>
        <v>
</v>
      </c>
      <c r="E894" s="25" t="str">
        <f>('Ingest Template'!M894)</f>
        <v/>
      </c>
      <c r="F894" s="40" t="str">
        <f t="array" ref="F894">INDEX(DropDown!$J$2:$J$63,MATCH(1,COUNTIF(E894,DropDown!$I$2:$I$63),0))</f>
        <v>#N/A</v>
      </c>
      <c r="G894" s="25"/>
      <c r="H894" s="25"/>
      <c r="I894" s="25"/>
      <c r="J894" s="25" t="str">
        <f>'Ingest Template'!B894</f>
        <v/>
      </c>
      <c r="K894" s="25" t="str">
        <f>IF('Ingest Template'!A893="Standard",'Ingest Template'!N893,"Competitive View")</f>
        <v>Competitive View</v>
      </c>
      <c r="L894" s="41" t="s">
        <v>145</v>
      </c>
      <c r="M894" s="25" t="str">
        <f>'Ingest Template'!D893</f>
        <v/>
      </c>
      <c r="N894" s="25"/>
      <c r="O894" s="25"/>
      <c r="P894" s="25"/>
      <c r="Q894" s="25"/>
      <c r="R894" s="25" t="str">
        <f>CONCATENATE('Ingest Template'!F893)</f>
        <v/>
      </c>
      <c r="S894" s="43" t="s">
        <v>160</v>
      </c>
      <c r="T894" s="25" t="str">
        <f>'Ingest Template'!W893</f>
        <v/>
      </c>
      <c r="U894" s="25"/>
      <c r="V894" s="25" t="str">
        <f>LOWER(SUBSTITUTE(SUBSTITUTE(SUBSTITUTE(SUBSTITUTE(SUBSTITUTE('Ingest Template'!Y893,"https:",""),"www.",""),"/",""),"?hl=en",""),"instagram.com",""))</f>
        <v/>
      </c>
      <c r="W894" s="34" t="str">
        <f>(IFERROR(vlookup('Ingest Template'!F894,DropDown!D:E,2,false)&amp;'Ingest Template'!C894,""))</f>
        <v/>
      </c>
      <c r="X894" s="25" t="str">
        <f>'Ingest Template'!AA893</f>
        <v/>
      </c>
      <c r="Y894" s="25"/>
      <c r="Z894" s="25"/>
      <c r="AA894" s="25"/>
      <c r="AB894" s="25" t="str">
        <f>'Ingest Template'!T893</f>
        <v/>
      </c>
      <c r="AC894" s="25"/>
      <c r="AD894" s="25" t="str">
        <f>'Ingest Template'!U893</f>
        <v/>
      </c>
      <c r="AE894" s="25" t="str">
        <f>'Ingest Template'!V893</f>
        <v/>
      </c>
      <c r="AF894" s="25"/>
      <c r="AG894" s="25" t="str">
        <f t="array" ref="AG894">IF('Ingest Template'!A893="Standard",(CONCATENATE(IF(ISBLANK('Ingest Template'!O893),"", 'Ingest Template'!O893&amp;"|DAR"),CHAR(10), IF(ISBLANK('Ingest Template'!P893),"", 'Ingest Template'!P893&amp;"|DAR"),CHAR(10), IF(ISBLANK('Ingest Template'!Q893),"", 'Ingest Template'!Q893&amp;"|DAR"))),(CONCATENATE(IF(ISBLANK('Ingest Template'!O893),"", 'Ingest Template'!O893&amp;"|Operations - Core Title"),CHAR(10), IF(ISBLANK('Ingest Template'!P893),"", 'Ingest Template'!P893&amp;"|Operations - Core Title"),CHAR(10), IF(ISBLANK('Ingest Template'!Q893),"", 'Ingest Template'!Q893&amp;"|Operations - Core Title"))))</f>
        <v>#|Operations - Core Title
#videoGame|Operations - Core Title
</v>
      </c>
      <c r="AH894" s="25"/>
      <c r="AI894" s="25"/>
      <c r="AJ894" s="50" t="str">
        <f>if('Ingest Template'!A893="Standard",'Ingest Template'!R893&amp; "|DAR|DAR|2021-01-01",'Ingest Template'!R893&amp; "|Operations - Core Title|Operations - Core Title")</f>
        <v>#N/A</v>
      </c>
      <c r="AK894" s="25"/>
      <c r="AL894" s="25" t="str">
        <f>if('Ingest Template'!A893="Standard",'Ingest Template'!S893&amp; "|2021-01-01",'Ingest Template'!S893)</f>
        <v>#N/A</v>
      </c>
      <c r="AM894" s="25"/>
    </row>
    <row r="895">
      <c r="A895" s="25"/>
      <c r="B895" s="25" t="str">
        <f>'Ingest Template'!C894&amp;IF('Ingest Template'!A894 = "Standard", " - DAR","")</f>
        <v/>
      </c>
      <c r="C895" s="34" t="s">
        <v>92</v>
      </c>
      <c r="D895" s="34" t="str">
        <f>CONCATENATE('Ingest Template'!E895&amp;Char(10)&amp;'Ingest Template'!G895&amp;Char(10)&amp;'Ingest Template'!H895&amp;Char(10)&amp;'Ingest Template'!I895&amp;Char(10)&amp;'Ingest Template'!J895&amp;Char(10)&amp;'Ingest Template'!K895&amp;Char(10)&amp;'Ingest Template'!L895)</f>
        <v>
</v>
      </c>
      <c r="E895" s="25" t="str">
        <f>('Ingest Template'!M895)</f>
        <v/>
      </c>
      <c r="F895" s="40" t="str">
        <f t="array" ref="F895">INDEX(DropDown!$J$2:$J$63,MATCH(1,COUNTIF(E895,DropDown!$I$2:$I$63),0))</f>
        <v>#N/A</v>
      </c>
      <c r="G895" s="25"/>
      <c r="H895" s="25"/>
      <c r="I895" s="25"/>
      <c r="J895" s="25" t="str">
        <f>'Ingest Template'!B895</f>
        <v/>
      </c>
      <c r="K895" s="25" t="str">
        <f>IF('Ingest Template'!A894="Standard",'Ingest Template'!N894,"Competitive View")</f>
        <v>Competitive View</v>
      </c>
      <c r="L895" s="41" t="s">
        <v>145</v>
      </c>
      <c r="M895" s="25" t="str">
        <f>'Ingest Template'!D894</f>
        <v/>
      </c>
      <c r="N895" s="25"/>
      <c r="O895" s="25"/>
      <c r="P895" s="25"/>
      <c r="Q895" s="25"/>
      <c r="R895" s="25" t="str">
        <f>CONCATENATE('Ingest Template'!F894)</f>
        <v/>
      </c>
      <c r="S895" s="43" t="s">
        <v>160</v>
      </c>
      <c r="T895" s="25" t="str">
        <f>'Ingest Template'!W894</f>
        <v/>
      </c>
      <c r="U895" s="25"/>
      <c r="V895" s="25" t="str">
        <f>LOWER(SUBSTITUTE(SUBSTITUTE(SUBSTITUTE(SUBSTITUTE(SUBSTITUTE('Ingest Template'!Y894,"https:",""),"www.",""),"/",""),"?hl=en",""),"instagram.com",""))</f>
        <v/>
      </c>
      <c r="W895" s="34" t="str">
        <f>(IFERROR(vlookup('Ingest Template'!F895,DropDown!D:E,2,false)&amp;'Ingest Template'!C895,""))</f>
        <v/>
      </c>
      <c r="X895" s="25" t="str">
        <f>'Ingest Template'!AA894</f>
        <v/>
      </c>
      <c r="Y895" s="25"/>
      <c r="Z895" s="25"/>
      <c r="AA895" s="25"/>
      <c r="AB895" s="25" t="str">
        <f>'Ingest Template'!T894</f>
        <v/>
      </c>
      <c r="AC895" s="25"/>
      <c r="AD895" s="25" t="str">
        <f>'Ingest Template'!U894</f>
        <v/>
      </c>
      <c r="AE895" s="25" t="str">
        <f>'Ingest Template'!V894</f>
        <v/>
      </c>
      <c r="AF895" s="25"/>
      <c r="AG895" s="25" t="str">
        <f t="array" ref="AG895">IF('Ingest Template'!A894="Standard",(CONCATENATE(IF(ISBLANK('Ingest Template'!O894),"", 'Ingest Template'!O894&amp;"|DAR"),CHAR(10), IF(ISBLANK('Ingest Template'!P894),"", 'Ingest Template'!P894&amp;"|DAR"),CHAR(10), IF(ISBLANK('Ingest Template'!Q894),"", 'Ingest Template'!Q894&amp;"|DAR"))),(CONCATENATE(IF(ISBLANK('Ingest Template'!O894),"", 'Ingest Template'!O894&amp;"|Operations - Core Title"),CHAR(10), IF(ISBLANK('Ingest Template'!P894),"", 'Ingest Template'!P894&amp;"|Operations - Core Title"),CHAR(10), IF(ISBLANK('Ingest Template'!Q894),"", 'Ingest Template'!Q894&amp;"|Operations - Core Title"))))</f>
        <v>#|Operations - Core Title
#videoGame|Operations - Core Title
</v>
      </c>
      <c r="AH895" s="25"/>
      <c r="AI895" s="25"/>
      <c r="AJ895" s="50" t="str">
        <f>if('Ingest Template'!A894="Standard",'Ingest Template'!R894&amp; "|DAR|DAR|2021-01-01",'Ingest Template'!R894&amp; "|Operations - Core Title|Operations - Core Title")</f>
        <v>#N/A</v>
      </c>
      <c r="AK895" s="25"/>
      <c r="AL895" s="25" t="str">
        <f>if('Ingest Template'!A894="Standard",'Ingest Template'!S894&amp; "|2021-01-01",'Ingest Template'!S894)</f>
        <v>#N/A</v>
      </c>
      <c r="AM895" s="25"/>
    </row>
    <row r="896">
      <c r="A896" s="25"/>
      <c r="B896" s="25" t="str">
        <f>'Ingest Template'!C895&amp;IF('Ingest Template'!A895 = "Standard", " - DAR","")</f>
        <v/>
      </c>
      <c r="C896" s="34" t="s">
        <v>92</v>
      </c>
      <c r="D896" s="34" t="str">
        <f>CONCATENATE('Ingest Template'!E896&amp;Char(10)&amp;'Ingest Template'!G896&amp;Char(10)&amp;'Ingest Template'!H896&amp;Char(10)&amp;'Ingest Template'!I896&amp;Char(10)&amp;'Ingest Template'!J896&amp;Char(10)&amp;'Ingest Template'!K896&amp;Char(10)&amp;'Ingest Template'!L896)</f>
        <v>
</v>
      </c>
      <c r="E896" s="25" t="str">
        <f>('Ingest Template'!M896)</f>
        <v/>
      </c>
      <c r="F896" s="40" t="str">
        <f t="array" ref="F896">INDEX(DropDown!$J$2:$J$63,MATCH(1,COUNTIF(E896,DropDown!$I$2:$I$63),0))</f>
        <v>#N/A</v>
      </c>
      <c r="G896" s="25"/>
      <c r="H896" s="25"/>
      <c r="I896" s="25"/>
      <c r="J896" s="25" t="str">
        <f>'Ingest Template'!B896</f>
        <v/>
      </c>
      <c r="K896" s="25" t="str">
        <f>IF('Ingest Template'!A895="Standard",'Ingest Template'!N895,"Competitive View")</f>
        <v>Competitive View</v>
      </c>
      <c r="L896" s="41" t="s">
        <v>145</v>
      </c>
      <c r="M896" s="25" t="str">
        <f>'Ingest Template'!D895</f>
        <v/>
      </c>
      <c r="N896" s="25"/>
      <c r="O896" s="25"/>
      <c r="P896" s="25"/>
      <c r="Q896" s="25"/>
      <c r="R896" s="25" t="str">
        <f>CONCATENATE('Ingest Template'!F895)</f>
        <v/>
      </c>
      <c r="S896" s="43" t="s">
        <v>160</v>
      </c>
      <c r="T896" s="25" t="str">
        <f>'Ingest Template'!W895</f>
        <v/>
      </c>
      <c r="U896" s="25"/>
      <c r="V896" s="25" t="str">
        <f>LOWER(SUBSTITUTE(SUBSTITUTE(SUBSTITUTE(SUBSTITUTE(SUBSTITUTE('Ingest Template'!Y895,"https:",""),"www.",""),"/",""),"?hl=en",""),"instagram.com",""))</f>
        <v/>
      </c>
      <c r="W896" s="34" t="str">
        <f>(IFERROR(vlookup('Ingest Template'!F896,DropDown!D:E,2,false)&amp;'Ingest Template'!C896,""))</f>
        <v/>
      </c>
      <c r="X896" s="25" t="str">
        <f>'Ingest Template'!AA895</f>
        <v/>
      </c>
      <c r="Y896" s="25"/>
      <c r="Z896" s="25"/>
      <c r="AA896" s="25"/>
      <c r="AB896" s="25" t="str">
        <f>'Ingest Template'!T895</f>
        <v/>
      </c>
      <c r="AC896" s="25"/>
      <c r="AD896" s="25" t="str">
        <f>'Ingest Template'!U895</f>
        <v/>
      </c>
      <c r="AE896" s="25" t="str">
        <f>'Ingest Template'!V895</f>
        <v/>
      </c>
      <c r="AF896" s="25"/>
      <c r="AG896" s="25" t="str">
        <f t="array" ref="AG896">IF('Ingest Template'!A895="Standard",(CONCATENATE(IF(ISBLANK('Ingest Template'!O895),"", 'Ingest Template'!O895&amp;"|DAR"),CHAR(10), IF(ISBLANK('Ingest Template'!P895),"", 'Ingest Template'!P895&amp;"|DAR"),CHAR(10), IF(ISBLANK('Ingest Template'!Q895),"", 'Ingest Template'!Q895&amp;"|DAR"))),(CONCATENATE(IF(ISBLANK('Ingest Template'!O895),"", 'Ingest Template'!O895&amp;"|Operations - Core Title"),CHAR(10), IF(ISBLANK('Ingest Template'!P895),"", 'Ingest Template'!P895&amp;"|Operations - Core Title"),CHAR(10), IF(ISBLANK('Ingest Template'!Q895),"", 'Ingest Template'!Q895&amp;"|Operations - Core Title"))))</f>
        <v>#|Operations - Core Title
#videoGame|Operations - Core Title
</v>
      </c>
      <c r="AH896" s="25"/>
      <c r="AI896" s="25"/>
      <c r="AJ896" s="50" t="str">
        <f>if('Ingest Template'!A895="Standard",'Ingest Template'!R895&amp; "|DAR|DAR|2021-01-01",'Ingest Template'!R895&amp; "|Operations - Core Title|Operations - Core Title")</f>
        <v>#N/A</v>
      </c>
      <c r="AK896" s="25"/>
      <c r="AL896" s="25" t="str">
        <f>if('Ingest Template'!A895="Standard",'Ingest Template'!S895&amp; "|2021-01-01",'Ingest Template'!S895)</f>
        <v>#N/A</v>
      </c>
      <c r="AM896" s="25"/>
    </row>
    <row r="897">
      <c r="A897" s="25"/>
      <c r="B897" s="25" t="str">
        <f>'Ingest Template'!C896&amp;IF('Ingest Template'!A896 = "Standard", " - DAR","")</f>
        <v/>
      </c>
      <c r="C897" s="34" t="s">
        <v>92</v>
      </c>
      <c r="D897" s="34" t="str">
        <f>CONCATENATE('Ingest Template'!E897&amp;Char(10)&amp;'Ingest Template'!G897&amp;Char(10)&amp;'Ingest Template'!H897&amp;Char(10)&amp;'Ingest Template'!I897&amp;Char(10)&amp;'Ingest Template'!J897&amp;Char(10)&amp;'Ingest Template'!K897&amp;Char(10)&amp;'Ingest Template'!L897)</f>
        <v>
</v>
      </c>
      <c r="E897" s="25" t="str">
        <f>('Ingest Template'!M897)</f>
        <v/>
      </c>
      <c r="F897" s="40" t="str">
        <f t="array" ref="F897">INDEX(DropDown!$J$2:$J$63,MATCH(1,COUNTIF(E897,DropDown!$I$2:$I$63),0))</f>
        <v>#N/A</v>
      </c>
      <c r="G897" s="25"/>
      <c r="H897" s="25"/>
      <c r="I897" s="25"/>
      <c r="J897" s="25" t="str">
        <f>'Ingest Template'!B897</f>
        <v/>
      </c>
      <c r="K897" s="25" t="str">
        <f>IF('Ingest Template'!A896="Standard",'Ingest Template'!N896,"Competitive View")</f>
        <v>Competitive View</v>
      </c>
      <c r="L897" s="41" t="s">
        <v>145</v>
      </c>
      <c r="M897" s="25" t="str">
        <f>'Ingest Template'!D896</f>
        <v/>
      </c>
      <c r="N897" s="25"/>
      <c r="O897" s="25"/>
      <c r="P897" s="25"/>
      <c r="Q897" s="25"/>
      <c r="R897" s="25" t="str">
        <f>CONCATENATE('Ingest Template'!F896)</f>
        <v/>
      </c>
      <c r="S897" s="43" t="s">
        <v>160</v>
      </c>
      <c r="T897" s="25" t="str">
        <f>'Ingest Template'!W896</f>
        <v/>
      </c>
      <c r="U897" s="25"/>
      <c r="V897" s="25" t="str">
        <f>LOWER(SUBSTITUTE(SUBSTITUTE(SUBSTITUTE(SUBSTITUTE(SUBSTITUTE('Ingest Template'!Y896,"https:",""),"www.",""),"/",""),"?hl=en",""),"instagram.com",""))</f>
        <v/>
      </c>
      <c r="W897" s="34" t="str">
        <f>(IFERROR(vlookup('Ingest Template'!F897,DropDown!D:E,2,false)&amp;'Ingest Template'!C897,""))</f>
        <v/>
      </c>
      <c r="X897" s="25" t="str">
        <f>'Ingest Template'!AA896</f>
        <v/>
      </c>
      <c r="Y897" s="25"/>
      <c r="Z897" s="25"/>
      <c r="AA897" s="25"/>
      <c r="AB897" s="25" t="str">
        <f>'Ingest Template'!T896</f>
        <v/>
      </c>
      <c r="AC897" s="25"/>
      <c r="AD897" s="25" t="str">
        <f>'Ingest Template'!U896</f>
        <v/>
      </c>
      <c r="AE897" s="25" t="str">
        <f>'Ingest Template'!V896</f>
        <v/>
      </c>
      <c r="AF897" s="25"/>
      <c r="AG897" s="25" t="str">
        <f t="array" ref="AG897">IF('Ingest Template'!A896="Standard",(CONCATENATE(IF(ISBLANK('Ingest Template'!O896),"", 'Ingest Template'!O896&amp;"|DAR"),CHAR(10), IF(ISBLANK('Ingest Template'!P896),"", 'Ingest Template'!P896&amp;"|DAR"),CHAR(10), IF(ISBLANK('Ingest Template'!Q896),"", 'Ingest Template'!Q896&amp;"|DAR"))),(CONCATENATE(IF(ISBLANK('Ingest Template'!O896),"", 'Ingest Template'!O896&amp;"|Operations - Core Title"),CHAR(10), IF(ISBLANK('Ingest Template'!P896),"", 'Ingest Template'!P896&amp;"|Operations - Core Title"),CHAR(10), IF(ISBLANK('Ingest Template'!Q896),"", 'Ingest Template'!Q896&amp;"|Operations - Core Title"))))</f>
        <v>#|Operations - Core Title
#videoGame|Operations - Core Title
</v>
      </c>
      <c r="AH897" s="25"/>
      <c r="AI897" s="25"/>
      <c r="AJ897" s="50" t="str">
        <f>if('Ingest Template'!A896="Standard",'Ingest Template'!R896&amp; "|DAR|DAR|2021-01-01",'Ingest Template'!R896&amp; "|Operations - Core Title|Operations - Core Title")</f>
        <v>#N/A</v>
      </c>
      <c r="AK897" s="25"/>
      <c r="AL897" s="25" t="str">
        <f>if('Ingest Template'!A896="Standard",'Ingest Template'!S896&amp; "|2021-01-01",'Ingest Template'!S896)</f>
        <v>#N/A</v>
      </c>
      <c r="AM897" s="25"/>
    </row>
    <row r="898">
      <c r="A898" s="25"/>
      <c r="B898" s="25" t="str">
        <f>'Ingest Template'!C897&amp;IF('Ingest Template'!A897 = "Standard", " - DAR","")</f>
        <v/>
      </c>
      <c r="C898" s="34" t="s">
        <v>92</v>
      </c>
      <c r="D898" s="34" t="str">
        <f>CONCATENATE('Ingest Template'!E898&amp;Char(10)&amp;'Ingest Template'!G898&amp;Char(10)&amp;'Ingest Template'!H898&amp;Char(10)&amp;'Ingest Template'!I898&amp;Char(10)&amp;'Ingest Template'!J898&amp;Char(10)&amp;'Ingest Template'!K898&amp;Char(10)&amp;'Ingest Template'!L898)</f>
        <v>
</v>
      </c>
      <c r="E898" s="25" t="str">
        <f>('Ingest Template'!M898)</f>
        <v/>
      </c>
      <c r="F898" s="40" t="str">
        <f t="array" ref="F898">INDEX(DropDown!$J$2:$J$63,MATCH(1,COUNTIF(E898,DropDown!$I$2:$I$63),0))</f>
        <v>#N/A</v>
      </c>
      <c r="G898" s="25"/>
      <c r="H898" s="25"/>
      <c r="I898" s="25"/>
      <c r="J898" s="25" t="str">
        <f>'Ingest Template'!B898</f>
        <v/>
      </c>
      <c r="K898" s="25" t="str">
        <f>IF('Ingest Template'!A897="Standard",'Ingest Template'!N897,"Competitive View")</f>
        <v>Competitive View</v>
      </c>
      <c r="L898" s="41" t="s">
        <v>145</v>
      </c>
      <c r="M898" s="25" t="str">
        <f>'Ingest Template'!D897</f>
        <v/>
      </c>
      <c r="N898" s="25"/>
      <c r="O898" s="25"/>
      <c r="P898" s="25"/>
      <c r="Q898" s="25"/>
      <c r="R898" s="25" t="str">
        <f>CONCATENATE('Ingest Template'!F897)</f>
        <v/>
      </c>
      <c r="S898" s="43" t="s">
        <v>160</v>
      </c>
      <c r="T898" s="25" t="str">
        <f>'Ingest Template'!W897</f>
        <v/>
      </c>
      <c r="U898" s="25"/>
      <c r="V898" s="25" t="str">
        <f>LOWER(SUBSTITUTE(SUBSTITUTE(SUBSTITUTE(SUBSTITUTE(SUBSTITUTE('Ingest Template'!Y897,"https:",""),"www.",""),"/",""),"?hl=en",""),"instagram.com",""))</f>
        <v/>
      </c>
      <c r="W898" s="34" t="str">
        <f>(IFERROR(vlookup('Ingest Template'!F898,DropDown!D:E,2,false)&amp;'Ingest Template'!C898,""))</f>
        <v/>
      </c>
      <c r="X898" s="25" t="str">
        <f>'Ingest Template'!AA897</f>
        <v/>
      </c>
      <c r="Y898" s="25"/>
      <c r="Z898" s="25"/>
      <c r="AA898" s="25"/>
      <c r="AB898" s="25" t="str">
        <f>'Ingest Template'!T897</f>
        <v/>
      </c>
      <c r="AC898" s="25"/>
      <c r="AD898" s="25" t="str">
        <f>'Ingest Template'!U897</f>
        <v/>
      </c>
      <c r="AE898" s="25" t="str">
        <f>'Ingest Template'!V897</f>
        <v/>
      </c>
      <c r="AF898" s="25"/>
      <c r="AG898" s="25" t="str">
        <f t="array" ref="AG898">IF('Ingest Template'!A897="Standard",(CONCATENATE(IF(ISBLANK('Ingest Template'!O897),"", 'Ingest Template'!O897&amp;"|DAR"),CHAR(10), IF(ISBLANK('Ingest Template'!P897),"", 'Ingest Template'!P897&amp;"|DAR"),CHAR(10), IF(ISBLANK('Ingest Template'!Q897),"", 'Ingest Template'!Q897&amp;"|DAR"))),(CONCATENATE(IF(ISBLANK('Ingest Template'!O897),"", 'Ingest Template'!O897&amp;"|Operations - Core Title"),CHAR(10), IF(ISBLANK('Ingest Template'!P897),"", 'Ingest Template'!P897&amp;"|Operations - Core Title"),CHAR(10), IF(ISBLANK('Ingest Template'!Q897),"", 'Ingest Template'!Q897&amp;"|Operations - Core Title"))))</f>
        <v>#|Operations - Core Title
#videoGame|Operations - Core Title
</v>
      </c>
      <c r="AH898" s="25"/>
      <c r="AI898" s="25"/>
      <c r="AJ898" s="50" t="str">
        <f>if('Ingest Template'!A897="Standard",'Ingest Template'!R897&amp; "|DAR|DAR|2021-01-01",'Ingest Template'!R897&amp; "|Operations - Core Title|Operations - Core Title")</f>
        <v>#N/A</v>
      </c>
      <c r="AK898" s="25"/>
      <c r="AL898" s="25" t="str">
        <f>if('Ingest Template'!A897="Standard",'Ingest Template'!S897&amp; "|2021-01-01",'Ingest Template'!S897)</f>
        <v>#N/A</v>
      </c>
      <c r="AM898" s="25"/>
    </row>
    <row r="899">
      <c r="A899" s="25"/>
      <c r="B899" s="25" t="str">
        <f>'Ingest Template'!C898&amp;IF('Ingest Template'!A898 = "Standard", " - DAR","")</f>
        <v/>
      </c>
      <c r="C899" s="34" t="s">
        <v>92</v>
      </c>
      <c r="D899" s="34" t="str">
        <f>CONCATENATE('Ingest Template'!E899&amp;Char(10)&amp;'Ingest Template'!G899&amp;Char(10)&amp;'Ingest Template'!H899&amp;Char(10)&amp;'Ingest Template'!I899&amp;Char(10)&amp;'Ingest Template'!J899&amp;Char(10)&amp;'Ingest Template'!K899&amp;Char(10)&amp;'Ingest Template'!L899)</f>
        <v>
</v>
      </c>
      <c r="E899" s="25" t="str">
        <f>('Ingest Template'!M899)</f>
        <v/>
      </c>
      <c r="F899" s="40" t="str">
        <f t="array" ref="F899">INDEX(DropDown!$J$2:$J$63,MATCH(1,COUNTIF(E899,DropDown!$I$2:$I$63),0))</f>
        <v>#N/A</v>
      </c>
      <c r="G899" s="25"/>
      <c r="H899" s="25"/>
      <c r="I899" s="25"/>
      <c r="J899" s="25" t="str">
        <f>'Ingest Template'!B899</f>
        <v/>
      </c>
      <c r="K899" s="25" t="str">
        <f>IF('Ingest Template'!A898="Standard",'Ingest Template'!N898,"Competitive View")</f>
        <v>Competitive View</v>
      </c>
      <c r="L899" s="41" t="s">
        <v>145</v>
      </c>
      <c r="M899" s="25" t="str">
        <f>'Ingest Template'!D898</f>
        <v/>
      </c>
      <c r="N899" s="25"/>
      <c r="O899" s="25"/>
      <c r="P899" s="25"/>
      <c r="Q899" s="25"/>
      <c r="R899" s="25" t="str">
        <f>CONCATENATE('Ingest Template'!F898)</f>
        <v/>
      </c>
      <c r="S899" s="43" t="s">
        <v>160</v>
      </c>
      <c r="T899" s="25" t="str">
        <f>'Ingest Template'!W898</f>
        <v/>
      </c>
      <c r="U899" s="25"/>
      <c r="V899" s="25" t="str">
        <f>LOWER(SUBSTITUTE(SUBSTITUTE(SUBSTITUTE(SUBSTITUTE(SUBSTITUTE('Ingest Template'!Y898,"https:",""),"www.",""),"/",""),"?hl=en",""),"instagram.com",""))</f>
        <v/>
      </c>
      <c r="W899" s="34" t="str">
        <f>(IFERROR(vlookup('Ingest Template'!F899,DropDown!D:E,2,false)&amp;'Ingest Template'!C899,""))</f>
        <v/>
      </c>
      <c r="X899" s="25" t="str">
        <f>'Ingest Template'!AA898</f>
        <v/>
      </c>
      <c r="Y899" s="25"/>
      <c r="Z899" s="25"/>
      <c r="AA899" s="25"/>
      <c r="AB899" s="25" t="str">
        <f>'Ingest Template'!T898</f>
        <v/>
      </c>
      <c r="AC899" s="25"/>
      <c r="AD899" s="25" t="str">
        <f>'Ingest Template'!U898</f>
        <v/>
      </c>
      <c r="AE899" s="25" t="str">
        <f>'Ingest Template'!V898</f>
        <v/>
      </c>
      <c r="AF899" s="25"/>
      <c r="AG899" s="25" t="str">
        <f t="array" ref="AG899">IF('Ingest Template'!A898="Standard",(CONCATENATE(IF(ISBLANK('Ingest Template'!O898),"", 'Ingest Template'!O898&amp;"|DAR"),CHAR(10), IF(ISBLANK('Ingest Template'!P898),"", 'Ingest Template'!P898&amp;"|DAR"),CHAR(10), IF(ISBLANK('Ingest Template'!Q898),"", 'Ingest Template'!Q898&amp;"|DAR"))),(CONCATENATE(IF(ISBLANK('Ingest Template'!O898),"", 'Ingest Template'!O898&amp;"|Operations - Core Title"),CHAR(10), IF(ISBLANK('Ingest Template'!P898),"", 'Ingest Template'!P898&amp;"|Operations - Core Title"),CHAR(10), IF(ISBLANK('Ingest Template'!Q898),"", 'Ingest Template'!Q898&amp;"|Operations - Core Title"))))</f>
        <v>#|Operations - Core Title
#videoGame|Operations - Core Title
</v>
      </c>
      <c r="AH899" s="25"/>
      <c r="AI899" s="25"/>
      <c r="AJ899" s="50" t="str">
        <f>if('Ingest Template'!A898="Standard",'Ingest Template'!R898&amp; "|DAR|DAR|2021-01-01",'Ingest Template'!R898&amp; "|Operations - Core Title|Operations - Core Title")</f>
        <v>#N/A</v>
      </c>
      <c r="AK899" s="25"/>
      <c r="AL899" s="25" t="str">
        <f>if('Ingest Template'!A898="Standard",'Ingest Template'!S898&amp; "|2021-01-01",'Ingest Template'!S898)</f>
        <v>#N/A</v>
      </c>
      <c r="AM899" s="25"/>
    </row>
    <row r="900">
      <c r="A900" s="25"/>
      <c r="B900" s="25" t="str">
        <f>'Ingest Template'!C899&amp;IF('Ingest Template'!A899 = "Standard", " - DAR","")</f>
        <v/>
      </c>
      <c r="C900" s="34" t="s">
        <v>92</v>
      </c>
      <c r="D900" s="34" t="str">
        <f>CONCATENATE('Ingest Template'!E900&amp;Char(10)&amp;'Ingest Template'!G900&amp;Char(10)&amp;'Ingest Template'!H900&amp;Char(10)&amp;'Ingest Template'!I900&amp;Char(10)&amp;'Ingest Template'!J900&amp;Char(10)&amp;'Ingest Template'!K900&amp;Char(10)&amp;'Ingest Template'!L900)</f>
        <v>
</v>
      </c>
      <c r="E900" s="25" t="str">
        <f>('Ingest Template'!M900)</f>
        <v/>
      </c>
      <c r="F900" s="40" t="str">
        <f t="array" ref="F900">INDEX(DropDown!$J$2:$J$63,MATCH(1,COUNTIF(E900,DropDown!$I$2:$I$63),0))</f>
        <v>#N/A</v>
      </c>
      <c r="G900" s="25"/>
      <c r="H900" s="25"/>
      <c r="I900" s="25"/>
      <c r="J900" s="25" t="str">
        <f>'Ingest Template'!B900</f>
        <v/>
      </c>
      <c r="K900" s="25" t="str">
        <f>IF('Ingest Template'!A899="Standard",'Ingest Template'!N899,"Competitive View")</f>
        <v>Competitive View</v>
      </c>
      <c r="L900" s="41" t="s">
        <v>145</v>
      </c>
      <c r="M900" s="25" t="str">
        <f>'Ingest Template'!D899</f>
        <v/>
      </c>
      <c r="N900" s="25"/>
      <c r="O900" s="25"/>
      <c r="P900" s="25"/>
      <c r="Q900" s="25"/>
      <c r="R900" s="25" t="str">
        <f>CONCATENATE('Ingest Template'!F899)</f>
        <v/>
      </c>
      <c r="S900" s="43" t="s">
        <v>160</v>
      </c>
      <c r="T900" s="25" t="str">
        <f>'Ingest Template'!W899</f>
        <v/>
      </c>
      <c r="U900" s="25"/>
      <c r="V900" s="25" t="str">
        <f>LOWER(SUBSTITUTE(SUBSTITUTE(SUBSTITUTE(SUBSTITUTE(SUBSTITUTE('Ingest Template'!Y899,"https:",""),"www.",""),"/",""),"?hl=en",""),"instagram.com",""))</f>
        <v/>
      </c>
      <c r="W900" s="34" t="str">
        <f>(IFERROR(vlookup('Ingest Template'!F900,DropDown!D:E,2,false)&amp;'Ingest Template'!C900,""))</f>
        <v/>
      </c>
      <c r="X900" s="25" t="str">
        <f>'Ingest Template'!AA899</f>
        <v/>
      </c>
      <c r="Y900" s="25"/>
      <c r="Z900" s="25"/>
      <c r="AA900" s="25"/>
      <c r="AB900" s="25" t="str">
        <f>'Ingest Template'!T899</f>
        <v/>
      </c>
      <c r="AC900" s="25"/>
      <c r="AD900" s="25" t="str">
        <f>'Ingest Template'!U899</f>
        <v/>
      </c>
      <c r="AE900" s="25" t="str">
        <f>'Ingest Template'!V899</f>
        <v/>
      </c>
      <c r="AF900" s="25"/>
      <c r="AG900" s="25" t="str">
        <f t="array" ref="AG900">IF('Ingest Template'!A899="Standard",(CONCATENATE(IF(ISBLANK('Ingest Template'!O899),"", 'Ingest Template'!O899&amp;"|DAR"),CHAR(10), IF(ISBLANK('Ingest Template'!P899),"", 'Ingest Template'!P899&amp;"|DAR"),CHAR(10), IF(ISBLANK('Ingest Template'!Q899),"", 'Ingest Template'!Q899&amp;"|DAR"))),(CONCATENATE(IF(ISBLANK('Ingest Template'!O899),"", 'Ingest Template'!O899&amp;"|Operations - Core Title"),CHAR(10), IF(ISBLANK('Ingest Template'!P899),"", 'Ingest Template'!P899&amp;"|Operations - Core Title"),CHAR(10), IF(ISBLANK('Ingest Template'!Q899),"", 'Ingest Template'!Q899&amp;"|Operations - Core Title"))))</f>
        <v>#|Operations - Core Title
#videoGame|Operations - Core Title
</v>
      </c>
      <c r="AH900" s="25"/>
      <c r="AI900" s="25"/>
      <c r="AJ900" s="50" t="str">
        <f>if('Ingest Template'!A899="Standard",'Ingest Template'!R899&amp; "|DAR|DAR|2021-01-01",'Ingest Template'!R899&amp; "|Operations - Core Title|Operations - Core Title")</f>
        <v>#N/A</v>
      </c>
      <c r="AK900" s="25"/>
      <c r="AL900" s="25" t="str">
        <f>if('Ingest Template'!A899="Standard",'Ingest Template'!S899&amp; "|2021-01-01",'Ingest Template'!S899)</f>
        <v>#N/A</v>
      </c>
      <c r="AM900" s="25"/>
    </row>
    <row r="901">
      <c r="A901" s="25"/>
      <c r="B901" s="25" t="str">
        <f>'Ingest Template'!C900&amp;IF('Ingest Template'!A900 = "Standard", " - DAR","")</f>
        <v/>
      </c>
      <c r="C901" s="34" t="s">
        <v>92</v>
      </c>
      <c r="D901" s="34" t="str">
        <f>CONCATENATE('Ingest Template'!E901&amp;Char(10)&amp;'Ingest Template'!G901&amp;Char(10)&amp;'Ingest Template'!H901&amp;Char(10)&amp;'Ingest Template'!I901&amp;Char(10)&amp;'Ingest Template'!J901&amp;Char(10)&amp;'Ingest Template'!K901&amp;Char(10)&amp;'Ingest Template'!L901)</f>
        <v>
</v>
      </c>
      <c r="E901" s="25" t="str">
        <f>('Ingest Template'!M901)</f>
        <v/>
      </c>
      <c r="F901" s="40" t="str">
        <f t="array" ref="F901">INDEX(DropDown!$J$2:$J$63,MATCH(1,COUNTIF(E901,DropDown!$I$2:$I$63),0))</f>
        <v>#N/A</v>
      </c>
      <c r="G901" s="25"/>
      <c r="H901" s="25"/>
      <c r="I901" s="25"/>
      <c r="J901" s="25" t="str">
        <f>'Ingest Template'!B901</f>
        <v/>
      </c>
      <c r="K901" s="25" t="str">
        <f>IF('Ingest Template'!A900="Standard",'Ingest Template'!N900,"Competitive View")</f>
        <v>Competitive View</v>
      </c>
      <c r="L901" s="41" t="s">
        <v>145</v>
      </c>
      <c r="M901" s="25" t="str">
        <f>'Ingest Template'!D900</f>
        <v/>
      </c>
      <c r="N901" s="25"/>
      <c r="O901" s="25"/>
      <c r="P901" s="25"/>
      <c r="Q901" s="25"/>
      <c r="R901" s="25" t="str">
        <f>CONCATENATE('Ingest Template'!F900)</f>
        <v/>
      </c>
      <c r="S901" s="43" t="s">
        <v>160</v>
      </c>
      <c r="T901" s="25" t="str">
        <f>'Ingest Template'!W900</f>
        <v/>
      </c>
      <c r="U901" s="25"/>
      <c r="V901" s="25" t="str">
        <f>LOWER(SUBSTITUTE(SUBSTITUTE(SUBSTITUTE(SUBSTITUTE(SUBSTITUTE('Ingest Template'!Y900,"https:",""),"www.",""),"/",""),"?hl=en",""),"instagram.com",""))</f>
        <v/>
      </c>
      <c r="W901" s="34" t="str">
        <f>(IFERROR(vlookup('Ingest Template'!F901,DropDown!D:E,2,false)&amp;'Ingest Template'!C901,""))</f>
        <v/>
      </c>
      <c r="X901" s="25" t="str">
        <f>'Ingest Template'!AA900</f>
        <v/>
      </c>
      <c r="Y901" s="25"/>
      <c r="Z901" s="25"/>
      <c r="AA901" s="25"/>
      <c r="AB901" s="25" t="str">
        <f>'Ingest Template'!T900</f>
        <v/>
      </c>
      <c r="AC901" s="25"/>
      <c r="AD901" s="25" t="str">
        <f>'Ingest Template'!U900</f>
        <v/>
      </c>
      <c r="AE901" s="25" t="str">
        <f>'Ingest Template'!V900</f>
        <v/>
      </c>
      <c r="AF901" s="25"/>
      <c r="AG901" s="25" t="str">
        <f t="array" ref="AG901">IF('Ingest Template'!A900="Standard",(CONCATENATE(IF(ISBLANK('Ingest Template'!O900),"", 'Ingest Template'!O900&amp;"|DAR"),CHAR(10), IF(ISBLANK('Ingest Template'!P900),"", 'Ingest Template'!P900&amp;"|DAR"),CHAR(10), IF(ISBLANK('Ingest Template'!Q900),"", 'Ingest Template'!Q900&amp;"|DAR"))),(CONCATENATE(IF(ISBLANK('Ingest Template'!O900),"", 'Ingest Template'!O900&amp;"|Operations - Core Title"),CHAR(10), IF(ISBLANK('Ingest Template'!P900),"", 'Ingest Template'!P900&amp;"|Operations - Core Title"),CHAR(10), IF(ISBLANK('Ingest Template'!Q900),"", 'Ingest Template'!Q900&amp;"|Operations - Core Title"))))</f>
        <v>#|Operations - Core Title
#videoGame|Operations - Core Title
</v>
      </c>
      <c r="AH901" s="25"/>
      <c r="AI901" s="25"/>
      <c r="AJ901" s="50" t="str">
        <f>if('Ingest Template'!A900="Standard",'Ingest Template'!R900&amp; "|DAR|DAR|2021-01-01",'Ingest Template'!R900&amp; "|Operations - Core Title|Operations - Core Title")</f>
        <v>#N/A</v>
      </c>
      <c r="AK901" s="25"/>
      <c r="AL901" s="25" t="str">
        <f>if('Ingest Template'!A900="Standard",'Ingest Template'!S900&amp; "|2021-01-01",'Ingest Template'!S900)</f>
        <v>#N/A</v>
      </c>
      <c r="AM901" s="25"/>
    </row>
    <row r="902">
      <c r="A902" s="25"/>
      <c r="B902" s="25" t="str">
        <f>'Ingest Template'!C901&amp;IF('Ingest Template'!A901 = "Standard", " - DAR","")</f>
        <v/>
      </c>
      <c r="C902" s="34" t="s">
        <v>92</v>
      </c>
      <c r="D902" s="34" t="str">
        <f>CONCATENATE('Ingest Template'!E902&amp;Char(10)&amp;'Ingest Template'!G902&amp;Char(10)&amp;'Ingest Template'!H902&amp;Char(10)&amp;'Ingest Template'!I902&amp;Char(10)&amp;'Ingest Template'!J902&amp;Char(10)&amp;'Ingest Template'!K902&amp;Char(10)&amp;'Ingest Template'!L902)</f>
        <v>
</v>
      </c>
      <c r="E902" s="25" t="str">
        <f>('Ingest Template'!M902)</f>
        <v/>
      </c>
      <c r="F902" s="40" t="str">
        <f t="array" ref="F902">INDEX(DropDown!$J$2:$J$63,MATCH(1,COUNTIF(E902,DropDown!$I$2:$I$63),0))</f>
        <v>#N/A</v>
      </c>
      <c r="G902" s="25"/>
      <c r="H902" s="25"/>
      <c r="I902" s="25"/>
      <c r="J902" s="25" t="str">
        <f>'Ingest Template'!B902</f>
        <v/>
      </c>
      <c r="K902" s="25" t="str">
        <f>IF('Ingest Template'!A901="Standard",'Ingest Template'!N901,"Competitive View")</f>
        <v>Competitive View</v>
      </c>
      <c r="L902" s="41" t="s">
        <v>145</v>
      </c>
      <c r="M902" s="25" t="str">
        <f>'Ingest Template'!D901</f>
        <v/>
      </c>
      <c r="N902" s="25"/>
      <c r="O902" s="25"/>
      <c r="P902" s="25"/>
      <c r="Q902" s="25"/>
      <c r="R902" s="25" t="str">
        <f>CONCATENATE('Ingest Template'!F901)</f>
        <v/>
      </c>
      <c r="S902" s="43" t="s">
        <v>160</v>
      </c>
      <c r="T902" s="25" t="str">
        <f>'Ingest Template'!W901</f>
        <v/>
      </c>
      <c r="U902" s="25"/>
      <c r="V902" s="25" t="str">
        <f>LOWER(SUBSTITUTE(SUBSTITUTE(SUBSTITUTE(SUBSTITUTE(SUBSTITUTE('Ingest Template'!Y901,"https:",""),"www.",""),"/",""),"?hl=en",""),"instagram.com",""))</f>
        <v/>
      </c>
      <c r="W902" s="34" t="str">
        <f>(IFERROR(vlookup('Ingest Template'!F902,DropDown!D:E,2,false)&amp;'Ingest Template'!C902,""))</f>
        <v/>
      </c>
      <c r="X902" s="25" t="str">
        <f>'Ingest Template'!AA901</f>
        <v/>
      </c>
      <c r="Y902" s="25"/>
      <c r="Z902" s="25"/>
      <c r="AA902" s="25"/>
      <c r="AB902" s="25" t="str">
        <f>'Ingest Template'!T901</f>
        <v/>
      </c>
      <c r="AC902" s="25"/>
      <c r="AD902" s="25" t="str">
        <f>'Ingest Template'!U901</f>
        <v/>
      </c>
      <c r="AE902" s="25" t="str">
        <f>'Ingest Template'!V901</f>
        <v/>
      </c>
      <c r="AF902" s="25"/>
      <c r="AG902" s="25" t="str">
        <f t="array" ref="AG902">IF('Ingest Template'!A901="Standard",(CONCATENATE(IF(ISBLANK('Ingest Template'!O901),"", 'Ingest Template'!O901&amp;"|DAR"),CHAR(10), IF(ISBLANK('Ingest Template'!P901),"", 'Ingest Template'!P901&amp;"|DAR"),CHAR(10), IF(ISBLANK('Ingest Template'!Q901),"", 'Ingest Template'!Q901&amp;"|DAR"))),(CONCATENATE(IF(ISBLANK('Ingest Template'!O901),"", 'Ingest Template'!O901&amp;"|Operations - Core Title"),CHAR(10), IF(ISBLANK('Ingest Template'!P901),"", 'Ingest Template'!P901&amp;"|Operations - Core Title"),CHAR(10), IF(ISBLANK('Ingest Template'!Q901),"", 'Ingest Template'!Q901&amp;"|Operations - Core Title"))))</f>
        <v>#|Operations - Core Title
#videoGame|Operations - Core Title
</v>
      </c>
      <c r="AH902" s="25"/>
      <c r="AI902" s="25"/>
      <c r="AJ902" s="50" t="str">
        <f>if('Ingest Template'!A901="Standard",'Ingest Template'!R901&amp; "|DAR|DAR|2021-01-01",'Ingest Template'!R901&amp; "|Operations - Core Title|Operations - Core Title")</f>
        <v>#N/A</v>
      </c>
      <c r="AK902" s="25"/>
      <c r="AL902" s="25" t="str">
        <f>if('Ingest Template'!A901="Standard",'Ingest Template'!S901&amp; "|2021-01-01",'Ingest Template'!S901)</f>
        <v>#N/A</v>
      </c>
      <c r="AM902" s="25"/>
    </row>
    <row r="903">
      <c r="A903" s="25"/>
      <c r="B903" s="25" t="str">
        <f>'Ingest Template'!C902&amp;IF('Ingest Template'!A902 = "Standard", " - DAR","")</f>
        <v/>
      </c>
      <c r="C903" s="34" t="s">
        <v>92</v>
      </c>
      <c r="D903" s="34" t="str">
        <f>CONCATENATE('Ingest Template'!E903&amp;Char(10)&amp;'Ingest Template'!G903&amp;Char(10)&amp;'Ingest Template'!H903&amp;Char(10)&amp;'Ingest Template'!I903&amp;Char(10)&amp;'Ingest Template'!J903&amp;Char(10)&amp;'Ingest Template'!K903&amp;Char(10)&amp;'Ingest Template'!L903)</f>
        <v>
</v>
      </c>
      <c r="E903" s="25" t="str">
        <f>('Ingest Template'!M903)</f>
        <v/>
      </c>
      <c r="F903" s="40" t="str">
        <f t="array" ref="F903">INDEX(DropDown!$J$2:$J$63,MATCH(1,COUNTIF(E903,DropDown!$I$2:$I$63),0))</f>
        <v>#N/A</v>
      </c>
      <c r="G903" s="25"/>
      <c r="H903" s="25"/>
      <c r="I903" s="25"/>
      <c r="J903" s="25" t="str">
        <f>'Ingest Template'!B903</f>
        <v/>
      </c>
      <c r="K903" s="25" t="str">
        <f>IF('Ingest Template'!A902="Standard",'Ingest Template'!N902,"Competitive View")</f>
        <v>Competitive View</v>
      </c>
      <c r="L903" s="41" t="s">
        <v>145</v>
      </c>
      <c r="M903" s="25" t="str">
        <f>'Ingest Template'!D902</f>
        <v/>
      </c>
      <c r="N903" s="25"/>
      <c r="O903" s="25"/>
      <c r="P903" s="25"/>
      <c r="Q903" s="25"/>
      <c r="R903" s="25" t="str">
        <f>CONCATENATE('Ingest Template'!F902)</f>
        <v/>
      </c>
      <c r="S903" s="43" t="s">
        <v>160</v>
      </c>
      <c r="T903" s="25" t="str">
        <f>'Ingest Template'!W902</f>
        <v/>
      </c>
      <c r="U903" s="25"/>
      <c r="V903" s="25" t="str">
        <f>LOWER(SUBSTITUTE(SUBSTITUTE(SUBSTITUTE(SUBSTITUTE(SUBSTITUTE('Ingest Template'!Y902,"https:",""),"www.",""),"/",""),"?hl=en",""),"instagram.com",""))</f>
        <v/>
      </c>
      <c r="W903" s="34" t="str">
        <f>(IFERROR(vlookup('Ingest Template'!F903,DropDown!D:E,2,false)&amp;'Ingest Template'!C903,""))</f>
        <v/>
      </c>
      <c r="X903" s="25" t="str">
        <f>'Ingest Template'!AA902</f>
        <v/>
      </c>
      <c r="Y903" s="25"/>
      <c r="Z903" s="25"/>
      <c r="AA903" s="25"/>
      <c r="AB903" s="25" t="str">
        <f>'Ingest Template'!T902</f>
        <v/>
      </c>
      <c r="AC903" s="25"/>
      <c r="AD903" s="25" t="str">
        <f>'Ingest Template'!U902</f>
        <v/>
      </c>
      <c r="AE903" s="25" t="str">
        <f>'Ingest Template'!V902</f>
        <v/>
      </c>
      <c r="AF903" s="25"/>
      <c r="AG903" s="25" t="str">
        <f t="array" ref="AG903">IF('Ingest Template'!A902="Standard",(CONCATENATE(IF(ISBLANK('Ingest Template'!O902),"", 'Ingest Template'!O902&amp;"|DAR"),CHAR(10), IF(ISBLANK('Ingest Template'!P902),"", 'Ingest Template'!P902&amp;"|DAR"),CHAR(10), IF(ISBLANK('Ingest Template'!Q902),"", 'Ingest Template'!Q902&amp;"|DAR"))),(CONCATENATE(IF(ISBLANK('Ingest Template'!O902),"", 'Ingest Template'!O902&amp;"|Operations - Core Title"),CHAR(10), IF(ISBLANK('Ingest Template'!P902),"", 'Ingest Template'!P902&amp;"|Operations - Core Title"),CHAR(10), IF(ISBLANK('Ingest Template'!Q902),"", 'Ingest Template'!Q902&amp;"|Operations - Core Title"))))</f>
        <v>#|Operations - Core Title
#videoGame|Operations - Core Title
</v>
      </c>
      <c r="AH903" s="25"/>
      <c r="AI903" s="25"/>
      <c r="AJ903" s="50" t="str">
        <f>if('Ingest Template'!A902="Standard",'Ingest Template'!R902&amp; "|DAR|DAR|2021-01-01",'Ingest Template'!R902&amp; "|Operations - Core Title|Operations - Core Title")</f>
        <v>#N/A</v>
      </c>
      <c r="AK903" s="25"/>
      <c r="AL903" s="25" t="str">
        <f>if('Ingest Template'!A902="Standard",'Ingest Template'!S902&amp; "|2021-01-01",'Ingest Template'!S902)</f>
        <v>#N/A</v>
      </c>
      <c r="AM903" s="25"/>
    </row>
    <row r="904">
      <c r="A904" s="25"/>
      <c r="B904" s="25" t="str">
        <f>'Ingest Template'!C903&amp;IF('Ingest Template'!A903 = "Standard", " - DAR","")</f>
        <v/>
      </c>
      <c r="C904" s="34" t="s">
        <v>92</v>
      </c>
      <c r="D904" s="34" t="str">
        <f>CONCATENATE('Ingest Template'!E904&amp;Char(10)&amp;'Ingest Template'!G904&amp;Char(10)&amp;'Ingest Template'!H904&amp;Char(10)&amp;'Ingest Template'!I904&amp;Char(10)&amp;'Ingest Template'!J904&amp;Char(10)&amp;'Ingest Template'!K904&amp;Char(10)&amp;'Ingest Template'!L904)</f>
        <v>
</v>
      </c>
      <c r="E904" s="25" t="str">
        <f>('Ingest Template'!M904)</f>
        <v/>
      </c>
      <c r="F904" s="40" t="str">
        <f t="array" ref="F904">INDEX(DropDown!$J$2:$J$63,MATCH(1,COUNTIF(E904,DropDown!$I$2:$I$63),0))</f>
        <v>#N/A</v>
      </c>
      <c r="G904" s="25"/>
      <c r="H904" s="25"/>
      <c r="I904" s="25"/>
      <c r="J904" s="25" t="str">
        <f>'Ingest Template'!B904</f>
        <v/>
      </c>
      <c r="K904" s="25" t="str">
        <f>IF('Ingest Template'!A903="Standard",'Ingest Template'!N903,"Competitive View")</f>
        <v>Competitive View</v>
      </c>
      <c r="L904" s="41" t="s">
        <v>145</v>
      </c>
      <c r="M904" s="25" t="str">
        <f>'Ingest Template'!D903</f>
        <v/>
      </c>
      <c r="N904" s="25"/>
      <c r="O904" s="25"/>
      <c r="P904" s="25"/>
      <c r="Q904" s="25"/>
      <c r="R904" s="25" t="str">
        <f>CONCATENATE('Ingest Template'!F903)</f>
        <v/>
      </c>
      <c r="S904" s="43" t="s">
        <v>160</v>
      </c>
      <c r="T904" s="25" t="str">
        <f>'Ingest Template'!W903</f>
        <v/>
      </c>
      <c r="U904" s="25"/>
      <c r="V904" s="25" t="str">
        <f>LOWER(SUBSTITUTE(SUBSTITUTE(SUBSTITUTE(SUBSTITUTE(SUBSTITUTE('Ingest Template'!Y903,"https:",""),"www.",""),"/",""),"?hl=en",""),"instagram.com",""))</f>
        <v/>
      </c>
      <c r="W904" s="34" t="str">
        <f>(IFERROR(vlookup('Ingest Template'!F904,DropDown!D:E,2,false)&amp;'Ingest Template'!C904,""))</f>
        <v/>
      </c>
      <c r="X904" s="25" t="str">
        <f>'Ingest Template'!AA903</f>
        <v/>
      </c>
      <c r="Y904" s="25"/>
      <c r="Z904" s="25"/>
      <c r="AA904" s="25"/>
      <c r="AB904" s="25" t="str">
        <f>'Ingest Template'!T903</f>
        <v/>
      </c>
      <c r="AC904" s="25"/>
      <c r="AD904" s="25" t="str">
        <f>'Ingest Template'!U903</f>
        <v/>
      </c>
      <c r="AE904" s="25" t="str">
        <f>'Ingest Template'!V903</f>
        <v/>
      </c>
      <c r="AF904" s="25"/>
      <c r="AG904" s="25" t="str">
        <f t="array" ref="AG904">IF('Ingest Template'!A903="Standard",(CONCATENATE(IF(ISBLANK('Ingest Template'!O903),"", 'Ingest Template'!O903&amp;"|DAR"),CHAR(10), IF(ISBLANK('Ingest Template'!P903),"", 'Ingest Template'!P903&amp;"|DAR"),CHAR(10), IF(ISBLANK('Ingest Template'!Q903),"", 'Ingest Template'!Q903&amp;"|DAR"))),(CONCATENATE(IF(ISBLANK('Ingest Template'!O903),"", 'Ingest Template'!O903&amp;"|Operations - Core Title"),CHAR(10), IF(ISBLANK('Ingest Template'!P903),"", 'Ingest Template'!P903&amp;"|Operations - Core Title"),CHAR(10), IF(ISBLANK('Ingest Template'!Q903),"", 'Ingest Template'!Q903&amp;"|Operations - Core Title"))))</f>
        <v>#|Operations - Core Title
#videoGame|Operations - Core Title
</v>
      </c>
      <c r="AH904" s="25"/>
      <c r="AI904" s="25"/>
      <c r="AJ904" s="50" t="str">
        <f>if('Ingest Template'!A903="Standard",'Ingest Template'!R903&amp; "|DAR|DAR|2021-01-01",'Ingest Template'!R903&amp; "|Operations - Core Title|Operations - Core Title")</f>
        <v>#N/A</v>
      </c>
      <c r="AK904" s="25"/>
      <c r="AL904" s="25" t="str">
        <f>if('Ingest Template'!A903="Standard",'Ingest Template'!S903&amp; "|2021-01-01",'Ingest Template'!S903)</f>
        <v>#N/A</v>
      </c>
      <c r="AM904" s="25"/>
    </row>
    <row r="905">
      <c r="A905" s="25"/>
      <c r="B905" s="25" t="str">
        <f>'Ingest Template'!C904&amp;IF('Ingest Template'!A904 = "Standard", " - DAR","")</f>
        <v/>
      </c>
      <c r="C905" s="34" t="s">
        <v>92</v>
      </c>
      <c r="D905" s="34" t="str">
        <f>CONCATENATE('Ingest Template'!E905&amp;Char(10)&amp;'Ingest Template'!G905&amp;Char(10)&amp;'Ingest Template'!H905&amp;Char(10)&amp;'Ingest Template'!I905&amp;Char(10)&amp;'Ingest Template'!J905&amp;Char(10)&amp;'Ingest Template'!K905&amp;Char(10)&amp;'Ingest Template'!L905)</f>
        <v>
</v>
      </c>
      <c r="E905" s="25" t="str">
        <f>('Ingest Template'!M905)</f>
        <v/>
      </c>
      <c r="F905" s="40" t="str">
        <f t="array" ref="F905">INDEX(DropDown!$J$2:$J$63,MATCH(1,COUNTIF(E905,DropDown!$I$2:$I$63),0))</f>
        <v>#N/A</v>
      </c>
      <c r="G905" s="25"/>
      <c r="H905" s="25"/>
      <c r="I905" s="25"/>
      <c r="J905" s="25" t="str">
        <f>'Ingest Template'!B905</f>
        <v/>
      </c>
      <c r="K905" s="25" t="str">
        <f>IF('Ingest Template'!A904="Standard",'Ingest Template'!N904,"Competitive View")</f>
        <v>Competitive View</v>
      </c>
      <c r="L905" s="41" t="s">
        <v>145</v>
      </c>
      <c r="M905" s="25" t="str">
        <f>'Ingest Template'!D904</f>
        <v/>
      </c>
      <c r="N905" s="25"/>
      <c r="O905" s="25"/>
      <c r="P905" s="25"/>
      <c r="Q905" s="25"/>
      <c r="R905" s="25" t="str">
        <f>CONCATENATE('Ingest Template'!F904)</f>
        <v/>
      </c>
      <c r="S905" s="43" t="s">
        <v>160</v>
      </c>
      <c r="T905" s="25" t="str">
        <f>'Ingest Template'!W904</f>
        <v/>
      </c>
      <c r="U905" s="25"/>
      <c r="V905" s="25" t="str">
        <f>LOWER(SUBSTITUTE(SUBSTITUTE(SUBSTITUTE(SUBSTITUTE(SUBSTITUTE('Ingest Template'!Y904,"https:",""),"www.",""),"/",""),"?hl=en",""),"instagram.com",""))</f>
        <v/>
      </c>
      <c r="W905" s="34" t="str">
        <f>(IFERROR(vlookup('Ingest Template'!F905,DropDown!D:E,2,false)&amp;'Ingest Template'!C905,""))</f>
        <v/>
      </c>
      <c r="X905" s="25" t="str">
        <f>'Ingest Template'!AA904</f>
        <v/>
      </c>
      <c r="Y905" s="25"/>
      <c r="Z905" s="25"/>
      <c r="AA905" s="25"/>
      <c r="AB905" s="25" t="str">
        <f>'Ingest Template'!T904</f>
        <v/>
      </c>
      <c r="AC905" s="25"/>
      <c r="AD905" s="25" t="str">
        <f>'Ingest Template'!U904</f>
        <v/>
      </c>
      <c r="AE905" s="25" t="str">
        <f>'Ingest Template'!V904</f>
        <v/>
      </c>
      <c r="AF905" s="25"/>
      <c r="AG905" s="25" t="str">
        <f t="array" ref="AG905">IF('Ingest Template'!A904="Standard",(CONCATENATE(IF(ISBLANK('Ingest Template'!O904),"", 'Ingest Template'!O904&amp;"|DAR"),CHAR(10), IF(ISBLANK('Ingest Template'!P904),"", 'Ingest Template'!P904&amp;"|DAR"),CHAR(10), IF(ISBLANK('Ingest Template'!Q904),"", 'Ingest Template'!Q904&amp;"|DAR"))),(CONCATENATE(IF(ISBLANK('Ingest Template'!O904),"", 'Ingest Template'!O904&amp;"|Operations - Core Title"),CHAR(10), IF(ISBLANK('Ingest Template'!P904),"", 'Ingest Template'!P904&amp;"|Operations - Core Title"),CHAR(10), IF(ISBLANK('Ingest Template'!Q904),"", 'Ingest Template'!Q904&amp;"|Operations - Core Title"))))</f>
        <v>#|Operations - Core Title
#videoGame|Operations - Core Title
</v>
      </c>
      <c r="AH905" s="25"/>
      <c r="AI905" s="25"/>
      <c r="AJ905" s="50" t="str">
        <f>if('Ingest Template'!A904="Standard",'Ingest Template'!R904&amp; "|DAR|DAR|2021-01-01",'Ingest Template'!R904&amp; "|Operations - Core Title|Operations - Core Title")</f>
        <v>#N/A</v>
      </c>
      <c r="AK905" s="25"/>
      <c r="AL905" s="25" t="str">
        <f>if('Ingest Template'!A904="Standard",'Ingest Template'!S904&amp; "|2021-01-01",'Ingest Template'!S904)</f>
        <v>#N/A</v>
      </c>
      <c r="AM905" s="25"/>
    </row>
    <row r="906">
      <c r="A906" s="25"/>
      <c r="B906" s="25" t="str">
        <f>'Ingest Template'!C905&amp;IF('Ingest Template'!A905 = "Standard", " - DAR","")</f>
        <v/>
      </c>
      <c r="C906" s="34" t="s">
        <v>92</v>
      </c>
      <c r="D906" s="34" t="str">
        <f>CONCATENATE('Ingest Template'!E906&amp;Char(10)&amp;'Ingest Template'!G906&amp;Char(10)&amp;'Ingest Template'!H906&amp;Char(10)&amp;'Ingest Template'!I906&amp;Char(10)&amp;'Ingest Template'!J906&amp;Char(10)&amp;'Ingest Template'!K906&amp;Char(10)&amp;'Ingest Template'!L906)</f>
        <v>
</v>
      </c>
      <c r="E906" s="25" t="str">
        <f>('Ingest Template'!M906)</f>
        <v/>
      </c>
      <c r="F906" s="40" t="str">
        <f t="array" ref="F906">INDEX(DropDown!$J$2:$J$63,MATCH(1,COUNTIF(E906,DropDown!$I$2:$I$63),0))</f>
        <v>#N/A</v>
      </c>
      <c r="G906" s="25"/>
      <c r="H906" s="25"/>
      <c r="I906" s="25"/>
      <c r="J906" s="25" t="str">
        <f>'Ingest Template'!B906</f>
        <v/>
      </c>
      <c r="K906" s="25" t="str">
        <f>IF('Ingest Template'!A905="Standard",'Ingest Template'!N905,"Competitive View")</f>
        <v>Competitive View</v>
      </c>
      <c r="L906" s="41" t="s">
        <v>145</v>
      </c>
      <c r="M906" s="25" t="str">
        <f>'Ingest Template'!D905</f>
        <v/>
      </c>
      <c r="N906" s="25"/>
      <c r="O906" s="25"/>
      <c r="P906" s="25"/>
      <c r="Q906" s="25"/>
      <c r="R906" s="25" t="str">
        <f>CONCATENATE('Ingest Template'!F905)</f>
        <v/>
      </c>
      <c r="S906" s="43" t="s">
        <v>160</v>
      </c>
      <c r="T906" s="25" t="str">
        <f>'Ingest Template'!W905</f>
        <v/>
      </c>
      <c r="U906" s="25"/>
      <c r="V906" s="25" t="str">
        <f>LOWER(SUBSTITUTE(SUBSTITUTE(SUBSTITUTE(SUBSTITUTE(SUBSTITUTE('Ingest Template'!Y905,"https:",""),"www.",""),"/",""),"?hl=en",""),"instagram.com",""))</f>
        <v/>
      </c>
      <c r="W906" s="34" t="str">
        <f>(IFERROR(vlookup('Ingest Template'!F906,DropDown!D:E,2,false)&amp;'Ingest Template'!C906,""))</f>
        <v/>
      </c>
      <c r="X906" s="25" t="str">
        <f>'Ingest Template'!AA905</f>
        <v/>
      </c>
      <c r="Y906" s="25"/>
      <c r="Z906" s="25"/>
      <c r="AA906" s="25"/>
      <c r="AB906" s="25" t="str">
        <f>'Ingest Template'!T905</f>
        <v/>
      </c>
      <c r="AC906" s="25"/>
      <c r="AD906" s="25" t="str">
        <f>'Ingest Template'!U905</f>
        <v/>
      </c>
      <c r="AE906" s="25" t="str">
        <f>'Ingest Template'!V905</f>
        <v/>
      </c>
      <c r="AF906" s="25"/>
      <c r="AG906" s="25" t="str">
        <f t="array" ref="AG906">IF('Ingest Template'!A905="Standard",(CONCATENATE(IF(ISBLANK('Ingest Template'!O905),"", 'Ingest Template'!O905&amp;"|DAR"),CHAR(10), IF(ISBLANK('Ingest Template'!P905),"", 'Ingest Template'!P905&amp;"|DAR"),CHAR(10), IF(ISBLANK('Ingest Template'!Q905),"", 'Ingest Template'!Q905&amp;"|DAR"))),(CONCATENATE(IF(ISBLANK('Ingest Template'!O905),"", 'Ingest Template'!O905&amp;"|Operations - Core Title"),CHAR(10), IF(ISBLANK('Ingest Template'!P905),"", 'Ingest Template'!P905&amp;"|Operations - Core Title"),CHAR(10), IF(ISBLANK('Ingest Template'!Q905),"", 'Ingest Template'!Q905&amp;"|Operations - Core Title"))))</f>
        <v>#|Operations - Core Title
#videoGame|Operations - Core Title
</v>
      </c>
      <c r="AH906" s="25"/>
      <c r="AI906" s="25"/>
      <c r="AJ906" s="50" t="str">
        <f>if('Ingest Template'!A905="Standard",'Ingest Template'!R905&amp; "|DAR|DAR|2021-01-01",'Ingest Template'!R905&amp; "|Operations - Core Title|Operations - Core Title")</f>
        <v>#N/A</v>
      </c>
      <c r="AK906" s="25"/>
      <c r="AL906" s="25" t="str">
        <f>if('Ingest Template'!A905="Standard",'Ingest Template'!S905&amp; "|2021-01-01",'Ingest Template'!S905)</f>
        <v>#N/A</v>
      </c>
      <c r="AM906" s="25"/>
    </row>
    <row r="907">
      <c r="A907" s="25"/>
      <c r="B907" s="25" t="str">
        <f>'Ingest Template'!C906&amp;IF('Ingest Template'!A906 = "Standard", " - DAR","")</f>
        <v/>
      </c>
      <c r="C907" s="34" t="s">
        <v>92</v>
      </c>
      <c r="D907" s="34" t="str">
        <f>CONCATENATE('Ingest Template'!E907&amp;Char(10)&amp;'Ingest Template'!G907&amp;Char(10)&amp;'Ingest Template'!H907&amp;Char(10)&amp;'Ingest Template'!I907&amp;Char(10)&amp;'Ingest Template'!J907&amp;Char(10)&amp;'Ingest Template'!K907&amp;Char(10)&amp;'Ingest Template'!L907)</f>
        <v>
</v>
      </c>
      <c r="E907" s="25" t="str">
        <f>('Ingest Template'!M907)</f>
        <v/>
      </c>
      <c r="F907" s="40" t="str">
        <f t="array" ref="F907">INDEX(DropDown!$J$2:$J$63,MATCH(1,COUNTIF(E907,DropDown!$I$2:$I$63),0))</f>
        <v>#N/A</v>
      </c>
      <c r="G907" s="25"/>
      <c r="H907" s="25"/>
      <c r="I907" s="25"/>
      <c r="J907" s="25" t="str">
        <f>'Ingest Template'!B907</f>
        <v/>
      </c>
      <c r="K907" s="25" t="str">
        <f>IF('Ingest Template'!A906="Standard",'Ingest Template'!N906,"Competitive View")</f>
        <v>Competitive View</v>
      </c>
      <c r="L907" s="41" t="s">
        <v>145</v>
      </c>
      <c r="M907" s="25" t="str">
        <f>'Ingest Template'!D906</f>
        <v/>
      </c>
      <c r="N907" s="25"/>
      <c r="O907" s="25"/>
      <c r="P907" s="25"/>
      <c r="Q907" s="25"/>
      <c r="R907" s="25" t="str">
        <f>CONCATENATE('Ingest Template'!F906)</f>
        <v/>
      </c>
      <c r="S907" s="43" t="s">
        <v>160</v>
      </c>
      <c r="T907" s="25" t="str">
        <f>'Ingest Template'!W906</f>
        <v/>
      </c>
      <c r="U907" s="25"/>
      <c r="V907" s="25" t="str">
        <f>LOWER(SUBSTITUTE(SUBSTITUTE(SUBSTITUTE(SUBSTITUTE(SUBSTITUTE('Ingest Template'!Y906,"https:",""),"www.",""),"/",""),"?hl=en",""),"instagram.com",""))</f>
        <v/>
      </c>
      <c r="W907" s="34" t="str">
        <f>(IFERROR(vlookup('Ingest Template'!F907,DropDown!D:E,2,false)&amp;'Ingest Template'!C907,""))</f>
        <v/>
      </c>
      <c r="X907" s="25" t="str">
        <f>'Ingest Template'!AA906</f>
        <v/>
      </c>
      <c r="Y907" s="25"/>
      <c r="Z907" s="25"/>
      <c r="AA907" s="25"/>
      <c r="AB907" s="25" t="str">
        <f>'Ingest Template'!T906</f>
        <v/>
      </c>
      <c r="AC907" s="25"/>
      <c r="AD907" s="25" t="str">
        <f>'Ingest Template'!U906</f>
        <v/>
      </c>
      <c r="AE907" s="25" t="str">
        <f>'Ingest Template'!V906</f>
        <v/>
      </c>
      <c r="AF907" s="25"/>
      <c r="AG907" s="25" t="str">
        <f t="array" ref="AG907">IF('Ingest Template'!A906="Standard",(CONCATENATE(IF(ISBLANK('Ingest Template'!O906),"", 'Ingest Template'!O906&amp;"|DAR"),CHAR(10), IF(ISBLANK('Ingest Template'!P906),"", 'Ingest Template'!P906&amp;"|DAR"),CHAR(10), IF(ISBLANK('Ingest Template'!Q906),"", 'Ingest Template'!Q906&amp;"|DAR"))),(CONCATENATE(IF(ISBLANK('Ingest Template'!O906),"", 'Ingest Template'!O906&amp;"|Operations - Core Title"),CHAR(10), IF(ISBLANK('Ingest Template'!P906),"", 'Ingest Template'!P906&amp;"|Operations - Core Title"),CHAR(10), IF(ISBLANK('Ingest Template'!Q906),"", 'Ingest Template'!Q906&amp;"|Operations - Core Title"))))</f>
        <v>#|Operations - Core Title
#videoGame|Operations - Core Title
</v>
      </c>
      <c r="AH907" s="25"/>
      <c r="AI907" s="25"/>
      <c r="AJ907" s="50" t="str">
        <f>if('Ingest Template'!A906="Standard",'Ingest Template'!R906&amp; "|DAR|DAR|2021-01-01",'Ingest Template'!R906&amp; "|Operations - Core Title|Operations - Core Title")</f>
        <v>#N/A</v>
      </c>
      <c r="AK907" s="25"/>
      <c r="AL907" s="25" t="str">
        <f>if('Ingest Template'!A906="Standard",'Ingest Template'!S906&amp; "|2021-01-01",'Ingest Template'!S906)</f>
        <v>#N/A</v>
      </c>
      <c r="AM907" s="25"/>
    </row>
    <row r="908">
      <c r="A908" s="25"/>
      <c r="B908" s="25" t="str">
        <f>'Ingest Template'!C907&amp;IF('Ingest Template'!A907 = "Standard", " - DAR","")</f>
        <v/>
      </c>
      <c r="C908" s="34" t="s">
        <v>92</v>
      </c>
      <c r="D908" s="34" t="str">
        <f>CONCATENATE('Ingest Template'!E908&amp;Char(10)&amp;'Ingest Template'!G908&amp;Char(10)&amp;'Ingest Template'!H908&amp;Char(10)&amp;'Ingest Template'!I908&amp;Char(10)&amp;'Ingest Template'!J908&amp;Char(10)&amp;'Ingest Template'!K908&amp;Char(10)&amp;'Ingest Template'!L908)</f>
        <v>
</v>
      </c>
      <c r="E908" s="25" t="str">
        <f>('Ingest Template'!M908)</f>
        <v/>
      </c>
      <c r="F908" s="40" t="str">
        <f t="array" ref="F908">INDEX(DropDown!$J$2:$J$63,MATCH(1,COUNTIF(E908,DropDown!$I$2:$I$63),0))</f>
        <v>#N/A</v>
      </c>
      <c r="G908" s="25"/>
      <c r="H908" s="25"/>
      <c r="I908" s="25"/>
      <c r="J908" s="25" t="str">
        <f>'Ingest Template'!B908</f>
        <v/>
      </c>
      <c r="K908" s="25" t="str">
        <f>IF('Ingest Template'!A907="Standard",'Ingest Template'!N907,"Competitive View")</f>
        <v>Competitive View</v>
      </c>
      <c r="L908" s="41" t="s">
        <v>145</v>
      </c>
      <c r="M908" s="25" t="str">
        <f>'Ingest Template'!D907</f>
        <v/>
      </c>
      <c r="N908" s="25"/>
      <c r="O908" s="25"/>
      <c r="P908" s="25"/>
      <c r="Q908" s="25"/>
      <c r="R908" s="25" t="str">
        <f>CONCATENATE('Ingest Template'!F907)</f>
        <v/>
      </c>
      <c r="S908" s="43" t="s">
        <v>160</v>
      </c>
      <c r="T908" s="25" t="str">
        <f>'Ingest Template'!W907</f>
        <v/>
      </c>
      <c r="U908" s="25"/>
      <c r="V908" s="25" t="str">
        <f>LOWER(SUBSTITUTE(SUBSTITUTE(SUBSTITUTE(SUBSTITUTE(SUBSTITUTE('Ingest Template'!Y907,"https:",""),"www.",""),"/",""),"?hl=en",""),"instagram.com",""))</f>
        <v/>
      </c>
      <c r="W908" s="34" t="str">
        <f>(IFERROR(vlookup('Ingest Template'!F908,DropDown!D:E,2,false)&amp;'Ingest Template'!C908,""))</f>
        <v/>
      </c>
      <c r="X908" s="25" t="str">
        <f>'Ingest Template'!AA907</f>
        <v/>
      </c>
      <c r="Y908" s="25"/>
      <c r="Z908" s="25"/>
      <c r="AA908" s="25"/>
      <c r="AB908" s="25" t="str">
        <f>'Ingest Template'!T907</f>
        <v/>
      </c>
      <c r="AC908" s="25"/>
      <c r="AD908" s="25" t="str">
        <f>'Ingest Template'!U907</f>
        <v/>
      </c>
      <c r="AE908" s="25" t="str">
        <f>'Ingest Template'!V907</f>
        <v/>
      </c>
      <c r="AF908" s="25"/>
      <c r="AG908" s="25" t="str">
        <f t="array" ref="AG908">IF('Ingest Template'!A907="Standard",(CONCATENATE(IF(ISBLANK('Ingest Template'!O907),"", 'Ingest Template'!O907&amp;"|DAR"),CHAR(10), IF(ISBLANK('Ingest Template'!P907),"", 'Ingest Template'!P907&amp;"|DAR"),CHAR(10), IF(ISBLANK('Ingest Template'!Q907),"", 'Ingest Template'!Q907&amp;"|DAR"))),(CONCATENATE(IF(ISBLANK('Ingest Template'!O907),"", 'Ingest Template'!O907&amp;"|Operations - Core Title"),CHAR(10), IF(ISBLANK('Ingest Template'!P907),"", 'Ingest Template'!P907&amp;"|Operations - Core Title"),CHAR(10), IF(ISBLANK('Ingest Template'!Q907),"", 'Ingest Template'!Q907&amp;"|Operations - Core Title"))))</f>
        <v>#|Operations - Core Title
#videoGame|Operations - Core Title
</v>
      </c>
      <c r="AH908" s="25"/>
      <c r="AI908" s="25"/>
      <c r="AJ908" s="50" t="str">
        <f>if('Ingest Template'!A907="Standard",'Ingest Template'!R907&amp; "|DAR|DAR|2021-01-01",'Ingest Template'!R907&amp; "|Operations - Core Title|Operations - Core Title")</f>
        <v>#N/A</v>
      </c>
      <c r="AK908" s="25"/>
      <c r="AL908" s="25" t="str">
        <f>if('Ingest Template'!A907="Standard",'Ingest Template'!S907&amp; "|2021-01-01",'Ingest Template'!S907)</f>
        <v>#N/A</v>
      </c>
      <c r="AM908" s="25"/>
    </row>
    <row r="909">
      <c r="A909" s="25"/>
      <c r="B909" s="25" t="str">
        <f>'Ingest Template'!C908&amp;IF('Ingest Template'!A908 = "Standard", " - DAR","")</f>
        <v/>
      </c>
      <c r="C909" s="34" t="s">
        <v>92</v>
      </c>
      <c r="D909" s="34" t="str">
        <f>CONCATENATE('Ingest Template'!E909&amp;Char(10)&amp;'Ingest Template'!G909&amp;Char(10)&amp;'Ingest Template'!H909&amp;Char(10)&amp;'Ingest Template'!I909&amp;Char(10)&amp;'Ingest Template'!J909&amp;Char(10)&amp;'Ingest Template'!K909&amp;Char(10)&amp;'Ingest Template'!L909)</f>
        <v>
</v>
      </c>
      <c r="E909" s="25" t="str">
        <f>('Ingest Template'!M909)</f>
        <v/>
      </c>
      <c r="F909" s="40" t="str">
        <f t="array" ref="F909">INDEX(DropDown!$J$2:$J$63,MATCH(1,COUNTIF(E909,DropDown!$I$2:$I$63),0))</f>
        <v>#N/A</v>
      </c>
      <c r="G909" s="25"/>
      <c r="H909" s="25"/>
      <c r="I909" s="25"/>
      <c r="J909" s="25" t="str">
        <f>'Ingest Template'!B909</f>
        <v/>
      </c>
      <c r="K909" s="25" t="str">
        <f>IF('Ingest Template'!A908="Standard",'Ingest Template'!N908,"Competitive View")</f>
        <v>Competitive View</v>
      </c>
      <c r="L909" s="41" t="s">
        <v>145</v>
      </c>
      <c r="M909" s="25" t="str">
        <f>'Ingest Template'!D908</f>
        <v/>
      </c>
      <c r="N909" s="25"/>
      <c r="O909" s="25"/>
      <c r="P909" s="25"/>
      <c r="Q909" s="25"/>
      <c r="R909" s="25" t="str">
        <f>CONCATENATE('Ingest Template'!F908)</f>
        <v/>
      </c>
      <c r="S909" s="43" t="s">
        <v>160</v>
      </c>
      <c r="T909" s="25" t="str">
        <f>'Ingest Template'!W908</f>
        <v/>
      </c>
      <c r="U909" s="25"/>
      <c r="V909" s="25" t="str">
        <f>LOWER(SUBSTITUTE(SUBSTITUTE(SUBSTITUTE(SUBSTITUTE(SUBSTITUTE('Ingest Template'!Y908,"https:",""),"www.",""),"/",""),"?hl=en",""),"instagram.com",""))</f>
        <v/>
      </c>
      <c r="W909" s="34" t="str">
        <f>(IFERROR(vlookup('Ingest Template'!F909,DropDown!D:E,2,false)&amp;'Ingest Template'!C909,""))</f>
        <v/>
      </c>
      <c r="X909" s="25" t="str">
        <f>'Ingest Template'!AA908</f>
        <v/>
      </c>
      <c r="Y909" s="25"/>
      <c r="Z909" s="25"/>
      <c r="AA909" s="25"/>
      <c r="AB909" s="25" t="str">
        <f>'Ingest Template'!T908</f>
        <v/>
      </c>
      <c r="AC909" s="25"/>
      <c r="AD909" s="25" t="str">
        <f>'Ingest Template'!U908</f>
        <v/>
      </c>
      <c r="AE909" s="25" t="str">
        <f>'Ingest Template'!V908</f>
        <v/>
      </c>
      <c r="AF909" s="25"/>
      <c r="AG909" s="25" t="str">
        <f t="array" ref="AG909">IF('Ingest Template'!A908="Standard",(CONCATENATE(IF(ISBLANK('Ingest Template'!O908),"", 'Ingest Template'!O908&amp;"|DAR"),CHAR(10), IF(ISBLANK('Ingest Template'!P908),"", 'Ingest Template'!P908&amp;"|DAR"),CHAR(10), IF(ISBLANK('Ingest Template'!Q908),"", 'Ingest Template'!Q908&amp;"|DAR"))),(CONCATENATE(IF(ISBLANK('Ingest Template'!O908),"", 'Ingest Template'!O908&amp;"|Operations - Core Title"),CHAR(10), IF(ISBLANK('Ingest Template'!P908),"", 'Ingest Template'!P908&amp;"|Operations - Core Title"),CHAR(10), IF(ISBLANK('Ingest Template'!Q908),"", 'Ingest Template'!Q908&amp;"|Operations - Core Title"))))</f>
        <v>#|Operations - Core Title
#videoGame|Operations - Core Title
</v>
      </c>
      <c r="AH909" s="25"/>
      <c r="AI909" s="25"/>
      <c r="AJ909" s="50" t="str">
        <f>if('Ingest Template'!A908="Standard",'Ingest Template'!R908&amp; "|DAR|DAR|2021-01-01",'Ingest Template'!R908&amp; "|Operations - Core Title|Operations - Core Title")</f>
        <v>#N/A</v>
      </c>
      <c r="AK909" s="25"/>
      <c r="AL909" s="25" t="str">
        <f>if('Ingest Template'!A908="Standard",'Ingest Template'!S908&amp; "|2021-01-01",'Ingest Template'!S908)</f>
        <v>#N/A</v>
      </c>
      <c r="AM909" s="25"/>
    </row>
    <row r="910">
      <c r="A910" s="25"/>
      <c r="B910" s="25" t="str">
        <f>'Ingest Template'!C909&amp;IF('Ingest Template'!A909 = "Standard", " - DAR","")</f>
        <v/>
      </c>
      <c r="C910" s="34" t="s">
        <v>92</v>
      </c>
      <c r="D910" s="34" t="str">
        <f>CONCATENATE('Ingest Template'!E910&amp;Char(10)&amp;'Ingest Template'!G910&amp;Char(10)&amp;'Ingest Template'!H910&amp;Char(10)&amp;'Ingest Template'!I910&amp;Char(10)&amp;'Ingest Template'!J910&amp;Char(10)&amp;'Ingest Template'!K910&amp;Char(10)&amp;'Ingest Template'!L910)</f>
        <v>
</v>
      </c>
      <c r="E910" s="25" t="str">
        <f>('Ingest Template'!M910)</f>
        <v/>
      </c>
      <c r="F910" s="40" t="str">
        <f t="array" ref="F910">INDEX(DropDown!$J$2:$J$63,MATCH(1,COUNTIF(E910,DropDown!$I$2:$I$63),0))</f>
        <v>#N/A</v>
      </c>
      <c r="G910" s="25"/>
      <c r="H910" s="25"/>
      <c r="I910" s="25"/>
      <c r="J910" s="25" t="str">
        <f>'Ingest Template'!B910</f>
        <v/>
      </c>
      <c r="K910" s="25" t="str">
        <f>IF('Ingest Template'!A909="Standard",'Ingest Template'!N909,"Competitive View")</f>
        <v>Competitive View</v>
      </c>
      <c r="L910" s="41" t="s">
        <v>145</v>
      </c>
      <c r="M910" s="25" t="str">
        <f>'Ingest Template'!D909</f>
        <v/>
      </c>
      <c r="N910" s="25"/>
      <c r="O910" s="25"/>
      <c r="P910" s="25"/>
      <c r="Q910" s="25"/>
      <c r="R910" s="25" t="str">
        <f>CONCATENATE('Ingest Template'!F909)</f>
        <v/>
      </c>
      <c r="S910" s="43" t="s">
        <v>160</v>
      </c>
      <c r="T910" s="25" t="str">
        <f>'Ingest Template'!W909</f>
        <v/>
      </c>
      <c r="U910" s="25"/>
      <c r="V910" s="25" t="str">
        <f>LOWER(SUBSTITUTE(SUBSTITUTE(SUBSTITUTE(SUBSTITUTE(SUBSTITUTE('Ingest Template'!Y909,"https:",""),"www.",""),"/",""),"?hl=en",""),"instagram.com",""))</f>
        <v/>
      </c>
      <c r="W910" s="34" t="str">
        <f>(IFERROR(vlookup('Ingest Template'!F910,DropDown!D:E,2,false)&amp;'Ingest Template'!C910,""))</f>
        <v/>
      </c>
      <c r="X910" s="25" t="str">
        <f>'Ingest Template'!AA909</f>
        <v/>
      </c>
      <c r="Y910" s="25"/>
      <c r="Z910" s="25"/>
      <c r="AA910" s="25"/>
      <c r="AB910" s="25" t="str">
        <f>'Ingest Template'!T909</f>
        <v/>
      </c>
      <c r="AC910" s="25"/>
      <c r="AD910" s="25" t="str">
        <f>'Ingest Template'!U909</f>
        <v/>
      </c>
      <c r="AE910" s="25" t="str">
        <f>'Ingest Template'!V909</f>
        <v/>
      </c>
      <c r="AF910" s="25"/>
      <c r="AG910" s="25" t="str">
        <f t="array" ref="AG910">IF('Ingest Template'!A909="Standard",(CONCATENATE(IF(ISBLANK('Ingest Template'!O909),"", 'Ingest Template'!O909&amp;"|DAR"),CHAR(10), IF(ISBLANK('Ingest Template'!P909),"", 'Ingest Template'!P909&amp;"|DAR"),CHAR(10), IF(ISBLANK('Ingest Template'!Q909),"", 'Ingest Template'!Q909&amp;"|DAR"))),(CONCATENATE(IF(ISBLANK('Ingest Template'!O909),"", 'Ingest Template'!O909&amp;"|Operations - Core Title"),CHAR(10), IF(ISBLANK('Ingest Template'!P909),"", 'Ingest Template'!P909&amp;"|Operations - Core Title"),CHAR(10), IF(ISBLANK('Ingest Template'!Q909),"", 'Ingest Template'!Q909&amp;"|Operations - Core Title"))))</f>
        <v>#|Operations - Core Title
#videoGame|Operations - Core Title
</v>
      </c>
      <c r="AH910" s="25"/>
      <c r="AI910" s="25"/>
      <c r="AJ910" s="50" t="str">
        <f>if('Ingest Template'!A909="Standard",'Ingest Template'!R909&amp; "|DAR|DAR|2021-01-01",'Ingest Template'!R909&amp; "|Operations - Core Title|Operations - Core Title")</f>
        <v>#N/A</v>
      </c>
      <c r="AK910" s="25"/>
      <c r="AL910" s="25" t="str">
        <f>if('Ingest Template'!A909="Standard",'Ingest Template'!S909&amp; "|2021-01-01",'Ingest Template'!S909)</f>
        <v>#N/A</v>
      </c>
      <c r="AM910" s="25"/>
    </row>
    <row r="911">
      <c r="A911" s="25"/>
      <c r="B911" s="25" t="str">
        <f>'Ingest Template'!C910&amp;IF('Ingest Template'!A910 = "Standard", " - DAR","")</f>
        <v/>
      </c>
      <c r="C911" s="34" t="s">
        <v>92</v>
      </c>
      <c r="D911" s="34" t="str">
        <f>CONCATENATE('Ingest Template'!E911&amp;Char(10)&amp;'Ingest Template'!G911&amp;Char(10)&amp;'Ingest Template'!H911&amp;Char(10)&amp;'Ingest Template'!I911&amp;Char(10)&amp;'Ingest Template'!J911&amp;Char(10)&amp;'Ingest Template'!K911&amp;Char(10)&amp;'Ingest Template'!L911)</f>
        <v>
</v>
      </c>
      <c r="E911" s="25" t="str">
        <f>('Ingest Template'!M911)</f>
        <v/>
      </c>
      <c r="F911" s="40" t="str">
        <f t="array" ref="F911">INDEX(DropDown!$J$2:$J$63,MATCH(1,COUNTIF(E911,DropDown!$I$2:$I$63),0))</f>
        <v>#N/A</v>
      </c>
      <c r="G911" s="25"/>
      <c r="H911" s="25"/>
      <c r="I911" s="25"/>
      <c r="J911" s="25" t="str">
        <f>'Ingest Template'!B911</f>
        <v/>
      </c>
      <c r="K911" s="25" t="str">
        <f>IF('Ingest Template'!A910="Standard",'Ingest Template'!N910,"Competitive View")</f>
        <v>Competitive View</v>
      </c>
      <c r="L911" s="41" t="s">
        <v>145</v>
      </c>
      <c r="M911" s="25" t="str">
        <f>'Ingest Template'!D910</f>
        <v/>
      </c>
      <c r="N911" s="25"/>
      <c r="O911" s="25"/>
      <c r="P911" s="25"/>
      <c r="Q911" s="25"/>
      <c r="R911" s="25" t="str">
        <f>CONCATENATE('Ingest Template'!F910)</f>
        <v/>
      </c>
      <c r="S911" s="43" t="s">
        <v>160</v>
      </c>
      <c r="T911" s="25" t="str">
        <f>'Ingest Template'!W910</f>
        <v/>
      </c>
      <c r="U911" s="25"/>
      <c r="V911" s="25" t="str">
        <f>LOWER(SUBSTITUTE(SUBSTITUTE(SUBSTITUTE(SUBSTITUTE(SUBSTITUTE('Ingest Template'!Y910,"https:",""),"www.",""),"/",""),"?hl=en",""),"instagram.com",""))</f>
        <v/>
      </c>
      <c r="W911" s="34" t="str">
        <f>(IFERROR(vlookup('Ingest Template'!F911,DropDown!D:E,2,false)&amp;'Ingest Template'!C911,""))</f>
        <v/>
      </c>
      <c r="X911" s="25" t="str">
        <f>'Ingest Template'!AA910</f>
        <v/>
      </c>
      <c r="Y911" s="25"/>
      <c r="Z911" s="25"/>
      <c r="AA911" s="25"/>
      <c r="AB911" s="25" t="str">
        <f>'Ingest Template'!T910</f>
        <v/>
      </c>
      <c r="AC911" s="25"/>
      <c r="AD911" s="25" t="str">
        <f>'Ingest Template'!U910</f>
        <v/>
      </c>
      <c r="AE911" s="25" t="str">
        <f>'Ingest Template'!V910</f>
        <v/>
      </c>
      <c r="AF911" s="25"/>
      <c r="AG911" s="25" t="str">
        <f t="array" ref="AG911">IF('Ingest Template'!A910="Standard",(CONCATENATE(IF(ISBLANK('Ingest Template'!O910),"", 'Ingest Template'!O910&amp;"|DAR"),CHAR(10), IF(ISBLANK('Ingest Template'!P910),"", 'Ingest Template'!P910&amp;"|DAR"),CHAR(10), IF(ISBLANK('Ingest Template'!Q910),"", 'Ingest Template'!Q910&amp;"|DAR"))),(CONCATENATE(IF(ISBLANK('Ingest Template'!O910),"", 'Ingest Template'!O910&amp;"|Operations - Core Title"),CHAR(10), IF(ISBLANK('Ingest Template'!P910),"", 'Ingest Template'!P910&amp;"|Operations - Core Title"),CHAR(10), IF(ISBLANK('Ingest Template'!Q910),"", 'Ingest Template'!Q910&amp;"|Operations - Core Title"))))</f>
        <v>#|Operations - Core Title
#videoGame|Operations - Core Title
</v>
      </c>
      <c r="AH911" s="25"/>
      <c r="AI911" s="25"/>
      <c r="AJ911" s="50" t="str">
        <f>if('Ingest Template'!A910="Standard",'Ingest Template'!R910&amp; "|DAR|DAR|2021-01-01",'Ingest Template'!R910&amp; "|Operations - Core Title|Operations - Core Title")</f>
        <v>#N/A</v>
      </c>
      <c r="AK911" s="25"/>
      <c r="AL911" s="25" t="str">
        <f>if('Ingest Template'!A910="Standard",'Ingest Template'!S910&amp; "|2021-01-01",'Ingest Template'!S910)</f>
        <v>#N/A</v>
      </c>
      <c r="AM911" s="25"/>
    </row>
    <row r="912">
      <c r="A912" s="25"/>
      <c r="B912" s="25" t="str">
        <f>'Ingest Template'!C911&amp;IF('Ingest Template'!A911 = "Standard", " - DAR","")</f>
        <v/>
      </c>
      <c r="C912" s="34" t="s">
        <v>92</v>
      </c>
      <c r="D912" s="34" t="str">
        <f>CONCATENATE('Ingest Template'!E912&amp;Char(10)&amp;'Ingest Template'!G912&amp;Char(10)&amp;'Ingest Template'!H912&amp;Char(10)&amp;'Ingest Template'!I912&amp;Char(10)&amp;'Ingest Template'!J912&amp;Char(10)&amp;'Ingest Template'!K912&amp;Char(10)&amp;'Ingest Template'!L912)</f>
        <v>
</v>
      </c>
      <c r="E912" s="25" t="str">
        <f>('Ingest Template'!M912)</f>
        <v/>
      </c>
      <c r="F912" s="40" t="str">
        <f t="array" ref="F912">INDEX(DropDown!$J$2:$J$63,MATCH(1,COUNTIF(E912,DropDown!$I$2:$I$63),0))</f>
        <v>#N/A</v>
      </c>
      <c r="G912" s="25"/>
      <c r="H912" s="25"/>
      <c r="I912" s="25"/>
      <c r="J912" s="25" t="str">
        <f>'Ingest Template'!B912</f>
        <v/>
      </c>
      <c r="K912" s="25" t="str">
        <f>IF('Ingest Template'!A911="Standard",'Ingest Template'!N911,"Competitive View")</f>
        <v>Competitive View</v>
      </c>
      <c r="L912" s="41" t="s">
        <v>145</v>
      </c>
      <c r="M912" s="25" t="str">
        <f>'Ingest Template'!D911</f>
        <v/>
      </c>
      <c r="N912" s="25"/>
      <c r="O912" s="25"/>
      <c r="P912" s="25"/>
      <c r="Q912" s="25"/>
      <c r="R912" s="25" t="str">
        <f>CONCATENATE('Ingest Template'!F911)</f>
        <v/>
      </c>
      <c r="S912" s="43" t="s">
        <v>160</v>
      </c>
      <c r="T912" s="25" t="str">
        <f>'Ingest Template'!W911</f>
        <v/>
      </c>
      <c r="U912" s="25"/>
      <c r="V912" s="25" t="str">
        <f>LOWER(SUBSTITUTE(SUBSTITUTE(SUBSTITUTE(SUBSTITUTE(SUBSTITUTE('Ingest Template'!Y911,"https:",""),"www.",""),"/",""),"?hl=en",""),"instagram.com",""))</f>
        <v/>
      </c>
      <c r="W912" s="34" t="str">
        <f>(IFERROR(vlookup('Ingest Template'!F912,DropDown!D:E,2,false)&amp;'Ingest Template'!C912,""))</f>
        <v/>
      </c>
      <c r="X912" s="25" t="str">
        <f>'Ingest Template'!AA911</f>
        <v/>
      </c>
      <c r="Y912" s="25"/>
      <c r="Z912" s="25"/>
      <c r="AA912" s="25"/>
      <c r="AB912" s="25" t="str">
        <f>'Ingest Template'!T911</f>
        <v/>
      </c>
      <c r="AC912" s="25"/>
      <c r="AD912" s="25" t="str">
        <f>'Ingest Template'!U911</f>
        <v/>
      </c>
      <c r="AE912" s="25" t="str">
        <f>'Ingest Template'!V911</f>
        <v/>
      </c>
      <c r="AF912" s="25"/>
      <c r="AG912" s="25" t="str">
        <f t="array" ref="AG912">IF('Ingest Template'!A911="Standard",(CONCATENATE(IF(ISBLANK('Ingest Template'!O911),"", 'Ingest Template'!O911&amp;"|DAR"),CHAR(10), IF(ISBLANK('Ingest Template'!P911),"", 'Ingest Template'!P911&amp;"|DAR"),CHAR(10), IF(ISBLANK('Ingest Template'!Q911),"", 'Ingest Template'!Q911&amp;"|DAR"))),(CONCATENATE(IF(ISBLANK('Ingest Template'!O911),"", 'Ingest Template'!O911&amp;"|Operations - Core Title"),CHAR(10), IF(ISBLANK('Ingest Template'!P911),"", 'Ingest Template'!P911&amp;"|Operations - Core Title"),CHAR(10), IF(ISBLANK('Ingest Template'!Q911),"", 'Ingest Template'!Q911&amp;"|Operations - Core Title"))))</f>
        <v>#|Operations - Core Title
#videoGame|Operations - Core Title
</v>
      </c>
      <c r="AH912" s="25"/>
      <c r="AI912" s="25"/>
      <c r="AJ912" s="50" t="str">
        <f>if('Ingest Template'!A911="Standard",'Ingest Template'!R911&amp; "|DAR|DAR|2021-01-01",'Ingest Template'!R911&amp; "|Operations - Core Title|Operations - Core Title")</f>
        <v>#N/A</v>
      </c>
      <c r="AK912" s="25"/>
      <c r="AL912" s="25" t="str">
        <f>if('Ingest Template'!A911="Standard",'Ingest Template'!S911&amp; "|2021-01-01",'Ingest Template'!S911)</f>
        <v>#N/A</v>
      </c>
      <c r="AM912" s="25"/>
    </row>
    <row r="913">
      <c r="A913" s="25"/>
      <c r="B913" s="25" t="str">
        <f>'Ingest Template'!C912&amp;IF('Ingest Template'!A912 = "Standard", " - DAR","")</f>
        <v/>
      </c>
      <c r="C913" s="34" t="s">
        <v>92</v>
      </c>
      <c r="D913" s="34" t="str">
        <f>CONCATENATE('Ingest Template'!E913&amp;Char(10)&amp;'Ingest Template'!G913&amp;Char(10)&amp;'Ingest Template'!H913&amp;Char(10)&amp;'Ingest Template'!I913&amp;Char(10)&amp;'Ingest Template'!J913&amp;Char(10)&amp;'Ingest Template'!K913&amp;Char(10)&amp;'Ingest Template'!L913)</f>
        <v>
</v>
      </c>
      <c r="E913" s="25" t="str">
        <f>('Ingest Template'!M913)</f>
        <v/>
      </c>
      <c r="F913" s="40" t="str">
        <f t="array" ref="F913">INDEX(DropDown!$J$2:$J$63,MATCH(1,COUNTIF(E913,DropDown!$I$2:$I$63),0))</f>
        <v>#N/A</v>
      </c>
      <c r="G913" s="25"/>
      <c r="H913" s="25"/>
      <c r="I913" s="25"/>
      <c r="J913" s="25" t="str">
        <f>'Ingest Template'!B913</f>
        <v/>
      </c>
      <c r="K913" s="25" t="str">
        <f>IF('Ingest Template'!A912="Standard",'Ingest Template'!N912,"Competitive View")</f>
        <v>Competitive View</v>
      </c>
      <c r="L913" s="41" t="s">
        <v>145</v>
      </c>
      <c r="M913" s="25" t="str">
        <f>'Ingest Template'!D912</f>
        <v/>
      </c>
      <c r="N913" s="25"/>
      <c r="O913" s="25"/>
      <c r="P913" s="25"/>
      <c r="Q913" s="25"/>
      <c r="R913" s="25" t="str">
        <f>CONCATENATE('Ingest Template'!F912)</f>
        <v/>
      </c>
      <c r="S913" s="43" t="s">
        <v>160</v>
      </c>
      <c r="T913" s="25" t="str">
        <f>'Ingest Template'!W912</f>
        <v/>
      </c>
      <c r="U913" s="25"/>
      <c r="V913" s="25" t="str">
        <f>LOWER(SUBSTITUTE(SUBSTITUTE(SUBSTITUTE(SUBSTITUTE(SUBSTITUTE('Ingest Template'!Y912,"https:",""),"www.",""),"/",""),"?hl=en",""),"instagram.com",""))</f>
        <v/>
      </c>
      <c r="W913" s="34" t="str">
        <f>(IFERROR(vlookup('Ingest Template'!F913,DropDown!D:E,2,false)&amp;'Ingest Template'!C913,""))</f>
        <v/>
      </c>
      <c r="X913" s="25" t="str">
        <f>'Ingest Template'!AA912</f>
        <v/>
      </c>
      <c r="Y913" s="25"/>
      <c r="Z913" s="25"/>
      <c r="AA913" s="25"/>
      <c r="AB913" s="25" t="str">
        <f>'Ingest Template'!T912</f>
        <v/>
      </c>
      <c r="AC913" s="25"/>
      <c r="AD913" s="25" t="str">
        <f>'Ingest Template'!U912</f>
        <v/>
      </c>
      <c r="AE913" s="25" t="str">
        <f>'Ingest Template'!V912</f>
        <v/>
      </c>
      <c r="AF913" s="25"/>
      <c r="AG913" s="25" t="str">
        <f t="array" ref="AG913">IF('Ingest Template'!A912="Standard",(CONCATENATE(IF(ISBLANK('Ingest Template'!O912),"", 'Ingest Template'!O912&amp;"|DAR"),CHAR(10), IF(ISBLANK('Ingest Template'!P912),"", 'Ingest Template'!P912&amp;"|DAR"),CHAR(10), IF(ISBLANK('Ingest Template'!Q912),"", 'Ingest Template'!Q912&amp;"|DAR"))),(CONCATENATE(IF(ISBLANK('Ingest Template'!O912),"", 'Ingest Template'!O912&amp;"|Operations - Core Title"),CHAR(10), IF(ISBLANK('Ingest Template'!P912),"", 'Ingest Template'!P912&amp;"|Operations - Core Title"),CHAR(10), IF(ISBLANK('Ingest Template'!Q912),"", 'Ingest Template'!Q912&amp;"|Operations - Core Title"))))</f>
        <v>#|Operations - Core Title
#videoGame|Operations - Core Title
</v>
      </c>
      <c r="AH913" s="25"/>
      <c r="AI913" s="25"/>
      <c r="AJ913" s="50" t="str">
        <f>if('Ingest Template'!A912="Standard",'Ingest Template'!R912&amp; "|DAR|DAR|2021-01-01",'Ingest Template'!R912&amp; "|Operations - Core Title|Operations - Core Title")</f>
        <v>#N/A</v>
      </c>
      <c r="AK913" s="25"/>
      <c r="AL913" s="25" t="str">
        <f>if('Ingest Template'!A912="Standard",'Ingest Template'!S912&amp; "|2021-01-01",'Ingest Template'!S912)</f>
        <v>#N/A</v>
      </c>
      <c r="AM913" s="25"/>
    </row>
    <row r="914">
      <c r="A914" s="25"/>
      <c r="B914" s="25" t="str">
        <f>'Ingest Template'!C913&amp;IF('Ingest Template'!A913 = "Standard", " - DAR","")</f>
        <v/>
      </c>
      <c r="C914" s="34" t="s">
        <v>92</v>
      </c>
      <c r="D914" s="34" t="str">
        <f>CONCATENATE('Ingest Template'!E914&amp;Char(10)&amp;'Ingest Template'!G914&amp;Char(10)&amp;'Ingest Template'!H914&amp;Char(10)&amp;'Ingest Template'!I914&amp;Char(10)&amp;'Ingest Template'!J914&amp;Char(10)&amp;'Ingest Template'!K914&amp;Char(10)&amp;'Ingest Template'!L914)</f>
        <v>
</v>
      </c>
      <c r="E914" s="25" t="str">
        <f>('Ingest Template'!M914)</f>
        <v/>
      </c>
      <c r="F914" s="40" t="str">
        <f t="array" ref="F914">INDEX(DropDown!$J$2:$J$63,MATCH(1,COUNTIF(E914,DropDown!$I$2:$I$63),0))</f>
        <v>#N/A</v>
      </c>
      <c r="G914" s="25"/>
      <c r="H914" s="25"/>
      <c r="I914" s="25"/>
      <c r="J914" s="25" t="str">
        <f>'Ingest Template'!B914</f>
        <v/>
      </c>
      <c r="K914" s="25" t="str">
        <f>IF('Ingest Template'!A913="Standard",'Ingest Template'!N913,"Competitive View")</f>
        <v>Competitive View</v>
      </c>
      <c r="L914" s="41" t="s">
        <v>145</v>
      </c>
      <c r="M914" s="25" t="str">
        <f>'Ingest Template'!D913</f>
        <v/>
      </c>
      <c r="N914" s="25"/>
      <c r="O914" s="25"/>
      <c r="P914" s="25"/>
      <c r="Q914" s="25"/>
      <c r="R914" s="25" t="str">
        <f>CONCATENATE('Ingest Template'!F913)</f>
        <v/>
      </c>
      <c r="S914" s="43" t="s">
        <v>160</v>
      </c>
      <c r="T914" s="25" t="str">
        <f>'Ingest Template'!W913</f>
        <v/>
      </c>
      <c r="U914" s="25"/>
      <c r="V914" s="25" t="str">
        <f>LOWER(SUBSTITUTE(SUBSTITUTE(SUBSTITUTE(SUBSTITUTE(SUBSTITUTE('Ingest Template'!Y913,"https:",""),"www.",""),"/",""),"?hl=en",""),"instagram.com",""))</f>
        <v/>
      </c>
      <c r="W914" s="34" t="str">
        <f>(IFERROR(vlookup('Ingest Template'!F914,DropDown!D:E,2,false)&amp;'Ingest Template'!C914,""))</f>
        <v/>
      </c>
      <c r="X914" s="25" t="str">
        <f>'Ingest Template'!AA913</f>
        <v/>
      </c>
      <c r="Y914" s="25"/>
      <c r="Z914" s="25"/>
      <c r="AA914" s="25"/>
      <c r="AB914" s="25" t="str">
        <f>'Ingest Template'!T913</f>
        <v/>
      </c>
      <c r="AC914" s="25"/>
      <c r="AD914" s="25" t="str">
        <f>'Ingest Template'!U913</f>
        <v/>
      </c>
      <c r="AE914" s="25" t="str">
        <f>'Ingest Template'!V913</f>
        <v/>
      </c>
      <c r="AF914" s="25"/>
      <c r="AG914" s="25" t="str">
        <f t="array" ref="AG914">IF('Ingest Template'!A913="Standard",(CONCATENATE(IF(ISBLANK('Ingest Template'!O913),"", 'Ingest Template'!O913&amp;"|DAR"),CHAR(10), IF(ISBLANK('Ingest Template'!P913),"", 'Ingest Template'!P913&amp;"|DAR"),CHAR(10), IF(ISBLANK('Ingest Template'!Q913),"", 'Ingest Template'!Q913&amp;"|DAR"))),(CONCATENATE(IF(ISBLANK('Ingest Template'!O913),"", 'Ingest Template'!O913&amp;"|Operations - Core Title"),CHAR(10), IF(ISBLANK('Ingest Template'!P913),"", 'Ingest Template'!P913&amp;"|Operations - Core Title"),CHAR(10), IF(ISBLANK('Ingest Template'!Q913),"", 'Ingest Template'!Q913&amp;"|Operations - Core Title"))))</f>
        <v>#|Operations - Core Title
#videoGame|Operations - Core Title
</v>
      </c>
      <c r="AH914" s="25"/>
      <c r="AI914" s="25"/>
      <c r="AJ914" s="50" t="str">
        <f>if('Ingest Template'!A913="Standard",'Ingest Template'!R913&amp; "|DAR|DAR|2021-01-01",'Ingest Template'!R913&amp; "|Operations - Core Title|Operations - Core Title")</f>
        <v>#N/A</v>
      </c>
      <c r="AK914" s="25"/>
      <c r="AL914" s="25" t="str">
        <f>if('Ingest Template'!A913="Standard",'Ingest Template'!S913&amp; "|2021-01-01",'Ingest Template'!S913)</f>
        <v>#N/A</v>
      </c>
      <c r="AM914" s="25"/>
    </row>
    <row r="915">
      <c r="A915" s="25"/>
      <c r="B915" s="25" t="str">
        <f>'Ingest Template'!C914&amp;IF('Ingest Template'!A914 = "Standard", " - DAR","")</f>
        <v/>
      </c>
      <c r="C915" s="34" t="s">
        <v>92</v>
      </c>
      <c r="D915" s="34" t="str">
        <f>CONCATENATE('Ingest Template'!E915&amp;Char(10)&amp;'Ingest Template'!G915&amp;Char(10)&amp;'Ingest Template'!H915&amp;Char(10)&amp;'Ingest Template'!I915&amp;Char(10)&amp;'Ingest Template'!J915&amp;Char(10)&amp;'Ingest Template'!K915&amp;Char(10)&amp;'Ingest Template'!L915)</f>
        <v>
</v>
      </c>
      <c r="E915" s="25" t="str">
        <f>('Ingest Template'!M915)</f>
        <v/>
      </c>
      <c r="F915" s="40" t="str">
        <f t="array" ref="F915">INDEX(DropDown!$J$2:$J$63,MATCH(1,COUNTIF(E915,DropDown!$I$2:$I$63),0))</f>
        <v>#N/A</v>
      </c>
      <c r="G915" s="25"/>
      <c r="H915" s="25"/>
      <c r="I915" s="25"/>
      <c r="J915" s="25" t="str">
        <f>'Ingest Template'!B915</f>
        <v/>
      </c>
      <c r="K915" s="25" t="str">
        <f>IF('Ingest Template'!A914="Standard",'Ingest Template'!N914,"Competitive View")</f>
        <v>Competitive View</v>
      </c>
      <c r="L915" s="41" t="s">
        <v>145</v>
      </c>
      <c r="M915" s="25" t="str">
        <f>'Ingest Template'!D914</f>
        <v/>
      </c>
      <c r="N915" s="25"/>
      <c r="O915" s="25"/>
      <c r="P915" s="25"/>
      <c r="Q915" s="25"/>
      <c r="R915" s="25" t="str">
        <f>CONCATENATE('Ingest Template'!F914)</f>
        <v/>
      </c>
      <c r="S915" s="43" t="s">
        <v>160</v>
      </c>
      <c r="T915" s="25" t="str">
        <f>'Ingest Template'!W914</f>
        <v/>
      </c>
      <c r="U915" s="25"/>
      <c r="V915" s="25" t="str">
        <f>LOWER(SUBSTITUTE(SUBSTITUTE(SUBSTITUTE(SUBSTITUTE(SUBSTITUTE('Ingest Template'!Y914,"https:",""),"www.",""),"/",""),"?hl=en",""),"instagram.com",""))</f>
        <v/>
      </c>
      <c r="W915" s="34" t="str">
        <f>(IFERROR(vlookup('Ingest Template'!F915,DropDown!D:E,2,false)&amp;'Ingest Template'!C915,""))</f>
        <v/>
      </c>
      <c r="X915" s="25" t="str">
        <f>'Ingest Template'!AA914</f>
        <v/>
      </c>
      <c r="Y915" s="25"/>
      <c r="Z915" s="25"/>
      <c r="AA915" s="25"/>
      <c r="AB915" s="25" t="str">
        <f>'Ingest Template'!T914</f>
        <v/>
      </c>
      <c r="AC915" s="25"/>
      <c r="AD915" s="25" t="str">
        <f>'Ingest Template'!U914</f>
        <v/>
      </c>
      <c r="AE915" s="25" t="str">
        <f>'Ingest Template'!V914</f>
        <v/>
      </c>
      <c r="AF915" s="25"/>
      <c r="AG915" s="25" t="str">
        <f t="array" ref="AG915">IF('Ingest Template'!A914="Standard",(CONCATENATE(IF(ISBLANK('Ingest Template'!O914),"", 'Ingest Template'!O914&amp;"|DAR"),CHAR(10), IF(ISBLANK('Ingest Template'!P914),"", 'Ingest Template'!P914&amp;"|DAR"),CHAR(10), IF(ISBLANK('Ingest Template'!Q914),"", 'Ingest Template'!Q914&amp;"|DAR"))),(CONCATENATE(IF(ISBLANK('Ingest Template'!O914),"", 'Ingest Template'!O914&amp;"|Operations - Core Title"),CHAR(10), IF(ISBLANK('Ingest Template'!P914),"", 'Ingest Template'!P914&amp;"|Operations - Core Title"),CHAR(10), IF(ISBLANK('Ingest Template'!Q914),"", 'Ingest Template'!Q914&amp;"|Operations - Core Title"))))</f>
        <v>#|Operations - Core Title
#videoGame|Operations - Core Title
</v>
      </c>
      <c r="AH915" s="25"/>
      <c r="AI915" s="25"/>
      <c r="AJ915" s="50" t="str">
        <f>if('Ingest Template'!A914="Standard",'Ingest Template'!R914&amp; "|DAR|DAR|2021-01-01",'Ingest Template'!R914&amp; "|Operations - Core Title|Operations - Core Title")</f>
        <v>#N/A</v>
      </c>
      <c r="AK915" s="25"/>
      <c r="AL915" s="25" t="str">
        <f>if('Ingest Template'!A914="Standard",'Ingest Template'!S914&amp; "|2021-01-01",'Ingest Template'!S914)</f>
        <v>#N/A</v>
      </c>
      <c r="AM915" s="25"/>
    </row>
    <row r="916">
      <c r="A916" s="25"/>
      <c r="B916" s="25" t="str">
        <f>'Ingest Template'!C915&amp;IF('Ingest Template'!A915 = "Standard", " - DAR","")</f>
        <v/>
      </c>
      <c r="C916" s="34" t="s">
        <v>92</v>
      </c>
      <c r="D916" s="34" t="str">
        <f>CONCATENATE('Ingest Template'!E916&amp;Char(10)&amp;'Ingest Template'!G916&amp;Char(10)&amp;'Ingest Template'!H916&amp;Char(10)&amp;'Ingest Template'!I916&amp;Char(10)&amp;'Ingest Template'!J916&amp;Char(10)&amp;'Ingest Template'!K916&amp;Char(10)&amp;'Ingest Template'!L916)</f>
        <v>
</v>
      </c>
      <c r="E916" s="25" t="str">
        <f>('Ingest Template'!M916)</f>
        <v/>
      </c>
      <c r="F916" s="40" t="str">
        <f t="array" ref="F916">INDEX(DropDown!$J$2:$J$63,MATCH(1,COUNTIF(E916,DropDown!$I$2:$I$63),0))</f>
        <v>#N/A</v>
      </c>
      <c r="G916" s="25"/>
      <c r="H916" s="25"/>
      <c r="I916" s="25"/>
      <c r="J916" s="25" t="str">
        <f>'Ingest Template'!B916</f>
        <v/>
      </c>
      <c r="K916" s="25" t="str">
        <f>IF('Ingest Template'!A915="Standard",'Ingest Template'!N915,"Competitive View")</f>
        <v>Competitive View</v>
      </c>
      <c r="L916" s="41" t="s">
        <v>145</v>
      </c>
      <c r="M916" s="25" t="str">
        <f>'Ingest Template'!D915</f>
        <v/>
      </c>
      <c r="N916" s="25"/>
      <c r="O916" s="25"/>
      <c r="P916" s="25"/>
      <c r="Q916" s="25"/>
      <c r="R916" s="25" t="str">
        <f>CONCATENATE('Ingest Template'!F915)</f>
        <v/>
      </c>
      <c r="S916" s="43" t="s">
        <v>160</v>
      </c>
      <c r="T916" s="25" t="str">
        <f>'Ingest Template'!W915</f>
        <v/>
      </c>
      <c r="U916" s="25"/>
      <c r="V916" s="25" t="str">
        <f>LOWER(SUBSTITUTE(SUBSTITUTE(SUBSTITUTE(SUBSTITUTE(SUBSTITUTE('Ingest Template'!Y915,"https:",""),"www.",""),"/",""),"?hl=en",""),"instagram.com",""))</f>
        <v/>
      </c>
      <c r="W916" s="34" t="str">
        <f>(IFERROR(vlookup('Ingest Template'!F916,DropDown!D:E,2,false)&amp;'Ingest Template'!C916,""))</f>
        <v/>
      </c>
      <c r="X916" s="25" t="str">
        <f>'Ingest Template'!AA915</f>
        <v/>
      </c>
      <c r="Y916" s="25"/>
      <c r="Z916" s="25"/>
      <c r="AA916" s="25"/>
      <c r="AB916" s="25" t="str">
        <f>'Ingest Template'!T915</f>
        <v/>
      </c>
      <c r="AC916" s="25"/>
      <c r="AD916" s="25" t="str">
        <f>'Ingest Template'!U915</f>
        <v/>
      </c>
      <c r="AE916" s="25" t="str">
        <f>'Ingest Template'!V915</f>
        <v/>
      </c>
      <c r="AF916" s="25"/>
      <c r="AG916" s="25" t="str">
        <f t="array" ref="AG916">IF('Ingest Template'!A915="Standard",(CONCATENATE(IF(ISBLANK('Ingest Template'!O915),"", 'Ingest Template'!O915&amp;"|DAR"),CHAR(10), IF(ISBLANK('Ingest Template'!P915),"", 'Ingest Template'!P915&amp;"|DAR"),CHAR(10), IF(ISBLANK('Ingest Template'!Q915),"", 'Ingest Template'!Q915&amp;"|DAR"))),(CONCATENATE(IF(ISBLANK('Ingest Template'!O915),"", 'Ingest Template'!O915&amp;"|Operations - Core Title"),CHAR(10), IF(ISBLANK('Ingest Template'!P915),"", 'Ingest Template'!P915&amp;"|Operations - Core Title"),CHAR(10), IF(ISBLANK('Ingest Template'!Q915),"", 'Ingest Template'!Q915&amp;"|Operations - Core Title"))))</f>
        <v>#|Operations - Core Title
#videoGame|Operations - Core Title
</v>
      </c>
      <c r="AH916" s="25"/>
      <c r="AI916" s="25"/>
      <c r="AJ916" s="50" t="str">
        <f>if('Ingest Template'!A915="Standard",'Ingest Template'!R915&amp; "|DAR|DAR|2021-01-01",'Ingest Template'!R915&amp; "|Operations - Core Title|Operations - Core Title")</f>
        <v>#N/A</v>
      </c>
      <c r="AK916" s="25"/>
      <c r="AL916" s="25" t="str">
        <f>if('Ingest Template'!A915="Standard",'Ingest Template'!S915&amp; "|2021-01-01",'Ingest Template'!S915)</f>
        <v>#N/A</v>
      </c>
      <c r="AM916" s="25"/>
    </row>
    <row r="917">
      <c r="A917" s="25"/>
      <c r="B917" s="25" t="str">
        <f>'Ingest Template'!C916&amp;IF('Ingest Template'!A916 = "Standard", " - DAR","")</f>
        <v/>
      </c>
      <c r="C917" s="34" t="s">
        <v>92</v>
      </c>
      <c r="D917" s="34" t="str">
        <f>CONCATENATE('Ingest Template'!E917&amp;Char(10)&amp;'Ingest Template'!G917&amp;Char(10)&amp;'Ingest Template'!H917&amp;Char(10)&amp;'Ingest Template'!I917&amp;Char(10)&amp;'Ingest Template'!J917&amp;Char(10)&amp;'Ingest Template'!K917&amp;Char(10)&amp;'Ingest Template'!L917)</f>
        <v>
</v>
      </c>
      <c r="E917" s="25" t="str">
        <f>('Ingest Template'!M917)</f>
        <v/>
      </c>
      <c r="F917" s="40" t="str">
        <f t="array" ref="F917">INDEX(DropDown!$J$2:$J$63,MATCH(1,COUNTIF(E917,DropDown!$I$2:$I$63),0))</f>
        <v>#N/A</v>
      </c>
      <c r="G917" s="25"/>
      <c r="H917" s="25"/>
      <c r="I917" s="25"/>
      <c r="J917" s="25" t="str">
        <f>'Ingest Template'!B917</f>
        <v/>
      </c>
      <c r="K917" s="25" t="str">
        <f>IF('Ingest Template'!A916="Standard",'Ingest Template'!N916,"Competitive View")</f>
        <v>Competitive View</v>
      </c>
      <c r="L917" s="41" t="s">
        <v>145</v>
      </c>
      <c r="M917" s="25" t="str">
        <f>'Ingest Template'!D916</f>
        <v/>
      </c>
      <c r="N917" s="25"/>
      <c r="O917" s="25"/>
      <c r="P917" s="25"/>
      <c r="Q917" s="25"/>
      <c r="R917" s="25" t="str">
        <f>CONCATENATE('Ingest Template'!F916)</f>
        <v/>
      </c>
      <c r="S917" s="43" t="s">
        <v>160</v>
      </c>
      <c r="T917" s="25" t="str">
        <f>'Ingest Template'!W916</f>
        <v/>
      </c>
      <c r="U917" s="25"/>
      <c r="V917" s="25" t="str">
        <f>LOWER(SUBSTITUTE(SUBSTITUTE(SUBSTITUTE(SUBSTITUTE(SUBSTITUTE('Ingest Template'!Y916,"https:",""),"www.",""),"/",""),"?hl=en",""),"instagram.com",""))</f>
        <v/>
      </c>
      <c r="W917" s="34" t="str">
        <f>(IFERROR(vlookup('Ingest Template'!F917,DropDown!D:E,2,false)&amp;'Ingest Template'!C917,""))</f>
        <v/>
      </c>
      <c r="X917" s="25" t="str">
        <f>'Ingest Template'!AA916</f>
        <v/>
      </c>
      <c r="Y917" s="25"/>
      <c r="Z917" s="25"/>
      <c r="AA917" s="25"/>
      <c r="AB917" s="25" t="str">
        <f>'Ingest Template'!T916</f>
        <v/>
      </c>
      <c r="AC917" s="25"/>
      <c r="AD917" s="25" t="str">
        <f>'Ingest Template'!U916</f>
        <v/>
      </c>
      <c r="AE917" s="25" t="str">
        <f>'Ingest Template'!V916</f>
        <v/>
      </c>
      <c r="AF917" s="25"/>
      <c r="AG917" s="25" t="str">
        <f t="array" ref="AG917">IF('Ingest Template'!A916="Standard",(CONCATENATE(IF(ISBLANK('Ingest Template'!O916),"", 'Ingest Template'!O916&amp;"|DAR"),CHAR(10), IF(ISBLANK('Ingest Template'!P916),"", 'Ingest Template'!P916&amp;"|DAR"),CHAR(10), IF(ISBLANK('Ingest Template'!Q916),"", 'Ingest Template'!Q916&amp;"|DAR"))),(CONCATENATE(IF(ISBLANK('Ingest Template'!O916),"", 'Ingest Template'!O916&amp;"|Operations - Core Title"),CHAR(10), IF(ISBLANK('Ingest Template'!P916),"", 'Ingest Template'!P916&amp;"|Operations - Core Title"),CHAR(10), IF(ISBLANK('Ingest Template'!Q916),"", 'Ingest Template'!Q916&amp;"|Operations - Core Title"))))</f>
        <v>#|Operations - Core Title
#videoGame|Operations - Core Title
</v>
      </c>
      <c r="AH917" s="25"/>
      <c r="AI917" s="25"/>
      <c r="AJ917" s="50" t="str">
        <f>if('Ingest Template'!A916="Standard",'Ingest Template'!R916&amp; "|DAR|DAR|2021-01-01",'Ingest Template'!R916&amp; "|Operations - Core Title|Operations - Core Title")</f>
        <v>#N/A</v>
      </c>
      <c r="AK917" s="25"/>
      <c r="AL917" s="25" t="str">
        <f>if('Ingest Template'!A916="Standard",'Ingest Template'!S916&amp; "|2021-01-01",'Ingest Template'!S916)</f>
        <v>#N/A</v>
      </c>
      <c r="AM917" s="25"/>
    </row>
    <row r="918">
      <c r="A918" s="25"/>
      <c r="B918" s="25" t="str">
        <f>'Ingest Template'!C917&amp;IF('Ingest Template'!A917 = "Standard", " - DAR","")</f>
        <v/>
      </c>
      <c r="C918" s="34" t="s">
        <v>92</v>
      </c>
      <c r="D918" s="34" t="str">
        <f>CONCATENATE('Ingest Template'!E918&amp;Char(10)&amp;'Ingest Template'!G918&amp;Char(10)&amp;'Ingest Template'!H918&amp;Char(10)&amp;'Ingest Template'!I918&amp;Char(10)&amp;'Ingest Template'!J918&amp;Char(10)&amp;'Ingest Template'!K918&amp;Char(10)&amp;'Ingest Template'!L918)</f>
        <v>
</v>
      </c>
      <c r="E918" s="25" t="str">
        <f>('Ingest Template'!M918)</f>
        <v/>
      </c>
      <c r="F918" s="40" t="str">
        <f t="array" ref="F918">INDEX(DropDown!$J$2:$J$63,MATCH(1,COUNTIF(E918,DropDown!$I$2:$I$63),0))</f>
        <v>#N/A</v>
      </c>
      <c r="G918" s="25"/>
      <c r="H918" s="25"/>
      <c r="I918" s="25"/>
      <c r="J918" s="25" t="str">
        <f>'Ingest Template'!B918</f>
        <v/>
      </c>
      <c r="K918" s="25" t="str">
        <f>IF('Ingest Template'!A917="Standard",'Ingest Template'!N917,"Competitive View")</f>
        <v>Competitive View</v>
      </c>
      <c r="L918" s="41" t="s">
        <v>145</v>
      </c>
      <c r="M918" s="25" t="str">
        <f>'Ingest Template'!D917</f>
        <v/>
      </c>
      <c r="N918" s="25"/>
      <c r="O918" s="25"/>
      <c r="P918" s="25"/>
      <c r="Q918" s="25"/>
      <c r="R918" s="25" t="str">
        <f>CONCATENATE('Ingest Template'!F917)</f>
        <v/>
      </c>
      <c r="S918" s="43" t="s">
        <v>160</v>
      </c>
      <c r="T918" s="25" t="str">
        <f>'Ingest Template'!W917</f>
        <v/>
      </c>
      <c r="U918" s="25"/>
      <c r="V918" s="25" t="str">
        <f>LOWER(SUBSTITUTE(SUBSTITUTE(SUBSTITUTE(SUBSTITUTE(SUBSTITUTE('Ingest Template'!Y917,"https:",""),"www.",""),"/",""),"?hl=en",""),"instagram.com",""))</f>
        <v/>
      </c>
      <c r="W918" s="34" t="str">
        <f>(IFERROR(vlookup('Ingest Template'!F918,DropDown!D:E,2,false)&amp;'Ingest Template'!C918,""))</f>
        <v/>
      </c>
      <c r="X918" s="25" t="str">
        <f>'Ingest Template'!AA917</f>
        <v/>
      </c>
      <c r="Y918" s="25"/>
      <c r="Z918" s="25"/>
      <c r="AA918" s="25"/>
      <c r="AB918" s="25" t="str">
        <f>'Ingest Template'!T917</f>
        <v/>
      </c>
      <c r="AC918" s="25"/>
      <c r="AD918" s="25" t="str">
        <f>'Ingest Template'!U917</f>
        <v/>
      </c>
      <c r="AE918" s="25" t="str">
        <f>'Ingest Template'!V917</f>
        <v/>
      </c>
      <c r="AF918" s="25"/>
      <c r="AG918" s="25" t="str">
        <f t="array" ref="AG918">IF('Ingest Template'!A917="Standard",(CONCATENATE(IF(ISBLANK('Ingest Template'!O917),"", 'Ingest Template'!O917&amp;"|DAR"),CHAR(10), IF(ISBLANK('Ingest Template'!P917),"", 'Ingest Template'!P917&amp;"|DAR"),CHAR(10), IF(ISBLANK('Ingest Template'!Q917),"", 'Ingest Template'!Q917&amp;"|DAR"))),(CONCATENATE(IF(ISBLANK('Ingest Template'!O917),"", 'Ingest Template'!O917&amp;"|Operations - Core Title"),CHAR(10), IF(ISBLANK('Ingest Template'!P917),"", 'Ingest Template'!P917&amp;"|Operations - Core Title"),CHAR(10), IF(ISBLANK('Ingest Template'!Q917),"", 'Ingest Template'!Q917&amp;"|Operations - Core Title"))))</f>
        <v>#|Operations - Core Title
#videoGame|Operations - Core Title
</v>
      </c>
      <c r="AH918" s="25"/>
      <c r="AI918" s="25"/>
      <c r="AJ918" s="50" t="str">
        <f>if('Ingest Template'!A917="Standard",'Ingest Template'!R917&amp; "|DAR|DAR|2021-01-01",'Ingest Template'!R917&amp; "|Operations - Core Title|Operations - Core Title")</f>
        <v>#N/A</v>
      </c>
      <c r="AK918" s="25"/>
      <c r="AL918" s="25" t="str">
        <f>if('Ingest Template'!A917="Standard",'Ingest Template'!S917&amp; "|2021-01-01",'Ingest Template'!S917)</f>
        <v>#N/A</v>
      </c>
      <c r="AM918" s="25"/>
    </row>
    <row r="919">
      <c r="A919" s="25"/>
      <c r="B919" s="25" t="str">
        <f>'Ingest Template'!C918&amp;IF('Ingest Template'!A918 = "Standard", " - DAR","")</f>
        <v/>
      </c>
      <c r="C919" s="34" t="s">
        <v>92</v>
      </c>
      <c r="D919" s="34" t="str">
        <f>CONCATENATE('Ingest Template'!E919&amp;Char(10)&amp;'Ingest Template'!G919&amp;Char(10)&amp;'Ingest Template'!H919&amp;Char(10)&amp;'Ingest Template'!I919&amp;Char(10)&amp;'Ingest Template'!J919&amp;Char(10)&amp;'Ingest Template'!K919&amp;Char(10)&amp;'Ingest Template'!L919)</f>
        <v>
</v>
      </c>
      <c r="E919" s="25" t="str">
        <f>('Ingest Template'!M919)</f>
        <v/>
      </c>
      <c r="F919" s="40" t="str">
        <f t="array" ref="F919">INDEX(DropDown!$J$2:$J$63,MATCH(1,COUNTIF(E919,DropDown!$I$2:$I$63),0))</f>
        <v>#N/A</v>
      </c>
      <c r="G919" s="25"/>
      <c r="H919" s="25"/>
      <c r="I919" s="25"/>
      <c r="J919" s="25" t="str">
        <f>'Ingest Template'!B919</f>
        <v/>
      </c>
      <c r="K919" s="25" t="str">
        <f>IF('Ingest Template'!A918="Standard",'Ingest Template'!N918,"Competitive View")</f>
        <v>Competitive View</v>
      </c>
      <c r="L919" s="41" t="s">
        <v>145</v>
      </c>
      <c r="M919" s="25" t="str">
        <f>'Ingest Template'!D918</f>
        <v/>
      </c>
      <c r="N919" s="25"/>
      <c r="O919" s="25"/>
      <c r="P919" s="25"/>
      <c r="Q919" s="25"/>
      <c r="R919" s="25" t="str">
        <f>CONCATENATE('Ingest Template'!F918)</f>
        <v/>
      </c>
      <c r="S919" s="43" t="s">
        <v>160</v>
      </c>
      <c r="T919" s="25" t="str">
        <f>'Ingest Template'!W918</f>
        <v/>
      </c>
      <c r="U919" s="25"/>
      <c r="V919" s="25" t="str">
        <f>LOWER(SUBSTITUTE(SUBSTITUTE(SUBSTITUTE(SUBSTITUTE(SUBSTITUTE('Ingest Template'!Y918,"https:",""),"www.",""),"/",""),"?hl=en",""),"instagram.com",""))</f>
        <v/>
      </c>
      <c r="W919" s="34" t="str">
        <f>(IFERROR(vlookup('Ingest Template'!F919,DropDown!D:E,2,false)&amp;'Ingest Template'!C919,""))</f>
        <v/>
      </c>
      <c r="X919" s="25" t="str">
        <f>'Ingest Template'!AA918</f>
        <v/>
      </c>
      <c r="Y919" s="25"/>
      <c r="Z919" s="25"/>
      <c r="AA919" s="25"/>
      <c r="AB919" s="25" t="str">
        <f>'Ingest Template'!T918</f>
        <v/>
      </c>
      <c r="AC919" s="25"/>
      <c r="AD919" s="25" t="str">
        <f>'Ingest Template'!U918</f>
        <v/>
      </c>
      <c r="AE919" s="25" t="str">
        <f>'Ingest Template'!V918</f>
        <v/>
      </c>
      <c r="AF919" s="25"/>
      <c r="AG919" s="25" t="str">
        <f t="array" ref="AG919">IF('Ingest Template'!A918="Standard",(CONCATENATE(IF(ISBLANK('Ingest Template'!O918),"", 'Ingest Template'!O918&amp;"|DAR"),CHAR(10), IF(ISBLANK('Ingest Template'!P918),"", 'Ingest Template'!P918&amp;"|DAR"),CHAR(10), IF(ISBLANK('Ingest Template'!Q918),"", 'Ingest Template'!Q918&amp;"|DAR"))),(CONCATENATE(IF(ISBLANK('Ingest Template'!O918),"", 'Ingest Template'!O918&amp;"|Operations - Core Title"),CHAR(10), IF(ISBLANK('Ingest Template'!P918),"", 'Ingest Template'!P918&amp;"|Operations - Core Title"),CHAR(10), IF(ISBLANK('Ingest Template'!Q918),"", 'Ingest Template'!Q918&amp;"|Operations - Core Title"))))</f>
        <v>#|Operations - Core Title
#videoGame|Operations - Core Title
</v>
      </c>
      <c r="AH919" s="25"/>
      <c r="AI919" s="25"/>
      <c r="AJ919" s="50" t="str">
        <f>if('Ingest Template'!A918="Standard",'Ingest Template'!R918&amp; "|DAR|DAR|2021-01-01",'Ingest Template'!R918&amp; "|Operations - Core Title|Operations - Core Title")</f>
        <v>#N/A</v>
      </c>
      <c r="AK919" s="25"/>
      <c r="AL919" s="25" t="str">
        <f>if('Ingest Template'!A918="Standard",'Ingest Template'!S918&amp; "|2021-01-01",'Ingest Template'!S918)</f>
        <v>#N/A</v>
      </c>
      <c r="AM919" s="25"/>
    </row>
    <row r="920">
      <c r="A920" s="25"/>
      <c r="B920" s="25" t="str">
        <f>'Ingest Template'!C919&amp;IF('Ingest Template'!A919 = "Standard", " - DAR","")</f>
        <v/>
      </c>
      <c r="C920" s="34" t="s">
        <v>92</v>
      </c>
      <c r="D920" s="34" t="str">
        <f>CONCATENATE('Ingest Template'!E920&amp;Char(10)&amp;'Ingest Template'!G920&amp;Char(10)&amp;'Ingest Template'!H920&amp;Char(10)&amp;'Ingest Template'!I920&amp;Char(10)&amp;'Ingest Template'!J920&amp;Char(10)&amp;'Ingest Template'!K920&amp;Char(10)&amp;'Ingest Template'!L920)</f>
        <v>
</v>
      </c>
      <c r="E920" s="25" t="str">
        <f>('Ingest Template'!M920)</f>
        <v/>
      </c>
      <c r="F920" s="40" t="str">
        <f t="array" ref="F920">INDEX(DropDown!$J$2:$J$63,MATCH(1,COUNTIF(E920,DropDown!$I$2:$I$63),0))</f>
        <v>#N/A</v>
      </c>
      <c r="G920" s="25"/>
      <c r="H920" s="25"/>
      <c r="I920" s="25"/>
      <c r="J920" s="25" t="str">
        <f>'Ingest Template'!B920</f>
        <v/>
      </c>
      <c r="K920" s="25" t="str">
        <f>IF('Ingest Template'!A919="Standard",'Ingest Template'!N919,"Competitive View")</f>
        <v>Competitive View</v>
      </c>
      <c r="L920" s="41" t="s">
        <v>145</v>
      </c>
      <c r="M920" s="25" t="str">
        <f>'Ingest Template'!D919</f>
        <v/>
      </c>
      <c r="N920" s="25"/>
      <c r="O920" s="25"/>
      <c r="P920" s="25"/>
      <c r="Q920" s="25"/>
      <c r="R920" s="25" t="str">
        <f>CONCATENATE('Ingest Template'!F919)</f>
        <v/>
      </c>
      <c r="S920" s="43" t="s">
        <v>160</v>
      </c>
      <c r="T920" s="25" t="str">
        <f>'Ingest Template'!W919</f>
        <v/>
      </c>
      <c r="U920" s="25"/>
      <c r="V920" s="25" t="str">
        <f>LOWER(SUBSTITUTE(SUBSTITUTE(SUBSTITUTE(SUBSTITUTE(SUBSTITUTE('Ingest Template'!Y919,"https:",""),"www.",""),"/",""),"?hl=en",""),"instagram.com",""))</f>
        <v/>
      </c>
      <c r="W920" s="34" t="str">
        <f>(IFERROR(vlookup('Ingest Template'!F920,DropDown!D:E,2,false)&amp;'Ingest Template'!C920,""))</f>
        <v/>
      </c>
      <c r="X920" s="25" t="str">
        <f>'Ingest Template'!AA919</f>
        <v/>
      </c>
      <c r="Y920" s="25"/>
      <c r="Z920" s="25"/>
      <c r="AA920" s="25"/>
      <c r="AB920" s="25" t="str">
        <f>'Ingest Template'!T919</f>
        <v/>
      </c>
      <c r="AC920" s="25"/>
      <c r="AD920" s="25" t="str">
        <f>'Ingest Template'!U919</f>
        <v/>
      </c>
      <c r="AE920" s="25" t="str">
        <f>'Ingest Template'!V919</f>
        <v/>
      </c>
      <c r="AF920" s="25"/>
      <c r="AG920" s="25" t="str">
        <f t="array" ref="AG920">IF('Ingest Template'!A919="Standard",(CONCATENATE(IF(ISBLANK('Ingest Template'!O919),"", 'Ingest Template'!O919&amp;"|DAR"),CHAR(10), IF(ISBLANK('Ingest Template'!P919),"", 'Ingest Template'!P919&amp;"|DAR"),CHAR(10), IF(ISBLANK('Ingest Template'!Q919),"", 'Ingest Template'!Q919&amp;"|DAR"))),(CONCATENATE(IF(ISBLANK('Ingest Template'!O919),"", 'Ingest Template'!O919&amp;"|Operations - Core Title"),CHAR(10), IF(ISBLANK('Ingest Template'!P919),"", 'Ingest Template'!P919&amp;"|Operations - Core Title"),CHAR(10), IF(ISBLANK('Ingest Template'!Q919),"", 'Ingest Template'!Q919&amp;"|Operations - Core Title"))))</f>
        <v>#|Operations - Core Title
#videoGame|Operations - Core Title
</v>
      </c>
      <c r="AH920" s="25"/>
      <c r="AI920" s="25"/>
      <c r="AJ920" s="50" t="str">
        <f>if('Ingest Template'!A919="Standard",'Ingest Template'!R919&amp; "|DAR|DAR|2021-01-01",'Ingest Template'!R919&amp; "|Operations - Core Title|Operations - Core Title")</f>
        <v>#N/A</v>
      </c>
      <c r="AK920" s="25"/>
      <c r="AL920" s="25" t="str">
        <f>if('Ingest Template'!A919="Standard",'Ingest Template'!S919&amp; "|2021-01-01",'Ingest Template'!S919)</f>
        <v>#N/A</v>
      </c>
      <c r="AM920" s="25"/>
    </row>
    <row r="921">
      <c r="A921" s="25"/>
      <c r="B921" s="25" t="str">
        <f>'Ingest Template'!C920&amp;IF('Ingest Template'!A920 = "Standard", " - DAR","")</f>
        <v/>
      </c>
      <c r="C921" s="34" t="s">
        <v>92</v>
      </c>
      <c r="D921" s="34" t="str">
        <f>CONCATENATE('Ingest Template'!E921&amp;Char(10)&amp;'Ingest Template'!G921&amp;Char(10)&amp;'Ingest Template'!H921&amp;Char(10)&amp;'Ingest Template'!I921&amp;Char(10)&amp;'Ingest Template'!J921&amp;Char(10)&amp;'Ingest Template'!K921&amp;Char(10)&amp;'Ingest Template'!L921)</f>
        <v>
</v>
      </c>
      <c r="E921" s="25" t="str">
        <f>('Ingest Template'!M921)</f>
        <v/>
      </c>
      <c r="F921" s="40" t="str">
        <f t="array" ref="F921">INDEX(DropDown!$J$2:$J$63,MATCH(1,COUNTIF(E921,DropDown!$I$2:$I$63),0))</f>
        <v>#N/A</v>
      </c>
      <c r="G921" s="25"/>
      <c r="H921" s="25"/>
      <c r="I921" s="25"/>
      <c r="J921" s="25" t="str">
        <f>'Ingest Template'!B921</f>
        <v/>
      </c>
      <c r="K921" s="25" t="str">
        <f>IF('Ingest Template'!A920="Standard",'Ingest Template'!N920,"Competitive View")</f>
        <v>Competitive View</v>
      </c>
      <c r="L921" s="41" t="s">
        <v>145</v>
      </c>
      <c r="M921" s="25" t="str">
        <f>'Ingest Template'!D920</f>
        <v/>
      </c>
      <c r="N921" s="25"/>
      <c r="O921" s="25"/>
      <c r="P921" s="25"/>
      <c r="Q921" s="25"/>
      <c r="R921" s="25" t="str">
        <f>CONCATENATE('Ingest Template'!F920)</f>
        <v/>
      </c>
      <c r="S921" s="43" t="s">
        <v>160</v>
      </c>
      <c r="T921" s="25" t="str">
        <f>'Ingest Template'!W920</f>
        <v/>
      </c>
      <c r="U921" s="25"/>
      <c r="V921" s="25" t="str">
        <f>LOWER(SUBSTITUTE(SUBSTITUTE(SUBSTITUTE(SUBSTITUTE(SUBSTITUTE('Ingest Template'!Y920,"https:",""),"www.",""),"/",""),"?hl=en",""),"instagram.com",""))</f>
        <v/>
      </c>
      <c r="W921" s="34" t="str">
        <f>(IFERROR(vlookup('Ingest Template'!F921,DropDown!D:E,2,false)&amp;'Ingest Template'!C921,""))</f>
        <v/>
      </c>
      <c r="X921" s="25" t="str">
        <f>'Ingest Template'!AA920</f>
        <v/>
      </c>
      <c r="Y921" s="25"/>
      <c r="Z921" s="25"/>
      <c r="AA921" s="25"/>
      <c r="AB921" s="25" t="str">
        <f>'Ingest Template'!T920</f>
        <v/>
      </c>
      <c r="AC921" s="25"/>
      <c r="AD921" s="25" t="str">
        <f>'Ingest Template'!U920</f>
        <v/>
      </c>
      <c r="AE921" s="25" t="str">
        <f>'Ingest Template'!V920</f>
        <v/>
      </c>
      <c r="AF921" s="25"/>
      <c r="AG921" s="25" t="str">
        <f t="array" ref="AG921">IF('Ingest Template'!A920="Standard",(CONCATENATE(IF(ISBLANK('Ingest Template'!O920),"", 'Ingest Template'!O920&amp;"|DAR"),CHAR(10), IF(ISBLANK('Ingest Template'!P920),"", 'Ingest Template'!P920&amp;"|DAR"),CHAR(10), IF(ISBLANK('Ingest Template'!Q920),"", 'Ingest Template'!Q920&amp;"|DAR"))),(CONCATENATE(IF(ISBLANK('Ingest Template'!O920),"", 'Ingest Template'!O920&amp;"|Operations - Core Title"),CHAR(10), IF(ISBLANK('Ingest Template'!P920),"", 'Ingest Template'!P920&amp;"|Operations - Core Title"),CHAR(10), IF(ISBLANK('Ingest Template'!Q920),"", 'Ingest Template'!Q920&amp;"|Operations - Core Title"))))</f>
        <v>#|Operations - Core Title
#videoGame|Operations - Core Title
</v>
      </c>
      <c r="AH921" s="25"/>
      <c r="AI921" s="25"/>
      <c r="AJ921" s="50" t="str">
        <f>if('Ingest Template'!A920="Standard",'Ingest Template'!R920&amp; "|DAR|DAR|2021-01-01",'Ingest Template'!R920&amp; "|Operations - Core Title|Operations - Core Title")</f>
        <v>#N/A</v>
      </c>
      <c r="AK921" s="25"/>
      <c r="AL921" s="25" t="str">
        <f>if('Ingest Template'!A920="Standard",'Ingest Template'!S920&amp; "|2021-01-01",'Ingest Template'!S920)</f>
        <v>#N/A</v>
      </c>
      <c r="AM921" s="25"/>
    </row>
    <row r="922">
      <c r="A922" s="25"/>
      <c r="B922" s="25" t="str">
        <f>'Ingest Template'!C921&amp;IF('Ingest Template'!A921 = "Standard", " - DAR","")</f>
        <v/>
      </c>
      <c r="C922" s="34" t="s">
        <v>92</v>
      </c>
      <c r="D922" s="34" t="str">
        <f>CONCATENATE('Ingest Template'!E922&amp;Char(10)&amp;'Ingest Template'!G922&amp;Char(10)&amp;'Ingest Template'!H922&amp;Char(10)&amp;'Ingest Template'!I922&amp;Char(10)&amp;'Ingest Template'!J922&amp;Char(10)&amp;'Ingest Template'!K922&amp;Char(10)&amp;'Ingest Template'!L922)</f>
        <v>
</v>
      </c>
      <c r="E922" s="25" t="str">
        <f>('Ingest Template'!M922)</f>
        <v/>
      </c>
      <c r="F922" s="40" t="str">
        <f t="array" ref="F922">INDEX(DropDown!$J$2:$J$63,MATCH(1,COUNTIF(E922,DropDown!$I$2:$I$63),0))</f>
        <v>#N/A</v>
      </c>
      <c r="G922" s="25"/>
      <c r="H922" s="25"/>
      <c r="I922" s="25"/>
      <c r="J922" s="25" t="str">
        <f>'Ingest Template'!B922</f>
        <v/>
      </c>
      <c r="K922" s="25" t="str">
        <f>IF('Ingest Template'!A921="Standard",'Ingest Template'!N921,"Competitive View")</f>
        <v>Competitive View</v>
      </c>
      <c r="L922" s="41" t="s">
        <v>145</v>
      </c>
      <c r="M922" s="25" t="str">
        <f>'Ingest Template'!D921</f>
        <v/>
      </c>
      <c r="N922" s="25"/>
      <c r="O922" s="25"/>
      <c r="P922" s="25"/>
      <c r="Q922" s="25"/>
      <c r="R922" s="25" t="str">
        <f>CONCATENATE('Ingest Template'!F921)</f>
        <v/>
      </c>
      <c r="S922" s="43" t="s">
        <v>160</v>
      </c>
      <c r="T922" s="25" t="str">
        <f>'Ingest Template'!W921</f>
        <v/>
      </c>
      <c r="U922" s="25"/>
      <c r="V922" s="25" t="str">
        <f>LOWER(SUBSTITUTE(SUBSTITUTE(SUBSTITUTE(SUBSTITUTE(SUBSTITUTE('Ingest Template'!Y921,"https:",""),"www.",""),"/",""),"?hl=en",""),"instagram.com",""))</f>
        <v/>
      </c>
      <c r="W922" s="34" t="str">
        <f>(IFERROR(vlookup('Ingest Template'!F922,DropDown!D:E,2,false)&amp;'Ingest Template'!C922,""))</f>
        <v/>
      </c>
      <c r="X922" s="25" t="str">
        <f>'Ingest Template'!AA921</f>
        <v/>
      </c>
      <c r="Y922" s="25"/>
      <c r="Z922" s="25"/>
      <c r="AA922" s="25"/>
      <c r="AB922" s="25" t="str">
        <f>'Ingest Template'!T921</f>
        <v/>
      </c>
      <c r="AC922" s="25"/>
      <c r="AD922" s="25" t="str">
        <f>'Ingest Template'!U921</f>
        <v/>
      </c>
      <c r="AE922" s="25" t="str">
        <f>'Ingest Template'!V921</f>
        <v/>
      </c>
      <c r="AF922" s="25"/>
      <c r="AG922" s="25" t="str">
        <f t="array" ref="AG922">IF('Ingest Template'!A921="Standard",(CONCATENATE(IF(ISBLANK('Ingest Template'!O921),"", 'Ingest Template'!O921&amp;"|DAR"),CHAR(10), IF(ISBLANK('Ingest Template'!P921),"", 'Ingest Template'!P921&amp;"|DAR"),CHAR(10), IF(ISBLANK('Ingest Template'!Q921),"", 'Ingest Template'!Q921&amp;"|DAR"))),(CONCATENATE(IF(ISBLANK('Ingest Template'!O921),"", 'Ingest Template'!O921&amp;"|Operations - Core Title"),CHAR(10), IF(ISBLANK('Ingest Template'!P921),"", 'Ingest Template'!P921&amp;"|Operations - Core Title"),CHAR(10), IF(ISBLANK('Ingest Template'!Q921),"", 'Ingest Template'!Q921&amp;"|Operations - Core Title"))))</f>
        <v>#|Operations - Core Title
#videoGame|Operations - Core Title
</v>
      </c>
      <c r="AH922" s="25"/>
      <c r="AI922" s="25"/>
      <c r="AJ922" s="50" t="str">
        <f>if('Ingest Template'!A921="Standard",'Ingest Template'!R921&amp; "|DAR|DAR|2021-01-01",'Ingest Template'!R921&amp; "|Operations - Core Title|Operations - Core Title")</f>
        <v>#N/A</v>
      </c>
      <c r="AK922" s="25"/>
      <c r="AL922" s="25" t="str">
        <f>if('Ingest Template'!A921="Standard",'Ingest Template'!S921&amp; "|2021-01-01",'Ingest Template'!S921)</f>
        <v>#N/A</v>
      </c>
      <c r="AM922" s="25"/>
    </row>
    <row r="923">
      <c r="A923" s="25"/>
      <c r="B923" s="25" t="str">
        <f>'Ingest Template'!C922&amp;IF('Ingest Template'!A922 = "Standard", " - DAR","")</f>
        <v/>
      </c>
      <c r="C923" s="34" t="s">
        <v>92</v>
      </c>
      <c r="D923" s="34" t="str">
        <f>CONCATENATE('Ingest Template'!E923&amp;Char(10)&amp;'Ingest Template'!G923&amp;Char(10)&amp;'Ingest Template'!H923&amp;Char(10)&amp;'Ingest Template'!I923&amp;Char(10)&amp;'Ingest Template'!J923&amp;Char(10)&amp;'Ingest Template'!K923&amp;Char(10)&amp;'Ingest Template'!L923)</f>
        <v>
</v>
      </c>
      <c r="E923" s="25" t="str">
        <f>('Ingest Template'!M923)</f>
        <v/>
      </c>
      <c r="F923" s="40" t="str">
        <f t="array" ref="F923">INDEX(DropDown!$J$2:$J$63,MATCH(1,COUNTIF(E923,DropDown!$I$2:$I$63),0))</f>
        <v>#N/A</v>
      </c>
      <c r="G923" s="25"/>
      <c r="H923" s="25"/>
      <c r="I923" s="25"/>
      <c r="J923" s="25" t="str">
        <f>'Ingest Template'!B923</f>
        <v/>
      </c>
      <c r="K923" s="25" t="str">
        <f>IF('Ingest Template'!A922="Standard",'Ingest Template'!N922,"Competitive View")</f>
        <v>Competitive View</v>
      </c>
      <c r="L923" s="41" t="s">
        <v>145</v>
      </c>
      <c r="M923" s="25" t="str">
        <f>'Ingest Template'!D922</f>
        <v/>
      </c>
      <c r="N923" s="25"/>
      <c r="O923" s="25"/>
      <c r="P923" s="25"/>
      <c r="Q923" s="25"/>
      <c r="R923" s="25" t="str">
        <f>CONCATENATE('Ingest Template'!F922)</f>
        <v/>
      </c>
      <c r="S923" s="43" t="s">
        <v>160</v>
      </c>
      <c r="T923" s="25" t="str">
        <f>'Ingest Template'!W922</f>
        <v/>
      </c>
      <c r="U923" s="25"/>
      <c r="V923" s="25" t="str">
        <f>LOWER(SUBSTITUTE(SUBSTITUTE(SUBSTITUTE(SUBSTITUTE(SUBSTITUTE('Ingest Template'!Y922,"https:",""),"www.",""),"/",""),"?hl=en",""),"instagram.com",""))</f>
        <v/>
      </c>
      <c r="W923" s="34" t="str">
        <f>(IFERROR(vlookup('Ingest Template'!F923,DropDown!D:E,2,false)&amp;'Ingest Template'!C923,""))</f>
        <v/>
      </c>
      <c r="X923" s="25" t="str">
        <f>'Ingest Template'!AA922</f>
        <v/>
      </c>
      <c r="Y923" s="25"/>
      <c r="Z923" s="25"/>
      <c r="AA923" s="25"/>
      <c r="AB923" s="25" t="str">
        <f>'Ingest Template'!T922</f>
        <v/>
      </c>
      <c r="AC923" s="25"/>
      <c r="AD923" s="25" t="str">
        <f>'Ingest Template'!U922</f>
        <v/>
      </c>
      <c r="AE923" s="25" t="str">
        <f>'Ingest Template'!V922</f>
        <v/>
      </c>
      <c r="AF923" s="25"/>
      <c r="AG923" s="25" t="str">
        <f t="array" ref="AG923">IF('Ingest Template'!A922="Standard",(CONCATENATE(IF(ISBLANK('Ingest Template'!O922),"", 'Ingest Template'!O922&amp;"|DAR"),CHAR(10), IF(ISBLANK('Ingest Template'!P922),"", 'Ingest Template'!P922&amp;"|DAR"),CHAR(10), IF(ISBLANK('Ingest Template'!Q922),"", 'Ingest Template'!Q922&amp;"|DAR"))),(CONCATENATE(IF(ISBLANK('Ingest Template'!O922),"", 'Ingest Template'!O922&amp;"|Operations - Core Title"),CHAR(10), IF(ISBLANK('Ingest Template'!P922),"", 'Ingest Template'!P922&amp;"|Operations - Core Title"),CHAR(10), IF(ISBLANK('Ingest Template'!Q922),"", 'Ingest Template'!Q922&amp;"|Operations - Core Title"))))</f>
        <v>#|Operations - Core Title
#videoGame|Operations - Core Title
</v>
      </c>
      <c r="AH923" s="25"/>
      <c r="AI923" s="25"/>
      <c r="AJ923" s="50" t="str">
        <f>if('Ingest Template'!A922="Standard",'Ingest Template'!R922&amp; "|DAR|DAR|2021-01-01",'Ingest Template'!R922&amp; "|Operations - Core Title|Operations - Core Title")</f>
        <v>#N/A</v>
      </c>
      <c r="AK923" s="25"/>
      <c r="AL923" s="25" t="str">
        <f>if('Ingest Template'!A922="Standard",'Ingest Template'!S922&amp; "|2021-01-01",'Ingest Template'!S922)</f>
        <v>#N/A</v>
      </c>
      <c r="AM923" s="25"/>
    </row>
    <row r="924">
      <c r="A924" s="25"/>
      <c r="B924" s="25" t="str">
        <f>'Ingest Template'!C923&amp;IF('Ingest Template'!A923 = "Standard", " - DAR","")</f>
        <v/>
      </c>
      <c r="C924" s="34" t="s">
        <v>92</v>
      </c>
      <c r="D924" s="34" t="str">
        <f>CONCATENATE('Ingest Template'!E924&amp;Char(10)&amp;'Ingest Template'!G924&amp;Char(10)&amp;'Ingest Template'!H924&amp;Char(10)&amp;'Ingest Template'!I924&amp;Char(10)&amp;'Ingest Template'!J924&amp;Char(10)&amp;'Ingest Template'!K924&amp;Char(10)&amp;'Ingest Template'!L924)</f>
        <v>
</v>
      </c>
      <c r="E924" s="25" t="str">
        <f>('Ingest Template'!M924)</f>
        <v/>
      </c>
      <c r="F924" s="40" t="str">
        <f t="array" ref="F924">INDEX(DropDown!$J$2:$J$63,MATCH(1,COUNTIF(E924,DropDown!$I$2:$I$63),0))</f>
        <v>#N/A</v>
      </c>
      <c r="G924" s="25"/>
      <c r="H924" s="25"/>
      <c r="I924" s="25"/>
      <c r="J924" s="25" t="str">
        <f>'Ingest Template'!B924</f>
        <v/>
      </c>
      <c r="K924" s="25" t="str">
        <f>IF('Ingest Template'!A923="Standard",'Ingest Template'!N923,"Competitive View")</f>
        <v>Competitive View</v>
      </c>
      <c r="L924" s="41" t="s">
        <v>145</v>
      </c>
      <c r="M924" s="25" t="str">
        <f>'Ingest Template'!D923</f>
        <v/>
      </c>
      <c r="N924" s="25"/>
      <c r="O924" s="25"/>
      <c r="P924" s="25"/>
      <c r="Q924" s="25"/>
      <c r="R924" s="25" t="str">
        <f>CONCATENATE('Ingest Template'!F923)</f>
        <v/>
      </c>
      <c r="S924" s="43" t="s">
        <v>160</v>
      </c>
      <c r="T924" s="25" t="str">
        <f>'Ingest Template'!W923</f>
        <v/>
      </c>
      <c r="U924" s="25"/>
      <c r="V924" s="25" t="str">
        <f>LOWER(SUBSTITUTE(SUBSTITUTE(SUBSTITUTE(SUBSTITUTE(SUBSTITUTE('Ingest Template'!Y923,"https:",""),"www.",""),"/",""),"?hl=en",""),"instagram.com",""))</f>
        <v/>
      </c>
      <c r="W924" s="34" t="str">
        <f>(IFERROR(vlookup('Ingest Template'!F924,DropDown!D:E,2,false)&amp;'Ingest Template'!C924,""))</f>
        <v/>
      </c>
      <c r="X924" s="25" t="str">
        <f>'Ingest Template'!AA923</f>
        <v/>
      </c>
      <c r="Y924" s="25"/>
      <c r="Z924" s="25"/>
      <c r="AA924" s="25"/>
      <c r="AB924" s="25" t="str">
        <f>'Ingest Template'!T923</f>
        <v/>
      </c>
      <c r="AC924" s="25"/>
      <c r="AD924" s="25" t="str">
        <f>'Ingest Template'!U923</f>
        <v/>
      </c>
      <c r="AE924" s="25" t="str">
        <f>'Ingest Template'!V923</f>
        <v/>
      </c>
      <c r="AF924" s="25"/>
      <c r="AG924" s="25" t="str">
        <f t="array" ref="AG924">IF('Ingest Template'!A923="Standard",(CONCATENATE(IF(ISBLANK('Ingest Template'!O923),"", 'Ingest Template'!O923&amp;"|DAR"),CHAR(10), IF(ISBLANK('Ingest Template'!P923),"", 'Ingest Template'!P923&amp;"|DAR"),CHAR(10), IF(ISBLANK('Ingest Template'!Q923),"", 'Ingest Template'!Q923&amp;"|DAR"))),(CONCATENATE(IF(ISBLANK('Ingest Template'!O923),"", 'Ingest Template'!O923&amp;"|Operations - Core Title"),CHAR(10), IF(ISBLANK('Ingest Template'!P923),"", 'Ingest Template'!P923&amp;"|Operations - Core Title"),CHAR(10), IF(ISBLANK('Ingest Template'!Q923),"", 'Ingest Template'!Q923&amp;"|Operations - Core Title"))))</f>
        <v>#|Operations - Core Title
#videoGame|Operations - Core Title
</v>
      </c>
      <c r="AH924" s="25"/>
      <c r="AI924" s="25"/>
      <c r="AJ924" s="50" t="str">
        <f>if('Ingest Template'!A923="Standard",'Ingest Template'!R923&amp; "|DAR|DAR|2021-01-01",'Ingest Template'!R923&amp; "|Operations - Core Title|Operations - Core Title")</f>
        <v>#N/A</v>
      </c>
      <c r="AK924" s="25"/>
      <c r="AL924" s="25" t="str">
        <f>if('Ingest Template'!A923="Standard",'Ingest Template'!S923&amp; "|2021-01-01",'Ingest Template'!S923)</f>
        <v>#N/A</v>
      </c>
      <c r="AM924" s="25"/>
    </row>
    <row r="925">
      <c r="A925" s="25"/>
      <c r="B925" s="25" t="str">
        <f>'Ingest Template'!C924&amp;IF('Ingest Template'!A924 = "Standard", " - DAR","")</f>
        <v/>
      </c>
      <c r="C925" s="34" t="s">
        <v>92</v>
      </c>
      <c r="D925" s="34" t="str">
        <f>CONCATENATE('Ingest Template'!E925&amp;Char(10)&amp;'Ingest Template'!G925&amp;Char(10)&amp;'Ingest Template'!H925&amp;Char(10)&amp;'Ingest Template'!I925&amp;Char(10)&amp;'Ingest Template'!J925&amp;Char(10)&amp;'Ingest Template'!K925&amp;Char(10)&amp;'Ingest Template'!L925)</f>
        <v>
</v>
      </c>
      <c r="E925" s="25" t="str">
        <f>('Ingest Template'!M925)</f>
        <v/>
      </c>
      <c r="F925" s="40" t="str">
        <f t="array" ref="F925">INDEX(DropDown!$J$2:$J$63,MATCH(1,COUNTIF(E925,DropDown!$I$2:$I$63),0))</f>
        <v>#N/A</v>
      </c>
      <c r="G925" s="25"/>
      <c r="H925" s="25"/>
      <c r="I925" s="25"/>
      <c r="J925" s="25" t="str">
        <f>'Ingest Template'!B925</f>
        <v/>
      </c>
      <c r="K925" s="25" t="str">
        <f>IF('Ingest Template'!A924="Standard",'Ingest Template'!N924,"Competitive View")</f>
        <v>Competitive View</v>
      </c>
      <c r="L925" s="41" t="s">
        <v>145</v>
      </c>
      <c r="M925" s="25" t="str">
        <f>'Ingest Template'!D924</f>
        <v/>
      </c>
      <c r="N925" s="25"/>
      <c r="O925" s="25"/>
      <c r="P925" s="25"/>
      <c r="Q925" s="25"/>
      <c r="R925" s="25" t="str">
        <f>CONCATENATE('Ingest Template'!F924)</f>
        <v/>
      </c>
      <c r="S925" s="43" t="s">
        <v>160</v>
      </c>
      <c r="T925" s="25" t="str">
        <f>'Ingest Template'!W924</f>
        <v/>
      </c>
      <c r="U925" s="25"/>
      <c r="V925" s="25" t="str">
        <f>LOWER(SUBSTITUTE(SUBSTITUTE(SUBSTITUTE(SUBSTITUTE(SUBSTITUTE('Ingest Template'!Y924,"https:",""),"www.",""),"/",""),"?hl=en",""),"instagram.com",""))</f>
        <v/>
      </c>
      <c r="W925" s="34" t="str">
        <f>(IFERROR(vlookup('Ingest Template'!F925,DropDown!D:E,2,false)&amp;'Ingest Template'!C925,""))</f>
        <v/>
      </c>
      <c r="X925" s="25" t="str">
        <f>'Ingest Template'!AA924</f>
        <v/>
      </c>
      <c r="Y925" s="25"/>
      <c r="Z925" s="25"/>
      <c r="AA925" s="25"/>
      <c r="AB925" s="25" t="str">
        <f>'Ingest Template'!T924</f>
        <v/>
      </c>
      <c r="AC925" s="25"/>
      <c r="AD925" s="25" t="str">
        <f>'Ingest Template'!U924</f>
        <v/>
      </c>
      <c r="AE925" s="25" t="str">
        <f>'Ingest Template'!V924</f>
        <v/>
      </c>
      <c r="AF925" s="25"/>
      <c r="AG925" s="25" t="str">
        <f t="array" ref="AG925">IF('Ingest Template'!A924="Standard",(CONCATENATE(IF(ISBLANK('Ingest Template'!O924),"", 'Ingest Template'!O924&amp;"|DAR"),CHAR(10), IF(ISBLANK('Ingest Template'!P924),"", 'Ingest Template'!P924&amp;"|DAR"),CHAR(10), IF(ISBLANK('Ingest Template'!Q924),"", 'Ingest Template'!Q924&amp;"|DAR"))),(CONCATENATE(IF(ISBLANK('Ingest Template'!O924),"", 'Ingest Template'!O924&amp;"|Operations - Core Title"),CHAR(10), IF(ISBLANK('Ingest Template'!P924),"", 'Ingest Template'!P924&amp;"|Operations - Core Title"),CHAR(10), IF(ISBLANK('Ingest Template'!Q924),"", 'Ingest Template'!Q924&amp;"|Operations - Core Title"))))</f>
        <v>#|Operations - Core Title
#videoGame|Operations - Core Title
</v>
      </c>
      <c r="AH925" s="25"/>
      <c r="AI925" s="25"/>
      <c r="AJ925" s="50" t="str">
        <f>if('Ingest Template'!A924="Standard",'Ingest Template'!R924&amp; "|DAR|DAR|2021-01-01",'Ingest Template'!R924&amp; "|Operations - Core Title|Operations - Core Title")</f>
        <v>#N/A</v>
      </c>
      <c r="AK925" s="25"/>
      <c r="AL925" s="25" t="str">
        <f>if('Ingest Template'!A924="Standard",'Ingest Template'!S924&amp; "|2021-01-01",'Ingest Template'!S924)</f>
        <v>#N/A</v>
      </c>
      <c r="AM925" s="25"/>
    </row>
    <row r="926">
      <c r="A926" s="25"/>
      <c r="B926" s="25" t="str">
        <f>'Ingest Template'!C925&amp;IF('Ingest Template'!A925 = "Standard", " - DAR","")</f>
        <v/>
      </c>
      <c r="C926" s="34" t="s">
        <v>92</v>
      </c>
      <c r="D926" s="34" t="str">
        <f>CONCATENATE('Ingest Template'!E926&amp;Char(10)&amp;'Ingest Template'!G926&amp;Char(10)&amp;'Ingest Template'!H926&amp;Char(10)&amp;'Ingest Template'!I926&amp;Char(10)&amp;'Ingest Template'!J926&amp;Char(10)&amp;'Ingest Template'!K926&amp;Char(10)&amp;'Ingest Template'!L926)</f>
        <v>
</v>
      </c>
      <c r="E926" s="25" t="str">
        <f>('Ingest Template'!M926)</f>
        <v/>
      </c>
      <c r="F926" s="40" t="str">
        <f t="array" ref="F926">INDEX(DropDown!$J$2:$J$63,MATCH(1,COUNTIF(E926,DropDown!$I$2:$I$63),0))</f>
        <v>#N/A</v>
      </c>
      <c r="G926" s="25"/>
      <c r="H926" s="25"/>
      <c r="I926" s="25"/>
      <c r="J926" s="25" t="str">
        <f>'Ingest Template'!B926</f>
        <v/>
      </c>
      <c r="K926" s="25" t="str">
        <f>IF('Ingest Template'!A925="Standard",'Ingest Template'!N925,"Competitive View")</f>
        <v>Competitive View</v>
      </c>
      <c r="L926" s="41" t="s">
        <v>145</v>
      </c>
      <c r="M926" s="25" t="str">
        <f>'Ingest Template'!D925</f>
        <v/>
      </c>
      <c r="N926" s="25"/>
      <c r="O926" s="25"/>
      <c r="P926" s="25"/>
      <c r="Q926" s="25"/>
      <c r="R926" s="25" t="str">
        <f>CONCATENATE('Ingest Template'!F925)</f>
        <v/>
      </c>
      <c r="S926" s="43" t="s">
        <v>160</v>
      </c>
      <c r="T926" s="25" t="str">
        <f>'Ingest Template'!W925</f>
        <v/>
      </c>
      <c r="U926" s="25"/>
      <c r="V926" s="25" t="str">
        <f>LOWER(SUBSTITUTE(SUBSTITUTE(SUBSTITUTE(SUBSTITUTE(SUBSTITUTE('Ingest Template'!Y925,"https:",""),"www.",""),"/",""),"?hl=en",""),"instagram.com",""))</f>
        <v/>
      </c>
      <c r="W926" s="34" t="str">
        <f>(IFERROR(vlookup('Ingest Template'!F926,DropDown!D:E,2,false)&amp;'Ingest Template'!C926,""))</f>
        <v/>
      </c>
      <c r="X926" s="25" t="str">
        <f>'Ingest Template'!AA925</f>
        <v/>
      </c>
      <c r="Y926" s="25"/>
      <c r="Z926" s="25"/>
      <c r="AA926" s="25"/>
      <c r="AB926" s="25" t="str">
        <f>'Ingest Template'!T925</f>
        <v/>
      </c>
      <c r="AC926" s="25"/>
      <c r="AD926" s="25" t="str">
        <f>'Ingest Template'!U925</f>
        <v/>
      </c>
      <c r="AE926" s="25" t="str">
        <f>'Ingest Template'!V925</f>
        <v/>
      </c>
      <c r="AF926" s="25"/>
      <c r="AG926" s="25" t="str">
        <f t="array" ref="AG926">IF('Ingest Template'!A925="Standard",(CONCATENATE(IF(ISBLANK('Ingest Template'!O925),"", 'Ingest Template'!O925&amp;"|DAR"),CHAR(10), IF(ISBLANK('Ingest Template'!P925),"", 'Ingest Template'!P925&amp;"|DAR"),CHAR(10), IF(ISBLANK('Ingest Template'!Q925),"", 'Ingest Template'!Q925&amp;"|DAR"))),(CONCATENATE(IF(ISBLANK('Ingest Template'!O925),"", 'Ingest Template'!O925&amp;"|Operations - Core Title"),CHAR(10), IF(ISBLANK('Ingest Template'!P925),"", 'Ingest Template'!P925&amp;"|Operations - Core Title"),CHAR(10), IF(ISBLANK('Ingest Template'!Q925),"", 'Ingest Template'!Q925&amp;"|Operations - Core Title"))))</f>
        <v>#|Operations - Core Title
#videoGame|Operations - Core Title
</v>
      </c>
      <c r="AH926" s="25"/>
      <c r="AI926" s="25"/>
      <c r="AJ926" s="50" t="str">
        <f>if('Ingest Template'!A925="Standard",'Ingest Template'!R925&amp; "|DAR|DAR|2021-01-01",'Ingest Template'!R925&amp; "|Operations - Core Title|Operations - Core Title")</f>
        <v>#N/A</v>
      </c>
      <c r="AK926" s="25"/>
      <c r="AL926" s="25" t="str">
        <f>if('Ingest Template'!A925="Standard",'Ingest Template'!S925&amp; "|2021-01-01",'Ingest Template'!S925)</f>
        <v>#N/A</v>
      </c>
      <c r="AM926" s="25"/>
    </row>
    <row r="927">
      <c r="A927" s="25"/>
      <c r="B927" s="25" t="str">
        <f>'Ingest Template'!C926&amp;IF('Ingest Template'!A926 = "Standard", " - DAR","")</f>
        <v/>
      </c>
      <c r="C927" s="34" t="s">
        <v>92</v>
      </c>
      <c r="D927" s="34" t="str">
        <f>CONCATENATE('Ingest Template'!E927&amp;Char(10)&amp;'Ingest Template'!G927&amp;Char(10)&amp;'Ingest Template'!H927&amp;Char(10)&amp;'Ingest Template'!I927&amp;Char(10)&amp;'Ingest Template'!J927&amp;Char(10)&amp;'Ingest Template'!K927&amp;Char(10)&amp;'Ingest Template'!L927)</f>
        <v>
</v>
      </c>
      <c r="E927" s="25" t="str">
        <f>('Ingest Template'!M927)</f>
        <v/>
      </c>
      <c r="F927" s="40" t="str">
        <f t="array" ref="F927">INDEX(DropDown!$J$2:$J$63,MATCH(1,COUNTIF(E927,DropDown!$I$2:$I$63),0))</f>
        <v>#N/A</v>
      </c>
      <c r="G927" s="25"/>
      <c r="H927" s="25"/>
      <c r="I927" s="25"/>
      <c r="J927" s="25" t="str">
        <f>'Ingest Template'!B927</f>
        <v/>
      </c>
      <c r="K927" s="25" t="str">
        <f>IF('Ingest Template'!A926="Standard",'Ingest Template'!N926,"Competitive View")</f>
        <v>Competitive View</v>
      </c>
      <c r="L927" s="41" t="s">
        <v>145</v>
      </c>
      <c r="M927" s="25" t="str">
        <f>'Ingest Template'!D926</f>
        <v/>
      </c>
      <c r="N927" s="25"/>
      <c r="O927" s="25"/>
      <c r="P927" s="25"/>
      <c r="Q927" s="25"/>
      <c r="R927" s="25" t="str">
        <f>CONCATENATE('Ingest Template'!F926)</f>
        <v/>
      </c>
      <c r="S927" s="43" t="s">
        <v>160</v>
      </c>
      <c r="T927" s="25" t="str">
        <f>'Ingest Template'!W926</f>
        <v/>
      </c>
      <c r="U927" s="25"/>
      <c r="V927" s="25" t="str">
        <f>LOWER(SUBSTITUTE(SUBSTITUTE(SUBSTITUTE(SUBSTITUTE(SUBSTITUTE('Ingest Template'!Y926,"https:",""),"www.",""),"/",""),"?hl=en",""),"instagram.com",""))</f>
        <v/>
      </c>
      <c r="W927" s="34" t="str">
        <f>(IFERROR(vlookup('Ingest Template'!F927,DropDown!D:E,2,false)&amp;'Ingest Template'!C927,""))</f>
        <v/>
      </c>
      <c r="X927" s="25" t="str">
        <f>'Ingest Template'!AA926</f>
        <v/>
      </c>
      <c r="Y927" s="25"/>
      <c r="Z927" s="25"/>
      <c r="AA927" s="25"/>
      <c r="AB927" s="25" t="str">
        <f>'Ingest Template'!T926</f>
        <v/>
      </c>
      <c r="AC927" s="25"/>
      <c r="AD927" s="25" t="str">
        <f>'Ingest Template'!U926</f>
        <v/>
      </c>
      <c r="AE927" s="25" t="str">
        <f>'Ingest Template'!V926</f>
        <v/>
      </c>
      <c r="AF927" s="25"/>
      <c r="AG927" s="25" t="str">
        <f t="array" ref="AG927">IF('Ingest Template'!A926="Standard",(CONCATENATE(IF(ISBLANK('Ingest Template'!O926),"", 'Ingest Template'!O926&amp;"|DAR"),CHAR(10), IF(ISBLANK('Ingest Template'!P926),"", 'Ingest Template'!P926&amp;"|DAR"),CHAR(10), IF(ISBLANK('Ingest Template'!Q926),"", 'Ingest Template'!Q926&amp;"|DAR"))),(CONCATENATE(IF(ISBLANK('Ingest Template'!O926),"", 'Ingest Template'!O926&amp;"|Operations - Core Title"),CHAR(10), IF(ISBLANK('Ingest Template'!P926),"", 'Ingest Template'!P926&amp;"|Operations - Core Title"),CHAR(10), IF(ISBLANK('Ingest Template'!Q926),"", 'Ingest Template'!Q926&amp;"|Operations - Core Title"))))</f>
        <v>#|Operations - Core Title
#videoGame|Operations - Core Title
</v>
      </c>
      <c r="AH927" s="25"/>
      <c r="AI927" s="25"/>
      <c r="AJ927" s="50" t="str">
        <f>if('Ingest Template'!A926="Standard",'Ingest Template'!R926&amp; "|DAR|DAR|2021-01-01",'Ingest Template'!R926&amp; "|Operations - Core Title|Operations - Core Title")</f>
        <v>#N/A</v>
      </c>
      <c r="AK927" s="25"/>
      <c r="AL927" s="25" t="str">
        <f>if('Ingest Template'!A926="Standard",'Ingest Template'!S926&amp; "|2021-01-01",'Ingest Template'!S926)</f>
        <v>#N/A</v>
      </c>
      <c r="AM927" s="25"/>
    </row>
    <row r="928">
      <c r="A928" s="25"/>
      <c r="B928" s="25" t="str">
        <f>'Ingest Template'!C927&amp;IF('Ingest Template'!A927 = "Standard", " - DAR","")</f>
        <v/>
      </c>
      <c r="C928" s="34" t="s">
        <v>92</v>
      </c>
      <c r="D928" s="34" t="str">
        <f>CONCATENATE('Ingest Template'!E928&amp;Char(10)&amp;'Ingest Template'!G928&amp;Char(10)&amp;'Ingest Template'!H928&amp;Char(10)&amp;'Ingest Template'!I928&amp;Char(10)&amp;'Ingest Template'!J928&amp;Char(10)&amp;'Ingest Template'!K928&amp;Char(10)&amp;'Ingest Template'!L928)</f>
        <v>
</v>
      </c>
      <c r="E928" s="25" t="str">
        <f>('Ingest Template'!M928)</f>
        <v/>
      </c>
      <c r="F928" s="40" t="str">
        <f t="array" ref="F928">INDEX(DropDown!$J$2:$J$63,MATCH(1,COUNTIF(E928,DropDown!$I$2:$I$63),0))</f>
        <v>#N/A</v>
      </c>
      <c r="G928" s="25"/>
      <c r="H928" s="25"/>
      <c r="I928" s="25"/>
      <c r="J928" s="25" t="str">
        <f>'Ingest Template'!B928</f>
        <v/>
      </c>
      <c r="K928" s="25" t="str">
        <f>IF('Ingest Template'!A927="Standard",'Ingest Template'!N927,"Competitive View")</f>
        <v>Competitive View</v>
      </c>
      <c r="L928" s="41" t="s">
        <v>145</v>
      </c>
      <c r="M928" s="25" t="str">
        <f>'Ingest Template'!D927</f>
        <v/>
      </c>
      <c r="N928" s="25"/>
      <c r="O928" s="25"/>
      <c r="P928" s="25"/>
      <c r="Q928" s="25"/>
      <c r="R928" s="25" t="str">
        <f>CONCATENATE('Ingest Template'!F927)</f>
        <v/>
      </c>
      <c r="S928" s="43" t="s">
        <v>160</v>
      </c>
      <c r="T928" s="25" t="str">
        <f>'Ingest Template'!W927</f>
        <v/>
      </c>
      <c r="U928" s="25"/>
      <c r="V928" s="25" t="str">
        <f>LOWER(SUBSTITUTE(SUBSTITUTE(SUBSTITUTE(SUBSTITUTE(SUBSTITUTE('Ingest Template'!Y927,"https:",""),"www.",""),"/",""),"?hl=en",""),"instagram.com",""))</f>
        <v/>
      </c>
      <c r="W928" s="34" t="str">
        <f>(IFERROR(vlookup('Ingest Template'!F928,DropDown!D:E,2,false)&amp;'Ingest Template'!C928,""))</f>
        <v/>
      </c>
      <c r="X928" s="25" t="str">
        <f>'Ingest Template'!AA927</f>
        <v/>
      </c>
      <c r="Y928" s="25"/>
      <c r="Z928" s="25"/>
      <c r="AA928" s="25"/>
      <c r="AB928" s="25" t="str">
        <f>'Ingest Template'!T927</f>
        <v/>
      </c>
      <c r="AC928" s="25"/>
      <c r="AD928" s="25" t="str">
        <f>'Ingest Template'!U927</f>
        <v/>
      </c>
      <c r="AE928" s="25" t="str">
        <f>'Ingest Template'!V927</f>
        <v/>
      </c>
      <c r="AF928" s="25"/>
      <c r="AG928" s="25" t="str">
        <f t="array" ref="AG928">IF('Ingest Template'!A927="Standard",(CONCATENATE(IF(ISBLANK('Ingest Template'!O927),"", 'Ingest Template'!O927&amp;"|DAR"),CHAR(10), IF(ISBLANK('Ingest Template'!P927),"", 'Ingest Template'!P927&amp;"|DAR"),CHAR(10), IF(ISBLANK('Ingest Template'!Q927),"", 'Ingest Template'!Q927&amp;"|DAR"))),(CONCATENATE(IF(ISBLANK('Ingest Template'!O927),"", 'Ingest Template'!O927&amp;"|Operations - Core Title"),CHAR(10), IF(ISBLANK('Ingest Template'!P927),"", 'Ingest Template'!P927&amp;"|Operations - Core Title"),CHAR(10), IF(ISBLANK('Ingest Template'!Q927),"", 'Ingest Template'!Q927&amp;"|Operations - Core Title"))))</f>
        <v>#|Operations - Core Title
#videoGame|Operations - Core Title
</v>
      </c>
      <c r="AH928" s="25"/>
      <c r="AI928" s="25"/>
      <c r="AJ928" s="50" t="str">
        <f>if('Ingest Template'!A927="Standard",'Ingest Template'!R927&amp; "|DAR|DAR|2021-01-01",'Ingest Template'!R927&amp; "|Operations - Core Title|Operations - Core Title")</f>
        <v>#N/A</v>
      </c>
      <c r="AK928" s="25"/>
      <c r="AL928" s="25" t="str">
        <f>if('Ingest Template'!A927="Standard",'Ingest Template'!S927&amp; "|2021-01-01",'Ingest Template'!S927)</f>
        <v>#N/A</v>
      </c>
      <c r="AM928" s="25"/>
    </row>
    <row r="929">
      <c r="A929" s="25"/>
      <c r="B929" s="25" t="str">
        <f>'Ingest Template'!C928&amp;IF('Ingest Template'!A928 = "Standard", " - DAR","")</f>
        <v/>
      </c>
      <c r="C929" s="34" t="s">
        <v>92</v>
      </c>
      <c r="D929" s="34" t="str">
        <f>CONCATENATE('Ingest Template'!E929&amp;Char(10)&amp;'Ingest Template'!G929&amp;Char(10)&amp;'Ingest Template'!H929&amp;Char(10)&amp;'Ingest Template'!I929&amp;Char(10)&amp;'Ingest Template'!J929&amp;Char(10)&amp;'Ingest Template'!K929&amp;Char(10)&amp;'Ingest Template'!L929)</f>
        <v>
</v>
      </c>
      <c r="E929" s="25" t="str">
        <f>('Ingest Template'!M929)</f>
        <v/>
      </c>
      <c r="F929" s="40" t="str">
        <f t="array" ref="F929">INDEX(DropDown!$J$2:$J$63,MATCH(1,COUNTIF(E929,DropDown!$I$2:$I$63),0))</f>
        <v>#N/A</v>
      </c>
      <c r="G929" s="25"/>
      <c r="H929" s="25"/>
      <c r="I929" s="25"/>
      <c r="J929" s="25" t="str">
        <f>'Ingest Template'!B929</f>
        <v/>
      </c>
      <c r="K929" s="25" t="str">
        <f>IF('Ingest Template'!A928="Standard",'Ingest Template'!N928,"Competitive View")</f>
        <v>Competitive View</v>
      </c>
      <c r="L929" s="41" t="s">
        <v>145</v>
      </c>
      <c r="M929" s="25" t="str">
        <f>'Ingest Template'!D928</f>
        <v/>
      </c>
      <c r="N929" s="25"/>
      <c r="O929" s="25"/>
      <c r="P929" s="25"/>
      <c r="Q929" s="25"/>
      <c r="R929" s="25" t="str">
        <f>CONCATENATE('Ingest Template'!F928)</f>
        <v/>
      </c>
      <c r="S929" s="43" t="s">
        <v>160</v>
      </c>
      <c r="T929" s="25" t="str">
        <f>'Ingest Template'!W928</f>
        <v/>
      </c>
      <c r="U929" s="25"/>
      <c r="V929" s="25" t="str">
        <f>LOWER(SUBSTITUTE(SUBSTITUTE(SUBSTITUTE(SUBSTITUTE(SUBSTITUTE('Ingest Template'!Y928,"https:",""),"www.",""),"/",""),"?hl=en",""),"instagram.com",""))</f>
        <v/>
      </c>
      <c r="W929" s="34" t="str">
        <f>(IFERROR(vlookup('Ingest Template'!F929,DropDown!D:E,2,false)&amp;'Ingest Template'!C929,""))</f>
        <v/>
      </c>
      <c r="X929" s="25" t="str">
        <f>'Ingest Template'!AA928</f>
        <v/>
      </c>
      <c r="Y929" s="25"/>
      <c r="Z929" s="25"/>
      <c r="AA929" s="25"/>
      <c r="AB929" s="25" t="str">
        <f>'Ingest Template'!T928</f>
        <v/>
      </c>
      <c r="AC929" s="25"/>
      <c r="AD929" s="25" t="str">
        <f>'Ingest Template'!U928</f>
        <v/>
      </c>
      <c r="AE929" s="25" t="str">
        <f>'Ingest Template'!V928</f>
        <v/>
      </c>
      <c r="AF929" s="25"/>
      <c r="AG929" s="25" t="str">
        <f t="array" ref="AG929">IF('Ingest Template'!A928="Standard",(CONCATENATE(IF(ISBLANK('Ingest Template'!O928),"", 'Ingest Template'!O928&amp;"|DAR"),CHAR(10), IF(ISBLANK('Ingest Template'!P928),"", 'Ingest Template'!P928&amp;"|DAR"),CHAR(10), IF(ISBLANK('Ingest Template'!Q928),"", 'Ingest Template'!Q928&amp;"|DAR"))),(CONCATENATE(IF(ISBLANK('Ingest Template'!O928),"", 'Ingest Template'!O928&amp;"|Operations - Core Title"),CHAR(10), IF(ISBLANK('Ingest Template'!P928),"", 'Ingest Template'!P928&amp;"|Operations - Core Title"),CHAR(10), IF(ISBLANK('Ingest Template'!Q928),"", 'Ingest Template'!Q928&amp;"|Operations - Core Title"))))</f>
        <v>#|Operations - Core Title
#videoGame|Operations - Core Title
</v>
      </c>
      <c r="AH929" s="25"/>
      <c r="AI929" s="25"/>
      <c r="AJ929" s="50" t="str">
        <f>if('Ingest Template'!A928="Standard",'Ingest Template'!R928&amp; "|DAR|DAR|2021-01-01",'Ingest Template'!R928&amp; "|Operations - Core Title|Operations - Core Title")</f>
        <v>#N/A</v>
      </c>
      <c r="AK929" s="25"/>
      <c r="AL929" s="25" t="str">
        <f>if('Ingest Template'!A928="Standard",'Ingest Template'!S928&amp; "|2021-01-01",'Ingest Template'!S928)</f>
        <v>#N/A</v>
      </c>
      <c r="AM929" s="25"/>
    </row>
    <row r="930">
      <c r="A930" s="25"/>
      <c r="B930" s="25" t="str">
        <f>'Ingest Template'!C929&amp;IF('Ingest Template'!A929 = "Standard", " - DAR","")</f>
        <v/>
      </c>
      <c r="C930" s="34" t="s">
        <v>92</v>
      </c>
      <c r="D930" s="34" t="str">
        <f>CONCATENATE('Ingest Template'!E930&amp;Char(10)&amp;'Ingest Template'!G930&amp;Char(10)&amp;'Ingest Template'!H930&amp;Char(10)&amp;'Ingest Template'!I930&amp;Char(10)&amp;'Ingest Template'!J930&amp;Char(10)&amp;'Ingest Template'!K930&amp;Char(10)&amp;'Ingest Template'!L930)</f>
        <v>
</v>
      </c>
      <c r="E930" s="25" t="str">
        <f>('Ingest Template'!M930)</f>
        <v/>
      </c>
      <c r="F930" s="40" t="str">
        <f t="array" ref="F930">INDEX(DropDown!$J$2:$J$63,MATCH(1,COUNTIF(E930,DropDown!$I$2:$I$63),0))</f>
        <v>#N/A</v>
      </c>
      <c r="G930" s="25"/>
      <c r="H930" s="25"/>
      <c r="I930" s="25"/>
      <c r="J930" s="25" t="str">
        <f>'Ingest Template'!B930</f>
        <v/>
      </c>
      <c r="K930" s="25" t="str">
        <f>IF('Ingest Template'!A929="Standard",'Ingest Template'!N929,"Competitive View")</f>
        <v>Competitive View</v>
      </c>
      <c r="L930" s="41" t="s">
        <v>145</v>
      </c>
      <c r="M930" s="25" t="str">
        <f>'Ingest Template'!D929</f>
        <v/>
      </c>
      <c r="N930" s="25"/>
      <c r="O930" s="25"/>
      <c r="P930" s="25"/>
      <c r="Q930" s="25"/>
      <c r="R930" s="25" t="str">
        <f>CONCATENATE('Ingest Template'!F929)</f>
        <v/>
      </c>
      <c r="S930" s="43" t="s">
        <v>160</v>
      </c>
      <c r="T930" s="25" t="str">
        <f>'Ingest Template'!W929</f>
        <v/>
      </c>
      <c r="U930" s="25"/>
      <c r="V930" s="25" t="str">
        <f>LOWER(SUBSTITUTE(SUBSTITUTE(SUBSTITUTE(SUBSTITUTE(SUBSTITUTE('Ingest Template'!Y929,"https:",""),"www.",""),"/",""),"?hl=en",""),"instagram.com",""))</f>
        <v/>
      </c>
      <c r="W930" s="34" t="str">
        <f>(IFERROR(vlookup('Ingest Template'!F930,DropDown!D:E,2,false)&amp;'Ingest Template'!C930,""))</f>
        <v/>
      </c>
      <c r="X930" s="25" t="str">
        <f>'Ingest Template'!AA929</f>
        <v/>
      </c>
      <c r="Y930" s="25"/>
      <c r="Z930" s="25"/>
      <c r="AA930" s="25"/>
      <c r="AB930" s="25" t="str">
        <f>'Ingest Template'!T929</f>
        <v/>
      </c>
      <c r="AC930" s="25"/>
      <c r="AD930" s="25" t="str">
        <f>'Ingest Template'!U929</f>
        <v/>
      </c>
      <c r="AE930" s="25" t="str">
        <f>'Ingest Template'!V929</f>
        <v/>
      </c>
      <c r="AF930" s="25"/>
      <c r="AG930" s="25" t="str">
        <f t="array" ref="AG930">IF('Ingest Template'!A929="Standard",(CONCATENATE(IF(ISBLANK('Ingest Template'!O929),"", 'Ingest Template'!O929&amp;"|DAR"),CHAR(10), IF(ISBLANK('Ingest Template'!P929),"", 'Ingest Template'!P929&amp;"|DAR"),CHAR(10), IF(ISBLANK('Ingest Template'!Q929),"", 'Ingest Template'!Q929&amp;"|DAR"))),(CONCATENATE(IF(ISBLANK('Ingest Template'!O929),"", 'Ingest Template'!O929&amp;"|Operations - Core Title"),CHAR(10), IF(ISBLANK('Ingest Template'!P929),"", 'Ingest Template'!P929&amp;"|Operations - Core Title"),CHAR(10), IF(ISBLANK('Ingest Template'!Q929),"", 'Ingest Template'!Q929&amp;"|Operations - Core Title"))))</f>
        <v>#|Operations - Core Title
#videoGame|Operations - Core Title
</v>
      </c>
      <c r="AH930" s="25"/>
      <c r="AI930" s="25"/>
      <c r="AJ930" s="50" t="str">
        <f>if('Ingest Template'!A929="Standard",'Ingest Template'!R929&amp; "|DAR|DAR|2021-01-01",'Ingest Template'!R929&amp; "|Operations - Core Title|Operations - Core Title")</f>
        <v>#N/A</v>
      </c>
      <c r="AK930" s="25"/>
      <c r="AL930" s="25" t="str">
        <f>if('Ingest Template'!A929="Standard",'Ingest Template'!S929&amp; "|2021-01-01",'Ingest Template'!S929)</f>
        <v>#N/A</v>
      </c>
      <c r="AM930" s="25"/>
    </row>
    <row r="931">
      <c r="A931" s="25"/>
      <c r="B931" s="25" t="str">
        <f>'Ingest Template'!C930&amp;IF('Ingest Template'!A930 = "Standard", " - DAR","")</f>
        <v/>
      </c>
      <c r="C931" s="34" t="s">
        <v>92</v>
      </c>
      <c r="D931" s="34" t="str">
        <f>CONCATENATE('Ingest Template'!E931&amp;Char(10)&amp;'Ingest Template'!G931&amp;Char(10)&amp;'Ingest Template'!H931&amp;Char(10)&amp;'Ingest Template'!I931&amp;Char(10)&amp;'Ingest Template'!J931&amp;Char(10)&amp;'Ingest Template'!K931&amp;Char(10)&amp;'Ingest Template'!L931)</f>
        <v>
</v>
      </c>
      <c r="E931" s="25" t="str">
        <f>('Ingest Template'!M931)</f>
        <v/>
      </c>
      <c r="F931" s="40" t="str">
        <f t="array" ref="F931">INDEX(DropDown!$J$2:$J$63,MATCH(1,COUNTIF(E931,DropDown!$I$2:$I$63),0))</f>
        <v>#N/A</v>
      </c>
      <c r="G931" s="25"/>
      <c r="H931" s="25"/>
      <c r="I931" s="25"/>
      <c r="J931" s="25" t="str">
        <f>'Ingest Template'!B931</f>
        <v/>
      </c>
      <c r="K931" s="25" t="str">
        <f>IF('Ingest Template'!A930="Standard",'Ingest Template'!N930,"Competitive View")</f>
        <v>Competitive View</v>
      </c>
      <c r="L931" s="41" t="s">
        <v>145</v>
      </c>
      <c r="M931" s="25" t="str">
        <f>'Ingest Template'!D930</f>
        <v/>
      </c>
      <c r="N931" s="25"/>
      <c r="O931" s="25"/>
      <c r="P931" s="25"/>
      <c r="Q931" s="25"/>
      <c r="R931" s="25" t="str">
        <f>CONCATENATE('Ingest Template'!F930)</f>
        <v/>
      </c>
      <c r="S931" s="43" t="s">
        <v>160</v>
      </c>
      <c r="T931" s="25" t="str">
        <f>'Ingest Template'!W930</f>
        <v/>
      </c>
      <c r="U931" s="25"/>
      <c r="V931" s="25" t="str">
        <f>LOWER(SUBSTITUTE(SUBSTITUTE(SUBSTITUTE(SUBSTITUTE(SUBSTITUTE('Ingest Template'!Y930,"https:",""),"www.",""),"/",""),"?hl=en",""),"instagram.com",""))</f>
        <v/>
      </c>
      <c r="W931" s="34" t="str">
        <f>(IFERROR(vlookup('Ingest Template'!F931,DropDown!D:E,2,false)&amp;'Ingest Template'!C931,""))</f>
        <v/>
      </c>
      <c r="X931" s="25" t="str">
        <f>'Ingest Template'!AA930</f>
        <v/>
      </c>
      <c r="Y931" s="25"/>
      <c r="Z931" s="25"/>
      <c r="AA931" s="25"/>
      <c r="AB931" s="25" t="str">
        <f>'Ingest Template'!T930</f>
        <v/>
      </c>
      <c r="AC931" s="25"/>
      <c r="AD931" s="25" t="str">
        <f>'Ingest Template'!U930</f>
        <v/>
      </c>
      <c r="AE931" s="25" t="str">
        <f>'Ingest Template'!V930</f>
        <v/>
      </c>
      <c r="AF931" s="25"/>
      <c r="AG931" s="25" t="str">
        <f t="array" ref="AG931">IF('Ingest Template'!A930="Standard",(CONCATENATE(IF(ISBLANK('Ingest Template'!O930),"", 'Ingest Template'!O930&amp;"|DAR"),CHAR(10), IF(ISBLANK('Ingest Template'!P930),"", 'Ingest Template'!P930&amp;"|DAR"),CHAR(10), IF(ISBLANK('Ingest Template'!Q930),"", 'Ingest Template'!Q930&amp;"|DAR"))),(CONCATENATE(IF(ISBLANK('Ingest Template'!O930),"", 'Ingest Template'!O930&amp;"|Operations - Core Title"),CHAR(10), IF(ISBLANK('Ingest Template'!P930),"", 'Ingest Template'!P930&amp;"|Operations - Core Title"),CHAR(10), IF(ISBLANK('Ingest Template'!Q930),"", 'Ingest Template'!Q930&amp;"|Operations - Core Title"))))</f>
        <v>#|Operations - Core Title
#videoGame|Operations - Core Title
</v>
      </c>
      <c r="AH931" s="25"/>
      <c r="AI931" s="25"/>
      <c r="AJ931" s="50" t="str">
        <f>if('Ingest Template'!A930="Standard",'Ingest Template'!R930&amp; "|DAR|DAR|2021-01-01",'Ingest Template'!R930&amp; "|Operations - Core Title|Operations - Core Title")</f>
        <v>#N/A</v>
      </c>
      <c r="AK931" s="25"/>
      <c r="AL931" s="25" t="str">
        <f>if('Ingest Template'!A930="Standard",'Ingest Template'!S930&amp; "|2021-01-01",'Ingest Template'!S930)</f>
        <v>#N/A</v>
      </c>
      <c r="AM931" s="25"/>
    </row>
    <row r="932">
      <c r="A932" s="25"/>
      <c r="B932" s="25" t="str">
        <f>'Ingest Template'!C931&amp;IF('Ingest Template'!A931 = "Standard", " - DAR","")</f>
        <v/>
      </c>
      <c r="C932" s="34" t="s">
        <v>92</v>
      </c>
      <c r="D932" s="34" t="str">
        <f>CONCATENATE('Ingest Template'!E932&amp;Char(10)&amp;'Ingest Template'!G932&amp;Char(10)&amp;'Ingest Template'!H932&amp;Char(10)&amp;'Ingest Template'!I932&amp;Char(10)&amp;'Ingest Template'!J932&amp;Char(10)&amp;'Ingest Template'!K932&amp;Char(10)&amp;'Ingest Template'!L932)</f>
        <v>
</v>
      </c>
      <c r="E932" s="25" t="str">
        <f>('Ingest Template'!M932)</f>
        <v/>
      </c>
      <c r="F932" s="40" t="str">
        <f t="array" ref="F932">INDEX(DropDown!$J$2:$J$63,MATCH(1,COUNTIF(E932,DropDown!$I$2:$I$63),0))</f>
        <v>#N/A</v>
      </c>
      <c r="G932" s="25"/>
      <c r="H932" s="25"/>
      <c r="I932" s="25"/>
      <c r="J932" s="25" t="str">
        <f>'Ingest Template'!B932</f>
        <v/>
      </c>
      <c r="K932" s="25" t="str">
        <f>IF('Ingest Template'!A931="Standard",'Ingest Template'!N931,"Competitive View")</f>
        <v>Competitive View</v>
      </c>
      <c r="L932" s="41" t="s">
        <v>145</v>
      </c>
      <c r="M932" s="25" t="str">
        <f>'Ingest Template'!D931</f>
        <v/>
      </c>
      <c r="N932" s="25"/>
      <c r="O932" s="25"/>
      <c r="P932" s="25"/>
      <c r="Q932" s="25"/>
      <c r="R932" s="25" t="str">
        <f>CONCATENATE('Ingest Template'!F931)</f>
        <v/>
      </c>
      <c r="S932" s="43" t="s">
        <v>160</v>
      </c>
      <c r="T932" s="25" t="str">
        <f>'Ingest Template'!W931</f>
        <v/>
      </c>
      <c r="U932" s="25"/>
      <c r="V932" s="25" t="str">
        <f>LOWER(SUBSTITUTE(SUBSTITUTE(SUBSTITUTE(SUBSTITUTE(SUBSTITUTE('Ingest Template'!Y931,"https:",""),"www.",""),"/",""),"?hl=en",""),"instagram.com",""))</f>
        <v/>
      </c>
      <c r="W932" s="34" t="str">
        <f>(IFERROR(vlookup('Ingest Template'!F932,DropDown!D:E,2,false)&amp;'Ingest Template'!C932,""))</f>
        <v/>
      </c>
      <c r="X932" s="25" t="str">
        <f>'Ingest Template'!AA931</f>
        <v/>
      </c>
      <c r="Y932" s="25"/>
      <c r="Z932" s="25"/>
      <c r="AA932" s="25"/>
      <c r="AB932" s="25" t="str">
        <f>'Ingest Template'!T931</f>
        <v/>
      </c>
      <c r="AC932" s="25"/>
      <c r="AD932" s="25" t="str">
        <f>'Ingest Template'!U931</f>
        <v/>
      </c>
      <c r="AE932" s="25" t="str">
        <f>'Ingest Template'!V931</f>
        <v/>
      </c>
      <c r="AF932" s="25"/>
      <c r="AG932" s="25" t="str">
        <f t="array" ref="AG932">IF('Ingest Template'!A931="Standard",(CONCATENATE(IF(ISBLANK('Ingest Template'!O931),"", 'Ingest Template'!O931&amp;"|DAR"),CHAR(10), IF(ISBLANK('Ingest Template'!P931),"", 'Ingest Template'!P931&amp;"|DAR"),CHAR(10), IF(ISBLANK('Ingest Template'!Q931),"", 'Ingest Template'!Q931&amp;"|DAR"))),(CONCATENATE(IF(ISBLANK('Ingest Template'!O931),"", 'Ingest Template'!O931&amp;"|Operations - Core Title"),CHAR(10), IF(ISBLANK('Ingest Template'!P931),"", 'Ingest Template'!P931&amp;"|Operations - Core Title"),CHAR(10), IF(ISBLANK('Ingest Template'!Q931),"", 'Ingest Template'!Q931&amp;"|Operations - Core Title"))))</f>
        <v>#|Operations - Core Title
#videoGame|Operations - Core Title
</v>
      </c>
      <c r="AH932" s="25"/>
      <c r="AI932" s="25"/>
      <c r="AJ932" s="50" t="str">
        <f>if('Ingest Template'!A931="Standard",'Ingest Template'!R931&amp; "|DAR|DAR|2021-01-01",'Ingest Template'!R931&amp; "|Operations - Core Title|Operations - Core Title")</f>
        <v>#N/A</v>
      </c>
      <c r="AK932" s="25"/>
      <c r="AL932" s="25" t="str">
        <f>if('Ingest Template'!A931="Standard",'Ingest Template'!S931&amp; "|2021-01-01",'Ingest Template'!S931)</f>
        <v>#N/A</v>
      </c>
      <c r="AM932" s="25"/>
    </row>
    <row r="933">
      <c r="A933" s="25"/>
      <c r="B933" s="25" t="str">
        <f>'Ingest Template'!C932&amp;IF('Ingest Template'!A932 = "Standard", " - DAR","")</f>
        <v/>
      </c>
      <c r="C933" s="34" t="s">
        <v>92</v>
      </c>
      <c r="D933" s="34" t="str">
        <f>CONCATENATE('Ingest Template'!E933&amp;Char(10)&amp;'Ingest Template'!G933&amp;Char(10)&amp;'Ingest Template'!H933&amp;Char(10)&amp;'Ingest Template'!I933&amp;Char(10)&amp;'Ingest Template'!J933&amp;Char(10)&amp;'Ingest Template'!K933&amp;Char(10)&amp;'Ingest Template'!L933)</f>
        <v>
</v>
      </c>
      <c r="E933" s="25" t="str">
        <f>('Ingest Template'!M933)</f>
        <v/>
      </c>
      <c r="F933" s="40" t="str">
        <f t="array" ref="F933">INDEX(DropDown!$J$2:$J$63,MATCH(1,COUNTIF(E933,DropDown!$I$2:$I$63),0))</f>
        <v>#N/A</v>
      </c>
      <c r="G933" s="25"/>
      <c r="H933" s="25"/>
      <c r="I933" s="25"/>
      <c r="J933" s="25" t="str">
        <f>'Ingest Template'!B933</f>
        <v/>
      </c>
      <c r="K933" s="25" t="str">
        <f>IF('Ingest Template'!A932="Standard",'Ingest Template'!N932,"Competitive View")</f>
        <v>Competitive View</v>
      </c>
      <c r="L933" s="41" t="s">
        <v>145</v>
      </c>
      <c r="M933" s="25" t="str">
        <f>'Ingest Template'!D932</f>
        <v/>
      </c>
      <c r="N933" s="25"/>
      <c r="O933" s="25"/>
      <c r="P933" s="25"/>
      <c r="Q933" s="25"/>
      <c r="R933" s="25" t="str">
        <f>CONCATENATE('Ingest Template'!F932)</f>
        <v/>
      </c>
      <c r="S933" s="43" t="s">
        <v>160</v>
      </c>
      <c r="T933" s="25" t="str">
        <f>'Ingest Template'!W932</f>
        <v/>
      </c>
      <c r="U933" s="25"/>
      <c r="V933" s="25" t="str">
        <f>LOWER(SUBSTITUTE(SUBSTITUTE(SUBSTITUTE(SUBSTITUTE(SUBSTITUTE('Ingest Template'!Y932,"https:",""),"www.",""),"/",""),"?hl=en",""),"instagram.com",""))</f>
        <v/>
      </c>
      <c r="W933" s="34" t="str">
        <f>(IFERROR(vlookup('Ingest Template'!F933,DropDown!D:E,2,false)&amp;'Ingest Template'!C933,""))</f>
        <v/>
      </c>
      <c r="X933" s="25" t="str">
        <f>'Ingest Template'!AA932</f>
        <v/>
      </c>
      <c r="Y933" s="25"/>
      <c r="Z933" s="25"/>
      <c r="AA933" s="25"/>
      <c r="AB933" s="25" t="str">
        <f>'Ingest Template'!T932</f>
        <v/>
      </c>
      <c r="AC933" s="25"/>
      <c r="AD933" s="25" t="str">
        <f>'Ingest Template'!U932</f>
        <v/>
      </c>
      <c r="AE933" s="25" t="str">
        <f>'Ingest Template'!V932</f>
        <v/>
      </c>
      <c r="AF933" s="25"/>
      <c r="AG933" s="25" t="str">
        <f t="array" ref="AG933">IF('Ingest Template'!A932="Standard",(CONCATENATE(IF(ISBLANK('Ingest Template'!O932),"", 'Ingest Template'!O932&amp;"|DAR"),CHAR(10), IF(ISBLANK('Ingest Template'!P932),"", 'Ingest Template'!P932&amp;"|DAR"),CHAR(10), IF(ISBLANK('Ingest Template'!Q932),"", 'Ingest Template'!Q932&amp;"|DAR"))),(CONCATENATE(IF(ISBLANK('Ingest Template'!O932),"", 'Ingest Template'!O932&amp;"|Operations - Core Title"),CHAR(10), IF(ISBLANK('Ingest Template'!P932),"", 'Ingest Template'!P932&amp;"|Operations - Core Title"),CHAR(10), IF(ISBLANK('Ingest Template'!Q932),"", 'Ingest Template'!Q932&amp;"|Operations - Core Title"))))</f>
        <v>#|Operations - Core Title
#videoGame|Operations - Core Title
</v>
      </c>
      <c r="AH933" s="25"/>
      <c r="AI933" s="25"/>
      <c r="AJ933" s="50" t="str">
        <f>if('Ingest Template'!A932="Standard",'Ingest Template'!R932&amp; "|DAR|DAR|2021-01-01",'Ingest Template'!R932&amp; "|Operations - Core Title|Operations - Core Title")</f>
        <v>#N/A</v>
      </c>
      <c r="AK933" s="25"/>
      <c r="AL933" s="25" t="str">
        <f>if('Ingest Template'!A932="Standard",'Ingest Template'!S932&amp; "|2021-01-01",'Ingest Template'!S932)</f>
        <v>#N/A</v>
      </c>
      <c r="AM933" s="25"/>
    </row>
    <row r="934">
      <c r="A934" s="25"/>
      <c r="B934" s="25" t="str">
        <f>'Ingest Template'!C933&amp;IF('Ingest Template'!A933 = "Standard", " - DAR","")</f>
        <v/>
      </c>
      <c r="C934" s="34" t="s">
        <v>92</v>
      </c>
      <c r="D934" s="34" t="str">
        <f>CONCATENATE('Ingest Template'!E934&amp;Char(10)&amp;'Ingest Template'!G934&amp;Char(10)&amp;'Ingest Template'!H934&amp;Char(10)&amp;'Ingest Template'!I934&amp;Char(10)&amp;'Ingest Template'!J934&amp;Char(10)&amp;'Ingest Template'!K934&amp;Char(10)&amp;'Ingest Template'!L934)</f>
        <v>
</v>
      </c>
      <c r="E934" s="25" t="str">
        <f>('Ingest Template'!M934)</f>
        <v/>
      </c>
      <c r="F934" s="40" t="str">
        <f t="array" ref="F934">INDEX(DropDown!$J$2:$J$63,MATCH(1,COUNTIF(E934,DropDown!$I$2:$I$63),0))</f>
        <v>#N/A</v>
      </c>
      <c r="G934" s="25"/>
      <c r="H934" s="25"/>
      <c r="I934" s="25"/>
      <c r="J934" s="25" t="str">
        <f>'Ingest Template'!B934</f>
        <v/>
      </c>
      <c r="K934" s="25" t="str">
        <f>IF('Ingest Template'!A933="Standard",'Ingest Template'!N933,"Competitive View")</f>
        <v>Competitive View</v>
      </c>
      <c r="L934" s="41" t="s">
        <v>145</v>
      </c>
      <c r="M934" s="25" t="str">
        <f>'Ingest Template'!D933</f>
        <v/>
      </c>
      <c r="N934" s="25"/>
      <c r="O934" s="25"/>
      <c r="P934" s="25"/>
      <c r="Q934" s="25"/>
      <c r="R934" s="25" t="str">
        <f>CONCATENATE('Ingest Template'!F933)</f>
        <v/>
      </c>
      <c r="S934" s="43" t="s">
        <v>160</v>
      </c>
      <c r="T934" s="25" t="str">
        <f>'Ingest Template'!W933</f>
        <v/>
      </c>
      <c r="U934" s="25"/>
      <c r="V934" s="25" t="str">
        <f>LOWER(SUBSTITUTE(SUBSTITUTE(SUBSTITUTE(SUBSTITUTE(SUBSTITUTE('Ingest Template'!Y933,"https:",""),"www.",""),"/",""),"?hl=en",""),"instagram.com",""))</f>
        <v/>
      </c>
      <c r="W934" s="34" t="str">
        <f>(IFERROR(vlookup('Ingest Template'!F934,DropDown!D:E,2,false)&amp;'Ingest Template'!C934,""))</f>
        <v/>
      </c>
      <c r="X934" s="25" t="str">
        <f>'Ingest Template'!AA933</f>
        <v/>
      </c>
      <c r="Y934" s="25"/>
      <c r="Z934" s="25"/>
      <c r="AA934" s="25"/>
      <c r="AB934" s="25" t="str">
        <f>'Ingest Template'!T933</f>
        <v/>
      </c>
      <c r="AC934" s="25"/>
      <c r="AD934" s="25" t="str">
        <f>'Ingest Template'!U933</f>
        <v/>
      </c>
      <c r="AE934" s="25" t="str">
        <f>'Ingest Template'!V933</f>
        <v/>
      </c>
      <c r="AF934" s="25"/>
      <c r="AG934" s="25" t="str">
        <f t="array" ref="AG934">IF('Ingest Template'!A933="Standard",(CONCATENATE(IF(ISBLANK('Ingest Template'!O933),"", 'Ingest Template'!O933&amp;"|DAR"),CHAR(10), IF(ISBLANK('Ingest Template'!P933),"", 'Ingest Template'!P933&amp;"|DAR"),CHAR(10), IF(ISBLANK('Ingest Template'!Q933),"", 'Ingest Template'!Q933&amp;"|DAR"))),(CONCATENATE(IF(ISBLANK('Ingest Template'!O933),"", 'Ingest Template'!O933&amp;"|Operations - Core Title"),CHAR(10), IF(ISBLANK('Ingest Template'!P933),"", 'Ingest Template'!P933&amp;"|Operations - Core Title"),CHAR(10), IF(ISBLANK('Ingest Template'!Q933),"", 'Ingest Template'!Q933&amp;"|Operations - Core Title"))))</f>
        <v>#|Operations - Core Title
#videoGame|Operations - Core Title
</v>
      </c>
      <c r="AH934" s="25"/>
      <c r="AI934" s="25"/>
      <c r="AJ934" s="50" t="str">
        <f>if('Ingest Template'!A933="Standard",'Ingest Template'!R933&amp; "|DAR|DAR|2021-01-01",'Ingest Template'!R933&amp; "|Operations - Core Title|Operations - Core Title")</f>
        <v>#N/A</v>
      </c>
      <c r="AK934" s="25"/>
      <c r="AL934" s="25" t="str">
        <f>if('Ingest Template'!A933="Standard",'Ingest Template'!S933&amp; "|2021-01-01",'Ingest Template'!S933)</f>
        <v>#N/A</v>
      </c>
      <c r="AM934" s="25"/>
    </row>
    <row r="935">
      <c r="A935" s="25"/>
      <c r="B935" s="25" t="str">
        <f>'Ingest Template'!C934&amp;IF('Ingest Template'!A934 = "Standard", " - DAR","")</f>
        <v/>
      </c>
      <c r="C935" s="34" t="s">
        <v>92</v>
      </c>
      <c r="D935" s="34" t="str">
        <f>CONCATENATE('Ingest Template'!E935&amp;Char(10)&amp;'Ingest Template'!G935&amp;Char(10)&amp;'Ingest Template'!H935&amp;Char(10)&amp;'Ingest Template'!I935&amp;Char(10)&amp;'Ingest Template'!J935&amp;Char(10)&amp;'Ingest Template'!K935&amp;Char(10)&amp;'Ingest Template'!L935)</f>
        <v>
</v>
      </c>
      <c r="E935" s="25" t="str">
        <f>('Ingest Template'!M935)</f>
        <v/>
      </c>
      <c r="F935" s="40" t="str">
        <f t="array" ref="F935">INDEX(DropDown!$J$2:$J$63,MATCH(1,COUNTIF(E935,DropDown!$I$2:$I$63),0))</f>
        <v>#N/A</v>
      </c>
      <c r="G935" s="25"/>
      <c r="H935" s="25"/>
      <c r="I935" s="25"/>
      <c r="J935" s="25" t="str">
        <f>'Ingest Template'!B935</f>
        <v/>
      </c>
      <c r="K935" s="25" t="str">
        <f>IF('Ingest Template'!A934="Standard",'Ingest Template'!N934,"Competitive View")</f>
        <v>Competitive View</v>
      </c>
      <c r="L935" s="41" t="s">
        <v>145</v>
      </c>
      <c r="M935" s="25" t="str">
        <f>'Ingest Template'!D934</f>
        <v/>
      </c>
      <c r="N935" s="25"/>
      <c r="O935" s="25"/>
      <c r="P935" s="25"/>
      <c r="Q935" s="25"/>
      <c r="R935" s="25" t="str">
        <f>CONCATENATE('Ingest Template'!F934)</f>
        <v/>
      </c>
      <c r="S935" s="43" t="s">
        <v>160</v>
      </c>
      <c r="T935" s="25" t="str">
        <f>'Ingest Template'!W934</f>
        <v/>
      </c>
      <c r="U935" s="25"/>
      <c r="V935" s="25" t="str">
        <f>LOWER(SUBSTITUTE(SUBSTITUTE(SUBSTITUTE(SUBSTITUTE(SUBSTITUTE('Ingest Template'!Y934,"https:",""),"www.",""),"/",""),"?hl=en",""),"instagram.com",""))</f>
        <v/>
      </c>
      <c r="W935" s="34" t="str">
        <f>(IFERROR(vlookup('Ingest Template'!F935,DropDown!D:E,2,false)&amp;'Ingest Template'!C935,""))</f>
        <v/>
      </c>
      <c r="X935" s="25" t="str">
        <f>'Ingest Template'!AA934</f>
        <v/>
      </c>
      <c r="Y935" s="25"/>
      <c r="Z935" s="25"/>
      <c r="AA935" s="25"/>
      <c r="AB935" s="25" t="str">
        <f>'Ingest Template'!T934</f>
        <v/>
      </c>
      <c r="AC935" s="25"/>
      <c r="AD935" s="25" t="str">
        <f>'Ingest Template'!U934</f>
        <v/>
      </c>
      <c r="AE935" s="25" t="str">
        <f>'Ingest Template'!V934</f>
        <v/>
      </c>
      <c r="AF935" s="25"/>
      <c r="AG935" s="25" t="str">
        <f t="array" ref="AG935">IF('Ingest Template'!A934="Standard",(CONCATENATE(IF(ISBLANK('Ingest Template'!O934),"", 'Ingest Template'!O934&amp;"|DAR"),CHAR(10), IF(ISBLANK('Ingest Template'!P934),"", 'Ingest Template'!P934&amp;"|DAR"),CHAR(10), IF(ISBLANK('Ingest Template'!Q934),"", 'Ingest Template'!Q934&amp;"|DAR"))),(CONCATENATE(IF(ISBLANK('Ingest Template'!O934),"", 'Ingest Template'!O934&amp;"|Operations - Core Title"),CHAR(10), IF(ISBLANK('Ingest Template'!P934),"", 'Ingest Template'!P934&amp;"|Operations - Core Title"),CHAR(10), IF(ISBLANK('Ingest Template'!Q934),"", 'Ingest Template'!Q934&amp;"|Operations - Core Title"))))</f>
        <v>#|Operations - Core Title
#videoGame|Operations - Core Title
</v>
      </c>
      <c r="AH935" s="25"/>
      <c r="AI935" s="25"/>
      <c r="AJ935" s="50" t="str">
        <f>if('Ingest Template'!A934="Standard",'Ingest Template'!R934&amp; "|DAR|DAR|2021-01-01",'Ingest Template'!R934&amp; "|Operations - Core Title|Operations - Core Title")</f>
        <v>#N/A</v>
      </c>
      <c r="AK935" s="25"/>
      <c r="AL935" s="25" t="str">
        <f>if('Ingest Template'!A934="Standard",'Ingest Template'!S934&amp; "|2021-01-01",'Ingest Template'!S934)</f>
        <v>#N/A</v>
      </c>
      <c r="AM935" s="25"/>
    </row>
    <row r="936">
      <c r="A936" s="25"/>
      <c r="B936" s="25" t="str">
        <f>'Ingest Template'!C935&amp;IF('Ingest Template'!A935 = "Standard", " - DAR","")</f>
        <v/>
      </c>
      <c r="C936" s="34" t="s">
        <v>92</v>
      </c>
      <c r="D936" s="34" t="str">
        <f>CONCATENATE('Ingest Template'!E936&amp;Char(10)&amp;'Ingest Template'!G936&amp;Char(10)&amp;'Ingest Template'!H936&amp;Char(10)&amp;'Ingest Template'!I936&amp;Char(10)&amp;'Ingest Template'!J936&amp;Char(10)&amp;'Ingest Template'!K936&amp;Char(10)&amp;'Ingest Template'!L936)</f>
        <v>
</v>
      </c>
      <c r="E936" s="25" t="str">
        <f>('Ingest Template'!M936)</f>
        <v/>
      </c>
      <c r="F936" s="40" t="str">
        <f t="array" ref="F936">INDEX(DropDown!$J$2:$J$63,MATCH(1,COUNTIF(E936,DropDown!$I$2:$I$63),0))</f>
        <v>#N/A</v>
      </c>
      <c r="G936" s="25"/>
      <c r="H936" s="25"/>
      <c r="I936" s="25"/>
      <c r="J936" s="25" t="str">
        <f>'Ingest Template'!B936</f>
        <v/>
      </c>
      <c r="K936" s="25" t="str">
        <f>IF('Ingest Template'!A935="Standard",'Ingest Template'!N935,"Competitive View")</f>
        <v>Competitive View</v>
      </c>
      <c r="L936" s="41" t="s">
        <v>145</v>
      </c>
      <c r="M936" s="25" t="str">
        <f>'Ingest Template'!D935</f>
        <v/>
      </c>
      <c r="N936" s="25"/>
      <c r="O936" s="25"/>
      <c r="P936" s="25"/>
      <c r="Q936" s="25"/>
      <c r="R936" s="25" t="str">
        <f>CONCATENATE('Ingest Template'!F935)</f>
        <v/>
      </c>
      <c r="S936" s="43" t="s">
        <v>160</v>
      </c>
      <c r="T936" s="25" t="str">
        <f>'Ingest Template'!W935</f>
        <v/>
      </c>
      <c r="U936" s="25"/>
      <c r="V936" s="25" t="str">
        <f>LOWER(SUBSTITUTE(SUBSTITUTE(SUBSTITUTE(SUBSTITUTE(SUBSTITUTE('Ingest Template'!Y935,"https:",""),"www.",""),"/",""),"?hl=en",""),"instagram.com",""))</f>
        <v/>
      </c>
      <c r="W936" s="34" t="str">
        <f>(IFERROR(vlookup('Ingest Template'!F936,DropDown!D:E,2,false)&amp;'Ingest Template'!C936,""))</f>
        <v/>
      </c>
      <c r="X936" s="25" t="str">
        <f>'Ingest Template'!AA935</f>
        <v/>
      </c>
      <c r="Y936" s="25"/>
      <c r="Z936" s="25"/>
      <c r="AA936" s="25"/>
      <c r="AB936" s="25" t="str">
        <f>'Ingest Template'!T935</f>
        <v/>
      </c>
      <c r="AC936" s="25"/>
      <c r="AD936" s="25" t="str">
        <f>'Ingest Template'!U935</f>
        <v/>
      </c>
      <c r="AE936" s="25" t="str">
        <f>'Ingest Template'!V935</f>
        <v/>
      </c>
      <c r="AF936" s="25"/>
      <c r="AG936" s="25" t="str">
        <f t="array" ref="AG936">IF('Ingest Template'!A935="Standard",(CONCATENATE(IF(ISBLANK('Ingest Template'!O935),"", 'Ingest Template'!O935&amp;"|DAR"),CHAR(10), IF(ISBLANK('Ingest Template'!P935),"", 'Ingest Template'!P935&amp;"|DAR"),CHAR(10), IF(ISBLANK('Ingest Template'!Q935),"", 'Ingest Template'!Q935&amp;"|DAR"))),(CONCATENATE(IF(ISBLANK('Ingest Template'!O935),"", 'Ingest Template'!O935&amp;"|Operations - Core Title"),CHAR(10), IF(ISBLANK('Ingest Template'!P935),"", 'Ingest Template'!P935&amp;"|Operations - Core Title"),CHAR(10), IF(ISBLANK('Ingest Template'!Q935),"", 'Ingest Template'!Q935&amp;"|Operations - Core Title"))))</f>
        <v>#|Operations - Core Title
#videoGame|Operations - Core Title
</v>
      </c>
      <c r="AH936" s="25"/>
      <c r="AI936" s="25"/>
      <c r="AJ936" s="50" t="str">
        <f>if('Ingest Template'!A935="Standard",'Ingest Template'!R935&amp; "|DAR|DAR|2021-01-01",'Ingest Template'!R935&amp; "|Operations - Core Title|Operations - Core Title")</f>
        <v>#N/A</v>
      </c>
      <c r="AK936" s="25"/>
      <c r="AL936" s="25" t="str">
        <f>if('Ingest Template'!A935="Standard",'Ingest Template'!S935&amp; "|2021-01-01",'Ingest Template'!S935)</f>
        <v>#N/A</v>
      </c>
      <c r="AM936" s="25"/>
    </row>
    <row r="937">
      <c r="A937" s="25"/>
      <c r="B937" s="25" t="str">
        <f>'Ingest Template'!C936&amp;IF('Ingest Template'!A936 = "Standard", " - DAR","")</f>
        <v/>
      </c>
      <c r="C937" s="34" t="s">
        <v>92</v>
      </c>
      <c r="D937" s="34" t="str">
        <f>CONCATENATE('Ingest Template'!E937&amp;Char(10)&amp;'Ingest Template'!G937&amp;Char(10)&amp;'Ingest Template'!H937&amp;Char(10)&amp;'Ingest Template'!I937&amp;Char(10)&amp;'Ingest Template'!J937&amp;Char(10)&amp;'Ingest Template'!K937&amp;Char(10)&amp;'Ingest Template'!L937)</f>
        <v>
</v>
      </c>
      <c r="E937" s="25" t="str">
        <f>('Ingest Template'!M937)</f>
        <v/>
      </c>
      <c r="F937" s="40" t="str">
        <f t="array" ref="F937">INDEX(DropDown!$J$2:$J$63,MATCH(1,COUNTIF(E937,DropDown!$I$2:$I$63),0))</f>
        <v>#N/A</v>
      </c>
      <c r="G937" s="25"/>
      <c r="H937" s="25"/>
      <c r="I937" s="25"/>
      <c r="J937" s="25" t="str">
        <f>'Ingest Template'!B937</f>
        <v/>
      </c>
      <c r="K937" s="25" t="str">
        <f>IF('Ingest Template'!A936="Standard",'Ingest Template'!N936,"Competitive View")</f>
        <v>Competitive View</v>
      </c>
      <c r="L937" s="41" t="s">
        <v>145</v>
      </c>
      <c r="M937" s="25" t="str">
        <f>'Ingest Template'!D936</f>
        <v/>
      </c>
      <c r="N937" s="25"/>
      <c r="O937" s="25"/>
      <c r="P937" s="25"/>
      <c r="Q937" s="25"/>
      <c r="R937" s="25" t="str">
        <f>CONCATENATE('Ingest Template'!F936)</f>
        <v/>
      </c>
      <c r="S937" s="43" t="s">
        <v>160</v>
      </c>
      <c r="T937" s="25" t="str">
        <f>'Ingest Template'!W936</f>
        <v/>
      </c>
      <c r="U937" s="25"/>
      <c r="V937" s="25" t="str">
        <f>LOWER(SUBSTITUTE(SUBSTITUTE(SUBSTITUTE(SUBSTITUTE(SUBSTITUTE('Ingest Template'!Y936,"https:",""),"www.",""),"/",""),"?hl=en",""),"instagram.com",""))</f>
        <v/>
      </c>
      <c r="W937" s="34" t="str">
        <f>(IFERROR(vlookup('Ingest Template'!F937,DropDown!D:E,2,false)&amp;'Ingest Template'!C937,""))</f>
        <v/>
      </c>
      <c r="X937" s="25" t="str">
        <f>'Ingest Template'!AA936</f>
        <v/>
      </c>
      <c r="Y937" s="25"/>
      <c r="Z937" s="25"/>
      <c r="AA937" s="25"/>
      <c r="AB937" s="25" t="str">
        <f>'Ingest Template'!T936</f>
        <v/>
      </c>
      <c r="AC937" s="25"/>
      <c r="AD937" s="25" t="str">
        <f>'Ingest Template'!U936</f>
        <v/>
      </c>
      <c r="AE937" s="25" t="str">
        <f>'Ingest Template'!V936</f>
        <v/>
      </c>
      <c r="AF937" s="25"/>
      <c r="AG937" s="25" t="str">
        <f t="array" ref="AG937">IF('Ingest Template'!A936="Standard",(CONCATENATE(IF(ISBLANK('Ingest Template'!O936),"", 'Ingest Template'!O936&amp;"|DAR"),CHAR(10), IF(ISBLANK('Ingest Template'!P936),"", 'Ingest Template'!P936&amp;"|DAR"),CHAR(10), IF(ISBLANK('Ingest Template'!Q936),"", 'Ingest Template'!Q936&amp;"|DAR"))),(CONCATENATE(IF(ISBLANK('Ingest Template'!O936),"", 'Ingest Template'!O936&amp;"|Operations - Core Title"),CHAR(10), IF(ISBLANK('Ingest Template'!P936),"", 'Ingest Template'!P936&amp;"|Operations - Core Title"),CHAR(10), IF(ISBLANK('Ingest Template'!Q936),"", 'Ingest Template'!Q936&amp;"|Operations - Core Title"))))</f>
        <v>#|Operations - Core Title
#videoGame|Operations - Core Title
</v>
      </c>
      <c r="AH937" s="25"/>
      <c r="AI937" s="25"/>
      <c r="AJ937" s="50" t="str">
        <f>if('Ingest Template'!A936="Standard",'Ingest Template'!R936&amp; "|DAR|DAR|2021-01-01",'Ingest Template'!R936&amp; "|Operations - Core Title|Operations - Core Title")</f>
        <v>#N/A</v>
      </c>
      <c r="AK937" s="25"/>
      <c r="AL937" s="25" t="str">
        <f>if('Ingest Template'!A936="Standard",'Ingest Template'!S936&amp; "|2021-01-01",'Ingest Template'!S936)</f>
        <v>#N/A</v>
      </c>
      <c r="AM937" s="25"/>
    </row>
    <row r="938">
      <c r="A938" s="25"/>
      <c r="B938" s="25" t="str">
        <f>'Ingest Template'!C937&amp;IF('Ingest Template'!A937 = "Standard", " - DAR","")</f>
        <v/>
      </c>
      <c r="C938" s="34" t="s">
        <v>92</v>
      </c>
      <c r="D938" s="34" t="str">
        <f>CONCATENATE('Ingest Template'!E938&amp;Char(10)&amp;'Ingest Template'!G938&amp;Char(10)&amp;'Ingest Template'!H938&amp;Char(10)&amp;'Ingest Template'!I938&amp;Char(10)&amp;'Ingest Template'!J938&amp;Char(10)&amp;'Ingest Template'!K938&amp;Char(10)&amp;'Ingest Template'!L938)</f>
        <v>
</v>
      </c>
      <c r="E938" s="25" t="str">
        <f>('Ingest Template'!M938)</f>
        <v/>
      </c>
      <c r="F938" s="40" t="str">
        <f t="array" ref="F938">INDEX(DropDown!$J$2:$J$63,MATCH(1,COUNTIF(E938,DropDown!$I$2:$I$63),0))</f>
        <v>#N/A</v>
      </c>
      <c r="G938" s="25"/>
      <c r="H938" s="25"/>
      <c r="I938" s="25"/>
      <c r="J938" s="25" t="str">
        <f>'Ingest Template'!B938</f>
        <v/>
      </c>
      <c r="K938" s="25" t="str">
        <f>IF('Ingest Template'!A937="Standard",'Ingest Template'!N937,"Competitive View")</f>
        <v>Competitive View</v>
      </c>
      <c r="L938" s="41" t="s">
        <v>145</v>
      </c>
      <c r="M938" s="25" t="str">
        <f>'Ingest Template'!D937</f>
        <v/>
      </c>
      <c r="N938" s="25"/>
      <c r="O938" s="25"/>
      <c r="P938" s="25"/>
      <c r="Q938" s="25"/>
      <c r="R938" s="25" t="str">
        <f>CONCATENATE('Ingest Template'!F937)</f>
        <v/>
      </c>
      <c r="S938" s="43" t="s">
        <v>160</v>
      </c>
      <c r="T938" s="25" t="str">
        <f>'Ingest Template'!W937</f>
        <v/>
      </c>
      <c r="U938" s="25"/>
      <c r="V938" s="25" t="str">
        <f>LOWER(SUBSTITUTE(SUBSTITUTE(SUBSTITUTE(SUBSTITUTE(SUBSTITUTE('Ingest Template'!Y937,"https:",""),"www.",""),"/",""),"?hl=en",""),"instagram.com",""))</f>
        <v/>
      </c>
      <c r="W938" s="34" t="str">
        <f>(IFERROR(vlookup('Ingest Template'!F938,DropDown!D:E,2,false)&amp;'Ingest Template'!C938,""))</f>
        <v/>
      </c>
      <c r="X938" s="25" t="str">
        <f>'Ingest Template'!AA937</f>
        <v/>
      </c>
      <c r="Y938" s="25"/>
      <c r="Z938" s="25"/>
      <c r="AA938" s="25"/>
      <c r="AB938" s="25" t="str">
        <f>'Ingest Template'!T937</f>
        <v/>
      </c>
      <c r="AC938" s="25"/>
      <c r="AD938" s="25" t="str">
        <f>'Ingest Template'!U937</f>
        <v/>
      </c>
      <c r="AE938" s="25" t="str">
        <f>'Ingest Template'!V937</f>
        <v/>
      </c>
      <c r="AF938" s="25"/>
      <c r="AG938" s="25" t="str">
        <f t="array" ref="AG938">IF('Ingest Template'!A937="Standard",(CONCATENATE(IF(ISBLANK('Ingest Template'!O937),"", 'Ingest Template'!O937&amp;"|DAR"),CHAR(10), IF(ISBLANK('Ingest Template'!P937),"", 'Ingest Template'!P937&amp;"|DAR"),CHAR(10), IF(ISBLANK('Ingest Template'!Q937),"", 'Ingest Template'!Q937&amp;"|DAR"))),(CONCATENATE(IF(ISBLANK('Ingest Template'!O937),"", 'Ingest Template'!O937&amp;"|Operations - Core Title"),CHAR(10), IF(ISBLANK('Ingest Template'!P937),"", 'Ingest Template'!P937&amp;"|Operations - Core Title"),CHAR(10), IF(ISBLANK('Ingest Template'!Q937),"", 'Ingest Template'!Q937&amp;"|Operations - Core Title"))))</f>
        <v>#|Operations - Core Title
#videoGame|Operations - Core Title
</v>
      </c>
      <c r="AH938" s="25"/>
      <c r="AI938" s="25"/>
      <c r="AJ938" s="50" t="str">
        <f>if('Ingest Template'!A937="Standard",'Ingest Template'!R937&amp; "|DAR|DAR|2021-01-01",'Ingest Template'!R937&amp; "|Operations - Core Title|Operations - Core Title")</f>
        <v>#N/A</v>
      </c>
      <c r="AK938" s="25"/>
      <c r="AL938" s="25" t="str">
        <f>if('Ingest Template'!A937="Standard",'Ingest Template'!S937&amp; "|2021-01-01",'Ingest Template'!S937)</f>
        <v>#N/A</v>
      </c>
      <c r="AM938" s="25"/>
    </row>
    <row r="939">
      <c r="A939" s="25"/>
      <c r="B939" s="25" t="str">
        <f>'Ingest Template'!C938&amp;IF('Ingest Template'!A938 = "Standard", " - DAR","")</f>
        <v/>
      </c>
      <c r="C939" s="34" t="s">
        <v>92</v>
      </c>
      <c r="D939" s="34" t="str">
        <f>CONCATENATE('Ingest Template'!E939&amp;Char(10)&amp;'Ingest Template'!G939&amp;Char(10)&amp;'Ingest Template'!H939&amp;Char(10)&amp;'Ingest Template'!I939&amp;Char(10)&amp;'Ingest Template'!J939&amp;Char(10)&amp;'Ingest Template'!K939&amp;Char(10)&amp;'Ingest Template'!L939)</f>
        <v>
</v>
      </c>
      <c r="E939" s="25" t="str">
        <f>('Ingest Template'!M939)</f>
        <v/>
      </c>
      <c r="F939" s="40" t="str">
        <f t="array" ref="F939">INDEX(DropDown!$J$2:$J$63,MATCH(1,COUNTIF(E939,DropDown!$I$2:$I$63),0))</f>
        <v>#N/A</v>
      </c>
      <c r="G939" s="25"/>
      <c r="H939" s="25"/>
      <c r="I939" s="25"/>
      <c r="J939" s="25" t="str">
        <f>'Ingest Template'!B939</f>
        <v/>
      </c>
      <c r="K939" s="25" t="str">
        <f>IF('Ingest Template'!A938="Standard",'Ingest Template'!N938,"Competitive View")</f>
        <v>Competitive View</v>
      </c>
      <c r="L939" s="41" t="s">
        <v>145</v>
      </c>
      <c r="M939" s="25" t="str">
        <f>'Ingest Template'!D938</f>
        <v/>
      </c>
      <c r="N939" s="25"/>
      <c r="O939" s="25"/>
      <c r="P939" s="25"/>
      <c r="Q939" s="25"/>
      <c r="R939" s="25" t="str">
        <f>CONCATENATE('Ingest Template'!F938)</f>
        <v/>
      </c>
      <c r="S939" s="43" t="s">
        <v>160</v>
      </c>
      <c r="T939" s="25" t="str">
        <f>'Ingest Template'!W938</f>
        <v/>
      </c>
      <c r="U939" s="25"/>
      <c r="V939" s="25" t="str">
        <f>LOWER(SUBSTITUTE(SUBSTITUTE(SUBSTITUTE(SUBSTITUTE(SUBSTITUTE('Ingest Template'!Y938,"https:",""),"www.",""),"/",""),"?hl=en",""),"instagram.com",""))</f>
        <v/>
      </c>
      <c r="W939" s="34" t="str">
        <f>(IFERROR(vlookup('Ingest Template'!F939,DropDown!D:E,2,false)&amp;'Ingest Template'!C939,""))</f>
        <v/>
      </c>
      <c r="X939" s="25" t="str">
        <f>'Ingest Template'!AA938</f>
        <v/>
      </c>
      <c r="Y939" s="25"/>
      <c r="Z939" s="25"/>
      <c r="AA939" s="25"/>
      <c r="AB939" s="25" t="str">
        <f>'Ingest Template'!T938</f>
        <v/>
      </c>
      <c r="AC939" s="25"/>
      <c r="AD939" s="25" t="str">
        <f>'Ingest Template'!U938</f>
        <v/>
      </c>
      <c r="AE939" s="25" t="str">
        <f>'Ingest Template'!V938</f>
        <v/>
      </c>
      <c r="AF939" s="25"/>
      <c r="AG939" s="25" t="str">
        <f t="array" ref="AG939">IF('Ingest Template'!A938="Standard",(CONCATENATE(IF(ISBLANK('Ingest Template'!O938),"", 'Ingest Template'!O938&amp;"|DAR"),CHAR(10), IF(ISBLANK('Ingest Template'!P938),"", 'Ingest Template'!P938&amp;"|DAR"),CHAR(10), IF(ISBLANK('Ingest Template'!Q938),"", 'Ingest Template'!Q938&amp;"|DAR"))),(CONCATENATE(IF(ISBLANK('Ingest Template'!O938),"", 'Ingest Template'!O938&amp;"|Operations - Core Title"),CHAR(10), IF(ISBLANK('Ingest Template'!P938),"", 'Ingest Template'!P938&amp;"|Operations - Core Title"),CHAR(10), IF(ISBLANK('Ingest Template'!Q938),"", 'Ingest Template'!Q938&amp;"|Operations - Core Title"))))</f>
        <v>#|Operations - Core Title
#videoGame|Operations - Core Title
</v>
      </c>
      <c r="AH939" s="25"/>
      <c r="AI939" s="25"/>
      <c r="AJ939" s="50" t="str">
        <f>if('Ingest Template'!A938="Standard",'Ingest Template'!R938&amp; "|DAR|DAR|2021-01-01",'Ingest Template'!R938&amp; "|Operations - Core Title|Operations - Core Title")</f>
        <v>#N/A</v>
      </c>
      <c r="AK939" s="25"/>
      <c r="AL939" s="25" t="str">
        <f>if('Ingest Template'!A938="Standard",'Ingest Template'!S938&amp; "|2021-01-01",'Ingest Template'!S938)</f>
        <v>#N/A</v>
      </c>
      <c r="AM939" s="25"/>
    </row>
    <row r="940">
      <c r="A940" s="25"/>
      <c r="B940" s="25" t="str">
        <f>'Ingest Template'!C939&amp;IF('Ingest Template'!A939 = "Standard", " - DAR","")</f>
        <v/>
      </c>
      <c r="C940" s="34" t="s">
        <v>92</v>
      </c>
      <c r="D940" s="34" t="str">
        <f>CONCATENATE('Ingest Template'!E940&amp;Char(10)&amp;'Ingest Template'!G940&amp;Char(10)&amp;'Ingest Template'!H940&amp;Char(10)&amp;'Ingest Template'!I940&amp;Char(10)&amp;'Ingest Template'!J940&amp;Char(10)&amp;'Ingest Template'!K940&amp;Char(10)&amp;'Ingest Template'!L940)</f>
        <v>
</v>
      </c>
      <c r="E940" s="25" t="str">
        <f>('Ingest Template'!M940)</f>
        <v/>
      </c>
      <c r="F940" s="40" t="str">
        <f t="array" ref="F940">INDEX(DropDown!$J$2:$J$63,MATCH(1,COUNTIF(E940,DropDown!$I$2:$I$63),0))</f>
        <v>#N/A</v>
      </c>
      <c r="G940" s="25"/>
      <c r="H940" s="25"/>
      <c r="I940" s="25"/>
      <c r="J940" s="25" t="str">
        <f>'Ingest Template'!B940</f>
        <v/>
      </c>
      <c r="K940" s="25" t="str">
        <f>IF('Ingest Template'!A939="Standard",'Ingest Template'!N939,"Competitive View")</f>
        <v>Competitive View</v>
      </c>
      <c r="L940" s="41" t="s">
        <v>145</v>
      </c>
      <c r="M940" s="25" t="str">
        <f>'Ingest Template'!D939</f>
        <v/>
      </c>
      <c r="N940" s="25"/>
      <c r="O940" s="25"/>
      <c r="P940" s="25"/>
      <c r="Q940" s="25"/>
      <c r="R940" s="25" t="str">
        <f>CONCATENATE('Ingest Template'!F939)</f>
        <v/>
      </c>
      <c r="S940" s="43" t="s">
        <v>160</v>
      </c>
      <c r="T940" s="25" t="str">
        <f>'Ingest Template'!W939</f>
        <v/>
      </c>
      <c r="U940" s="25"/>
      <c r="V940" s="25" t="str">
        <f>LOWER(SUBSTITUTE(SUBSTITUTE(SUBSTITUTE(SUBSTITUTE(SUBSTITUTE('Ingest Template'!Y939,"https:",""),"www.",""),"/",""),"?hl=en",""),"instagram.com",""))</f>
        <v/>
      </c>
      <c r="W940" s="34" t="str">
        <f>(IFERROR(vlookup('Ingest Template'!F940,DropDown!D:E,2,false)&amp;'Ingest Template'!C940,""))</f>
        <v/>
      </c>
      <c r="X940" s="25" t="str">
        <f>'Ingest Template'!AA939</f>
        <v/>
      </c>
      <c r="Y940" s="25"/>
      <c r="Z940" s="25"/>
      <c r="AA940" s="25"/>
      <c r="AB940" s="25" t="str">
        <f>'Ingest Template'!T939</f>
        <v/>
      </c>
      <c r="AC940" s="25"/>
      <c r="AD940" s="25" t="str">
        <f>'Ingest Template'!U939</f>
        <v/>
      </c>
      <c r="AE940" s="25" t="str">
        <f>'Ingest Template'!V939</f>
        <v/>
      </c>
      <c r="AF940" s="25"/>
      <c r="AG940" s="25" t="str">
        <f t="array" ref="AG940">IF('Ingest Template'!A939="Standard",(CONCATENATE(IF(ISBLANK('Ingest Template'!O939),"", 'Ingest Template'!O939&amp;"|DAR"),CHAR(10), IF(ISBLANK('Ingest Template'!P939),"", 'Ingest Template'!P939&amp;"|DAR"),CHAR(10), IF(ISBLANK('Ingest Template'!Q939),"", 'Ingest Template'!Q939&amp;"|DAR"))),(CONCATENATE(IF(ISBLANK('Ingest Template'!O939),"", 'Ingest Template'!O939&amp;"|Operations - Core Title"),CHAR(10), IF(ISBLANK('Ingest Template'!P939),"", 'Ingest Template'!P939&amp;"|Operations - Core Title"),CHAR(10), IF(ISBLANK('Ingest Template'!Q939),"", 'Ingest Template'!Q939&amp;"|Operations - Core Title"))))</f>
        <v>#|Operations - Core Title
#videoGame|Operations - Core Title
</v>
      </c>
      <c r="AH940" s="25"/>
      <c r="AI940" s="25"/>
      <c r="AJ940" s="50" t="str">
        <f>if('Ingest Template'!A939="Standard",'Ingest Template'!R939&amp; "|DAR|DAR|2021-01-01",'Ingest Template'!R939&amp; "|Operations - Core Title|Operations - Core Title")</f>
        <v>#N/A</v>
      </c>
      <c r="AK940" s="25"/>
      <c r="AL940" s="25" t="str">
        <f>if('Ingest Template'!A939="Standard",'Ingest Template'!S939&amp; "|2021-01-01",'Ingest Template'!S939)</f>
        <v>#N/A</v>
      </c>
      <c r="AM940" s="25"/>
    </row>
    <row r="941">
      <c r="A941" s="25"/>
      <c r="B941" s="25" t="str">
        <f>'Ingest Template'!C940&amp;IF('Ingest Template'!A940 = "Standard", " - DAR","")</f>
        <v/>
      </c>
      <c r="C941" s="34" t="s">
        <v>92</v>
      </c>
      <c r="D941" s="34" t="str">
        <f>CONCATENATE('Ingest Template'!E941&amp;Char(10)&amp;'Ingest Template'!G941&amp;Char(10)&amp;'Ingest Template'!H941&amp;Char(10)&amp;'Ingest Template'!I941&amp;Char(10)&amp;'Ingest Template'!J941&amp;Char(10)&amp;'Ingest Template'!K941&amp;Char(10)&amp;'Ingest Template'!L941)</f>
        <v>
</v>
      </c>
      <c r="E941" s="25" t="str">
        <f>('Ingest Template'!M941)</f>
        <v/>
      </c>
      <c r="F941" s="40" t="str">
        <f t="array" ref="F941">INDEX(DropDown!$J$2:$J$63,MATCH(1,COUNTIF(E941,DropDown!$I$2:$I$63),0))</f>
        <v>#N/A</v>
      </c>
      <c r="G941" s="25"/>
      <c r="H941" s="25"/>
      <c r="I941" s="25"/>
      <c r="J941" s="25" t="str">
        <f>'Ingest Template'!B941</f>
        <v/>
      </c>
      <c r="K941" s="25" t="str">
        <f>IF('Ingest Template'!A940="Standard",'Ingest Template'!N940,"Competitive View")</f>
        <v>Competitive View</v>
      </c>
      <c r="L941" s="41" t="s">
        <v>145</v>
      </c>
      <c r="M941" s="25" t="str">
        <f>'Ingest Template'!D940</f>
        <v/>
      </c>
      <c r="N941" s="25"/>
      <c r="O941" s="25"/>
      <c r="P941" s="25"/>
      <c r="Q941" s="25"/>
      <c r="R941" s="25" t="str">
        <f>CONCATENATE('Ingest Template'!F940)</f>
        <v/>
      </c>
      <c r="S941" s="43" t="s">
        <v>160</v>
      </c>
      <c r="T941" s="25" t="str">
        <f>'Ingest Template'!W940</f>
        <v/>
      </c>
      <c r="U941" s="25"/>
      <c r="V941" s="25" t="str">
        <f>LOWER(SUBSTITUTE(SUBSTITUTE(SUBSTITUTE(SUBSTITUTE(SUBSTITUTE('Ingest Template'!Y940,"https:",""),"www.",""),"/",""),"?hl=en",""),"instagram.com",""))</f>
        <v/>
      </c>
      <c r="W941" s="34" t="str">
        <f>(IFERROR(vlookup('Ingest Template'!F941,DropDown!D:E,2,false)&amp;'Ingest Template'!C941,""))</f>
        <v/>
      </c>
      <c r="X941" s="25" t="str">
        <f>'Ingest Template'!AA940</f>
        <v/>
      </c>
      <c r="Y941" s="25"/>
      <c r="Z941" s="25"/>
      <c r="AA941" s="25"/>
      <c r="AB941" s="25" t="str">
        <f>'Ingest Template'!T940</f>
        <v/>
      </c>
      <c r="AC941" s="25"/>
      <c r="AD941" s="25" t="str">
        <f>'Ingest Template'!U940</f>
        <v/>
      </c>
      <c r="AE941" s="25" t="str">
        <f>'Ingest Template'!V940</f>
        <v/>
      </c>
      <c r="AF941" s="25"/>
      <c r="AG941" s="25" t="str">
        <f t="array" ref="AG941">IF('Ingest Template'!A940="Standard",(CONCATENATE(IF(ISBLANK('Ingest Template'!O940),"", 'Ingest Template'!O940&amp;"|DAR"),CHAR(10), IF(ISBLANK('Ingest Template'!P940),"", 'Ingest Template'!P940&amp;"|DAR"),CHAR(10), IF(ISBLANK('Ingest Template'!Q940),"", 'Ingest Template'!Q940&amp;"|DAR"))),(CONCATENATE(IF(ISBLANK('Ingest Template'!O940),"", 'Ingest Template'!O940&amp;"|Operations - Core Title"),CHAR(10), IF(ISBLANK('Ingest Template'!P940),"", 'Ingest Template'!P940&amp;"|Operations - Core Title"),CHAR(10), IF(ISBLANK('Ingest Template'!Q940),"", 'Ingest Template'!Q940&amp;"|Operations - Core Title"))))</f>
        <v>#|Operations - Core Title
#videoGame|Operations - Core Title
</v>
      </c>
      <c r="AH941" s="25"/>
      <c r="AI941" s="25"/>
      <c r="AJ941" s="50" t="str">
        <f>if('Ingest Template'!A940="Standard",'Ingest Template'!R940&amp; "|DAR|DAR|2021-01-01",'Ingest Template'!R940&amp; "|Operations - Core Title|Operations - Core Title")</f>
        <v>#N/A</v>
      </c>
      <c r="AK941" s="25"/>
      <c r="AL941" s="25" t="str">
        <f>if('Ingest Template'!A940="Standard",'Ingest Template'!S940&amp; "|2021-01-01",'Ingest Template'!S940)</f>
        <v>#N/A</v>
      </c>
      <c r="AM941" s="25"/>
    </row>
    <row r="942">
      <c r="A942" s="25"/>
      <c r="B942" s="25" t="str">
        <f>'Ingest Template'!C941&amp;IF('Ingest Template'!A941 = "Standard", " - DAR","")</f>
        <v/>
      </c>
      <c r="C942" s="34" t="s">
        <v>92</v>
      </c>
      <c r="D942" s="34" t="str">
        <f>CONCATENATE('Ingest Template'!E942&amp;Char(10)&amp;'Ingest Template'!G942&amp;Char(10)&amp;'Ingest Template'!H942&amp;Char(10)&amp;'Ingest Template'!I942&amp;Char(10)&amp;'Ingest Template'!J942&amp;Char(10)&amp;'Ingest Template'!K942&amp;Char(10)&amp;'Ingest Template'!L942)</f>
        <v>
</v>
      </c>
      <c r="E942" s="25" t="str">
        <f>('Ingest Template'!M942)</f>
        <v/>
      </c>
      <c r="F942" s="40" t="str">
        <f t="array" ref="F942">INDEX(DropDown!$J$2:$J$63,MATCH(1,COUNTIF(E942,DropDown!$I$2:$I$63),0))</f>
        <v>#N/A</v>
      </c>
      <c r="G942" s="25"/>
      <c r="H942" s="25"/>
      <c r="I942" s="25"/>
      <c r="J942" s="25" t="str">
        <f>'Ingest Template'!B942</f>
        <v/>
      </c>
      <c r="K942" s="25" t="str">
        <f>IF('Ingest Template'!A941="Standard",'Ingest Template'!N941,"Competitive View")</f>
        <v>Competitive View</v>
      </c>
      <c r="L942" s="41" t="s">
        <v>145</v>
      </c>
      <c r="M942" s="25" t="str">
        <f>'Ingest Template'!D941</f>
        <v/>
      </c>
      <c r="N942" s="25"/>
      <c r="O942" s="25"/>
      <c r="P942" s="25"/>
      <c r="Q942" s="25"/>
      <c r="R942" s="25" t="str">
        <f>CONCATENATE('Ingest Template'!F941)</f>
        <v/>
      </c>
      <c r="S942" s="43" t="s">
        <v>160</v>
      </c>
      <c r="T942" s="25" t="str">
        <f>'Ingest Template'!W941</f>
        <v/>
      </c>
      <c r="U942" s="25"/>
      <c r="V942" s="25" t="str">
        <f>LOWER(SUBSTITUTE(SUBSTITUTE(SUBSTITUTE(SUBSTITUTE(SUBSTITUTE('Ingest Template'!Y941,"https:",""),"www.",""),"/",""),"?hl=en",""),"instagram.com",""))</f>
        <v/>
      </c>
      <c r="W942" s="34" t="str">
        <f>(IFERROR(vlookup('Ingest Template'!F942,DropDown!D:E,2,false)&amp;'Ingest Template'!C942,""))</f>
        <v/>
      </c>
      <c r="X942" s="25" t="str">
        <f>'Ingest Template'!AA941</f>
        <v/>
      </c>
      <c r="Y942" s="25"/>
      <c r="Z942" s="25"/>
      <c r="AA942" s="25"/>
      <c r="AB942" s="25" t="str">
        <f>'Ingest Template'!T941</f>
        <v/>
      </c>
      <c r="AC942" s="25"/>
      <c r="AD942" s="25" t="str">
        <f>'Ingest Template'!U941</f>
        <v/>
      </c>
      <c r="AE942" s="25" t="str">
        <f>'Ingest Template'!V941</f>
        <v/>
      </c>
      <c r="AF942" s="25"/>
      <c r="AG942" s="25" t="str">
        <f t="array" ref="AG942">IF('Ingest Template'!A941="Standard",(CONCATENATE(IF(ISBLANK('Ingest Template'!O941),"", 'Ingest Template'!O941&amp;"|DAR"),CHAR(10), IF(ISBLANK('Ingest Template'!P941),"", 'Ingest Template'!P941&amp;"|DAR"),CHAR(10), IF(ISBLANK('Ingest Template'!Q941),"", 'Ingest Template'!Q941&amp;"|DAR"))),(CONCATENATE(IF(ISBLANK('Ingest Template'!O941),"", 'Ingest Template'!O941&amp;"|Operations - Core Title"),CHAR(10), IF(ISBLANK('Ingest Template'!P941),"", 'Ingest Template'!P941&amp;"|Operations - Core Title"),CHAR(10), IF(ISBLANK('Ingest Template'!Q941),"", 'Ingest Template'!Q941&amp;"|Operations - Core Title"))))</f>
        <v>#|Operations - Core Title
#videoGame|Operations - Core Title
</v>
      </c>
      <c r="AH942" s="25"/>
      <c r="AI942" s="25"/>
      <c r="AJ942" s="50" t="str">
        <f>if('Ingest Template'!A941="Standard",'Ingest Template'!R941&amp; "|DAR|DAR|2021-01-01",'Ingest Template'!R941&amp; "|Operations - Core Title|Operations - Core Title")</f>
        <v>#N/A</v>
      </c>
      <c r="AK942" s="25"/>
      <c r="AL942" s="25" t="str">
        <f>if('Ingest Template'!A941="Standard",'Ingest Template'!S941&amp; "|2021-01-01",'Ingest Template'!S941)</f>
        <v>#N/A</v>
      </c>
      <c r="AM942" s="25"/>
    </row>
    <row r="943">
      <c r="A943" s="25"/>
      <c r="B943" s="25" t="str">
        <f>'Ingest Template'!C942&amp;IF('Ingest Template'!A942 = "Standard", " - DAR","")</f>
        <v/>
      </c>
      <c r="C943" s="34" t="s">
        <v>92</v>
      </c>
      <c r="D943" s="34" t="str">
        <f>CONCATENATE('Ingest Template'!E943&amp;Char(10)&amp;'Ingest Template'!G943&amp;Char(10)&amp;'Ingest Template'!H943&amp;Char(10)&amp;'Ingest Template'!I943&amp;Char(10)&amp;'Ingest Template'!J943&amp;Char(10)&amp;'Ingest Template'!K943&amp;Char(10)&amp;'Ingest Template'!L943)</f>
        <v>
</v>
      </c>
      <c r="E943" s="25" t="str">
        <f>('Ingest Template'!M943)</f>
        <v/>
      </c>
      <c r="F943" s="40" t="str">
        <f t="array" ref="F943">INDEX(DropDown!$J$2:$J$63,MATCH(1,COUNTIF(E943,DropDown!$I$2:$I$63),0))</f>
        <v>#N/A</v>
      </c>
      <c r="G943" s="25"/>
      <c r="H943" s="25"/>
      <c r="I943" s="25"/>
      <c r="J943" s="25" t="str">
        <f>'Ingest Template'!B943</f>
        <v/>
      </c>
      <c r="K943" s="25" t="str">
        <f>IF('Ingest Template'!A942="Standard",'Ingest Template'!N942,"Competitive View")</f>
        <v>Competitive View</v>
      </c>
      <c r="L943" s="41" t="s">
        <v>145</v>
      </c>
      <c r="M943" s="25" t="str">
        <f>'Ingest Template'!D942</f>
        <v/>
      </c>
      <c r="N943" s="25"/>
      <c r="O943" s="25"/>
      <c r="P943" s="25"/>
      <c r="Q943" s="25"/>
      <c r="R943" s="25" t="str">
        <f>CONCATENATE('Ingest Template'!F942)</f>
        <v/>
      </c>
      <c r="S943" s="43" t="s">
        <v>160</v>
      </c>
      <c r="T943" s="25" t="str">
        <f>'Ingest Template'!W942</f>
        <v/>
      </c>
      <c r="U943" s="25"/>
      <c r="V943" s="25" t="str">
        <f>LOWER(SUBSTITUTE(SUBSTITUTE(SUBSTITUTE(SUBSTITUTE(SUBSTITUTE('Ingest Template'!Y942,"https:",""),"www.",""),"/",""),"?hl=en",""),"instagram.com",""))</f>
        <v/>
      </c>
      <c r="W943" s="34" t="str">
        <f>(IFERROR(vlookup('Ingest Template'!F943,DropDown!D:E,2,false)&amp;'Ingest Template'!C943,""))</f>
        <v/>
      </c>
      <c r="X943" s="25" t="str">
        <f>'Ingest Template'!AA942</f>
        <v/>
      </c>
      <c r="Y943" s="25"/>
      <c r="Z943" s="25"/>
      <c r="AA943" s="25"/>
      <c r="AB943" s="25" t="str">
        <f>'Ingest Template'!T942</f>
        <v/>
      </c>
      <c r="AC943" s="25"/>
      <c r="AD943" s="25" t="str">
        <f>'Ingest Template'!U942</f>
        <v/>
      </c>
      <c r="AE943" s="25" t="str">
        <f>'Ingest Template'!V942</f>
        <v/>
      </c>
      <c r="AF943" s="25"/>
      <c r="AG943" s="25" t="str">
        <f t="array" ref="AG943">IF('Ingest Template'!A942="Standard",(CONCATENATE(IF(ISBLANK('Ingest Template'!O942),"", 'Ingest Template'!O942&amp;"|DAR"),CHAR(10), IF(ISBLANK('Ingest Template'!P942),"", 'Ingest Template'!P942&amp;"|DAR"),CHAR(10), IF(ISBLANK('Ingest Template'!Q942),"", 'Ingest Template'!Q942&amp;"|DAR"))),(CONCATENATE(IF(ISBLANK('Ingest Template'!O942),"", 'Ingest Template'!O942&amp;"|Operations - Core Title"),CHAR(10), IF(ISBLANK('Ingest Template'!P942),"", 'Ingest Template'!P942&amp;"|Operations - Core Title"),CHAR(10), IF(ISBLANK('Ingest Template'!Q942),"", 'Ingest Template'!Q942&amp;"|Operations - Core Title"))))</f>
        <v>#|Operations - Core Title
#videoGame|Operations - Core Title
</v>
      </c>
      <c r="AH943" s="25"/>
      <c r="AI943" s="25"/>
      <c r="AJ943" s="50" t="str">
        <f>if('Ingest Template'!A942="Standard",'Ingest Template'!R942&amp; "|DAR|DAR|2021-01-01",'Ingest Template'!R942&amp; "|Operations - Core Title|Operations - Core Title")</f>
        <v>#N/A</v>
      </c>
      <c r="AK943" s="25"/>
      <c r="AL943" s="25" t="str">
        <f>if('Ingest Template'!A942="Standard",'Ingest Template'!S942&amp; "|2021-01-01",'Ingest Template'!S942)</f>
        <v>#N/A</v>
      </c>
      <c r="AM943" s="25"/>
    </row>
    <row r="944">
      <c r="A944" s="25"/>
      <c r="B944" s="25" t="str">
        <f>'Ingest Template'!C943&amp;IF('Ingest Template'!A943 = "Standard", " - DAR","")</f>
        <v/>
      </c>
      <c r="C944" s="34" t="s">
        <v>92</v>
      </c>
      <c r="D944" s="34" t="str">
        <f>CONCATENATE('Ingest Template'!E944&amp;Char(10)&amp;'Ingest Template'!G944&amp;Char(10)&amp;'Ingest Template'!H944&amp;Char(10)&amp;'Ingest Template'!I944&amp;Char(10)&amp;'Ingest Template'!J944&amp;Char(10)&amp;'Ingest Template'!K944&amp;Char(10)&amp;'Ingest Template'!L944)</f>
        <v>
</v>
      </c>
      <c r="E944" s="25" t="str">
        <f>('Ingest Template'!M944)</f>
        <v/>
      </c>
      <c r="F944" s="40" t="str">
        <f t="array" ref="F944">INDEX(DropDown!$J$2:$J$63,MATCH(1,COUNTIF(E944,DropDown!$I$2:$I$63),0))</f>
        <v>#N/A</v>
      </c>
      <c r="G944" s="25"/>
      <c r="H944" s="25"/>
      <c r="I944" s="25"/>
      <c r="J944" s="25" t="str">
        <f>'Ingest Template'!B944</f>
        <v/>
      </c>
      <c r="K944" s="25" t="str">
        <f>IF('Ingest Template'!A943="Standard",'Ingest Template'!N943,"Competitive View")</f>
        <v>Competitive View</v>
      </c>
      <c r="L944" s="41" t="s">
        <v>145</v>
      </c>
      <c r="M944" s="25" t="str">
        <f>'Ingest Template'!D943</f>
        <v/>
      </c>
      <c r="N944" s="25"/>
      <c r="O944" s="25"/>
      <c r="P944" s="25"/>
      <c r="Q944" s="25"/>
      <c r="R944" s="25" t="str">
        <f>CONCATENATE('Ingest Template'!F943)</f>
        <v/>
      </c>
      <c r="S944" s="43" t="s">
        <v>160</v>
      </c>
      <c r="T944" s="25" t="str">
        <f>'Ingest Template'!W943</f>
        <v/>
      </c>
      <c r="U944" s="25"/>
      <c r="V944" s="25" t="str">
        <f>LOWER(SUBSTITUTE(SUBSTITUTE(SUBSTITUTE(SUBSTITUTE(SUBSTITUTE('Ingest Template'!Y943,"https:",""),"www.",""),"/",""),"?hl=en",""),"instagram.com",""))</f>
        <v/>
      </c>
      <c r="W944" s="34" t="str">
        <f>(IFERROR(vlookup('Ingest Template'!F944,DropDown!D:E,2,false)&amp;'Ingest Template'!C944,""))</f>
        <v/>
      </c>
      <c r="X944" s="25" t="str">
        <f>'Ingest Template'!AA943</f>
        <v/>
      </c>
      <c r="Y944" s="25"/>
      <c r="Z944" s="25"/>
      <c r="AA944" s="25"/>
      <c r="AB944" s="25" t="str">
        <f>'Ingest Template'!T943</f>
        <v/>
      </c>
      <c r="AC944" s="25"/>
      <c r="AD944" s="25" t="str">
        <f>'Ingest Template'!U943</f>
        <v/>
      </c>
      <c r="AE944" s="25" t="str">
        <f>'Ingest Template'!V943</f>
        <v/>
      </c>
      <c r="AF944" s="25"/>
      <c r="AG944" s="25" t="str">
        <f t="array" ref="AG944">IF('Ingest Template'!A943="Standard",(CONCATENATE(IF(ISBLANK('Ingest Template'!O943),"", 'Ingest Template'!O943&amp;"|DAR"),CHAR(10), IF(ISBLANK('Ingest Template'!P943),"", 'Ingest Template'!P943&amp;"|DAR"),CHAR(10), IF(ISBLANK('Ingest Template'!Q943),"", 'Ingest Template'!Q943&amp;"|DAR"))),(CONCATENATE(IF(ISBLANK('Ingest Template'!O943),"", 'Ingest Template'!O943&amp;"|Operations - Core Title"),CHAR(10), IF(ISBLANK('Ingest Template'!P943),"", 'Ingest Template'!P943&amp;"|Operations - Core Title"),CHAR(10), IF(ISBLANK('Ingest Template'!Q943),"", 'Ingest Template'!Q943&amp;"|Operations - Core Title"))))</f>
        <v>#|Operations - Core Title
#videoGame|Operations - Core Title
</v>
      </c>
      <c r="AH944" s="25"/>
      <c r="AI944" s="25"/>
      <c r="AJ944" s="50" t="str">
        <f>if('Ingest Template'!A943="Standard",'Ingest Template'!R943&amp; "|DAR|DAR|2021-01-01",'Ingest Template'!R943&amp; "|Operations - Core Title|Operations - Core Title")</f>
        <v>#N/A</v>
      </c>
      <c r="AK944" s="25"/>
      <c r="AL944" s="25" t="str">
        <f>if('Ingest Template'!A943="Standard",'Ingest Template'!S943&amp; "|2021-01-01",'Ingest Template'!S943)</f>
        <v>#N/A</v>
      </c>
      <c r="AM944" s="25"/>
    </row>
    <row r="945">
      <c r="A945" s="25"/>
      <c r="B945" s="25" t="str">
        <f>'Ingest Template'!C944&amp;IF('Ingest Template'!A944 = "Standard", " - DAR","")</f>
        <v/>
      </c>
      <c r="C945" s="34" t="s">
        <v>92</v>
      </c>
      <c r="D945" s="34" t="str">
        <f>CONCATENATE('Ingest Template'!E945&amp;Char(10)&amp;'Ingest Template'!G945&amp;Char(10)&amp;'Ingest Template'!H945&amp;Char(10)&amp;'Ingest Template'!I945&amp;Char(10)&amp;'Ingest Template'!J945&amp;Char(10)&amp;'Ingest Template'!K945&amp;Char(10)&amp;'Ingest Template'!L945)</f>
        <v>
</v>
      </c>
      <c r="E945" s="25" t="str">
        <f>('Ingest Template'!M945)</f>
        <v/>
      </c>
      <c r="F945" s="40" t="str">
        <f t="array" ref="F945">INDEX(DropDown!$J$2:$J$63,MATCH(1,COUNTIF(E945,DropDown!$I$2:$I$63),0))</f>
        <v>#N/A</v>
      </c>
      <c r="G945" s="25"/>
      <c r="H945" s="25"/>
      <c r="I945" s="25"/>
      <c r="J945" s="25" t="str">
        <f>'Ingest Template'!B945</f>
        <v/>
      </c>
      <c r="K945" s="25" t="str">
        <f>IF('Ingest Template'!A944="Standard",'Ingest Template'!N944,"Competitive View")</f>
        <v>Competitive View</v>
      </c>
      <c r="L945" s="41" t="s">
        <v>145</v>
      </c>
      <c r="M945" s="25" t="str">
        <f>'Ingest Template'!D944</f>
        <v/>
      </c>
      <c r="N945" s="25"/>
      <c r="O945" s="25"/>
      <c r="P945" s="25"/>
      <c r="Q945" s="25"/>
      <c r="R945" s="25" t="str">
        <f>CONCATENATE('Ingest Template'!F944)</f>
        <v/>
      </c>
      <c r="S945" s="43" t="s">
        <v>160</v>
      </c>
      <c r="T945" s="25" t="str">
        <f>'Ingest Template'!W944</f>
        <v/>
      </c>
      <c r="U945" s="25"/>
      <c r="V945" s="25" t="str">
        <f>LOWER(SUBSTITUTE(SUBSTITUTE(SUBSTITUTE(SUBSTITUTE(SUBSTITUTE('Ingest Template'!Y944,"https:",""),"www.",""),"/",""),"?hl=en",""),"instagram.com",""))</f>
        <v/>
      </c>
      <c r="W945" s="34" t="str">
        <f>(IFERROR(vlookup('Ingest Template'!F945,DropDown!D:E,2,false)&amp;'Ingest Template'!C945,""))</f>
        <v/>
      </c>
      <c r="X945" s="25" t="str">
        <f>'Ingest Template'!AA944</f>
        <v/>
      </c>
      <c r="Y945" s="25"/>
      <c r="Z945" s="25"/>
      <c r="AA945" s="25"/>
      <c r="AB945" s="25" t="str">
        <f>'Ingest Template'!T944</f>
        <v/>
      </c>
      <c r="AC945" s="25"/>
      <c r="AD945" s="25" t="str">
        <f>'Ingest Template'!U944</f>
        <v/>
      </c>
      <c r="AE945" s="25" t="str">
        <f>'Ingest Template'!V944</f>
        <v/>
      </c>
      <c r="AF945" s="25"/>
      <c r="AG945" s="25" t="str">
        <f t="array" ref="AG945">IF('Ingest Template'!A944="Standard",(CONCATENATE(IF(ISBLANK('Ingest Template'!O944),"", 'Ingest Template'!O944&amp;"|DAR"),CHAR(10), IF(ISBLANK('Ingest Template'!P944),"", 'Ingest Template'!P944&amp;"|DAR"),CHAR(10), IF(ISBLANK('Ingest Template'!Q944),"", 'Ingest Template'!Q944&amp;"|DAR"))),(CONCATENATE(IF(ISBLANK('Ingest Template'!O944),"", 'Ingest Template'!O944&amp;"|Operations - Core Title"),CHAR(10), IF(ISBLANK('Ingest Template'!P944),"", 'Ingest Template'!P944&amp;"|Operations - Core Title"),CHAR(10), IF(ISBLANK('Ingest Template'!Q944),"", 'Ingest Template'!Q944&amp;"|Operations - Core Title"))))</f>
        <v>#|Operations - Core Title
#videoGame|Operations - Core Title
</v>
      </c>
      <c r="AH945" s="25"/>
      <c r="AI945" s="25"/>
      <c r="AJ945" s="50" t="str">
        <f>if('Ingest Template'!A944="Standard",'Ingest Template'!R944&amp; "|DAR|DAR|2021-01-01",'Ingest Template'!R944&amp; "|Operations - Core Title|Operations - Core Title")</f>
        <v>#N/A</v>
      </c>
      <c r="AK945" s="25"/>
      <c r="AL945" s="25" t="str">
        <f>if('Ingest Template'!A944="Standard",'Ingest Template'!S944&amp; "|2021-01-01",'Ingest Template'!S944)</f>
        <v>#N/A</v>
      </c>
      <c r="AM945" s="25"/>
    </row>
    <row r="946">
      <c r="A946" s="25"/>
      <c r="B946" s="25" t="str">
        <f>'Ingest Template'!C945&amp;IF('Ingest Template'!A945 = "Standard", " - DAR","")</f>
        <v/>
      </c>
      <c r="C946" s="34" t="s">
        <v>92</v>
      </c>
      <c r="D946" s="34" t="str">
        <f>CONCATENATE('Ingest Template'!E946&amp;Char(10)&amp;'Ingest Template'!G946&amp;Char(10)&amp;'Ingest Template'!H946&amp;Char(10)&amp;'Ingest Template'!I946&amp;Char(10)&amp;'Ingest Template'!J946&amp;Char(10)&amp;'Ingest Template'!K946&amp;Char(10)&amp;'Ingest Template'!L946)</f>
        <v>
</v>
      </c>
      <c r="E946" s="25" t="str">
        <f>('Ingest Template'!M946)</f>
        <v/>
      </c>
      <c r="F946" s="40" t="str">
        <f t="array" ref="F946">INDEX(DropDown!$J$2:$J$63,MATCH(1,COUNTIF(E946,DropDown!$I$2:$I$63),0))</f>
        <v>#N/A</v>
      </c>
      <c r="G946" s="25"/>
      <c r="H946" s="25"/>
      <c r="I946" s="25"/>
      <c r="J946" s="25" t="str">
        <f>'Ingest Template'!B946</f>
        <v/>
      </c>
      <c r="K946" s="25" t="str">
        <f>IF('Ingest Template'!A945="Standard",'Ingest Template'!N945,"Competitive View")</f>
        <v>Competitive View</v>
      </c>
      <c r="L946" s="41" t="s">
        <v>145</v>
      </c>
      <c r="M946" s="25" t="str">
        <f>'Ingest Template'!D945</f>
        <v/>
      </c>
      <c r="N946" s="25"/>
      <c r="O946" s="25"/>
      <c r="P946" s="25"/>
      <c r="Q946" s="25"/>
      <c r="R946" s="25" t="str">
        <f>CONCATENATE('Ingest Template'!F945)</f>
        <v/>
      </c>
      <c r="S946" s="43" t="s">
        <v>160</v>
      </c>
      <c r="T946" s="25" t="str">
        <f>'Ingest Template'!W945</f>
        <v/>
      </c>
      <c r="U946" s="25"/>
      <c r="V946" s="25" t="str">
        <f>LOWER(SUBSTITUTE(SUBSTITUTE(SUBSTITUTE(SUBSTITUTE(SUBSTITUTE('Ingest Template'!Y945,"https:",""),"www.",""),"/",""),"?hl=en",""),"instagram.com",""))</f>
        <v/>
      </c>
      <c r="W946" s="34" t="str">
        <f>(IFERROR(vlookup('Ingest Template'!F946,DropDown!D:E,2,false)&amp;'Ingest Template'!C946,""))</f>
        <v/>
      </c>
      <c r="X946" s="25" t="str">
        <f>'Ingest Template'!AA945</f>
        <v/>
      </c>
      <c r="Y946" s="25"/>
      <c r="Z946" s="25"/>
      <c r="AA946" s="25"/>
      <c r="AB946" s="25" t="str">
        <f>'Ingest Template'!T945</f>
        <v/>
      </c>
      <c r="AC946" s="25"/>
      <c r="AD946" s="25" t="str">
        <f>'Ingest Template'!U945</f>
        <v/>
      </c>
      <c r="AE946" s="25" t="str">
        <f>'Ingest Template'!V945</f>
        <v/>
      </c>
      <c r="AF946" s="25"/>
      <c r="AG946" s="25" t="str">
        <f t="array" ref="AG946">IF('Ingest Template'!A945="Standard",(CONCATENATE(IF(ISBLANK('Ingest Template'!O945),"", 'Ingest Template'!O945&amp;"|DAR"),CHAR(10), IF(ISBLANK('Ingest Template'!P945),"", 'Ingest Template'!P945&amp;"|DAR"),CHAR(10), IF(ISBLANK('Ingest Template'!Q945),"", 'Ingest Template'!Q945&amp;"|DAR"))),(CONCATENATE(IF(ISBLANK('Ingest Template'!O945),"", 'Ingest Template'!O945&amp;"|Operations - Core Title"),CHAR(10), IF(ISBLANK('Ingest Template'!P945),"", 'Ingest Template'!P945&amp;"|Operations - Core Title"),CHAR(10), IF(ISBLANK('Ingest Template'!Q945),"", 'Ingest Template'!Q945&amp;"|Operations - Core Title"))))</f>
        <v>#|Operations - Core Title
#videoGame|Operations - Core Title
</v>
      </c>
      <c r="AH946" s="25"/>
      <c r="AI946" s="25"/>
      <c r="AJ946" s="50" t="str">
        <f>if('Ingest Template'!A945="Standard",'Ingest Template'!R945&amp; "|DAR|DAR|2021-01-01",'Ingest Template'!R945&amp; "|Operations - Core Title|Operations - Core Title")</f>
        <v>#N/A</v>
      </c>
      <c r="AK946" s="25"/>
      <c r="AL946" s="25" t="str">
        <f>if('Ingest Template'!A945="Standard",'Ingest Template'!S945&amp; "|2021-01-01",'Ingest Template'!S945)</f>
        <v>#N/A</v>
      </c>
      <c r="AM946" s="25"/>
    </row>
    <row r="947">
      <c r="A947" s="25"/>
      <c r="B947" s="25" t="str">
        <f>'Ingest Template'!C946&amp;IF('Ingest Template'!A946 = "Standard", " - DAR","")</f>
        <v/>
      </c>
      <c r="C947" s="34" t="s">
        <v>92</v>
      </c>
      <c r="D947" s="34" t="str">
        <f>CONCATENATE('Ingest Template'!E947&amp;Char(10)&amp;'Ingest Template'!G947&amp;Char(10)&amp;'Ingest Template'!H947&amp;Char(10)&amp;'Ingest Template'!I947&amp;Char(10)&amp;'Ingest Template'!J947&amp;Char(10)&amp;'Ingest Template'!K947&amp;Char(10)&amp;'Ingest Template'!L947)</f>
        <v>
</v>
      </c>
      <c r="E947" s="25" t="str">
        <f>('Ingest Template'!M947)</f>
        <v/>
      </c>
      <c r="F947" s="40" t="str">
        <f t="array" ref="F947">INDEX(DropDown!$J$2:$J$63,MATCH(1,COUNTIF(E947,DropDown!$I$2:$I$63),0))</f>
        <v>#N/A</v>
      </c>
      <c r="G947" s="25"/>
      <c r="H947" s="25"/>
      <c r="I947" s="25"/>
      <c r="J947" s="25" t="str">
        <f>'Ingest Template'!B947</f>
        <v/>
      </c>
      <c r="K947" s="25" t="str">
        <f>IF('Ingest Template'!A946="Standard",'Ingest Template'!N946,"Competitive View")</f>
        <v>Competitive View</v>
      </c>
      <c r="L947" s="41" t="s">
        <v>145</v>
      </c>
      <c r="M947" s="25" t="str">
        <f>'Ingest Template'!D946</f>
        <v/>
      </c>
      <c r="N947" s="25"/>
      <c r="O947" s="25"/>
      <c r="P947" s="25"/>
      <c r="Q947" s="25"/>
      <c r="R947" s="25" t="str">
        <f>CONCATENATE('Ingest Template'!F946)</f>
        <v/>
      </c>
      <c r="S947" s="43" t="s">
        <v>160</v>
      </c>
      <c r="T947" s="25" t="str">
        <f>'Ingest Template'!W946</f>
        <v/>
      </c>
      <c r="U947" s="25"/>
      <c r="V947" s="25" t="str">
        <f>LOWER(SUBSTITUTE(SUBSTITUTE(SUBSTITUTE(SUBSTITUTE(SUBSTITUTE('Ingest Template'!Y946,"https:",""),"www.",""),"/",""),"?hl=en",""),"instagram.com",""))</f>
        <v/>
      </c>
      <c r="W947" s="34" t="str">
        <f>(IFERROR(vlookup('Ingest Template'!F947,DropDown!D:E,2,false)&amp;'Ingest Template'!C947,""))</f>
        <v/>
      </c>
      <c r="X947" s="25" t="str">
        <f>'Ingest Template'!AA946</f>
        <v/>
      </c>
      <c r="Y947" s="25"/>
      <c r="Z947" s="25"/>
      <c r="AA947" s="25"/>
      <c r="AB947" s="25" t="str">
        <f>'Ingest Template'!T946</f>
        <v/>
      </c>
      <c r="AC947" s="25"/>
      <c r="AD947" s="25" t="str">
        <f>'Ingest Template'!U946</f>
        <v/>
      </c>
      <c r="AE947" s="25" t="str">
        <f>'Ingest Template'!V946</f>
        <v/>
      </c>
      <c r="AF947" s="25"/>
      <c r="AG947" s="25" t="str">
        <f t="array" ref="AG947">IF('Ingest Template'!A946="Standard",(CONCATENATE(IF(ISBLANK('Ingest Template'!O946),"", 'Ingest Template'!O946&amp;"|DAR"),CHAR(10), IF(ISBLANK('Ingest Template'!P946),"", 'Ingest Template'!P946&amp;"|DAR"),CHAR(10), IF(ISBLANK('Ingest Template'!Q946),"", 'Ingest Template'!Q946&amp;"|DAR"))),(CONCATENATE(IF(ISBLANK('Ingest Template'!O946),"", 'Ingest Template'!O946&amp;"|Operations - Core Title"),CHAR(10), IF(ISBLANK('Ingest Template'!P946),"", 'Ingest Template'!P946&amp;"|Operations - Core Title"),CHAR(10), IF(ISBLANK('Ingest Template'!Q946),"", 'Ingest Template'!Q946&amp;"|Operations - Core Title"))))</f>
        <v>#|Operations - Core Title
#videoGame|Operations - Core Title
</v>
      </c>
      <c r="AH947" s="25"/>
      <c r="AI947" s="25"/>
      <c r="AJ947" s="50" t="str">
        <f>if('Ingest Template'!A946="Standard",'Ingest Template'!R946&amp; "|DAR|DAR|2021-01-01",'Ingest Template'!R946&amp; "|Operations - Core Title|Operations - Core Title")</f>
        <v>#N/A</v>
      </c>
      <c r="AK947" s="25"/>
      <c r="AL947" s="25" t="str">
        <f>if('Ingest Template'!A946="Standard",'Ingest Template'!S946&amp; "|2021-01-01",'Ingest Template'!S946)</f>
        <v>#N/A</v>
      </c>
      <c r="AM947" s="25"/>
    </row>
    <row r="948">
      <c r="A948" s="25"/>
      <c r="B948" s="25" t="str">
        <f>'Ingest Template'!C947&amp;IF('Ingest Template'!A947 = "Standard", " - DAR","")</f>
        <v/>
      </c>
      <c r="C948" s="34" t="s">
        <v>92</v>
      </c>
      <c r="D948" s="34" t="str">
        <f>CONCATENATE('Ingest Template'!E948&amp;Char(10)&amp;'Ingest Template'!G948&amp;Char(10)&amp;'Ingest Template'!H948&amp;Char(10)&amp;'Ingest Template'!I948&amp;Char(10)&amp;'Ingest Template'!J948&amp;Char(10)&amp;'Ingest Template'!K948&amp;Char(10)&amp;'Ingest Template'!L948)</f>
        <v>
</v>
      </c>
      <c r="E948" s="25" t="str">
        <f>('Ingest Template'!M948)</f>
        <v/>
      </c>
      <c r="F948" s="40" t="str">
        <f t="array" ref="F948">INDEX(DropDown!$J$2:$J$63,MATCH(1,COUNTIF(E948,DropDown!$I$2:$I$63),0))</f>
        <v>#N/A</v>
      </c>
      <c r="G948" s="25"/>
      <c r="H948" s="25"/>
      <c r="I948" s="25"/>
      <c r="J948" s="25" t="str">
        <f>'Ingest Template'!B948</f>
        <v/>
      </c>
      <c r="K948" s="25" t="str">
        <f>IF('Ingest Template'!A947="Standard",'Ingest Template'!N947,"Competitive View")</f>
        <v>Competitive View</v>
      </c>
      <c r="L948" s="41" t="s">
        <v>145</v>
      </c>
      <c r="M948" s="25" t="str">
        <f>'Ingest Template'!D947</f>
        <v/>
      </c>
      <c r="N948" s="25"/>
      <c r="O948" s="25"/>
      <c r="P948" s="25"/>
      <c r="Q948" s="25"/>
      <c r="R948" s="25" t="str">
        <f>CONCATENATE('Ingest Template'!F947)</f>
        <v/>
      </c>
      <c r="S948" s="43" t="s">
        <v>160</v>
      </c>
      <c r="T948" s="25" t="str">
        <f>'Ingest Template'!W947</f>
        <v/>
      </c>
      <c r="U948" s="25"/>
      <c r="V948" s="25" t="str">
        <f>LOWER(SUBSTITUTE(SUBSTITUTE(SUBSTITUTE(SUBSTITUTE(SUBSTITUTE('Ingest Template'!Y947,"https:",""),"www.",""),"/",""),"?hl=en",""),"instagram.com",""))</f>
        <v/>
      </c>
      <c r="W948" s="34" t="str">
        <f>(IFERROR(vlookup('Ingest Template'!F948,DropDown!D:E,2,false)&amp;'Ingest Template'!C948,""))</f>
        <v/>
      </c>
      <c r="X948" s="25" t="str">
        <f>'Ingest Template'!AA947</f>
        <v/>
      </c>
      <c r="Y948" s="25"/>
      <c r="Z948" s="25"/>
      <c r="AA948" s="25"/>
      <c r="AB948" s="25" t="str">
        <f>'Ingest Template'!T947</f>
        <v/>
      </c>
      <c r="AC948" s="25"/>
      <c r="AD948" s="25" t="str">
        <f>'Ingest Template'!U947</f>
        <v/>
      </c>
      <c r="AE948" s="25" t="str">
        <f>'Ingest Template'!V947</f>
        <v/>
      </c>
      <c r="AF948" s="25"/>
      <c r="AG948" s="25" t="str">
        <f t="array" ref="AG948">IF('Ingest Template'!A947="Standard",(CONCATENATE(IF(ISBLANK('Ingest Template'!O947),"", 'Ingest Template'!O947&amp;"|DAR"),CHAR(10), IF(ISBLANK('Ingest Template'!P947),"", 'Ingest Template'!P947&amp;"|DAR"),CHAR(10), IF(ISBLANK('Ingest Template'!Q947),"", 'Ingest Template'!Q947&amp;"|DAR"))),(CONCATENATE(IF(ISBLANK('Ingest Template'!O947),"", 'Ingest Template'!O947&amp;"|Operations - Core Title"),CHAR(10), IF(ISBLANK('Ingest Template'!P947),"", 'Ingest Template'!P947&amp;"|Operations - Core Title"),CHAR(10), IF(ISBLANK('Ingest Template'!Q947),"", 'Ingest Template'!Q947&amp;"|Operations - Core Title"))))</f>
        <v>#|Operations - Core Title
#videoGame|Operations - Core Title
</v>
      </c>
      <c r="AH948" s="25"/>
      <c r="AI948" s="25"/>
      <c r="AJ948" s="50" t="str">
        <f>if('Ingest Template'!A947="Standard",'Ingest Template'!R947&amp; "|DAR|DAR|2021-01-01",'Ingest Template'!R947&amp; "|Operations - Core Title|Operations - Core Title")</f>
        <v>#N/A</v>
      </c>
      <c r="AK948" s="25"/>
      <c r="AL948" s="25" t="str">
        <f>if('Ingest Template'!A947="Standard",'Ingest Template'!S947&amp; "|2021-01-01",'Ingest Template'!S947)</f>
        <v>#N/A</v>
      </c>
      <c r="AM948" s="25"/>
    </row>
    <row r="949">
      <c r="A949" s="25"/>
      <c r="B949" s="25" t="str">
        <f>'Ingest Template'!C948&amp;IF('Ingest Template'!A948 = "Standard", " - DAR","")</f>
        <v/>
      </c>
      <c r="C949" s="34" t="s">
        <v>92</v>
      </c>
      <c r="D949" s="34" t="str">
        <f>CONCATENATE('Ingest Template'!E949&amp;Char(10)&amp;'Ingest Template'!G949&amp;Char(10)&amp;'Ingest Template'!H949&amp;Char(10)&amp;'Ingest Template'!I949&amp;Char(10)&amp;'Ingest Template'!J949&amp;Char(10)&amp;'Ingest Template'!K949&amp;Char(10)&amp;'Ingest Template'!L949)</f>
        <v>
</v>
      </c>
      <c r="E949" s="25" t="str">
        <f>('Ingest Template'!M949)</f>
        <v/>
      </c>
      <c r="F949" s="40" t="str">
        <f t="array" ref="F949">INDEX(DropDown!$J$2:$J$63,MATCH(1,COUNTIF(E949,DropDown!$I$2:$I$63),0))</f>
        <v>#N/A</v>
      </c>
      <c r="G949" s="25"/>
      <c r="H949" s="25"/>
      <c r="I949" s="25"/>
      <c r="J949" s="25" t="str">
        <f>'Ingest Template'!B949</f>
        <v/>
      </c>
      <c r="K949" s="25" t="str">
        <f>IF('Ingest Template'!A948="Standard",'Ingest Template'!N948,"Competitive View")</f>
        <v>Competitive View</v>
      </c>
      <c r="L949" s="41" t="s">
        <v>145</v>
      </c>
      <c r="M949" s="25" t="str">
        <f>'Ingest Template'!D948</f>
        <v/>
      </c>
      <c r="N949" s="25"/>
      <c r="O949" s="25"/>
      <c r="P949" s="25"/>
      <c r="Q949" s="25"/>
      <c r="R949" s="25" t="str">
        <f>CONCATENATE('Ingest Template'!F948)</f>
        <v/>
      </c>
      <c r="S949" s="43" t="s">
        <v>160</v>
      </c>
      <c r="T949" s="25" t="str">
        <f>'Ingest Template'!W948</f>
        <v/>
      </c>
      <c r="U949" s="25"/>
      <c r="V949" s="25" t="str">
        <f>LOWER(SUBSTITUTE(SUBSTITUTE(SUBSTITUTE(SUBSTITUTE(SUBSTITUTE('Ingest Template'!Y948,"https:",""),"www.",""),"/",""),"?hl=en",""),"instagram.com",""))</f>
        <v/>
      </c>
      <c r="W949" s="34" t="str">
        <f>(IFERROR(vlookup('Ingest Template'!F949,DropDown!D:E,2,false)&amp;'Ingest Template'!C949,""))</f>
        <v/>
      </c>
      <c r="X949" s="25" t="str">
        <f>'Ingest Template'!AA948</f>
        <v/>
      </c>
      <c r="Y949" s="25"/>
      <c r="Z949" s="25"/>
      <c r="AA949" s="25"/>
      <c r="AB949" s="25" t="str">
        <f>'Ingest Template'!T948</f>
        <v/>
      </c>
      <c r="AC949" s="25"/>
      <c r="AD949" s="25" t="str">
        <f>'Ingest Template'!U948</f>
        <v/>
      </c>
      <c r="AE949" s="25" t="str">
        <f>'Ingest Template'!V948</f>
        <v/>
      </c>
      <c r="AF949" s="25"/>
      <c r="AG949" s="25" t="str">
        <f t="array" ref="AG949">IF('Ingest Template'!A948="Standard",(CONCATENATE(IF(ISBLANK('Ingest Template'!O948),"", 'Ingest Template'!O948&amp;"|DAR"),CHAR(10), IF(ISBLANK('Ingest Template'!P948),"", 'Ingest Template'!P948&amp;"|DAR"),CHAR(10), IF(ISBLANK('Ingest Template'!Q948),"", 'Ingest Template'!Q948&amp;"|DAR"))),(CONCATENATE(IF(ISBLANK('Ingest Template'!O948),"", 'Ingest Template'!O948&amp;"|Operations - Core Title"),CHAR(10), IF(ISBLANK('Ingest Template'!P948),"", 'Ingest Template'!P948&amp;"|Operations - Core Title"),CHAR(10), IF(ISBLANK('Ingest Template'!Q948),"", 'Ingest Template'!Q948&amp;"|Operations - Core Title"))))</f>
        <v>#|Operations - Core Title
#videoGame|Operations - Core Title
</v>
      </c>
      <c r="AH949" s="25"/>
      <c r="AI949" s="25"/>
      <c r="AJ949" s="50" t="str">
        <f>if('Ingest Template'!A948="Standard",'Ingest Template'!R948&amp; "|DAR|DAR|2021-01-01",'Ingest Template'!R948&amp; "|Operations - Core Title|Operations - Core Title")</f>
        <v>#N/A</v>
      </c>
      <c r="AK949" s="25"/>
      <c r="AL949" s="25" t="str">
        <f>if('Ingest Template'!A948="Standard",'Ingest Template'!S948&amp; "|2021-01-01",'Ingest Template'!S948)</f>
        <v>#N/A</v>
      </c>
      <c r="AM949" s="25"/>
    </row>
    <row r="950">
      <c r="A950" s="25"/>
      <c r="B950" s="25" t="str">
        <f>'Ingest Template'!C949&amp;IF('Ingest Template'!A949 = "Standard", " - DAR","")</f>
        <v/>
      </c>
      <c r="C950" s="34" t="s">
        <v>92</v>
      </c>
      <c r="D950" s="34" t="str">
        <f>CONCATENATE('Ingest Template'!E950&amp;Char(10)&amp;'Ingest Template'!G950&amp;Char(10)&amp;'Ingest Template'!H950&amp;Char(10)&amp;'Ingest Template'!I950&amp;Char(10)&amp;'Ingest Template'!J950&amp;Char(10)&amp;'Ingest Template'!K950&amp;Char(10)&amp;'Ingest Template'!L950)</f>
        <v>
</v>
      </c>
      <c r="E950" s="25" t="str">
        <f>('Ingest Template'!M950)</f>
        <v/>
      </c>
      <c r="F950" s="40" t="str">
        <f t="array" ref="F950">INDEX(DropDown!$J$2:$J$63,MATCH(1,COUNTIF(E950,DropDown!$I$2:$I$63),0))</f>
        <v>#N/A</v>
      </c>
      <c r="G950" s="25"/>
      <c r="H950" s="25"/>
      <c r="I950" s="25"/>
      <c r="J950" s="25" t="str">
        <f>'Ingest Template'!B950</f>
        <v/>
      </c>
      <c r="K950" s="25" t="str">
        <f>IF('Ingest Template'!A949="Standard",'Ingest Template'!N949,"Competitive View")</f>
        <v>Competitive View</v>
      </c>
      <c r="L950" s="41" t="s">
        <v>145</v>
      </c>
      <c r="M950" s="25" t="str">
        <f>'Ingest Template'!D949</f>
        <v/>
      </c>
      <c r="N950" s="25"/>
      <c r="O950" s="25"/>
      <c r="P950" s="25"/>
      <c r="Q950" s="25"/>
      <c r="R950" s="25" t="str">
        <f>CONCATENATE('Ingest Template'!F949)</f>
        <v/>
      </c>
      <c r="S950" s="43" t="s">
        <v>160</v>
      </c>
      <c r="T950" s="25" t="str">
        <f>'Ingest Template'!W949</f>
        <v/>
      </c>
      <c r="U950" s="25"/>
      <c r="V950" s="25" t="str">
        <f>LOWER(SUBSTITUTE(SUBSTITUTE(SUBSTITUTE(SUBSTITUTE(SUBSTITUTE('Ingest Template'!Y949,"https:",""),"www.",""),"/",""),"?hl=en",""),"instagram.com",""))</f>
        <v/>
      </c>
      <c r="W950" s="34" t="str">
        <f>(IFERROR(vlookup('Ingest Template'!F950,DropDown!D:E,2,false)&amp;'Ingest Template'!C950,""))</f>
        <v/>
      </c>
      <c r="X950" s="25" t="str">
        <f>'Ingest Template'!AA949</f>
        <v/>
      </c>
      <c r="Y950" s="25"/>
      <c r="Z950" s="25"/>
      <c r="AA950" s="25"/>
      <c r="AB950" s="25" t="str">
        <f>'Ingest Template'!T949</f>
        <v/>
      </c>
      <c r="AC950" s="25"/>
      <c r="AD950" s="25" t="str">
        <f>'Ingest Template'!U949</f>
        <v/>
      </c>
      <c r="AE950" s="25" t="str">
        <f>'Ingest Template'!V949</f>
        <v/>
      </c>
      <c r="AF950" s="25"/>
      <c r="AG950" s="25" t="str">
        <f t="array" ref="AG950">IF('Ingest Template'!A949="Standard",(CONCATENATE(IF(ISBLANK('Ingest Template'!O949),"", 'Ingest Template'!O949&amp;"|DAR"),CHAR(10), IF(ISBLANK('Ingest Template'!P949),"", 'Ingest Template'!P949&amp;"|DAR"),CHAR(10), IF(ISBLANK('Ingest Template'!Q949),"", 'Ingest Template'!Q949&amp;"|DAR"))),(CONCATENATE(IF(ISBLANK('Ingest Template'!O949),"", 'Ingest Template'!O949&amp;"|Operations - Core Title"),CHAR(10), IF(ISBLANK('Ingest Template'!P949),"", 'Ingest Template'!P949&amp;"|Operations - Core Title"),CHAR(10), IF(ISBLANK('Ingest Template'!Q949),"", 'Ingest Template'!Q949&amp;"|Operations - Core Title"))))</f>
        <v>#|Operations - Core Title
#videoGame|Operations - Core Title
</v>
      </c>
      <c r="AH950" s="25"/>
      <c r="AI950" s="25"/>
      <c r="AJ950" s="50" t="str">
        <f>if('Ingest Template'!A949="Standard",'Ingest Template'!R949&amp; "|DAR|DAR|2021-01-01",'Ingest Template'!R949&amp; "|Operations - Core Title|Operations - Core Title")</f>
        <v>#N/A</v>
      </c>
      <c r="AK950" s="25"/>
      <c r="AL950" s="25" t="str">
        <f>if('Ingest Template'!A949="Standard",'Ingest Template'!S949&amp; "|2021-01-01",'Ingest Template'!S949)</f>
        <v>#N/A</v>
      </c>
      <c r="AM950" s="25"/>
    </row>
    <row r="951">
      <c r="A951" s="25"/>
      <c r="B951" s="25" t="str">
        <f>'Ingest Template'!C950&amp;IF('Ingest Template'!A950 = "Standard", " - DAR","")</f>
        <v/>
      </c>
      <c r="C951" s="34" t="s">
        <v>92</v>
      </c>
      <c r="D951" s="34" t="str">
        <f>CONCATENATE('Ingest Template'!E951&amp;Char(10)&amp;'Ingest Template'!G951&amp;Char(10)&amp;'Ingest Template'!H951&amp;Char(10)&amp;'Ingest Template'!I951&amp;Char(10)&amp;'Ingest Template'!J951&amp;Char(10)&amp;'Ingest Template'!K951&amp;Char(10)&amp;'Ingest Template'!L951)</f>
        <v>
</v>
      </c>
      <c r="E951" s="25" t="str">
        <f>('Ingest Template'!M951)</f>
        <v/>
      </c>
      <c r="F951" s="40" t="str">
        <f t="array" ref="F951">INDEX(DropDown!$J$2:$J$63,MATCH(1,COUNTIF(E951,DropDown!$I$2:$I$63),0))</f>
        <v>#N/A</v>
      </c>
      <c r="G951" s="25"/>
      <c r="H951" s="25"/>
      <c r="I951" s="25"/>
      <c r="J951" s="25" t="str">
        <f>'Ingest Template'!B951</f>
        <v/>
      </c>
      <c r="K951" s="25" t="str">
        <f>IF('Ingest Template'!A950="Standard",'Ingest Template'!N950,"Competitive View")</f>
        <v>Competitive View</v>
      </c>
      <c r="L951" s="41" t="s">
        <v>145</v>
      </c>
      <c r="M951" s="25" t="str">
        <f>'Ingest Template'!D950</f>
        <v/>
      </c>
      <c r="N951" s="25"/>
      <c r="O951" s="25"/>
      <c r="P951" s="25"/>
      <c r="Q951" s="25"/>
      <c r="R951" s="25" t="str">
        <f>CONCATENATE('Ingest Template'!F950)</f>
        <v/>
      </c>
      <c r="S951" s="43" t="s">
        <v>160</v>
      </c>
      <c r="T951" s="25" t="str">
        <f>'Ingest Template'!W950</f>
        <v/>
      </c>
      <c r="U951" s="25"/>
      <c r="V951" s="25" t="str">
        <f>LOWER(SUBSTITUTE(SUBSTITUTE(SUBSTITUTE(SUBSTITUTE(SUBSTITUTE('Ingest Template'!Y950,"https:",""),"www.",""),"/",""),"?hl=en",""),"instagram.com",""))</f>
        <v/>
      </c>
      <c r="W951" s="34" t="str">
        <f>(IFERROR(vlookup('Ingest Template'!F951,DropDown!D:E,2,false)&amp;'Ingest Template'!C951,""))</f>
        <v/>
      </c>
      <c r="X951" s="25" t="str">
        <f>'Ingest Template'!AA950</f>
        <v/>
      </c>
      <c r="Y951" s="25"/>
      <c r="Z951" s="25"/>
      <c r="AA951" s="25"/>
      <c r="AB951" s="25" t="str">
        <f>'Ingest Template'!T950</f>
        <v/>
      </c>
      <c r="AC951" s="25"/>
      <c r="AD951" s="25" t="str">
        <f>'Ingest Template'!U950</f>
        <v/>
      </c>
      <c r="AE951" s="25" t="str">
        <f>'Ingest Template'!V950</f>
        <v/>
      </c>
      <c r="AF951" s="25"/>
      <c r="AG951" s="25" t="str">
        <f t="array" ref="AG951">IF('Ingest Template'!A950="Standard",(CONCATENATE(IF(ISBLANK('Ingest Template'!O950),"", 'Ingest Template'!O950&amp;"|DAR"),CHAR(10), IF(ISBLANK('Ingest Template'!P950),"", 'Ingest Template'!P950&amp;"|DAR"),CHAR(10), IF(ISBLANK('Ingest Template'!Q950),"", 'Ingest Template'!Q950&amp;"|DAR"))),(CONCATENATE(IF(ISBLANK('Ingest Template'!O950),"", 'Ingest Template'!O950&amp;"|Operations - Core Title"),CHAR(10), IF(ISBLANK('Ingest Template'!P950),"", 'Ingest Template'!P950&amp;"|Operations - Core Title"),CHAR(10), IF(ISBLANK('Ingest Template'!Q950),"", 'Ingest Template'!Q950&amp;"|Operations - Core Title"))))</f>
        <v>#|Operations - Core Title
#videoGame|Operations - Core Title
</v>
      </c>
      <c r="AH951" s="25"/>
      <c r="AI951" s="25"/>
      <c r="AJ951" s="50" t="str">
        <f>if('Ingest Template'!A950="Standard",'Ingest Template'!R950&amp; "|DAR|DAR|2021-01-01",'Ingest Template'!R950&amp; "|Operations - Core Title|Operations - Core Title")</f>
        <v>#N/A</v>
      </c>
      <c r="AK951" s="25"/>
      <c r="AL951" s="25" t="str">
        <f>if('Ingest Template'!A950="Standard",'Ingest Template'!S950&amp; "|2021-01-01",'Ingest Template'!S950)</f>
        <v>#N/A</v>
      </c>
      <c r="AM951" s="25"/>
    </row>
    <row r="952">
      <c r="A952" s="25"/>
      <c r="B952" s="25" t="str">
        <f>'Ingest Template'!C951&amp;IF('Ingest Template'!A951 = "Standard", " - DAR","")</f>
        <v/>
      </c>
      <c r="C952" s="34" t="s">
        <v>92</v>
      </c>
      <c r="D952" s="34" t="str">
        <f>CONCATENATE('Ingest Template'!E952&amp;Char(10)&amp;'Ingest Template'!G952&amp;Char(10)&amp;'Ingest Template'!H952&amp;Char(10)&amp;'Ingest Template'!I952&amp;Char(10)&amp;'Ingest Template'!J952&amp;Char(10)&amp;'Ingest Template'!K952&amp;Char(10)&amp;'Ingest Template'!L952)</f>
        <v>
</v>
      </c>
      <c r="E952" s="25" t="str">
        <f>('Ingest Template'!M952)</f>
        <v/>
      </c>
      <c r="F952" s="40" t="str">
        <f t="array" ref="F952">INDEX(DropDown!$J$2:$J$63,MATCH(1,COUNTIF(E952,DropDown!$I$2:$I$63),0))</f>
        <v>#N/A</v>
      </c>
      <c r="G952" s="25"/>
      <c r="H952" s="25"/>
      <c r="I952" s="25"/>
      <c r="J952" s="25" t="str">
        <f>'Ingest Template'!B952</f>
        <v/>
      </c>
      <c r="K952" s="25" t="str">
        <f>IF('Ingest Template'!A951="Standard",'Ingest Template'!N951,"Competitive View")</f>
        <v>Competitive View</v>
      </c>
      <c r="L952" s="41" t="s">
        <v>145</v>
      </c>
      <c r="M952" s="25" t="str">
        <f>'Ingest Template'!D951</f>
        <v/>
      </c>
      <c r="N952" s="25"/>
      <c r="O952" s="25"/>
      <c r="P952" s="25"/>
      <c r="Q952" s="25"/>
      <c r="R952" s="25" t="str">
        <f>CONCATENATE('Ingest Template'!F951)</f>
        <v/>
      </c>
      <c r="S952" s="43" t="s">
        <v>160</v>
      </c>
      <c r="T952" s="25" t="str">
        <f>'Ingest Template'!W951</f>
        <v/>
      </c>
      <c r="U952" s="25"/>
      <c r="V952" s="25" t="str">
        <f>LOWER(SUBSTITUTE(SUBSTITUTE(SUBSTITUTE(SUBSTITUTE(SUBSTITUTE('Ingest Template'!Y951,"https:",""),"www.",""),"/",""),"?hl=en",""),"instagram.com",""))</f>
        <v/>
      </c>
      <c r="W952" s="34" t="str">
        <f>(IFERROR(vlookup('Ingest Template'!F952,DropDown!D:E,2,false)&amp;'Ingest Template'!C952,""))</f>
        <v/>
      </c>
      <c r="X952" s="25" t="str">
        <f>'Ingest Template'!AA951</f>
        <v/>
      </c>
      <c r="Y952" s="25"/>
      <c r="Z952" s="25"/>
      <c r="AA952" s="25"/>
      <c r="AB952" s="25" t="str">
        <f>'Ingest Template'!T951</f>
        <v/>
      </c>
      <c r="AC952" s="25"/>
      <c r="AD952" s="25" t="str">
        <f>'Ingest Template'!U951</f>
        <v/>
      </c>
      <c r="AE952" s="25" t="str">
        <f>'Ingest Template'!V951</f>
        <v/>
      </c>
      <c r="AF952" s="25"/>
      <c r="AG952" s="25" t="str">
        <f t="array" ref="AG952">IF('Ingest Template'!A951="Standard",(CONCATENATE(IF(ISBLANK('Ingest Template'!O951),"", 'Ingest Template'!O951&amp;"|DAR"),CHAR(10), IF(ISBLANK('Ingest Template'!P951),"", 'Ingest Template'!P951&amp;"|DAR"),CHAR(10), IF(ISBLANK('Ingest Template'!Q951),"", 'Ingest Template'!Q951&amp;"|DAR"))),(CONCATENATE(IF(ISBLANK('Ingest Template'!O951),"", 'Ingest Template'!O951&amp;"|Operations - Core Title"),CHAR(10), IF(ISBLANK('Ingest Template'!P951),"", 'Ingest Template'!P951&amp;"|Operations - Core Title"),CHAR(10), IF(ISBLANK('Ingest Template'!Q951),"", 'Ingest Template'!Q951&amp;"|Operations - Core Title"))))</f>
        <v>#|Operations - Core Title
#videoGame|Operations - Core Title
</v>
      </c>
      <c r="AH952" s="25"/>
      <c r="AI952" s="25"/>
      <c r="AJ952" s="50" t="str">
        <f>if('Ingest Template'!A951="Standard",'Ingest Template'!R951&amp; "|DAR|DAR|2021-01-01",'Ingest Template'!R951&amp; "|Operations - Core Title|Operations - Core Title")</f>
        <v>#N/A</v>
      </c>
      <c r="AK952" s="25"/>
      <c r="AL952" s="25" t="str">
        <f>if('Ingest Template'!A951="Standard",'Ingest Template'!S951&amp; "|2021-01-01",'Ingest Template'!S951)</f>
        <v>#N/A</v>
      </c>
      <c r="AM952" s="25"/>
    </row>
    <row r="953">
      <c r="A953" s="25"/>
      <c r="B953" s="25" t="str">
        <f>'Ingest Template'!C952&amp;IF('Ingest Template'!A952 = "Standard", " - DAR","")</f>
        <v/>
      </c>
      <c r="C953" s="34" t="s">
        <v>92</v>
      </c>
      <c r="D953" s="34" t="str">
        <f>CONCATENATE('Ingest Template'!E953&amp;Char(10)&amp;'Ingest Template'!G953&amp;Char(10)&amp;'Ingest Template'!H953&amp;Char(10)&amp;'Ingest Template'!I953&amp;Char(10)&amp;'Ingest Template'!J953&amp;Char(10)&amp;'Ingest Template'!K953&amp;Char(10)&amp;'Ingest Template'!L953)</f>
        <v>
</v>
      </c>
      <c r="E953" s="25" t="str">
        <f>('Ingest Template'!M953)</f>
        <v/>
      </c>
      <c r="F953" s="40" t="str">
        <f t="array" ref="F953">INDEX(DropDown!$J$2:$J$63,MATCH(1,COUNTIF(E953,DropDown!$I$2:$I$63),0))</f>
        <v>#N/A</v>
      </c>
      <c r="G953" s="25"/>
      <c r="H953" s="25"/>
      <c r="I953" s="25"/>
      <c r="J953" s="25" t="str">
        <f>'Ingest Template'!B953</f>
        <v/>
      </c>
      <c r="K953" s="25" t="str">
        <f>IF('Ingest Template'!A952="Standard",'Ingest Template'!N952,"Competitive View")</f>
        <v>Competitive View</v>
      </c>
      <c r="L953" s="41" t="s">
        <v>145</v>
      </c>
      <c r="M953" s="25" t="str">
        <f>'Ingest Template'!D952</f>
        <v/>
      </c>
      <c r="N953" s="25"/>
      <c r="O953" s="25"/>
      <c r="P953" s="25"/>
      <c r="Q953" s="25"/>
      <c r="R953" s="25" t="str">
        <f>CONCATENATE('Ingest Template'!F952)</f>
        <v/>
      </c>
      <c r="S953" s="43" t="s">
        <v>160</v>
      </c>
      <c r="T953" s="25" t="str">
        <f>'Ingest Template'!W952</f>
        <v/>
      </c>
      <c r="U953" s="25"/>
      <c r="V953" s="25" t="str">
        <f>LOWER(SUBSTITUTE(SUBSTITUTE(SUBSTITUTE(SUBSTITUTE(SUBSTITUTE('Ingest Template'!Y952,"https:",""),"www.",""),"/",""),"?hl=en",""),"instagram.com",""))</f>
        <v/>
      </c>
      <c r="W953" s="34" t="str">
        <f>(IFERROR(vlookup('Ingest Template'!F953,DropDown!D:E,2,false)&amp;'Ingest Template'!C953,""))</f>
        <v/>
      </c>
      <c r="X953" s="25" t="str">
        <f>'Ingest Template'!AA952</f>
        <v/>
      </c>
      <c r="Y953" s="25"/>
      <c r="Z953" s="25"/>
      <c r="AA953" s="25"/>
      <c r="AB953" s="25" t="str">
        <f>'Ingest Template'!T952</f>
        <v/>
      </c>
      <c r="AC953" s="25"/>
      <c r="AD953" s="25" t="str">
        <f>'Ingest Template'!U952</f>
        <v/>
      </c>
      <c r="AE953" s="25" t="str">
        <f>'Ingest Template'!V952</f>
        <v/>
      </c>
      <c r="AF953" s="25"/>
      <c r="AG953" s="25" t="str">
        <f t="array" ref="AG953">IF('Ingest Template'!A952="Standard",(CONCATENATE(IF(ISBLANK('Ingest Template'!O952),"", 'Ingest Template'!O952&amp;"|DAR"),CHAR(10), IF(ISBLANK('Ingest Template'!P952),"", 'Ingest Template'!P952&amp;"|DAR"),CHAR(10), IF(ISBLANK('Ingest Template'!Q952),"", 'Ingest Template'!Q952&amp;"|DAR"))),(CONCATENATE(IF(ISBLANK('Ingest Template'!O952),"", 'Ingest Template'!O952&amp;"|Operations - Core Title"),CHAR(10), IF(ISBLANK('Ingest Template'!P952),"", 'Ingest Template'!P952&amp;"|Operations - Core Title"),CHAR(10), IF(ISBLANK('Ingest Template'!Q952),"", 'Ingest Template'!Q952&amp;"|Operations - Core Title"))))</f>
        <v>#|Operations - Core Title
#videoGame|Operations - Core Title
</v>
      </c>
      <c r="AH953" s="25"/>
      <c r="AI953" s="25"/>
      <c r="AJ953" s="50" t="str">
        <f>if('Ingest Template'!A952="Standard",'Ingest Template'!R952&amp; "|DAR|DAR|2021-01-01",'Ingest Template'!R952&amp; "|Operations - Core Title|Operations - Core Title")</f>
        <v>#N/A</v>
      </c>
      <c r="AK953" s="25"/>
      <c r="AL953" s="25" t="str">
        <f>if('Ingest Template'!A952="Standard",'Ingest Template'!S952&amp; "|2021-01-01",'Ingest Template'!S952)</f>
        <v>#N/A</v>
      </c>
      <c r="AM953" s="25"/>
    </row>
    <row r="954">
      <c r="A954" s="25"/>
      <c r="B954" s="25" t="str">
        <f>'Ingest Template'!C953&amp;IF('Ingest Template'!A953 = "Standard", " - DAR","")</f>
        <v/>
      </c>
      <c r="C954" s="34" t="s">
        <v>92</v>
      </c>
      <c r="D954" s="34" t="str">
        <f>CONCATENATE('Ingest Template'!E954&amp;Char(10)&amp;'Ingest Template'!G954&amp;Char(10)&amp;'Ingest Template'!H954&amp;Char(10)&amp;'Ingest Template'!I954&amp;Char(10)&amp;'Ingest Template'!J954&amp;Char(10)&amp;'Ingest Template'!K954&amp;Char(10)&amp;'Ingest Template'!L954)</f>
        <v>
</v>
      </c>
      <c r="E954" s="25" t="str">
        <f>('Ingest Template'!M954)</f>
        <v/>
      </c>
      <c r="F954" s="40" t="str">
        <f t="array" ref="F954">INDEX(DropDown!$J$2:$J$63,MATCH(1,COUNTIF(E954,DropDown!$I$2:$I$63),0))</f>
        <v>#N/A</v>
      </c>
      <c r="G954" s="25"/>
      <c r="H954" s="25"/>
      <c r="I954" s="25"/>
      <c r="J954" s="25" t="str">
        <f>'Ingest Template'!B954</f>
        <v/>
      </c>
      <c r="K954" s="25" t="str">
        <f>IF('Ingest Template'!A953="Standard",'Ingest Template'!N953,"Competitive View")</f>
        <v>Competitive View</v>
      </c>
      <c r="L954" s="41" t="s">
        <v>145</v>
      </c>
      <c r="M954" s="25" t="str">
        <f>'Ingest Template'!D953</f>
        <v/>
      </c>
      <c r="N954" s="25"/>
      <c r="O954" s="25"/>
      <c r="P954" s="25"/>
      <c r="Q954" s="25"/>
      <c r="R954" s="25" t="str">
        <f>CONCATENATE('Ingest Template'!F953)</f>
        <v/>
      </c>
      <c r="S954" s="43" t="s">
        <v>160</v>
      </c>
      <c r="T954" s="25" t="str">
        <f>'Ingest Template'!W953</f>
        <v/>
      </c>
      <c r="U954" s="25"/>
      <c r="V954" s="25" t="str">
        <f>LOWER(SUBSTITUTE(SUBSTITUTE(SUBSTITUTE(SUBSTITUTE(SUBSTITUTE('Ingest Template'!Y953,"https:",""),"www.",""),"/",""),"?hl=en",""),"instagram.com",""))</f>
        <v/>
      </c>
      <c r="W954" s="34" t="str">
        <f>(IFERROR(vlookup('Ingest Template'!F954,DropDown!D:E,2,false)&amp;'Ingest Template'!C954,""))</f>
        <v/>
      </c>
      <c r="X954" s="25" t="str">
        <f>'Ingest Template'!AA953</f>
        <v/>
      </c>
      <c r="Y954" s="25"/>
      <c r="Z954" s="25"/>
      <c r="AA954" s="25"/>
      <c r="AB954" s="25" t="str">
        <f>'Ingest Template'!T953</f>
        <v/>
      </c>
      <c r="AC954" s="25"/>
      <c r="AD954" s="25" t="str">
        <f>'Ingest Template'!U953</f>
        <v/>
      </c>
      <c r="AE954" s="25" t="str">
        <f>'Ingest Template'!V953</f>
        <v/>
      </c>
      <c r="AF954" s="25"/>
      <c r="AG954" s="25" t="str">
        <f t="array" ref="AG954">IF('Ingest Template'!A953="Standard",(CONCATENATE(IF(ISBLANK('Ingest Template'!O953),"", 'Ingest Template'!O953&amp;"|DAR"),CHAR(10), IF(ISBLANK('Ingest Template'!P953),"", 'Ingest Template'!P953&amp;"|DAR"),CHAR(10), IF(ISBLANK('Ingest Template'!Q953),"", 'Ingest Template'!Q953&amp;"|DAR"))),(CONCATENATE(IF(ISBLANK('Ingest Template'!O953),"", 'Ingest Template'!O953&amp;"|Operations - Core Title"),CHAR(10), IF(ISBLANK('Ingest Template'!P953),"", 'Ingest Template'!P953&amp;"|Operations - Core Title"),CHAR(10), IF(ISBLANK('Ingest Template'!Q953),"", 'Ingest Template'!Q953&amp;"|Operations - Core Title"))))</f>
        <v>#|Operations - Core Title
#videoGame|Operations - Core Title
</v>
      </c>
      <c r="AH954" s="25"/>
      <c r="AI954" s="25"/>
      <c r="AJ954" s="50" t="str">
        <f>if('Ingest Template'!A953="Standard",'Ingest Template'!R953&amp; "|DAR|DAR|2021-01-01",'Ingest Template'!R953&amp; "|Operations - Core Title|Operations - Core Title")</f>
        <v>#N/A</v>
      </c>
      <c r="AK954" s="25"/>
      <c r="AL954" s="25" t="str">
        <f>if('Ingest Template'!A953="Standard",'Ingest Template'!S953&amp; "|2021-01-01",'Ingest Template'!S953)</f>
        <v>#N/A</v>
      </c>
      <c r="AM954" s="25"/>
    </row>
    <row r="955">
      <c r="A955" s="25"/>
      <c r="B955" s="25" t="str">
        <f>'Ingest Template'!C954&amp;IF('Ingest Template'!A954 = "Standard", " - DAR","")</f>
        <v/>
      </c>
      <c r="C955" s="34" t="s">
        <v>92</v>
      </c>
      <c r="D955" s="34" t="str">
        <f>CONCATENATE('Ingest Template'!E955&amp;Char(10)&amp;'Ingest Template'!G955&amp;Char(10)&amp;'Ingest Template'!H955&amp;Char(10)&amp;'Ingest Template'!I955&amp;Char(10)&amp;'Ingest Template'!J955&amp;Char(10)&amp;'Ingest Template'!K955&amp;Char(10)&amp;'Ingest Template'!L955)</f>
        <v>
</v>
      </c>
      <c r="E955" s="25" t="str">
        <f>('Ingest Template'!M955)</f>
        <v/>
      </c>
      <c r="F955" s="40" t="str">
        <f t="array" ref="F955">INDEX(DropDown!$J$2:$J$63,MATCH(1,COUNTIF(E955,DropDown!$I$2:$I$63),0))</f>
        <v>#N/A</v>
      </c>
      <c r="G955" s="25"/>
      <c r="H955" s="25"/>
      <c r="I955" s="25"/>
      <c r="J955" s="25" t="str">
        <f>'Ingest Template'!B955</f>
        <v/>
      </c>
      <c r="K955" s="25" t="str">
        <f>IF('Ingest Template'!A954="Standard",'Ingest Template'!N954,"Competitive View")</f>
        <v>Competitive View</v>
      </c>
      <c r="L955" s="41" t="s">
        <v>145</v>
      </c>
      <c r="M955" s="25" t="str">
        <f>'Ingest Template'!D954</f>
        <v/>
      </c>
      <c r="N955" s="25"/>
      <c r="O955" s="25"/>
      <c r="P955" s="25"/>
      <c r="Q955" s="25"/>
      <c r="R955" s="25" t="str">
        <f>CONCATENATE('Ingest Template'!F954)</f>
        <v/>
      </c>
      <c r="S955" s="43" t="s">
        <v>160</v>
      </c>
      <c r="T955" s="25" t="str">
        <f>'Ingest Template'!W954</f>
        <v/>
      </c>
      <c r="U955" s="25"/>
      <c r="V955" s="25" t="str">
        <f>LOWER(SUBSTITUTE(SUBSTITUTE(SUBSTITUTE(SUBSTITUTE(SUBSTITUTE('Ingest Template'!Y954,"https:",""),"www.",""),"/",""),"?hl=en",""),"instagram.com",""))</f>
        <v/>
      </c>
      <c r="W955" s="34" t="str">
        <f>(IFERROR(vlookup('Ingest Template'!F955,DropDown!D:E,2,false)&amp;'Ingest Template'!C955,""))</f>
        <v/>
      </c>
      <c r="X955" s="25" t="str">
        <f>'Ingest Template'!AA954</f>
        <v/>
      </c>
      <c r="Y955" s="25"/>
      <c r="Z955" s="25"/>
      <c r="AA955" s="25"/>
      <c r="AB955" s="25" t="str">
        <f>'Ingest Template'!T954</f>
        <v/>
      </c>
      <c r="AC955" s="25"/>
      <c r="AD955" s="25" t="str">
        <f>'Ingest Template'!U954</f>
        <v/>
      </c>
      <c r="AE955" s="25" t="str">
        <f>'Ingest Template'!V954</f>
        <v/>
      </c>
      <c r="AF955" s="25"/>
      <c r="AG955" s="25" t="str">
        <f t="array" ref="AG955">IF('Ingest Template'!A954="Standard",(CONCATENATE(IF(ISBLANK('Ingest Template'!O954),"", 'Ingest Template'!O954&amp;"|DAR"),CHAR(10), IF(ISBLANK('Ingest Template'!P954),"", 'Ingest Template'!P954&amp;"|DAR"),CHAR(10), IF(ISBLANK('Ingest Template'!Q954),"", 'Ingest Template'!Q954&amp;"|DAR"))),(CONCATENATE(IF(ISBLANK('Ingest Template'!O954),"", 'Ingest Template'!O954&amp;"|Operations - Core Title"),CHAR(10), IF(ISBLANK('Ingest Template'!P954),"", 'Ingest Template'!P954&amp;"|Operations - Core Title"),CHAR(10), IF(ISBLANK('Ingest Template'!Q954),"", 'Ingest Template'!Q954&amp;"|Operations - Core Title"))))</f>
        <v>#|Operations - Core Title
#videoGame|Operations - Core Title
</v>
      </c>
      <c r="AH955" s="25"/>
      <c r="AI955" s="25"/>
      <c r="AJ955" s="50" t="str">
        <f>if('Ingest Template'!A954="Standard",'Ingest Template'!R954&amp; "|DAR|DAR|2021-01-01",'Ingest Template'!R954&amp; "|Operations - Core Title|Operations - Core Title")</f>
        <v>#N/A</v>
      </c>
      <c r="AK955" s="25"/>
      <c r="AL955" s="25" t="str">
        <f>if('Ingest Template'!A954="Standard",'Ingest Template'!S954&amp; "|2021-01-01",'Ingest Template'!S954)</f>
        <v>#N/A</v>
      </c>
      <c r="AM955" s="25"/>
    </row>
    <row r="956">
      <c r="A956" s="25"/>
      <c r="B956" s="25" t="str">
        <f>'Ingest Template'!C955&amp;IF('Ingest Template'!A955 = "Standard", " - DAR","")</f>
        <v/>
      </c>
      <c r="C956" s="34" t="s">
        <v>92</v>
      </c>
      <c r="D956" s="34" t="str">
        <f>CONCATENATE('Ingest Template'!E956&amp;Char(10)&amp;'Ingest Template'!G956&amp;Char(10)&amp;'Ingest Template'!H956&amp;Char(10)&amp;'Ingest Template'!I956&amp;Char(10)&amp;'Ingest Template'!J956&amp;Char(10)&amp;'Ingest Template'!K956&amp;Char(10)&amp;'Ingest Template'!L956)</f>
        <v>
</v>
      </c>
      <c r="E956" s="25" t="str">
        <f>('Ingest Template'!M956)</f>
        <v/>
      </c>
      <c r="F956" s="40" t="str">
        <f t="array" ref="F956">INDEX(DropDown!$J$2:$J$63,MATCH(1,COUNTIF(E956,DropDown!$I$2:$I$63),0))</f>
        <v>#N/A</v>
      </c>
      <c r="G956" s="25"/>
      <c r="H956" s="25"/>
      <c r="I956" s="25"/>
      <c r="J956" s="25" t="str">
        <f>'Ingest Template'!B956</f>
        <v/>
      </c>
      <c r="K956" s="25" t="str">
        <f>IF('Ingest Template'!A955="Standard",'Ingest Template'!N955,"Competitive View")</f>
        <v>Competitive View</v>
      </c>
      <c r="L956" s="41" t="s">
        <v>145</v>
      </c>
      <c r="M956" s="25" t="str">
        <f>'Ingest Template'!D955</f>
        <v/>
      </c>
      <c r="N956" s="25"/>
      <c r="O956" s="25"/>
      <c r="P956" s="25"/>
      <c r="Q956" s="25"/>
      <c r="R956" s="25" t="str">
        <f>CONCATENATE('Ingest Template'!F955)</f>
        <v/>
      </c>
      <c r="S956" s="43" t="s">
        <v>160</v>
      </c>
      <c r="T956" s="25" t="str">
        <f>'Ingest Template'!W955</f>
        <v/>
      </c>
      <c r="U956" s="25"/>
      <c r="V956" s="25" t="str">
        <f>LOWER(SUBSTITUTE(SUBSTITUTE(SUBSTITUTE(SUBSTITUTE(SUBSTITUTE('Ingest Template'!Y955,"https:",""),"www.",""),"/",""),"?hl=en",""),"instagram.com",""))</f>
        <v/>
      </c>
      <c r="W956" s="34" t="str">
        <f>(IFERROR(vlookup('Ingest Template'!F956,DropDown!D:E,2,false)&amp;'Ingest Template'!C956,""))</f>
        <v/>
      </c>
      <c r="X956" s="25" t="str">
        <f>'Ingest Template'!AA955</f>
        <v/>
      </c>
      <c r="Y956" s="25"/>
      <c r="Z956" s="25"/>
      <c r="AA956" s="25"/>
      <c r="AB956" s="25" t="str">
        <f>'Ingest Template'!T955</f>
        <v/>
      </c>
      <c r="AC956" s="25"/>
      <c r="AD956" s="25" t="str">
        <f>'Ingest Template'!U955</f>
        <v/>
      </c>
      <c r="AE956" s="25" t="str">
        <f>'Ingest Template'!V955</f>
        <v/>
      </c>
      <c r="AF956" s="25"/>
      <c r="AG956" s="25" t="str">
        <f t="array" ref="AG956">IF('Ingest Template'!A955="Standard",(CONCATENATE(IF(ISBLANK('Ingest Template'!O955),"", 'Ingest Template'!O955&amp;"|DAR"),CHAR(10), IF(ISBLANK('Ingest Template'!P955),"", 'Ingest Template'!P955&amp;"|DAR"),CHAR(10), IF(ISBLANK('Ingest Template'!Q955),"", 'Ingest Template'!Q955&amp;"|DAR"))),(CONCATENATE(IF(ISBLANK('Ingest Template'!O955),"", 'Ingest Template'!O955&amp;"|Operations - Core Title"),CHAR(10), IF(ISBLANK('Ingest Template'!P955),"", 'Ingest Template'!P955&amp;"|Operations - Core Title"),CHAR(10), IF(ISBLANK('Ingest Template'!Q955),"", 'Ingest Template'!Q955&amp;"|Operations - Core Title"))))</f>
        <v>#|Operations - Core Title
#videoGame|Operations - Core Title
</v>
      </c>
      <c r="AH956" s="25"/>
      <c r="AI956" s="25"/>
      <c r="AJ956" s="50" t="str">
        <f>if('Ingest Template'!A955="Standard",'Ingest Template'!R955&amp; "|DAR|DAR|2021-01-01",'Ingest Template'!R955&amp; "|Operations - Core Title|Operations - Core Title")</f>
        <v>#N/A</v>
      </c>
      <c r="AK956" s="25"/>
      <c r="AL956" s="25" t="str">
        <f>if('Ingest Template'!A955="Standard",'Ingest Template'!S955&amp; "|2021-01-01",'Ingest Template'!S955)</f>
        <v>#N/A</v>
      </c>
      <c r="AM956" s="25"/>
    </row>
    <row r="957">
      <c r="A957" s="25"/>
      <c r="B957" s="25" t="str">
        <f>'Ingest Template'!C956&amp;IF('Ingest Template'!A956 = "Standard", " - DAR","")</f>
        <v/>
      </c>
      <c r="C957" s="34" t="s">
        <v>92</v>
      </c>
      <c r="D957" s="34" t="str">
        <f>CONCATENATE('Ingest Template'!E957&amp;Char(10)&amp;'Ingest Template'!G957&amp;Char(10)&amp;'Ingest Template'!H957&amp;Char(10)&amp;'Ingest Template'!I957&amp;Char(10)&amp;'Ingest Template'!J957&amp;Char(10)&amp;'Ingest Template'!K957&amp;Char(10)&amp;'Ingest Template'!L957)</f>
        <v>
</v>
      </c>
      <c r="E957" s="25" t="str">
        <f>('Ingest Template'!M957)</f>
        <v/>
      </c>
      <c r="F957" s="40" t="str">
        <f t="array" ref="F957">INDEX(DropDown!$J$2:$J$63,MATCH(1,COUNTIF(E957,DropDown!$I$2:$I$63),0))</f>
        <v>#N/A</v>
      </c>
      <c r="G957" s="25"/>
      <c r="H957" s="25"/>
      <c r="I957" s="25"/>
      <c r="J957" s="25" t="str">
        <f>'Ingest Template'!B957</f>
        <v/>
      </c>
      <c r="K957" s="25" t="str">
        <f>IF('Ingest Template'!A956="Standard",'Ingest Template'!N956,"Competitive View")</f>
        <v>Competitive View</v>
      </c>
      <c r="L957" s="41" t="s">
        <v>145</v>
      </c>
      <c r="M957" s="25" t="str">
        <f>'Ingest Template'!D956</f>
        <v/>
      </c>
      <c r="N957" s="25"/>
      <c r="O957" s="25"/>
      <c r="P957" s="25"/>
      <c r="Q957" s="25"/>
      <c r="R957" s="25" t="str">
        <f>CONCATENATE('Ingest Template'!F956)</f>
        <v/>
      </c>
      <c r="S957" s="43" t="s">
        <v>160</v>
      </c>
      <c r="T957" s="25" t="str">
        <f>'Ingest Template'!W956</f>
        <v/>
      </c>
      <c r="U957" s="25"/>
      <c r="V957" s="25" t="str">
        <f>LOWER(SUBSTITUTE(SUBSTITUTE(SUBSTITUTE(SUBSTITUTE(SUBSTITUTE('Ingest Template'!Y956,"https:",""),"www.",""),"/",""),"?hl=en",""),"instagram.com",""))</f>
        <v/>
      </c>
      <c r="W957" s="34" t="str">
        <f>(IFERROR(vlookup('Ingest Template'!F957,DropDown!D:E,2,false)&amp;'Ingest Template'!C957,""))</f>
        <v/>
      </c>
      <c r="X957" s="25" t="str">
        <f>'Ingest Template'!AA956</f>
        <v/>
      </c>
      <c r="Y957" s="25"/>
      <c r="Z957" s="25"/>
      <c r="AA957" s="25"/>
      <c r="AB957" s="25" t="str">
        <f>'Ingest Template'!T956</f>
        <v/>
      </c>
      <c r="AC957" s="25"/>
      <c r="AD957" s="25" t="str">
        <f>'Ingest Template'!U956</f>
        <v/>
      </c>
      <c r="AE957" s="25" t="str">
        <f>'Ingest Template'!V956</f>
        <v/>
      </c>
      <c r="AF957" s="25"/>
      <c r="AG957" s="25" t="str">
        <f t="array" ref="AG957">IF('Ingest Template'!A956="Standard",(CONCATENATE(IF(ISBLANK('Ingest Template'!O956),"", 'Ingest Template'!O956&amp;"|DAR"),CHAR(10), IF(ISBLANK('Ingest Template'!P956),"", 'Ingest Template'!P956&amp;"|DAR"),CHAR(10), IF(ISBLANK('Ingest Template'!Q956),"", 'Ingest Template'!Q956&amp;"|DAR"))),(CONCATENATE(IF(ISBLANK('Ingest Template'!O956),"", 'Ingest Template'!O956&amp;"|Operations - Core Title"),CHAR(10), IF(ISBLANK('Ingest Template'!P956),"", 'Ingest Template'!P956&amp;"|Operations - Core Title"),CHAR(10), IF(ISBLANK('Ingest Template'!Q956),"", 'Ingest Template'!Q956&amp;"|Operations - Core Title"))))</f>
        <v>#|Operations - Core Title
#videoGame|Operations - Core Title
</v>
      </c>
      <c r="AH957" s="25"/>
      <c r="AI957" s="25"/>
      <c r="AJ957" s="50" t="str">
        <f>if('Ingest Template'!A956="Standard",'Ingest Template'!R956&amp; "|DAR|DAR|2021-01-01",'Ingest Template'!R956&amp; "|Operations - Core Title|Operations - Core Title")</f>
        <v>#N/A</v>
      </c>
      <c r="AK957" s="25"/>
      <c r="AL957" s="25" t="str">
        <f>if('Ingest Template'!A956="Standard",'Ingest Template'!S956&amp; "|2021-01-01",'Ingest Template'!S956)</f>
        <v>#N/A</v>
      </c>
      <c r="AM957" s="25"/>
    </row>
    <row r="958">
      <c r="A958" s="25"/>
      <c r="B958" s="25" t="str">
        <f>'Ingest Template'!C957&amp;IF('Ingest Template'!A957 = "Standard", " - DAR","")</f>
        <v/>
      </c>
      <c r="C958" s="34" t="s">
        <v>92</v>
      </c>
      <c r="D958" s="34" t="str">
        <f>CONCATENATE('Ingest Template'!E958&amp;Char(10)&amp;'Ingest Template'!G958&amp;Char(10)&amp;'Ingest Template'!H958&amp;Char(10)&amp;'Ingest Template'!I958&amp;Char(10)&amp;'Ingest Template'!J958&amp;Char(10)&amp;'Ingest Template'!K958&amp;Char(10)&amp;'Ingest Template'!L958)</f>
        <v>
</v>
      </c>
      <c r="E958" s="25" t="str">
        <f>('Ingest Template'!M958)</f>
        <v/>
      </c>
      <c r="F958" s="40" t="str">
        <f t="array" ref="F958">INDEX(DropDown!$J$2:$J$63,MATCH(1,COUNTIF(E958,DropDown!$I$2:$I$63),0))</f>
        <v>#N/A</v>
      </c>
      <c r="G958" s="25"/>
      <c r="H958" s="25"/>
      <c r="I958" s="25"/>
      <c r="J958" s="25" t="str">
        <f>'Ingest Template'!B958</f>
        <v/>
      </c>
      <c r="K958" s="25" t="str">
        <f>IF('Ingest Template'!A957="Standard",'Ingest Template'!N957,"Competitive View")</f>
        <v>Competitive View</v>
      </c>
      <c r="L958" s="41" t="s">
        <v>145</v>
      </c>
      <c r="M958" s="25" t="str">
        <f>'Ingest Template'!D957</f>
        <v/>
      </c>
      <c r="N958" s="25"/>
      <c r="O958" s="25"/>
      <c r="P958" s="25"/>
      <c r="Q958" s="25"/>
      <c r="R958" s="25" t="str">
        <f>CONCATENATE('Ingest Template'!F957)</f>
        <v/>
      </c>
      <c r="S958" s="43" t="s">
        <v>160</v>
      </c>
      <c r="T958" s="25" t="str">
        <f>'Ingest Template'!W957</f>
        <v/>
      </c>
      <c r="U958" s="25"/>
      <c r="V958" s="25" t="str">
        <f>LOWER(SUBSTITUTE(SUBSTITUTE(SUBSTITUTE(SUBSTITUTE(SUBSTITUTE('Ingest Template'!Y957,"https:",""),"www.",""),"/",""),"?hl=en",""),"instagram.com",""))</f>
        <v/>
      </c>
      <c r="W958" s="34" t="str">
        <f>(IFERROR(vlookup('Ingest Template'!F958,DropDown!D:E,2,false)&amp;'Ingest Template'!C958,""))</f>
        <v/>
      </c>
      <c r="X958" s="25" t="str">
        <f>'Ingest Template'!AA957</f>
        <v/>
      </c>
      <c r="Y958" s="25"/>
      <c r="Z958" s="25"/>
      <c r="AA958" s="25"/>
      <c r="AB958" s="25" t="str">
        <f>'Ingest Template'!T957</f>
        <v/>
      </c>
      <c r="AC958" s="25"/>
      <c r="AD958" s="25" t="str">
        <f>'Ingest Template'!U957</f>
        <v/>
      </c>
      <c r="AE958" s="25" t="str">
        <f>'Ingest Template'!V957</f>
        <v/>
      </c>
      <c r="AF958" s="25"/>
      <c r="AG958" s="25" t="str">
        <f t="array" ref="AG958">IF('Ingest Template'!A957="Standard",(CONCATENATE(IF(ISBLANK('Ingest Template'!O957),"", 'Ingest Template'!O957&amp;"|DAR"),CHAR(10), IF(ISBLANK('Ingest Template'!P957),"", 'Ingest Template'!P957&amp;"|DAR"),CHAR(10), IF(ISBLANK('Ingest Template'!Q957),"", 'Ingest Template'!Q957&amp;"|DAR"))),(CONCATENATE(IF(ISBLANK('Ingest Template'!O957),"", 'Ingest Template'!O957&amp;"|Operations - Core Title"),CHAR(10), IF(ISBLANK('Ingest Template'!P957),"", 'Ingest Template'!P957&amp;"|Operations - Core Title"),CHAR(10), IF(ISBLANK('Ingest Template'!Q957),"", 'Ingest Template'!Q957&amp;"|Operations - Core Title"))))</f>
        <v>#|Operations - Core Title
#videoGame|Operations - Core Title
</v>
      </c>
      <c r="AH958" s="25"/>
      <c r="AI958" s="25"/>
      <c r="AJ958" s="50" t="str">
        <f>if('Ingest Template'!A957="Standard",'Ingest Template'!R957&amp; "|DAR|DAR|2021-01-01",'Ingest Template'!R957&amp; "|Operations - Core Title|Operations - Core Title")</f>
        <v>#N/A</v>
      </c>
      <c r="AK958" s="25"/>
      <c r="AL958" s="25" t="str">
        <f>if('Ingest Template'!A957="Standard",'Ingest Template'!S957&amp; "|2021-01-01",'Ingest Template'!S957)</f>
        <v>#N/A</v>
      </c>
      <c r="AM958" s="25"/>
    </row>
    <row r="959">
      <c r="A959" s="25"/>
      <c r="B959" s="25" t="str">
        <f>'Ingest Template'!C958&amp;IF('Ingest Template'!A958 = "Standard", " - DAR","")</f>
        <v/>
      </c>
      <c r="C959" s="34" t="s">
        <v>92</v>
      </c>
      <c r="D959" s="34" t="str">
        <f>CONCATENATE('Ingest Template'!E959&amp;Char(10)&amp;'Ingest Template'!G959&amp;Char(10)&amp;'Ingest Template'!H959&amp;Char(10)&amp;'Ingest Template'!I959&amp;Char(10)&amp;'Ingest Template'!J959&amp;Char(10)&amp;'Ingest Template'!K959&amp;Char(10)&amp;'Ingest Template'!L959)</f>
        <v>
</v>
      </c>
      <c r="E959" s="25" t="str">
        <f>('Ingest Template'!M959)</f>
        <v/>
      </c>
      <c r="F959" s="40" t="str">
        <f t="array" ref="F959">INDEX(DropDown!$J$2:$J$63,MATCH(1,COUNTIF(E959,DropDown!$I$2:$I$63),0))</f>
        <v>#N/A</v>
      </c>
      <c r="G959" s="25"/>
      <c r="H959" s="25"/>
      <c r="I959" s="25"/>
      <c r="J959" s="25" t="str">
        <f>'Ingest Template'!B959</f>
        <v/>
      </c>
      <c r="K959" s="25" t="str">
        <f>IF('Ingest Template'!A958="Standard",'Ingest Template'!N958,"Competitive View")</f>
        <v>Competitive View</v>
      </c>
      <c r="L959" s="41" t="s">
        <v>145</v>
      </c>
      <c r="M959" s="25" t="str">
        <f>'Ingest Template'!D958</f>
        <v/>
      </c>
      <c r="N959" s="25"/>
      <c r="O959" s="25"/>
      <c r="P959" s="25"/>
      <c r="Q959" s="25"/>
      <c r="R959" s="25" t="str">
        <f>CONCATENATE('Ingest Template'!F958)</f>
        <v/>
      </c>
      <c r="S959" s="43" t="s">
        <v>160</v>
      </c>
      <c r="T959" s="25" t="str">
        <f>'Ingest Template'!W958</f>
        <v/>
      </c>
      <c r="U959" s="25"/>
      <c r="V959" s="25" t="str">
        <f>LOWER(SUBSTITUTE(SUBSTITUTE(SUBSTITUTE(SUBSTITUTE(SUBSTITUTE('Ingest Template'!Y958,"https:",""),"www.",""),"/",""),"?hl=en",""),"instagram.com",""))</f>
        <v/>
      </c>
      <c r="W959" s="34" t="str">
        <f>(IFERROR(vlookup('Ingest Template'!F959,DropDown!D:E,2,false)&amp;'Ingest Template'!C959,""))</f>
        <v/>
      </c>
      <c r="X959" s="25" t="str">
        <f>'Ingest Template'!AA958</f>
        <v/>
      </c>
      <c r="Y959" s="25"/>
      <c r="Z959" s="25"/>
      <c r="AA959" s="25"/>
      <c r="AB959" s="25" t="str">
        <f>'Ingest Template'!T958</f>
        <v/>
      </c>
      <c r="AC959" s="25"/>
      <c r="AD959" s="25" t="str">
        <f>'Ingest Template'!U958</f>
        <v/>
      </c>
      <c r="AE959" s="25" t="str">
        <f>'Ingest Template'!V958</f>
        <v/>
      </c>
      <c r="AF959" s="25"/>
      <c r="AG959" s="25" t="str">
        <f t="array" ref="AG959">IF('Ingest Template'!A958="Standard",(CONCATENATE(IF(ISBLANK('Ingest Template'!O958),"", 'Ingest Template'!O958&amp;"|DAR"),CHAR(10), IF(ISBLANK('Ingest Template'!P958),"", 'Ingest Template'!P958&amp;"|DAR"),CHAR(10), IF(ISBLANK('Ingest Template'!Q958),"", 'Ingest Template'!Q958&amp;"|DAR"))),(CONCATENATE(IF(ISBLANK('Ingest Template'!O958),"", 'Ingest Template'!O958&amp;"|Operations - Core Title"),CHAR(10), IF(ISBLANK('Ingest Template'!P958),"", 'Ingest Template'!P958&amp;"|Operations - Core Title"),CHAR(10), IF(ISBLANK('Ingest Template'!Q958),"", 'Ingest Template'!Q958&amp;"|Operations - Core Title"))))</f>
        <v>#|Operations - Core Title
#videoGame|Operations - Core Title
</v>
      </c>
      <c r="AH959" s="25"/>
      <c r="AI959" s="25"/>
      <c r="AJ959" s="50" t="str">
        <f>if('Ingest Template'!A958="Standard",'Ingest Template'!R958&amp; "|DAR|DAR|2021-01-01",'Ingest Template'!R958&amp; "|Operations - Core Title|Operations - Core Title")</f>
        <v>#N/A</v>
      </c>
      <c r="AK959" s="25"/>
      <c r="AL959" s="25" t="str">
        <f>if('Ingest Template'!A958="Standard",'Ingest Template'!S958&amp; "|2021-01-01",'Ingest Template'!S958)</f>
        <v>#N/A</v>
      </c>
      <c r="AM959" s="25"/>
    </row>
    <row r="960">
      <c r="A960" s="25"/>
      <c r="B960" s="25" t="str">
        <f>'Ingest Template'!C959&amp;IF('Ingest Template'!A959 = "Standard", " - DAR","")</f>
        <v/>
      </c>
      <c r="C960" s="34" t="s">
        <v>92</v>
      </c>
      <c r="D960" s="34" t="str">
        <f>CONCATENATE('Ingest Template'!E960&amp;Char(10)&amp;'Ingest Template'!G960&amp;Char(10)&amp;'Ingest Template'!H960&amp;Char(10)&amp;'Ingest Template'!I960&amp;Char(10)&amp;'Ingest Template'!J960&amp;Char(10)&amp;'Ingest Template'!K960&amp;Char(10)&amp;'Ingest Template'!L960)</f>
        <v>
</v>
      </c>
      <c r="E960" s="25" t="str">
        <f>('Ingest Template'!M960)</f>
        <v/>
      </c>
      <c r="F960" s="40" t="str">
        <f t="array" ref="F960">INDEX(DropDown!$J$2:$J$63,MATCH(1,COUNTIF(E960,DropDown!$I$2:$I$63),0))</f>
        <v>#N/A</v>
      </c>
      <c r="G960" s="25"/>
      <c r="H960" s="25"/>
      <c r="I960" s="25"/>
      <c r="J960" s="25" t="str">
        <f>'Ingest Template'!B960</f>
        <v/>
      </c>
      <c r="K960" s="25" t="str">
        <f>IF('Ingest Template'!A959="Standard",'Ingest Template'!N959,"Competitive View")</f>
        <v>Competitive View</v>
      </c>
      <c r="L960" s="41" t="s">
        <v>145</v>
      </c>
      <c r="M960" s="25" t="str">
        <f>'Ingest Template'!D959</f>
        <v/>
      </c>
      <c r="N960" s="25"/>
      <c r="O960" s="25"/>
      <c r="P960" s="25"/>
      <c r="Q960" s="25"/>
      <c r="R960" s="25" t="str">
        <f>CONCATENATE('Ingest Template'!F959)</f>
        <v/>
      </c>
      <c r="S960" s="43" t="s">
        <v>160</v>
      </c>
      <c r="T960" s="25" t="str">
        <f>'Ingest Template'!W959</f>
        <v/>
      </c>
      <c r="U960" s="25"/>
      <c r="V960" s="25" t="str">
        <f>LOWER(SUBSTITUTE(SUBSTITUTE(SUBSTITUTE(SUBSTITUTE(SUBSTITUTE('Ingest Template'!Y959,"https:",""),"www.",""),"/",""),"?hl=en",""),"instagram.com",""))</f>
        <v/>
      </c>
      <c r="W960" s="34" t="str">
        <f>(IFERROR(vlookup('Ingest Template'!F960,DropDown!D:E,2,false)&amp;'Ingest Template'!C960,""))</f>
        <v/>
      </c>
      <c r="X960" s="25" t="str">
        <f>'Ingest Template'!AA959</f>
        <v/>
      </c>
      <c r="Y960" s="25"/>
      <c r="Z960" s="25"/>
      <c r="AA960" s="25"/>
      <c r="AB960" s="25" t="str">
        <f>'Ingest Template'!T959</f>
        <v/>
      </c>
      <c r="AC960" s="25"/>
      <c r="AD960" s="25" t="str">
        <f>'Ingest Template'!U959</f>
        <v/>
      </c>
      <c r="AE960" s="25" t="str">
        <f>'Ingest Template'!V959</f>
        <v/>
      </c>
      <c r="AF960" s="25"/>
      <c r="AG960" s="25" t="str">
        <f t="array" ref="AG960">IF('Ingest Template'!A959="Standard",(CONCATENATE(IF(ISBLANK('Ingest Template'!O959),"", 'Ingest Template'!O959&amp;"|DAR"),CHAR(10), IF(ISBLANK('Ingest Template'!P959),"", 'Ingest Template'!P959&amp;"|DAR"),CHAR(10), IF(ISBLANK('Ingest Template'!Q959),"", 'Ingest Template'!Q959&amp;"|DAR"))),(CONCATENATE(IF(ISBLANK('Ingest Template'!O959),"", 'Ingest Template'!O959&amp;"|Operations - Core Title"),CHAR(10), IF(ISBLANK('Ingest Template'!P959),"", 'Ingest Template'!P959&amp;"|Operations - Core Title"),CHAR(10), IF(ISBLANK('Ingest Template'!Q959),"", 'Ingest Template'!Q959&amp;"|Operations - Core Title"))))</f>
        <v>#|Operations - Core Title
#videoGame|Operations - Core Title
</v>
      </c>
      <c r="AH960" s="25"/>
      <c r="AI960" s="25"/>
      <c r="AJ960" s="50" t="str">
        <f>if('Ingest Template'!A959="Standard",'Ingest Template'!R959&amp; "|DAR|DAR|2021-01-01",'Ingest Template'!R959&amp; "|Operations - Core Title|Operations - Core Title")</f>
        <v>#N/A</v>
      </c>
      <c r="AK960" s="25"/>
      <c r="AL960" s="25" t="str">
        <f>if('Ingest Template'!A959="Standard",'Ingest Template'!S959&amp; "|2021-01-01",'Ingest Template'!S959)</f>
        <v>#N/A</v>
      </c>
      <c r="AM960" s="25"/>
    </row>
    <row r="961">
      <c r="A961" s="25"/>
      <c r="B961" s="25" t="str">
        <f>'Ingest Template'!C960&amp;IF('Ingest Template'!A960 = "Standard", " - DAR","")</f>
        <v/>
      </c>
      <c r="C961" s="34" t="s">
        <v>92</v>
      </c>
      <c r="D961" s="34" t="str">
        <f>CONCATENATE('Ingest Template'!E961&amp;Char(10)&amp;'Ingest Template'!G961&amp;Char(10)&amp;'Ingest Template'!H961&amp;Char(10)&amp;'Ingest Template'!I961&amp;Char(10)&amp;'Ingest Template'!J961&amp;Char(10)&amp;'Ingest Template'!K961&amp;Char(10)&amp;'Ingest Template'!L961)</f>
        <v>
</v>
      </c>
      <c r="E961" s="25" t="str">
        <f>('Ingest Template'!M961)</f>
        <v/>
      </c>
      <c r="F961" s="40" t="str">
        <f t="array" ref="F961">INDEX(DropDown!$J$2:$J$63,MATCH(1,COUNTIF(E961,DropDown!$I$2:$I$63),0))</f>
        <v>#N/A</v>
      </c>
      <c r="G961" s="25"/>
      <c r="H961" s="25"/>
      <c r="I961" s="25"/>
      <c r="J961" s="25" t="str">
        <f>'Ingest Template'!B961</f>
        <v/>
      </c>
      <c r="K961" s="25" t="str">
        <f>IF('Ingest Template'!A960="Standard",'Ingest Template'!N960,"Competitive View")</f>
        <v>Competitive View</v>
      </c>
      <c r="L961" s="41" t="s">
        <v>145</v>
      </c>
      <c r="M961" s="25" t="str">
        <f>'Ingest Template'!D960</f>
        <v/>
      </c>
      <c r="N961" s="25"/>
      <c r="O961" s="25"/>
      <c r="P961" s="25"/>
      <c r="Q961" s="25"/>
      <c r="R961" s="25" t="str">
        <f>CONCATENATE('Ingest Template'!F960)</f>
        <v/>
      </c>
      <c r="S961" s="43" t="s">
        <v>160</v>
      </c>
      <c r="T961" s="25" t="str">
        <f>'Ingest Template'!W960</f>
        <v/>
      </c>
      <c r="U961" s="25"/>
      <c r="V961" s="25" t="str">
        <f>LOWER(SUBSTITUTE(SUBSTITUTE(SUBSTITUTE(SUBSTITUTE(SUBSTITUTE('Ingest Template'!Y960,"https:",""),"www.",""),"/",""),"?hl=en",""),"instagram.com",""))</f>
        <v/>
      </c>
      <c r="W961" s="34" t="str">
        <f>(IFERROR(vlookup('Ingest Template'!F961,DropDown!D:E,2,false)&amp;'Ingest Template'!C961,""))</f>
        <v/>
      </c>
      <c r="X961" s="25" t="str">
        <f>'Ingest Template'!AA960</f>
        <v/>
      </c>
      <c r="Y961" s="25"/>
      <c r="Z961" s="25"/>
      <c r="AA961" s="25"/>
      <c r="AB961" s="25" t="str">
        <f>'Ingest Template'!T960</f>
        <v/>
      </c>
      <c r="AC961" s="25"/>
      <c r="AD961" s="25" t="str">
        <f>'Ingest Template'!U960</f>
        <v/>
      </c>
      <c r="AE961" s="25" t="str">
        <f>'Ingest Template'!V960</f>
        <v/>
      </c>
      <c r="AF961" s="25"/>
      <c r="AG961" s="25" t="str">
        <f t="array" ref="AG961">IF('Ingest Template'!A960="Standard",(CONCATENATE(IF(ISBLANK('Ingest Template'!O960),"", 'Ingest Template'!O960&amp;"|DAR"),CHAR(10), IF(ISBLANK('Ingest Template'!P960),"", 'Ingest Template'!P960&amp;"|DAR"),CHAR(10), IF(ISBLANK('Ingest Template'!Q960),"", 'Ingest Template'!Q960&amp;"|DAR"))),(CONCATENATE(IF(ISBLANK('Ingest Template'!O960),"", 'Ingest Template'!O960&amp;"|Operations - Core Title"),CHAR(10), IF(ISBLANK('Ingest Template'!P960),"", 'Ingest Template'!P960&amp;"|Operations - Core Title"),CHAR(10), IF(ISBLANK('Ingest Template'!Q960),"", 'Ingest Template'!Q960&amp;"|Operations - Core Title"))))</f>
        <v>#|Operations - Core Title
#videoGame|Operations - Core Title
</v>
      </c>
      <c r="AH961" s="25"/>
      <c r="AI961" s="25"/>
      <c r="AJ961" s="50" t="str">
        <f>if('Ingest Template'!A960="Standard",'Ingest Template'!R960&amp; "|DAR|DAR|2021-01-01",'Ingest Template'!R960&amp; "|Operations - Core Title|Operations - Core Title")</f>
        <v>#N/A</v>
      </c>
      <c r="AK961" s="25"/>
      <c r="AL961" s="25" t="str">
        <f>if('Ingest Template'!A960="Standard",'Ingest Template'!S960&amp; "|2021-01-01",'Ingest Template'!S960)</f>
        <v>#N/A</v>
      </c>
      <c r="AM961" s="25"/>
    </row>
    <row r="962">
      <c r="A962" s="25"/>
      <c r="B962" s="25" t="str">
        <f>'Ingest Template'!C961&amp;IF('Ingest Template'!A961 = "Standard", " - DAR","")</f>
        <v/>
      </c>
      <c r="C962" s="34" t="s">
        <v>92</v>
      </c>
      <c r="D962" s="34" t="str">
        <f>CONCATENATE('Ingest Template'!E962&amp;Char(10)&amp;'Ingest Template'!G962&amp;Char(10)&amp;'Ingest Template'!H962&amp;Char(10)&amp;'Ingest Template'!I962&amp;Char(10)&amp;'Ingest Template'!J962&amp;Char(10)&amp;'Ingest Template'!K962&amp;Char(10)&amp;'Ingest Template'!L962)</f>
        <v>
</v>
      </c>
      <c r="E962" s="25" t="str">
        <f>('Ingest Template'!M962)</f>
        <v/>
      </c>
      <c r="F962" s="40" t="str">
        <f t="array" ref="F962">INDEX(DropDown!$J$2:$J$63,MATCH(1,COUNTIF(E962,DropDown!$I$2:$I$63),0))</f>
        <v>#N/A</v>
      </c>
      <c r="G962" s="25"/>
      <c r="H962" s="25"/>
      <c r="I962" s="25"/>
      <c r="J962" s="25" t="str">
        <f>'Ingest Template'!B962</f>
        <v/>
      </c>
      <c r="K962" s="25" t="str">
        <f>IF('Ingest Template'!A961="Standard",'Ingest Template'!N961,"Competitive View")</f>
        <v>Competitive View</v>
      </c>
      <c r="L962" s="41" t="s">
        <v>145</v>
      </c>
      <c r="M962" s="25" t="str">
        <f>'Ingest Template'!D961</f>
        <v/>
      </c>
      <c r="N962" s="25"/>
      <c r="O962" s="25"/>
      <c r="P962" s="25"/>
      <c r="Q962" s="25"/>
      <c r="R962" s="25" t="str">
        <f>CONCATENATE('Ingest Template'!F961)</f>
        <v/>
      </c>
      <c r="S962" s="43" t="s">
        <v>160</v>
      </c>
      <c r="T962" s="25" t="str">
        <f>'Ingest Template'!W961</f>
        <v/>
      </c>
      <c r="U962" s="25"/>
      <c r="V962" s="25" t="str">
        <f>LOWER(SUBSTITUTE(SUBSTITUTE(SUBSTITUTE(SUBSTITUTE(SUBSTITUTE('Ingest Template'!Y961,"https:",""),"www.",""),"/",""),"?hl=en",""),"instagram.com",""))</f>
        <v/>
      </c>
      <c r="W962" s="34" t="str">
        <f>(IFERROR(vlookup('Ingest Template'!F962,DropDown!D:E,2,false)&amp;'Ingest Template'!C962,""))</f>
        <v/>
      </c>
      <c r="X962" s="25" t="str">
        <f>'Ingest Template'!AA961</f>
        <v/>
      </c>
      <c r="Y962" s="25"/>
      <c r="Z962" s="25"/>
      <c r="AA962" s="25"/>
      <c r="AB962" s="25" t="str">
        <f>'Ingest Template'!T961</f>
        <v/>
      </c>
      <c r="AC962" s="25"/>
      <c r="AD962" s="25" t="str">
        <f>'Ingest Template'!U961</f>
        <v/>
      </c>
      <c r="AE962" s="25" t="str">
        <f>'Ingest Template'!V961</f>
        <v/>
      </c>
      <c r="AF962" s="25"/>
      <c r="AG962" s="25" t="str">
        <f t="array" ref="AG962">IF('Ingest Template'!A961="Standard",(CONCATENATE(IF(ISBLANK('Ingest Template'!O961),"", 'Ingest Template'!O961&amp;"|DAR"),CHAR(10), IF(ISBLANK('Ingest Template'!P961),"", 'Ingest Template'!P961&amp;"|DAR"),CHAR(10), IF(ISBLANK('Ingest Template'!Q961),"", 'Ingest Template'!Q961&amp;"|DAR"))),(CONCATENATE(IF(ISBLANK('Ingest Template'!O961),"", 'Ingest Template'!O961&amp;"|Operations - Core Title"),CHAR(10), IF(ISBLANK('Ingest Template'!P961),"", 'Ingest Template'!P961&amp;"|Operations - Core Title"),CHAR(10), IF(ISBLANK('Ingest Template'!Q961),"", 'Ingest Template'!Q961&amp;"|Operations - Core Title"))))</f>
        <v>#|Operations - Core Title
#videoGame|Operations - Core Title
</v>
      </c>
      <c r="AH962" s="25"/>
      <c r="AI962" s="25"/>
      <c r="AJ962" s="50" t="str">
        <f>if('Ingest Template'!A961="Standard",'Ingest Template'!R961&amp; "|DAR|DAR|2021-01-01",'Ingest Template'!R961&amp; "|Operations - Core Title|Operations - Core Title")</f>
        <v>#N/A</v>
      </c>
      <c r="AK962" s="25"/>
      <c r="AL962" s="25" t="str">
        <f>if('Ingest Template'!A961="Standard",'Ingest Template'!S961&amp; "|2021-01-01",'Ingest Template'!S961)</f>
        <v>#N/A</v>
      </c>
      <c r="AM962" s="25"/>
    </row>
    <row r="963">
      <c r="A963" s="25"/>
      <c r="B963" s="25" t="str">
        <f>'Ingest Template'!C962&amp;IF('Ingest Template'!A962 = "Standard", " - DAR","")</f>
        <v/>
      </c>
      <c r="C963" s="34" t="s">
        <v>92</v>
      </c>
      <c r="D963" s="34" t="str">
        <f>CONCATENATE('Ingest Template'!E963&amp;Char(10)&amp;'Ingest Template'!G963&amp;Char(10)&amp;'Ingest Template'!H963&amp;Char(10)&amp;'Ingest Template'!I963&amp;Char(10)&amp;'Ingest Template'!J963&amp;Char(10)&amp;'Ingest Template'!K963&amp;Char(10)&amp;'Ingest Template'!L963)</f>
        <v>
</v>
      </c>
      <c r="E963" s="25" t="str">
        <f>('Ingest Template'!M963)</f>
        <v/>
      </c>
      <c r="F963" s="40" t="str">
        <f t="array" ref="F963">INDEX(DropDown!$J$2:$J$63,MATCH(1,COUNTIF(E963,DropDown!$I$2:$I$63),0))</f>
        <v>#N/A</v>
      </c>
      <c r="G963" s="25"/>
      <c r="H963" s="25"/>
      <c r="I963" s="25"/>
      <c r="J963" s="25" t="str">
        <f>'Ingest Template'!B963</f>
        <v/>
      </c>
      <c r="K963" s="25" t="str">
        <f>IF('Ingest Template'!A962="Standard",'Ingest Template'!N962,"Competitive View")</f>
        <v>Competitive View</v>
      </c>
      <c r="L963" s="41" t="s">
        <v>145</v>
      </c>
      <c r="M963" s="25" t="str">
        <f>'Ingest Template'!D962</f>
        <v/>
      </c>
      <c r="N963" s="25"/>
      <c r="O963" s="25"/>
      <c r="P963" s="25"/>
      <c r="Q963" s="25"/>
      <c r="R963" s="25" t="str">
        <f>CONCATENATE('Ingest Template'!F962)</f>
        <v/>
      </c>
      <c r="S963" s="43" t="s">
        <v>160</v>
      </c>
      <c r="T963" s="25" t="str">
        <f>'Ingest Template'!W962</f>
        <v/>
      </c>
      <c r="U963" s="25"/>
      <c r="V963" s="25" t="str">
        <f>LOWER(SUBSTITUTE(SUBSTITUTE(SUBSTITUTE(SUBSTITUTE(SUBSTITUTE('Ingest Template'!Y962,"https:",""),"www.",""),"/",""),"?hl=en",""),"instagram.com",""))</f>
        <v/>
      </c>
      <c r="W963" s="34" t="str">
        <f>(IFERROR(vlookup('Ingest Template'!F963,DropDown!D:E,2,false)&amp;'Ingest Template'!C963,""))</f>
        <v/>
      </c>
      <c r="X963" s="25" t="str">
        <f>'Ingest Template'!AA962</f>
        <v/>
      </c>
      <c r="Y963" s="25"/>
      <c r="Z963" s="25"/>
      <c r="AA963" s="25"/>
      <c r="AB963" s="25" t="str">
        <f>'Ingest Template'!T962</f>
        <v/>
      </c>
      <c r="AC963" s="25"/>
      <c r="AD963" s="25" t="str">
        <f>'Ingest Template'!U962</f>
        <v/>
      </c>
      <c r="AE963" s="25" t="str">
        <f>'Ingest Template'!V962</f>
        <v/>
      </c>
      <c r="AF963" s="25"/>
      <c r="AG963" s="25" t="str">
        <f t="array" ref="AG963">IF('Ingest Template'!A962="Standard",(CONCATENATE(IF(ISBLANK('Ingest Template'!O962),"", 'Ingest Template'!O962&amp;"|DAR"),CHAR(10), IF(ISBLANK('Ingest Template'!P962),"", 'Ingest Template'!P962&amp;"|DAR"),CHAR(10), IF(ISBLANK('Ingest Template'!Q962),"", 'Ingest Template'!Q962&amp;"|DAR"))),(CONCATENATE(IF(ISBLANK('Ingest Template'!O962),"", 'Ingest Template'!O962&amp;"|Operations - Core Title"),CHAR(10), IF(ISBLANK('Ingest Template'!P962),"", 'Ingest Template'!P962&amp;"|Operations - Core Title"),CHAR(10), IF(ISBLANK('Ingest Template'!Q962),"", 'Ingest Template'!Q962&amp;"|Operations - Core Title"))))</f>
        <v>#|Operations - Core Title
#videoGame|Operations - Core Title
</v>
      </c>
      <c r="AH963" s="25"/>
      <c r="AI963" s="25"/>
      <c r="AJ963" s="50" t="str">
        <f>if('Ingest Template'!A962="Standard",'Ingest Template'!R962&amp; "|DAR|DAR|2021-01-01",'Ingest Template'!R962&amp; "|Operations - Core Title|Operations - Core Title")</f>
        <v>#N/A</v>
      </c>
      <c r="AK963" s="25"/>
      <c r="AL963" s="25" t="str">
        <f>if('Ingest Template'!A962="Standard",'Ingest Template'!S962&amp; "|2021-01-01",'Ingest Template'!S962)</f>
        <v>#N/A</v>
      </c>
      <c r="AM963" s="25"/>
    </row>
    <row r="964">
      <c r="A964" s="25"/>
      <c r="B964" s="25" t="str">
        <f>'Ingest Template'!C963&amp;IF('Ingest Template'!A963 = "Standard", " - DAR","")</f>
        <v/>
      </c>
      <c r="C964" s="34" t="s">
        <v>92</v>
      </c>
      <c r="D964" s="34" t="str">
        <f>CONCATENATE('Ingest Template'!E964&amp;Char(10)&amp;'Ingest Template'!G964&amp;Char(10)&amp;'Ingest Template'!H964&amp;Char(10)&amp;'Ingest Template'!I964&amp;Char(10)&amp;'Ingest Template'!J964&amp;Char(10)&amp;'Ingest Template'!K964&amp;Char(10)&amp;'Ingest Template'!L964)</f>
        <v>
</v>
      </c>
      <c r="E964" s="25" t="str">
        <f>('Ingest Template'!M964)</f>
        <v/>
      </c>
      <c r="F964" s="40" t="str">
        <f t="array" ref="F964">INDEX(DropDown!$J$2:$J$63,MATCH(1,COUNTIF(E964,DropDown!$I$2:$I$63),0))</f>
        <v>#N/A</v>
      </c>
      <c r="G964" s="25"/>
      <c r="H964" s="25"/>
      <c r="I964" s="25"/>
      <c r="J964" s="25" t="str">
        <f>'Ingest Template'!B964</f>
        <v/>
      </c>
      <c r="K964" s="25" t="str">
        <f>IF('Ingest Template'!A963="Standard",'Ingest Template'!N963,"Competitive View")</f>
        <v>Competitive View</v>
      </c>
      <c r="L964" s="41" t="s">
        <v>145</v>
      </c>
      <c r="M964" s="25" t="str">
        <f>'Ingest Template'!D963</f>
        <v/>
      </c>
      <c r="N964" s="25"/>
      <c r="O964" s="25"/>
      <c r="P964" s="25"/>
      <c r="Q964" s="25"/>
      <c r="R964" s="25" t="str">
        <f>CONCATENATE('Ingest Template'!F963)</f>
        <v/>
      </c>
      <c r="S964" s="43" t="s">
        <v>160</v>
      </c>
      <c r="T964" s="25" t="str">
        <f>'Ingest Template'!W963</f>
        <v/>
      </c>
      <c r="U964" s="25"/>
      <c r="V964" s="25" t="str">
        <f>LOWER(SUBSTITUTE(SUBSTITUTE(SUBSTITUTE(SUBSTITUTE(SUBSTITUTE('Ingest Template'!Y963,"https:",""),"www.",""),"/",""),"?hl=en",""),"instagram.com",""))</f>
        <v/>
      </c>
      <c r="W964" s="34" t="str">
        <f>(IFERROR(vlookup('Ingest Template'!F964,DropDown!D:E,2,false)&amp;'Ingest Template'!C964,""))</f>
        <v/>
      </c>
      <c r="X964" s="25" t="str">
        <f>'Ingest Template'!AA963</f>
        <v/>
      </c>
      <c r="Y964" s="25"/>
      <c r="Z964" s="25"/>
      <c r="AA964" s="25"/>
      <c r="AB964" s="25" t="str">
        <f>'Ingest Template'!T963</f>
        <v/>
      </c>
      <c r="AC964" s="25"/>
      <c r="AD964" s="25" t="str">
        <f>'Ingest Template'!U963</f>
        <v/>
      </c>
      <c r="AE964" s="25" t="str">
        <f>'Ingest Template'!V963</f>
        <v/>
      </c>
      <c r="AF964" s="25"/>
      <c r="AG964" s="25" t="str">
        <f t="array" ref="AG964">IF('Ingest Template'!A963="Standard",(CONCATENATE(IF(ISBLANK('Ingest Template'!O963),"", 'Ingest Template'!O963&amp;"|DAR"),CHAR(10), IF(ISBLANK('Ingest Template'!P963),"", 'Ingest Template'!P963&amp;"|DAR"),CHAR(10), IF(ISBLANK('Ingest Template'!Q963),"", 'Ingest Template'!Q963&amp;"|DAR"))),(CONCATENATE(IF(ISBLANK('Ingest Template'!O963),"", 'Ingest Template'!O963&amp;"|Operations - Core Title"),CHAR(10), IF(ISBLANK('Ingest Template'!P963),"", 'Ingest Template'!P963&amp;"|Operations - Core Title"),CHAR(10), IF(ISBLANK('Ingest Template'!Q963),"", 'Ingest Template'!Q963&amp;"|Operations - Core Title"))))</f>
        <v>#|Operations - Core Title
#videoGame|Operations - Core Title
</v>
      </c>
      <c r="AH964" s="25"/>
      <c r="AI964" s="25"/>
      <c r="AJ964" s="50" t="str">
        <f>if('Ingest Template'!A963="Standard",'Ingest Template'!R963&amp; "|DAR|DAR|2021-01-01",'Ingest Template'!R963&amp; "|Operations - Core Title|Operations - Core Title")</f>
        <v>#N/A</v>
      </c>
      <c r="AK964" s="25"/>
      <c r="AL964" s="25" t="str">
        <f>if('Ingest Template'!A963="Standard",'Ingest Template'!S963&amp; "|2021-01-01",'Ingest Template'!S963)</f>
        <v>#N/A</v>
      </c>
      <c r="AM964" s="25"/>
    </row>
    <row r="965">
      <c r="A965" s="25"/>
      <c r="B965" s="25" t="str">
        <f>'Ingest Template'!C964&amp;IF('Ingest Template'!A964 = "Standard", " - DAR","")</f>
        <v/>
      </c>
      <c r="C965" s="34" t="s">
        <v>92</v>
      </c>
      <c r="D965" s="34" t="str">
        <f>CONCATENATE('Ingest Template'!E965&amp;Char(10)&amp;'Ingest Template'!G965&amp;Char(10)&amp;'Ingest Template'!H965&amp;Char(10)&amp;'Ingest Template'!I965&amp;Char(10)&amp;'Ingest Template'!J965&amp;Char(10)&amp;'Ingest Template'!K965&amp;Char(10)&amp;'Ingest Template'!L965)</f>
        <v>
</v>
      </c>
      <c r="E965" s="25" t="str">
        <f>('Ingest Template'!M965)</f>
        <v/>
      </c>
      <c r="F965" s="40" t="str">
        <f t="array" ref="F965">INDEX(DropDown!$J$2:$J$63,MATCH(1,COUNTIF(E965,DropDown!$I$2:$I$63),0))</f>
        <v>#N/A</v>
      </c>
      <c r="G965" s="25"/>
      <c r="H965" s="25"/>
      <c r="I965" s="25"/>
      <c r="J965" s="25" t="str">
        <f>'Ingest Template'!B965</f>
        <v/>
      </c>
      <c r="K965" s="25" t="str">
        <f>IF('Ingest Template'!A964="Standard",'Ingest Template'!N964,"Competitive View")</f>
        <v>Competitive View</v>
      </c>
      <c r="L965" s="41" t="s">
        <v>145</v>
      </c>
      <c r="M965" s="25" t="str">
        <f>'Ingest Template'!D964</f>
        <v/>
      </c>
      <c r="N965" s="25"/>
      <c r="O965" s="25"/>
      <c r="P965" s="25"/>
      <c r="Q965" s="25"/>
      <c r="R965" s="25" t="str">
        <f>CONCATENATE('Ingest Template'!F964)</f>
        <v/>
      </c>
      <c r="S965" s="43" t="s">
        <v>160</v>
      </c>
      <c r="T965" s="25" t="str">
        <f>'Ingest Template'!W964</f>
        <v/>
      </c>
      <c r="U965" s="25"/>
      <c r="V965" s="25" t="str">
        <f>LOWER(SUBSTITUTE(SUBSTITUTE(SUBSTITUTE(SUBSTITUTE(SUBSTITUTE('Ingest Template'!Y964,"https:",""),"www.",""),"/",""),"?hl=en",""),"instagram.com",""))</f>
        <v/>
      </c>
      <c r="W965" s="34" t="str">
        <f>(IFERROR(vlookup('Ingest Template'!F965,DropDown!D:E,2,false)&amp;'Ingest Template'!C965,""))</f>
        <v/>
      </c>
      <c r="X965" s="25" t="str">
        <f>'Ingest Template'!AA964</f>
        <v/>
      </c>
      <c r="Y965" s="25"/>
      <c r="Z965" s="25"/>
      <c r="AA965" s="25"/>
      <c r="AB965" s="25" t="str">
        <f>'Ingest Template'!T964</f>
        <v/>
      </c>
      <c r="AC965" s="25"/>
      <c r="AD965" s="25" t="str">
        <f>'Ingest Template'!U964</f>
        <v/>
      </c>
      <c r="AE965" s="25" t="str">
        <f>'Ingest Template'!V964</f>
        <v/>
      </c>
      <c r="AF965" s="25"/>
      <c r="AG965" s="25" t="str">
        <f t="array" ref="AG965">IF('Ingest Template'!A964="Standard",(CONCATENATE(IF(ISBLANK('Ingest Template'!O964),"", 'Ingest Template'!O964&amp;"|DAR"),CHAR(10), IF(ISBLANK('Ingest Template'!P964),"", 'Ingest Template'!P964&amp;"|DAR"),CHAR(10), IF(ISBLANK('Ingest Template'!Q964),"", 'Ingest Template'!Q964&amp;"|DAR"))),(CONCATENATE(IF(ISBLANK('Ingest Template'!O964),"", 'Ingest Template'!O964&amp;"|Operations - Core Title"),CHAR(10), IF(ISBLANK('Ingest Template'!P964),"", 'Ingest Template'!P964&amp;"|Operations - Core Title"),CHAR(10), IF(ISBLANK('Ingest Template'!Q964),"", 'Ingest Template'!Q964&amp;"|Operations - Core Title"))))</f>
        <v>#|Operations - Core Title
#videoGame|Operations - Core Title
</v>
      </c>
      <c r="AH965" s="25"/>
      <c r="AI965" s="25"/>
      <c r="AJ965" s="50" t="str">
        <f>if('Ingest Template'!A964="Standard",'Ingest Template'!R964&amp; "|DAR|DAR|2021-01-01",'Ingest Template'!R964&amp; "|Operations - Core Title|Operations - Core Title")</f>
        <v>#N/A</v>
      </c>
      <c r="AK965" s="25"/>
      <c r="AL965" s="25" t="str">
        <f>if('Ingest Template'!A964="Standard",'Ingest Template'!S964&amp; "|2021-01-01",'Ingest Template'!S964)</f>
        <v>#N/A</v>
      </c>
      <c r="AM965" s="25"/>
    </row>
    <row r="966">
      <c r="A966" s="25"/>
      <c r="B966" s="25" t="str">
        <f>'Ingest Template'!C965&amp;IF('Ingest Template'!A965 = "Standard", " - DAR","")</f>
        <v/>
      </c>
      <c r="C966" s="34" t="s">
        <v>92</v>
      </c>
      <c r="D966" s="34" t="str">
        <f>CONCATENATE('Ingest Template'!E966&amp;Char(10)&amp;'Ingest Template'!G966&amp;Char(10)&amp;'Ingest Template'!H966&amp;Char(10)&amp;'Ingest Template'!I966&amp;Char(10)&amp;'Ingest Template'!J966&amp;Char(10)&amp;'Ingest Template'!K966&amp;Char(10)&amp;'Ingest Template'!L966)</f>
        <v>
</v>
      </c>
      <c r="E966" s="25" t="str">
        <f>('Ingest Template'!M966)</f>
        <v/>
      </c>
      <c r="F966" s="40" t="str">
        <f t="array" ref="F966">INDEX(DropDown!$J$2:$J$63,MATCH(1,COUNTIF(E966,DropDown!$I$2:$I$63),0))</f>
        <v>#N/A</v>
      </c>
      <c r="G966" s="25"/>
      <c r="H966" s="25"/>
      <c r="I966" s="25"/>
      <c r="J966" s="25" t="str">
        <f>'Ingest Template'!B966</f>
        <v/>
      </c>
      <c r="K966" s="25" t="str">
        <f>IF('Ingest Template'!A965="Standard",'Ingest Template'!N965,"Competitive View")</f>
        <v>Competitive View</v>
      </c>
      <c r="L966" s="41" t="s">
        <v>145</v>
      </c>
      <c r="M966" s="25" t="str">
        <f>'Ingest Template'!D965</f>
        <v/>
      </c>
      <c r="N966" s="25"/>
      <c r="O966" s="25"/>
      <c r="P966" s="25"/>
      <c r="Q966" s="25"/>
      <c r="R966" s="25" t="str">
        <f>CONCATENATE('Ingest Template'!F965)</f>
        <v/>
      </c>
      <c r="S966" s="43" t="s">
        <v>160</v>
      </c>
      <c r="T966" s="25" t="str">
        <f>'Ingest Template'!W965</f>
        <v/>
      </c>
      <c r="U966" s="25"/>
      <c r="V966" s="25" t="str">
        <f>LOWER(SUBSTITUTE(SUBSTITUTE(SUBSTITUTE(SUBSTITUTE(SUBSTITUTE('Ingest Template'!Y965,"https:",""),"www.",""),"/",""),"?hl=en",""),"instagram.com",""))</f>
        <v/>
      </c>
      <c r="W966" s="34" t="str">
        <f>(IFERROR(vlookup('Ingest Template'!F966,DropDown!D:E,2,false)&amp;'Ingest Template'!C966,""))</f>
        <v/>
      </c>
      <c r="X966" s="25" t="str">
        <f>'Ingest Template'!AA965</f>
        <v/>
      </c>
      <c r="Y966" s="25"/>
      <c r="Z966" s="25"/>
      <c r="AA966" s="25"/>
      <c r="AB966" s="25" t="str">
        <f>'Ingest Template'!T965</f>
        <v/>
      </c>
      <c r="AC966" s="25"/>
      <c r="AD966" s="25" t="str">
        <f>'Ingest Template'!U965</f>
        <v/>
      </c>
      <c r="AE966" s="25" t="str">
        <f>'Ingest Template'!V965</f>
        <v/>
      </c>
      <c r="AF966" s="25"/>
      <c r="AG966" s="25" t="str">
        <f t="array" ref="AG966">IF('Ingest Template'!A965="Standard",(CONCATENATE(IF(ISBLANK('Ingest Template'!O965),"", 'Ingest Template'!O965&amp;"|DAR"),CHAR(10), IF(ISBLANK('Ingest Template'!P965),"", 'Ingest Template'!P965&amp;"|DAR"),CHAR(10), IF(ISBLANK('Ingest Template'!Q965),"", 'Ingest Template'!Q965&amp;"|DAR"))),(CONCATENATE(IF(ISBLANK('Ingest Template'!O965),"", 'Ingest Template'!O965&amp;"|Operations - Core Title"),CHAR(10), IF(ISBLANK('Ingest Template'!P965),"", 'Ingest Template'!P965&amp;"|Operations - Core Title"),CHAR(10), IF(ISBLANK('Ingest Template'!Q965),"", 'Ingest Template'!Q965&amp;"|Operations - Core Title"))))</f>
        <v>#|Operations - Core Title
#videoGame|Operations - Core Title
</v>
      </c>
      <c r="AH966" s="25"/>
      <c r="AI966" s="25"/>
      <c r="AJ966" s="50" t="str">
        <f>if('Ingest Template'!A965="Standard",'Ingest Template'!R965&amp; "|DAR|DAR|2021-01-01",'Ingest Template'!R965&amp; "|Operations - Core Title|Operations - Core Title")</f>
        <v>#N/A</v>
      </c>
      <c r="AK966" s="25"/>
      <c r="AL966" s="25" t="str">
        <f>if('Ingest Template'!A965="Standard",'Ingest Template'!S965&amp; "|2021-01-01",'Ingest Template'!S965)</f>
        <v>#N/A</v>
      </c>
      <c r="AM966" s="25"/>
    </row>
    <row r="967">
      <c r="A967" s="25"/>
      <c r="B967" s="25" t="str">
        <f>'Ingest Template'!C966&amp;IF('Ingest Template'!A966 = "Standard", " - DAR","")</f>
        <v/>
      </c>
      <c r="C967" s="34" t="s">
        <v>92</v>
      </c>
      <c r="D967" s="34" t="str">
        <f>CONCATENATE('Ingest Template'!E967&amp;Char(10)&amp;'Ingest Template'!G967&amp;Char(10)&amp;'Ingest Template'!H967&amp;Char(10)&amp;'Ingest Template'!I967&amp;Char(10)&amp;'Ingest Template'!J967&amp;Char(10)&amp;'Ingest Template'!K967&amp;Char(10)&amp;'Ingest Template'!L967)</f>
        <v>
</v>
      </c>
      <c r="E967" s="25" t="str">
        <f>('Ingest Template'!M967)</f>
        <v/>
      </c>
      <c r="F967" s="40" t="str">
        <f t="array" ref="F967">INDEX(DropDown!$J$2:$J$63,MATCH(1,COUNTIF(E967,DropDown!$I$2:$I$63),0))</f>
        <v>#N/A</v>
      </c>
      <c r="G967" s="25"/>
      <c r="H967" s="25"/>
      <c r="I967" s="25"/>
      <c r="J967" s="25" t="str">
        <f>'Ingest Template'!B967</f>
        <v/>
      </c>
      <c r="K967" s="25" t="str">
        <f>IF('Ingest Template'!A966="Standard",'Ingest Template'!N966,"Competitive View")</f>
        <v>Competitive View</v>
      </c>
      <c r="L967" s="41" t="s">
        <v>145</v>
      </c>
      <c r="M967" s="25" t="str">
        <f>'Ingest Template'!D966</f>
        <v/>
      </c>
      <c r="N967" s="25"/>
      <c r="O967" s="25"/>
      <c r="P967" s="25"/>
      <c r="Q967" s="25"/>
      <c r="R967" s="25" t="str">
        <f>CONCATENATE('Ingest Template'!F966)</f>
        <v/>
      </c>
      <c r="S967" s="43" t="s">
        <v>160</v>
      </c>
      <c r="T967" s="25" t="str">
        <f>'Ingest Template'!W966</f>
        <v/>
      </c>
      <c r="U967" s="25"/>
      <c r="V967" s="25" t="str">
        <f>LOWER(SUBSTITUTE(SUBSTITUTE(SUBSTITUTE(SUBSTITUTE(SUBSTITUTE('Ingest Template'!Y966,"https:",""),"www.",""),"/",""),"?hl=en",""),"instagram.com",""))</f>
        <v/>
      </c>
      <c r="W967" s="34" t="str">
        <f>(IFERROR(vlookup('Ingest Template'!F967,DropDown!D:E,2,false)&amp;'Ingest Template'!C967,""))</f>
        <v/>
      </c>
      <c r="X967" s="25" t="str">
        <f>'Ingest Template'!AA966</f>
        <v/>
      </c>
      <c r="Y967" s="25"/>
      <c r="Z967" s="25"/>
      <c r="AA967" s="25"/>
      <c r="AB967" s="25" t="str">
        <f>'Ingest Template'!T966</f>
        <v/>
      </c>
      <c r="AC967" s="25"/>
      <c r="AD967" s="25" t="str">
        <f>'Ingest Template'!U966</f>
        <v/>
      </c>
      <c r="AE967" s="25" t="str">
        <f>'Ingest Template'!V966</f>
        <v/>
      </c>
      <c r="AF967" s="25"/>
      <c r="AG967" s="25" t="str">
        <f t="array" ref="AG967">IF('Ingest Template'!A966="Standard",(CONCATENATE(IF(ISBLANK('Ingest Template'!O966),"", 'Ingest Template'!O966&amp;"|DAR"),CHAR(10), IF(ISBLANK('Ingest Template'!P966),"", 'Ingest Template'!P966&amp;"|DAR"),CHAR(10), IF(ISBLANK('Ingest Template'!Q966),"", 'Ingest Template'!Q966&amp;"|DAR"))),(CONCATENATE(IF(ISBLANK('Ingest Template'!O966),"", 'Ingest Template'!O966&amp;"|Operations - Core Title"),CHAR(10), IF(ISBLANK('Ingest Template'!P966),"", 'Ingest Template'!P966&amp;"|Operations - Core Title"),CHAR(10), IF(ISBLANK('Ingest Template'!Q966),"", 'Ingest Template'!Q966&amp;"|Operations - Core Title"))))</f>
        <v>#|Operations - Core Title
#videoGame|Operations - Core Title
</v>
      </c>
      <c r="AH967" s="25"/>
      <c r="AI967" s="25"/>
      <c r="AJ967" s="50" t="str">
        <f>if('Ingest Template'!A966="Standard",'Ingest Template'!R966&amp; "|DAR|DAR|2021-01-01",'Ingest Template'!R966&amp; "|Operations - Core Title|Operations - Core Title")</f>
        <v>#N/A</v>
      </c>
      <c r="AK967" s="25"/>
      <c r="AL967" s="25" t="str">
        <f>if('Ingest Template'!A966="Standard",'Ingest Template'!S966&amp; "|2021-01-01",'Ingest Template'!S966)</f>
        <v>#N/A</v>
      </c>
      <c r="AM967" s="25"/>
    </row>
    <row r="968">
      <c r="A968" s="25"/>
      <c r="B968" s="25" t="str">
        <f>'Ingest Template'!C967&amp;IF('Ingest Template'!A967 = "Standard", " - DAR","")</f>
        <v/>
      </c>
      <c r="C968" s="34" t="s">
        <v>92</v>
      </c>
      <c r="D968" s="34" t="str">
        <f>CONCATENATE('Ingest Template'!E968&amp;Char(10)&amp;'Ingest Template'!G968&amp;Char(10)&amp;'Ingest Template'!H968&amp;Char(10)&amp;'Ingest Template'!I968&amp;Char(10)&amp;'Ingest Template'!J968&amp;Char(10)&amp;'Ingest Template'!K968&amp;Char(10)&amp;'Ingest Template'!L968)</f>
        <v>
</v>
      </c>
      <c r="E968" s="25" t="str">
        <f>('Ingest Template'!M968)</f>
        <v/>
      </c>
      <c r="F968" s="40" t="str">
        <f t="array" ref="F968">INDEX(DropDown!$J$2:$J$63,MATCH(1,COUNTIF(E968,DropDown!$I$2:$I$63),0))</f>
        <v>#N/A</v>
      </c>
      <c r="G968" s="25"/>
      <c r="H968" s="25"/>
      <c r="I968" s="25"/>
      <c r="J968" s="25" t="str">
        <f>'Ingest Template'!B968</f>
        <v/>
      </c>
      <c r="K968" s="25" t="str">
        <f>IF('Ingest Template'!A967="Standard",'Ingest Template'!N967,"Competitive View")</f>
        <v>Competitive View</v>
      </c>
      <c r="L968" s="41" t="s">
        <v>145</v>
      </c>
      <c r="M968" s="25" t="str">
        <f>'Ingest Template'!D967</f>
        <v/>
      </c>
      <c r="N968" s="25"/>
      <c r="O968" s="25"/>
      <c r="P968" s="25"/>
      <c r="Q968" s="25"/>
      <c r="R968" s="25" t="str">
        <f>CONCATENATE('Ingest Template'!F967)</f>
        <v/>
      </c>
      <c r="S968" s="43" t="s">
        <v>160</v>
      </c>
      <c r="T968" s="25" t="str">
        <f>'Ingest Template'!W967</f>
        <v/>
      </c>
      <c r="U968" s="25"/>
      <c r="V968" s="25" t="str">
        <f>LOWER(SUBSTITUTE(SUBSTITUTE(SUBSTITUTE(SUBSTITUTE(SUBSTITUTE('Ingest Template'!Y967,"https:",""),"www.",""),"/",""),"?hl=en",""),"instagram.com",""))</f>
        <v/>
      </c>
      <c r="W968" s="34" t="str">
        <f>(IFERROR(vlookup('Ingest Template'!F968,DropDown!D:E,2,false)&amp;'Ingest Template'!C968,""))</f>
        <v/>
      </c>
      <c r="X968" s="25" t="str">
        <f>'Ingest Template'!AA967</f>
        <v/>
      </c>
      <c r="Y968" s="25"/>
      <c r="Z968" s="25"/>
      <c r="AA968" s="25"/>
      <c r="AB968" s="25" t="str">
        <f>'Ingest Template'!T967</f>
        <v/>
      </c>
      <c r="AC968" s="25"/>
      <c r="AD968" s="25" t="str">
        <f>'Ingest Template'!U967</f>
        <v/>
      </c>
      <c r="AE968" s="25" t="str">
        <f>'Ingest Template'!V967</f>
        <v/>
      </c>
      <c r="AF968" s="25"/>
      <c r="AG968" s="25" t="str">
        <f t="array" ref="AG968">IF('Ingest Template'!A967="Standard",(CONCATENATE(IF(ISBLANK('Ingest Template'!O967),"", 'Ingest Template'!O967&amp;"|DAR"),CHAR(10), IF(ISBLANK('Ingest Template'!P967),"", 'Ingest Template'!P967&amp;"|DAR"),CHAR(10), IF(ISBLANK('Ingest Template'!Q967),"", 'Ingest Template'!Q967&amp;"|DAR"))),(CONCATENATE(IF(ISBLANK('Ingest Template'!O967),"", 'Ingest Template'!O967&amp;"|Operations - Core Title"),CHAR(10), IF(ISBLANK('Ingest Template'!P967),"", 'Ingest Template'!P967&amp;"|Operations - Core Title"),CHAR(10), IF(ISBLANK('Ingest Template'!Q967),"", 'Ingest Template'!Q967&amp;"|Operations - Core Title"))))</f>
        <v>#|Operations - Core Title
#videoGame|Operations - Core Title
</v>
      </c>
      <c r="AH968" s="25"/>
      <c r="AI968" s="25"/>
      <c r="AJ968" s="50" t="str">
        <f>if('Ingest Template'!A967="Standard",'Ingest Template'!R967&amp; "|DAR|DAR|2021-01-01",'Ingest Template'!R967&amp; "|Operations - Core Title|Operations - Core Title")</f>
        <v>#N/A</v>
      </c>
      <c r="AK968" s="25"/>
      <c r="AL968" s="25" t="str">
        <f>if('Ingest Template'!A967="Standard",'Ingest Template'!S967&amp; "|2021-01-01",'Ingest Template'!S967)</f>
        <v>#N/A</v>
      </c>
      <c r="AM968" s="25"/>
    </row>
    <row r="969">
      <c r="A969" s="25"/>
      <c r="B969" s="25" t="str">
        <f>'Ingest Template'!C968&amp;IF('Ingest Template'!A968 = "Standard", " - DAR","")</f>
        <v/>
      </c>
      <c r="C969" s="34" t="s">
        <v>92</v>
      </c>
      <c r="D969" s="34" t="str">
        <f>CONCATENATE('Ingest Template'!E969&amp;Char(10)&amp;'Ingest Template'!G969&amp;Char(10)&amp;'Ingest Template'!H969&amp;Char(10)&amp;'Ingest Template'!I969&amp;Char(10)&amp;'Ingest Template'!J969&amp;Char(10)&amp;'Ingest Template'!K969&amp;Char(10)&amp;'Ingest Template'!L969)</f>
        <v>
</v>
      </c>
      <c r="E969" s="25" t="str">
        <f>('Ingest Template'!M969)</f>
        <v/>
      </c>
      <c r="F969" s="40" t="str">
        <f t="array" ref="F969">INDEX(DropDown!$J$2:$J$63,MATCH(1,COUNTIF(E969,DropDown!$I$2:$I$63),0))</f>
        <v>#N/A</v>
      </c>
      <c r="G969" s="25"/>
      <c r="H969" s="25"/>
      <c r="I969" s="25"/>
      <c r="J969" s="25" t="str">
        <f>'Ingest Template'!B969</f>
        <v/>
      </c>
      <c r="K969" s="25" t="str">
        <f>IF('Ingest Template'!A968="Standard",'Ingest Template'!N968,"Competitive View")</f>
        <v>Competitive View</v>
      </c>
      <c r="L969" s="41" t="s">
        <v>145</v>
      </c>
      <c r="M969" s="25" t="str">
        <f>'Ingest Template'!D968</f>
        <v/>
      </c>
      <c r="N969" s="25"/>
      <c r="O969" s="25"/>
      <c r="P969" s="25"/>
      <c r="Q969" s="25"/>
      <c r="R969" s="25" t="str">
        <f>CONCATENATE('Ingest Template'!F968)</f>
        <v/>
      </c>
      <c r="S969" s="43" t="s">
        <v>160</v>
      </c>
      <c r="T969" s="25" t="str">
        <f>'Ingest Template'!W968</f>
        <v/>
      </c>
      <c r="U969" s="25"/>
      <c r="V969" s="25" t="str">
        <f>LOWER(SUBSTITUTE(SUBSTITUTE(SUBSTITUTE(SUBSTITUTE(SUBSTITUTE('Ingest Template'!Y968,"https:",""),"www.",""),"/",""),"?hl=en",""),"instagram.com",""))</f>
        <v/>
      </c>
      <c r="W969" s="34" t="str">
        <f>(IFERROR(vlookup('Ingest Template'!F969,DropDown!D:E,2,false)&amp;'Ingest Template'!C969,""))</f>
        <v/>
      </c>
      <c r="X969" s="25" t="str">
        <f>'Ingest Template'!AA968</f>
        <v/>
      </c>
      <c r="Y969" s="25"/>
      <c r="Z969" s="25"/>
      <c r="AA969" s="25"/>
      <c r="AB969" s="25" t="str">
        <f>'Ingest Template'!T968</f>
        <v/>
      </c>
      <c r="AC969" s="25"/>
      <c r="AD969" s="25" t="str">
        <f>'Ingest Template'!U968</f>
        <v/>
      </c>
      <c r="AE969" s="25" t="str">
        <f>'Ingest Template'!V968</f>
        <v/>
      </c>
      <c r="AF969" s="25"/>
      <c r="AG969" s="25" t="str">
        <f t="array" ref="AG969">IF('Ingest Template'!A968="Standard",(CONCATENATE(IF(ISBLANK('Ingest Template'!O968),"", 'Ingest Template'!O968&amp;"|DAR"),CHAR(10), IF(ISBLANK('Ingest Template'!P968),"", 'Ingest Template'!P968&amp;"|DAR"),CHAR(10), IF(ISBLANK('Ingest Template'!Q968),"", 'Ingest Template'!Q968&amp;"|DAR"))),(CONCATENATE(IF(ISBLANK('Ingest Template'!O968),"", 'Ingest Template'!O968&amp;"|Operations - Core Title"),CHAR(10), IF(ISBLANK('Ingest Template'!P968),"", 'Ingest Template'!P968&amp;"|Operations - Core Title"),CHAR(10), IF(ISBLANK('Ingest Template'!Q968),"", 'Ingest Template'!Q968&amp;"|Operations - Core Title"))))</f>
        <v>#|Operations - Core Title
#videoGame|Operations - Core Title
</v>
      </c>
      <c r="AH969" s="25"/>
      <c r="AI969" s="25"/>
      <c r="AJ969" s="50" t="str">
        <f>if('Ingest Template'!A968="Standard",'Ingest Template'!R968&amp; "|DAR|DAR|2021-01-01",'Ingest Template'!R968&amp; "|Operations - Core Title|Operations - Core Title")</f>
        <v>#N/A</v>
      </c>
      <c r="AK969" s="25"/>
      <c r="AL969" s="25" t="str">
        <f>if('Ingest Template'!A968="Standard",'Ingest Template'!S968&amp; "|2021-01-01",'Ingest Template'!S968)</f>
        <v>#N/A</v>
      </c>
      <c r="AM969" s="25"/>
    </row>
    <row r="970">
      <c r="A970" s="25"/>
      <c r="B970" s="25" t="str">
        <f>'Ingest Template'!C969&amp;IF('Ingest Template'!A969 = "Standard", " - DAR","")</f>
        <v/>
      </c>
      <c r="C970" s="34" t="s">
        <v>92</v>
      </c>
      <c r="D970" s="34" t="str">
        <f>CONCATENATE('Ingest Template'!E970&amp;Char(10)&amp;'Ingest Template'!G970&amp;Char(10)&amp;'Ingest Template'!H970&amp;Char(10)&amp;'Ingest Template'!I970&amp;Char(10)&amp;'Ingest Template'!J970&amp;Char(10)&amp;'Ingest Template'!K970&amp;Char(10)&amp;'Ingest Template'!L970)</f>
        <v>
</v>
      </c>
      <c r="E970" s="25" t="str">
        <f>('Ingest Template'!M970)</f>
        <v/>
      </c>
      <c r="F970" s="40" t="str">
        <f t="array" ref="F970">INDEX(DropDown!$J$2:$J$63,MATCH(1,COUNTIF(E970,DropDown!$I$2:$I$63),0))</f>
        <v>#N/A</v>
      </c>
      <c r="G970" s="25"/>
      <c r="H970" s="25"/>
      <c r="I970" s="25"/>
      <c r="J970" s="25" t="str">
        <f>'Ingest Template'!B970</f>
        <v/>
      </c>
      <c r="K970" s="25" t="str">
        <f>IF('Ingest Template'!A969="Standard",'Ingest Template'!N969,"Competitive View")</f>
        <v>Competitive View</v>
      </c>
      <c r="L970" s="41" t="s">
        <v>145</v>
      </c>
      <c r="M970" s="25" t="str">
        <f>'Ingest Template'!D969</f>
        <v/>
      </c>
      <c r="N970" s="25"/>
      <c r="O970" s="25"/>
      <c r="P970" s="25"/>
      <c r="Q970" s="25"/>
      <c r="R970" s="25" t="str">
        <f>CONCATENATE('Ingest Template'!F969)</f>
        <v/>
      </c>
      <c r="S970" s="43" t="s">
        <v>160</v>
      </c>
      <c r="T970" s="25" t="str">
        <f>'Ingest Template'!W969</f>
        <v/>
      </c>
      <c r="U970" s="25"/>
      <c r="V970" s="25" t="str">
        <f>LOWER(SUBSTITUTE(SUBSTITUTE(SUBSTITUTE(SUBSTITUTE(SUBSTITUTE('Ingest Template'!Y969,"https:",""),"www.",""),"/",""),"?hl=en",""),"instagram.com",""))</f>
        <v/>
      </c>
      <c r="W970" s="34" t="str">
        <f>(IFERROR(vlookup('Ingest Template'!F970,DropDown!D:E,2,false)&amp;'Ingest Template'!C970,""))</f>
        <v/>
      </c>
      <c r="X970" s="25" t="str">
        <f>'Ingest Template'!AA969</f>
        <v/>
      </c>
      <c r="Y970" s="25"/>
      <c r="Z970" s="25"/>
      <c r="AA970" s="25"/>
      <c r="AB970" s="25" t="str">
        <f>'Ingest Template'!T969</f>
        <v/>
      </c>
      <c r="AC970" s="25"/>
      <c r="AD970" s="25" t="str">
        <f>'Ingest Template'!U969</f>
        <v/>
      </c>
      <c r="AE970" s="25" t="str">
        <f>'Ingest Template'!V969</f>
        <v/>
      </c>
      <c r="AF970" s="25"/>
      <c r="AG970" s="25" t="str">
        <f t="array" ref="AG970">IF('Ingest Template'!A969="Standard",(CONCATENATE(IF(ISBLANK('Ingest Template'!O969),"", 'Ingest Template'!O969&amp;"|DAR"),CHAR(10), IF(ISBLANK('Ingest Template'!P969),"", 'Ingest Template'!P969&amp;"|DAR"),CHAR(10), IF(ISBLANK('Ingest Template'!Q969),"", 'Ingest Template'!Q969&amp;"|DAR"))),(CONCATENATE(IF(ISBLANK('Ingest Template'!O969),"", 'Ingest Template'!O969&amp;"|Operations - Core Title"),CHAR(10), IF(ISBLANK('Ingest Template'!P969),"", 'Ingest Template'!P969&amp;"|Operations - Core Title"),CHAR(10), IF(ISBLANK('Ingest Template'!Q969),"", 'Ingest Template'!Q969&amp;"|Operations - Core Title"))))</f>
        <v>#|Operations - Core Title
#videoGame|Operations - Core Title
</v>
      </c>
      <c r="AH970" s="25"/>
      <c r="AI970" s="25"/>
      <c r="AJ970" s="50" t="str">
        <f>if('Ingest Template'!A969="Standard",'Ingest Template'!R969&amp; "|DAR|DAR|2021-01-01",'Ingest Template'!R969&amp; "|Operations - Core Title|Operations - Core Title")</f>
        <v>#N/A</v>
      </c>
      <c r="AK970" s="25"/>
      <c r="AL970" s="25" t="str">
        <f>if('Ingest Template'!A969="Standard",'Ingest Template'!S969&amp; "|2021-01-01",'Ingest Template'!S969)</f>
        <v>#N/A</v>
      </c>
      <c r="AM970" s="25"/>
    </row>
    <row r="971">
      <c r="A971" s="25"/>
      <c r="B971" s="25" t="str">
        <f>'Ingest Template'!C970&amp;IF('Ingest Template'!A970 = "Standard", " - DAR","")</f>
        <v/>
      </c>
      <c r="C971" s="34" t="s">
        <v>92</v>
      </c>
      <c r="D971" s="34" t="str">
        <f>CONCATENATE('Ingest Template'!E971&amp;Char(10)&amp;'Ingest Template'!G971&amp;Char(10)&amp;'Ingest Template'!H971&amp;Char(10)&amp;'Ingest Template'!I971&amp;Char(10)&amp;'Ingest Template'!J971&amp;Char(10)&amp;'Ingest Template'!K971&amp;Char(10)&amp;'Ingest Template'!L971)</f>
        <v>
</v>
      </c>
      <c r="E971" s="25" t="str">
        <f>('Ingest Template'!M971)</f>
        <v/>
      </c>
      <c r="F971" s="40" t="str">
        <f t="array" ref="F971">INDEX(DropDown!$J$2:$J$63,MATCH(1,COUNTIF(E971,DropDown!$I$2:$I$63),0))</f>
        <v>#N/A</v>
      </c>
      <c r="G971" s="25"/>
      <c r="H971" s="25"/>
      <c r="I971" s="25"/>
      <c r="J971" s="25" t="str">
        <f>'Ingest Template'!B971</f>
        <v/>
      </c>
      <c r="K971" s="25" t="str">
        <f>IF('Ingest Template'!A970="Standard",'Ingest Template'!N970,"Competitive View")</f>
        <v>Competitive View</v>
      </c>
      <c r="L971" s="41" t="s">
        <v>145</v>
      </c>
      <c r="M971" s="25" t="str">
        <f>'Ingest Template'!D970</f>
        <v/>
      </c>
      <c r="N971" s="25"/>
      <c r="O971" s="25"/>
      <c r="P971" s="25"/>
      <c r="Q971" s="25"/>
      <c r="R971" s="25" t="str">
        <f>CONCATENATE('Ingest Template'!F970)</f>
        <v/>
      </c>
      <c r="S971" s="43" t="s">
        <v>160</v>
      </c>
      <c r="T971" s="25" t="str">
        <f>'Ingest Template'!W970</f>
        <v/>
      </c>
      <c r="U971" s="25"/>
      <c r="V971" s="25" t="str">
        <f>LOWER(SUBSTITUTE(SUBSTITUTE(SUBSTITUTE(SUBSTITUTE(SUBSTITUTE('Ingest Template'!Y970,"https:",""),"www.",""),"/",""),"?hl=en",""),"instagram.com",""))</f>
        <v/>
      </c>
      <c r="W971" s="34" t="str">
        <f>(IFERROR(vlookup('Ingest Template'!F971,DropDown!D:E,2,false)&amp;'Ingest Template'!C971,""))</f>
        <v/>
      </c>
      <c r="X971" s="25" t="str">
        <f>'Ingest Template'!AA970</f>
        <v/>
      </c>
      <c r="Y971" s="25"/>
      <c r="Z971" s="25"/>
      <c r="AA971" s="25"/>
      <c r="AB971" s="25" t="str">
        <f>'Ingest Template'!T970</f>
        <v/>
      </c>
      <c r="AC971" s="25"/>
      <c r="AD971" s="25" t="str">
        <f>'Ingest Template'!U970</f>
        <v/>
      </c>
      <c r="AE971" s="25" t="str">
        <f>'Ingest Template'!V970</f>
        <v/>
      </c>
      <c r="AF971" s="25"/>
      <c r="AG971" s="25" t="str">
        <f t="array" ref="AG971">IF('Ingest Template'!A970="Standard",(CONCATENATE(IF(ISBLANK('Ingest Template'!O970),"", 'Ingest Template'!O970&amp;"|DAR"),CHAR(10), IF(ISBLANK('Ingest Template'!P970),"", 'Ingest Template'!P970&amp;"|DAR"),CHAR(10), IF(ISBLANK('Ingest Template'!Q970),"", 'Ingest Template'!Q970&amp;"|DAR"))),(CONCATENATE(IF(ISBLANK('Ingest Template'!O970),"", 'Ingest Template'!O970&amp;"|Operations - Core Title"),CHAR(10), IF(ISBLANK('Ingest Template'!P970),"", 'Ingest Template'!P970&amp;"|Operations - Core Title"),CHAR(10), IF(ISBLANK('Ingest Template'!Q970),"", 'Ingest Template'!Q970&amp;"|Operations - Core Title"))))</f>
        <v>#|Operations - Core Title
#videoGame|Operations - Core Title
</v>
      </c>
      <c r="AH971" s="25"/>
      <c r="AI971" s="25"/>
      <c r="AJ971" s="50" t="str">
        <f>if('Ingest Template'!A970="Standard",'Ingest Template'!R970&amp; "|DAR|DAR|2021-01-01",'Ingest Template'!R970&amp; "|Operations - Core Title|Operations - Core Title")</f>
        <v>#N/A</v>
      </c>
      <c r="AK971" s="25"/>
      <c r="AL971" s="25" t="str">
        <f>if('Ingest Template'!A970="Standard",'Ingest Template'!S970&amp; "|2021-01-01",'Ingest Template'!S970)</f>
        <v>#N/A</v>
      </c>
      <c r="AM971" s="25"/>
    </row>
    <row r="972">
      <c r="A972" s="25"/>
      <c r="B972" s="25" t="str">
        <f>'Ingest Template'!C971&amp;IF('Ingest Template'!A971 = "Standard", " - DAR","")</f>
        <v/>
      </c>
      <c r="C972" s="34" t="s">
        <v>92</v>
      </c>
      <c r="D972" s="34" t="str">
        <f>CONCATENATE('Ingest Template'!E972&amp;Char(10)&amp;'Ingest Template'!G972&amp;Char(10)&amp;'Ingest Template'!H972&amp;Char(10)&amp;'Ingest Template'!I972&amp;Char(10)&amp;'Ingest Template'!J972&amp;Char(10)&amp;'Ingest Template'!K972&amp;Char(10)&amp;'Ingest Template'!L972)</f>
        <v>
</v>
      </c>
      <c r="E972" s="25" t="str">
        <f>('Ingest Template'!M972)</f>
        <v/>
      </c>
      <c r="F972" s="40" t="str">
        <f t="array" ref="F972">INDEX(DropDown!$J$2:$J$63,MATCH(1,COUNTIF(E972,DropDown!$I$2:$I$63),0))</f>
        <v>#N/A</v>
      </c>
      <c r="G972" s="25"/>
      <c r="H972" s="25"/>
      <c r="I972" s="25"/>
      <c r="J972" s="25" t="str">
        <f>'Ingest Template'!B972</f>
        <v/>
      </c>
      <c r="K972" s="25" t="str">
        <f>IF('Ingest Template'!A971="Standard",'Ingest Template'!N971,"Competitive View")</f>
        <v>Competitive View</v>
      </c>
      <c r="L972" s="41" t="s">
        <v>145</v>
      </c>
      <c r="M972" s="25" t="str">
        <f>'Ingest Template'!D971</f>
        <v/>
      </c>
      <c r="N972" s="25"/>
      <c r="O972" s="25"/>
      <c r="P972" s="25"/>
      <c r="Q972" s="25"/>
      <c r="R972" s="25" t="str">
        <f>CONCATENATE('Ingest Template'!F971)</f>
        <v/>
      </c>
      <c r="S972" s="43" t="s">
        <v>160</v>
      </c>
      <c r="T972" s="25" t="str">
        <f>'Ingest Template'!W971</f>
        <v/>
      </c>
      <c r="U972" s="25"/>
      <c r="V972" s="25" t="str">
        <f>LOWER(SUBSTITUTE(SUBSTITUTE(SUBSTITUTE(SUBSTITUTE(SUBSTITUTE('Ingest Template'!Y971,"https:",""),"www.",""),"/",""),"?hl=en",""),"instagram.com",""))</f>
        <v/>
      </c>
      <c r="W972" s="34" t="str">
        <f>(IFERROR(vlookup('Ingest Template'!F972,DropDown!D:E,2,false)&amp;'Ingest Template'!C972,""))</f>
        <v/>
      </c>
      <c r="X972" s="25" t="str">
        <f>'Ingest Template'!AA971</f>
        <v/>
      </c>
      <c r="Y972" s="25"/>
      <c r="Z972" s="25"/>
      <c r="AA972" s="25"/>
      <c r="AB972" s="25" t="str">
        <f>'Ingest Template'!T971</f>
        <v/>
      </c>
      <c r="AC972" s="25"/>
      <c r="AD972" s="25" t="str">
        <f>'Ingest Template'!U971</f>
        <v/>
      </c>
      <c r="AE972" s="25" t="str">
        <f>'Ingest Template'!V971</f>
        <v/>
      </c>
      <c r="AF972" s="25"/>
      <c r="AG972" s="25" t="str">
        <f t="array" ref="AG972">IF('Ingest Template'!A971="Standard",(CONCATENATE(IF(ISBLANK('Ingest Template'!O971),"", 'Ingest Template'!O971&amp;"|DAR"),CHAR(10), IF(ISBLANK('Ingest Template'!P971),"", 'Ingest Template'!P971&amp;"|DAR"),CHAR(10), IF(ISBLANK('Ingest Template'!Q971),"", 'Ingest Template'!Q971&amp;"|DAR"))),(CONCATENATE(IF(ISBLANK('Ingest Template'!O971),"", 'Ingest Template'!O971&amp;"|Operations - Core Title"),CHAR(10), IF(ISBLANK('Ingest Template'!P971),"", 'Ingest Template'!P971&amp;"|Operations - Core Title"),CHAR(10), IF(ISBLANK('Ingest Template'!Q971),"", 'Ingest Template'!Q971&amp;"|Operations - Core Title"))))</f>
        <v>#|Operations - Core Title
#videoGame|Operations - Core Title
</v>
      </c>
      <c r="AH972" s="25"/>
      <c r="AI972" s="25"/>
      <c r="AJ972" s="50" t="str">
        <f>if('Ingest Template'!A971="Standard",'Ingest Template'!R971&amp; "|DAR|DAR|2021-01-01",'Ingest Template'!R971&amp; "|Operations - Core Title|Operations - Core Title")</f>
        <v>#N/A</v>
      </c>
      <c r="AK972" s="25"/>
      <c r="AL972" s="25" t="str">
        <f>if('Ingest Template'!A971="Standard",'Ingest Template'!S971&amp; "|2021-01-01",'Ingest Template'!S971)</f>
        <v>#N/A</v>
      </c>
      <c r="AM972" s="25"/>
    </row>
    <row r="973">
      <c r="A973" s="25"/>
      <c r="B973" s="25" t="str">
        <f>'Ingest Template'!C972&amp;IF('Ingest Template'!A972 = "Standard", " - DAR","")</f>
        <v/>
      </c>
      <c r="C973" s="34" t="s">
        <v>92</v>
      </c>
      <c r="D973" s="34" t="str">
        <f>CONCATENATE('Ingest Template'!E973&amp;Char(10)&amp;'Ingest Template'!G973&amp;Char(10)&amp;'Ingest Template'!H973&amp;Char(10)&amp;'Ingest Template'!I973&amp;Char(10)&amp;'Ingest Template'!J973&amp;Char(10)&amp;'Ingest Template'!K973&amp;Char(10)&amp;'Ingest Template'!L973)</f>
        <v>
</v>
      </c>
      <c r="E973" s="25" t="str">
        <f>('Ingest Template'!M973)</f>
        <v/>
      </c>
      <c r="F973" s="40" t="str">
        <f t="array" ref="F973">INDEX(DropDown!$J$2:$J$63,MATCH(1,COUNTIF(E973,DropDown!$I$2:$I$63),0))</f>
        <v>#N/A</v>
      </c>
      <c r="G973" s="25"/>
      <c r="H973" s="25"/>
      <c r="I973" s="25"/>
      <c r="J973" s="25" t="str">
        <f>'Ingest Template'!B973</f>
        <v/>
      </c>
      <c r="K973" s="25" t="str">
        <f>IF('Ingest Template'!A972="Standard",'Ingest Template'!N972,"Competitive View")</f>
        <v>Competitive View</v>
      </c>
      <c r="L973" s="41" t="s">
        <v>145</v>
      </c>
      <c r="M973" s="25" t="str">
        <f>'Ingest Template'!D972</f>
        <v/>
      </c>
      <c r="N973" s="25"/>
      <c r="O973" s="25"/>
      <c r="P973" s="25"/>
      <c r="Q973" s="25"/>
      <c r="R973" s="25" t="str">
        <f>CONCATENATE('Ingest Template'!F972)</f>
        <v/>
      </c>
      <c r="S973" s="43" t="s">
        <v>160</v>
      </c>
      <c r="T973" s="25" t="str">
        <f>'Ingest Template'!W972</f>
        <v/>
      </c>
      <c r="U973" s="25"/>
      <c r="V973" s="25" t="str">
        <f>LOWER(SUBSTITUTE(SUBSTITUTE(SUBSTITUTE(SUBSTITUTE(SUBSTITUTE('Ingest Template'!Y972,"https:",""),"www.",""),"/",""),"?hl=en",""),"instagram.com",""))</f>
        <v/>
      </c>
      <c r="W973" s="34" t="str">
        <f>(IFERROR(vlookup('Ingest Template'!F973,DropDown!D:E,2,false)&amp;'Ingest Template'!C973,""))</f>
        <v/>
      </c>
      <c r="X973" s="25" t="str">
        <f>'Ingest Template'!AA972</f>
        <v/>
      </c>
      <c r="Y973" s="25"/>
      <c r="Z973" s="25"/>
      <c r="AA973" s="25"/>
      <c r="AB973" s="25" t="str">
        <f>'Ingest Template'!T972</f>
        <v/>
      </c>
      <c r="AC973" s="25"/>
      <c r="AD973" s="25" t="str">
        <f>'Ingest Template'!U972</f>
        <v/>
      </c>
      <c r="AE973" s="25" t="str">
        <f>'Ingest Template'!V972</f>
        <v/>
      </c>
      <c r="AF973" s="25"/>
      <c r="AG973" s="25" t="str">
        <f t="array" ref="AG973">IF('Ingest Template'!A972="Standard",(CONCATENATE(IF(ISBLANK('Ingest Template'!O972),"", 'Ingest Template'!O972&amp;"|DAR"),CHAR(10), IF(ISBLANK('Ingest Template'!P972),"", 'Ingest Template'!P972&amp;"|DAR"),CHAR(10), IF(ISBLANK('Ingest Template'!Q972),"", 'Ingest Template'!Q972&amp;"|DAR"))),(CONCATENATE(IF(ISBLANK('Ingest Template'!O972),"", 'Ingest Template'!O972&amp;"|Operations - Core Title"),CHAR(10), IF(ISBLANK('Ingest Template'!P972),"", 'Ingest Template'!P972&amp;"|Operations - Core Title"),CHAR(10), IF(ISBLANK('Ingest Template'!Q972),"", 'Ingest Template'!Q972&amp;"|Operations - Core Title"))))</f>
        <v>#|Operations - Core Title
#videoGame|Operations - Core Title
</v>
      </c>
      <c r="AH973" s="25"/>
      <c r="AI973" s="25"/>
      <c r="AJ973" s="50" t="str">
        <f>if('Ingest Template'!A972="Standard",'Ingest Template'!R972&amp; "|DAR|DAR|2021-01-01",'Ingest Template'!R972&amp; "|Operations - Core Title|Operations - Core Title")</f>
        <v>#N/A</v>
      </c>
      <c r="AK973" s="25"/>
      <c r="AL973" s="25" t="str">
        <f>if('Ingest Template'!A972="Standard",'Ingest Template'!S972&amp; "|2021-01-01",'Ingest Template'!S972)</f>
        <v>#N/A</v>
      </c>
      <c r="AM973" s="25"/>
    </row>
    <row r="974">
      <c r="A974" s="25"/>
      <c r="B974" s="25" t="str">
        <f>'Ingest Template'!C973&amp;IF('Ingest Template'!A973 = "Standard", " - DAR","")</f>
        <v/>
      </c>
      <c r="C974" s="34" t="s">
        <v>92</v>
      </c>
      <c r="D974" s="34" t="str">
        <f>CONCATENATE('Ingest Template'!E974&amp;Char(10)&amp;'Ingest Template'!G974&amp;Char(10)&amp;'Ingest Template'!H974&amp;Char(10)&amp;'Ingest Template'!I974&amp;Char(10)&amp;'Ingest Template'!J974&amp;Char(10)&amp;'Ingest Template'!K974&amp;Char(10)&amp;'Ingest Template'!L974)</f>
        <v>
</v>
      </c>
      <c r="E974" s="25" t="str">
        <f>('Ingest Template'!M974)</f>
        <v/>
      </c>
      <c r="F974" s="40" t="str">
        <f t="array" ref="F974">INDEX(DropDown!$J$2:$J$63,MATCH(1,COUNTIF(E974,DropDown!$I$2:$I$63),0))</f>
        <v>#N/A</v>
      </c>
      <c r="G974" s="25"/>
      <c r="H974" s="25"/>
      <c r="I974" s="25"/>
      <c r="J974" s="25" t="str">
        <f>'Ingest Template'!B974</f>
        <v/>
      </c>
      <c r="K974" s="25" t="str">
        <f>IF('Ingest Template'!A973="Standard",'Ingest Template'!N973,"Competitive View")</f>
        <v>Competitive View</v>
      </c>
      <c r="L974" s="41" t="s">
        <v>145</v>
      </c>
      <c r="M974" s="25" t="str">
        <f>'Ingest Template'!D973</f>
        <v/>
      </c>
      <c r="N974" s="25"/>
      <c r="O974" s="25"/>
      <c r="P974" s="25"/>
      <c r="Q974" s="25"/>
      <c r="R974" s="25" t="str">
        <f>CONCATENATE('Ingest Template'!F973)</f>
        <v/>
      </c>
      <c r="S974" s="43" t="s">
        <v>160</v>
      </c>
      <c r="T974" s="25" t="str">
        <f>'Ingest Template'!W973</f>
        <v/>
      </c>
      <c r="U974" s="25"/>
      <c r="V974" s="25" t="str">
        <f>LOWER(SUBSTITUTE(SUBSTITUTE(SUBSTITUTE(SUBSTITUTE(SUBSTITUTE('Ingest Template'!Y973,"https:",""),"www.",""),"/",""),"?hl=en",""),"instagram.com",""))</f>
        <v/>
      </c>
      <c r="W974" s="34" t="str">
        <f>(IFERROR(vlookup('Ingest Template'!F974,DropDown!D:E,2,false)&amp;'Ingest Template'!C974,""))</f>
        <v/>
      </c>
      <c r="X974" s="25" t="str">
        <f>'Ingest Template'!AA973</f>
        <v/>
      </c>
      <c r="Y974" s="25"/>
      <c r="Z974" s="25"/>
      <c r="AA974" s="25"/>
      <c r="AB974" s="25" t="str">
        <f>'Ingest Template'!T973</f>
        <v/>
      </c>
      <c r="AC974" s="25"/>
      <c r="AD974" s="25" t="str">
        <f>'Ingest Template'!U973</f>
        <v/>
      </c>
      <c r="AE974" s="25" t="str">
        <f>'Ingest Template'!V973</f>
        <v/>
      </c>
      <c r="AF974" s="25"/>
      <c r="AG974" s="25" t="str">
        <f t="array" ref="AG974">IF('Ingest Template'!A973="Standard",(CONCATENATE(IF(ISBLANK('Ingest Template'!O973),"", 'Ingest Template'!O973&amp;"|DAR"),CHAR(10), IF(ISBLANK('Ingest Template'!P973),"", 'Ingest Template'!P973&amp;"|DAR"),CHAR(10), IF(ISBLANK('Ingest Template'!Q973),"", 'Ingest Template'!Q973&amp;"|DAR"))),(CONCATENATE(IF(ISBLANK('Ingest Template'!O973),"", 'Ingest Template'!O973&amp;"|Operations - Core Title"),CHAR(10), IF(ISBLANK('Ingest Template'!P973),"", 'Ingest Template'!P973&amp;"|Operations - Core Title"),CHAR(10), IF(ISBLANK('Ingest Template'!Q973),"", 'Ingest Template'!Q973&amp;"|Operations - Core Title"))))</f>
        <v>#|Operations - Core Title
#videoGame|Operations - Core Title
</v>
      </c>
      <c r="AH974" s="25"/>
      <c r="AI974" s="25"/>
      <c r="AJ974" s="50" t="str">
        <f>if('Ingest Template'!A973="Standard",'Ingest Template'!R973&amp; "|DAR|DAR|2021-01-01",'Ingest Template'!R973&amp; "|Operations - Core Title|Operations - Core Title")</f>
        <v>#N/A</v>
      </c>
      <c r="AK974" s="25"/>
      <c r="AL974" s="25" t="str">
        <f>if('Ingest Template'!A973="Standard",'Ingest Template'!S973&amp; "|2021-01-01",'Ingest Template'!S973)</f>
        <v>#N/A</v>
      </c>
      <c r="AM974" s="25"/>
    </row>
    <row r="975">
      <c r="A975" s="25"/>
      <c r="B975" s="25" t="str">
        <f>'Ingest Template'!C974&amp;IF('Ingest Template'!A974 = "Standard", " - DAR","")</f>
        <v/>
      </c>
      <c r="C975" s="34" t="s">
        <v>92</v>
      </c>
      <c r="D975" s="34" t="str">
        <f>CONCATENATE('Ingest Template'!E975&amp;Char(10)&amp;'Ingest Template'!G975&amp;Char(10)&amp;'Ingest Template'!H975&amp;Char(10)&amp;'Ingest Template'!I975&amp;Char(10)&amp;'Ingest Template'!J975&amp;Char(10)&amp;'Ingest Template'!K975&amp;Char(10)&amp;'Ingest Template'!L975)</f>
        <v>
</v>
      </c>
      <c r="E975" s="25" t="str">
        <f>('Ingest Template'!M975)</f>
        <v/>
      </c>
      <c r="F975" s="40" t="str">
        <f t="array" ref="F975">INDEX(DropDown!$J$2:$J$63,MATCH(1,COUNTIF(E975,DropDown!$I$2:$I$63),0))</f>
        <v>#N/A</v>
      </c>
      <c r="G975" s="25"/>
      <c r="H975" s="25"/>
      <c r="I975" s="25"/>
      <c r="J975" s="25" t="str">
        <f>'Ingest Template'!B975</f>
        <v/>
      </c>
      <c r="K975" s="25" t="str">
        <f>IF('Ingest Template'!A974="Standard",'Ingest Template'!N974,"Competitive View")</f>
        <v>Competitive View</v>
      </c>
      <c r="L975" s="41" t="s">
        <v>145</v>
      </c>
      <c r="M975" s="25" t="str">
        <f>'Ingest Template'!D974</f>
        <v/>
      </c>
      <c r="N975" s="25"/>
      <c r="O975" s="25"/>
      <c r="P975" s="25"/>
      <c r="Q975" s="25"/>
      <c r="R975" s="25" t="str">
        <f>CONCATENATE('Ingest Template'!F974)</f>
        <v/>
      </c>
      <c r="S975" s="43" t="s">
        <v>160</v>
      </c>
      <c r="T975" s="25" t="str">
        <f>'Ingest Template'!W974</f>
        <v/>
      </c>
      <c r="U975" s="25"/>
      <c r="V975" s="25" t="str">
        <f>LOWER(SUBSTITUTE(SUBSTITUTE(SUBSTITUTE(SUBSTITUTE(SUBSTITUTE('Ingest Template'!Y974,"https:",""),"www.",""),"/",""),"?hl=en",""),"instagram.com",""))</f>
        <v/>
      </c>
      <c r="W975" s="34" t="str">
        <f>(IFERROR(vlookup('Ingest Template'!F975,DropDown!D:E,2,false)&amp;'Ingest Template'!C975,""))</f>
        <v/>
      </c>
      <c r="X975" s="25" t="str">
        <f>'Ingest Template'!AA974</f>
        <v/>
      </c>
      <c r="Y975" s="25"/>
      <c r="Z975" s="25"/>
      <c r="AA975" s="25"/>
      <c r="AB975" s="25" t="str">
        <f>'Ingest Template'!T974</f>
        <v/>
      </c>
      <c r="AC975" s="25"/>
      <c r="AD975" s="25" t="str">
        <f>'Ingest Template'!U974</f>
        <v/>
      </c>
      <c r="AE975" s="25" t="str">
        <f>'Ingest Template'!V974</f>
        <v/>
      </c>
      <c r="AF975" s="25"/>
      <c r="AG975" s="25" t="str">
        <f t="array" ref="AG975">IF('Ingest Template'!A974="Standard",(CONCATENATE(IF(ISBLANK('Ingest Template'!O974),"", 'Ingest Template'!O974&amp;"|DAR"),CHAR(10), IF(ISBLANK('Ingest Template'!P974),"", 'Ingest Template'!P974&amp;"|DAR"),CHAR(10), IF(ISBLANK('Ingest Template'!Q974),"", 'Ingest Template'!Q974&amp;"|DAR"))),(CONCATENATE(IF(ISBLANK('Ingest Template'!O974),"", 'Ingest Template'!O974&amp;"|Operations - Core Title"),CHAR(10), IF(ISBLANK('Ingest Template'!P974),"", 'Ingest Template'!P974&amp;"|Operations - Core Title"),CHAR(10), IF(ISBLANK('Ingest Template'!Q974),"", 'Ingest Template'!Q974&amp;"|Operations - Core Title"))))</f>
        <v>#|Operations - Core Title
#videoGame|Operations - Core Title
</v>
      </c>
      <c r="AH975" s="25"/>
      <c r="AI975" s="25"/>
      <c r="AJ975" s="50" t="str">
        <f>if('Ingest Template'!A974="Standard",'Ingest Template'!R974&amp; "|DAR|DAR|2021-01-01",'Ingest Template'!R974&amp; "|Operations - Core Title|Operations - Core Title")</f>
        <v>#N/A</v>
      </c>
      <c r="AK975" s="25"/>
      <c r="AL975" s="25" t="str">
        <f>if('Ingest Template'!A974="Standard",'Ingest Template'!S974&amp; "|2021-01-01",'Ingest Template'!S974)</f>
        <v>#N/A</v>
      </c>
      <c r="AM975" s="25"/>
    </row>
    <row r="976">
      <c r="A976" s="25"/>
      <c r="B976" s="25" t="str">
        <f>'Ingest Template'!C975&amp;IF('Ingest Template'!A975 = "Standard", " - DAR","")</f>
        <v/>
      </c>
      <c r="C976" s="34" t="s">
        <v>92</v>
      </c>
      <c r="D976" s="34" t="str">
        <f>CONCATENATE('Ingest Template'!E976&amp;Char(10)&amp;'Ingest Template'!G976&amp;Char(10)&amp;'Ingest Template'!H976&amp;Char(10)&amp;'Ingest Template'!I976&amp;Char(10)&amp;'Ingest Template'!J976&amp;Char(10)&amp;'Ingest Template'!K976&amp;Char(10)&amp;'Ingest Template'!L976)</f>
        <v>
</v>
      </c>
      <c r="E976" s="25" t="str">
        <f>('Ingest Template'!M976)</f>
        <v/>
      </c>
      <c r="F976" s="40" t="str">
        <f t="array" ref="F976">INDEX(DropDown!$J$2:$J$63,MATCH(1,COUNTIF(E976,DropDown!$I$2:$I$63),0))</f>
        <v>#N/A</v>
      </c>
      <c r="G976" s="25"/>
      <c r="H976" s="25"/>
      <c r="I976" s="25"/>
      <c r="J976" s="25" t="str">
        <f>'Ingest Template'!B976</f>
        <v/>
      </c>
      <c r="K976" s="25" t="str">
        <f>IF('Ingest Template'!A975="Standard",'Ingest Template'!N975,"Competitive View")</f>
        <v>Competitive View</v>
      </c>
      <c r="L976" s="41" t="s">
        <v>145</v>
      </c>
      <c r="M976" s="25" t="str">
        <f>'Ingest Template'!D975</f>
        <v/>
      </c>
      <c r="N976" s="25"/>
      <c r="O976" s="25"/>
      <c r="P976" s="25"/>
      <c r="Q976" s="25"/>
      <c r="R976" s="25" t="str">
        <f>CONCATENATE('Ingest Template'!F975)</f>
        <v/>
      </c>
      <c r="S976" s="43" t="s">
        <v>160</v>
      </c>
      <c r="T976" s="25" t="str">
        <f>'Ingest Template'!W975</f>
        <v/>
      </c>
      <c r="U976" s="25"/>
      <c r="V976" s="25" t="str">
        <f>LOWER(SUBSTITUTE(SUBSTITUTE(SUBSTITUTE(SUBSTITUTE(SUBSTITUTE('Ingest Template'!Y975,"https:",""),"www.",""),"/",""),"?hl=en",""),"instagram.com",""))</f>
        <v/>
      </c>
      <c r="W976" s="34" t="str">
        <f>(IFERROR(vlookup('Ingest Template'!F976,DropDown!D:E,2,false)&amp;'Ingest Template'!C976,""))</f>
        <v/>
      </c>
      <c r="X976" s="25" t="str">
        <f>'Ingest Template'!AA975</f>
        <v/>
      </c>
      <c r="Y976" s="25"/>
      <c r="Z976" s="25"/>
      <c r="AA976" s="25"/>
      <c r="AB976" s="25" t="str">
        <f>'Ingest Template'!T975</f>
        <v/>
      </c>
      <c r="AC976" s="25"/>
      <c r="AD976" s="25" t="str">
        <f>'Ingest Template'!U975</f>
        <v/>
      </c>
      <c r="AE976" s="25" t="str">
        <f>'Ingest Template'!V975</f>
        <v/>
      </c>
      <c r="AF976" s="25"/>
      <c r="AG976" s="25" t="str">
        <f t="array" ref="AG976">IF('Ingest Template'!A975="Standard",(CONCATENATE(IF(ISBLANK('Ingest Template'!O975),"", 'Ingest Template'!O975&amp;"|DAR"),CHAR(10), IF(ISBLANK('Ingest Template'!P975),"", 'Ingest Template'!P975&amp;"|DAR"),CHAR(10), IF(ISBLANK('Ingest Template'!Q975),"", 'Ingest Template'!Q975&amp;"|DAR"))),(CONCATENATE(IF(ISBLANK('Ingest Template'!O975),"", 'Ingest Template'!O975&amp;"|Operations - Core Title"),CHAR(10), IF(ISBLANK('Ingest Template'!P975),"", 'Ingest Template'!P975&amp;"|Operations - Core Title"),CHAR(10), IF(ISBLANK('Ingest Template'!Q975),"", 'Ingest Template'!Q975&amp;"|Operations - Core Title"))))</f>
        <v>#|Operations - Core Title
#videoGame|Operations - Core Title
</v>
      </c>
      <c r="AH976" s="25"/>
      <c r="AI976" s="25"/>
      <c r="AJ976" s="50" t="str">
        <f>if('Ingest Template'!A975="Standard",'Ingest Template'!R975&amp; "|DAR|DAR|2021-01-01",'Ingest Template'!R975&amp; "|Operations - Core Title|Operations - Core Title")</f>
        <v>#N/A</v>
      </c>
      <c r="AK976" s="25"/>
      <c r="AL976" s="25" t="str">
        <f>if('Ingest Template'!A975="Standard",'Ingest Template'!S975&amp; "|2021-01-01",'Ingest Template'!S975)</f>
        <v>#N/A</v>
      </c>
      <c r="AM976" s="25"/>
    </row>
    <row r="977">
      <c r="A977" s="25"/>
      <c r="B977" s="25" t="str">
        <f>'Ingest Template'!C976&amp;IF('Ingest Template'!A976 = "Standard", " - DAR","")</f>
        <v/>
      </c>
      <c r="C977" s="34" t="s">
        <v>92</v>
      </c>
      <c r="D977" s="34" t="str">
        <f>CONCATENATE('Ingest Template'!E977&amp;Char(10)&amp;'Ingest Template'!G977&amp;Char(10)&amp;'Ingest Template'!H977&amp;Char(10)&amp;'Ingest Template'!I977&amp;Char(10)&amp;'Ingest Template'!J977&amp;Char(10)&amp;'Ingest Template'!K977&amp;Char(10)&amp;'Ingest Template'!L977)</f>
        <v>
</v>
      </c>
      <c r="E977" s="25" t="str">
        <f>('Ingest Template'!M977)</f>
        <v/>
      </c>
      <c r="F977" s="40" t="str">
        <f t="array" ref="F977">INDEX(DropDown!$J$2:$J$63,MATCH(1,COUNTIF(E977,DropDown!$I$2:$I$63),0))</f>
        <v>#N/A</v>
      </c>
      <c r="G977" s="25"/>
      <c r="H977" s="25"/>
      <c r="I977" s="25"/>
      <c r="J977" s="25" t="str">
        <f>'Ingest Template'!B977</f>
        <v/>
      </c>
      <c r="K977" s="25" t="str">
        <f>IF('Ingest Template'!A976="Standard",'Ingest Template'!N976,"Competitive View")</f>
        <v>Competitive View</v>
      </c>
      <c r="L977" s="41" t="s">
        <v>145</v>
      </c>
      <c r="M977" s="25" t="str">
        <f>'Ingest Template'!D976</f>
        <v/>
      </c>
      <c r="N977" s="25"/>
      <c r="O977" s="25"/>
      <c r="P977" s="25"/>
      <c r="Q977" s="25"/>
      <c r="R977" s="25" t="str">
        <f>CONCATENATE('Ingest Template'!F976)</f>
        <v/>
      </c>
      <c r="S977" s="43" t="s">
        <v>160</v>
      </c>
      <c r="T977" s="25" t="str">
        <f>'Ingest Template'!W976</f>
        <v/>
      </c>
      <c r="U977" s="25"/>
      <c r="V977" s="25" t="str">
        <f>LOWER(SUBSTITUTE(SUBSTITUTE(SUBSTITUTE(SUBSTITUTE(SUBSTITUTE('Ingest Template'!Y976,"https:",""),"www.",""),"/",""),"?hl=en",""),"instagram.com",""))</f>
        <v/>
      </c>
      <c r="W977" s="34" t="str">
        <f>(IFERROR(vlookup('Ingest Template'!F977,DropDown!D:E,2,false)&amp;'Ingest Template'!C977,""))</f>
        <v/>
      </c>
      <c r="X977" s="25" t="str">
        <f>'Ingest Template'!AA976</f>
        <v/>
      </c>
      <c r="Y977" s="25"/>
      <c r="Z977" s="25"/>
      <c r="AA977" s="25"/>
      <c r="AB977" s="25" t="str">
        <f>'Ingest Template'!T976</f>
        <v/>
      </c>
      <c r="AC977" s="25"/>
      <c r="AD977" s="25" t="str">
        <f>'Ingest Template'!U976</f>
        <v/>
      </c>
      <c r="AE977" s="25" t="str">
        <f>'Ingest Template'!V976</f>
        <v/>
      </c>
      <c r="AF977" s="25"/>
      <c r="AG977" s="25" t="str">
        <f t="array" ref="AG977">IF('Ingest Template'!A976="Standard",(CONCATENATE(IF(ISBLANK('Ingest Template'!O976),"", 'Ingest Template'!O976&amp;"|DAR"),CHAR(10), IF(ISBLANK('Ingest Template'!P976),"", 'Ingest Template'!P976&amp;"|DAR"),CHAR(10), IF(ISBLANK('Ingest Template'!Q976),"", 'Ingest Template'!Q976&amp;"|DAR"))),(CONCATENATE(IF(ISBLANK('Ingest Template'!O976),"", 'Ingest Template'!O976&amp;"|Operations - Core Title"),CHAR(10), IF(ISBLANK('Ingest Template'!P976),"", 'Ingest Template'!P976&amp;"|Operations - Core Title"),CHAR(10), IF(ISBLANK('Ingest Template'!Q976),"", 'Ingest Template'!Q976&amp;"|Operations - Core Title"))))</f>
        <v>#|Operations - Core Title
#videoGame|Operations - Core Title
</v>
      </c>
      <c r="AH977" s="25"/>
      <c r="AI977" s="25"/>
      <c r="AJ977" s="50" t="str">
        <f>if('Ingest Template'!A976="Standard",'Ingest Template'!R976&amp; "|DAR|DAR|2021-01-01",'Ingest Template'!R976&amp; "|Operations - Core Title|Operations - Core Title")</f>
        <v>#N/A</v>
      </c>
      <c r="AK977" s="25"/>
      <c r="AL977" s="25" t="str">
        <f>if('Ingest Template'!A976="Standard",'Ingest Template'!S976&amp; "|2021-01-01",'Ingest Template'!S976)</f>
        <v>#N/A</v>
      </c>
      <c r="AM977" s="25"/>
    </row>
    <row r="978">
      <c r="A978" s="25"/>
      <c r="B978" s="25" t="str">
        <f>'Ingest Template'!C977&amp;IF('Ingest Template'!A977 = "Standard", " - DAR","")</f>
        <v/>
      </c>
      <c r="C978" s="34" t="s">
        <v>92</v>
      </c>
      <c r="D978" s="34" t="str">
        <f>CONCATENATE('Ingest Template'!E978&amp;Char(10)&amp;'Ingest Template'!G978&amp;Char(10)&amp;'Ingest Template'!H978&amp;Char(10)&amp;'Ingest Template'!I978&amp;Char(10)&amp;'Ingest Template'!J978&amp;Char(10)&amp;'Ingest Template'!K978&amp;Char(10)&amp;'Ingest Template'!L978)</f>
        <v>
</v>
      </c>
      <c r="E978" s="25" t="str">
        <f>('Ingest Template'!M978)</f>
        <v/>
      </c>
      <c r="F978" s="40" t="str">
        <f t="array" ref="F978">INDEX(DropDown!$J$2:$J$63,MATCH(1,COUNTIF(E978,DropDown!$I$2:$I$63),0))</f>
        <v>#N/A</v>
      </c>
      <c r="G978" s="25"/>
      <c r="H978" s="25"/>
      <c r="I978" s="25"/>
      <c r="J978" s="25" t="str">
        <f>'Ingest Template'!B978</f>
        <v/>
      </c>
      <c r="K978" s="25" t="str">
        <f>IF('Ingest Template'!A977="Standard",'Ingest Template'!N977,"Competitive View")</f>
        <v>Competitive View</v>
      </c>
      <c r="L978" s="41" t="s">
        <v>145</v>
      </c>
      <c r="M978" s="25" t="str">
        <f>'Ingest Template'!D977</f>
        <v/>
      </c>
      <c r="N978" s="25"/>
      <c r="O978" s="25"/>
      <c r="P978" s="25"/>
      <c r="Q978" s="25"/>
      <c r="R978" s="25" t="str">
        <f>CONCATENATE('Ingest Template'!F977)</f>
        <v/>
      </c>
      <c r="S978" s="43" t="s">
        <v>160</v>
      </c>
      <c r="T978" s="25" t="str">
        <f>'Ingest Template'!W977</f>
        <v/>
      </c>
      <c r="U978" s="25"/>
      <c r="V978" s="25" t="str">
        <f>LOWER(SUBSTITUTE(SUBSTITUTE(SUBSTITUTE(SUBSTITUTE(SUBSTITUTE('Ingest Template'!Y977,"https:",""),"www.",""),"/",""),"?hl=en",""),"instagram.com",""))</f>
        <v/>
      </c>
      <c r="W978" s="34" t="str">
        <f>(IFERROR(vlookup('Ingest Template'!F978,DropDown!D:E,2,false)&amp;'Ingest Template'!C978,""))</f>
        <v/>
      </c>
      <c r="X978" s="25" t="str">
        <f>'Ingest Template'!AA977</f>
        <v/>
      </c>
      <c r="Y978" s="25"/>
      <c r="Z978" s="25"/>
      <c r="AA978" s="25"/>
      <c r="AB978" s="25" t="str">
        <f>'Ingest Template'!T977</f>
        <v/>
      </c>
      <c r="AC978" s="25"/>
      <c r="AD978" s="25" t="str">
        <f>'Ingest Template'!U977</f>
        <v/>
      </c>
      <c r="AE978" s="25" t="str">
        <f>'Ingest Template'!V977</f>
        <v/>
      </c>
      <c r="AF978" s="25"/>
      <c r="AG978" s="25" t="str">
        <f t="array" ref="AG978">IF('Ingest Template'!A977="Standard",(CONCATENATE(IF(ISBLANK('Ingest Template'!O977),"", 'Ingest Template'!O977&amp;"|DAR"),CHAR(10), IF(ISBLANK('Ingest Template'!P977),"", 'Ingest Template'!P977&amp;"|DAR"),CHAR(10), IF(ISBLANK('Ingest Template'!Q977),"", 'Ingest Template'!Q977&amp;"|DAR"))),(CONCATENATE(IF(ISBLANK('Ingest Template'!O977),"", 'Ingest Template'!O977&amp;"|Operations - Core Title"),CHAR(10), IF(ISBLANK('Ingest Template'!P977),"", 'Ingest Template'!P977&amp;"|Operations - Core Title"),CHAR(10), IF(ISBLANK('Ingest Template'!Q977),"", 'Ingest Template'!Q977&amp;"|Operations - Core Title"))))</f>
        <v>#|Operations - Core Title
#videoGame|Operations - Core Title
</v>
      </c>
      <c r="AH978" s="25"/>
      <c r="AI978" s="25"/>
      <c r="AJ978" s="50" t="str">
        <f>if('Ingest Template'!A977="Standard",'Ingest Template'!R977&amp; "|DAR|DAR|2021-01-01",'Ingest Template'!R977&amp; "|Operations - Core Title|Operations - Core Title")</f>
        <v>#N/A</v>
      </c>
      <c r="AK978" s="25"/>
      <c r="AL978" s="25" t="str">
        <f>if('Ingest Template'!A977="Standard",'Ingest Template'!S977&amp; "|2021-01-01",'Ingest Template'!S977)</f>
        <v>#N/A</v>
      </c>
      <c r="AM978" s="25"/>
    </row>
    <row r="979">
      <c r="A979" s="25"/>
      <c r="B979" s="25" t="str">
        <f>'Ingest Template'!C978&amp;IF('Ingest Template'!A978 = "Standard", " - DAR","")</f>
        <v/>
      </c>
      <c r="C979" s="34" t="s">
        <v>92</v>
      </c>
      <c r="D979" s="34" t="str">
        <f>CONCATENATE('Ingest Template'!E979&amp;Char(10)&amp;'Ingest Template'!G979&amp;Char(10)&amp;'Ingest Template'!H979&amp;Char(10)&amp;'Ingest Template'!I979&amp;Char(10)&amp;'Ingest Template'!J979&amp;Char(10)&amp;'Ingest Template'!K979&amp;Char(10)&amp;'Ingest Template'!L979)</f>
        <v>
</v>
      </c>
      <c r="E979" s="25" t="str">
        <f>('Ingest Template'!M979)</f>
        <v/>
      </c>
      <c r="F979" s="40" t="str">
        <f t="array" ref="F979">INDEX(DropDown!$J$2:$J$63,MATCH(1,COUNTIF(E979,DropDown!$I$2:$I$63),0))</f>
        <v>#N/A</v>
      </c>
      <c r="G979" s="25"/>
      <c r="H979" s="25"/>
      <c r="I979" s="25"/>
      <c r="J979" s="25" t="str">
        <f>'Ingest Template'!B979</f>
        <v/>
      </c>
      <c r="K979" s="25" t="str">
        <f>IF('Ingest Template'!A978="Standard",'Ingest Template'!N978,"Competitive View")</f>
        <v>Competitive View</v>
      </c>
      <c r="L979" s="41" t="s">
        <v>145</v>
      </c>
      <c r="M979" s="25" t="str">
        <f>'Ingest Template'!D978</f>
        <v/>
      </c>
      <c r="N979" s="25"/>
      <c r="O979" s="25"/>
      <c r="P979" s="25"/>
      <c r="Q979" s="25"/>
      <c r="R979" s="25" t="str">
        <f>CONCATENATE('Ingest Template'!F978)</f>
        <v/>
      </c>
      <c r="S979" s="43" t="s">
        <v>160</v>
      </c>
      <c r="T979" s="25" t="str">
        <f>'Ingest Template'!W978</f>
        <v/>
      </c>
      <c r="U979" s="25"/>
      <c r="V979" s="25" t="str">
        <f>LOWER(SUBSTITUTE(SUBSTITUTE(SUBSTITUTE(SUBSTITUTE(SUBSTITUTE('Ingest Template'!Y978,"https:",""),"www.",""),"/",""),"?hl=en",""),"instagram.com",""))</f>
        <v/>
      </c>
      <c r="W979" s="34" t="str">
        <f>(IFERROR(vlookup('Ingest Template'!F979,DropDown!D:E,2,false)&amp;'Ingest Template'!C979,""))</f>
        <v/>
      </c>
      <c r="X979" s="25" t="str">
        <f>'Ingest Template'!AA978</f>
        <v/>
      </c>
      <c r="Y979" s="25"/>
      <c r="Z979" s="25"/>
      <c r="AA979" s="25"/>
      <c r="AB979" s="25" t="str">
        <f>'Ingest Template'!T978</f>
        <v/>
      </c>
      <c r="AC979" s="25"/>
      <c r="AD979" s="25" t="str">
        <f>'Ingest Template'!U978</f>
        <v/>
      </c>
      <c r="AE979" s="25" t="str">
        <f>'Ingest Template'!V978</f>
        <v/>
      </c>
      <c r="AF979" s="25"/>
      <c r="AG979" s="25" t="str">
        <f t="array" ref="AG979">IF('Ingest Template'!A978="Standard",(CONCATENATE(IF(ISBLANK('Ingest Template'!O978),"", 'Ingest Template'!O978&amp;"|DAR"),CHAR(10), IF(ISBLANK('Ingest Template'!P978),"", 'Ingest Template'!P978&amp;"|DAR"),CHAR(10), IF(ISBLANK('Ingest Template'!Q978),"", 'Ingest Template'!Q978&amp;"|DAR"))),(CONCATENATE(IF(ISBLANK('Ingest Template'!O978),"", 'Ingest Template'!O978&amp;"|Operations - Core Title"),CHAR(10), IF(ISBLANK('Ingest Template'!P978),"", 'Ingest Template'!P978&amp;"|Operations - Core Title"),CHAR(10), IF(ISBLANK('Ingest Template'!Q978),"", 'Ingest Template'!Q978&amp;"|Operations - Core Title"))))</f>
        <v>#|Operations - Core Title
#videoGame|Operations - Core Title
</v>
      </c>
      <c r="AH979" s="25"/>
      <c r="AI979" s="25"/>
      <c r="AJ979" s="50" t="str">
        <f>if('Ingest Template'!A978="Standard",'Ingest Template'!R978&amp; "|DAR|DAR|2021-01-01",'Ingest Template'!R978&amp; "|Operations - Core Title|Operations - Core Title")</f>
        <v>#N/A</v>
      </c>
      <c r="AK979" s="25"/>
      <c r="AL979" s="25" t="str">
        <f>if('Ingest Template'!A978="Standard",'Ingest Template'!S978&amp; "|2021-01-01",'Ingest Template'!S978)</f>
        <v>#N/A</v>
      </c>
      <c r="AM979" s="25"/>
    </row>
    <row r="980">
      <c r="A980" s="25"/>
      <c r="B980" s="25" t="str">
        <f>'Ingest Template'!C979&amp;IF('Ingest Template'!A979 = "Standard", " - DAR","")</f>
        <v/>
      </c>
      <c r="C980" s="34" t="s">
        <v>92</v>
      </c>
      <c r="D980" s="34" t="str">
        <f>CONCATENATE('Ingest Template'!E980&amp;Char(10)&amp;'Ingest Template'!G980&amp;Char(10)&amp;'Ingest Template'!H980&amp;Char(10)&amp;'Ingest Template'!I980&amp;Char(10)&amp;'Ingest Template'!J980&amp;Char(10)&amp;'Ingest Template'!K980&amp;Char(10)&amp;'Ingest Template'!L980)</f>
        <v>
</v>
      </c>
      <c r="E980" s="25" t="str">
        <f>('Ingest Template'!M980)</f>
        <v/>
      </c>
      <c r="F980" s="40" t="str">
        <f t="array" ref="F980">INDEX(DropDown!$J$2:$J$63,MATCH(1,COUNTIF(E980,DropDown!$I$2:$I$63),0))</f>
        <v>#N/A</v>
      </c>
      <c r="G980" s="25"/>
      <c r="H980" s="25"/>
      <c r="I980" s="25"/>
      <c r="J980" s="25" t="str">
        <f>'Ingest Template'!B980</f>
        <v/>
      </c>
      <c r="K980" s="25" t="str">
        <f>IF('Ingest Template'!A979="Standard",'Ingest Template'!N979,"Competitive View")</f>
        <v>Competitive View</v>
      </c>
      <c r="L980" s="41" t="s">
        <v>145</v>
      </c>
      <c r="M980" s="25" t="str">
        <f>'Ingest Template'!D979</f>
        <v/>
      </c>
      <c r="N980" s="25"/>
      <c r="O980" s="25"/>
      <c r="P980" s="25"/>
      <c r="Q980" s="25"/>
      <c r="R980" s="25" t="str">
        <f>CONCATENATE('Ingest Template'!F979)</f>
        <v/>
      </c>
      <c r="S980" s="43" t="s">
        <v>160</v>
      </c>
      <c r="T980" s="25" t="str">
        <f>'Ingest Template'!W979</f>
        <v/>
      </c>
      <c r="U980" s="25"/>
      <c r="V980" s="25" t="str">
        <f>LOWER(SUBSTITUTE(SUBSTITUTE(SUBSTITUTE(SUBSTITUTE(SUBSTITUTE('Ingest Template'!Y979,"https:",""),"www.",""),"/",""),"?hl=en",""),"instagram.com",""))</f>
        <v/>
      </c>
      <c r="W980" s="34" t="str">
        <f>(IFERROR(vlookup('Ingest Template'!F980,DropDown!D:E,2,false)&amp;'Ingest Template'!C980,""))</f>
        <v/>
      </c>
      <c r="X980" s="25" t="str">
        <f>'Ingest Template'!AA979</f>
        <v/>
      </c>
      <c r="Y980" s="25"/>
      <c r="Z980" s="25"/>
      <c r="AA980" s="25"/>
      <c r="AB980" s="25" t="str">
        <f>'Ingest Template'!T979</f>
        <v/>
      </c>
      <c r="AC980" s="25"/>
      <c r="AD980" s="25" t="str">
        <f>'Ingest Template'!U979</f>
        <v/>
      </c>
      <c r="AE980" s="25" t="str">
        <f>'Ingest Template'!V979</f>
        <v/>
      </c>
      <c r="AF980" s="25"/>
      <c r="AG980" s="25" t="str">
        <f t="array" ref="AG980">IF('Ingest Template'!A979="Standard",(CONCATENATE(IF(ISBLANK('Ingest Template'!O979),"", 'Ingest Template'!O979&amp;"|DAR"),CHAR(10), IF(ISBLANK('Ingest Template'!P979),"", 'Ingest Template'!P979&amp;"|DAR"),CHAR(10), IF(ISBLANK('Ingest Template'!Q979),"", 'Ingest Template'!Q979&amp;"|DAR"))),(CONCATENATE(IF(ISBLANK('Ingest Template'!O979),"", 'Ingest Template'!O979&amp;"|Operations - Core Title"),CHAR(10), IF(ISBLANK('Ingest Template'!P979),"", 'Ingest Template'!P979&amp;"|Operations - Core Title"),CHAR(10), IF(ISBLANK('Ingest Template'!Q979),"", 'Ingest Template'!Q979&amp;"|Operations - Core Title"))))</f>
        <v>#|Operations - Core Title
#videoGame|Operations - Core Title
</v>
      </c>
      <c r="AH980" s="25"/>
      <c r="AI980" s="25"/>
      <c r="AJ980" s="50" t="str">
        <f>if('Ingest Template'!A979="Standard",'Ingest Template'!R979&amp; "|DAR|DAR|2021-01-01",'Ingest Template'!R979&amp; "|Operations - Core Title|Operations - Core Title")</f>
        <v>#N/A</v>
      </c>
      <c r="AK980" s="25"/>
      <c r="AL980" s="25" t="str">
        <f>if('Ingest Template'!A979="Standard",'Ingest Template'!S979&amp; "|2021-01-01",'Ingest Template'!S979)</f>
        <v>#N/A</v>
      </c>
      <c r="AM980" s="25"/>
    </row>
    <row r="981">
      <c r="A981" s="25"/>
      <c r="B981" s="25" t="str">
        <f>'Ingest Template'!C980&amp;IF('Ingest Template'!A980 = "Standard", " - DAR","")</f>
        <v/>
      </c>
      <c r="C981" s="34" t="s">
        <v>92</v>
      </c>
      <c r="D981" s="34" t="str">
        <f>CONCATENATE('Ingest Template'!E981&amp;Char(10)&amp;'Ingest Template'!G981&amp;Char(10)&amp;'Ingest Template'!H981&amp;Char(10)&amp;'Ingest Template'!I981&amp;Char(10)&amp;'Ingest Template'!J981&amp;Char(10)&amp;'Ingest Template'!K981&amp;Char(10)&amp;'Ingest Template'!L981)</f>
        <v>
</v>
      </c>
      <c r="E981" s="25" t="str">
        <f>('Ingest Template'!M981)</f>
        <v/>
      </c>
      <c r="F981" s="40" t="str">
        <f t="array" ref="F981">INDEX(DropDown!$J$2:$J$63,MATCH(1,COUNTIF(E981,DropDown!$I$2:$I$63),0))</f>
        <v>#N/A</v>
      </c>
      <c r="G981" s="25"/>
      <c r="H981" s="25"/>
      <c r="I981" s="25"/>
      <c r="J981" s="25" t="str">
        <f>'Ingest Template'!B981</f>
        <v/>
      </c>
      <c r="K981" s="25" t="str">
        <f>IF('Ingest Template'!A980="Standard",'Ingest Template'!N980,"Competitive View")</f>
        <v>Competitive View</v>
      </c>
      <c r="L981" s="41" t="s">
        <v>145</v>
      </c>
      <c r="M981" s="25" t="str">
        <f>'Ingest Template'!D980</f>
        <v/>
      </c>
      <c r="N981" s="25"/>
      <c r="O981" s="25"/>
      <c r="P981" s="25"/>
      <c r="Q981" s="25"/>
      <c r="R981" s="25" t="str">
        <f>CONCATENATE('Ingest Template'!F980)</f>
        <v/>
      </c>
      <c r="S981" s="43" t="s">
        <v>160</v>
      </c>
      <c r="T981" s="25" t="str">
        <f>'Ingest Template'!W980</f>
        <v/>
      </c>
      <c r="U981" s="25"/>
      <c r="V981" s="25" t="str">
        <f>LOWER(SUBSTITUTE(SUBSTITUTE(SUBSTITUTE(SUBSTITUTE(SUBSTITUTE('Ingest Template'!Y980,"https:",""),"www.",""),"/",""),"?hl=en",""),"instagram.com",""))</f>
        <v/>
      </c>
      <c r="W981" s="34" t="str">
        <f>(IFERROR(vlookup('Ingest Template'!F981,DropDown!D:E,2,false)&amp;'Ingest Template'!C981,""))</f>
        <v/>
      </c>
      <c r="X981" s="25" t="str">
        <f>'Ingest Template'!AA980</f>
        <v/>
      </c>
      <c r="Y981" s="25"/>
      <c r="Z981" s="25"/>
      <c r="AA981" s="25"/>
      <c r="AB981" s="25" t="str">
        <f>'Ingest Template'!T980</f>
        <v/>
      </c>
      <c r="AC981" s="25"/>
      <c r="AD981" s="25" t="str">
        <f>'Ingest Template'!U980</f>
        <v/>
      </c>
      <c r="AE981" s="25" t="str">
        <f>'Ingest Template'!V980</f>
        <v/>
      </c>
      <c r="AF981" s="25"/>
      <c r="AG981" s="25" t="str">
        <f t="array" ref="AG981">IF('Ingest Template'!A980="Standard",(CONCATENATE(IF(ISBLANK('Ingest Template'!O980),"", 'Ingest Template'!O980&amp;"|DAR"),CHAR(10), IF(ISBLANK('Ingest Template'!P980),"", 'Ingest Template'!P980&amp;"|DAR"),CHAR(10), IF(ISBLANK('Ingest Template'!Q980),"", 'Ingest Template'!Q980&amp;"|DAR"))),(CONCATENATE(IF(ISBLANK('Ingest Template'!O980),"", 'Ingest Template'!O980&amp;"|Operations - Core Title"),CHAR(10), IF(ISBLANK('Ingest Template'!P980),"", 'Ingest Template'!P980&amp;"|Operations - Core Title"),CHAR(10), IF(ISBLANK('Ingest Template'!Q980),"", 'Ingest Template'!Q980&amp;"|Operations - Core Title"))))</f>
        <v>#|Operations - Core Title
#videoGame|Operations - Core Title
</v>
      </c>
      <c r="AH981" s="25"/>
      <c r="AI981" s="25"/>
      <c r="AJ981" s="50" t="str">
        <f>if('Ingest Template'!A980="Standard",'Ingest Template'!R980&amp; "|DAR|DAR|2021-01-01",'Ingest Template'!R980&amp; "|Operations - Core Title|Operations - Core Title")</f>
        <v>#N/A</v>
      </c>
      <c r="AK981" s="25"/>
      <c r="AL981" s="25" t="str">
        <f>if('Ingest Template'!A980="Standard",'Ingest Template'!S980&amp; "|2021-01-01",'Ingest Template'!S980)</f>
        <v>#N/A</v>
      </c>
      <c r="AM981" s="25"/>
    </row>
    <row r="982">
      <c r="A982" s="25"/>
      <c r="B982" s="25" t="str">
        <f>'Ingest Template'!C981&amp;IF('Ingest Template'!A981 = "Standard", " - DAR","")</f>
        <v/>
      </c>
      <c r="C982" s="34" t="s">
        <v>92</v>
      </c>
      <c r="D982" s="34" t="str">
        <f>CONCATENATE('Ingest Template'!E982&amp;Char(10)&amp;'Ingest Template'!G982&amp;Char(10)&amp;'Ingest Template'!H982&amp;Char(10)&amp;'Ingest Template'!I982&amp;Char(10)&amp;'Ingest Template'!J982&amp;Char(10)&amp;'Ingest Template'!K982&amp;Char(10)&amp;'Ingest Template'!L982)</f>
        <v>
</v>
      </c>
      <c r="E982" s="25" t="str">
        <f>('Ingest Template'!M982)</f>
        <v/>
      </c>
      <c r="F982" s="40" t="str">
        <f t="array" ref="F982">INDEX(DropDown!$J$2:$J$63,MATCH(1,COUNTIF(E982,DropDown!$I$2:$I$63),0))</f>
        <v>#N/A</v>
      </c>
      <c r="G982" s="25"/>
      <c r="H982" s="25"/>
      <c r="I982" s="25"/>
      <c r="J982" s="25" t="str">
        <f>'Ingest Template'!B982</f>
        <v/>
      </c>
      <c r="K982" s="25" t="str">
        <f>IF('Ingest Template'!A981="Standard",'Ingest Template'!N981,"Competitive View")</f>
        <v>Competitive View</v>
      </c>
      <c r="L982" s="41" t="s">
        <v>145</v>
      </c>
      <c r="M982" s="25" t="str">
        <f>'Ingest Template'!D981</f>
        <v/>
      </c>
      <c r="N982" s="25"/>
      <c r="O982" s="25"/>
      <c r="P982" s="25"/>
      <c r="Q982" s="25"/>
      <c r="R982" s="25" t="str">
        <f>CONCATENATE('Ingest Template'!F981)</f>
        <v/>
      </c>
      <c r="S982" s="43" t="s">
        <v>160</v>
      </c>
      <c r="T982" s="25" t="str">
        <f>'Ingest Template'!W981</f>
        <v/>
      </c>
      <c r="U982" s="25"/>
      <c r="V982" s="25" t="str">
        <f>LOWER(SUBSTITUTE(SUBSTITUTE(SUBSTITUTE(SUBSTITUTE(SUBSTITUTE('Ingest Template'!Y981,"https:",""),"www.",""),"/",""),"?hl=en",""),"instagram.com",""))</f>
        <v/>
      </c>
      <c r="W982" s="34" t="str">
        <f>(IFERROR(vlookup('Ingest Template'!F982,DropDown!D:E,2,false)&amp;'Ingest Template'!C982,""))</f>
        <v/>
      </c>
      <c r="X982" s="25" t="str">
        <f>'Ingest Template'!AA981</f>
        <v/>
      </c>
      <c r="Y982" s="25"/>
      <c r="Z982" s="25"/>
      <c r="AA982" s="25"/>
      <c r="AB982" s="25" t="str">
        <f>'Ingest Template'!T981</f>
        <v/>
      </c>
      <c r="AC982" s="25"/>
      <c r="AD982" s="25" t="str">
        <f>'Ingest Template'!U981</f>
        <v/>
      </c>
      <c r="AE982" s="25" t="str">
        <f>'Ingest Template'!V981</f>
        <v/>
      </c>
      <c r="AF982" s="25"/>
      <c r="AG982" s="25" t="str">
        <f t="array" ref="AG982">IF('Ingest Template'!A981="Standard",(CONCATENATE(IF(ISBLANK('Ingest Template'!O981),"", 'Ingest Template'!O981&amp;"|DAR"),CHAR(10), IF(ISBLANK('Ingest Template'!P981),"", 'Ingest Template'!P981&amp;"|DAR"),CHAR(10), IF(ISBLANK('Ingest Template'!Q981),"", 'Ingest Template'!Q981&amp;"|DAR"))),(CONCATENATE(IF(ISBLANK('Ingest Template'!O981),"", 'Ingest Template'!O981&amp;"|Operations - Core Title"),CHAR(10), IF(ISBLANK('Ingest Template'!P981),"", 'Ingest Template'!P981&amp;"|Operations - Core Title"),CHAR(10), IF(ISBLANK('Ingest Template'!Q981),"", 'Ingest Template'!Q981&amp;"|Operations - Core Title"))))</f>
        <v>#|Operations - Core Title
#videoGame|Operations - Core Title
</v>
      </c>
      <c r="AH982" s="25"/>
      <c r="AI982" s="25"/>
      <c r="AJ982" s="50" t="str">
        <f>if('Ingest Template'!A981="Standard",'Ingest Template'!R981&amp; "|DAR|DAR|2021-01-01",'Ingest Template'!R981&amp; "|Operations - Core Title|Operations - Core Title")</f>
        <v>#N/A</v>
      </c>
      <c r="AK982" s="25"/>
      <c r="AL982" s="25" t="str">
        <f>if('Ingest Template'!A981="Standard",'Ingest Template'!S981&amp; "|2021-01-01",'Ingest Template'!S981)</f>
        <v>#N/A</v>
      </c>
      <c r="AM982" s="25"/>
    </row>
    <row r="983">
      <c r="A983" s="25"/>
      <c r="B983" s="25" t="str">
        <f>'Ingest Template'!C982&amp;IF('Ingest Template'!A982 = "Standard", " - DAR","")</f>
        <v/>
      </c>
      <c r="C983" s="34" t="s">
        <v>92</v>
      </c>
      <c r="D983" s="34" t="str">
        <f>CONCATENATE('Ingest Template'!E983&amp;Char(10)&amp;'Ingest Template'!G983&amp;Char(10)&amp;'Ingest Template'!H983&amp;Char(10)&amp;'Ingest Template'!I983&amp;Char(10)&amp;'Ingest Template'!J983&amp;Char(10)&amp;'Ingest Template'!K983&amp;Char(10)&amp;'Ingest Template'!L983)</f>
        <v>
</v>
      </c>
      <c r="E983" s="25" t="str">
        <f>('Ingest Template'!M983)</f>
        <v/>
      </c>
      <c r="F983" s="40" t="str">
        <f t="array" ref="F983">INDEX(DropDown!$J$2:$J$63,MATCH(1,COUNTIF(E983,DropDown!$I$2:$I$63),0))</f>
        <v>#N/A</v>
      </c>
      <c r="G983" s="25"/>
      <c r="H983" s="25"/>
      <c r="I983" s="25"/>
      <c r="J983" s="25" t="str">
        <f>'Ingest Template'!B983</f>
        <v/>
      </c>
      <c r="K983" s="25" t="str">
        <f>IF('Ingest Template'!A982="Standard",'Ingest Template'!N982,"Competitive View")</f>
        <v>Competitive View</v>
      </c>
      <c r="L983" s="41" t="s">
        <v>145</v>
      </c>
      <c r="M983" s="25" t="str">
        <f>'Ingest Template'!D982</f>
        <v/>
      </c>
      <c r="N983" s="25"/>
      <c r="O983" s="25"/>
      <c r="P983" s="25"/>
      <c r="Q983" s="25"/>
      <c r="R983" s="25" t="str">
        <f>CONCATENATE('Ingest Template'!F982)</f>
        <v/>
      </c>
      <c r="S983" s="43" t="s">
        <v>160</v>
      </c>
      <c r="T983" s="25" t="str">
        <f>'Ingest Template'!W982</f>
        <v/>
      </c>
      <c r="U983" s="25"/>
      <c r="V983" s="25" t="str">
        <f>LOWER(SUBSTITUTE(SUBSTITUTE(SUBSTITUTE(SUBSTITUTE(SUBSTITUTE('Ingest Template'!Y982,"https:",""),"www.",""),"/",""),"?hl=en",""),"instagram.com",""))</f>
        <v/>
      </c>
      <c r="W983" s="34" t="str">
        <f>(IFERROR(vlookup('Ingest Template'!F983,DropDown!D:E,2,false)&amp;'Ingest Template'!C983,""))</f>
        <v/>
      </c>
      <c r="X983" s="25" t="str">
        <f>'Ingest Template'!AA982</f>
        <v/>
      </c>
      <c r="Y983" s="25"/>
      <c r="Z983" s="25"/>
      <c r="AA983" s="25"/>
      <c r="AB983" s="25" t="str">
        <f>'Ingest Template'!T982</f>
        <v/>
      </c>
      <c r="AC983" s="25"/>
      <c r="AD983" s="25" t="str">
        <f>'Ingest Template'!U982</f>
        <v/>
      </c>
      <c r="AE983" s="25" t="str">
        <f>'Ingest Template'!V982</f>
        <v/>
      </c>
      <c r="AF983" s="25"/>
      <c r="AG983" s="25" t="str">
        <f t="array" ref="AG983">IF('Ingest Template'!A982="Standard",(CONCATENATE(IF(ISBLANK('Ingest Template'!O982),"", 'Ingest Template'!O982&amp;"|DAR"),CHAR(10), IF(ISBLANK('Ingest Template'!P982),"", 'Ingest Template'!P982&amp;"|DAR"),CHAR(10), IF(ISBLANK('Ingest Template'!Q982),"", 'Ingest Template'!Q982&amp;"|DAR"))),(CONCATENATE(IF(ISBLANK('Ingest Template'!O982),"", 'Ingest Template'!O982&amp;"|Operations - Core Title"),CHAR(10), IF(ISBLANK('Ingest Template'!P982),"", 'Ingest Template'!P982&amp;"|Operations - Core Title"),CHAR(10), IF(ISBLANK('Ingest Template'!Q982),"", 'Ingest Template'!Q982&amp;"|Operations - Core Title"))))</f>
        <v>#|Operations - Core Title
#videoGame|Operations - Core Title
</v>
      </c>
      <c r="AH983" s="25"/>
      <c r="AI983" s="25"/>
      <c r="AJ983" s="50" t="str">
        <f>if('Ingest Template'!A982="Standard",'Ingest Template'!R982&amp; "|DAR|DAR|2021-01-01",'Ingest Template'!R982&amp; "|Operations - Core Title|Operations - Core Title")</f>
        <v>#N/A</v>
      </c>
      <c r="AK983" s="25"/>
      <c r="AL983" s="25" t="str">
        <f>if('Ingest Template'!A982="Standard",'Ingest Template'!S982&amp; "|2021-01-01",'Ingest Template'!S982)</f>
        <v>#N/A</v>
      </c>
      <c r="AM983" s="25"/>
    </row>
    <row r="984">
      <c r="A984" s="25"/>
      <c r="B984" s="25" t="str">
        <f>'Ingest Template'!C983&amp;IF('Ingest Template'!A983 = "Standard", " - DAR","")</f>
        <v/>
      </c>
      <c r="C984" s="34" t="s">
        <v>92</v>
      </c>
      <c r="D984" s="34" t="str">
        <f>CONCATENATE('Ingest Template'!E984&amp;Char(10)&amp;'Ingest Template'!G984&amp;Char(10)&amp;'Ingest Template'!H984&amp;Char(10)&amp;'Ingest Template'!I984&amp;Char(10)&amp;'Ingest Template'!J984&amp;Char(10)&amp;'Ingest Template'!K984&amp;Char(10)&amp;'Ingest Template'!L984)</f>
        <v>
</v>
      </c>
      <c r="E984" s="25" t="str">
        <f>('Ingest Template'!M984)</f>
        <v/>
      </c>
      <c r="F984" s="40" t="str">
        <f t="array" ref="F984">INDEX(DropDown!$J$2:$J$63,MATCH(1,COUNTIF(E984,DropDown!$I$2:$I$63),0))</f>
        <v>#N/A</v>
      </c>
      <c r="G984" s="25"/>
      <c r="H984" s="25"/>
      <c r="I984" s="25"/>
      <c r="J984" s="25" t="str">
        <f>'Ingest Template'!B984</f>
        <v/>
      </c>
      <c r="K984" s="25" t="str">
        <f>IF('Ingest Template'!A983="Standard",'Ingest Template'!N983,"Competitive View")</f>
        <v>Competitive View</v>
      </c>
      <c r="L984" s="41" t="s">
        <v>145</v>
      </c>
      <c r="M984" s="25" t="str">
        <f>'Ingest Template'!D983</f>
        <v/>
      </c>
      <c r="N984" s="25"/>
      <c r="O984" s="25"/>
      <c r="P984" s="25"/>
      <c r="Q984" s="25"/>
      <c r="R984" s="25" t="str">
        <f>CONCATENATE('Ingest Template'!F983)</f>
        <v/>
      </c>
      <c r="S984" s="43" t="s">
        <v>160</v>
      </c>
      <c r="T984" s="25" t="str">
        <f>'Ingest Template'!W983</f>
        <v/>
      </c>
      <c r="U984" s="25"/>
      <c r="V984" s="25" t="str">
        <f>LOWER(SUBSTITUTE(SUBSTITUTE(SUBSTITUTE(SUBSTITUTE(SUBSTITUTE('Ingest Template'!Y983,"https:",""),"www.",""),"/",""),"?hl=en",""),"instagram.com",""))</f>
        <v/>
      </c>
      <c r="W984" s="34" t="str">
        <f>(IFERROR(vlookup('Ingest Template'!F984,DropDown!D:E,2,false)&amp;'Ingest Template'!C984,""))</f>
        <v/>
      </c>
      <c r="X984" s="25" t="str">
        <f>'Ingest Template'!AA983</f>
        <v/>
      </c>
      <c r="Y984" s="25"/>
      <c r="Z984" s="25"/>
      <c r="AA984" s="25"/>
      <c r="AB984" s="25" t="str">
        <f>'Ingest Template'!T983</f>
        <v/>
      </c>
      <c r="AC984" s="25"/>
      <c r="AD984" s="25" t="str">
        <f>'Ingest Template'!U983</f>
        <v/>
      </c>
      <c r="AE984" s="25" t="str">
        <f>'Ingest Template'!V983</f>
        <v/>
      </c>
      <c r="AF984" s="25"/>
      <c r="AG984" s="25" t="str">
        <f t="array" ref="AG984">IF('Ingest Template'!A983="Standard",(CONCATENATE(IF(ISBLANK('Ingest Template'!O983),"", 'Ingest Template'!O983&amp;"|DAR"),CHAR(10), IF(ISBLANK('Ingest Template'!P983),"", 'Ingest Template'!P983&amp;"|DAR"),CHAR(10), IF(ISBLANK('Ingest Template'!Q983),"", 'Ingest Template'!Q983&amp;"|DAR"))),(CONCATENATE(IF(ISBLANK('Ingest Template'!O983),"", 'Ingest Template'!O983&amp;"|Operations - Core Title"),CHAR(10), IF(ISBLANK('Ingest Template'!P983),"", 'Ingest Template'!P983&amp;"|Operations - Core Title"),CHAR(10), IF(ISBLANK('Ingest Template'!Q983),"", 'Ingest Template'!Q983&amp;"|Operations - Core Title"))))</f>
        <v>#|Operations - Core Title
#videoGame|Operations - Core Title
</v>
      </c>
      <c r="AH984" s="25"/>
      <c r="AI984" s="25"/>
      <c r="AJ984" s="50" t="str">
        <f>if('Ingest Template'!A983="Standard",'Ingest Template'!R983&amp; "|DAR|DAR|2021-01-01",'Ingest Template'!R983&amp; "|Operations - Core Title|Operations - Core Title")</f>
        <v>#N/A</v>
      </c>
      <c r="AK984" s="25"/>
      <c r="AL984" s="25" t="str">
        <f>if('Ingest Template'!A983="Standard",'Ingest Template'!S983&amp; "|2021-01-01",'Ingest Template'!S983)</f>
        <v>#N/A</v>
      </c>
      <c r="AM984" s="25"/>
    </row>
    <row r="985">
      <c r="A985" s="25"/>
      <c r="B985" s="25" t="str">
        <f>'Ingest Template'!C984&amp;IF('Ingest Template'!A984 = "Standard", " - DAR","")</f>
        <v/>
      </c>
      <c r="C985" s="34" t="s">
        <v>92</v>
      </c>
      <c r="D985" s="34" t="str">
        <f>CONCATENATE('Ingest Template'!E985&amp;Char(10)&amp;'Ingest Template'!G985&amp;Char(10)&amp;'Ingest Template'!H985&amp;Char(10)&amp;'Ingest Template'!I985&amp;Char(10)&amp;'Ingest Template'!J985&amp;Char(10)&amp;'Ingest Template'!K985&amp;Char(10)&amp;'Ingest Template'!L985)</f>
        <v>
</v>
      </c>
      <c r="E985" s="25" t="str">
        <f>('Ingest Template'!M985)</f>
        <v/>
      </c>
      <c r="F985" s="40" t="str">
        <f t="array" ref="F985">INDEX(DropDown!$J$2:$J$63,MATCH(1,COUNTIF(E985,DropDown!$I$2:$I$63),0))</f>
        <v>#N/A</v>
      </c>
      <c r="G985" s="25"/>
      <c r="H985" s="25"/>
      <c r="I985" s="25"/>
      <c r="J985" s="25" t="str">
        <f>'Ingest Template'!B985</f>
        <v/>
      </c>
      <c r="K985" s="25" t="str">
        <f>IF('Ingest Template'!A984="Standard",'Ingest Template'!N984,"Competitive View")</f>
        <v>Competitive View</v>
      </c>
      <c r="L985" s="41" t="s">
        <v>145</v>
      </c>
      <c r="M985" s="25" t="str">
        <f>'Ingest Template'!D984</f>
        <v/>
      </c>
      <c r="N985" s="25"/>
      <c r="O985" s="25"/>
      <c r="P985" s="25"/>
      <c r="Q985" s="25"/>
      <c r="R985" s="25" t="str">
        <f>CONCATENATE('Ingest Template'!F984)</f>
        <v/>
      </c>
      <c r="S985" s="43" t="s">
        <v>160</v>
      </c>
      <c r="T985" s="25" t="str">
        <f>'Ingest Template'!W984</f>
        <v/>
      </c>
      <c r="U985" s="25"/>
      <c r="V985" s="25" t="str">
        <f>LOWER(SUBSTITUTE(SUBSTITUTE(SUBSTITUTE(SUBSTITUTE(SUBSTITUTE('Ingest Template'!Y984,"https:",""),"www.",""),"/",""),"?hl=en",""),"instagram.com",""))</f>
        <v/>
      </c>
      <c r="W985" s="34" t="str">
        <f>(IFERROR(vlookup('Ingest Template'!F985,DropDown!D:E,2,false)&amp;'Ingest Template'!C985,""))</f>
        <v/>
      </c>
      <c r="X985" s="25" t="str">
        <f>'Ingest Template'!AA984</f>
        <v/>
      </c>
      <c r="Y985" s="25"/>
      <c r="Z985" s="25"/>
      <c r="AA985" s="25"/>
      <c r="AB985" s="25" t="str">
        <f>'Ingest Template'!T984</f>
        <v/>
      </c>
      <c r="AC985" s="25"/>
      <c r="AD985" s="25" t="str">
        <f>'Ingest Template'!U984</f>
        <v/>
      </c>
      <c r="AE985" s="25" t="str">
        <f>'Ingest Template'!V984</f>
        <v/>
      </c>
      <c r="AF985" s="25"/>
      <c r="AG985" s="25" t="str">
        <f t="array" ref="AG985">IF('Ingest Template'!A984="Standard",(CONCATENATE(IF(ISBLANK('Ingest Template'!O984),"", 'Ingest Template'!O984&amp;"|DAR"),CHAR(10), IF(ISBLANK('Ingest Template'!P984),"", 'Ingest Template'!P984&amp;"|DAR"),CHAR(10), IF(ISBLANK('Ingest Template'!Q984),"", 'Ingest Template'!Q984&amp;"|DAR"))),(CONCATENATE(IF(ISBLANK('Ingest Template'!O984),"", 'Ingest Template'!O984&amp;"|Operations - Core Title"),CHAR(10), IF(ISBLANK('Ingest Template'!P984),"", 'Ingest Template'!P984&amp;"|Operations - Core Title"),CHAR(10), IF(ISBLANK('Ingest Template'!Q984),"", 'Ingest Template'!Q984&amp;"|Operations - Core Title"))))</f>
        <v>#|Operations - Core Title
#videoGame|Operations - Core Title
</v>
      </c>
      <c r="AH985" s="25"/>
      <c r="AI985" s="25"/>
      <c r="AJ985" s="50" t="str">
        <f>if('Ingest Template'!A984="Standard",'Ingest Template'!R984&amp; "|DAR|DAR|2021-01-01",'Ingest Template'!R984&amp; "|Operations - Core Title|Operations - Core Title")</f>
        <v>#N/A</v>
      </c>
      <c r="AK985" s="25"/>
      <c r="AL985" s="25" t="str">
        <f>if('Ingest Template'!A984="Standard",'Ingest Template'!S984&amp; "|2021-01-01",'Ingest Template'!S984)</f>
        <v>#N/A</v>
      </c>
      <c r="AM985" s="25"/>
    </row>
    <row r="986">
      <c r="A986" s="25"/>
      <c r="B986" s="25" t="str">
        <f>'Ingest Template'!C985&amp;IF('Ingest Template'!A985 = "Standard", " - DAR","")</f>
        <v/>
      </c>
      <c r="C986" s="34" t="s">
        <v>92</v>
      </c>
      <c r="D986" s="34" t="str">
        <f>CONCATENATE('Ingest Template'!E986&amp;Char(10)&amp;'Ingest Template'!G986&amp;Char(10)&amp;'Ingest Template'!H986&amp;Char(10)&amp;'Ingest Template'!I986&amp;Char(10)&amp;'Ingest Template'!J986&amp;Char(10)&amp;'Ingest Template'!K986&amp;Char(10)&amp;'Ingest Template'!L986)</f>
        <v>
</v>
      </c>
      <c r="E986" s="25" t="str">
        <f>('Ingest Template'!M986)</f>
        <v/>
      </c>
      <c r="F986" s="40" t="str">
        <f t="array" ref="F986">INDEX(DropDown!$J$2:$J$63,MATCH(1,COUNTIF(E986,DropDown!$I$2:$I$63),0))</f>
        <v>#N/A</v>
      </c>
      <c r="G986" s="25"/>
      <c r="H986" s="25"/>
      <c r="I986" s="25"/>
      <c r="J986" s="25" t="str">
        <f>'Ingest Template'!B986</f>
        <v/>
      </c>
      <c r="K986" s="25" t="str">
        <f>IF('Ingest Template'!A985="Standard",'Ingest Template'!N985,"Competitive View")</f>
        <v>Competitive View</v>
      </c>
      <c r="L986" s="41" t="s">
        <v>145</v>
      </c>
      <c r="M986" s="25" t="str">
        <f>'Ingest Template'!D985</f>
        <v/>
      </c>
      <c r="N986" s="25"/>
      <c r="O986" s="25"/>
      <c r="P986" s="25"/>
      <c r="Q986" s="25"/>
      <c r="R986" s="25" t="str">
        <f>CONCATENATE('Ingest Template'!F985)</f>
        <v/>
      </c>
      <c r="S986" s="43" t="s">
        <v>160</v>
      </c>
      <c r="T986" s="25" t="str">
        <f>'Ingest Template'!W985</f>
        <v/>
      </c>
      <c r="U986" s="25"/>
      <c r="V986" s="25" t="str">
        <f>LOWER(SUBSTITUTE(SUBSTITUTE(SUBSTITUTE(SUBSTITUTE(SUBSTITUTE('Ingest Template'!Y985,"https:",""),"www.",""),"/",""),"?hl=en",""),"instagram.com",""))</f>
        <v/>
      </c>
      <c r="W986" s="34" t="str">
        <f>(IFERROR(vlookup('Ingest Template'!F986,DropDown!D:E,2,false)&amp;'Ingest Template'!C986,""))</f>
        <v/>
      </c>
      <c r="X986" s="25" t="str">
        <f>'Ingest Template'!AA985</f>
        <v/>
      </c>
      <c r="Y986" s="25"/>
      <c r="Z986" s="25"/>
      <c r="AA986" s="25"/>
      <c r="AB986" s="25" t="str">
        <f>'Ingest Template'!T985</f>
        <v/>
      </c>
      <c r="AC986" s="25"/>
      <c r="AD986" s="25" t="str">
        <f>'Ingest Template'!U985</f>
        <v/>
      </c>
      <c r="AE986" s="25" t="str">
        <f>'Ingest Template'!V985</f>
        <v/>
      </c>
      <c r="AF986" s="25"/>
      <c r="AG986" s="25" t="str">
        <f t="array" ref="AG986">IF('Ingest Template'!A985="Standard",(CONCATENATE(IF(ISBLANK('Ingest Template'!O985),"", 'Ingest Template'!O985&amp;"|DAR"),CHAR(10), IF(ISBLANK('Ingest Template'!P985),"", 'Ingest Template'!P985&amp;"|DAR"),CHAR(10), IF(ISBLANK('Ingest Template'!Q985),"", 'Ingest Template'!Q985&amp;"|DAR"))),(CONCATENATE(IF(ISBLANK('Ingest Template'!O985),"", 'Ingest Template'!O985&amp;"|Operations - Core Title"),CHAR(10), IF(ISBLANK('Ingest Template'!P985),"", 'Ingest Template'!P985&amp;"|Operations - Core Title"),CHAR(10), IF(ISBLANK('Ingest Template'!Q985),"", 'Ingest Template'!Q985&amp;"|Operations - Core Title"))))</f>
        <v>#|Operations - Core Title
#videoGame|Operations - Core Title
</v>
      </c>
      <c r="AH986" s="25"/>
      <c r="AI986" s="25"/>
      <c r="AJ986" s="50" t="str">
        <f>if('Ingest Template'!A985="Standard",'Ingest Template'!R985&amp; "|DAR|DAR|2021-01-01",'Ingest Template'!R985&amp; "|Operations - Core Title|Operations - Core Title")</f>
        <v>#N/A</v>
      </c>
      <c r="AK986" s="25"/>
      <c r="AL986" s="25" t="str">
        <f>if('Ingest Template'!A985="Standard",'Ingest Template'!S985&amp; "|2021-01-01",'Ingest Template'!S985)</f>
        <v>#N/A</v>
      </c>
      <c r="AM986" s="25"/>
    </row>
    <row r="987">
      <c r="A987" s="25"/>
      <c r="B987" s="25" t="str">
        <f>'Ingest Template'!C986&amp;IF('Ingest Template'!A986 = "Standard", " - DAR","")</f>
        <v/>
      </c>
      <c r="C987" s="34" t="s">
        <v>92</v>
      </c>
      <c r="D987" s="34" t="str">
        <f>CONCATENATE('Ingest Template'!E987&amp;Char(10)&amp;'Ingest Template'!G987&amp;Char(10)&amp;'Ingest Template'!H987&amp;Char(10)&amp;'Ingest Template'!I987&amp;Char(10)&amp;'Ingest Template'!J987&amp;Char(10)&amp;'Ingest Template'!K987&amp;Char(10)&amp;'Ingest Template'!L987)</f>
        <v>
</v>
      </c>
      <c r="E987" s="25" t="str">
        <f>('Ingest Template'!M987)</f>
        <v/>
      </c>
      <c r="F987" s="40" t="str">
        <f t="array" ref="F987">INDEX(DropDown!$J$2:$J$63,MATCH(1,COUNTIF(E987,DropDown!$I$2:$I$63),0))</f>
        <v>#N/A</v>
      </c>
      <c r="G987" s="25"/>
      <c r="H987" s="25"/>
      <c r="I987" s="25"/>
      <c r="J987" s="25" t="str">
        <f>'Ingest Template'!B987</f>
        <v/>
      </c>
      <c r="K987" s="25" t="str">
        <f>IF('Ingest Template'!A986="Standard",'Ingest Template'!N986,"Competitive View")</f>
        <v>Competitive View</v>
      </c>
      <c r="L987" s="41" t="s">
        <v>145</v>
      </c>
      <c r="M987" s="25" t="str">
        <f>'Ingest Template'!D986</f>
        <v/>
      </c>
      <c r="N987" s="25"/>
      <c r="O987" s="25"/>
      <c r="P987" s="25"/>
      <c r="Q987" s="25"/>
      <c r="R987" s="25" t="str">
        <f>CONCATENATE('Ingest Template'!F986)</f>
        <v/>
      </c>
      <c r="S987" s="43" t="s">
        <v>160</v>
      </c>
      <c r="T987" s="25" t="str">
        <f>'Ingest Template'!W986</f>
        <v/>
      </c>
      <c r="U987" s="25"/>
      <c r="V987" s="25" t="str">
        <f>LOWER(SUBSTITUTE(SUBSTITUTE(SUBSTITUTE(SUBSTITUTE(SUBSTITUTE('Ingest Template'!Y986,"https:",""),"www.",""),"/",""),"?hl=en",""),"instagram.com",""))</f>
        <v/>
      </c>
      <c r="W987" s="34" t="str">
        <f>(IFERROR(vlookup('Ingest Template'!F987,DropDown!D:E,2,false)&amp;'Ingest Template'!C987,""))</f>
        <v/>
      </c>
      <c r="X987" s="25" t="str">
        <f>'Ingest Template'!AA986</f>
        <v/>
      </c>
      <c r="Y987" s="25"/>
      <c r="Z987" s="25"/>
      <c r="AA987" s="25"/>
      <c r="AB987" s="25" t="str">
        <f>'Ingest Template'!T986</f>
        <v/>
      </c>
      <c r="AC987" s="25"/>
      <c r="AD987" s="25" t="str">
        <f>'Ingest Template'!U986</f>
        <v/>
      </c>
      <c r="AE987" s="25" t="str">
        <f>'Ingest Template'!V986</f>
        <v/>
      </c>
      <c r="AF987" s="25"/>
      <c r="AG987" s="25" t="str">
        <f t="array" ref="AG987">IF('Ingest Template'!A986="Standard",(CONCATENATE(IF(ISBLANK('Ingest Template'!O986),"", 'Ingest Template'!O986&amp;"|DAR"),CHAR(10), IF(ISBLANK('Ingest Template'!P986),"", 'Ingest Template'!P986&amp;"|DAR"),CHAR(10), IF(ISBLANK('Ingest Template'!Q986),"", 'Ingest Template'!Q986&amp;"|DAR"))),(CONCATENATE(IF(ISBLANK('Ingest Template'!O986),"", 'Ingest Template'!O986&amp;"|Operations - Core Title"),CHAR(10), IF(ISBLANK('Ingest Template'!P986),"", 'Ingest Template'!P986&amp;"|Operations - Core Title"),CHAR(10), IF(ISBLANK('Ingest Template'!Q986),"", 'Ingest Template'!Q986&amp;"|Operations - Core Title"))))</f>
        <v>#|Operations - Core Title
#videoGame|Operations - Core Title
</v>
      </c>
      <c r="AH987" s="25"/>
      <c r="AI987" s="25"/>
      <c r="AJ987" s="50" t="str">
        <f>if('Ingest Template'!A986="Standard",'Ingest Template'!R986&amp; "|DAR|DAR|2021-01-01",'Ingest Template'!R986&amp; "|Operations - Core Title|Operations - Core Title")</f>
        <v>#N/A</v>
      </c>
      <c r="AK987" s="25"/>
      <c r="AL987" s="25" t="str">
        <f>if('Ingest Template'!A986="Standard",'Ingest Template'!S986&amp; "|2021-01-01",'Ingest Template'!S986)</f>
        <v>#N/A</v>
      </c>
      <c r="AM987" s="25"/>
    </row>
    <row r="988">
      <c r="A988" s="25"/>
      <c r="B988" s="25" t="str">
        <f>'Ingest Template'!C987&amp;IF('Ingest Template'!A987 = "Standard", " - DAR","")</f>
        <v/>
      </c>
      <c r="C988" s="34" t="s">
        <v>92</v>
      </c>
      <c r="D988" s="34" t="str">
        <f>CONCATENATE('Ingest Template'!E988&amp;Char(10)&amp;'Ingest Template'!G988&amp;Char(10)&amp;'Ingest Template'!H988&amp;Char(10)&amp;'Ingest Template'!I988&amp;Char(10)&amp;'Ingest Template'!J988&amp;Char(10)&amp;'Ingest Template'!K988&amp;Char(10)&amp;'Ingest Template'!L988)</f>
        <v>
</v>
      </c>
      <c r="E988" s="25" t="str">
        <f>('Ingest Template'!M988)</f>
        <v/>
      </c>
      <c r="F988" s="40" t="str">
        <f t="array" ref="F988">INDEX(DropDown!$J$2:$J$63,MATCH(1,COUNTIF(E988,DropDown!$I$2:$I$63),0))</f>
        <v>#N/A</v>
      </c>
      <c r="G988" s="25"/>
      <c r="H988" s="25"/>
      <c r="I988" s="25"/>
      <c r="J988" s="25" t="str">
        <f>'Ingest Template'!B988</f>
        <v/>
      </c>
      <c r="K988" s="25" t="str">
        <f>IF('Ingest Template'!A987="Standard",'Ingest Template'!N987,"Competitive View")</f>
        <v>Competitive View</v>
      </c>
      <c r="L988" s="41" t="s">
        <v>145</v>
      </c>
      <c r="M988" s="25" t="str">
        <f>'Ingest Template'!D987</f>
        <v/>
      </c>
      <c r="N988" s="25"/>
      <c r="O988" s="25"/>
      <c r="P988" s="25"/>
      <c r="Q988" s="25"/>
      <c r="R988" s="25" t="str">
        <f>CONCATENATE('Ingest Template'!F987)</f>
        <v/>
      </c>
      <c r="S988" s="43" t="s">
        <v>160</v>
      </c>
      <c r="T988" s="25" t="str">
        <f>'Ingest Template'!W987</f>
        <v/>
      </c>
      <c r="U988" s="25"/>
      <c r="V988" s="25" t="str">
        <f>LOWER(SUBSTITUTE(SUBSTITUTE(SUBSTITUTE(SUBSTITUTE(SUBSTITUTE('Ingest Template'!Y987,"https:",""),"www.",""),"/",""),"?hl=en",""),"instagram.com",""))</f>
        <v/>
      </c>
      <c r="W988" s="34" t="str">
        <f>(IFERROR(vlookup('Ingest Template'!F988,DropDown!D:E,2,false)&amp;'Ingest Template'!C988,""))</f>
        <v/>
      </c>
      <c r="X988" s="25" t="str">
        <f>'Ingest Template'!AA987</f>
        <v/>
      </c>
      <c r="Y988" s="25"/>
      <c r="Z988" s="25"/>
      <c r="AA988" s="25"/>
      <c r="AB988" s="25" t="str">
        <f>'Ingest Template'!T987</f>
        <v/>
      </c>
      <c r="AC988" s="25"/>
      <c r="AD988" s="25" t="str">
        <f>'Ingest Template'!U987</f>
        <v/>
      </c>
      <c r="AE988" s="25" t="str">
        <f>'Ingest Template'!V987</f>
        <v/>
      </c>
      <c r="AF988" s="25"/>
      <c r="AG988" s="25" t="str">
        <f t="array" ref="AG988">IF('Ingest Template'!A987="Standard",(CONCATENATE(IF(ISBLANK('Ingest Template'!O987),"", 'Ingest Template'!O987&amp;"|DAR"),CHAR(10), IF(ISBLANK('Ingest Template'!P987),"", 'Ingest Template'!P987&amp;"|DAR"),CHAR(10), IF(ISBLANK('Ingest Template'!Q987),"", 'Ingest Template'!Q987&amp;"|DAR"))),(CONCATENATE(IF(ISBLANK('Ingest Template'!O987),"", 'Ingest Template'!O987&amp;"|Operations - Core Title"),CHAR(10), IF(ISBLANK('Ingest Template'!P987),"", 'Ingest Template'!P987&amp;"|Operations - Core Title"),CHAR(10), IF(ISBLANK('Ingest Template'!Q987),"", 'Ingest Template'!Q987&amp;"|Operations - Core Title"))))</f>
        <v>#|Operations - Core Title
#videoGame|Operations - Core Title
</v>
      </c>
      <c r="AH988" s="25"/>
      <c r="AI988" s="25"/>
      <c r="AJ988" s="50" t="str">
        <f>if('Ingest Template'!A987="Standard",'Ingest Template'!R987&amp; "|DAR|DAR|2021-01-01",'Ingest Template'!R987&amp; "|Operations - Core Title|Operations - Core Title")</f>
        <v>#N/A</v>
      </c>
      <c r="AK988" s="25"/>
      <c r="AL988" s="25" t="str">
        <f>if('Ingest Template'!A987="Standard",'Ingest Template'!S987&amp; "|2021-01-01",'Ingest Template'!S987)</f>
        <v>#N/A</v>
      </c>
      <c r="AM988" s="25"/>
    </row>
    <row r="989">
      <c r="A989" s="25"/>
      <c r="B989" s="25" t="str">
        <f>'Ingest Template'!C988&amp;IF('Ingest Template'!A988 = "Standard", " - DAR","")</f>
        <v/>
      </c>
      <c r="C989" s="34" t="s">
        <v>92</v>
      </c>
      <c r="D989" s="34" t="str">
        <f>CONCATENATE('Ingest Template'!E989&amp;Char(10)&amp;'Ingest Template'!G989&amp;Char(10)&amp;'Ingest Template'!H989&amp;Char(10)&amp;'Ingest Template'!I989&amp;Char(10)&amp;'Ingest Template'!J989&amp;Char(10)&amp;'Ingest Template'!K989&amp;Char(10)&amp;'Ingest Template'!L989)</f>
        <v>
</v>
      </c>
      <c r="E989" s="25" t="str">
        <f>('Ingest Template'!M989)</f>
        <v/>
      </c>
      <c r="F989" s="40" t="str">
        <f t="array" ref="F989">INDEX(DropDown!$J$2:$J$63,MATCH(1,COUNTIF(E989,DropDown!$I$2:$I$63),0))</f>
        <v>#N/A</v>
      </c>
      <c r="G989" s="25"/>
      <c r="H989" s="25"/>
      <c r="I989" s="25"/>
      <c r="J989" s="25" t="str">
        <f>'Ingest Template'!B989</f>
        <v/>
      </c>
      <c r="K989" s="25" t="str">
        <f>IF('Ingest Template'!A988="Standard",'Ingest Template'!N988,"Competitive View")</f>
        <v>Competitive View</v>
      </c>
      <c r="L989" s="41" t="s">
        <v>145</v>
      </c>
      <c r="M989" s="25" t="str">
        <f>'Ingest Template'!D988</f>
        <v/>
      </c>
      <c r="N989" s="25"/>
      <c r="O989" s="25"/>
      <c r="P989" s="25"/>
      <c r="Q989" s="25"/>
      <c r="R989" s="25" t="str">
        <f>CONCATENATE('Ingest Template'!F988)</f>
        <v/>
      </c>
      <c r="S989" s="43" t="s">
        <v>160</v>
      </c>
      <c r="T989" s="25" t="str">
        <f>'Ingest Template'!W988</f>
        <v/>
      </c>
      <c r="U989" s="25"/>
      <c r="V989" s="25" t="str">
        <f>LOWER(SUBSTITUTE(SUBSTITUTE(SUBSTITUTE(SUBSTITUTE(SUBSTITUTE('Ingest Template'!Y988,"https:",""),"www.",""),"/",""),"?hl=en",""),"instagram.com",""))</f>
        <v/>
      </c>
      <c r="W989" s="34" t="str">
        <f>(IFERROR(vlookup('Ingest Template'!F989,DropDown!D:E,2,false)&amp;'Ingest Template'!C989,""))</f>
        <v/>
      </c>
      <c r="X989" s="25" t="str">
        <f>'Ingest Template'!AA988</f>
        <v/>
      </c>
      <c r="Y989" s="25"/>
      <c r="Z989" s="25"/>
      <c r="AA989" s="25"/>
      <c r="AB989" s="25" t="str">
        <f>'Ingest Template'!T988</f>
        <v/>
      </c>
      <c r="AC989" s="25"/>
      <c r="AD989" s="25" t="str">
        <f>'Ingest Template'!U988</f>
        <v/>
      </c>
      <c r="AE989" s="25" t="str">
        <f>'Ingest Template'!V988</f>
        <v/>
      </c>
      <c r="AF989" s="25"/>
      <c r="AG989" s="25" t="str">
        <f t="array" ref="AG989">IF('Ingest Template'!A988="Standard",(CONCATENATE(IF(ISBLANK('Ingest Template'!O988),"", 'Ingest Template'!O988&amp;"|DAR"),CHAR(10), IF(ISBLANK('Ingest Template'!P988),"", 'Ingest Template'!P988&amp;"|DAR"),CHAR(10), IF(ISBLANK('Ingest Template'!Q988),"", 'Ingest Template'!Q988&amp;"|DAR"))),(CONCATENATE(IF(ISBLANK('Ingest Template'!O988),"", 'Ingest Template'!O988&amp;"|Operations - Core Title"),CHAR(10), IF(ISBLANK('Ingest Template'!P988),"", 'Ingest Template'!P988&amp;"|Operations - Core Title"),CHAR(10), IF(ISBLANK('Ingest Template'!Q988),"", 'Ingest Template'!Q988&amp;"|Operations - Core Title"))))</f>
        <v>#|Operations - Core Title
#videoGame|Operations - Core Title
</v>
      </c>
      <c r="AH989" s="25"/>
      <c r="AI989" s="25"/>
      <c r="AJ989" s="50" t="str">
        <f>if('Ingest Template'!A988="Standard",'Ingest Template'!R988&amp; "|DAR|DAR|2021-01-01",'Ingest Template'!R988&amp; "|Operations - Core Title|Operations - Core Title")</f>
        <v>#N/A</v>
      </c>
      <c r="AK989" s="25"/>
      <c r="AL989" s="25" t="str">
        <f>if('Ingest Template'!A988="Standard",'Ingest Template'!S988&amp; "|2021-01-01",'Ingest Template'!S988)</f>
        <v>#N/A</v>
      </c>
      <c r="AM989" s="25"/>
    </row>
    <row r="990">
      <c r="A990" s="25"/>
      <c r="B990" s="25" t="str">
        <f>'Ingest Template'!C989&amp;IF('Ingest Template'!A989 = "Standard", " - DAR","")</f>
        <v/>
      </c>
      <c r="C990" s="34" t="s">
        <v>92</v>
      </c>
      <c r="D990" s="34" t="str">
        <f>CONCATENATE('Ingest Template'!E990&amp;Char(10)&amp;'Ingest Template'!G990&amp;Char(10)&amp;'Ingest Template'!H990&amp;Char(10)&amp;'Ingest Template'!I990&amp;Char(10)&amp;'Ingest Template'!J990&amp;Char(10)&amp;'Ingest Template'!K990&amp;Char(10)&amp;'Ingest Template'!L990)</f>
        <v>
</v>
      </c>
      <c r="E990" s="25" t="str">
        <f>('Ingest Template'!M990)</f>
        <v/>
      </c>
      <c r="F990" s="40" t="str">
        <f t="array" ref="F990">INDEX(DropDown!$J$2:$J$63,MATCH(1,COUNTIF(E990,DropDown!$I$2:$I$63),0))</f>
        <v>#N/A</v>
      </c>
      <c r="G990" s="25"/>
      <c r="H990" s="25"/>
      <c r="I990" s="25"/>
      <c r="J990" s="25" t="str">
        <f>'Ingest Template'!B990</f>
        <v/>
      </c>
      <c r="K990" s="25" t="str">
        <f>IF('Ingest Template'!A989="Standard",'Ingest Template'!N989,"Competitive View")</f>
        <v>Competitive View</v>
      </c>
      <c r="L990" s="41" t="s">
        <v>145</v>
      </c>
      <c r="M990" s="25" t="str">
        <f>'Ingest Template'!D989</f>
        <v/>
      </c>
      <c r="N990" s="25"/>
      <c r="O990" s="25"/>
      <c r="P990" s="25"/>
      <c r="Q990" s="25"/>
      <c r="R990" s="25" t="str">
        <f>CONCATENATE('Ingest Template'!F989)</f>
        <v/>
      </c>
      <c r="S990" s="43" t="s">
        <v>160</v>
      </c>
      <c r="T990" s="25" t="str">
        <f>'Ingest Template'!W989</f>
        <v/>
      </c>
      <c r="U990" s="25"/>
      <c r="V990" s="25" t="str">
        <f>LOWER(SUBSTITUTE(SUBSTITUTE(SUBSTITUTE(SUBSTITUTE(SUBSTITUTE('Ingest Template'!Y989,"https:",""),"www.",""),"/",""),"?hl=en",""),"instagram.com",""))</f>
        <v/>
      </c>
      <c r="W990" s="34" t="str">
        <f>(IFERROR(vlookup('Ingest Template'!F990,DropDown!D:E,2,false)&amp;'Ingest Template'!C990,""))</f>
        <v/>
      </c>
      <c r="X990" s="25" t="str">
        <f>'Ingest Template'!AA989</f>
        <v/>
      </c>
      <c r="Y990" s="25"/>
      <c r="Z990" s="25"/>
      <c r="AA990" s="25"/>
      <c r="AB990" s="25" t="str">
        <f>'Ingest Template'!T989</f>
        <v/>
      </c>
      <c r="AC990" s="25"/>
      <c r="AD990" s="25" t="str">
        <f>'Ingest Template'!U989</f>
        <v/>
      </c>
      <c r="AE990" s="25" t="str">
        <f>'Ingest Template'!V989</f>
        <v/>
      </c>
      <c r="AF990" s="25"/>
      <c r="AG990" s="25" t="str">
        <f t="array" ref="AG990">IF('Ingest Template'!A989="Standard",(CONCATENATE(IF(ISBLANK('Ingest Template'!O989),"", 'Ingest Template'!O989&amp;"|DAR"),CHAR(10), IF(ISBLANK('Ingest Template'!P989),"", 'Ingest Template'!P989&amp;"|DAR"),CHAR(10), IF(ISBLANK('Ingest Template'!Q989),"", 'Ingest Template'!Q989&amp;"|DAR"))),(CONCATENATE(IF(ISBLANK('Ingest Template'!O989),"", 'Ingest Template'!O989&amp;"|Operations - Core Title"),CHAR(10), IF(ISBLANK('Ingest Template'!P989),"", 'Ingest Template'!P989&amp;"|Operations - Core Title"),CHAR(10), IF(ISBLANK('Ingest Template'!Q989),"", 'Ingest Template'!Q989&amp;"|Operations - Core Title"))))</f>
        <v>#|Operations - Core Title
#videoGame|Operations - Core Title
</v>
      </c>
      <c r="AH990" s="25"/>
      <c r="AI990" s="25"/>
      <c r="AJ990" s="50" t="str">
        <f>if('Ingest Template'!A989="Standard",'Ingest Template'!R989&amp; "|DAR|DAR|2021-01-01",'Ingest Template'!R989&amp; "|Operations - Core Title|Operations - Core Title")</f>
        <v>#N/A</v>
      </c>
      <c r="AK990" s="25"/>
      <c r="AL990" s="25" t="str">
        <f>if('Ingest Template'!A989="Standard",'Ingest Template'!S989&amp; "|2021-01-01",'Ingest Template'!S989)</f>
        <v>#N/A</v>
      </c>
      <c r="AM990" s="25"/>
    </row>
    <row r="991">
      <c r="A991" s="25"/>
      <c r="B991" s="25" t="str">
        <f>'Ingest Template'!C990&amp;IF('Ingest Template'!A990 = "Standard", " - DAR","")</f>
        <v/>
      </c>
      <c r="C991" s="34" t="s">
        <v>92</v>
      </c>
      <c r="D991" s="34" t="str">
        <f>CONCATENATE('Ingest Template'!E991&amp;Char(10)&amp;'Ingest Template'!G991&amp;Char(10)&amp;'Ingest Template'!H991&amp;Char(10)&amp;'Ingest Template'!I991&amp;Char(10)&amp;'Ingest Template'!J991&amp;Char(10)&amp;'Ingest Template'!K991&amp;Char(10)&amp;'Ingest Template'!L991)</f>
        <v>
</v>
      </c>
      <c r="E991" s="25" t="str">
        <f>('Ingest Template'!M991)</f>
        <v/>
      </c>
      <c r="F991" s="40" t="str">
        <f t="array" ref="F991">INDEX(DropDown!$J$2:$J$63,MATCH(1,COUNTIF(E991,DropDown!$I$2:$I$63),0))</f>
        <v>#N/A</v>
      </c>
      <c r="G991" s="25"/>
      <c r="H991" s="25"/>
      <c r="I991" s="25"/>
      <c r="J991" s="25" t="str">
        <f>'Ingest Template'!B991</f>
        <v/>
      </c>
      <c r="K991" s="25" t="str">
        <f>IF('Ingest Template'!A990="Standard",'Ingest Template'!N990,"Competitive View")</f>
        <v>Competitive View</v>
      </c>
      <c r="L991" s="41" t="s">
        <v>145</v>
      </c>
      <c r="M991" s="25" t="str">
        <f>'Ingest Template'!D990</f>
        <v/>
      </c>
      <c r="N991" s="25"/>
      <c r="O991" s="25"/>
      <c r="P991" s="25"/>
      <c r="Q991" s="25"/>
      <c r="R991" s="25" t="str">
        <f>CONCATENATE('Ingest Template'!F990)</f>
        <v/>
      </c>
      <c r="S991" s="43" t="s">
        <v>160</v>
      </c>
      <c r="T991" s="25" t="str">
        <f>'Ingest Template'!W990</f>
        <v/>
      </c>
      <c r="U991" s="25"/>
      <c r="V991" s="25" t="str">
        <f>LOWER(SUBSTITUTE(SUBSTITUTE(SUBSTITUTE(SUBSTITUTE(SUBSTITUTE('Ingest Template'!Y990,"https:",""),"www.",""),"/",""),"?hl=en",""),"instagram.com",""))</f>
        <v/>
      </c>
      <c r="W991" s="34" t="str">
        <f>(IFERROR(vlookup('Ingest Template'!F991,DropDown!D:E,2,false)&amp;'Ingest Template'!C991,""))</f>
        <v/>
      </c>
      <c r="X991" s="25" t="str">
        <f>'Ingest Template'!AA990</f>
        <v/>
      </c>
      <c r="Y991" s="25"/>
      <c r="Z991" s="25"/>
      <c r="AA991" s="25"/>
      <c r="AB991" s="25" t="str">
        <f>'Ingest Template'!T990</f>
        <v/>
      </c>
      <c r="AC991" s="25"/>
      <c r="AD991" s="25" t="str">
        <f>'Ingest Template'!U990</f>
        <v/>
      </c>
      <c r="AE991" s="25" t="str">
        <f>'Ingest Template'!V990</f>
        <v/>
      </c>
      <c r="AF991" s="25"/>
      <c r="AG991" s="25" t="str">
        <f t="array" ref="AG991">IF('Ingest Template'!A990="Standard",(CONCATENATE(IF(ISBLANK('Ingest Template'!O990),"", 'Ingest Template'!O990&amp;"|DAR"),CHAR(10), IF(ISBLANK('Ingest Template'!P990),"", 'Ingest Template'!P990&amp;"|DAR"),CHAR(10), IF(ISBLANK('Ingest Template'!Q990),"", 'Ingest Template'!Q990&amp;"|DAR"))),(CONCATENATE(IF(ISBLANK('Ingest Template'!O990),"", 'Ingest Template'!O990&amp;"|Operations - Core Title"),CHAR(10), IF(ISBLANK('Ingest Template'!P990),"", 'Ingest Template'!P990&amp;"|Operations - Core Title"),CHAR(10), IF(ISBLANK('Ingest Template'!Q990),"", 'Ingest Template'!Q990&amp;"|Operations - Core Title"))))</f>
        <v>#|Operations - Core Title
#videoGame|Operations - Core Title
</v>
      </c>
      <c r="AH991" s="25"/>
      <c r="AI991" s="25"/>
      <c r="AJ991" s="50" t="str">
        <f>if('Ingest Template'!A990="Standard",'Ingest Template'!R990&amp; "|DAR|DAR|2021-01-01",'Ingest Template'!R990&amp; "|Operations - Core Title|Operations - Core Title")</f>
        <v>#N/A</v>
      </c>
      <c r="AK991" s="25"/>
      <c r="AL991" s="25" t="str">
        <f>if('Ingest Template'!A990="Standard",'Ingest Template'!S990&amp; "|2021-01-01",'Ingest Template'!S990)</f>
        <v>#N/A</v>
      </c>
      <c r="AM991" s="25"/>
    </row>
    <row r="992">
      <c r="A992" s="25"/>
      <c r="B992" s="25" t="str">
        <f>'Ingest Template'!C991&amp;IF('Ingest Template'!A991 = "Standard", " - DAR","")</f>
        <v/>
      </c>
      <c r="C992" s="34" t="s">
        <v>92</v>
      </c>
      <c r="D992" s="34" t="str">
        <f>CONCATENATE('Ingest Template'!E992&amp;Char(10)&amp;'Ingest Template'!G992&amp;Char(10)&amp;'Ingest Template'!H992&amp;Char(10)&amp;'Ingest Template'!I992&amp;Char(10)&amp;'Ingest Template'!J992&amp;Char(10)&amp;'Ingest Template'!K992&amp;Char(10)&amp;'Ingest Template'!L992)</f>
        <v>
</v>
      </c>
      <c r="E992" s="25" t="str">
        <f>('Ingest Template'!M992)</f>
        <v/>
      </c>
      <c r="F992" s="40" t="str">
        <f t="array" ref="F992">INDEX(DropDown!$J$2:$J$63,MATCH(1,COUNTIF(E992,DropDown!$I$2:$I$63),0))</f>
        <v>#N/A</v>
      </c>
      <c r="G992" s="25"/>
      <c r="H992" s="25"/>
      <c r="I992" s="25"/>
      <c r="J992" s="25" t="str">
        <f>'Ingest Template'!B992</f>
        <v/>
      </c>
      <c r="K992" s="25" t="str">
        <f>IF('Ingest Template'!A991="Standard",'Ingest Template'!N991,"Competitive View")</f>
        <v>Competitive View</v>
      </c>
      <c r="L992" s="41" t="s">
        <v>145</v>
      </c>
      <c r="M992" s="25" t="str">
        <f>'Ingest Template'!D991</f>
        <v/>
      </c>
      <c r="N992" s="25"/>
      <c r="O992" s="25"/>
      <c r="P992" s="25"/>
      <c r="Q992" s="25"/>
      <c r="R992" s="25" t="str">
        <f>CONCATENATE('Ingest Template'!F991)</f>
        <v/>
      </c>
      <c r="S992" s="43" t="s">
        <v>160</v>
      </c>
      <c r="T992" s="25" t="str">
        <f>'Ingest Template'!W991</f>
        <v/>
      </c>
      <c r="U992" s="25"/>
      <c r="V992" s="25" t="str">
        <f>LOWER(SUBSTITUTE(SUBSTITUTE(SUBSTITUTE(SUBSTITUTE(SUBSTITUTE('Ingest Template'!Y991,"https:",""),"www.",""),"/",""),"?hl=en",""),"instagram.com",""))</f>
        <v/>
      </c>
      <c r="W992" s="34" t="str">
        <f>(IFERROR(vlookup('Ingest Template'!F992,DropDown!D:E,2,false)&amp;'Ingest Template'!C992,""))</f>
        <v/>
      </c>
      <c r="X992" s="25" t="str">
        <f>'Ingest Template'!AA991</f>
        <v/>
      </c>
      <c r="Y992" s="25"/>
      <c r="Z992" s="25"/>
      <c r="AA992" s="25"/>
      <c r="AB992" s="25" t="str">
        <f>'Ingest Template'!T991</f>
        <v/>
      </c>
      <c r="AC992" s="25"/>
      <c r="AD992" s="25" t="str">
        <f>'Ingest Template'!U991</f>
        <v/>
      </c>
      <c r="AE992" s="25" t="str">
        <f>'Ingest Template'!V991</f>
        <v/>
      </c>
      <c r="AF992" s="25"/>
      <c r="AG992" s="25" t="str">
        <f t="array" ref="AG992">IF('Ingest Template'!A991="Standard",(CONCATENATE(IF(ISBLANK('Ingest Template'!O991),"", 'Ingest Template'!O991&amp;"|DAR"),CHAR(10), IF(ISBLANK('Ingest Template'!P991),"", 'Ingest Template'!P991&amp;"|DAR"),CHAR(10), IF(ISBLANK('Ingest Template'!Q991),"", 'Ingest Template'!Q991&amp;"|DAR"))),(CONCATENATE(IF(ISBLANK('Ingest Template'!O991),"", 'Ingest Template'!O991&amp;"|Operations - Core Title"),CHAR(10), IF(ISBLANK('Ingest Template'!P991),"", 'Ingest Template'!P991&amp;"|Operations - Core Title"),CHAR(10), IF(ISBLANK('Ingest Template'!Q991),"", 'Ingest Template'!Q991&amp;"|Operations - Core Title"))))</f>
        <v>#|Operations - Core Title
#videoGame|Operations - Core Title
</v>
      </c>
      <c r="AH992" s="25"/>
      <c r="AI992" s="25"/>
      <c r="AJ992" s="50" t="str">
        <f>if('Ingest Template'!A991="Standard",'Ingest Template'!R991&amp; "|DAR|DAR|2021-01-01",'Ingest Template'!R991&amp; "|Operations - Core Title|Operations - Core Title")</f>
        <v>#N/A</v>
      </c>
      <c r="AK992" s="25"/>
      <c r="AL992" s="25" t="str">
        <f>if('Ingest Template'!A991="Standard",'Ingest Template'!S991&amp; "|2021-01-01",'Ingest Template'!S991)</f>
        <v>#N/A</v>
      </c>
      <c r="AM992" s="25"/>
    </row>
    <row r="993">
      <c r="A993" s="25"/>
      <c r="B993" s="25" t="str">
        <f>'Ingest Template'!C992&amp;IF('Ingest Template'!A992 = "Standard", " - DAR","")</f>
        <v/>
      </c>
      <c r="C993" s="34" t="s">
        <v>92</v>
      </c>
      <c r="D993" s="34" t="str">
        <f>CONCATENATE('Ingest Template'!E993&amp;Char(10)&amp;'Ingest Template'!G993&amp;Char(10)&amp;'Ingest Template'!H993&amp;Char(10)&amp;'Ingest Template'!I993&amp;Char(10)&amp;'Ingest Template'!J993&amp;Char(10)&amp;'Ingest Template'!K993&amp;Char(10)&amp;'Ingest Template'!L993)</f>
        <v>
</v>
      </c>
      <c r="E993" s="25" t="str">
        <f>('Ingest Template'!M993)</f>
        <v/>
      </c>
      <c r="F993" s="40" t="str">
        <f t="array" ref="F993">INDEX(DropDown!$J$2:$J$63,MATCH(1,COUNTIF(E993,DropDown!$I$2:$I$63),0))</f>
        <v>#N/A</v>
      </c>
      <c r="G993" s="25"/>
      <c r="H993" s="25"/>
      <c r="I993" s="25"/>
      <c r="J993" s="25" t="str">
        <f>'Ingest Template'!B993</f>
        <v/>
      </c>
      <c r="K993" s="25" t="str">
        <f>IF('Ingest Template'!A992="Standard",'Ingest Template'!N992,"Competitive View")</f>
        <v>Competitive View</v>
      </c>
      <c r="L993" s="41" t="s">
        <v>145</v>
      </c>
      <c r="M993" s="25" t="str">
        <f>'Ingest Template'!D992</f>
        <v/>
      </c>
      <c r="N993" s="25"/>
      <c r="O993" s="25"/>
      <c r="P993" s="25"/>
      <c r="Q993" s="25"/>
      <c r="R993" s="25" t="str">
        <f>CONCATENATE('Ingest Template'!F992)</f>
        <v/>
      </c>
      <c r="S993" s="43" t="s">
        <v>160</v>
      </c>
      <c r="T993" s="25" t="str">
        <f>'Ingest Template'!W992</f>
        <v/>
      </c>
      <c r="U993" s="25"/>
      <c r="V993" s="25" t="str">
        <f>LOWER(SUBSTITUTE(SUBSTITUTE(SUBSTITUTE(SUBSTITUTE(SUBSTITUTE('Ingest Template'!Y992,"https:",""),"www.",""),"/",""),"?hl=en",""),"instagram.com",""))</f>
        <v/>
      </c>
      <c r="W993" s="34" t="str">
        <f>(IFERROR(vlookup('Ingest Template'!F993,DropDown!D:E,2,false)&amp;'Ingest Template'!C993,""))</f>
        <v/>
      </c>
      <c r="X993" s="25" t="str">
        <f>'Ingest Template'!AA992</f>
        <v/>
      </c>
      <c r="Y993" s="25"/>
      <c r="Z993" s="25"/>
      <c r="AA993" s="25"/>
      <c r="AB993" s="25" t="str">
        <f>'Ingest Template'!T992</f>
        <v/>
      </c>
      <c r="AC993" s="25"/>
      <c r="AD993" s="25" t="str">
        <f>'Ingest Template'!U992</f>
        <v/>
      </c>
      <c r="AE993" s="25" t="str">
        <f>'Ingest Template'!V992</f>
        <v/>
      </c>
      <c r="AF993" s="25"/>
      <c r="AG993" s="25" t="str">
        <f t="array" ref="AG993">IF('Ingest Template'!A992="Standard",(CONCATENATE(IF(ISBLANK('Ingest Template'!O992),"", 'Ingest Template'!O992&amp;"|DAR"),CHAR(10), IF(ISBLANK('Ingest Template'!P992),"", 'Ingest Template'!P992&amp;"|DAR"),CHAR(10), IF(ISBLANK('Ingest Template'!Q992),"", 'Ingest Template'!Q992&amp;"|DAR"))),(CONCATENATE(IF(ISBLANK('Ingest Template'!O992),"", 'Ingest Template'!O992&amp;"|Operations - Core Title"),CHAR(10), IF(ISBLANK('Ingest Template'!P992),"", 'Ingest Template'!P992&amp;"|Operations - Core Title"),CHAR(10), IF(ISBLANK('Ingest Template'!Q992),"", 'Ingest Template'!Q992&amp;"|Operations - Core Title"))))</f>
        <v>#|Operations - Core Title
#videoGame|Operations - Core Title
</v>
      </c>
      <c r="AH993" s="25"/>
      <c r="AI993" s="25"/>
      <c r="AJ993" s="50" t="str">
        <f>if('Ingest Template'!A992="Standard",'Ingest Template'!R992&amp; "|DAR|DAR|2021-01-01",'Ingest Template'!R992&amp; "|Operations - Core Title|Operations - Core Title")</f>
        <v>#N/A</v>
      </c>
      <c r="AK993" s="25"/>
      <c r="AL993" s="25" t="str">
        <f>if('Ingest Template'!A992="Standard",'Ingest Template'!S992&amp; "|2021-01-01",'Ingest Template'!S992)</f>
        <v>#N/A</v>
      </c>
      <c r="AM993" s="25"/>
    </row>
    <row r="994">
      <c r="A994" s="25"/>
      <c r="B994" s="25" t="str">
        <f>'Ingest Template'!C993&amp;IF('Ingest Template'!A993 = "Standard", " - DAR","")</f>
        <v/>
      </c>
      <c r="C994" s="34" t="s">
        <v>92</v>
      </c>
      <c r="D994" s="34" t="str">
        <f>CONCATENATE('Ingest Template'!E994&amp;Char(10)&amp;'Ingest Template'!G994&amp;Char(10)&amp;'Ingest Template'!H994&amp;Char(10)&amp;'Ingest Template'!I994&amp;Char(10)&amp;'Ingest Template'!J994&amp;Char(10)&amp;'Ingest Template'!K994&amp;Char(10)&amp;'Ingest Template'!L994)</f>
        <v>
</v>
      </c>
      <c r="E994" s="25" t="str">
        <f>('Ingest Template'!M994)</f>
        <v/>
      </c>
      <c r="F994" s="40" t="str">
        <f t="array" ref="F994">INDEX(DropDown!$J$2:$J$63,MATCH(1,COUNTIF(E994,DropDown!$I$2:$I$63),0))</f>
        <v>#N/A</v>
      </c>
      <c r="G994" s="25"/>
      <c r="H994" s="25"/>
      <c r="I994" s="25"/>
      <c r="J994" s="25" t="str">
        <f>'Ingest Template'!B994</f>
        <v/>
      </c>
      <c r="K994" s="25" t="str">
        <f>IF('Ingest Template'!A993="Standard",'Ingest Template'!N993,"Competitive View")</f>
        <v>Competitive View</v>
      </c>
      <c r="L994" s="41" t="s">
        <v>145</v>
      </c>
      <c r="M994" s="25" t="str">
        <f>'Ingest Template'!D993</f>
        <v/>
      </c>
      <c r="N994" s="25"/>
      <c r="O994" s="25"/>
      <c r="P994" s="25"/>
      <c r="Q994" s="25"/>
      <c r="R994" s="25" t="str">
        <f>CONCATENATE('Ingest Template'!F993)</f>
        <v/>
      </c>
      <c r="S994" s="43" t="s">
        <v>160</v>
      </c>
      <c r="T994" s="25" t="str">
        <f>'Ingest Template'!W993</f>
        <v/>
      </c>
      <c r="U994" s="25"/>
      <c r="V994" s="25" t="str">
        <f>LOWER(SUBSTITUTE(SUBSTITUTE(SUBSTITUTE(SUBSTITUTE(SUBSTITUTE('Ingest Template'!Y993,"https:",""),"www.",""),"/",""),"?hl=en",""),"instagram.com",""))</f>
        <v/>
      </c>
      <c r="W994" s="34" t="str">
        <f>(IFERROR(vlookup('Ingest Template'!F994,DropDown!D:E,2,false)&amp;'Ingest Template'!C994,""))</f>
        <v/>
      </c>
      <c r="X994" s="25" t="str">
        <f>'Ingest Template'!AA993</f>
        <v/>
      </c>
      <c r="Y994" s="25"/>
      <c r="Z994" s="25"/>
      <c r="AA994" s="25"/>
      <c r="AB994" s="25" t="str">
        <f>'Ingest Template'!T993</f>
        <v/>
      </c>
      <c r="AC994" s="25"/>
      <c r="AD994" s="25" t="str">
        <f>'Ingest Template'!U993</f>
        <v/>
      </c>
      <c r="AE994" s="25" t="str">
        <f>'Ingest Template'!V993</f>
        <v/>
      </c>
      <c r="AF994" s="25"/>
      <c r="AG994" s="25" t="str">
        <f t="array" ref="AG994">IF('Ingest Template'!A993="Standard",(CONCATENATE(IF(ISBLANK('Ingest Template'!O993),"", 'Ingest Template'!O993&amp;"|DAR"),CHAR(10), IF(ISBLANK('Ingest Template'!P993),"", 'Ingest Template'!P993&amp;"|DAR"),CHAR(10), IF(ISBLANK('Ingest Template'!Q993),"", 'Ingest Template'!Q993&amp;"|DAR"))),(CONCATENATE(IF(ISBLANK('Ingest Template'!O993),"", 'Ingest Template'!O993&amp;"|Operations - Core Title"),CHAR(10), IF(ISBLANK('Ingest Template'!P993),"", 'Ingest Template'!P993&amp;"|Operations - Core Title"),CHAR(10), IF(ISBLANK('Ingest Template'!Q993),"", 'Ingest Template'!Q993&amp;"|Operations - Core Title"))))</f>
        <v>#|Operations - Core Title
#videoGame|Operations - Core Title
</v>
      </c>
      <c r="AH994" s="25"/>
      <c r="AI994" s="25"/>
      <c r="AJ994" s="50" t="str">
        <f>if('Ingest Template'!A993="Standard",'Ingest Template'!R993&amp; "|DAR|DAR|2021-01-01",'Ingest Template'!R993&amp; "|Operations - Core Title|Operations - Core Title")</f>
        <v>#N/A</v>
      </c>
      <c r="AK994" s="25"/>
      <c r="AL994" s="25" t="str">
        <f>if('Ingest Template'!A993="Standard",'Ingest Template'!S993&amp; "|2021-01-01",'Ingest Template'!S993)</f>
        <v>#N/A</v>
      </c>
      <c r="AM994" s="25"/>
    </row>
    <row r="995">
      <c r="A995" s="25"/>
      <c r="B995" s="25" t="str">
        <f>'Ingest Template'!C994&amp;IF('Ingest Template'!A994 = "Standard", " - DAR","")</f>
        <v/>
      </c>
      <c r="C995" s="34" t="s">
        <v>92</v>
      </c>
      <c r="D995" s="34" t="str">
        <f>CONCATENATE('Ingest Template'!E995&amp;Char(10)&amp;'Ingest Template'!G995&amp;Char(10)&amp;'Ingest Template'!H995&amp;Char(10)&amp;'Ingest Template'!I995&amp;Char(10)&amp;'Ingest Template'!J995&amp;Char(10)&amp;'Ingest Template'!K995&amp;Char(10)&amp;'Ingest Template'!L995)</f>
        <v>
</v>
      </c>
      <c r="E995" s="25" t="str">
        <f>('Ingest Template'!M995)</f>
        <v/>
      </c>
      <c r="F995" s="40" t="str">
        <f t="array" ref="F995">INDEX(DropDown!$J$2:$J$63,MATCH(1,COUNTIF(E995,DropDown!$I$2:$I$63),0))</f>
        <v>#N/A</v>
      </c>
      <c r="G995" s="25"/>
      <c r="H995" s="25"/>
      <c r="I995" s="25"/>
      <c r="J995" s="25" t="str">
        <f>'Ingest Template'!B995</f>
        <v/>
      </c>
      <c r="K995" s="25" t="str">
        <f>IF('Ingest Template'!A994="Standard",'Ingest Template'!N994,"Competitive View")</f>
        <v>Competitive View</v>
      </c>
      <c r="L995" s="41" t="s">
        <v>145</v>
      </c>
      <c r="M995" s="25" t="str">
        <f>'Ingest Template'!D994</f>
        <v/>
      </c>
      <c r="N995" s="25"/>
      <c r="O995" s="25"/>
      <c r="P995" s="25"/>
      <c r="Q995" s="25"/>
      <c r="R995" s="25" t="str">
        <f>CONCATENATE('Ingest Template'!F994)</f>
        <v/>
      </c>
      <c r="S995" s="43" t="s">
        <v>160</v>
      </c>
      <c r="T995" s="25" t="str">
        <f>'Ingest Template'!W994</f>
        <v/>
      </c>
      <c r="U995" s="25"/>
      <c r="V995" s="25" t="str">
        <f>LOWER(SUBSTITUTE(SUBSTITUTE(SUBSTITUTE(SUBSTITUTE(SUBSTITUTE('Ingest Template'!Y994,"https:",""),"www.",""),"/",""),"?hl=en",""),"instagram.com",""))</f>
        <v/>
      </c>
      <c r="W995" s="34" t="str">
        <f>(IFERROR(vlookup('Ingest Template'!F995,DropDown!D:E,2,false)&amp;'Ingest Template'!C995,""))</f>
        <v/>
      </c>
      <c r="X995" s="25" t="str">
        <f>'Ingest Template'!AA994</f>
        <v/>
      </c>
      <c r="Y995" s="25"/>
      <c r="Z995" s="25"/>
      <c r="AA995" s="25"/>
      <c r="AB995" s="25" t="str">
        <f>'Ingest Template'!T994</f>
        <v/>
      </c>
      <c r="AC995" s="25"/>
      <c r="AD995" s="25" t="str">
        <f>'Ingest Template'!U994</f>
        <v/>
      </c>
      <c r="AE995" s="25" t="str">
        <f>'Ingest Template'!V994</f>
        <v/>
      </c>
      <c r="AF995" s="25"/>
      <c r="AG995" s="25" t="str">
        <f t="array" ref="AG995">IF('Ingest Template'!A994="Standard",(CONCATENATE(IF(ISBLANK('Ingest Template'!O994),"", 'Ingest Template'!O994&amp;"|DAR"),CHAR(10), IF(ISBLANK('Ingest Template'!P994),"", 'Ingest Template'!P994&amp;"|DAR"),CHAR(10), IF(ISBLANK('Ingest Template'!Q994),"", 'Ingest Template'!Q994&amp;"|DAR"))),(CONCATENATE(IF(ISBLANK('Ingest Template'!O994),"", 'Ingest Template'!O994&amp;"|Operations - Core Title"),CHAR(10), IF(ISBLANK('Ingest Template'!P994),"", 'Ingest Template'!P994&amp;"|Operations - Core Title"),CHAR(10), IF(ISBLANK('Ingest Template'!Q994),"", 'Ingest Template'!Q994&amp;"|Operations - Core Title"))))</f>
        <v>#|Operations - Core Title
#videoGame|Operations - Core Title
</v>
      </c>
      <c r="AH995" s="25"/>
      <c r="AI995" s="25"/>
      <c r="AJ995" s="50" t="str">
        <f>if('Ingest Template'!A994="Standard",'Ingest Template'!R994&amp; "|DAR|DAR|2021-01-01",'Ingest Template'!R994&amp; "|Operations - Core Title|Operations - Core Title")</f>
        <v>#N/A</v>
      </c>
      <c r="AK995" s="25"/>
      <c r="AL995" s="25" t="str">
        <f>if('Ingest Template'!A994="Standard",'Ingest Template'!S994&amp; "|2021-01-01",'Ingest Template'!S994)</f>
        <v>#N/A</v>
      </c>
      <c r="AM995" s="25"/>
    </row>
    <row r="996">
      <c r="A996" s="25"/>
      <c r="B996" s="25" t="str">
        <f>'Ingest Template'!C995&amp;IF('Ingest Template'!A995 = "Standard", " - DAR","")</f>
        <v/>
      </c>
      <c r="C996" s="34" t="s">
        <v>92</v>
      </c>
      <c r="D996" s="34" t="str">
        <f>CONCATENATE('Ingest Template'!E996&amp;Char(10)&amp;'Ingest Template'!G996&amp;Char(10)&amp;'Ingest Template'!H996&amp;Char(10)&amp;'Ingest Template'!I996&amp;Char(10)&amp;'Ingest Template'!J996&amp;Char(10)&amp;'Ingest Template'!K996&amp;Char(10)&amp;'Ingest Template'!L996)</f>
        <v>
</v>
      </c>
      <c r="E996" s="25" t="str">
        <f>('Ingest Template'!M996)</f>
        <v/>
      </c>
      <c r="F996" s="40" t="str">
        <f t="array" ref="F996">INDEX(DropDown!$J$2:$J$63,MATCH(1,COUNTIF(E996,DropDown!$I$2:$I$63),0))</f>
        <v>#N/A</v>
      </c>
      <c r="G996" s="25"/>
      <c r="H996" s="25"/>
      <c r="I996" s="25"/>
      <c r="J996" s="25" t="str">
        <f>'Ingest Template'!B996</f>
        <v/>
      </c>
      <c r="K996" s="25" t="str">
        <f>IF('Ingest Template'!A995="Standard",'Ingest Template'!N995,"Competitive View")</f>
        <v>Competitive View</v>
      </c>
      <c r="L996" s="41" t="s">
        <v>145</v>
      </c>
      <c r="M996" s="25" t="str">
        <f>'Ingest Template'!D995</f>
        <v/>
      </c>
      <c r="N996" s="25"/>
      <c r="O996" s="25"/>
      <c r="P996" s="25"/>
      <c r="Q996" s="25"/>
      <c r="R996" s="25" t="str">
        <f>CONCATENATE('Ingest Template'!F995)</f>
        <v/>
      </c>
      <c r="S996" s="43" t="s">
        <v>160</v>
      </c>
      <c r="T996" s="25" t="str">
        <f>'Ingest Template'!W995</f>
        <v/>
      </c>
      <c r="U996" s="25"/>
      <c r="V996" s="25" t="str">
        <f>LOWER(SUBSTITUTE(SUBSTITUTE(SUBSTITUTE(SUBSTITUTE(SUBSTITUTE('Ingest Template'!Y995,"https:",""),"www.",""),"/",""),"?hl=en",""),"instagram.com",""))</f>
        <v/>
      </c>
      <c r="W996" s="34" t="str">
        <f>(IFERROR(vlookup('Ingest Template'!F996,DropDown!D:E,2,false)&amp;'Ingest Template'!C996,""))</f>
        <v/>
      </c>
      <c r="X996" s="25" t="str">
        <f>'Ingest Template'!AA995</f>
        <v/>
      </c>
      <c r="Y996" s="25"/>
      <c r="Z996" s="25"/>
      <c r="AA996" s="25"/>
      <c r="AB996" s="25" t="str">
        <f>'Ingest Template'!T995</f>
        <v/>
      </c>
      <c r="AC996" s="25"/>
      <c r="AD996" s="25" t="str">
        <f>'Ingest Template'!U995</f>
        <v/>
      </c>
      <c r="AE996" s="25" t="str">
        <f>'Ingest Template'!V995</f>
        <v/>
      </c>
      <c r="AF996" s="25"/>
      <c r="AG996" s="25" t="str">
        <f t="array" ref="AG996">IF('Ingest Template'!A995="Standard",(CONCATENATE(IF(ISBLANK('Ingest Template'!O995),"", 'Ingest Template'!O995&amp;"|DAR"),CHAR(10), IF(ISBLANK('Ingest Template'!P995),"", 'Ingest Template'!P995&amp;"|DAR"),CHAR(10), IF(ISBLANK('Ingest Template'!Q995),"", 'Ingest Template'!Q995&amp;"|DAR"))),(CONCATENATE(IF(ISBLANK('Ingest Template'!O995),"", 'Ingest Template'!O995&amp;"|Operations - Core Title"),CHAR(10), IF(ISBLANK('Ingest Template'!P995),"", 'Ingest Template'!P995&amp;"|Operations - Core Title"),CHAR(10), IF(ISBLANK('Ingest Template'!Q995),"", 'Ingest Template'!Q995&amp;"|Operations - Core Title"))))</f>
        <v>#|Operations - Core Title
#videoGame|Operations - Core Title
</v>
      </c>
      <c r="AH996" s="25"/>
      <c r="AI996" s="25"/>
      <c r="AJ996" s="50" t="str">
        <f>if('Ingest Template'!A995="Standard",'Ingest Template'!R995&amp; "|DAR|DAR|2021-01-01",'Ingest Template'!R995&amp; "|Operations - Core Title|Operations - Core Title")</f>
        <v>#N/A</v>
      </c>
      <c r="AK996" s="25"/>
      <c r="AL996" s="25" t="str">
        <f>if('Ingest Template'!A995="Standard",'Ingest Template'!S995&amp; "|2021-01-01",'Ingest Template'!S995)</f>
        <v>#N/A</v>
      </c>
      <c r="AM996" s="25"/>
    </row>
    <row r="997">
      <c r="A997" s="25"/>
      <c r="B997" s="25" t="str">
        <f>'Ingest Template'!C996&amp;IF('Ingest Template'!A996 = "Standard", " - DAR","")</f>
        <v/>
      </c>
      <c r="C997" s="34" t="s">
        <v>92</v>
      </c>
      <c r="D997" s="34" t="str">
        <f>CONCATENATE('Ingest Template'!E997&amp;Char(10)&amp;'Ingest Template'!G997&amp;Char(10)&amp;'Ingest Template'!H997&amp;Char(10)&amp;'Ingest Template'!I997&amp;Char(10)&amp;'Ingest Template'!J997&amp;Char(10)&amp;'Ingest Template'!K997&amp;Char(10)&amp;'Ingest Template'!L997)</f>
        <v>
</v>
      </c>
      <c r="E997" s="25" t="str">
        <f>('Ingest Template'!M997)</f>
        <v/>
      </c>
      <c r="F997" s="40" t="str">
        <f t="array" ref="F997">INDEX(DropDown!$J$2:$J$63,MATCH(1,COUNTIF(E997,DropDown!$I$2:$I$63),0))</f>
        <v>#N/A</v>
      </c>
      <c r="G997" s="25"/>
      <c r="H997" s="25"/>
      <c r="I997" s="25"/>
      <c r="J997" s="25" t="str">
        <f>'Ingest Template'!B997</f>
        <v/>
      </c>
      <c r="K997" s="25" t="str">
        <f>IF('Ingest Template'!A996="Standard",'Ingest Template'!N996,"Competitive View")</f>
        <v>Competitive View</v>
      </c>
      <c r="L997" s="41" t="s">
        <v>145</v>
      </c>
      <c r="M997" s="25" t="str">
        <f>'Ingest Template'!D996</f>
        <v/>
      </c>
      <c r="N997" s="25"/>
      <c r="O997" s="25"/>
      <c r="P997" s="25"/>
      <c r="Q997" s="25"/>
      <c r="R997" s="25" t="str">
        <f>CONCATENATE('Ingest Template'!F996)</f>
        <v/>
      </c>
      <c r="S997" s="43" t="s">
        <v>160</v>
      </c>
      <c r="T997" s="25" t="str">
        <f>'Ingest Template'!W996</f>
        <v/>
      </c>
      <c r="U997" s="25"/>
      <c r="V997" s="25" t="str">
        <f>LOWER(SUBSTITUTE(SUBSTITUTE(SUBSTITUTE(SUBSTITUTE(SUBSTITUTE('Ingest Template'!Y996,"https:",""),"www.",""),"/",""),"?hl=en",""),"instagram.com",""))</f>
        <v/>
      </c>
      <c r="W997" s="34" t="str">
        <f>(IFERROR(vlookup('Ingest Template'!F997,DropDown!D:E,2,false)&amp;'Ingest Template'!C997,""))</f>
        <v/>
      </c>
      <c r="X997" s="25" t="str">
        <f>'Ingest Template'!AA996</f>
        <v/>
      </c>
      <c r="Y997" s="25"/>
      <c r="Z997" s="25"/>
      <c r="AA997" s="25"/>
      <c r="AB997" s="25" t="str">
        <f>'Ingest Template'!T996</f>
        <v/>
      </c>
      <c r="AC997" s="25"/>
      <c r="AD997" s="25" t="str">
        <f>'Ingest Template'!U996</f>
        <v/>
      </c>
      <c r="AE997" s="25" t="str">
        <f>'Ingest Template'!V996</f>
        <v/>
      </c>
      <c r="AF997" s="25"/>
      <c r="AG997" s="25" t="str">
        <f t="array" ref="AG997">IF('Ingest Template'!A996="Standard",(CONCATENATE(IF(ISBLANK('Ingest Template'!O996),"", 'Ingest Template'!O996&amp;"|DAR"),CHAR(10), IF(ISBLANK('Ingest Template'!P996),"", 'Ingest Template'!P996&amp;"|DAR"),CHAR(10), IF(ISBLANK('Ingest Template'!Q996),"", 'Ingest Template'!Q996&amp;"|DAR"))),(CONCATENATE(IF(ISBLANK('Ingest Template'!O996),"", 'Ingest Template'!O996&amp;"|Operations - Core Title"),CHAR(10), IF(ISBLANK('Ingest Template'!P996),"", 'Ingest Template'!P996&amp;"|Operations - Core Title"),CHAR(10), IF(ISBLANK('Ingest Template'!Q996),"", 'Ingest Template'!Q996&amp;"|Operations - Core Title"))))</f>
        <v>#|Operations - Core Title
#videoGame|Operations - Core Title
</v>
      </c>
      <c r="AH997" s="25"/>
      <c r="AI997" s="25"/>
      <c r="AJ997" s="50" t="str">
        <f>if('Ingest Template'!A996="Standard",'Ingest Template'!R996&amp; "|DAR|DAR|2021-01-01",'Ingest Template'!R996&amp; "|Operations - Core Title|Operations - Core Title")</f>
        <v>#N/A</v>
      </c>
      <c r="AK997" s="25"/>
      <c r="AL997" s="25" t="str">
        <f>if('Ingest Template'!A996="Standard",'Ingest Template'!S996&amp; "|2021-01-01",'Ingest Template'!S996)</f>
        <v>#N/A</v>
      </c>
      <c r="AM997" s="25"/>
    </row>
    <row r="998">
      <c r="A998" s="25"/>
      <c r="B998" s="25" t="str">
        <f>'Ingest Template'!C997&amp;IF('Ingest Template'!A997 = "Standard", " - DAR","")</f>
        <v/>
      </c>
      <c r="C998" s="34" t="s">
        <v>92</v>
      </c>
      <c r="D998" s="34" t="str">
        <f>CONCATENATE('Ingest Template'!E998&amp;Char(10)&amp;'Ingest Template'!G998&amp;Char(10)&amp;'Ingest Template'!H998&amp;Char(10)&amp;'Ingest Template'!I998&amp;Char(10)&amp;'Ingest Template'!J998&amp;Char(10)&amp;'Ingest Template'!K998&amp;Char(10)&amp;'Ingest Template'!L998)</f>
        <v>
</v>
      </c>
      <c r="E998" s="25" t="str">
        <f>('Ingest Template'!M998)</f>
        <v/>
      </c>
      <c r="F998" s="40" t="str">
        <f t="array" ref="F998">INDEX(DropDown!$J$2:$J$63,MATCH(1,COUNTIF(E998,DropDown!$I$2:$I$63),0))</f>
        <v>#N/A</v>
      </c>
      <c r="G998" s="25"/>
      <c r="H998" s="25"/>
      <c r="I998" s="25"/>
      <c r="J998" s="25" t="str">
        <f>'Ingest Template'!B998</f>
        <v/>
      </c>
      <c r="K998" s="25" t="str">
        <f>IF('Ingest Template'!A997="Standard",'Ingest Template'!N997,"Competitive View")</f>
        <v>Competitive View</v>
      </c>
      <c r="L998" s="41" t="s">
        <v>145</v>
      </c>
      <c r="M998" s="25" t="str">
        <f>'Ingest Template'!D997</f>
        <v/>
      </c>
      <c r="N998" s="25"/>
      <c r="O998" s="25"/>
      <c r="P998" s="25"/>
      <c r="Q998" s="25"/>
      <c r="R998" s="25" t="str">
        <f>CONCATENATE('Ingest Template'!F997)</f>
        <v/>
      </c>
      <c r="S998" s="43" t="s">
        <v>160</v>
      </c>
      <c r="T998" s="25" t="str">
        <f>'Ingest Template'!W997</f>
        <v/>
      </c>
      <c r="U998" s="25"/>
      <c r="V998" s="25" t="str">
        <f>LOWER(SUBSTITUTE(SUBSTITUTE(SUBSTITUTE(SUBSTITUTE(SUBSTITUTE('Ingest Template'!Y997,"https:",""),"www.",""),"/",""),"?hl=en",""),"instagram.com",""))</f>
        <v/>
      </c>
      <c r="W998" s="34" t="str">
        <f>(IFERROR(vlookup('Ingest Template'!F998,DropDown!D:E,2,false)&amp;'Ingest Template'!C998,""))</f>
        <v/>
      </c>
      <c r="X998" s="25" t="str">
        <f>'Ingest Template'!AA997</f>
        <v/>
      </c>
      <c r="Y998" s="25"/>
      <c r="Z998" s="25"/>
      <c r="AA998" s="25"/>
      <c r="AB998" s="25" t="str">
        <f>'Ingest Template'!T997</f>
        <v/>
      </c>
      <c r="AC998" s="25"/>
      <c r="AD998" s="25" t="str">
        <f>'Ingest Template'!U997</f>
        <v/>
      </c>
      <c r="AE998" s="25" t="str">
        <f>'Ingest Template'!V997</f>
        <v/>
      </c>
      <c r="AF998" s="25"/>
      <c r="AG998" s="25" t="str">
        <f t="array" ref="AG998">IF('Ingest Template'!A997="Standard",(CONCATENATE(IF(ISBLANK('Ingest Template'!O997),"", 'Ingest Template'!O997&amp;"|DAR"),CHAR(10), IF(ISBLANK('Ingest Template'!P997),"", 'Ingest Template'!P997&amp;"|DAR"),CHAR(10), IF(ISBLANK('Ingest Template'!Q997),"", 'Ingest Template'!Q997&amp;"|DAR"))),(CONCATENATE(IF(ISBLANK('Ingest Template'!O997),"", 'Ingest Template'!O997&amp;"|Operations - Core Title"),CHAR(10), IF(ISBLANK('Ingest Template'!P997),"", 'Ingest Template'!P997&amp;"|Operations - Core Title"),CHAR(10), IF(ISBLANK('Ingest Template'!Q997),"", 'Ingest Template'!Q997&amp;"|Operations - Core Title"))))</f>
        <v>#|Operations - Core Title
#videoGame|Operations - Core Title
</v>
      </c>
      <c r="AH998" s="25"/>
      <c r="AI998" s="25"/>
      <c r="AJ998" s="50" t="str">
        <f>if('Ingest Template'!A997="Standard",'Ingest Template'!R997&amp; "|DAR|DAR|2021-01-01",'Ingest Template'!R997&amp; "|Operations - Core Title|Operations - Core Title")</f>
        <v>#N/A</v>
      </c>
      <c r="AK998" s="25"/>
      <c r="AL998" s="25" t="str">
        <f>if('Ingest Template'!A997="Standard",'Ingest Template'!S997&amp; "|2021-01-01",'Ingest Template'!S997)</f>
        <v>#N/A</v>
      </c>
      <c r="AM998" s="25"/>
    </row>
    <row r="999">
      <c r="A999" s="25"/>
      <c r="B999" s="25" t="str">
        <f>'Ingest Template'!C998&amp;IF('Ingest Template'!A998 = "Standard", " - DAR","")</f>
        <v/>
      </c>
      <c r="C999" s="34" t="s">
        <v>92</v>
      </c>
      <c r="D999" s="34" t="str">
        <f>CONCATENATE('Ingest Template'!E999&amp;Char(10)&amp;'Ingest Template'!G999&amp;Char(10)&amp;'Ingest Template'!H999&amp;Char(10)&amp;'Ingest Template'!I999&amp;Char(10)&amp;'Ingest Template'!J999&amp;Char(10)&amp;'Ingest Template'!K999&amp;Char(10)&amp;'Ingest Template'!L999)</f>
        <v>
</v>
      </c>
      <c r="E999" s="25" t="str">
        <f>('Ingest Template'!M999)</f>
        <v/>
      </c>
      <c r="F999" s="40" t="str">
        <f t="array" ref="F999">INDEX(DropDown!$J$2:$J$63,MATCH(1,COUNTIF(E999,DropDown!$I$2:$I$63),0))</f>
        <v>#N/A</v>
      </c>
      <c r="G999" s="25"/>
      <c r="H999" s="25"/>
      <c r="I999" s="25"/>
      <c r="J999" s="25" t="str">
        <f>'Ingest Template'!B999</f>
        <v/>
      </c>
      <c r="K999" s="25" t="str">
        <f>IF('Ingest Template'!A998="Standard",'Ingest Template'!N998,"Competitive View")</f>
        <v>Competitive View</v>
      </c>
      <c r="L999" s="41" t="s">
        <v>145</v>
      </c>
      <c r="M999" s="25" t="str">
        <f>'Ingest Template'!D998</f>
        <v/>
      </c>
      <c r="N999" s="25"/>
      <c r="O999" s="25"/>
      <c r="P999" s="25"/>
      <c r="Q999" s="25"/>
      <c r="R999" s="25" t="str">
        <f>CONCATENATE('Ingest Template'!F998)</f>
        <v/>
      </c>
      <c r="S999" s="43" t="s">
        <v>160</v>
      </c>
      <c r="T999" s="25" t="str">
        <f>'Ingest Template'!W998</f>
        <v/>
      </c>
      <c r="U999" s="25"/>
      <c r="V999" s="25" t="str">
        <f>LOWER(SUBSTITUTE(SUBSTITUTE(SUBSTITUTE(SUBSTITUTE(SUBSTITUTE('Ingest Template'!Y998,"https:",""),"www.",""),"/",""),"?hl=en",""),"instagram.com",""))</f>
        <v/>
      </c>
      <c r="W999" s="34" t="str">
        <f>(IFERROR(vlookup('Ingest Template'!F999,DropDown!D:E,2,false)&amp;'Ingest Template'!C999,""))</f>
        <v/>
      </c>
      <c r="X999" s="25" t="str">
        <f>'Ingest Template'!AA998</f>
        <v/>
      </c>
      <c r="Y999" s="25"/>
      <c r="Z999" s="25"/>
      <c r="AA999" s="25"/>
      <c r="AB999" s="25" t="str">
        <f>'Ingest Template'!T998</f>
        <v/>
      </c>
      <c r="AC999" s="25"/>
      <c r="AD999" s="25" t="str">
        <f>'Ingest Template'!U998</f>
        <v/>
      </c>
      <c r="AE999" s="25" t="str">
        <f>'Ingest Template'!V998</f>
        <v/>
      </c>
      <c r="AF999" s="25"/>
      <c r="AG999" s="25" t="str">
        <f t="array" ref="AG999">IF('Ingest Template'!A998="Standard",(CONCATENATE(IF(ISBLANK('Ingest Template'!O998),"", 'Ingest Template'!O998&amp;"|DAR"),CHAR(10), IF(ISBLANK('Ingest Template'!P998),"", 'Ingest Template'!P998&amp;"|DAR"),CHAR(10), IF(ISBLANK('Ingest Template'!Q998),"", 'Ingest Template'!Q998&amp;"|DAR"))),(CONCATENATE(IF(ISBLANK('Ingest Template'!O998),"", 'Ingest Template'!O998&amp;"|Operations - Core Title"),CHAR(10), IF(ISBLANK('Ingest Template'!P998),"", 'Ingest Template'!P998&amp;"|Operations - Core Title"),CHAR(10), IF(ISBLANK('Ingest Template'!Q998),"", 'Ingest Template'!Q998&amp;"|Operations - Core Title"))))</f>
        <v>#|Operations - Core Title
#videoGame|Operations - Core Title
</v>
      </c>
      <c r="AH999" s="25"/>
      <c r="AI999" s="25"/>
      <c r="AJ999" s="50" t="str">
        <f>if('Ingest Template'!A998="Standard",'Ingest Template'!R998&amp; "|DAR|DAR|2021-01-01",'Ingest Template'!R998&amp; "|Operations - Core Title|Operations - Core Title")</f>
        <v>#N/A</v>
      </c>
      <c r="AK999" s="25"/>
      <c r="AL999" s="25" t="str">
        <f>if('Ingest Template'!A998="Standard",'Ingest Template'!S998&amp; "|2021-01-01",'Ingest Template'!S998)</f>
        <v>#N/A</v>
      </c>
      <c r="AM999" s="25"/>
    </row>
    <row r="1000">
      <c r="A1000" s="25"/>
      <c r="B1000" s="25" t="str">
        <f>'Ingest Template'!C999&amp;IF('Ingest Template'!A999 = "Standard", " - DAR","")</f>
        <v/>
      </c>
      <c r="C1000" s="34" t="s">
        <v>92</v>
      </c>
      <c r="D1000" s="34" t="str">
        <f>CONCATENATE('Ingest Template'!E1000&amp;Char(10)&amp;'Ingest Template'!G1000&amp;Char(10)&amp;'Ingest Template'!H1000&amp;Char(10)&amp;'Ingest Template'!I1000&amp;Char(10)&amp;'Ingest Template'!J1000&amp;Char(10)&amp;'Ingest Template'!K1000&amp;Char(10)&amp;'Ingest Template'!L1000)</f>
        <v>
</v>
      </c>
      <c r="E1000" s="25" t="str">
        <f>('Ingest Template'!M1000)</f>
        <v/>
      </c>
      <c r="F1000" s="40" t="str">
        <f t="array" ref="F1000">INDEX(DropDown!$J$2:$J$63,MATCH(1,COUNTIF(E1000,DropDown!$I$2:$I$63),0))</f>
        <v>#N/A</v>
      </c>
      <c r="G1000" s="25"/>
      <c r="H1000" s="25"/>
      <c r="I1000" s="25"/>
      <c r="J1000" s="25" t="str">
        <f>'Ingest Template'!B1000</f>
        <v/>
      </c>
      <c r="K1000" s="25" t="str">
        <f>IF('Ingest Template'!A999="Standard",'Ingest Template'!N999,"Competitive View")</f>
        <v>Competitive View</v>
      </c>
      <c r="L1000" s="41" t="s">
        <v>145</v>
      </c>
      <c r="M1000" s="25" t="str">
        <f>'Ingest Template'!D999</f>
        <v/>
      </c>
      <c r="N1000" s="25"/>
      <c r="O1000" s="25"/>
      <c r="P1000" s="25"/>
      <c r="Q1000" s="25"/>
      <c r="R1000" s="25" t="str">
        <f>CONCATENATE('Ingest Template'!F999)</f>
        <v/>
      </c>
      <c r="S1000" s="43" t="s">
        <v>160</v>
      </c>
      <c r="T1000" s="25" t="str">
        <f>'Ingest Template'!W999</f>
        <v/>
      </c>
      <c r="U1000" s="25"/>
      <c r="V1000" s="25" t="str">
        <f>LOWER(SUBSTITUTE(SUBSTITUTE(SUBSTITUTE(SUBSTITUTE(SUBSTITUTE('Ingest Template'!Y999,"https:",""),"www.",""),"/",""),"?hl=en",""),"instagram.com",""))</f>
        <v/>
      </c>
      <c r="W1000" s="34" t="str">
        <f>(IFERROR(vlookup('Ingest Template'!F1000,DropDown!D:E,2,false)&amp;'Ingest Template'!C1000,""))</f>
        <v/>
      </c>
      <c r="X1000" s="25" t="str">
        <f>'Ingest Template'!AA999</f>
        <v/>
      </c>
      <c r="Y1000" s="25"/>
      <c r="Z1000" s="25"/>
      <c r="AA1000" s="25"/>
      <c r="AB1000" s="25" t="str">
        <f>'Ingest Template'!T999</f>
        <v/>
      </c>
      <c r="AC1000" s="25"/>
      <c r="AD1000" s="25" t="str">
        <f>'Ingest Template'!U999</f>
        <v/>
      </c>
      <c r="AE1000" s="25" t="str">
        <f>'Ingest Template'!V999</f>
        <v/>
      </c>
      <c r="AF1000" s="25"/>
      <c r="AG1000" s="25" t="str">
        <f t="array" ref="AG1000">IF('Ingest Template'!A999="Standard",(CONCATENATE(IF(ISBLANK('Ingest Template'!O999),"", 'Ingest Template'!O999&amp;"|DAR"),CHAR(10), IF(ISBLANK('Ingest Template'!P999),"", 'Ingest Template'!P999&amp;"|DAR"),CHAR(10), IF(ISBLANK('Ingest Template'!Q999),"", 'Ingest Template'!Q999&amp;"|DAR"))),(CONCATENATE(IF(ISBLANK('Ingest Template'!O999),"", 'Ingest Template'!O999&amp;"|Operations - Core Title"),CHAR(10), IF(ISBLANK('Ingest Template'!P999),"", 'Ingest Template'!P999&amp;"|Operations - Core Title"),CHAR(10), IF(ISBLANK('Ingest Template'!Q999),"", 'Ingest Template'!Q999&amp;"|Operations - Core Title"))))</f>
        <v>#|Operations - Core Title
#videoGame|Operations - Core Title
</v>
      </c>
      <c r="AH1000" s="25"/>
      <c r="AI1000" s="25"/>
      <c r="AJ1000" s="50" t="str">
        <f>if('Ingest Template'!A999="Standard",'Ingest Template'!R999&amp; "|DAR|DAR|2021-01-01",'Ingest Template'!R999&amp; "|Operations - Core Title|Operations - Core Title")</f>
        <v>#N/A</v>
      </c>
      <c r="AK1000" s="25"/>
      <c r="AL1000" s="25" t="str">
        <f>if('Ingest Template'!A999="Standard",'Ingest Template'!S999&amp; "|2021-01-01",'Ingest Template'!S999)</f>
        <v>#N/A</v>
      </c>
      <c r="AM100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0.13"/>
    <col customWidth="1" min="5" max="5" width="21.63"/>
    <col customWidth="1" min="6" max="6" width="22.38"/>
    <col customWidth="1" min="14" max="14" width="21.13"/>
    <col customWidth="1" min="15" max="17" width="14.75"/>
    <col customWidth="1" min="18" max="18" width="69.38"/>
    <col customWidth="1" min="19" max="19" width="49.38"/>
    <col customWidth="1" min="20" max="23" width="18.25"/>
    <col customWidth="1" min="24" max="24" width="15.75"/>
    <col customWidth="1" min="25" max="25" width="21.13"/>
    <col customWidth="1" min="26" max="26" width="14.25"/>
  </cols>
  <sheetData>
    <row r="1">
      <c r="A1" s="2" t="s">
        <v>0</v>
      </c>
      <c r="B1" s="2" t="s">
        <v>5</v>
      </c>
      <c r="C1" s="2" t="s">
        <v>6</v>
      </c>
      <c r="D1" s="2" t="s">
        <v>8</v>
      </c>
      <c r="E1" s="6" t="s">
        <v>10</v>
      </c>
      <c r="F1" s="6" t="s">
        <v>15</v>
      </c>
      <c r="G1" s="9" t="s">
        <v>18</v>
      </c>
      <c r="H1" s="9" t="s">
        <v>26</v>
      </c>
      <c r="I1" s="9" t="s">
        <v>29</v>
      </c>
      <c r="J1" s="9" t="s">
        <v>32</v>
      </c>
      <c r="K1" s="9" t="s">
        <v>35</v>
      </c>
      <c r="L1" s="9" t="s">
        <v>37</v>
      </c>
      <c r="M1" s="9" t="s">
        <v>40</v>
      </c>
      <c r="N1" s="13" t="s">
        <v>42</v>
      </c>
      <c r="O1" s="2" t="s">
        <v>47</v>
      </c>
      <c r="P1" s="2" t="s">
        <v>49</v>
      </c>
      <c r="Q1" s="2" t="s">
        <v>53</v>
      </c>
      <c r="R1" s="2" t="s">
        <v>56</v>
      </c>
      <c r="S1" s="17" t="s">
        <v>58</v>
      </c>
      <c r="T1" s="19" t="s">
        <v>63</v>
      </c>
      <c r="U1" s="19" t="s">
        <v>68</v>
      </c>
      <c r="V1" s="19" t="s">
        <v>70</v>
      </c>
      <c r="W1" s="19" t="s">
        <v>73</v>
      </c>
      <c r="X1" s="19" t="s">
        <v>74</v>
      </c>
      <c r="Y1" s="24" t="s">
        <v>77</v>
      </c>
      <c r="Z1" s="19" t="s">
        <v>79</v>
      </c>
      <c r="AA1" s="24" t="s">
        <v>80</v>
      </c>
      <c r="AB1" s="24" t="s">
        <v>81</v>
      </c>
    </row>
    <row r="2">
      <c r="A2" s="16"/>
      <c r="B2" s="16"/>
      <c r="D2" s="36"/>
      <c r="E2" s="37"/>
      <c r="F2" s="37"/>
      <c r="G2" s="16"/>
      <c r="H2" s="16"/>
      <c r="I2" s="16"/>
      <c r="J2" s="16"/>
      <c r="K2" s="16"/>
      <c r="L2" s="16"/>
      <c r="M2" s="16"/>
      <c r="N2" s="5" t="s">
        <v>112</v>
      </c>
      <c r="O2" s="16" t="str">
        <f t="shared" ref="O2:O999" si="1">Substitute(Substitute(Substitute(Substitute(Substitute(Substitute(Substitute(Substitute(Substitute(Substitute(Substitute(Substitute("#" &amp; C2, " ", ""), ":", ""), "," ,""), "-", ""), "!", ""), "'", ""), ".", ""), "&amp;", "and"), "+", "plus"), "\", ""), "(", ""), ")", "")</f>
        <v>#</v>
      </c>
      <c r="P2" s="16" t="str">
        <f t="shared" ref="P2:P999" si="2">Substitute(Substitute(Substitute(Substitute(Substitute(Substitute(Substitute(Substitute(Substitute(Substitute(Substitute(Substitute("#" &amp; C2, " ", ""), ":", ""), "," ,""), "-", ""), "!", ""), "'", ""), ".", ""), "&amp;", "and"), "+", "plus"), "\", ""), "(", ""), ")", "")&amp;"videoGame"</f>
        <v>#videoGame</v>
      </c>
      <c r="R2" s="16" t="str">
        <f>"("""&amp;C2&amp;""") ("&amp;Vlookup(E2,DropDown!B:C,2,FALSE)&amp; " OR ""Video Game"" OR Playstation OR iOS OR PS4 OR PS5 OR Xbox OR Switch OR Swtich 2 OR PC)"</f>
        <v>#N/A</v>
      </c>
      <c r="S2" s="44" t="str">
        <f>"("""&amp;C2&amp;""") ("&amp;Vlookup(E2,DropDown!K:L,2,FALSE)&amp; " | ""Video Game"" | Playstation | iOS | PS4 | PS5 | Xbox | Switch | Switch 2 | PC)"</f>
        <v>#N/A</v>
      </c>
      <c r="T2" s="44"/>
      <c r="U2" s="45"/>
      <c r="V2" s="45"/>
      <c r="W2" s="45"/>
      <c r="X2" s="45"/>
      <c r="Z2" s="45"/>
    </row>
    <row r="3">
      <c r="A3" s="16"/>
      <c r="B3" s="16"/>
      <c r="D3" s="46"/>
      <c r="E3" s="16"/>
      <c r="F3" s="16"/>
      <c r="G3" s="16"/>
      <c r="H3" s="16"/>
      <c r="I3" s="16"/>
      <c r="J3" s="16"/>
      <c r="K3" s="16"/>
      <c r="L3" s="16"/>
      <c r="M3" s="16"/>
      <c r="N3" s="5" t="s">
        <v>112</v>
      </c>
      <c r="O3" s="16" t="str">
        <f t="shared" si="1"/>
        <v>#</v>
      </c>
      <c r="P3" s="16" t="str">
        <f t="shared" si="2"/>
        <v>#videoGame</v>
      </c>
      <c r="R3" s="16" t="str">
        <f>"("""&amp;C3&amp;""") ("&amp;Vlookup(E3,DropDown!B:C,2,FALSE)&amp; " OR ""Video Game"" OR Playstation OR iOS OR PS4 OR PS5 OR Xbox OR Switch OR Swtich 2 OR PC)"</f>
        <v>#N/A</v>
      </c>
      <c r="S3" s="44" t="str">
        <f>"("""&amp;C3&amp;""") ("&amp;Vlookup(E3,DropDown!K:L,2,FALSE)&amp; " | ""Video Game"" | Playstation | iOS | PS4 | PS5 | Xbox | Switch | Switch 2 | PC)"</f>
        <v>#N/A</v>
      </c>
      <c r="T3" s="44"/>
      <c r="U3" s="44"/>
      <c r="V3" s="45"/>
      <c r="W3" s="45"/>
      <c r="X3" s="45"/>
      <c r="Z3" s="45"/>
    </row>
    <row r="4">
      <c r="A4" s="16"/>
      <c r="B4" s="16"/>
      <c r="D4" s="48"/>
      <c r="E4" s="5"/>
      <c r="F4" s="5"/>
      <c r="G4" s="16"/>
      <c r="H4" s="16"/>
      <c r="I4" s="16"/>
      <c r="J4" s="16"/>
      <c r="K4" s="16"/>
      <c r="L4" s="16"/>
      <c r="M4" s="16"/>
      <c r="N4" s="5" t="s">
        <v>112</v>
      </c>
      <c r="O4" s="16" t="str">
        <f t="shared" si="1"/>
        <v>#</v>
      </c>
      <c r="P4" s="16" t="str">
        <f t="shared" si="2"/>
        <v>#videoGame</v>
      </c>
      <c r="R4" s="16" t="str">
        <f>"("""&amp;C4&amp;""") ("&amp;Vlookup(E4,DropDown!B:C,2,FALSE)&amp; " OR ""Video Game"" OR Playstation OR iOS OR PS4 OR PS5 OR Xbox OR Switch OR Swtich 2 OR PC)"</f>
        <v>#N/A</v>
      </c>
      <c r="S4" s="44" t="str">
        <f>"("""&amp;C4&amp;""") ("&amp;Vlookup(E4,DropDown!K:L,2,FALSE)&amp; " | ""Video Game"" | Playstation | iOS | PS4 | PS5 | Xbox | Switch | Switch 2 | PC)"</f>
        <v>#N/A</v>
      </c>
      <c r="T4" s="44"/>
      <c r="U4" s="45"/>
      <c r="V4" s="45"/>
      <c r="W4" s="44"/>
      <c r="X4" s="44"/>
      <c r="Z4" s="44"/>
    </row>
    <row r="5">
      <c r="A5" s="16"/>
      <c r="B5" s="16"/>
      <c r="D5" s="49"/>
      <c r="E5" s="16"/>
      <c r="F5" s="5"/>
      <c r="G5" s="5"/>
      <c r="H5" s="5"/>
      <c r="I5" s="16"/>
      <c r="J5" s="16"/>
      <c r="K5" s="16"/>
      <c r="L5" s="16"/>
      <c r="M5" s="16"/>
      <c r="N5" s="5" t="s">
        <v>112</v>
      </c>
      <c r="O5" s="16" t="str">
        <f t="shared" si="1"/>
        <v>#</v>
      </c>
      <c r="P5" s="16" t="str">
        <f t="shared" si="2"/>
        <v>#videoGame</v>
      </c>
      <c r="R5" s="16" t="str">
        <f>"("""&amp;C5&amp;""") ("&amp;Vlookup(E5,DropDown!B:C,2,FALSE)&amp; " OR ""Video Game"" OR Playstation OR iOS OR PS4 OR PS5 OR Xbox OR Switch OR Swtich 2 OR PC)"</f>
        <v>#N/A</v>
      </c>
      <c r="S5" s="44" t="str">
        <f>"("""&amp;C5&amp;""") ("&amp;Vlookup(E5,DropDown!K:L,2,FALSE)&amp; " | ""Video Game"" | Playstation | iOS | PS4 | PS5 | Xbox | Switch | Switch 2 | PC)"</f>
        <v>#N/A</v>
      </c>
      <c r="T5" s="45"/>
      <c r="U5" s="45"/>
      <c r="V5" s="45"/>
      <c r="W5" s="44"/>
      <c r="X5" s="44"/>
      <c r="Z5" s="45"/>
    </row>
    <row r="6">
      <c r="A6" s="16"/>
      <c r="B6" s="16"/>
      <c r="D6" s="49"/>
      <c r="E6" s="16"/>
      <c r="F6" s="16"/>
      <c r="G6" s="16"/>
      <c r="H6" s="16"/>
      <c r="I6" s="16"/>
      <c r="J6" s="16"/>
      <c r="K6" s="16"/>
      <c r="L6" s="16"/>
      <c r="M6" s="16"/>
      <c r="N6" s="5" t="s">
        <v>112</v>
      </c>
      <c r="O6" s="16" t="str">
        <f t="shared" si="1"/>
        <v>#</v>
      </c>
      <c r="P6" s="16" t="str">
        <f t="shared" si="2"/>
        <v>#videoGame</v>
      </c>
      <c r="R6" s="16" t="str">
        <f>"("""&amp;C6&amp;""") ("&amp;Vlookup(E6,DropDown!B:C,2,FALSE)&amp; " OR ""Video Game"" OR Playstation OR iOS OR PS4 OR PS5 OR Xbox OR Switch OR Swtich 2 OR PC)"</f>
        <v>#N/A</v>
      </c>
      <c r="S6" s="44" t="str">
        <f>"("""&amp;C6&amp;""") ("&amp;Vlookup(E6,DropDown!K:L,2,FALSE)&amp; " | ""Video Game"" | Playstation | iOS | PS4 | PS5 | Xbox | Switch | Switch 2 | PC)"</f>
        <v>#N/A</v>
      </c>
      <c r="T6" s="45"/>
      <c r="U6" s="44"/>
      <c r="V6" s="45"/>
      <c r="W6" s="45"/>
      <c r="X6" s="45"/>
      <c r="Z6" s="44"/>
    </row>
    <row r="7">
      <c r="A7" s="16"/>
      <c r="B7" s="16"/>
      <c r="D7" s="49"/>
      <c r="E7" s="16"/>
      <c r="F7" s="37"/>
      <c r="G7" s="16"/>
      <c r="H7" s="16"/>
      <c r="I7" s="16"/>
      <c r="J7" s="16"/>
      <c r="K7" s="16"/>
      <c r="L7" s="16"/>
      <c r="M7" s="16"/>
      <c r="N7" s="5" t="s">
        <v>112</v>
      </c>
      <c r="O7" s="16" t="str">
        <f t="shared" si="1"/>
        <v>#</v>
      </c>
      <c r="P7" s="16" t="str">
        <f t="shared" si="2"/>
        <v>#videoGame</v>
      </c>
      <c r="R7" s="16" t="str">
        <f>"("""&amp;C7&amp;""") ("&amp;Vlookup(E7,DropDown!B:C,2,FALSE)&amp; " OR ""Video Game"" OR Playstation OR iOS OR PS4 OR PS5 OR Xbox OR Switch OR Swtich 2 OR PC)"</f>
        <v>#N/A</v>
      </c>
      <c r="S7" s="44" t="str">
        <f>"("""&amp;C7&amp;""") ("&amp;Vlookup(E7,DropDown!K:L,2,FALSE)&amp; " | ""Video Game"" | Playstation | iOS | PS4 | PS5 | Xbox | Switch | Switch 2 | PC)"</f>
        <v>#N/A</v>
      </c>
      <c r="T7" s="45"/>
      <c r="U7" s="45"/>
      <c r="V7" s="45"/>
      <c r="W7" s="45"/>
      <c r="X7" s="45"/>
      <c r="Z7" s="45"/>
    </row>
    <row r="8">
      <c r="A8" s="16"/>
      <c r="B8" s="16"/>
      <c r="D8" s="49"/>
      <c r="E8" s="16"/>
      <c r="F8" s="16"/>
      <c r="G8" s="16"/>
      <c r="H8" s="16"/>
      <c r="I8" s="16"/>
      <c r="J8" s="16"/>
      <c r="K8" s="16"/>
      <c r="L8" s="16"/>
      <c r="M8" s="16"/>
      <c r="N8" s="5" t="s">
        <v>112</v>
      </c>
      <c r="O8" s="16" t="str">
        <f t="shared" si="1"/>
        <v>#</v>
      </c>
      <c r="P8" s="16" t="str">
        <f t="shared" si="2"/>
        <v>#videoGame</v>
      </c>
      <c r="R8" s="16" t="str">
        <f>"("""&amp;C8&amp;""") ("&amp;Vlookup(E8,DropDown!B:C,2,FALSE)&amp; " OR ""Video Game"" OR Playstation OR iOS OR PS4 OR PS5 OR Xbox OR Switch OR Swtich 2 OR PC)"</f>
        <v>#N/A</v>
      </c>
      <c r="S8" s="44" t="str">
        <f>"("""&amp;C8&amp;""") ("&amp;Vlookup(E8,DropDown!K:L,2,FALSE)&amp; " | ""Video Game"" | Playstation | iOS | PS4 | PS5 | Xbox | Switch | Switch 2 | PC)"</f>
        <v>#N/A</v>
      </c>
      <c r="T8" s="45"/>
      <c r="U8" s="44"/>
      <c r="V8" s="45"/>
      <c r="W8" s="44"/>
      <c r="X8" s="44"/>
      <c r="Z8" s="44"/>
    </row>
    <row r="9">
      <c r="A9" s="16"/>
      <c r="B9" s="16"/>
      <c r="D9" s="51"/>
      <c r="E9" s="16"/>
      <c r="F9" s="16"/>
      <c r="G9" s="16"/>
      <c r="H9" s="16"/>
      <c r="I9" s="16"/>
      <c r="J9" s="16"/>
      <c r="K9" s="16"/>
      <c r="L9" s="16"/>
      <c r="M9" s="16"/>
      <c r="N9" s="5" t="s">
        <v>112</v>
      </c>
      <c r="O9" s="16" t="str">
        <f t="shared" si="1"/>
        <v>#</v>
      </c>
      <c r="P9" s="16" t="str">
        <f t="shared" si="2"/>
        <v>#videoGame</v>
      </c>
      <c r="R9" s="16" t="str">
        <f>"("""&amp;C9&amp;""") ("&amp;Vlookup(E9,DropDown!B:C,2,FALSE)&amp; " OR ""Video Game"" OR Playstation OR iOS OR PS4 OR PS5 OR Xbox OR Switch OR Swtich 2 OR PC)"</f>
        <v>#N/A</v>
      </c>
      <c r="S9" s="44" t="str">
        <f>"("""&amp;C9&amp;""") ("&amp;Vlookup(E9,DropDown!K:L,2,FALSE)&amp; " | ""Video Game"" | Playstation | iOS | PS4 | PS5 | Xbox | Switch | Switch 2 | PC)"</f>
        <v>#N/A</v>
      </c>
      <c r="T9" s="44"/>
      <c r="U9" s="44"/>
      <c r="V9" s="45"/>
      <c r="W9" s="44"/>
      <c r="X9" s="44"/>
      <c r="Z9" s="44"/>
    </row>
    <row r="10">
      <c r="A10" s="16"/>
      <c r="B10" s="16"/>
      <c r="C10" s="53"/>
      <c r="D10" s="51"/>
      <c r="E10" s="16"/>
      <c r="F10" s="16"/>
      <c r="G10" s="16"/>
      <c r="H10" s="16"/>
      <c r="I10" s="16"/>
      <c r="J10" s="16"/>
      <c r="K10" s="16"/>
      <c r="L10" s="16"/>
      <c r="M10" s="16"/>
      <c r="N10" s="5" t="s">
        <v>112</v>
      </c>
      <c r="O10" s="16" t="str">
        <f t="shared" si="1"/>
        <v>#</v>
      </c>
      <c r="P10" s="16" t="str">
        <f t="shared" si="2"/>
        <v>#videoGame</v>
      </c>
      <c r="R10" s="16" t="str">
        <f>"("""&amp;C10&amp;""") ("&amp;Vlookup(E10,DropDown!B:C,2,FALSE)&amp; " OR ""Video Game"" OR Playstation OR iOS OR PS4 OR PS5 OR Xbox OR Switch OR Swtich 2 OR PC)"</f>
        <v>#N/A</v>
      </c>
      <c r="S10" s="44" t="str">
        <f>"("""&amp;C10&amp;""") ("&amp;Vlookup(E10,DropDown!K:L,2,FALSE)&amp; " | ""Video Game"" | Playstation | iOS | PS4 | PS5 | Xbox | Switch | Switch 2 | PC)"</f>
        <v>#N/A</v>
      </c>
      <c r="T10" s="45"/>
      <c r="U10" s="45"/>
      <c r="V10" s="45"/>
      <c r="W10" s="44"/>
      <c r="X10" s="45"/>
      <c r="Z10" s="44"/>
    </row>
    <row r="11">
      <c r="A11" s="16"/>
      <c r="B11" s="16"/>
      <c r="C11" s="53"/>
      <c r="D11" s="51"/>
      <c r="E11" s="5"/>
      <c r="F11" s="5"/>
      <c r="G11" s="16"/>
      <c r="H11" s="16"/>
      <c r="I11" s="16"/>
      <c r="J11" s="16"/>
      <c r="K11" s="16"/>
      <c r="L11" s="16"/>
      <c r="M11" s="16"/>
      <c r="N11" s="5" t="s">
        <v>112</v>
      </c>
      <c r="O11" s="16" t="str">
        <f t="shared" si="1"/>
        <v>#</v>
      </c>
      <c r="P11" s="16" t="str">
        <f t="shared" si="2"/>
        <v>#videoGame</v>
      </c>
      <c r="R11" s="16" t="str">
        <f>"("""&amp;C11&amp;""") ("&amp;Vlookup(E11,DropDown!B:C,2,FALSE)&amp; " OR ""Video Game"" OR Playstation OR iOS OR PS4 OR PS5 OR Xbox OR Switch OR Swtich 2 OR PC)"</f>
        <v>#N/A</v>
      </c>
      <c r="S11" s="44" t="str">
        <f>"("""&amp;C11&amp;""") ("&amp;Vlookup(E11,DropDown!K:L,2,FALSE)&amp; " | ""Video Game"" | Playstation | iOS | PS4 | PS5 | Xbox | Switch | Switch 2 | PC)"</f>
        <v>#N/A</v>
      </c>
      <c r="T11" s="45"/>
      <c r="U11" s="44"/>
      <c r="V11" s="45"/>
      <c r="W11" s="44"/>
      <c r="X11" s="45"/>
      <c r="Z11" s="45"/>
    </row>
    <row r="12">
      <c r="A12" s="16"/>
      <c r="B12" s="16"/>
      <c r="C12" s="53"/>
      <c r="D12" s="51"/>
      <c r="E12" s="5"/>
      <c r="F12" s="37"/>
      <c r="G12" s="16"/>
      <c r="H12" s="16"/>
      <c r="I12" s="16"/>
      <c r="J12" s="5"/>
      <c r="K12" s="16"/>
      <c r="L12" s="16"/>
      <c r="M12" s="16"/>
      <c r="N12" s="5" t="s">
        <v>112</v>
      </c>
      <c r="O12" s="16" t="str">
        <f t="shared" si="1"/>
        <v>#</v>
      </c>
      <c r="P12" s="16" t="str">
        <f t="shared" si="2"/>
        <v>#videoGame</v>
      </c>
      <c r="R12" s="16" t="str">
        <f>"("""&amp;C12&amp;""") ("&amp;Vlookup(E12,DropDown!B:C,2,FALSE)&amp; " OR ""Video Game"" OR Playstation OR iOS OR PS4 OR PS5 OR Xbox OR Switch OR Swtich 2 OR PC)"</f>
        <v>#N/A</v>
      </c>
      <c r="S12" s="44" t="str">
        <f>"("""&amp;C12&amp;""") ("&amp;Vlookup(E12,DropDown!K:L,2,FALSE)&amp; " | ""Video Game"" | Playstation | iOS | PS4 | PS5 | Xbox | Switch | Switch 2 | PC)"</f>
        <v>#N/A</v>
      </c>
      <c r="T12" s="44"/>
      <c r="U12" s="44"/>
      <c r="V12" s="45"/>
      <c r="W12" s="44"/>
      <c r="X12" s="44"/>
      <c r="Z12" s="45"/>
    </row>
    <row r="13">
      <c r="A13" s="16"/>
      <c r="B13" s="16"/>
      <c r="D13" s="51"/>
      <c r="E13" s="16"/>
      <c r="F13" s="16"/>
      <c r="G13" s="16"/>
      <c r="H13" s="16"/>
      <c r="I13" s="16"/>
      <c r="J13" s="5"/>
      <c r="K13" s="16"/>
      <c r="L13" s="16"/>
      <c r="M13" s="16"/>
      <c r="N13" s="5" t="s">
        <v>112</v>
      </c>
      <c r="O13" s="16" t="str">
        <f t="shared" si="1"/>
        <v>#</v>
      </c>
      <c r="P13" s="16" t="str">
        <f t="shared" si="2"/>
        <v>#videoGame</v>
      </c>
      <c r="R13" s="16" t="str">
        <f>"("""&amp;C13&amp;""") ("&amp;Vlookup(E13,DropDown!B:C,2,FALSE)&amp; " OR ""Video Game"" OR Playstation OR iOS OR PS4 OR PS5 OR Xbox OR Switch OR Swtich 2 OR PC)"</f>
        <v>#N/A</v>
      </c>
      <c r="S13" s="44" t="str">
        <f>"("""&amp;C13&amp;""") ("&amp;Vlookup(E13,DropDown!K:L,2,FALSE)&amp; " | ""Video Game"" | Playstation | iOS | PS4 | PS5 | Xbox | Switch | Switch 2 | PC)"</f>
        <v>#N/A</v>
      </c>
      <c r="T13" s="44"/>
      <c r="U13" s="44"/>
      <c r="V13" s="45"/>
      <c r="W13" s="44"/>
      <c r="X13" s="44"/>
      <c r="Z13" s="45"/>
    </row>
    <row r="14">
      <c r="A14" s="16"/>
      <c r="B14" s="16"/>
      <c r="D14" s="51"/>
      <c r="E14" s="37"/>
      <c r="F14" s="16"/>
      <c r="G14" s="39"/>
      <c r="H14" s="39"/>
      <c r="I14" s="39"/>
      <c r="J14" s="39"/>
      <c r="K14" s="32"/>
      <c r="L14" s="32"/>
      <c r="M14" s="16"/>
      <c r="N14" s="5" t="s">
        <v>112</v>
      </c>
      <c r="O14" s="16" t="str">
        <f t="shared" si="1"/>
        <v>#</v>
      </c>
      <c r="P14" s="16" t="str">
        <f t="shared" si="2"/>
        <v>#videoGame</v>
      </c>
      <c r="R14" s="16" t="str">
        <f>"("""&amp;C14&amp;""") ("&amp;Vlookup(E14,DropDown!B:C,2,FALSE)&amp; " OR ""Video Game"" OR Playstation OR iOS OR PS4 OR PS5 OR Xbox OR Switch OR Swtich 2 OR PC)"</f>
        <v>#N/A</v>
      </c>
      <c r="S14" s="44" t="str">
        <f>"("""&amp;C14&amp;""") ("&amp;Vlookup(E14,DropDown!K:L,2,FALSE)&amp; " | ""Video Game"" | Playstation | iOS | PS4 | PS5 | Xbox | Switch | Switch 2 | PC)"</f>
        <v>#N/A</v>
      </c>
      <c r="T14" s="45"/>
      <c r="U14" s="45"/>
      <c r="V14" s="45"/>
      <c r="W14" s="44"/>
      <c r="X14" s="44"/>
      <c r="Z14" s="45"/>
    </row>
    <row r="15">
      <c r="A15" s="16"/>
      <c r="B15" s="16"/>
      <c r="D15" s="51"/>
      <c r="E15" s="37"/>
      <c r="F15" s="16"/>
      <c r="G15" s="39"/>
      <c r="H15" s="39"/>
      <c r="I15" s="39"/>
      <c r="J15" s="39"/>
      <c r="K15" s="32"/>
      <c r="L15" s="32"/>
      <c r="M15" s="16"/>
      <c r="N15" s="5" t="s">
        <v>112</v>
      </c>
      <c r="O15" s="16" t="str">
        <f t="shared" si="1"/>
        <v>#</v>
      </c>
      <c r="P15" s="16" t="str">
        <f t="shared" si="2"/>
        <v>#videoGame</v>
      </c>
      <c r="R15" s="16" t="str">
        <f>"("""&amp;C15&amp;""") ("&amp;Vlookup(E15,DropDown!B:C,2,FALSE)&amp; " OR ""Video Game"" OR Playstation OR iOS OR PS4 OR PS5 OR Xbox OR Switch OR Swtich 2 OR PC)"</f>
        <v>#N/A</v>
      </c>
      <c r="S15" s="44" t="str">
        <f>"("""&amp;C15&amp;""") ("&amp;Vlookup(E15,DropDown!K:L,2,FALSE)&amp; " | ""Video Game"" | Playstation | iOS | PS4 | PS5 | Xbox | Switch | Switch 2 | PC)"</f>
        <v>#N/A</v>
      </c>
      <c r="T15" s="45"/>
      <c r="U15" s="45"/>
      <c r="V15" s="45"/>
      <c r="W15" s="44"/>
      <c r="X15" s="44"/>
      <c r="Z15" s="45"/>
    </row>
    <row r="16">
      <c r="A16" s="16"/>
      <c r="B16" s="16"/>
      <c r="C16" s="57"/>
      <c r="E16" s="16"/>
      <c r="F16" s="16"/>
      <c r="G16" s="16"/>
      <c r="H16" s="16"/>
      <c r="I16" s="16"/>
      <c r="J16" s="16"/>
      <c r="K16" s="16"/>
      <c r="L16" s="16"/>
      <c r="M16" s="16"/>
      <c r="N16" s="5" t="s">
        <v>112</v>
      </c>
      <c r="O16" s="16" t="str">
        <f t="shared" si="1"/>
        <v>#</v>
      </c>
      <c r="P16" s="16" t="str">
        <f t="shared" si="2"/>
        <v>#videoGame</v>
      </c>
      <c r="R16" s="16" t="str">
        <f>"("""&amp;C16&amp;""") ("&amp;Vlookup(E16,DropDown!B:C,2,FALSE)&amp; " OR ""Video Game"" OR Playstation OR iOS OR PS4 OR PS5 OR Xbox OR Switch OR Swtich 2 OR PC)"</f>
        <v>#N/A</v>
      </c>
      <c r="S16" s="44" t="str">
        <f>"("""&amp;C16&amp;""") ("&amp;Vlookup(E16,DropDown!K:L,2,FALSE)&amp; " | ""Video Game"" | Playstation | iOS | PS4 | PS5 | Xbox | Switch | Switch 2 | PC)"</f>
        <v>#N/A</v>
      </c>
      <c r="T16" s="44"/>
      <c r="U16" s="44"/>
      <c r="V16" s="44"/>
      <c r="W16" s="44"/>
      <c r="X16" s="44"/>
      <c r="Z16" s="44"/>
    </row>
    <row r="17">
      <c r="A17" s="16"/>
      <c r="B17" s="16"/>
      <c r="C17" s="57"/>
      <c r="E17" s="16"/>
      <c r="F17" s="16"/>
      <c r="G17" s="16"/>
      <c r="H17" s="16"/>
      <c r="I17" s="16"/>
      <c r="J17" s="16"/>
      <c r="K17" s="16"/>
      <c r="L17" s="16"/>
      <c r="M17" s="16"/>
      <c r="N17" s="5" t="s">
        <v>112</v>
      </c>
      <c r="O17" s="16" t="str">
        <f t="shared" si="1"/>
        <v>#</v>
      </c>
      <c r="P17" s="16" t="str">
        <f t="shared" si="2"/>
        <v>#videoGame</v>
      </c>
      <c r="R17" s="16" t="str">
        <f>"("""&amp;C17&amp;""") ("&amp;Vlookup(E17,DropDown!B:C,2,FALSE)&amp; " OR ""Video Game"" OR Playstation OR iOS OR PS4 OR PS5 OR Xbox OR Switch OR Swtich 2 OR PC)"</f>
        <v>#N/A</v>
      </c>
      <c r="S17" s="44" t="str">
        <f>"("""&amp;C17&amp;""") ("&amp;Vlookup(E17,DropDown!K:L,2,FALSE)&amp; " | ""Video Game"" | Playstation | iOS | PS4 | PS5 | Xbox | Switch | Switch 2 | PC)"</f>
        <v>#N/A</v>
      </c>
      <c r="T17" s="44"/>
      <c r="U17" s="44"/>
      <c r="V17" s="44"/>
      <c r="W17" s="44"/>
      <c r="X17" s="44"/>
      <c r="Z17" s="44"/>
    </row>
    <row r="18">
      <c r="A18" s="16"/>
      <c r="B18" s="16"/>
      <c r="C18" s="57"/>
      <c r="E18" s="16"/>
      <c r="F18" s="16"/>
      <c r="G18" s="16"/>
      <c r="H18" s="16"/>
      <c r="I18" s="16"/>
      <c r="J18" s="16"/>
      <c r="K18" s="16"/>
      <c r="L18" s="16"/>
      <c r="M18" s="16"/>
      <c r="N18" s="5" t="s">
        <v>112</v>
      </c>
      <c r="O18" s="16" t="str">
        <f t="shared" si="1"/>
        <v>#</v>
      </c>
      <c r="P18" s="16" t="str">
        <f t="shared" si="2"/>
        <v>#videoGame</v>
      </c>
      <c r="R18" s="16" t="str">
        <f>"("""&amp;C18&amp;""") ("&amp;Vlookup(E18,DropDown!B:C,2,FALSE)&amp; " OR ""Video Game"" OR Playstation OR iOS OR PS4 OR PS5 OR Xbox OR Switch OR Swtich 2 OR PC)"</f>
        <v>#N/A</v>
      </c>
      <c r="S18" s="44" t="str">
        <f>"("""&amp;C18&amp;""") ("&amp;Vlookup(E18,DropDown!K:L,2,FALSE)&amp; " | ""Video Game"" | Playstation | iOS | PS4 | PS5 | Xbox | Switch | Switch 2 | PC)"</f>
        <v>#N/A</v>
      </c>
      <c r="T18" s="44"/>
      <c r="U18" s="44"/>
      <c r="V18" s="44"/>
      <c r="W18" s="44"/>
      <c r="X18" s="44"/>
      <c r="Z18" s="44"/>
    </row>
    <row r="19">
      <c r="A19" s="16"/>
      <c r="B19" s="16"/>
      <c r="C19" s="57"/>
      <c r="E19" s="16"/>
      <c r="F19" s="16"/>
      <c r="G19" s="16"/>
      <c r="H19" s="16"/>
      <c r="I19" s="16"/>
      <c r="J19" s="16"/>
      <c r="K19" s="16"/>
      <c r="L19" s="16"/>
      <c r="M19" s="16"/>
      <c r="N19" s="5" t="s">
        <v>112</v>
      </c>
      <c r="O19" s="16" t="str">
        <f t="shared" si="1"/>
        <v>#</v>
      </c>
      <c r="P19" s="16" t="str">
        <f t="shared" si="2"/>
        <v>#videoGame</v>
      </c>
      <c r="R19" s="16" t="str">
        <f>"("""&amp;C19&amp;""") ("&amp;Vlookup(E19,DropDown!B:C,2,FALSE)&amp; " OR ""Video Game"" OR Playstation OR iOS OR PS4 OR PS5 OR Xbox OR Switch OR Swtich 2 OR PC)"</f>
        <v>#N/A</v>
      </c>
      <c r="S19" s="44" t="str">
        <f>"("""&amp;C19&amp;""") ("&amp;Vlookup(E19,DropDown!K:L,2,FALSE)&amp; " | ""Video Game"" | Playstation | iOS | PS4 | PS5 | Xbox | Switch | Switch 2 | PC)"</f>
        <v>#N/A</v>
      </c>
      <c r="T19" s="44"/>
      <c r="U19" s="44"/>
      <c r="V19" s="44"/>
      <c r="W19" s="44"/>
      <c r="X19" s="44"/>
      <c r="Z19" s="44"/>
    </row>
    <row r="20">
      <c r="A20" s="16"/>
      <c r="B20" s="16"/>
      <c r="C20" s="57"/>
      <c r="E20" s="16"/>
      <c r="F20" s="16"/>
      <c r="G20" s="16"/>
      <c r="H20" s="16"/>
      <c r="I20" s="16"/>
      <c r="J20" s="16"/>
      <c r="K20" s="16"/>
      <c r="L20" s="16"/>
      <c r="M20" s="16"/>
      <c r="N20" s="5" t="s">
        <v>112</v>
      </c>
      <c r="O20" s="16" t="str">
        <f t="shared" si="1"/>
        <v>#</v>
      </c>
      <c r="P20" s="16" t="str">
        <f t="shared" si="2"/>
        <v>#videoGame</v>
      </c>
      <c r="R20" s="16" t="str">
        <f>"("""&amp;C20&amp;""") ("&amp;Vlookup(E20,DropDown!B:C,2,FALSE)&amp; " OR ""Video Game"" OR Playstation OR iOS OR PS4 OR PS5 OR Xbox OR Switch OR Swtich 2 OR PC)"</f>
        <v>#N/A</v>
      </c>
      <c r="S20" s="44" t="str">
        <f>"("""&amp;C20&amp;""") ("&amp;Vlookup(E20,DropDown!K:L,2,FALSE)&amp; " | ""Video Game"" | Playstation | iOS | PS4 | PS5 | Xbox | Switch | Switch 2 | PC)"</f>
        <v>#N/A</v>
      </c>
      <c r="T20" s="44"/>
      <c r="U20" s="44"/>
      <c r="V20" s="44"/>
      <c r="W20" s="44"/>
      <c r="X20" s="44"/>
      <c r="Z20" s="44"/>
    </row>
    <row r="21">
      <c r="A21" s="16"/>
      <c r="B21" s="16"/>
      <c r="C21" s="57"/>
      <c r="E21" s="16"/>
      <c r="F21" s="16"/>
      <c r="G21" s="16"/>
      <c r="H21" s="16"/>
      <c r="I21" s="16"/>
      <c r="J21" s="16"/>
      <c r="K21" s="16"/>
      <c r="L21" s="16"/>
      <c r="M21" s="16"/>
      <c r="N21" s="5" t="s">
        <v>112</v>
      </c>
      <c r="O21" s="16" t="str">
        <f t="shared" si="1"/>
        <v>#</v>
      </c>
      <c r="P21" s="16" t="str">
        <f t="shared" si="2"/>
        <v>#videoGame</v>
      </c>
      <c r="R21" s="16" t="str">
        <f>"("""&amp;C21&amp;""") ("&amp;Vlookup(E21,DropDown!B:C,2,FALSE)&amp; " OR ""Video Game"" OR Playstation OR iOS OR PS4 OR PS5 OR Xbox OR Switch OR Swtich 2 OR PC)"</f>
        <v>#N/A</v>
      </c>
      <c r="S21" s="44" t="str">
        <f>"("""&amp;C21&amp;""") ("&amp;Vlookup(E21,DropDown!K:L,2,FALSE)&amp; " | ""Video Game"" | Playstation | iOS | PS4 | PS5 | Xbox | Switch | Switch 2 | PC)"</f>
        <v>#N/A</v>
      </c>
      <c r="T21" s="44"/>
      <c r="U21" s="44"/>
      <c r="V21" s="44"/>
      <c r="W21" s="44"/>
      <c r="X21" s="44"/>
      <c r="Z21" s="44"/>
    </row>
    <row r="22">
      <c r="A22" s="16"/>
      <c r="B22" s="16"/>
      <c r="C22" s="57"/>
      <c r="E22" s="16"/>
      <c r="F22" s="16"/>
      <c r="G22" s="16"/>
      <c r="H22" s="16"/>
      <c r="I22" s="16"/>
      <c r="J22" s="16"/>
      <c r="K22" s="16"/>
      <c r="L22" s="16"/>
      <c r="M22" s="16"/>
      <c r="N22" s="5" t="s">
        <v>112</v>
      </c>
      <c r="O22" s="16" t="str">
        <f t="shared" si="1"/>
        <v>#</v>
      </c>
      <c r="P22" s="16" t="str">
        <f t="shared" si="2"/>
        <v>#videoGame</v>
      </c>
      <c r="R22" s="16" t="str">
        <f>"("""&amp;C22&amp;""") ("&amp;Vlookup(E22,DropDown!B:C,2,FALSE)&amp; " OR ""Video Game"" OR Playstation OR iOS OR PS4 OR PS5 OR Xbox OR Switch OR Swtich 2 OR PC)"</f>
        <v>#N/A</v>
      </c>
      <c r="S22" s="44" t="str">
        <f>"("""&amp;C22&amp;""") ("&amp;Vlookup(E22,DropDown!K:L,2,FALSE)&amp; " | ""Video Game"" | Playstation | iOS | PS4 | PS5 | Xbox | Switch | Switch 2 | PC)"</f>
        <v>#N/A</v>
      </c>
      <c r="T22" s="44"/>
      <c r="U22" s="44"/>
      <c r="V22" s="44"/>
      <c r="W22" s="44"/>
      <c r="X22" s="44"/>
      <c r="Z22" s="44"/>
    </row>
    <row r="23">
      <c r="A23" s="16"/>
      <c r="B23" s="16"/>
      <c r="C23" s="57"/>
      <c r="E23" s="16"/>
      <c r="F23" s="16"/>
      <c r="G23" s="16"/>
      <c r="H23" s="16"/>
      <c r="I23" s="16"/>
      <c r="J23" s="16"/>
      <c r="K23" s="16"/>
      <c r="L23" s="16"/>
      <c r="M23" s="16"/>
      <c r="N23" s="5" t="s">
        <v>112</v>
      </c>
      <c r="O23" s="16" t="str">
        <f t="shared" si="1"/>
        <v>#</v>
      </c>
      <c r="P23" s="16" t="str">
        <f t="shared" si="2"/>
        <v>#videoGame</v>
      </c>
      <c r="R23" s="16" t="str">
        <f>"("""&amp;C23&amp;""") ("&amp;Vlookup(E23,DropDown!B:C,2,FALSE)&amp; " OR ""Video Game"" OR Playstation OR iOS OR PS4 OR PS5 OR Xbox OR Switch OR Swtich 2 OR PC)"</f>
        <v>#N/A</v>
      </c>
      <c r="S23" s="44" t="str">
        <f>"("""&amp;C23&amp;""") ("&amp;Vlookup(E23,DropDown!K:L,2,FALSE)&amp; " | ""Video Game"" | Playstation | iOS | PS4 | PS5 | Xbox | Switch | Switch 2 | PC)"</f>
        <v>#N/A</v>
      </c>
      <c r="T23" s="44"/>
      <c r="U23" s="44"/>
      <c r="V23" s="44"/>
      <c r="W23" s="44"/>
      <c r="X23" s="44"/>
      <c r="Z23" s="44"/>
    </row>
    <row r="24">
      <c r="A24" s="16"/>
      <c r="B24" s="16"/>
      <c r="C24" s="57"/>
      <c r="E24" s="16"/>
      <c r="F24" s="16"/>
      <c r="G24" s="16"/>
      <c r="H24" s="16"/>
      <c r="I24" s="16"/>
      <c r="J24" s="16"/>
      <c r="K24" s="16"/>
      <c r="L24" s="16"/>
      <c r="M24" s="16"/>
      <c r="N24" s="5" t="s">
        <v>112</v>
      </c>
      <c r="O24" s="16" t="str">
        <f t="shared" si="1"/>
        <v>#</v>
      </c>
      <c r="P24" s="16" t="str">
        <f t="shared" si="2"/>
        <v>#videoGame</v>
      </c>
      <c r="R24" s="16" t="str">
        <f>"("""&amp;C24&amp;""") ("&amp;Vlookup(E24,DropDown!B:C,2,FALSE)&amp; " OR ""Video Game"" OR Playstation OR iOS OR PS4 OR PS5 OR Xbox OR Switch OR Swtich 2 OR PC)"</f>
        <v>#N/A</v>
      </c>
      <c r="S24" s="44" t="str">
        <f>"("""&amp;C24&amp;""") ("&amp;Vlookup(E24,DropDown!K:L,2,FALSE)&amp; " | ""Video Game"" | Playstation | iOS | PS4 | PS5 | Xbox | Switch | Switch 2 | PC)"</f>
        <v>#N/A</v>
      </c>
      <c r="T24" s="44"/>
      <c r="U24" s="44"/>
      <c r="V24" s="44"/>
      <c r="W24" s="44"/>
      <c r="X24" s="44"/>
      <c r="Z24" s="44"/>
    </row>
    <row r="25">
      <c r="A25" s="16"/>
      <c r="B25" s="16"/>
      <c r="C25" s="57"/>
      <c r="E25" s="16"/>
      <c r="F25" s="16"/>
      <c r="G25" s="16"/>
      <c r="H25" s="16"/>
      <c r="I25" s="16"/>
      <c r="J25" s="16"/>
      <c r="K25" s="16"/>
      <c r="L25" s="16"/>
      <c r="M25" s="16"/>
      <c r="N25" s="5" t="s">
        <v>112</v>
      </c>
      <c r="O25" s="16" t="str">
        <f t="shared" si="1"/>
        <v>#</v>
      </c>
      <c r="P25" s="16" t="str">
        <f t="shared" si="2"/>
        <v>#videoGame</v>
      </c>
      <c r="R25" s="16" t="str">
        <f>"("""&amp;C25&amp;""") ("&amp;Vlookup(E25,DropDown!B:C,2,FALSE)&amp; " OR ""Video Game"" OR Playstation OR iOS OR PS4 OR PS5 OR Xbox OR Switch OR Swtich 2 OR PC)"</f>
        <v>#N/A</v>
      </c>
      <c r="S25" s="44" t="str">
        <f>"("""&amp;C25&amp;""") ("&amp;Vlookup(E25,DropDown!K:L,2,FALSE)&amp; " | ""Video Game"" | Playstation | iOS | PS4 | PS5 | Xbox | Switch | Switch 2 | PC)"</f>
        <v>#N/A</v>
      </c>
      <c r="T25" s="44"/>
      <c r="U25" s="44"/>
      <c r="V25" s="44"/>
      <c r="W25" s="44"/>
      <c r="X25" s="44"/>
      <c r="Z25" s="44"/>
    </row>
    <row r="26">
      <c r="A26" s="16"/>
      <c r="B26" s="16"/>
      <c r="C26" s="57"/>
      <c r="E26" s="16"/>
      <c r="F26" s="16"/>
      <c r="G26" s="16"/>
      <c r="H26" s="16"/>
      <c r="I26" s="16"/>
      <c r="J26" s="16"/>
      <c r="K26" s="16"/>
      <c r="L26" s="16"/>
      <c r="M26" s="16"/>
      <c r="N26" s="5" t="s">
        <v>112</v>
      </c>
      <c r="O26" s="16" t="str">
        <f t="shared" si="1"/>
        <v>#</v>
      </c>
      <c r="P26" s="16" t="str">
        <f t="shared" si="2"/>
        <v>#videoGame</v>
      </c>
      <c r="R26" s="16" t="str">
        <f>"("""&amp;C26&amp;""") ("&amp;Vlookup(E26,DropDown!B:C,2,FALSE)&amp; " OR ""Video Game"" OR Playstation OR iOS OR PS4 OR PS5 OR Xbox OR Switch OR Swtich 2 OR PC)"</f>
        <v>#N/A</v>
      </c>
      <c r="S26" s="44" t="str">
        <f>"("""&amp;C26&amp;""") ("&amp;Vlookup(E26,DropDown!K:L,2,FALSE)&amp; " | ""Video Game"" | Playstation | iOS | PS4 | PS5 | Xbox | Switch | Switch 2 | PC)"</f>
        <v>#N/A</v>
      </c>
      <c r="T26" s="44"/>
      <c r="U26" s="44"/>
      <c r="V26" s="44"/>
      <c r="W26" s="44"/>
      <c r="X26" s="44"/>
      <c r="Z26" s="44"/>
    </row>
    <row r="27">
      <c r="A27" s="16"/>
      <c r="B27" s="16"/>
      <c r="C27" s="57"/>
      <c r="E27" s="16"/>
      <c r="F27" s="16"/>
      <c r="G27" s="16"/>
      <c r="H27" s="16"/>
      <c r="I27" s="16"/>
      <c r="J27" s="16"/>
      <c r="K27" s="16"/>
      <c r="L27" s="16"/>
      <c r="M27" s="16"/>
      <c r="N27" s="5" t="s">
        <v>112</v>
      </c>
      <c r="O27" s="16" t="str">
        <f t="shared" si="1"/>
        <v>#</v>
      </c>
      <c r="P27" s="16" t="str">
        <f t="shared" si="2"/>
        <v>#videoGame</v>
      </c>
      <c r="R27" s="16" t="str">
        <f>"("""&amp;C27&amp;""") ("&amp;Vlookup(E27,DropDown!B:C,2,FALSE)&amp; " OR ""Video Game"" OR Playstation OR iOS OR PS4 OR PS5 OR Xbox OR Switch OR Swtich 2 OR PC)"</f>
        <v>#N/A</v>
      </c>
      <c r="S27" s="44" t="str">
        <f>"("""&amp;C27&amp;""") ("&amp;Vlookup(E27,DropDown!K:L,2,FALSE)&amp; " | ""Video Game"" | Playstation | iOS | PS4 | PS5 | Xbox | Switch | Switch 2 | PC)"</f>
        <v>#N/A</v>
      </c>
      <c r="T27" s="44"/>
      <c r="U27" s="44"/>
      <c r="V27" s="44"/>
      <c r="W27" s="44"/>
      <c r="X27" s="44"/>
      <c r="Z27" s="44"/>
    </row>
    <row r="28">
      <c r="A28" s="16"/>
      <c r="B28" s="16"/>
      <c r="C28" s="57"/>
      <c r="E28" s="16"/>
      <c r="F28" s="16"/>
      <c r="G28" s="16"/>
      <c r="H28" s="16"/>
      <c r="I28" s="16"/>
      <c r="J28" s="16"/>
      <c r="K28" s="16"/>
      <c r="L28" s="16"/>
      <c r="M28" s="16"/>
      <c r="N28" s="5" t="s">
        <v>112</v>
      </c>
      <c r="O28" s="16" t="str">
        <f t="shared" si="1"/>
        <v>#</v>
      </c>
      <c r="P28" s="16" t="str">
        <f t="shared" si="2"/>
        <v>#videoGame</v>
      </c>
      <c r="R28" s="16" t="str">
        <f>"("""&amp;C28&amp;""") ("&amp;Vlookup(E28,DropDown!B:C,2,FALSE)&amp; " OR ""Video Game"" OR Playstation OR iOS OR PS4 OR PS5 OR Xbox OR Switch OR Swtich 2 OR PC)"</f>
        <v>#N/A</v>
      </c>
      <c r="S28" s="44" t="str">
        <f>"("""&amp;C28&amp;""") ("&amp;Vlookup(E28,DropDown!K:L,2,FALSE)&amp; " | ""Video Game"" | Playstation | iOS | PS4 | PS5 | Xbox | Switch | Switch 2 | PC)"</f>
        <v>#N/A</v>
      </c>
      <c r="T28" s="44"/>
      <c r="U28" s="44"/>
      <c r="V28" s="44"/>
      <c r="W28" s="44"/>
      <c r="X28" s="44"/>
      <c r="Z28" s="44"/>
    </row>
    <row r="29">
      <c r="A29" s="16"/>
      <c r="B29" s="16"/>
      <c r="C29" s="57"/>
      <c r="E29" s="16"/>
      <c r="F29" s="16"/>
      <c r="G29" s="16"/>
      <c r="H29" s="16"/>
      <c r="I29" s="16"/>
      <c r="J29" s="16"/>
      <c r="K29" s="16"/>
      <c r="L29" s="16"/>
      <c r="M29" s="16"/>
      <c r="N29" s="5" t="s">
        <v>112</v>
      </c>
      <c r="O29" s="16" t="str">
        <f t="shared" si="1"/>
        <v>#</v>
      </c>
      <c r="P29" s="16" t="str">
        <f t="shared" si="2"/>
        <v>#videoGame</v>
      </c>
      <c r="R29" s="16" t="str">
        <f>"("""&amp;C29&amp;""") ("&amp;Vlookup(E29,DropDown!B:C,2,FALSE)&amp; " OR ""Video Game"" OR Playstation OR iOS OR PS4 OR PS5 OR Xbox OR Switch OR Swtich 2 OR PC)"</f>
        <v>#N/A</v>
      </c>
      <c r="S29" s="44" t="str">
        <f>"("""&amp;C29&amp;""") ("&amp;Vlookup(E29,DropDown!K:L,2,FALSE)&amp; " | ""Video Game"" | Playstation | iOS | PS4 | PS5 | Xbox | Switch | Switch 2 | PC)"</f>
        <v>#N/A</v>
      </c>
      <c r="T29" s="44"/>
      <c r="U29" s="44"/>
      <c r="V29" s="44"/>
      <c r="W29" s="44"/>
      <c r="X29" s="44"/>
      <c r="Z29" s="44"/>
    </row>
    <row r="30">
      <c r="A30" s="16"/>
      <c r="B30" s="16"/>
      <c r="C30" s="57"/>
      <c r="E30" s="16"/>
      <c r="F30" s="16"/>
      <c r="G30" s="16"/>
      <c r="H30" s="16"/>
      <c r="I30" s="16"/>
      <c r="J30" s="16"/>
      <c r="K30" s="16"/>
      <c r="L30" s="16"/>
      <c r="M30" s="16"/>
      <c r="N30" s="5" t="s">
        <v>112</v>
      </c>
      <c r="O30" s="16" t="str">
        <f t="shared" si="1"/>
        <v>#</v>
      </c>
      <c r="P30" s="16" t="str">
        <f t="shared" si="2"/>
        <v>#videoGame</v>
      </c>
      <c r="R30" s="16" t="str">
        <f>"("""&amp;C30&amp;""") ("&amp;Vlookup(E30,DropDown!B:C,2,FALSE)&amp; " OR ""Video Game"" OR Playstation OR iOS OR PS4 OR PS5 OR Xbox OR Switch OR Swtich 2 OR PC)"</f>
        <v>#N/A</v>
      </c>
      <c r="S30" s="44" t="str">
        <f>"("""&amp;C30&amp;""") ("&amp;Vlookup(E30,DropDown!K:L,2,FALSE)&amp; " | ""Video Game"" | Playstation | iOS | PS4 | PS5 | Xbox | Switch | Switch 2 | PC)"</f>
        <v>#N/A</v>
      </c>
      <c r="T30" s="44"/>
      <c r="U30" s="44"/>
      <c r="V30" s="44"/>
      <c r="W30" s="44"/>
      <c r="X30" s="44"/>
      <c r="Z30" s="44"/>
    </row>
    <row r="31">
      <c r="A31" s="16"/>
      <c r="B31" s="16"/>
      <c r="C31" s="57"/>
      <c r="E31" s="16"/>
      <c r="F31" s="16"/>
      <c r="G31" s="16"/>
      <c r="H31" s="16"/>
      <c r="I31" s="16"/>
      <c r="J31" s="16"/>
      <c r="K31" s="16"/>
      <c r="L31" s="16"/>
      <c r="M31" s="16"/>
      <c r="N31" s="5" t="s">
        <v>112</v>
      </c>
      <c r="O31" s="16" t="str">
        <f t="shared" si="1"/>
        <v>#</v>
      </c>
      <c r="P31" s="16" t="str">
        <f t="shared" si="2"/>
        <v>#videoGame</v>
      </c>
      <c r="R31" s="16" t="str">
        <f>"("""&amp;C31&amp;""") ("&amp;Vlookup(E31,DropDown!B:C,2,FALSE)&amp; " OR ""Video Game"" OR Playstation OR iOS OR PS4 OR PS5 OR Xbox OR Switch OR Swtich 2 OR PC)"</f>
        <v>#N/A</v>
      </c>
      <c r="S31" s="44" t="str">
        <f>"("""&amp;C31&amp;""") ("&amp;Vlookup(E31,DropDown!K:L,2,FALSE)&amp; " | ""Video Game"" | Playstation | iOS | PS4 | PS5 | Xbox | Switch | Switch 2 | PC)"</f>
        <v>#N/A</v>
      </c>
      <c r="T31" s="44"/>
      <c r="U31" s="44"/>
      <c r="V31" s="44"/>
      <c r="W31" s="44"/>
      <c r="X31" s="44"/>
      <c r="Z31" s="44"/>
    </row>
    <row r="32">
      <c r="A32" s="16"/>
      <c r="B32" s="16"/>
      <c r="C32" s="57"/>
      <c r="E32" s="16"/>
      <c r="F32" s="16"/>
      <c r="G32" s="16"/>
      <c r="H32" s="16"/>
      <c r="I32" s="16"/>
      <c r="J32" s="16"/>
      <c r="K32" s="16"/>
      <c r="L32" s="16"/>
      <c r="M32" s="16"/>
      <c r="N32" s="5" t="s">
        <v>112</v>
      </c>
      <c r="O32" s="16" t="str">
        <f t="shared" si="1"/>
        <v>#</v>
      </c>
      <c r="P32" s="16" t="str">
        <f t="shared" si="2"/>
        <v>#videoGame</v>
      </c>
      <c r="R32" s="16" t="str">
        <f>"("""&amp;C32&amp;""") ("&amp;Vlookup(E32,DropDown!B:C,2,FALSE)&amp; " OR ""Video Game"" OR Playstation OR iOS OR PS4 OR PS5 OR Xbox OR Switch OR Swtich 2 OR PC)"</f>
        <v>#N/A</v>
      </c>
      <c r="S32" s="44" t="str">
        <f>"("""&amp;C32&amp;""") ("&amp;Vlookup(E32,DropDown!K:L,2,FALSE)&amp; " | ""Video Game"" | Playstation | iOS | PS4 | PS5 | Xbox | Switch | Switch 2 | PC)"</f>
        <v>#N/A</v>
      </c>
      <c r="T32" s="44"/>
      <c r="U32" s="44"/>
      <c r="V32" s="44"/>
      <c r="W32" s="44"/>
      <c r="X32" s="44"/>
      <c r="Z32" s="44"/>
    </row>
    <row r="33">
      <c r="A33" s="16"/>
      <c r="B33" s="16"/>
      <c r="C33" s="57"/>
      <c r="E33" s="16"/>
      <c r="F33" s="16"/>
      <c r="G33" s="16"/>
      <c r="H33" s="16"/>
      <c r="I33" s="16"/>
      <c r="J33" s="16"/>
      <c r="K33" s="16"/>
      <c r="L33" s="16"/>
      <c r="M33" s="16"/>
      <c r="N33" s="5" t="s">
        <v>112</v>
      </c>
      <c r="O33" s="16" t="str">
        <f t="shared" si="1"/>
        <v>#</v>
      </c>
      <c r="P33" s="16" t="str">
        <f t="shared" si="2"/>
        <v>#videoGame</v>
      </c>
      <c r="R33" s="16" t="str">
        <f>"("""&amp;C33&amp;""") ("&amp;Vlookup(E33,DropDown!B:C,2,FALSE)&amp; " OR ""Video Game"" OR Playstation OR iOS OR PS4 OR PS5 OR Xbox OR Switch OR Swtich 2 OR PC)"</f>
        <v>#N/A</v>
      </c>
      <c r="S33" s="44" t="str">
        <f>"("""&amp;C33&amp;""") ("&amp;Vlookup(E33,DropDown!K:L,2,FALSE)&amp; " | ""Video Game"" | Playstation | iOS | PS4 | PS5 | Xbox | Switch | Switch 2 | PC)"</f>
        <v>#N/A</v>
      </c>
      <c r="T33" s="44"/>
      <c r="U33" s="44"/>
      <c r="V33" s="44"/>
      <c r="W33" s="44"/>
      <c r="X33" s="44"/>
      <c r="Z33" s="44"/>
    </row>
    <row r="34">
      <c r="A34" s="16"/>
      <c r="B34" s="16"/>
      <c r="C34" s="57"/>
      <c r="E34" s="16"/>
      <c r="F34" s="16"/>
      <c r="G34" s="16"/>
      <c r="H34" s="16"/>
      <c r="I34" s="16"/>
      <c r="J34" s="16"/>
      <c r="K34" s="16"/>
      <c r="L34" s="16"/>
      <c r="M34" s="16"/>
      <c r="N34" s="5" t="s">
        <v>112</v>
      </c>
      <c r="O34" s="16" t="str">
        <f t="shared" si="1"/>
        <v>#</v>
      </c>
      <c r="P34" s="16" t="str">
        <f t="shared" si="2"/>
        <v>#videoGame</v>
      </c>
      <c r="R34" s="16" t="str">
        <f>"("""&amp;C34&amp;""") ("&amp;Vlookup(E34,DropDown!B:C,2,FALSE)&amp; " OR ""Video Game"" OR Playstation OR iOS OR PS4 OR PS5 OR Xbox OR Switch OR Swtich 2 OR PC)"</f>
        <v>#N/A</v>
      </c>
      <c r="S34" s="44" t="str">
        <f>"("""&amp;C34&amp;""") ("&amp;Vlookup(E34,DropDown!K:L,2,FALSE)&amp; " | ""Video Game"" | Playstation | iOS | PS4 | PS5 | Xbox | Switch | Switch 2 | PC)"</f>
        <v>#N/A</v>
      </c>
      <c r="T34" s="44"/>
      <c r="U34" s="44"/>
      <c r="V34" s="44"/>
      <c r="W34" s="44"/>
      <c r="X34" s="44"/>
      <c r="Z34" s="44"/>
    </row>
    <row r="35">
      <c r="A35" s="16"/>
      <c r="B35" s="16"/>
      <c r="C35" s="57"/>
      <c r="E35" s="16"/>
      <c r="F35" s="16"/>
      <c r="G35" s="16"/>
      <c r="H35" s="16"/>
      <c r="I35" s="16"/>
      <c r="J35" s="16"/>
      <c r="K35" s="16"/>
      <c r="L35" s="16"/>
      <c r="M35" s="16"/>
      <c r="N35" s="5" t="s">
        <v>112</v>
      </c>
      <c r="O35" s="16" t="str">
        <f t="shared" si="1"/>
        <v>#</v>
      </c>
      <c r="P35" s="16" t="str">
        <f t="shared" si="2"/>
        <v>#videoGame</v>
      </c>
      <c r="R35" s="16" t="str">
        <f>"("""&amp;C35&amp;""") ("&amp;Vlookup(E35,DropDown!B:C,2,FALSE)&amp; " OR ""Video Game"" OR Playstation OR iOS OR PS4 OR PS5 OR Xbox OR Switch OR Swtich 2 OR PC)"</f>
        <v>#N/A</v>
      </c>
      <c r="S35" s="44" t="str">
        <f>"("""&amp;C35&amp;""") ("&amp;Vlookup(E35,DropDown!K:L,2,FALSE)&amp; " | ""Video Game"" | Playstation | iOS | PS4 | PS5 | Xbox | Switch | Switch 2 | PC)"</f>
        <v>#N/A</v>
      </c>
      <c r="T35" s="44"/>
      <c r="U35" s="44"/>
      <c r="V35" s="44"/>
      <c r="W35" s="44"/>
      <c r="X35" s="44"/>
      <c r="Z35" s="44"/>
    </row>
    <row r="36">
      <c r="A36" s="16"/>
      <c r="B36" s="16"/>
      <c r="C36" s="57"/>
      <c r="E36" s="16"/>
      <c r="F36" s="16"/>
      <c r="G36" s="16"/>
      <c r="H36" s="16"/>
      <c r="I36" s="16"/>
      <c r="J36" s="16"/>
      <c r="K36" s="16"/>
      <c r="L36" s="16"/>
      <c r="M36" s="16"/>
      <c r="N36" s="5" t="s">
        <v>112</v>
      </c>
      <c r="O36" s="16" t="str">
        <f t="shared" si="1"/>
        <v>#</v>
      </c>
      <c r="P36" s="16" t="str">
        <f t="shared" si="2"/>
        <v>#videoGame</v>
      </c>
      <c r="R36" s="16" t="str">
        <f>"("""&amp;C36&amp;""") ("&amp;Vlookup(E36,DropDown!B:C,2,FALSE)&amp; " OR ""Video Game"" OR Playstation OR iOS OR PS4 OR PS5 OR Xbox OR Switch OR Swtich 2 OR PC)"</f>
        <v>#N/A</v>
      </c>
      <c r="S36" s="44" t="str">
        <f>"("""&amp;C36&amp;""") ("&amp;Vlookup(E36,DropDown!K:L,2,FALSE)&amp; " | ""Video Game"" | Playstation | iOS | PS4 | PS5 | Xbox | Switch | Switch 2 | PC)"</f>
        <v>#N/A</v>
      </c>
      <c r="T36" s="44"/>
      <c r="U36" s="44"/>
      <c r="V36" s="44"/>
      <c r="W36" s="44"/>
      <c r="X36" s="44"/>
      <c r="Z36" s="44"/>
    </row>
    <row r="37">
      <c r="A37" s="16"/>
      <c r="B37" s="16"/>
      <c r="C37" s="57"/>
      <c r="E37" s="16"/>
      <c r="F37" s="16"/>
      <c r="G37" s="16"/>
      <c r="H37" s="16"/>
      <c r="I37" s="16"/>
      <c r="J37" s="16"/>
      <c r="K37" s="16"/>
      <c r="L37" s="16"/>
      <c r="M37" s="16"/>
      <c r="N37" s="5" t="s">
        <v>112</v>
      </c>
      <c r="O37" s="16" t="str">
        <f t="shared" si="1"/>
        <v>#</v>
      </c>
      <c r="P37" s="16" t="str">
        <f t="shared" si="2"/>
        <v>#videoGame</v>
      </c>
      <c r="R37" s="16" t="str">
        <f>"("""&amp;C37&amp;""") ("&amp;Vlookup(E37,DropDown!B:C,2,FALSE)&amp; " OR ""Video Game"" OR Playstation OR iOS OR PS4 OR PS5 OR Xbox OR Switch OR Swtich 2 OR PC)"</f>
        <v>#N/A</v>
      </c>
      <c r="S37" s="44" t="str">
        <f>"("""&amp;C37&amp;""") ("&amp;Vlookup(E37,DropDown!K:L,2,FALSE)&amp; " | ""Video Game"" | Playstation | iOS | PS4 | PS5 | Xbox | Switch | Switch 2 | PC)"</f>
        <v>#N/A</v>
      </c>
      <c r="T37" s="44"/>
      <c r="U37" s="44"/>
      <c r="V37" s="44"/>
      <c r="W37" s="44"/>
      <c r="X37" s="44"/>
      <c r="Z37" s="44"/>
    </row>
    <row r="38">
      <c r="A38" s="16"/>
      <c r="B38" s="16"/>
      <c r="C38" s="57"/>
      <c r="E38" s="16"/>
      <c r="F38" s="16"/>
      <c r="G38" s="16"/>
      <c r="H38" s="16"/>
      <c r="I38" s="16"/>
      <c r="J38" s="16"/>
      <c r="K38" s="16"/>
      <c r="L38" s="16"/>
      <c r="M38" s="16"/>
      <c r="N38" s="5" t="s">
        <v>112</v>
      </c>
      <c r="O38" s="16" t="str">
        <f t="shared" si="1"/>
        <v>#</v>
      </c>
      <c r="P38" s="16" t="str">
        <f t="shared" si="2"/>
        <v>#videoGame</v>
      </c>
      <c r="R38" s="16" t="str">
        <f>"("""&amp;C38&amp;""") ("&amp;Vlookup(E38,DropDown!B:C,2,FALSE)&amp; " OR ""Video Game"" OR Playstation OR iOS OR PS4 OR PS5 OR Xbox OR Switch OR Swtich 2 OR PC)"</f>
        <v>#N/A</v>
      </c>
      <c r="S38" s="44" t="str">
        <f>"("""&amp;C38&amp;""") ("&amp;Vlookup(E38,DropDown!K:L,2,FALSE)&amp; " | ""Video Game"" | Playstation | iOS | PS4 | PS5 | Xbox | Switch | Switch 2 | PC)"</f>
        <v>#N/A</v>
      </c>
      <c r="T38" s="44"/>
      <c r="U38" s="44"/>
      <c r="V38" s="44"/>
      <c r="W38" s="44"/>
      <c r="X38" s="44"/>
      <c r="Z38" s="44"/>
    </row>
    <row r="39">
      <c r="A39" s="16"/>
      <c r="B39" s="16"/>
      <c r="C39" s="57"/>
      <c r="E39" s="16"/>
      <c r="F39" s="16"/>
      <c r="G39" s="16"/>
      <c r="H39" s="16"/>
      <c r="I39" s="16"/>
      <c r="J39" s="16"/>
      <c r="K39" s="16"/>
      <c r="L39" s="16"/>
      <c r="M39" s="16"/>
      <c r="N39" s="5" t="s">
        <v>112</v>
      </c>
      <c r="O39" s="16" t="str">
        <f t="shared" si="1"/>
        <v>#</v>
      </c>
      <c r="P39" s="16" t="str">
        <f t="shared" si="2"/>
        <v>#videoGame</v>
      </c>
      <c r="R39" s="16" t="str">
        <f>"("""&amp;C39&amp;""") ("&amp;Vlookup(E39,DropDown!B:C,2,FALSE)&amp; " OR ""Video Game"" OR Playstation OR iOS OR PS4 OR PS5 OR Xbox OR Switch OR Swtich 2 OR PC)"</f>
        <v>#N/A</v>
      </c>
      <c r="S39" s="44" t="str">
        <f>"("""&amp;C39&amp;""") ("&amp;Vlookup(E39,DropDown!K:L,2,FALSE)&amp; " | ""Video Game"" | Playstation | iOS | PS4 | PS5 | Xbox | Switch | Switch 2 | PC)"</f>
        <v>#N/A</v>
      </c>
      <c r="T39" s="44"/>
      <c r="U39" s="44"/>
      <c r="V39" s="44"/>
      <c r="W39" s="44"/>
      <c r="X39" s="44"/>
      <c r="Z39" s="44"/>
    </row>
    <row r="40">
      <c r="A40" s="16"/>
      <c r="B40" s="16"/>
      <c r="C40" s="57"/>
      <c r="E40" s="16"/>
      <c r="F40" s="16"/>
      <c r="G40" s="16"/>
      <c r="H40" s="16"/>
      <c r="I40" s="16"/>
      <c r="J40" s="16"/>
      <c r="K40" s="16"/>
      <c r="L40" s="16"/>
      <c r="M40" s="16"/>
      <c r="N40" s="5" t="s">
        <v>112</v>
      </c>
      <c r="O40" s="16" t="str">
        <f t="shared" si="1"/>
        <v>#</v>
      </c>
      <c r="P40" s="16" t="str">
        <f t="shared" si="2"/>
        <v>#videoGame</v>
      </c>
      <c r="R40" s="16" t="str">
        <f>"("""&amp;C40&amp;""") ("&amp;Vlookup(E40,DropDown!B:C,2,FALSE)&amp; " OR ""Video Game"" OR Playstation OR iOS OR PS4 OR PS5 OR Xbox OR Switch OR Swtich 2 OR PC)"</f>
        <v>#N/A</v>
      </c>
      <c r="S40" s="44" t="str">
        <f>"("""&amp;C40&amp;""") ("&amp;Vlookup(E40,DropDown!K:L,2,FALSE)&amp; " | ""Video Game"" | Playstation | iOS | PS4 | PS5 | Xbox | Switch | Switch 2 | PC)"</f>
        <v>#N/A</v>
      </c>
      <c r="T40" s="44"/>
      <c r="U40" s="44"/>
      <c r="V40" s="44"/>
      <c r="W40" s="44"/>
      <c r="X40" s="44"/>
      <c r="Z40" s="44"/>
    </row>
    <row r="41">
      <c r="A41" s="16"/>
      <c r="B41" s="16"/>
      <c r="C41" s="57"/>
      <c r="E41" s="16"/>
      <c r="F41" s="16"/>
      <c r="G41" s="16"/>
      <c r="H41" s="16"/>
      <c r="I41" s="16"/>
      <c r="J41" s="16"/>
      <c r="K41" s="16"/>
      <c r="L41" s="16"/>
      <c r="M41" s="16"/>
      <c r="N41" s="5" t="s">
        <v>112</v>
      </c>
      <c r="O41" s="16" t="str">
        <f t="shared" si="1"/>
        <v>#</v>
      </c>
      <c r="P41" s="16" t="str">
        <f t="shared" si="2"/>
        <v>#videoGame</v>
      </c>
      <c r="R41" s="16" t="str">
        <f>"("""&amp;C41&amp;""") ("&amp;Vlookup(E41,DropDown!B:C,2,FALSE)&amp; " OR ""Video Game"" OR Playstation OR iOS OR PS4 OR PS5 OR Xbox OR Switch OR Swtich 2 OR PC)"</f>
        <v>#N/A</v>
      </c>
      <c r="S41" s="44" t="str">
        <f>"("""&amp;C41&amp;""") ("&amp;Vlookup(E41,DropDown!K:L,2,FALSE)&amp; " | ""Video Game"" | Playstation | iOS | PS4 | PS5 | Xbox | Switch | Switch 2 | PC)"</f>
        <v>#N/A</v>
      </c>
      <c r="T41" s="44"/>
      <c r="U41" s="44"/>
      <c r="V41" s="44"/>
      <c r="W41" s="44"/>
      <c r="X41" s="44"/>
      <c r="Z41" s="44"/>
    </row>
    <row r="42">
      <c r="A42" s="16"/>
      <c r="B42" s="16"/>
      <c r="C42" s="57"/>
      <c r="E42" s="16"/>
      <c r="F42" s="16"/>
      <c r="G42" s="16"/>
      <c r="H42" s="16"/>
      <c r="I42" s="16"/>
      <c r="J42" s="16"/>
      <c r="K42" s="16"/>
      <c r="L42" s="16"/>
      <c r="M42" s="16"/>
      <c r="N42" s="5" t="s">
        <v>112</v>
      </c>
      <c r="O42" s="16" t="str">
        <f t="shared" si="1"/>
        <v>#</v>
      </c>
      <c r="P42" s="16" t="str">
        <f t="shared" si="2"/>
        <v>#videoGame</v>
      </c>
      <c r="R42" s="16" t="str">
        <f>"("""&amp;C42&amp;""") ("&amp;Vlookup(E42,DropDown!B:C,2,FALSE)&amp; " OR ""Video Game"" OR Playstation OR iOS OR PS4 OR PS5 OR Xbox OR Switch OR Swtich 2 OR PC)"</f>
        <v>#N/A</v>
      </c>
      <c r="S42" s="44" t="str">
        <f>"("""&amp;C42&amp;""") ("&amp;Vlookup(E42,DropDown!K:L,2,FALSE)&amp; " | ""Video Game"" | Playstation | iOS | PS4 | PS5 | Xbox | Switch | Switch 2 | PC)"</f>
        <v>#N/A</v>
      </c>
      <c r="T42" s="44"/>
      <c r="U42" s="44"/>
      <c r="V42" s="44"/>
      <c r="W42" s="44"/>
      <c r="X42" s="44"/>
      <c r="Z42" s="44"/>
    </row>
    <row r="43">
      <c r="A43" s="16"/>
      <c r="B43" s="16"/>
      <c r="C43" s="57"/>
      <c r="E43" s="16"/>
      <c r="F43" s="16"/>
      <c r="G43" s="16"/>
      <c r="H43" s="16"/>
      <c r="I43" s="16"/>
      <c r="J43" s="16"/>
      <c r="K43" s="16"/>
      <c r="L43" s="16"/>
      <c r="M43" s="16"/>
      <c r="N43" s="5" t="s">
        <v>112</v>
      </c>
      <c r="O43" s="16" t="str">
        <f t="shared" si="1"/>
        <v>#</v>
      </c>
      <c r="P43" s="16" t="str">
        <f t="shared" si="2"/>
        <v>#videoGame</v>
      </c>
      <c r="R43" s="16" t="str">
        <f>"("""&amp;C43&amp;""") ("&amp;Vlookup(E43,DropDown!B:C,2,FALSE)&amp; " OR ""Video Game"" OR Playstation OR iOS OR PS4 OR PS5 OR Xbox OR Switch OR Swtich 2 OR PC)"</f>
        <v>#N/A</v>
      </c>
      <c r="S43" s="44" t="str">
        <f>"("""&amp;C43&amp;""") ("&amp;Vlookup(E43,DropDown!K:L,2,FALSE)&amp; " | ""Video Game"" | Playstation | iOS | PS4 | PS5 | Xbox | Switch | Switch 2 | PC)"</f>
        <v>#N/A</v>
      </c>
      <c r="T43" s="44"/>
      <c r="U43" s="44"/>
      <c r="V43" s="44"/>
      <c r="W43" s="44"/>
      <c r="X43" s="44"/>
      <c r="Z43" s="44"/>
    </row>
    <row r="44">
      <c r="A44" s="16"/>
      <c r="B44" s="16"/>
      <c r="C44" s="57"/>
      <c r="E44" s="16"/>
      <c r="F44" s="16"/>
      <c r="G44" s="16"/>
      <c r="H44" s="16"/>
      <c r="I44" s="16"/>
      <c r="J44" s="16"/>
      <c r="K44" s="16"/>
      <c r="L44" s="16"/>
      <c r="M44" s="16"/>
      <c r="N44" s="5" t="s">
        <v>112</v>
      </c>
      <c r="O44" s="16" t="str">
        <f t="shared" si="1"/>
        <v>#</v>
      </c>
      <c r="P44" s="16" t="str">
        <f t="shared" si="2"/>
        <v>#videoGame</v>
      </c>
      <c r="R44" s="16" t="str">
        <f>"("""&amp;C44&amp;""") ("&amp;Vlookup(E44,DropDown!B:C,2,FALSE)&amp; " OR ""Video Game"" OR Playstation OR iOS OR PS4 OR PS5 OR Xbox OR Switch OR Swtich 2 OR PC)"</f>
        <v>#N/A</v>
      </c>
      <c r="S44" s="44" t="str">
        <f>"("""&amp;C44&amp;""") ("&amp;Vlookup(E44,DropDown!K:L,2,FALSE)&amp; " | ""Video Game"" | Playstation | iOS | PS4 | PS5 | Xbox | Switch | Switch 2 | PC)"</f>
        <v>#N/A</v>
      </c>
      <c r="T44" s="44"/>
      <c r="U44" s="44"/>
      <c r="V44" s="44"/>
      <c r="W44" s="44"/>
      <c r="X44" s="44"/>
      <c r="Z44" s="44"/>
    </row>
    <row r="45">
      <c r="A45" s="16"/>
      <c r="B45" s="16"/>
      <c r="C45" s="57"/>
      <c r="E45" s="16"/>
      <c r="F45" s="16"/>
      <c r="G45" s="16"/>
      <c r="H45" s="16"/>
      <c r="I45" s="16"/>
      <c r="J45" s="16"/>
      <c r="K45" s="16"/>
      <c r="L45" s="16"/>
      <c r="M45" s="16"/>
      <c r="N45" s="5" t="s">
        <v>112</v>
      </c>
      <c r="O45" s="16" t="str">
        <f t="shared" si="1"/>
        <v>#</v>
      </c>
      <c r="P45" s="16" t="str">
        <f t="shared" si="2"/>
        <v>#videoGame</v>
      </c>
      <c r="R45" s="16" t="str">
        <f>"("""&amp;C45&amp;""") ("&amp;Vlookup(E45,DropDown!B:C,2,FALSE)&amp; " OR ""Video Game"" OR Playstation OR iOS OR PS4 OR PS5 OR Xbox OR Switch OR Swtich 2 OR PC)"</f>
        <v>#N/A</v>
      </c>
      <c r="S45" s="44" t="str">
        <f>"("""&amp;C45&amp;""") ("&amp;Vlookup(E45,DropDown!K:L,2,FALSE)&amp; " | ""Video Game"" | Playstation | iOS | PS4 | PS5 | Xbox | Switch | Switch 2 | PC)"</f>
        <v>#N/A</v>
      </c>
      <c r="T45" s="44"/>
      <c r="U45" s="44"/>
      <c r="V45" s="44"/>
      <c r="W45" s="44"/>
      <c r="X45" s="44"/>
      <c r="Z45" s="44"/>
    </row>
    <row r="46">
      <c r="A46" s="16"/>
      <c r="B46" s="16"/>
      <c r="C46" s="57"/>
      <c r="E46" s="16"/>
      <c r="F46" s="16"/>
      <c r="G46" s="16"/>
      <c r="H46" s="16"/>
      <c r="I46" s="16"/>
      <c r="J46" s="16"/>
      <c r="K46" s="16"/>
      <c r="L46" s="16"/>
      <c r="M46" s="16"/>
      <c r="N46" s="5" t="s">
        <v>112</v>
      </c>
      <c r="O46" s="16" t="str">
        <f t="shared" si="1"/>
        <v>#</v>
      </c>
      <c r="P46" s="16" t="str">
        <f t="shared" si="2"/>
        <v>#videoGame</v>
      </c>
      <c r="R46" s="16" t="str">
        <f>"("""&amp;C46&amp;""") ("&amp;Vlookup(E46,DropDown!B:C,2,FALSE)&amp; " OR ""Video Game"" OR Playstation OR iOS OR PS4 OR PS5 OR Xbox OR Switch OR Swtich 2 OR PC)"</f>
        <v>#N/A</v>
      </c>
      <c r="S46" s="44" t="str">
        <f>"("""&amp;C46&amp;""") ("&amp;Vlookup(E46,DropDown!K:L,2,FALSE)&amp; " | ""Video Game"" | Playstation | iOS | PS4 | PS5 | Xbox | Switch | Switch 2 | PC)"</f>
        <v>#N/A</v>
      </c>
      <c r="T46" s="44"/>
      <c r="U46" s="44"/>
      <c r="V46" s="44"/>
      <c r="W46" s="44"/>
      <c r="X46" s="44"/>
      <c r="Z46" s="44"/>
    </row>
    <row r="47">
      <c r="A47" s="16"/>
      <c r="B47" s="16"/>
      <c r="C47" s="57"/>
      <c r="E47" s="16"/>
      <c r="F47" s="16"/>
      <c r="G47" s="16"/>
      <c r="H47" s="16"/>
      <c r="I47" s="16"/>
      <c r="J47" s="16"/>
      <c r="K47" s="16"/>
      <c r="L47" s="16"/>
      <c r="M47" s="16"/>
      <c r="N47" s="5" t="s">
        <v>112</v>
      </c>
      <c r="O47" s="16" t="str">
        <f t="shared" si="1"/>
        <v>#</v>
      </c>
      <c r="P47" s="16" t="str">
        <f t="shared" si="2"/>
        <v>#videoGame</v>
      </c>
      <c r="R47" s="16" t="str">
        <f>"("""&amp;C47&amp;""") ("&amp;Vlookup(E47,DropDown!B:C,2,FALSE)&amp; " OR ""Video Game"" OR Playstation OR iOS OR PS4 OR PS5 OR Xbox OR Switch OR Swtich 2 OR PC)"</f>
        <v>#N/A</v>
      </c>
      <c r="S47" s="44" t="str">
        <f>"("""&amp;C47&amp;""") ("&amp;Vlookup(E47,DropDown!K:L,2,FALSE)&amp; " | ""Video Game"" | Playstation | iOS | PS4 | PS5 | Xbox | Switch | Switch 2 | PC)"</f>
        <v>#N/A</v>
      </c>
      <c r="T47" s="44"/>
      <c r="U47" s="44"/>
      <c r="V47" s="44"/>
      <c r="W47" s="44"/>
      <c r="X47" s="44"/>
      <c r="Z47" s="44"/>
    </row>
    <row r="48">
      <c r="A48" s="16"/>
      <c r="B48" s="16"/>
      <c r="C48" s="57"/>
      <c r="E48" s="16"/>
      <c r="F48" s="16"/>
      <c r="G48" s="16"/>
      <c r="H48" s="16"/>
      <c r="I48" s="16"/>
      <c r="J48" s="16"/>
      <c r="K48" s="16"/>
      <c r="L48" s="16"/>
      <c r="M48" s="16"/>
      <c r="N48" s="5" t="s">
        <v>112</v>
      </c>
      <c r="O48" s="16" t="str">
        <f t="shared" si="1"/>
        <v>#</v>
      </c>
      <c r="P48" s="16" t="str">
        <f t="shared" si="2"/>
        <v>#videoGame</v>
      </c>
      <c r="R48" s="16" t="str">
        <f>"("""&amp;C48&amp;""") ("&amp;Vlookup(E48,DropDown!B:C,2,FALSE)&amp; " OR ""Video Game"" OR Playstation OR iOS OR PS4 OR PS5 OR Xbox OR Switch OR Swtich 2 OR PC)"</f>
        <v>#N/A</v>
      </c>
      <c r="S48" s="44" t="str">
        <f>"("""&amp;C48&amp;""") ("&amp;Vlookup(E48,DropDown!K:L,2,FALSE)&amp; " | ""Video Game"" | Playstation | iOS | PS4 | PS5 | Xbox | Switch | Switch 2 | PC)"</f>
        <v>#N/A</v>
      </c>
      <c r="T48" s="44"/>
      <c r="U48" s="44"/>
      <c r="V48" s="44"/>
      <c r="W48" s="44"/>
      <c r="X48" s="44"/>
      <c r="Z48" s="44"/>
    </row>
    <row r="49">
      <c r="A49" s="16"/>
      <c r="B49" s="16"/>
      <c r="C49" s="57"/>
      <c r="E49" s="16"/>
      <c r="F49" s="16"/>
      <c r="G49" s="16"/>
      <c r="H49" s="16"/>
      <c r="I49" s="16"/>
      <c r="J49" s="16"/>
      <c r="K49" s="16"/>
      <c r="L49" s="16"/>
      <c r="M49" s="16"/>
      <c r="N49" s="5" t="s">
        <v>112</v>
      </c>
      <c r="O49" s="16" t="str">
        <f t="shared" si="1"/>
        <v>#</v>
      </c>
      <c r="P49" s="16" t="str">
        <f t="shared" si="2"/>
        <v>#videoGame</v>
      </c>
      <c r="R49" s="16" t="str">
        <f>"("""&amp;C49&amp;""") ("&amp;Vlookup(E49,DropDown!B:C,2,FALSE)&amp; " OR ""Video Game"" OR Playstation OR iOS OR PS4 OR PS5 OR Xbox OR Switch OR Swtich 2 OR PC)"</f>
        <v>#N/A</v>
      </c>
      <c r="S49" s="44" t="str">
        <f>"("""&amp;C49&amp;""") ("&amp;Vlookup(E49,DropDown!K:L,2,FALSE)&amp; " | ""Video Game"" | Playstation | iOS | PS4 | PS5 | Xbox | Switch | Switch 2 | PC)"</f>
        <v>#N/A</v>
      </c>
      <c r="T49" s="44"/>
      <c r="U49" s="44"/>
      <c r="V49" s="44"/>
      <c r="W49" s="44"/>
      <c r="X49" s="44"/>
      <c r="Z49" s="44"/>
    </row>
    <row r="50">
      <c r="A50" s="16"/>
      <c r="B50" s="16"/>
      <c r="C50" s="57"/>
      <c r="E50" s="16"/>
      <c r="F50" s="16"/>
      <c r="G50" s="16"/>
      <c r="H50" s="16"/>
      <c r="I50" s="16"/>
      <c r="J50" s="16"/>
      <c r="K50" s="16"/>
      <c r="L50" s="16"/>
      <c r="M50" s="16"/>
      <c r="N50" s="5" t="s">
        <v>112</v>
      </c>
      <c r="O50" s="16" t="str">
        <f t="shared" si="1"/>
        <v>#</v>
      </c>
      <c r="P50" s="16" t="str">
        <f t="shared" si="2"/>
        <v>#videoGame</v>
      </c>
      <c r="R50" s="16" t="str">
        <f>"("""&amp;C50&amp;""") ("&amp;Vlookup(E50,DropDown!B:C,2,FALSE)&amp; " OR ""Video Game"" OR Playstation OR iOS OR PS4 OR PS5 OR Xbox OR Switch OR Swtich 2 OR PC)"</f>
        <v>#N/A</v>
      </c>
      <c r="S50" s="44" t="str">
        <f>"("""&amp;C50&amp;""") ("&amp;Vlookup(E50,DropDown!K:L,2,FALSE)&amp; " | ""Video Game"" | Playstation | iOS | PS4 | PS5 | Xbox | Switch | Switch 2 | PC)"</f>
        <v>#N/A</v>
      </c>
      <c r="T50" s="44"/>
      <c r="U50" s="44"/>
      <c r="V50" s="44"/>
      <c r="W50" s="44"/>
      <c r="X50" s="44"/>
      <c r="Z50" s="44"/>
    </row>
    <row r="51">
      <c r="A51" s="16"/>
      <c r="B51" s="16"/>
      <c r="C51" s="57"/>
      <c r="E51" s="16"/>
      <c r="F51" s="16"/>
      <c r="G51" s="16"/>
      <c r="H51" s="16"/>
      <c r="I51" s="16"/>
      <c r="J51" s="16"/>
      <c r="K51" s="16"/>
      <c r="L51" s="16"/>
      <c r="M51" s="16"/>
      <c r="N51" s="5" t="s">
        <v>112</v>
      </c>
      <c r="O51" s="16" t="str">
        <f t="shared" si="1"/>
        <v>#</v>
      </c>
      <c r="P51" s="16" t="str">
        <f t="shared" si="2"/>
        <v>#videoGame</v>
      </c>
      <c r="R51" s="16" t="str">
        <f>"("""&amp;C51&amp;""") ("&amp;Vlookup(E51,DropDown!B:C,2,FALSE)&amp; " OR ""Video Game"" OR Playstation OR iOS OR PS4 OR PS5 OR Xbox OR Switch OR Swtich 2 OR PC)"</f>
        <v>#N/A</v>
      </c>
      <c r="S51" s="44" t="str">
        <f>"("""&amp;C51&amp;""") ("&amp;Vlookup(E51,DropDown!K:L,2,FALSE)&amp; " | ""Video Game"" | Playstation | iOS | PS4 | PS5 | Xbox | Switch | Switch 2 | PC)"</f>
        <v>#N/A</v>
      </c>
      <c r="T51" s="44"/>
      <c r="U51" s="44"/>
      <c r="V51" s="44"/>
      <c r="W51" s="44"/>
      <c r="X51" s="44"/>
      <c r="Z51" s="44"/>
    </row>
    <row r="52">
      <c r="A52" s="16"/>
      <c r="B52" s="16"/>
      <c r="C52" s="57"/>
      <c r="E52" s="16"/>
      <c r="F52" s="16"/>
      <c r="G52" s="16"/>
      <c r="H52" s="16"/>
      <c r="I52" s="16"/>
      <c r="J52" s="16"/>
      <c r="K52" s="16"/>
      <c r="L52" s="16"/>
      <c r="M52" s="16"/>
      <c r="N52" s="5" t="s">
        <v>112</v>
      </c>
      <c r="O52" s="16" t="str">
        <f t="shared" si="1"/>
        <v>#</v>
      </c>
      <c r="P52" s="16" t="str">
        <f t="shared" si="2"/>
        <v>#videoGame</v>
      </c>
      <c r="R52" s="16" t="str">
        <f>"("""&amp;C52&amp;""") ("&amp;Vlookup(E52,DropDown!B:C,2,FALSE)&amp; " OR ""Video Game"" OR Playstation OR iOS OR PS4 OR PS5 OR Xbox OR Switch OR Swtich 2 OR PC)"</f>
        <v>#N/A</v>
      </c>
      <c r="S52" s="44" t="str">
        <f>"("""&amp;C52&amp;""") ("&amp;Vlookup(E52,DropDown!K:L,2,FALSE)&amp; " | ""Video Game"" | Playstation | iOS | PS4 | PS5 | Xbox | Switch | Switch 2 | PC)"</f>
        <v>#N/A</v>
      </c>
      <c r="T52" s="44"/>
      <c r="U52" s="44"/>
      <c r="V52" s="44"/>
      <c r="W52" s="44"/>
      <c r="X52" s="44"/>
      <c r="Z52" s="44"/>
    </row>
    <row r="53">
      <c r="A53" s="16"/>
      <c r="B53" s="16"/>
      <c r="C53" s="57"/>
      <c r="E53" s="16"/>
      <c r="F53" s="16"/>
      <c r="G53" s="16"/>
      <c r="H53" s="16"/>
      <c r="I53" s="16"/>
      <c r="J53" s="16"/>
      <c r="K53" s="16"/>
      <c r="L53" s="16"/>
      <c r="M53" s="16"/>
      <c r="N53" s="5" t="s">
        <v>112</v>
      </c>
      <c r="O53" s="16" t="str">
        <f t="shared" si="1"/>
        <v>#</v>
      </c>
      <c r="P53" s="16" t="str">
        <f t="shared" si="2"/>
        <v>#videoGame</v>
      </c>
      <c r="R53" s="16" t="str">
        <f>"("""&amp;C53&amp;""") ("&amp;Vlookup(E53,DropDown!B:C,2,FALSE)&amp; " OR ""Video Game"" OR Playstation OR iOS OR PS4 OR PS5 OR Xbox OR Switch OR Swtich 2 OR PC)"</f>
        <v>#N/A</v>
      </c>
      <c r="S53" s="44" t="str">
        <f>"("""&amp;C53&amp;""") ("&amp;Vlookup(E53,DropDown!K:L,2,FALSE)&amp; " | ""Video Game"" | Playstation | iOS | PS4 | PS5 | Xbox | Switch | Switch 2 | PC)"</f>
        <v>#N/A</v>
      </c>
      <c r="T53" s="44"/>
      <c r="U53" s="44"/>
      <c r="V53" s="44"/>
      <c r="W53" s="44"/>
      <c r="X53" s="44"/>
      <c r="Z53" s="44"/>
    </row>
    <row r="54">
      <c r="A54" s="16"/>
      <c r="B54" s="16"/>
      <c r="C54" s="57"/>
      <c r="E54" s="16"/>
      <c r="F54" s="16"/>
      <c r="G54" s="16"/>
      <c r="H54" s="16"/>
      <c r="I54" s="16"/>
      <c r="J54" s="16"/>
      <c r="K54" s="16"/>
      <c r="L54" s="16"/>
      <c r="M54" s="16"/>
      <c r="N54" s="5" t="s">
        <v>112</v>
      </c>
      <c r="O54" s="16" t="str">
        <f t="shared" si="1"/>
        <v>#</v>
      </c>
      <c r="P54" s="16" t="str">
        <f t="shared" si="2"/>
        <v>#videoGame</v>
      </c>
      <c r="R54" s="16" t="str">
        <f>"("""&amp;C54&amp;""") ("&amp;Vlookup(E54,DropDown!B:C,2,FALSE)&amp; " OR ""Video Game"" OR Playstation OR iOS OR PS4 OR PS5 OR Xbox OR Switch OR Swtich 2 OR PC)"</f>
        <v>#N/A</v>
      </c>
      <c r="S54" s="44" t="str">
        <f>"("""&amp;C54&amp;""") ("&amp;Vlookup(E54,DropDown!K:L,2,FALSE)&amp; " | ""Video Game"" | Playstation | iOS | PS4 | PS5 | Xbox | Switch | Switch 2 | PC)"</f>
        <v>#N/A</v>
      </c>
      <c r="T54" s="44"/>
      <c r="U54" s="44"/>
      <c r="V54" s="44"/>
      <c r="W54" s="44"/>
      <c r="X54" s="44"/>
      <c r="Z54" s="44"/>
    </row>
    <row r="55">
      <c r="A55" s="16"/>
      <c r="B55" s="16"/>
      <c r="C55" s="57"/>
      <c r="E55" s="16"/>
      <c r="F55" s="16"/>
      <c r="G55" s="16"/>
      <c r="H55" s="16"/>
      <c r="I55" s="16"/>
      <c r="J55" s="16"/>
      <c r="K55" s="16"/>
      <c r="L55" s="16"/>
      <c r="M55" s="16"/>
      <c r="N55" s="5" t="s">
        <v>112</v>
      </c>
      <c r="O55" s="16" t="str">
        <f t="shared" si="1"/>
        <v>#</v>
      </c>
      <c r="P55" s="16" t="str">
        <f t="shared" si="2"/>
        <v>#videoGame</v>
      </c>
      <c r="R55" s="16" t="str">
        <f>"("""&amp;C55&amp;""") ("&amp;Vlookup(E55,DropDown!B:C,2,FALSE)&amp; " OR ""Video Game"" OR Playstation OR iOS OR PS4 OR PS5 OR Xbox OR Switch OR Swtich 2 OR PC)"</f>
        <v>#N/A</v>
      </c>
      <c r="S55" s="44" t="str">
        <f>"("""&amp;C55&amp;""") ("&amp;Vlookup(E55,DropDown!K:L,2,FALSE)&amp; " | ""Video Game"" | Playstation | iOS | PS4 | PS5 | Xbox | Switch | Switch 2 | PC)"</f>
        <v>#N/A</v>
      </c>
      <c r="T55" s="44"/>
      <c r="U55" s="44"/>
      <c r="V55" s="44"/>
      <c r="W55" s="44"/>
      <c r="X55" s="44"/>
      <c r="Z55" s="44"/>
    </row>
    <row r="56">
      <c r="A56" s="16"/>
      <c r="B56" s="16"/>
      <c r="C56" s="57"/>
      <c r="E56" s="16"/>
      <c r="F56" s="16"/>
      <c r="G56" s="16"/>
      <c r="H56" s="16"/>
      <c r="I56" s="16"/>
      <c r="J56" s="16"/>
      <c r="K56" s="16"/>
      <c r="L56" s="16"/>
      <c r="M56" s="16"/>
      <c r="N56" s="5" t="s">
        <v>112</v>
      </c>
      <c r="O56" s="16" t="str">
        <f t="shared" si="1"/>
        <v>#</v>
      </c>
      <c r="P56" s="16" t="str">
        <f t="shared" si="2"/>
        <v>#videoGame</v>
      </c>
      <c r="R56" s="16" t="str">
        <f>"("""&amp;C56&amp;""") ("&amp;Vlookup(E56,DropDown!B:C,2,FALSE)&amp; " OR ""Video Game"" OR Playstation OR iOS OR PS4 OR PS5 OR Xbox OR Switch OR Swtich 2 OR PC)"</f>
        <v>#N/A</v>
      </c>
      <c r="S56" s="44" t="str">
        <f>"("""&amp;C56&amp;""") ("&amp;Vlookup(E56,DropDown!K:L,2,FALSE)&amp; " | ""Video Game"" | Playstation | iOS | PS4 | PS5 | Xbox | Switch | Switch 2 | PC)"</f>
        <v>#N/A</v>
      </c>
      <c r="T56" s="44"/>
      <c r="U56" s="44"/>
      <c r="V56" s="44"/>
      <c r="W56" s="44"/>
      <c r="X56" s="44"/>
      <c r="Z56" s="44"/>
    </row>
    <row r="57">
      <c r="A57" s="16"/>
      <c r="B57" s="16"/>
      <c r="C57" s="57"/>
      <c r="E57" s="16"/>
      <c r="F57" s="16"/>
      <c r="G57" s="16"/>
      <c r="H57" s="16"/>
      <c r="I57" s="16"/>
      <c r="J57" s="16"/>
      <c r="K57" s="16"/>
      <c r="L57" s="16"/>
      <c r="M57" s="16"/>
      <c r="N57" s="5" t="s">
        <v>112</v>
      </c>
      <c r="O57" s="16" t="str">
        <f t="shared" si="1"/>
        <v>#</v>
      </c>
      <c r="P57" s="16" t="str">
        <f t="shared" si="2"/>
        <v>#videoGame</v>
      </c>
      <c r="R57" s="16" t="str">
        <f>"("""&amp;C57&amp;""") ("&amp;Vlookup(E57,DropDown!B:C,2,FALSE)&amp; " OR ""Video Game"" OR Playstation OR iOS OR PS4 OR PS5 OR Xbox OR Switch OR Swtich 2 OR PC)"</f>
        <v>#N/A</v>
      </c>
      <c r="S57" s="44" t="str">
        <f>"("""&amp;C57&amp;""") ("&amp;Vlookup(E57,DropDown!K:L,2,FALSE)&amp; " | ""Video Game"" | Playstation | iOS | PS4 | PS5 | Xbox | Switch | Switch 2 | PC)"</f>
        <v>#N/A</v>
      </c>
      <c r="T57" s="44"/>
      <c r="U57" s="44"/>
      <c r="V57" s="44"/>
      <c r="W57" s="44"/>
      <c r="X57" s="44"/>
      <c r="Z57" s="44"/>
    </row>
    <row r="58">
      <c r="A58" s="16"/>
      <c r="B58" s="16"/>
      <c r="C58" s="57"/>
      <c r="E58" s="16"/>
      <c r="F58" s="16"/>
      <c r="G58" s="16"/>
      <c r="H58" s="16"/>
      <c r="I58" s="16"/>
      <c r="J58" s="16"/>
      <c r="K58" s="16"/>
      <c r="L58" s="16"/>
      <c r="M58" s="16"/>
      <c r="N58" s="5" t="s">
        <v>112</v>
      </c>
      <c r="O58" s="16" t="str">
        <f t="shared" si="1"/>
        <v>#</v>
      </c>
      <c r="P58" s="16" t="str">
        <f t="shared" si="2"/>
        <v>#videoGame</v>
      </c>
      <c r="R58" s="16" t="str">
        <f>"("""&amp;C58&amp;""") ("&amp;Vlookup(E58,DropDown!B:C,2,FALSE)&amp; " OR ""Video Game"" OR Playstation OR iOS OR PS4 OR PS5 OR Xbox OR Switch OR Swtich 2 OR PC)"</f>
        <v>#N/A</v>
      </c>
      <c r="S58" s="44" t="str">
        <f>"("""&amp;C58&amp;""") ("&amp;Vlookup(E58,DropDown!K:L,2,FALSE)&amp; " | ""Video Game"" | Playstation | iOS | PS4 | PS5 | Xbox | Switch | Switch 2 | PC)"</f>
        <v>#N/A</v>
      </c>
      <c r="T58" s="44"/>
      <c r="U58" s="44"/>
      <c r="V58" s="44"/>
      <c r="W58" s="44"/>
      <c r="X58" s="44"/>
      <c r="Z58" s="44"/>
    </row>
    <row r="59">
      <c r="A59" s="16"/>
      <c r="B59" s="16"/>
      <c r="C59" s="57"/>
      <c r="E59" s="16"/>
      <c r="F59" s="16"/>
      <c r="G59" s="16"/>
      <c r="H59" s="16"/>
      <c r="I59" s="16"/>
      <c r="J59" s="16"/>
      <c r="K59" s="16"/>
      <c r="L59" s="16"/>
      <c r="M59" s="16"/>
      <c r="N59" s="5" t="s">
        <v>112</v>
      </c>
      <c r="O59" s="16" t="str">
        <f t="shared" si="1"/>
        <v>#</v>
      </c>
      <c r="P59" s="16" t="str">
        <f t="shared" si="2"/>
        <v>#videoGame</v>
      </c>
      <c r="R59" s="16" t="str">
        <f>"("""&amp;C59&amp;""") ("&amp;Vlookup(E59,DropDown!B:C,2,FALSE)&amp; " OR ""Video Game"" OR Playstation OR iOS OR PS4 OR PS5 OR Xbox OR Switch OR Swtich 2 OR PC)"</f>
        <v>#N/A</v>
      </c>
      <c r="S59" s="44" t="str">
        <f>"("""&amp;C59&amp;""") ("&amp;Vlookup(E59,DropDown!K:L,2,FALSE)&amp; " | ""Video Game"" | Playstation | iOS | PS4 | PS5 | Xbox | Switch | Switch 2 | PC)"</f>
        <v>#N/A</v>
      </c>
      <c r="T59" s="44"/>
      <c r="U59" s="44"/>
      <c r="V59" s="44"/>
      <c r="W59" s="44"/>
      <c r="X59" s="44"/>
      <c r="Z59" s="44"/>
    </row>
    <row r="60">
      <c r="A60" s="16"/>
      <c r="B60" s="16"/>
      <c r="C60" s="57"/>
      <c r="E60" s="16"/>
      <c r="F60" s="16"/>
      <c r="G60" s="16"/>
      <c r="H60" s="16"/>
      <c r="I60" s="16"/>
      <c r="J60" s="16"/>
      <c r="K60" s="16"/>
      <c r="L60" s="16"/>
      <c r="M60" s="16"/>
      <c r="N60" s="5" t="s">
        <v>112</v>
      </c>
      <c r="O60" s="16" t="str">
        <f t="shared" si="1"/>
        <v>#</v>
      </c>
      <c r="P60" s="16" t="str">
        <f t="shared" si="2"/>
        <v>#videoGame</v>
      </c>
      <c r="R60" s="16" t="str">
        <f>"("""&amp;C60&amp;""") ("&amp;Vlookup(E60,DropDown!B:C,2,FALSE)&amp; " OR ""Video Game"" OR Playstation OR iOS OR PS4 OR PS5 OR Xbox OR Switch OR Swtich 2 OR PC)"</f>
        <v>#N/A</v>
      </c>
      <c r="S60" s="44" t="str">
        <f>"("""&amp;C60&amp;""") ("&amp;Vlookup(E60,DropDown!K:L,2,FALSE)&amp; " | ""Video Game"" | Playstation | iOS | PS4 | PS5 | Xbox | Switch | Switch 2 | PC)"</f>
        <v>#N/A</v>
      </c>
      <c r="T60" s="44"/>
      <c r="U60" s="44"/>
      <c r="V60" s="44"/>
      <c r="W60" s="44"/>
      <c r="X60" s="44"/>
      <c r="Z60" s="44"/>
    </row>
    <row r="61">
      <c r="A61" s="16"/>
      <c r="B61" s="16"/>
      <c r="C61" s="57"/>
      <c r="E61" s="16"/>
      <c r="F61" s="16"/>
      <c r="G61" s="16"/>
      <c r="H61" s="16"/>
      <c r="I61" s="16"/>
      <c r="J61" s="16"/>
      <c r="K61" s="16"/>
      <c r="L61" s="16"/>
      <c r="M61" s="16"/>
      <c r="N61" s="5" t="s">
        <v>112</v>
      </c>
      <c r="O61" s="16" t="str">
        <f t="shared" si="1"/>
        <v>#</v>
      </c>
      <c r="P61" s="16" t="str">
        <f t="shared" si="2"/>
        <v>#videoGame</v>
      </c>
      <c r="R61" s="16" t="str">
        <f>"("""&amp;C61&amp;""") ("&amp;Vlookup(E61,DropDown!B:C,2,FALSE)&amp; " OR ""Video Game"" OR Playstation OR iOS OR PS4 OR PS5 OR Xbox OR Switch OR Swtich 2 OR PC)"</f>
        <v>#N/A</v>
      </c>
      <c r="S61" s="44" t="str">
        <f>"("""&amp;C61&amp;""") ("&amp;Vlookup(E61,DropDown!K:L,2,FALSE)&amp; " | ""Video Game"" | Playstation | iOS | PS4 | PS5 | Xbox | Switch | Switch 2 | PC)"</f>
        <v>#N/A</v>
      </c>
      <c r="T61" s="44"/>
      <c r="U61" s="44"/>
      <c r="V61" s="44"/>
      <c r="W61" s="44"/>
      <c r="X61" s="44"/>
      <c r="Z61" s="44"/>
    </row>
    <row r="62">
      <c r="A62" s="16"/>
      <c r="B62" s="16"/>
      <c r="C62" s="57"/>
      <c r="E62" s="16"/>
      <c r="F62" s="16"/>
      <c r="G62" s="16"/>
      <c r="H62" s="16"/>
      <c r="I62" s="16"/>
      <c r="J62" s="16"/>
      <c r="K62" s="16"/>
      <c r="L62" s="16"/>
      <c r="M62" s="16"/>
      <c r="N62" s="5" t="s">
        <v>112</v>
      </c>
      <c r="O62" s="16" t="str">
        <f t="shared" si="1"/>
        <v>#</v>
      </c>
      <c r="P62" s="16" t="str">
        <f t="shared" si="2"/>
        <v>#videoGame</v>
      </c>
      <c r="R62" s="16" t="str">
        <f>"("""&amp;C62&amp;""") ("&amp;Vlookup(E62,DropDown!B:C,2,FALSE)&amp; " OR ""Video Game"" OR Playstation OR iOS OR PS4 OR PS5 OR Xbox OR Switch OR Swtich 2 OR PC)"</f>
        <v>#N/A</v>
      </c>
      <c r="S62" s="44" t="str">
        <f>"("""&amp;C62&amp;""") ("&amp;Vlookup(E62,DropDown!K:L,2,FALSE)&amp; " | ""Video Game"" | Playstation | iOS | PS4 | PS5 | Xbox | Switch | Switch 2 | PC)"</f>
        <v>#N/A</v>
      </c>
      <c r="T62" s="44"/>
      <c r="U62" s="44"/>
      <c r="V62" s="44"/>
      <c r="W62" s="44"/>
      <c r="X62" s="44"/>
      <c r="Z62" s="44"/>
    </row>
    <row r="63">
      <c r="A63" s="16"/>
      <c r="B63" s="16"/>
      <c r="C63" s="57"/>
      <c r="E63" s="16"/>
      <c r="F63" s="16"/>
      <c r="G63" s="16"/>
      <c r="H63" s="16"/>
      <c r="I63" s="16"/>
      <c r="J63" s="16"/>
      <c r="K63" s="16"/>
      <c r="L63" s="16"/>
      <c r="M63" s="16"/>
      <c r="N63" s="5" t="s">
        <v>112</v>
      </c>
      <c r="O63" s="16" t="str">
        <f t="shared" si="1"/>
        <v>#</v>
      </c>
      <c r="P63" s="16" t="str">
        <f t="shared" si="2"/>
        <v>#videoGame</v>
      </c>
      <c r="R63" s="16" t="str">
        <f>"("""&amp;C63&amp;""") ("&amp;Vlookup(E63,DropDown!B:C,2,FALSE)&amp; " OR ""Video Game"" OR Playstation OR iOS OR PS4 OR PS5 OR Xbox OR Switch OR Swtich 2 OR PC)"</f>
        <v>#N/A</v>
      </c>
      <c r="S63" s="44" t="str">
        <f>"("""&amp;C63&amp;""") ("&amp;Vlookup(E63,DropDown!K:L,2,FALSE)&amp; " | ""Video Game"" | Playstation | iOS | PS4 | PS5 | Xbox | Switch | Switch 2 | PC)"</f>
        <v>#N/A</v>
      </c>
      <c r="T63" s="44"/>
      <c r="U63" s="44"/>
      <c r="V63" s="44"/>
      <c r="W63" s="44"/>
      <c r="X63" s="44"/>
      <c r="Z63" s="44"/>
    </row>
    <row r="64">
      <c r="A64" s="16"/>
      <c r="B64" s="16"/>
      <c r="C64" s="57"/>
      <c r="E64" s="16"/>
      <c r="F64" s="16"/>
      <c r="G64" s="16"/>
      <c r="H64" s="16"/>
      <c r="I64" s="16"/>
      <c r="J64" s="16"/>
      <c r="K64" s="16"/>
      <c r="L64" s="16"/>
      <c r="M64" s="16"/>
      <c r="N64" s="5" t="s">
        <v>112</v>
      </c>
      <c r="O64" s="16" t="str">
        <f t="shared" si="1"/>
        <v>#</v>
      </c>
      <c r="P64" s="16" t="str">
        <f t="shared" si="2"/>
        <v>#videoGame</v>
      </c>
      <c r="R64" s="16" t="str">
        <f>"("""&amp;C64&amp;""") ("&amp;Vlookup(E64,DropDown!B:C,2,FALSE)&amp; " OR ""Video Game"" OR Playstation OR iOS OR PS4 OR PS5 OR Xbox OR Switch OR Swtich 2 OR PC)"</f>
        <v>#N/A</v>
      </c>
      <c r="S64" s="44" t="str">
        <f>"("""&amp;C64&amp;""") ("&amp;Vlookup(E64,DropDown!K:L,2,FALSE)&amp; " | ""Video Game"" | Playstation | iOS | PS4 | PS5 | Xbox | Switch | Switch 2 | PC)"</f>
        <v>#N/A</v>
      </c>
      <c r="T64" s="44"/>
      <c r="U64" s="44"/>
      <c r="V64" s="44"/>
      <c r="W64" s="44"/>
      <c r="X64" s="44"/>
      <c r="Z64" s="44"/>
    </row>
    <row r="65">
      <c r="A65" s="16"/>
      <c r="B65" s="16"/>
      <c r="C65" s="57"/>
      <c r="E65" s="16"/>
      <c r="F65" s="16"/>
      <c r="G65" s="16"/>
      <c r="H65" s="16"/>
      <c r="I65" s="16"/>
      <c r="J65" s="16"/>
      <c r="K65" s="16"/>
      <c r="L65" s="16"/>
      <c r="M65" s="16"/>
      <c r="N65" s="5" t="s">
        <v>112</v>
      </c>
      <c r="O65" s="16" t="str">
        <f t="shared" si="1"/>
        <v>#</v>
      </c>
      <c r="P65" s="16" t="str">
        <f t="shared" si="2"/>
        <v>#videoGame</v>
      </c>
      <c r="R65" s="16" t="str">
        <f>"("""&amp;C65&amp;""") ("&amp;Vlookup(E65,DropDown!B:C,2,FALSE)&amp; " OR ""Video Game"" OR Playstation OR iOS OR PS4 OR PS5 OR Xbox OR Switch OR Swtich 2 OR PC)"</f>
        <v>#N/A</v>
      </c>
      <c r="S65" s="44" t="str">
        <f>"("""&amp;C65&amp;""") ("&amp;Vlookup(E65,DropDown!K:L,2,FALSE)&amp; " | ""Video Game"" | Playstation | iOS | PS4 | PS5 | Xbox | Switch | Switch 2 | PC)"</f>
        <v>#N/A</v>
      </c>
      <c r="T65" s="44"/>
      <c r="U65" s="44"/>
      <c r="V65" s="44"/>
      <c r="W65" s="44"/>
      <c r="X65" s="44"/>
      <c r="Z65" s="44"/>
    </row>
    <row r="66">
      <c r="A66" s="16"/>
      <c r="B66" s="16"/>
      <c r="C66" s="57"/>
      <c r="E66" s="16"/>
      <c r="F66" s="16"/>
      <c r="G66" s="16"/>
      <c r="H66" s="16"/>
      <c r="I66" s="16"/>
      <c r="J66" s="16"/>
      <c r="K66" s="16"/>
      <c r="L66" s="16"/>
      <c r="M66" s="16"/>
      <c r="N66" s="5" t="s">
        <v>112</v>
      </c>
      <c r="O66" s="16" t="str">
        <f t="shared" si="1"/>
        <v>#</v>
      </c>
      <c r="P66" s="16" t="str">
        <f t="shared" si="2"/>
        <v>#videoGame</v>
      </c>
      <c r="R66" s="16" t="str">
        <f>"("""&amp;C66&amp;""") ("&amp;Vlookup(E66,DropDown!B:C,2,FALSE)&amp; " OR ""Video Game"" OR Playstation OR iOS OR PS4 OR PS5 OR Xbox OR Switch OR Swtich 2 OR PC)"</f>
        <v>#N/A</v>
      </c>
      <c r="S66" s="44" t="str">
        <f>"("""&amp;C66&amp;""") ("&amp;Vlookup(E66,DropDown!K:L,2,FALSE)&amp; " | ""Video Game"" | Playstation | iOS | PS4 | PS5 | Xbox | Switch | Switch 2 | PC)"</f>
        <v>#N/A</v>
      </c>
      <c r="T66" s="44"/>
      <c r="U66" s="44"/>
      <c r="V66" s="44"/>
      <c r="W66" s="44"/>
      <c r="X66" s="44"/>
      <c r="Z66" s="44"/>
    </row>
    <row r="67">
      <c r="A67" s="16"/>
      <c r="B67" s="16"/>
      <c r="C67" s="57"/>
      <c r="E67" s="16"/>
      <c r="F67" s="16"/>
      <c r="G67" s="16"/>
      <c r="H67" s="16"/>
      <c r="I67" s="16"/>
      <c r="J67" s="16"/>
      <c r="K67" s="16"/>
      <c r="L67" s="16"/>
      <c r="M67" s="16"/>
      <c r="N67" s="5" t="s">
        <v>112</v>
      </c>
      <c r="O67" s="16" t="str">
        <f t="shared" si="1"/>
        <v>#</v>
      </c>
      <c r="P67" s="16" t="str">
        <f t="shared" si="2"/>
        <v>#videoGame</v>
      </c>
      <c r="R67" s="16" t="str">
        <f>"("""&amp;C67&amp;""") ("&amp;Vlookup(E67,DropDown!B:C,2,FALSE)&amp; " OR ""Video Game"" OR Playstation OR iOS OR PS4 OR PS5 OR Xbox OR Switch OR Swtich 2 OR PC)"</f>
        <v>#N/A</v>
      </c>
      <c r="S67" s="44" t="str">
        <f>"("""&amp;C67&amp;""") ("&amp;Vlookup(E67,DropDown!K:L,2,FALSE)&amp; " | ""Video Game"" | Playstation | iOS | PS4 | PS5 | Xbox | Switch | Switch 2 | PC)"</f>
        <v>#N/A</v>
      </c>
      <c r="T67" s="44"/>
      <c r="U67" s="44"/>
      <c r="V67" s="44"/>
      <c r="W67" s="44"/>
      <c r="X67" s="44"/>
      <c r="Z67" s="44"/>
    </row>
    <row r="68">
      <c r="A68" s="16"/>
      <c r="B68" s="16"/>
      <c r="C68" s="57"/>
      <c r="E68" s="16"/>
      <c r="F68" s="16"/>
      <c r="G68" s="16"/>
      <c r="H68" s="16"/>
      <c r="I68" s="16"/>
      <c r="J68" s="16"/>
      <c r="K68" s="16"/>
      <c r="L68" s="16"/>
      <c r="M68" s="16"/>
      <c r="N68" s="5" t="s">
        <v>112</v>
      </c>
      <c r="O68" s="16" t="str">
        <f t="shared" si="1"/>
        <v>#</v>
      </c>
      <c r="P68" s="16" t="str">
        <f t="shared" si="2"/>
        <v>#videoGame</v>
      </c>
      <c r="R68" s="16" t="str">
        <f>"("""&amp;C68&amp;""") ("&amp;Vlookup(E68,DropDown!B:C,2,FALSE)&amp; " OR ""Video Game"" OR Playstation OR iOS OR PS4 OR PS5 OR Xbox OR Switch OR Swtich 2 OR PC)"</f>
        <v>#N/A</v>
      </c>
      <c r="S68" s="44" t="str">
        <f>"("""&amp;C68&amp;""") ("&amp;Vlookup(E68,DropDown!K:L,2,FALSE)&amp; " | ""Video Game"" | Playstation | iOS | PS4 | PS5 | Xbox | Switch | Switch 2 | PC)"</f>
        <v>#N/A</v>
      </c>
      <c r="T68" s="44"/>
      <c r="U68" s="44"/>
      <c r="V68" s="44"/>
      <c r="W68" s="44"/>
      <c r="X68" s="44"/>
      <c r="Z68" s="44"/>
    </row>
    <row r="69">
      <c r="A69" s="16"/>
      <c r="B69" s="16"/>
      <c r="C69" s="57"/>
      <c r="E69" s="16"/>
      <c r="F69" s="16"/>
      <c r="G69" s="16"/>
      <c r="H69" s="16"/>
      <c r="I69" s="16"/>
      <c r="J69" s="16"/>
      <c r="K69" s="16"/>
      <c r="L69" s="16"/>
      <c r="M69" s="16"/>
      <c r="N69" s="5" t="s">
        <v>112</v>
      </c>
      <c r="O69" s="16" t="str">
        <f t="shared" si="1"/>
        <v>#</v>
      </c>
      <c r="P69" s="16" t="str">
        <f t="shared" si="2"/>
        <v>#videoGame</v>
      </c>
      <c r="R69" s="16" t="str">
        <f>"("""&amp;C69&amp;""") ("&amp;Vlookup(E69,DropDown!B:C,2,FALSE)&amp; " OR ""Video Game"" OR Playstation OR iOS OR PS4 OR PS5 OR Xbox OR Switch OR Swtich 2 OR PC)"</f>
        <v>#N/A</v>
      </c>
      <c r="S69" s="44" t="str">
        <f>"("""&amp;C69&amp;""") ("&amp;Vlookup(E69,DropDown!K:L,2,FALSE)&amp; " | ""Video Game"" | Playstation | iOS | PS4 | PS5 | Xbox | Switch | Switch 2 | PC)"</f>
        <v>#N/A</v>
      </c>
      <c r="T69" s="44"/>
      <c r="U69" s="44"/>
      <c r="V69" s="44"/>
      <c r="W69" s="44"/>
      <c r="X69" s="44"/>
      <c r="Z69" s="44"/>
    </row>
    <row r="70">
      <c r="A70" s="16"/>
      <c r="B70" s="16"/>
      <c r="C70" s="57"/>
      <c r="E70" s="16"/>
      <c r="F70" s="16"/>
      <c r="G70" s="16"/>
      <c r="H70" s="16"/>
      <c r="I70" s="16"/>
      <c r="J70" s="16"/>
      <c r="K70" s="16"/>
      <c r="L70" s="16"/>
      <c r="M70" s="16"/>
      <c r="N70" s="5" t="s">
        <v>112</v>
      </c>
      <c r="O70" s="16" t="str">
        <f t="shared" si="1"/>
        <v>#</v>
      </c>
      <c r="P70" s="16" t="str">
        <f t="shared" si="2"/>
        <v>#videoGame</v>
      </c>
      <c r="R70" s="16" t="str">
        <f>"("""&amp;C70&amp;""") ("&amp;Vlookup(E70,DropDown!B:C,2,FALSE)&amp; " OR ""Video Game"" OR Playstation OR iOS OR PS4 OR PS5 OR Xbox OR Switch OR Swtich 2 OR PC)"</f>
        <v>#N/A</v>
      </c>
      <c r="S70" s="44" t="str">
        <f>"("""&amp;C70&amp;""") ("&amp;Vlookup(E70,DropDown!K:L,2,FALSE)&amp; " | ""Video Game"" | Playstation | iOS | PS4 | PS5 | Xbox | Switch | Switch 2 | PC)"</f>
        <v>#N/A</v>
      </c>
      <c r="T70" s="44"/>
      <c r="U70" s="44"/>
      <c r="V70" s="44"/>
      <c r="W70" s="44"/>
      <c r="X70" s="44"/>
      <c r="Z70" s="44"/>
    </row>
    <row r="71">
      <c r="A71" s="16"/>
      <c r="B71" s="16"/>
      <c r="C71" s="57"/>
      <c r="E71" s="16"/>
      <c r="F71" s="16"/>
      <c r="G71" s="16"/>
      <c r="H71" s="16"/>
      <c r="I71" s="16"/>
      <c r="J71" s="16"/>
      <c r="K71" s="16"/>
      <c r="L71" s="16"/>
      <c r="M71" s="16"/>
      <c r="N71" s="5" t="s">
        <v>112</v>
      </c>
      <c r="O71" s="16" t="str">
        <f t="shared" si="1"/>
        <v>#</v>
      </c>
      <c r="P71" s="16" t="str">
        <f t="shared" si="2"/>
        <v>#videoGame</v>
      </c>
      <c r="R71" s="16" t="str">
        <f>"("""&amp;C71&amp;""") ("&amp;Vlookup(E71,DropDown!B:C,2,FALSE)&amp; " OR ""Video Game"" OR Playstation OR iOS OR PS4 OR PS5 OR Xbox OR Switch OR Swtich 2 OR PC)"</f>
        <v>#N/A</v>
      </c>
      <c r="S71" s="44" t="str">
        <f>"("""&amp;C71&amp;""") ("&amp;Vlookup(E71,DropDown!K:L,2,FALSE)&amp; " | ""Video Game"" | Playstation | iOS | PS4 | PS5 | Xbox | Switch | Switch 2 | PC)"</f>
        <v>#N/A</v>
      </c>
      <c r="T71" s="44"/>
      <c r="U71" s="44"/>
      <c r="V71" s="44"/>
      <c r="W71" s="44"/>
      <c r="X71" s="44"/>
      <c r="Z71" s="44"/>
    </row>
    <row r="72">
      <c r="A72" s="16"/>
      <c r="B72" s="16"/>
      <c r="C72" s="57"/>
      <c r="E72" s="16"/>
      <c r="F72" s="16"/>
      <c r="G72" s="16"/>
      <c r="H72" s="16"/>
      <c r="I72" s="16"/>
      <c r="J72" s="16"/>
      <c r="K72" s="16"/>
      <c r="L72" s="16"/>
      <c r="M72" s="16"/>
      <c r="N72" s="5" t="s">
        <v>112</v>
      </c>
      <c r="O72" s="16" t="str">
        <f t="shared" si="1"/>
        <v>#</v>
      </c>
      <c r="P72" s="16" t="str">
        <f t="shared" si="2"/>
        <v>#videoGame</v>
      </c>
      <c r="R72" s="16" t="str">
        <f>"("""&amp;C72&amp;""") ("&amp;Vlookup(E72,DropDown!B:C,2,FALSE)&amp; " OR ""Video Game"" OR Playstation OR iOS OR PS4 OR PS5 OR Xbox OR Switch OR Swtich 2 OR PC)"</f>
        <v>#N/A</v>
      </c>
      <c r="S72" s="44" t="str">
        <f>"("""&amp;C72&amp;""") ("&amp;Vlookup(E72,DropDown!K:L,2,FALSE)&amp; " | ""Video Game"" | Playstation | iOS | PS4 | PS5 | Xbox | Switch | Switch 2 | PC)"</f>
        <v>#N/A</v>
      </c>
      <c r="T72" s="44"/>
      <c r="U72" s="44"/>
      <c r="V72" s="44"/>
      <c r="W72" s="44"/>
      <c r="X72" s="44"/>
      <c r="Z72" s="44"/>
    </row>
    <row r="73">
      <c r="A73" s="16"/>
      <c r="B73" s="16"/>
      <c r="C73" s="57"/>
      <c r="E73" s="16"/>
      <c r="F73" s="16"/>
      <c r="G73" s="16"/>
      <c r="H73" s="16"/>
      <c r="I73" s="16"/>
      <c r="J73" s="16"/>
      <c r="K73" s="16"/>
      <c r="L73" s="16"/>
      <c r="M73" s="16"/>
      <c r="N73" s="5" t="s">
        <v>112</v>
      </c>
      <c r="O73" s="16" t="str">
        <f t="shared" si="1"/>
        <v>#</v>
      </c>
      <c r="P73" s="16" t="str">
        <f t="shared" si="2"/>
        <v>#videoGame</v>
      </c>
      <c r="R73" s="16" t="str">
        <f>"("""&amp;C73&amp;""") ("&amp;Vlookup(E73,DropDown!B:C,2,FALSE)&amp; " OR ""Video Game"" OR Playstation OR iOS OR PS4 OR PS5 OR Xbox OR Switch OR Swtich 2 OR PC)"</f>
        <v>#N/A</v>
      </c>
      <c r="S73" s="44" t="str">
        <f>"("""&amp;C73&amp;""") ("&amp;Vlookup(E73,DropDown!K:L,2,FALSE)&amp; " | ""Video Game"" | Playstation | iOS | PS4 | PS5 | Xbox | Switch | Switch 2 | PC)"</f>
        <v>#N/A</v>
      </c>
      <c r="T73" s="44"/>
      <c r="U73" s="44"/>
      <c r="V73" s="44"/>
      <c r="W73" s="44"/>
      <c r="X73" s="44"/>
      <c r="Z73" s="44"/>
    </row>
    <row r="74">
      <c r="A74" s="16"/>
      <c r="B74" s="16"/>
      <c r="C74" s="57"/>
      <c r="E74" s="16"/>
      <c r="F74" s="16"/>
      <c r="G74" s="16"/>
      <c r="H74" s="16"/>
      <c r="I74" s="16"/>
      <c r="J74" s="16"/>
      <c r="K74" s="16"/>
      <c r="L74" s="16"/>
      <c r="M74" s="16"/>
      <c r="N74" s="5" t="s">
        <v>112</v>
      </c>
      <c r="O74" s="16" t="str">
        <f t="shared" si="1"/>
        <v>#</v>
      </c>
      <c r="P74" s="16" t="str">
        <f t="shared" si="2"/>
        <v>#videoGame</v>
      </c>
      <c r="R74" s="16" t="str">
        <f>"("""&amp;C74&amp;""") ("&amp;Vlookup(E74,DropDown!B:C,2,FALSE)&amp; " OR ""Video Game"" OR Playstation OR iOS OR PS4 OR PS5 OR Xbox OR Switch OR Swtich 2 OR PC)"</f>
        <v>#N/A</v>
      </c>
      <c r="S74" s="44" t="str">
        <f>"("""&amp;C74&amp;""") ("&amp;Vlookup(E74,DropDown!K:L,2,FALSE)&amp; " | ""Video Game"" | Playstation | iOS | PS4 | PS5 | Xbox | Switch | Switch 2 | PC)"</f>
        <v>#N/A</v>
      </c>
      <c r="T74" s="44"/>
      <c r="U74" s="44"/>
      <c r="V74" s="44"/>
      <c r="W74" s="44"/>
      <c r="X74" s="44"/>
      <c r="Z74" s="44"/>
    </row>
    <row r="75">
      <c r="A75" s="16"/>
      <c r="B75" s="16"/>
      <c r="C75" s="57"/>
      <c r="E75" s="16"/>
      <c r="F75" s="16"/>
      <c r="G75" s="16"/>
      <c r="H75" s="16"/>
      <c r="I75" s="16"/>
      <c r="J75" s="16"/>
      <c r="K75" s="16"/>
      <c r="L75" s="16"/>
      <c r="M75" s="16"/>
      <c r="N75" s="5" t="s">
        <v>112</v>
      </c>
      <c r="O75" s="16" t="str">
        <f t="shared" si="1"/>
        <v>#</v>
      </c>
      <c r="P75" s="16" t="str">
        <f t="shared" si="2"/>
        <v>#videoGame</v>
      </c>
      <c r="R75" s="16" t="str">
        <f>"("""&amp;C75&amp;""") ("&amp;Vlookup(E75,DropDown!B:C,2,FALSE)&amp; " OR ""Video Game"" OR Playstation OR iOS OR PS4 OR PS5 OR Xbox OR Switch OR Swtich 2 OR PC)"</f>
        <v>#N/A</v>
      </c>
      <c r="S75" s="44" t="str">
        <f>"("""&amp;C75&amp;""") ("&amp;Vlookup(E75,DropDown!K:L,2,FALSE)&amp; " | ""Video Game"" | Playstation | iOS | PS4 | PS5 | Xbox | Switch | Switch 2 | PC)"</f>
        <v>#N/A</v>
      </c>
      <c r="T75" s="44"/>
      <c r="U75" s="44"/>
      <c r="V75" s="44"/>
      <c r="W75" s="44"/>
      <c r="X75" s="44"/>
      <c r="Z75" s="44"/>
    </row>
    <row r="76">
      <c r="A76" s="16"/>
      <c r="B76" s="16"/>
      <c r="C76" s="57"/>
      <c r="E76" s="16"/>
      <c r="F76" s="16"/>
      <c r="G76" s="16"/>
      <c r="H76" s="16"/>
      <c r="I76" s="16"/>
      <c r="J76" s="16"/>
      <c r="K76" s="16"/>
      <c r="L76" s="16"/>
      <c r="M76" s="16"/>
      <c r="N76" s="5" t="s">
        <v>112</v>
      </c>
      <c r="O76" s="16" t="str">
        <f t="shared" si="1"/>
        <v>#</v>
      </c>
      <c r="P76" s="16" t="str">
        <f t="shared" si="2"/>
        <v>#videoGame</v>
      </c>
      <c r="R76" s="16" t="str">
        <f>"("""&amp;C76&amp;""") ("&amp;Vlookup(E76,DropDown!B:C,2,FALSE)&amp; " OR ""Video Game"" OR Playstation OR iOS OR PS4 OR PS5 OR Xbox OR Switch OR Swtich 2 OR PC)"</f>
        <v>#N/A</v>
      </c>
      <c r="S76" s="44" t="str">
        <f>"("""&amp;C76&amp;""") ("&amp;Vlookup(E76,DropDown!K:L,2,FALSE)&amp; " | ""Video Game"" | Playstation | iOS | PS4 | PS5 | Xbox | Switch | Switch 2 | PC)"</f>
        <v>#N/A</v>
      </c>
      <c r="T76" s="44"/>
      <c r="U76" s="44"/>
      <c r="V76" s="44"/>
      <c r="W76" s="44"/>
      <c r="X76" s="44"/>
      <c r="Z76" s="44"/>
    </row>
    <row r="77">
      <c r="A77" s="16"/>
      <c r="B77" s="16"/>
      <c r="C77" s="57"/>
      <c r="E77" s="16"/>
      <c r="F77" s="16"/>
      <c r="G77" s="16"/>
      <c r="H77" s="16"/>
      <c r="I77" s="16"/>
      <c r="J77" s="16"/>
      <c r="K77" s="16"/>
      <c r="L77" s="16"/>
      <c r="M77" s="16"/>
      <c r="N77" s="5" t="s">
        <v>112</v>
      </c>
      <c r="O77" s="16" t="str">
        <f t="shared" si="1"/>
        <v>#</v>
      </c>
      <c r="P77" s="16" t="str">
        <f t="shared" si="2"/>
        <v>#videoGame</v>
      </c>
      <c r="R77" s="16" t="str">
        <f>"("""&amp;C77&amp;""") ("&amp;Vlookup(E77,DropDown!B:C,2,FALSE)&amp; " OR ""Video Game"" OR Playstation OR iOS OR PS4 OR PS5 OR Xbox OR Switch OR Swtich 2 OR PC)"</f>
        <v>#N/A</v>
      </c>
      <c r="S77" s="44" t="str">
        <f>"("""&amp;C77&amp;""") ("&amp;Vlookup(E77,DropDown!K:L,2,FALSE)&amp; " | ""Video Game"" | Playstation | iOS | PS4 | PS5 | Xbox | Switch | Switch 2 | PC)"</f>
        <v>#N/A</v>
      </c>
      <c r="T77" s="44"/>
      <c r="U77" s="44"/>
      <c r="V77" s="44"/>
      <c r="W77" s="44"/>
      <c r="X77" s="44"/>
      <c r="Z77" s="44"/>
    </row>
    <row r="78">
      <c r="A78" s="16"/>
      <c r="B78" s="16"/>
      <c r="C78" s="57"/>
      <c r="E78" s="16"/>
      <c r="F78" s="16"/>
      <c r="G78" s="16"/>
      <c r="H78" s="16"/>
      <c r="I78" s="16"/>
      <c r="J78" s="16"/>
      <c r="K78" s="16"/>
      <c r="L78" s="16"/>
      <c r="M78" s="16"/>
      <c r="N78" s="5" t="s">
        <v>112</v>
      </c>
      <c r="O78" s="16" t="str">
        <f t="shared" si="1"/>
        <v>#</v>
      </c>
      <c r="P78" s="16" t="str">
        <f t="shared" si="2"/>
        <v>#videoGame</v>
      </c>
      <c r="R78" s="16" t="str">
        <f>"("""&amp;C78&amp;""") ("&amp;Vlookup(E78,DropDown!B:C,2,FALSE)&amp; " OR ""Video Game"" OR Playstation OR iOS OR PS4 OR PS5 OR Xbox OR Switch OR Swtich 2 OR PC)"</f>
        <v>#N/A</v>
      </c>
      <c r="S78" s="44" t="str">
        <f>"("""&amp;C78&amp;""") ("&amp;Vlookup(E78,DropDown!K:L,2,FALSE)&amp; " | ""Video Game"" | Playstation | iOS | PS4 | PS5 | Xbox | Switch | Switch 2 | PC)"</f>
        <v>#N/A</v>
      </c>
      <c r="T78" s="44"/>
      <c r="U78" s="44"/>
      <c r="V78" s="44"/>
      <c r="W78" s="44"/>
      <c r="X78" s="44"/>
      <c r="Z78" s="44"/>
    </row>
    <row r="79">
      <c r="A79" s="16"/>
      <c r="B79" s="16"/>
      <c r="C79" s="57"/>
      <c r="E79" s="16"/>
      <c r="F79" s="16"/>
      <c r="G79" s="16"/>
      <c r="H79" s="16"/>
      <c r="I79" s="16"/>
      <c r="J79" s="16"/>
      <c r="K79" s="16"/>
      <c r="L79" s="16"/>
      <c r="M79" s="16"/>
      <c r="N79" s="5" t="s">
        <v>112</v>
      </c>
      <c r="O79" s="16" t="str">
        <f t="shared" si="1"/>
        <v>#</v>
      </c>
      <c r="P79" s="16" t="str">
        <f t="shared" si="2"/>
        <v>#videoGame</v>
      </c>
      <c r="R79" s="16" t="str">
        <f>"("""&amp;C79&amp;""") ("&amp;Vlookup(E79,DropDown!B:C,2,FALSE)&amp; " OR ""Video Game"" OR Playstation OR iOS OR PS4 OR PS5 OR Xbox OR Switch OR Swtich 2 OR PC)"</f>
        <v>#N/A</v>
      </c>
      <c r="S79" s="44" t="str">
        <f>"("""&amp;C79&amp;""") ("&amp;Vlookup(E79,DropDown!K:L,2,FALSE)&amp; " | ""Video Game"" | Playstation | iOS | PS4 | PS5 | Xbox | Switch | Switch 2 | PC)"</f>
        <v>#N/A</v>
      </c>
      <c r="T79" s="44"/>
      <c r="U79" s="44"/>
      <c r="V79" s="44"/>
      <c r="W79" s="44"/>
      <c r="X79" s="44"/>
      <c r="Z79" s="44"/>
    </row>
    <row r="80">
      <c r="A80" s="16"/>
      <c r="B80" s="16"/>
      <c r="C80" s="57"/>
      <c r="E80" s="16"/>
      <c r="F80" s="16"/>
      <c r="G80" s="16"/>
      <c r="H80" s="16"/>
      <c r="I80" s="16"/>
      <c r="J80" s="16"/>
      <c r="K80" s="16"/>
      <c r="L80" s="16"/>
      <c r="M80" s="16"/>
      <c r="N80" s="5" t="s">
        <v>112</v>
      </c>
      <c r="O80" s="16" t="str">
        <f t="shared" si="1"/>
        <v>#</v>
      </c>
      <c r="P80" s="16" t="str">
        <f t="shared" si="2"/>
        <v>#videoGame</v>
      </c>
      <c r="R80" s="16" t="str">
        <f>"("""&amp;C80&amp;""") ("&amp;Vlookup(E80,DropDown!B:C,2,FALSE)&amp; " OR ""Video Game"" OR Playstation OR iOS OR PS4 OR PS5 OR Xbox OR Switch OR Swtich 2 OR PC)"</f>
        <v>#N/A</v>
      </c>
      <c r="S80" s="44" t="str">
        <f>"("""&amp;C80&amp;""") ("&amp;Vlookup(E80,DropDown!K:L,2,FALSE)&amp; " | ""Video Game"" | Playstation | iOS | PS4 | PS5 | Xbox | Switch | Switch 2 | PC)"</f>
        <v>#N/A</v>
      </c>
      <c r="T80" s="44"/>
      <c r="U80" s="44"/>
      <c r="V80" s="44"/>
      <c r="W80" s="44"/>
      <c r="X80" s="44"/>
      <c r="Z80" s="44"/>
    </row>
    <row r="81">
      <c r="A81" s="16"/>
      <c r="B81" s="16"/>
      <c r="C81" s="57"/>
      <c r="E81" s="16"/>
      <c r="F81" s="16"/>
      <c r="G81" s="16"/>
      <c r="H81" s="16"/>
      <c r="I81" s="16"/>
      <c r="J81" s="16"/>
      <c r="K81" s="16"/>
      <c r="L81" s="16"/>
      <c r="M81" s="16"/>
      <c r="N81" s="5" t="s">
        <v>112</v>
      </c>
      <c r="O81" s="16" t="str">
        <f t="shared" si="1"/>
        <v>#</v>
      </c>
      <c r="P81" s="16" t="str">
        <f t="shared" si="2"/>
        <v>#videoGame</v>
      </c>
      <c r="R81" s="16" t="str">
        <f>"("""&amp;C81&amp;""") ("&amp;Vlookup(E81,DropDown!B:C,2,FALSE)&amp; " OR ""Video Game"" OR Playstation OR iOS OR PS4 OR PS5 OR Xbox OR Switch OR Swtich 2 OR PC)"</f>
        <v>#N/A</v>
      </c>
      <c r="S81" s="44" t="str">
        <f>"("""&amp;C81&amp;""") ("&amp;Vlookup(E81,DropDown!K:L,2,FALSE)&amp; " | ""Video Game"" | Playstation | iOS | PS4 | PS5 | Xbox | Switch | Switch 2 | PC)"</f>
        <v>#N/A</v>
      </c>
      <c r="T81" s="44"/>
      <c r="U81" s="44"/>
      <c r="V81" s="44"/>
      <c r="W81" s="44"/>
      <c r="X81" s="44"/>
      <c r="Z81" s="44"/>
    </row>
    <row r="82">
      <c r="A82" s="16"/>
      <c r="B82" s="16"/>
      <c r="C82" s="57"/>
      <c r="E82" s="16"/>
      <c r="F82" s="16"/>
      <c r="G82" s="16"/>
      <c r="H82" s="16"/>
      <c r="I82" s="16"/>
      <c r="J82" s="16"/>
      <c r="K82" s="16"/>
      <c r="L82" s="16"/>
      <c r="M82" s="16"/>
      <c r="N82" s="5" t="s">
        <v>112</v>
      </c>
      <c r="O82" s="16" t="str">
        <f t="shared" si="1"/>
        <v>#</v>
      </c>
      <c r="P82" s="16" t="str">
        <f t="shared" si="2"/>
        <v>#videoGame</v>
      </c>
      <c r="R82" s="16" t="str">
        <f>"("""&amp;C82&amp;""") ("&amp;Vlookup(E82,DropDown!B:C,2,FALSE)&amp; " OR ""Video Game"" OR Playstation OR iOS OR PS4 OR PS5 OR Xbox OR Switch OR Swtich 2 OR PC)"</f>
        <v>#N/A</v>
      </c>
      <c r="S82" s="44" t="str">
        <f>"("""&amp;C82&amp;""") ("&amp;Vlookup(E82,DropDown!K:L,2,FALSE)&amp; " | ""Video Game"" | Playstation | iOS | PS4 | PS5 | Xbox | Switch | Switch 2 | PC)"</f>
        <v>#N/A</v>
      </c>
      <c r="T82" s="44"/>
      <c r="U82" s="44"/>
      <c r="V82" s="44"/>
      <c r="W82" s="44"/>
      <c r="X82" s="44"/>
      <c r="Z82" s="44"/>
    </row>
    <row r="83">
      <c r="A83" s="16"/>
      <c r="B83" s="16"/>
      <c r="C83" s="57"/>
      <c r="E83" s="16"/>
      <c r="F83" s="16"/>
      <c r="G83" s="16"/>
      <c r="H83" s="16"/>
      <c r="I83" s="16"/>
      <c r="J83" s="16"/>
      <c r="K83" s="16"/>
      <c r="L83" s="16"/>
      <c r="M83" s="16"/>
      <c r="N83" s="5" t="s">
        <v>112</v>
      </c>
      <c r="O83" s="16" t="str">
        <f t="shared" si="1"/>
        <v>#</v>
      </c>
      <c r="P83" s="16" t="str">
        <f t="shared" si="2"/>
        <v>#videoGame</v>
      </c>
      <c r="R83" s="16" t="str">
        <f>"("""&amp;C83&amp;""") ("&amp;Vlookup(E83,DropDown!B:C,2,FALSE)&amp; " OR ""Video Game"" OR Playstation OR iOS OR PS4 OR PS5 OR Xbox OR Switch OR Swtich 2 OR PC)"</f>
        <v>#N/A</v>
      </c>
      <c r="S83" s="44" t="str">
        <f>"("""&amp;C83&amp;""") ("&amp;Vlookup(E83,DropDown!K:L,2,FALSE)&amp; " | ""Video Game"" | Playstation | iOS | PS4 | PS5 | Xbox | Switch | Switch 2 | PC)"</f>
        <v>#N/A</v>
      </c>
      <c r="T83" s="44"/>
      <c r="U83" s="44"/>
      <c r="V83" s="44"/>
      <c r="W83" s="44"/>
      <c r="X83" s="44"/>
      <c r="Z83" s="44"/>
    </row>
    <row r="84">
      <c r="A84" s="16"/>
      <c r="B84" s="16"/>
      <c r="C84" s="57"/>
      <c r="E84" s="16"/>
      <c r="F84" s="16"/>
      <c r="G84" s="16"/>
      <c r="H84" s="16"/>
      <c r="I84" s="16"/>
      <c r="J84" s="16"/>
      <c r="K84" s="16"/>
      <c r="L84" s="16"/>
      <c r="M84" s="16"/>
      <c r="N84" s="5" t="s">
        <v>112</v>
      </c>
      <c r="O84" s="16" t="str">
        <f t="shared" si="1"/>
        <v>#</v>
      </c>
      <c r="P84" s="16" t="str">
        <f t="shared" si="2"/>
        <v>#videoGame</v>
      </c>
      <c r="R84" s="16" t="str">
        <f>"("""&amp;C84&amp;""") ("&amp;Vlookup(E84,DropDown!B:C,2,FALSE)&amp; " OR ""Video Game"" OR Playstation OR iOS OR PS4 OR PS5 OR Xbox OR Switch OR Swtich 2 OR PC)"</f>
        <v>#N/A</v>
      </c>
      <c r="S84" s="44" t="str">
        <f>"("""&amp;C84&amp;""") ("&amp;Vlookup(E84,DropDown!K:L,2,FALSE)&amp; " | ""Video Game"" | Playstation | iOS | PS4 | PS5 | Xbox | Switch | Switch 2 | PC)"</f>
        <v>#N/A</v>
      </c>
      <c r="T84" s="44"/>
      <c r="U84" s="44"/>
      <c r="V84" s="44"/>
      <c r="W84" s="44"/>
      <c r="X84" s="44"/>
      <c r="Z84" s="44"/>
    </row>
    <row r="85">
      <c r="A85" s="16"/>
      <c r="B85" s="16"/>
      <c r="C85" s="57"/>
      <c r="E85" s="16"/>
      <c r="F85" s="16"/>
      <c r="G85" s="16"/>
      <c r="H85" s="16"/>
      <c r="I85" s="16"/>
      <c r="J85" s="16"/>
      <c r="K85" s="16"/>
      <c r="L85" s="16"/>
      <c r="M85" s="16"/>
      <c r="N85" s="5" t="s">
        <v>112</v>
      </c>
      <c r="O85" s="16" t="str">
        <f t="shared" si="1"/>
        <v>#</v>
      </c>
      <c r="P85" s="16" t="str">
        <f t="shared" si="2"/>
        <v>#videoGame</v>
      </c>
      <c r="R85" s="16" t="str">
        <f>"("""&amp;C85&amp;""") ("&amp;Vlookup(E85,DropDown!B:C,2,FALSE)&amp; " OR ""Video Game"" OR Playstation OR iOS OR PS4 OR PS5 OR Xbox OR Switch OR Swtich 2 OR PC)"</f>
        <v>#N/A</v>
      </c>
      <c r="S85" s="44" t="str">
        <f>"("""&amp;C85&amp;""") ("&amp;Vlookup(E85,DropDown!K:L,2,FALSE)&amp; " | ""Video Game"" | Playstation | iOS | PS4 | PS5 | Xbox | Switch | Switch 2 | PC)"</f>
        <v>#N/A</v>
      </c>
      <c r="T85" s="44"/>
      <c r="U85" s="44"/>
      <c r="V85" s="44"/>
      <c r="W85" s="44"/>
      <c r="X85" s="44"/>
      <c r="Z85" s="44"/>
    </row>
    <row r="86">
      <c r="A86" s="16"/>
      <c r="B86" s="16"/>
      <c r="C86" s="57"/>
      <c r="E86" s="16"/>
      <c r="F86" s="16"/>
      <c r="G86" s="16"/>
      <c r="H86" s="16"/>
      <c r="I86" s="16"/>
      <c r="J86" s="16"/>
      <c r="K86" s="16"/>
      <c r="L86" s="16"/>
      <c r="M86" s="16"/>
      <c r="N86" s="5" t="s">
        <v>112</v>
      </c>
      <c r="O86" s="16" t="str">
        <f t="shared" si="1"/>
        <v>#</v>
      </c>
      <c r="P86" s="16" t="str">
        <f t="shared" si="2"/>
        <v>#videoGame</v>
      </c>
      <c r="R86" s="16" t="str">
        <f>"("""&amp;C86&amp;""") ("&amp;Vlookup(E86,DropDown!B:C,2,FALSE)&amp; " OR ""Video Game"" OR Playstation OR iOS OR PS4 OR PS5 OR Xbox OR Switch OR Swtich 2 OR PC)"</f>
        <v>#N/A</v>
      </c>
      <c r="S86" s="44" t="str">
        <f>"("""&amp;C86&amp;""") ("&amp;Vlookup(E86,DropDown!K:L,2,FALSE)&amp; " | ""Video Game"" | Playstation | iOS | PS4 | PS5 | Xbox | Switch | Switch 2 | PC)"</f>
        <v>#N/A</v>
      </c>
      <c r="T86" s="44"/>
      <c r="U86" s="44"/>
      <c r="V86" s="44"/>
      <c r="W86" s="44"/>
      <c r="X86" s="44"/>
      <c r="Z86" s="44"/>
    </row>
    <row r="87">
      <c r="A87" s="16"/>
      <c r="B87" s="16"/>
      <c r="C87" s="57"/>
      <c r="E87" s="16"/>
      <c r="F87" s="16"/>
      <c r="G87" s="16"/>
      <c r="H87" s="16"/>
      <c r="I87" s="16"/>
      <c r="J87" s="16"/>
      <c r="K87" s="16"/>
      <c r="L87" s="16"/>
      <c r="M87" s="16"/>
      <c r="N87" s="5" t="s">
        <v>112</v>
      </c>
      <c r="O87" s="16" t="str">
        <f t="shared" si="1"/>
        <v>#</v>
      </c>
      <c r="P87" s="16" t="str">
        <f t="shared" si="2"/>
        <v>#videoGame</v>
      </c>
      <c r="R87" s="16" t="str">
        <f>"("""&amp;C87&amp;""") ("&amp;Vlookup(E87,DropDown!B:C,2,FALSE)&amp; " OR ""Video Game"" OR Playstation OR iOS OR PS4 OR PS5 OR Xbox OR Switch OR Swtich 2 OR PC)"</f>
        <v>#N/A</v>
      </c>
      <c r="S87" s="44" t="str">
        <f>"("""&amp;C87&amp;""") ("&amp;Vlookup(E87,DropDown!K:L,2,FALSE)&amp; " | ""Video Game"" | Playstation | iOS | PS4 | PS5 | Xbox | Switch | Switch 2 | PC)"</f>
        <v>#N/A</v>
      </c>
      <c r="T87" s="44"/>
      <c r="U87" s="44"/>
      <c r="V87" s="44"/>
      <c r="W87" s="44"/>
      <c r="X87" s="44"/>
      <c r="Z87" s="44"/>
    </row>
    <row r="88">
      <c r="A88" s="16"/>
      <c r="B88" s="16"/>
      <c r="C88" s="57"/>
      <c r="E88" s="16"/>
      <c r="F88" s="16"/>
      <c r="G88" s="16"/>
      <c r="H88" s="16"/>
      <c r="I88" s="16"/>
      <c r="J88" s="16"/>
      <c r="K88" s="16"/>
      <c r="L88" s="16"/>
      <c r="M88" s="16"/>
      <c r="N88" s="5" t="s">
        <v>112</v>
      </c>
      <c r="O88" s="16" t="str">
        <f t="shared" si="1"/>
        <v>#</v>
      </c>
      <c r="P88" s="16" t="str">
        <f t="shared" si="2"/>
        <v>#videoGame</v>
      </c>
      <c r="R88" s="16" t="str">
        <f>"("""&amp;C88&amp;""") ("&amp;Vlookup(E88,DropDown!B:C,2,FALSE)&amp; " OR ""Video Game"" OR Playstation OR iOS OR PS4 OR PS5 OR Xbox OR Switch OR Swtich 2 OR PC)"</f>
        <v>#N/A</v>
      </c>
      <c r="S88" s="44" t="str">
        <f>"("""&amp;C88&amp;""") ("&amp;Vlookup(E88,DropDown!K:L,2,FALSE)&amp; " | ""Video Game"" | Playstation | iOS | PS4 | PS5 | Xbox | Switch | Switch 2 | PC)"</f>
        <v>#N/A</v>
      </c>
      <c r="T88" s="44"/>
      <c r="U88" s="44"/>
      <c r="V88" s="44"/>
      <c r="W88" s="44"/>
      <c r="X88" s="44"/>
      <c r="Z88" s="44"/>
    </row>
    <row r="89">
      <c r="A89" s="16"/>
      <c r="B89" s="16"/>
      <c r="C89" s="57"/>
      <c r="E89" s="16"/>
      <c r="F89" s="16"/>
      <c r="G89" s="16"/>
      <c r="H89" s="16"/>
      <c r="I89" s="16"/>
      <c r="J89" s="16"/>
      <c r="K89" s="16"/>
      <c r="L89" s="16"/>
      <c r="M89" s="16"/>
      <c r="N89" s="5" t="s">
        <v>112</v>
      </c>
      <c r="O89" s="16" t="str">
        <f t="shared" si="1"/>
        <v>#</v>
      </c>
      <c r="P89" s="16" t="str">
        <f t="shared" si="2"/>
        <v>#videoGame</v>
      </c>
      <c r="R89" s="16" t="str">
        <f>"("""&amp;C89&amp;""") ("&amp;Vlookup(E89,DropDown!B:C,2,FALSE)&amp; " OR ""Video Game"" OR Playstation OR iOS OR PS4 OR PS5 OR Xbox OR Switch OR Swtich 2 OR PC)"</f>
        <v>#N/A</v>
      </c>
      <c r="S89" s="44" t="str">
        <f>"("""&amp;C89&amp;""") ("&amp;Vlookup(E89,DropDown!K:L,2,FALSE)&amp; " | ""Video Game"" | Playstation | iOS | PS4 | PS5 | Xbox | Switch | Switch 2 | PC)"</f>
        <v>#N/A</v>
      </c>
      <c r="T89" s="44"/>
      <c r="U89" s="44"/>
      <c r="V89" s="44"/>
      <c r="W89" s="44"/>
      <c r="X89" s="44"/>
      <c r="Z89" s="44"/>
    </row>
    <row r="90">
      <c r="A90" s="16"/>
      <c r="B90" s="16"/>
      <c r="C90" s="57"/>
      <c r="E90" s="16"/>
      <c r="F90" s="16"/>
      <c r="G90" s="16"/>
      <c r="H90" s="16"/>
      <c r="I90" s="16"/>
      <c r="J90" s="16"/>
      <c r="K90" s="16"/>
      <c r="L90" s="16"/>
      <c r="M90" s="16"/>
      <c r="N90" s="5" t="s">
        <v>112</v>
      </c>
      <c r="O90" s="16" t="str">
        <f t="shared" si="1"/>
        <v>#</v>
      </c>
      <c r="P90" s="16" t="str">
        <f t="shared" si="2"/>
        <v>#videoGame</v>
      </c>
      <c r="R90" s="16" t="str">
        <f>"("""&amp;C90&amp;""") ("&amp;Vlookup(E90,DropDown!B:C,2,FALSE)&amp; " OR ""Video Game"" OR Playstation OR iOS OR PS4 OR PS5 OR Xbox OR Switch OR Swtich 2 OR PC)"</f>
        <v>#N/A</v>
      </c>
      <c r="S90" s="44" t="str">
        <f>"("""&amp;C90&amp;""") ("&amp;Vlookup(E90,DropDown!K:L,2,FALSE)&amp; " | ""Video Game"" | Playstation | iOS | PS4 | PS5 | Xbox | Switch | Switch 2 | PC)"</f>
        <v>#N/A</v>
      </c>
      <c r="T90" s="44"/>
      <c r="U90" s="44"/>
      <c r="V90" s="44"/>
      <c r="W90" s="44"/>
      <c r="X90" s="44"/>
      <c r="Z90" s="44"/>
    </row>
    <row r="91">
      <c r="A91" s="16"/>
      <c r="B91" s="16"/>
      <c r="C91" s="57"/>
      <c r="E91" s="16"/>
      <c r="F91" s="16"/>
      <c r="G91" s="16"/>
      <c r="H91" s="16"/>
      <c r="I91" s="16"/>
      <c r="J91" s="16"/>
      <c r="K91" s="16"/>
      <c r="L91" s="16"/>
      <c r="M91" s="16"/>
      <c r="N91" s="5" t="s">
        <v>112</v>
      </c>
      <c r="O91" s="16" t="str">
        <f t="shared" si="1"/>
        <v>#</v>
      </c>
      <c r="P91" s="16" t="str">
        <f t="shared" si="2"/>
        <v>#videoGame</v>
      </c>
      <c r="R91" s="16" t="str">
        <f>"("""&amp;C91&amp;""") ("&amp;Vlookup(E91,DropDown!B:C,2,FALSE)&amp; " OR ""Video Game"" OR Playstation OR iOS OR PS4 OR PS5 OR Xbox OR Switch OR Swtich 2 OR PC)"</f>
        <v>#N/A</v>
      </c>
      <c r="S91" s="44" t="str">
        <f>"("""&amp;C91&amp;""") ("&amp;Vlookup(E91,DropDown!K:L,2,FALSE)&amp; " | ""Video Game"" | Playstation | iOS | PS4 | PS5 | Xbox | Switch | Switch 2 | PC)"</f>
        <v>#N/A</v>
      </c>
      <c r="T91" s="44"/>
      <c r="U91" s="44"/>
      <c r="V91" s="44"/>
      <c r="W91" s="44"/>
      <c r="X91" s="44"/>
      <c r="Z91" s="44"/>
    </row>
    <row r="92">
      <c r="A92" s="16"/>
      <c r="B92" s="16"/>
      <c r="C92" s="57"/>
      <c r="E92" s="16"/>
      <c r="F92" s="16"/>
      <c r="G92" s="16"/>
      <c r="H92" s="16"/>
      <c r="I92" s="16"/>
      <c r="J92" s="16"/>
      <c r="K92" s="16"/>
      <c r="L92" s="16"/>
      <c r="M92" s="16"/>
      <c r="N92" s="5" t="s">
        <v>112</v>
      </c>
      <c r="O92" s="16" t="str">
        <f t="shared" si="1"/>
        <v>#</v>
      </c>
      <c r="P92" s="16" t="str">
        <f t="shared" si="2"/>
        <v>#videoGame</v>
      </c>
      <c r="R92" s="16" t="str">
        <f>"("""&amp;C92&amp;""") ("&amp;Vlookup(E92,DropDown!B:C,2,FALSE)&amp; " OR ""Video Game"" OR Playstation OR iOS OR PS4 OR PS5 OR Xbox OR Switch OR Swtich 2 OR PC)"</f>
        <v>#N/A</v>
      </c>
      <c r="S92" s="44" t="str">
        <f>"("""&amp;C92&amp;""") ("&amp;Vlookup(E92,DropDown!K:L,2,FALSE)&amp; " | ""Video Game"" | Playstation | iOS | PS4 | PS5 | Xbox | Switch | Switch 2 | PC)"</f>
        <v>#N/A</v>
      </c>
      <c r="T92" s="44"/>
      <c r="U92" s="44"/>
      <c r="V92" s="44"/>
      <c r="W92" s="44"/>
      <c r="X92" s="44"/>
      <c r="Z92" s="44"/>
    </row>
    <row r="93">
      <c r="A93" s="16"/>
      <c r="B93" s="16"/>
      <c r="C93" s="57"/>
      <c r="E93" s="16"/>
      <c r="F93" s="16"/>
      <c r="G93" s="16"/>
      <c r="H93" s="16"/>
      <c r="I93" s="16"/>
      <c r="J93" s="16"/>
      <c r="K93" s="16"/>
      <c r="L93" s="16"/>
      <c r="M93" s="16"/>
      <c r="N93" s="5" t="s">
        <v>112</v>
      </c>
      <c r="O93" s="16" t="str">
        <f t="shared" si="1"/>
        <v>#</v>
      </c>
      <c r="P93" s="16" t="str">
        <f t="shared" si="2"/>
        <v>#videoGame</v>
      </c>
      <c r="R93" s="16" t="str">
        <f>"("""&amp;C93&amp;""") ("&amp;Vlookup(E93,DropDown!B:C,2,FALSE)&amp; " OR ""Video Game"" OR Playstation OR iOS OR PS4 OR PS5 OR Xbox OR Switch OR Swtich 2 OR PC)"</f>
        <v>#N/A</v>
      </c>
      <c r="S93" s="44" t="str">
        <f>"("""&amp;C93&amp;""") ("&amp;Vlookup(E93,DropDown!K:L,2,FALSE)&amp; " | ""Video Game"" | Playstation | iOS | PS4 | PS5 | Xbox | Switch | Switch 2 | PC)"</f>
        <v>#N/A</v>
      </c>
      <c r="T93" s="44"/>
      <c r="U93" s="44"/>
      <c r="V93" s="44"/>
      <c r="W93" s="44"/>
      <c r="X93" s="44"/>
      <c r="Z93" s="44"/>
    </row>
    <row r="94">
      <c r="A94" s="16"/>
      <c r="B94" s="16"/>
      <c r="C94" s="57"/>
      <c r="E94" s="16"/>
      <c r="F94" s="16"/>
      <c r="G94" s="16"/>
      <c r="H94" s="16"/>
      <c r="I94" s="16"/>
      <c r="J94" s="16"/>
      <c r="K94" s="16"/>
      <c r="L94" s="16"/>
      <c r="M94" s="16"/>
      <c r="N94" s="5" t="s">
        <v>112</v>
      </c>
      <c r="O94" s="16" t="str">
        <f t="shared" si="1"/>
        <v>#</v>
      </c>
      <c r="P94" s="16" t="str">
        <f t="shared" si="2"/>
        <v>#videoGame</v>
      </c>
      <c r="R94" s="16" t="str">
        <f>"("""&amp;C94&amp;""") ("&amp;Vlookup(E94,DropDown!B:C,2,FALSE)&amp; " OR ""Video Game"" OR Playstation OR iOS OR PS4 OR PS5 OR Xbox OR Switch OR Swtich 2 OR PC)"</f>
        <v>#N/A</v>
      </c>
      <c r="S94" s="44" t="str">
        <f>"("""&amp;C94&amp;""") ("&amp;Vlookup(E94,DropDown!K:L,2,FALSE)&amp; " | ""Video Game"" | Playstation | iOS | PS4 | PS5 | Xbox | Switch | Switch 2 | PC)"</f>
        <v>#N/A</v>
      </c>
      <c r="T94" s="44"/>
      <c r="U94" s="44"/>
      <c r="V94" s="44"/>
      <c r="W94" s="44"/>
      <c r="X94" s="44"/>
      <c r="Z94" s="44"/>
    </row>
    <row r="95">
      <c r="A95" s="16"/>
      <c r="B95" s="16"/>
      <c r="C95" s="57"/>
      <c r="E95" s="16"/>
      <c r="F95" s="16"/>
      <c r="G95" s="16"/>
      <c r="H95" s="16"/>
      <c r="I95" s="16"/>
      <c r="J95" s="16"/>
      <c r="K95" s="16"/>
      <c r="L95" s="16"/>
      <c r="M95" s="16"/>
      <c r="N95" s="5" t="s">
        <v>112</v>
      </c>
      <c r="O95" s="16" t="str">
        <f t="shared" si="1"/>
        <v>#</v>
      </c>
      <c r="P95" s="16" t="str">
        <f t="shared" si="2"/>
        <v>#videoGame</v>
      </c>
      <c r="R95" s="16" t="str">
        <f>"("""&amp;C95&amp;""") ("&amp;Vlookup(E95,DropDown!B:C,2,FALSE)&amp; " OR ""Video Game"" OR Playstation OR iOS OR PS4 OR PS5 OR Xbox OR Switch OR Swtich 2 OR PC)"</f>
        <v>#N/A</v>
      </c>
      <c r="S95" s="44" t="str">
        <f>"("""&amp;C95&amp;""") ("&amp;Vlookup(E95,DropDown!K:L,2,FALSE)&amp; " | ""Video Game"" | Playstation | iOS | PS4 | PS5 | Xbox | Switch | Switch 2 | PC)"</f>
        <v>#N/A</v>
      </c>
      <c r="T95" s="44"/>
      <c r="U95" s="44"/>
      <c r="V95" s="44"/>
      <c r="W95" s="44"/>
      <c r="X95" s="44"/>
      <c r="Z95" s="44"/>
    </row>
    <row r="96">
      <c r="A96" s="16"/>
      <c r="B96" s="16"/>
      <c r="C96" s="57"/>
      <c r="E96" s="16"/>
      <c r="F96" s="16"/>
      <c r="G96" s="16"/>
      <c r="H96" s="16"/>
      <c r="I96" s="16"/>
      <c r="J96" s="16"/>
      <c r="K96" s="16"/>
      <c r="L96" s="16"/>
      <c r="M96" s="16"/>
      <c r="N96" s="5" t="s">
        <v>112</v>
      </c>
      <c r="O96" s="16" t="str">
        <f t="shared" si="1"/>
        <v>#</v>
      </c>
      <c r="P96" s="16" t="str">
        <f t="shared" si="2"/>
        <v>#videoGame</v>
      </c>
      <c r="R96" s="16" t="str">
        <f>"("""&amp;C96&amp;""") ("&amp;Vlookup(E96,DropDown!B:C,2,FALSE)&amp; " OR ""Video Game"" OR Playstation OR iOS OR PS4 OR PS5 OR Xbox OR Switch OR Swtich 2 OR PC)"</f>
        <v>#N/A</v>
      </c>
      <c r="S96" s="44" t="str">
        <f>"("""&amp;C96&amp;""") ("&amp;Vlookup(E96,DropDown!K:L,2,FALSE)&amp; " | ""Video Game"" | Playstation | iOS | PS4 | PS5 | Xbox | Switch | Switch 2 | PC)"</f>
        <v>#N/A</v>
      </c>
      <c r="T96" s="44"/>
      <c r="U96" s="44"/>
      <c r="V96" s="44"/>
      <c r="W96" s="44"/>
      <c r="X96" s="44"/>
      <c r="Z96" s="44"/>
    </row>
    <row r="97">
      <c r="A97" s="16"/>
      <c r="B97" s="16"/>
      <c r="C97" s="57"/>
      <c r="E97" s="16"/>
      <c r="F97" s="16"/>
      <c r="G97" s="16"/>
      <c r="H97" s="16"/>
      <c r="I97" s="16"/>
      <c r="J97" s="16"/>
      <c r="K97" s="16"/>
      <c r="L97" s="16"/>
      <c r="M97" s="16"/>
      <c r="N97" s="5" t="s">
        <v>112</v>
      </c>
      <c r="O97" s="16" t="str">
        <f t="shared" si="1"/>
        <v>#</v>
      </c>
      <c r="P97" s="16" t="str">
        <f t="shared" si="2"/>
        <v>#videoGame</v>
      </c>
      <c r="R97" s="16" t="str">
        <f>"("""&amp;C97&amp;""") ("&amp;Vlookup(E97,DropDown!B:C,2,FALSE)&amp; " OR ""Video Game"" OR Playstation OR iOS OR PS4 OR PS5 OR Xbox OR Switch OR Swtich 2 OR PC)"</f>
        <v>#N/A</v>
      </c>
      <c r="S97" s="44" t="str">
        <f>"("""&amp;C97&amp;""") ("&amp;Vlookup(E97,DropDown!K:L,2,FALSE)&amp; " | ""Video Game"" | Playstation | iOS | PS4 | PS5 | Xbox | Switch | Switch 2 | PC)"</f>
        <v>#N/A</v>
      </c>
      <c r="T97" s="44"/>
      <c r="U97" s="44"/>
      <c r="V97" s="44"/>
      <c r="W97" s="44"/>
      <c r="X97" s="44"/>
      <c r="Z97" s="44"/>
    </row>
    <row r="98">
      <c r="A98" s="16"/>
      <c r="B98" s="16"/>
      <c r="C98" s="57"/>
      <c r="E98" s="16"/>
      <c r="F98" s="16"/>
      <c r="G98" s="16"/>
      <c r="H98" s="16"/>
      <c r="I98" s="16"/>
      <c r="J98" s="16"/>
      <c r="K98" s="16"/>
      <c r="L98" s="16"/>
      <c r="M98" s="16"/>
      <c r="N98" s="5" t="s">
        <v>112</v>
      </c>
      <c r="O98" s="16" t="str">
        <f t="shared" si="1"/>
        <v>#</v>
      </c>
      <c r="P98" s="16" t="str">
        <f t="shared" si="2"/>
        <v>#videoGame</v>
      </c>
      <c r="R98" s="16" t="str">
        <f>"("""&amp;C98&amp;""") ("&amp;Vlookup(E98,DropDown!B:C,2,FALSE)&amp; " OR ""Video Game"" OR Playstation OR iOS OR PS4 OR PS5 OR Xbox OR Switch OR Swtich 2 OR PC)"</f>
        <v>#N/A</v>
      </c>
      <c r="S98" s="44" t="str">
        <f>"("""&amp;C98&amp;""") ("&amp;Vlookup(E98,DropDown!K:L,2,FALSE)&amp; " | ""Video Game"" | Playstation | iOS | PS4 | PS5 | Xbox | Switch | Switch 2 | PC)"</f>
        <v>#N/A</v>
      </c>
      <c r="T98" s="44"/>
      <c r="U98" s="44"/>
      <c r="V98" s="44"/>
      <c r="W98" s="44"/>
      <c r="X98" s="44"/>
      <c r="Z98" s="44"/>
    </row>
    <row r="99">
      <c r="A99" s="16"/>
      <c r="B99" s="16"/>
      <c r="C99" s="57"/>
      <c r="E99" s="16"/>
      <c r="F99" s="16"/>
      <c r="G99" s="16"/>
      <c r="H99" s="16"/>
      <c r="I99" s="16"/>
      <c r="J99" s="16"/>
      <c r="K99" s="16"/>
      <c r="L99" s="16"/>
      <c r="M99" s="16"/>
      <c r="N99" s="5" t="s">
        <v>112</v>
      </c>
      <c r="O99" s="16" t="str">
        <f t="shared" si="1"/>
        <v>#</v>
      </c>
      <c r="P99" s="16" t="str">
        <f t="shared" si="2"/>
        <v>#videoGame</v>
      </c>
      <c r="R99" s="16" t="str">
        <f>"("""&amp;C99&amp;""") ("&amp;Vlookup(E99,DropDown!B:C,2,FALSE)&amp; " OR ""Video Game"" OR Playstation OR iOS OR PS4 OR PS5 OR Xbox OR Switch OR Swtich 2 OR PC)"</f>
        <v>#N/A</v>
      </c>
      <c r="S99" s="44" t="str">
        <f>"("""&amp;C99&amp;""") ("&amp;Vlookup(E99,DropDown!K:L,2,FALSE)&amp; " | ""Video Game"" | Playstation | iOS | PS4 | PS5 | Xbox | Switch | Switch 2 | PC)"</f>
        <v>#N/A</v>
      </c>
      <c r="T99" s="44"/>
      <c r="U99" s="44"/>
      <c r="V99" s="44"/>
      <c r="W99" s="44"/>
      <c r="X99" s="44"/>
      <c r="Z99" s="44"/>
    </row>
    <row r="100">
      <c r="A100" s="16"/>
      <c r="B100" s="16"/>
      <c r="C100" s="57"/>
      <c r="E100" s="16"/>
      <c r="F100" s="16"/>
      <c r="G100" s="16"/>
      <c r="H100" s="16"/>
      <c r="I100" s="16"/>
      <c r="J100" s="16"/>
      <c r="K100" s="16"/>
      <c r="L100" s="16"/>
      <c r="M100" s="16"/>
      <c r="N100" s="5" t="s">
        <v>112</v>
      </c>
      <c r="O100" s="16" t="str">
        <f t="shared" si="1"/>
        <v>#</v>
      </c>
      <c r="P100" s="16" t="str">
        <f t="shared" si="2"/>
        <v>#videoGame</v>
      </c>
      <c r="R100" s="16" t="str">
        <f>"("""&amp;C100&amp;""") ("&amp;Vlookup(E100,DropDown!B:C,2,FALSE)&amp; " OR ""Video Game"" OR Playstation OR iOS OR PS4 OR PS5 OR Xbox OR Switch OR Swtich 2 OR PC)"</f>
        <v>#N/A</v>
      </c>
      <c r="S100" s="44" t="str">
        <f>"("""&amp;C100&amp;""") ("&amp;Vlookup(E100,DropDown!K:L,2,FALSE)&amp; " | ""Video Game"" | Playstation | iOS | PS4 | PS5 | Xbox | Switch | Switch 2 | PC)"</f>
        <v>#N/A</v>
      </c>
      <c r="T100" s="44"/>
      <c r="U100" s="44"/>
      <c r="V100" s="44"/>
      <c r="W100" s="44"/>
      <c r="X100" s="44"/>
      <c r="Z100" s="44"/>
    </row>
    <row r="101">
      <c r="A101" s="16"/>
      <c r="B101" s="16"/>
      <c r="C101" s="57"/>
      <c r="E101" s="16"/>
      <c r="F101" s="16"/>
      <c r="G101" s="16"/>
      <c r="H101" s="16"/>
      <c r="I101" s="16"/>
      <c r="J101" s="16"/>
      <c r="K101" s="16"/>
      <c r="L101" s="16"/>
      <c r="M101" s="16"/>
      <c r="N101" s="5" t="s">
        <v>112</v>
      </c>
      <c r="O101" s="16" t="str">
        <f t="shared" si="1"/>
        <v>#</v>
      </c>
      <c r="P101" s="16" t="str">
        <f t="shared" si="2"/>
        <v>#videoGame</v>
      </c>
      <c r="R101" s="16" t="str">
        <f>"("""&amp;C101&amp;""") ("&amp;Vlookup(E101,DropDown!B:C,2,FALSE)&amp; " OR ""Video Game"" OR Playstation OR iOS OR PS4 OR PS5 OR Xbox OR Switch OR Swtich 2 OR PC)"</f>
        <v>#N/A</v>
      </c>
      <c r="S101" s="44" t="str">
        <f>"("""&amp;C101&amp;""") ("&amp;Vlookup(E101,DropDown!K:L,2,FALSE)&amp; " | ""Video Game"" | Playstation | iOS | PS4 | PS5 | Xbox | Switch | Switch 2 | PC)"</f>
        <v>#N/A</v>
      </c>
      <c r="T101" s="44"/>
      <c r="U101" s="44"/>
      <c r="V101" s="44"/>
      <c r="W101" s="44"/>
      <c r="X101" s="44"/>
      <c r="Z101" s="44"/>
    </row>
    <row r="102">
      <c r="A102" s="16"/>
      <c r="B102" s="16"/>
      <c r="C102" s="57"/>
      <c r="E102" s="16"/>
      <c r="F102" s="16"/>
      <c r="G102" s="16"/>
      <c r="H102" s="16"/>
      <c r="I102" s="16"/>
      <c r="J102" s="16"/>
      <c r="K102" s="16"/>
      <c r="L102" s="16"/>
      <c r="M102" s="16"/>
      <c r="N102" s="5" t="s">
        <v>112</v>
      </c>
      <c r="O102" s="16" t="str">
        <f t="shared" si="1"/>
        <v>#</v>
      </c>
      <c r="P102" s="16" t="str">
        <f t="shared" si="2"/>
        <v>#videoGame</v>
      </c>
      <c r="R102" s="16" t="str">
        <f>"("""&amp;C102&amp;""") ("&amp;Vlookup(E102,DropDown!B:C,2,FALSE)&amp; " OR ""Video Game"" OR Playstation OR iOS OR PS4 OR PS5 OR Xbox OR Switch OR Swtich 2 OR PC)"</f>
        <v>#N/A</v>
      </c>
      <c r="S102" s="44" t="str">
        <f>"("""&amp;C102&amp;""") ("&amp;Vlookup(E102,DropDown!K:L,2,FALSE)&amp; " | ""Video Game"" | Playstation | iOS | PS4 | PS5 | Xbox | Switch | Switch 2 | PC)"</f>
        <v>#N/A</v>
      </c>
      <c r="T102" s="44"/>
      <c r="U102" s="44"/>
      <c r="V102" s="44"/>
      <c r="W102" s="44"/>
      <c r="X102" s="44"/>
      <c r="Z102" s="44"/>
    </row>
    <row r="103">
      <c r="A103" s="16"/>
      <c r="B103" s="16"/>
      <c r="C103" s="57"/>
      <c r="E103" s="16"/>
      <c r="F103" s="16"/>
      <c r="G103" s="16"/>
      <c r="H103" s="16"/>
      <c r="I103" s="16"/>
      <c r="J103" s="16"/>
      <c r="K103" s="16"/>
      <c r="L103" s="16"/>
      <c r="M103" s="16"/>
      <c r="N103" s="5" t="s">
        <v>112</v>
      </c>
      <c r="O103" s="16" t="str">
        <f t="shared" si="1"/>
        <v>#</v>
      </c>
      <c r="P103" s="16" t="str">
        <f t="shared" si="2"/>
        <v>#videoGame</v>
      </c>
      <c r="R103" s="16" t="str">
        <f>"("""&amp;C103&amp;""") ("&amp;Vlookup(E103,DropDown!B:C,2,FALSE)&amp; " OR ""Video Game"" OR Playstation OR iOS OR PS4 OR PS5 OR Xbox OR Switch OR Swtich 2 OR PC)"</f>
        <v>#N/A</v>
      </c>
      <c r="S103" s="44" t="str">
        <f>"("""&amp;C103&amp;""") ("&amp;Vlookup(E103,DropDown!K:L,2,FALSE)&amp; " | ""Video Game"" | Playstation | iOS | PS4 | PS5 | Xbox | Switch | Switch 2 | PC)"</f>
        <v>#N/A</v>
      </c>
      <c r="T103" s="44"/>
      <c r="U103" s="44"/>
      <c r="V103" s="44"/>
      <c r="W103" s="44"/>
      <c r="X103" s="44"/>
      <c r="Z103" s="44"/>
    </row>
    <row r="104">
      <c r="A104" s="16"/>
      <c r="B104" s="16"/>
      <c r="C104" s="57"/>
      <c r="E104" s="16"/>
      <c r="F104" s="16"/>
      <c r="G104" s="16"/>
      <c r="H104" s="16"/>
      <c r="I104" s="16"/>
      <c r="J104" s="16"/>
      <c r="K104" s="16"/>
      <c r="L104" s="16"/>
      <c r="M104" s="16"/>
      <c r="N104" s="5" t="s">
        <v>112</v>
      </c>
      <c r="O104" s="16" t="str">
        <f t="shared" si="1"/>
        <v>#</v>
      </c>
      <c r="P104" s="16" t="str">
        <f t="shared" si="2"/>
        <v>#videoGame</v>
      </c>
      <c r="R104" s="16" t="str">
        <f>"("""&amp;C104&amp;""") ("&amp;Vlookup(E104,DropDown!B:C,2,FALSE)&amp; " OR ""Video Game"" OR Playstation OR iOS OR PS4 OR PS5 OR Xbox OR Switch OR Swtich 2 OR PC)"</f>
        <v>#N/A</v>
      </c>
      <c r="S104" s="44" t="str">
        <f>"("""&amp;C104&amp;""") ("&amp;Vlookup(E104,DropDown!K:L,2,FALSE)&amp; " | ""Video Game"" | Playstation | iOS | PS4 | PS5 | Xbox | Switch | Switch 2 | PC)"</f>
        <v>#N/A</v>
      </c>
      <c r="T104" s="44"/>
      <c r="U104" s="44"/>
      <c r="V104" s="44"/>
      <c r="W104" s="44"/>
      <c r="X104" s="44"/>
      <c r="Z104" s="44"/>
    </row>
    <row r="105">
      <c r="A105" s="16"/>
      <c r="B105" s="16"/>
      <c r="C105" s="57"/>
      <c r="E105" s="16"/>
      <c r="F105" s="16"/>
      <c r="G105" s="16"/>
      <c r="H105" s="16"/>
      <c r="I105" s="16"/>
      <c r="J105" s="16"/>
      <c r="K105" s="16"/>
      <c r="L105" s="16"/>
      <c r="M105" s="16"/>
      <c r="N105" s="5" t="s">
        <v>112</v>
      </c>
      <c r="O105" s="16" t="str">
        <f t="shared" si="1"/>
        <v>#</v>
      </c>
      <c r="P105" s="16" t="str">
        <f t="shared" si="2"/>
        <v>#videoGame</v>
      </c>
      <c r="R105" s="16" t="str">
        <f>"("""&amp;C105&amp;""") ("&amp;Vlookup(E105,DropDown!B:C,2,FALSE)&amp; " OR ""Video Game"" OR Playstation OR iOS OR PS4 OR PS5 OR Xbox OR Switch OR Swtich 2 OR PC)"</f>
        <v>#N/A</v>
      </c>
      <c r="S105" s="44" t="str">
        <f>"("""&amp;C105&amp;""") ("&amp;Vlookup(E105,DropDown!K:L,2,FALSE)&amp; " | ""Video Game"" | Playstation | iOS | PS4 | PS5 | Xbox | Switch | Switch 2 | PC)"</f>
        <v>#N/A</v>
      </c>
      <c r="T105" s="44"/>
      <c r="U105" s="44"/>
      <c r="V105" s="44"/>
      <c r="W105" s="44"/>
      <c r="X105" s="44"/>
      <c r="Z105" s="44"/>
    </row>
    <row r="106">
      <c r="A106" s="16"/>
      <c r="B106" s="16"/>
      <c r="C106" s="57"/>
      <c r="E106" s="16"/>
      <c r="F106" s="16"/>
      <c r="G106" s="16"/>
      <c r="H106" s="16"/>
      <c r="I106" s="16"/>
      <c r="J106" s="16"/>
      <c r="K106" s="16"/>
      <c r="L106" s="16"/>
      <c r="M106" s="16"/>
      <c r="N106" s="5" t="s">
        <v>112</v>
      </c>
      <c r="O106" s="16" t="str">
        <f t="shared" si="1"/>
        <v>#</v>
      </c>
      <c r="P106" s="16" t="str">
        <f t="shared" si="2"/>
        <v>#videoGame</v>
      </c>
      <c r="R106" s="16" t="str">
        <f>"("""&amp;C106&amp;""") ("&amp;Vlookup(E106,DropDown!B:C,2,FALSE)&amp; " OR ""Video Game"" OR Playstation OR iOS OR PS4 OR PS5 OR Xbox OR Switch OR Swtich 2 OR PC)"</f>
        <v>#N/A</v>
      </c>
      <c r="S106" s="44" t="str">
        <f>"("""&amp;C106&amp;""") ("&amp;Vlookup(E106,DropDown!K:L,2,FALSE)&amp; " | ""Video Game"" | Playstation | iOS | PS4 | PS5 | Xbox | Switch | Switch 2 | PC)"</f>
        <v>#N/A</v>
      </c>
      <c r="T106" s="44"/>
      <c r="U106" s="44"/>
      <c r="V106" s="44"/>
      <c r="W106" s="44"/>
      <c r="X106" s="44"/>
      <c r="Z106" s="44"/>
    </row>
    <row r="107">
      <c r="A107" s="16"/>
      <c r="B107" s="16"/>
      <c r="C107" s="57"/>
      <c r="E107" s="16"/>
      <c r="F107" s="16"/>
      <c r="G107" s="16"/>
      <c r="H107" s="16"/>
      <c r="I107" s="16"/>
      <c r="J107" s="16"/>
      <c r="K107" s="16"/>
      <c r="L107" s="16"/>
      <c r="M107" s="16"/>
      <c r="N107" s="5" t="s">
        <v>112</v>
      </c>
      <c r="O107" s="16" t="str">
        <f t="shared" si="1"/>
        <v>#</v>
      </c>
      <c r="P107" s="16" t="str">
        <f t="shared" si="2"/>
        <v>#videoGame</v>
      </c>
      <c r="R107" s="16" t="str">
        <f>"("""&amp;C107&amp;""") ("&amp;Vlookup(E107,DropDown!B:C,2,FALSE)&amp; " OR ""Video Game"" OR Playstation OR iOS OR PS4 OR PS5 OR Xbox OR Switch OR Swtich 2 OR PC)"</f>
        <v>#N/A</v>
      </c>
      <c r="S107" s="44" t="str">
        <f>"("""&amp;C107&amp;""") ("&amp;Vlookup(E107,DropDown!K:L,2,FALSE)&amp; " | ""Video Game"" | Playstation | iOS | PS4 | PS5 | Xbox | Switch | Switch 2 | PC)"</f>
        <v>#N/A</v>
      </c>
      <c r="T107" s="44"/>
      <c r="U107" s="44"/>
      <c r="V107" s="44"/>
      <c r="W107" s="44"/>
      <c r="X107" s="44"/>
      <c r="Z107" s="44"/>
    </row>
    <row r="108">
      <c r="A108" s="16"/>
      <c r="B108" s="16"/>
      <c r="C108" s="57"/>
      <c r="E108" s="16"/>
      <c r="F108" s="16"/>
      <c r="G108" s="16"/>
      <c r="H108" s="16"/>
      <c r="I108" s="16"/>
      <c r="J108" s="16"/>
      <c r="K108" s="16"/>
      <c r="L108" s="16"/>
      <c r="M108" s="16"/>
      <c r="N108" s="5" t="s">
        <v>112</v>
      </c>
      <c r="O108" s="16" t="str">
        <f t="shared" si="1"/>
        <v>#</v>
      </c>
      <c r="P108" s="16" t="str">
        <f t="shared" si="2"/>
        <v>#videoGame</v>
      </c>
      <c r="R108" s="16" t="str">
        <f>"("""&amp;C108&amp;""") ("&amp;Vlookup(E108,DropDown!B:C,2,FALSE)&amp; " OR ""Video Game"" OR Playstation OR iOS OR PS4 OR PS5 OR Xbox OR Switch OR Swtich 2 OR PC)"</f>
        <v>#N/A</v>
      </c>
      <c r="S108" s="44" t="str">
        <f>"("""&amp;C108&amp;""") ("&amp;Vlookup(E108,DropDown!K:L,2,FALSE)&amp; " | ""Video Game"" | Playstation | iOS | PS4 | PS5 | Xbox | Switch | Switch 2 | PC)"</f>
        <v>#N/A</v>
      </c>
      <c r="T108" s="44"/>
      <c r="U108" s="44"/>
      <c r="V108" s="44"/>
      <c r="W108" s="44"/>
      <c r="X108" s="44"/>
      <c r="Z108" s="44"/>
    </row>
    <row r="109">
      <c r="A109" s="16"/>
      <c r="B109" s="16"/>
      <c r="C109" s="57"/>
      <c r="E109" s="16"/>
      <c r="F109" s="16"/>
      <c r="G109" s="16"/>
      <c r="H109" s="16"/>
      <c r="I109" s="16"/>
      <c r="J109" s="16"/>
      <c r="K109" s="16"/>
      <c r="L109" s="16"/>
      <c r="M109" s="16"/>
      <c r="N109" s="5" t="s">
        <v>112</v>
      </c>
      <c r="O109" s="16" t="str">
        <f t="shared" si="1"/>
        <v>#</v>
      </c>
      <c r="P109" s="16" t="str">
        <f t="shared" si="2"/>
        <v>#videoGame</v>
      </c>
      <c r="R109" s="16" t="str">
        <f>"("""&amp;C109&amp;""") ("&amp;Vlookup(E109,DropDown!B:C,2,FALSE)&amp; " OR ""Video Game"" OR Playstation OR iOS OR PS4 OR PS5 OR Xbox OR Switch OR Swtich 2 OR PC)"</f>
        <v>#N/A</v>
      </c>
      <c r="S109" s="44" t="str">
        <f>"("""&amp;C109&amp;""") ("&amp;Vlookup(E109,DropDown!K:L,2,FALSE)&amp; " | ""Video Game"" | Playstation | iOS | PS4 | PS5 | Xbox | Switch | Switch 2 | PC)"</f>
        <v>#N/A</v>
      </c>
      <c r="T109" s="44"/>
      <c r="U109" s="44"/>
      <c r="V109" s="44"/>
      <c r="W109" s="44"/>
      <c r="X109" s="44"/>
      <c r="Z109" s="44"/>
    </row>
    <row r="110">
      <c r="A110" s="16"/>
      <c r="B110" s="16"/>
      <c r="C110" s="57"/>
      <c r="E110" s="16"/>
      <c r="F110" s="16"/>
      <c r="G110" s="16"/>
      <c r="H110" s="16"/>
      <c r="I110" s="16"/>
      <c r="J110" s="16"/>
      <c r="K110" s="16"/>
      <c r="L110" s="16"/>
      <c r="M110" s="16"/>
      <c r="N110" s="5" t="s">
        <v>112</v>
      </c>
      <c r="O110" s="16" t="str">
        <f t="shared" si="1"/>
        <v>#</v>
      </c>
      <c r="P110" s="16" t="str">
        <f t="shared" si="2"/>
        <v>#videoGame</v>
      </c>
      <c r="R110" s="16" t="str">
        <f>"("""&amp;C110&amp;""") ("&amp;Vlookup(E110,DropDown!B:C,2,FALSE)&amp; " OR ""Video Game"" OR Playstation OR iOS OR PS4 OR PS5 OR Xbox OR Switch OR Swtich 2 OR PC)"</f>
        <v>#N/A</v>
      </c>
      <c r="S110" s="44" t="str">
        <f>"("""&amp;C110&amp;""") ("&amp;Vlookup(E110,DropDown!K:L,2,FALSE)&amp; " | ""Video Game"" | Playstation | iOS | PS4 | PS5 | Xbox | Switch | Switch 2 | PC)"</f>
        <v>#N/A</v>
      </c>
      <c r="T110" s="44"/>
      <c r="U110" s="44"/>
      <c r="V110" s="44"/>
      <c r="W110" s="44"/>
      <c r="X110" s="44"/>
      <c r="Z110" s="44"/>
    </row>
    <row r="111">
      <c r="A111" s="16"/>
      <c r="B111" s="16"/>
      <c r="C111" s="57"/>
      <c r="E111" s="16"/>
      <c r="F111" s="16"/>
      <c r="G111" s="16"/>
      <c r="H111" s="16"/>
      <c r="I111" s="16"/>
      <c r="J111" s="16"/>
      <c r="K111" s="16"/>
      <c r="L111" s="16"/>
      <c r="M111" s="16"/>
      <c r="N111" s="5" t="s">
        <v>112</v>
      </c>
      <c r="O111" s="16" t="str">
        <f t="shared" si="1"/>
        <v>#</v>
      </c>
      <c r="P111" s="16" t="str">
        <f t="shared" si="2"/>
        <v>#videoGame</v>
      </c>
      <c r="R111" s="16" t="str">
        <f>"("""&amp;C111&amp;""") ("&amp;Vlookup(E111,DropDown!B:C,2,FALSE)&amp; " OR ""Video Game"" OR Playstation OR iOS OR PS4 OR PS5 OR Xbox OR Switch OR Swtich 2 OR PC)"</f>
        <v>#N/A</v>
      </c>
      <c r="S111" s="44" t="str">
        <f>"("""&amp;C111&amp;""") ("&amp;Vlookup(E111,DropDown!K:L,2,FALSE)&amp; " | ""Video Game"" | Playstation | iOS | PS4 | PS5 | Xbox | Switch | Switch 2 | PC)"</f>
        <v>#N/A</v>
      </c>
      <c r="T111" s="44"/>
      <c r="U111" s="44"/>
      <c r="V111" s="44"/>
      <c r="W111" s="44"/>
      <c r="X111" s="44"/>
      <c r="Z111" s="44"/>
    </row>
    <row r="112">
      <c r="A112" s="16"/>
      <c r="B112" s="16"/>
      <c r="C112" s="57"/>
      <c r="E112" s="16"/>
      <c r="F112" s="16"/>
      <c r="G112" s="16"/>
      <c r="H112" s="16"/>
      <c r="I112" s="16"/>
      <c r="J112" s="16"/>
      <c r="K112" s="16"/>
      <c r="L112" s="16"/>
      <c r="M112" s="16"/>
      <c r="N112" s="5" t="s">
        <v>112</v>
      </c>
      <c r="O112" s="16" t="str">
        <f t="shared" si="1"/>
        <v>#</v>
      </c>
      <c r="P112" s="16" t="str">
        <f t="shared" si="2"/>
        <v>#videoGame</v>
      </c>
      <c r="R112" s="16" t="str">
        <f>"("""&amp;C112&amp;""") ("&amp;Vlookup(E112,DropDown!B:C,2,FALSE)&amp; " OR ""Video Game"" OR Playstation OR iOS OR PS4 OR PS5 OR Xbox OR Switch OR Swtich 2 OR PC)"</f>
        <v>#N/A</v>
      </c>
      <c r="S112" s="44" t="str">
        <f>"("""&amp;C112&amp;""") ("&amp;Vlookup(E112,DropDown!K:L,2,FALSE)&amp; " | ""Video Game"" | Playstation | iOS | PS4 | PS5 | Xbox | Switch | Switch 2 | PC)"</f>
        <v>#N/A</v>
      </c>
      <c r="T112" s="44"/>
      <c r="U112" s="44"/>
      <c r="V112" s="44"/>
      <c r="W112" s="44"/>
      <c r="X112" s="44"/>
      <c r="Z112" s="44"/>
    </row>
    <row r="113">
      <c r="A113" s="16"/>
      <c r="B113" s="16"/>
      <c r="C113" s="57"/>
      <c r="E113" s="16"/>
      <c r="F113" s="16"/>
      <c r="G113" s="16"/>
      <c r="H113" s="16"/>
      <c r="I113" s="16"/>
      <c r="J113" s="16"/>
      <c r="K113" s="16"/>
      <c r="L113" s="16"/>
      <c r="M113" s="16"/>
      <c r="N113" s="5" t="s">
        <v>112</v>
      </c>
      <c r="O113" s="16" t="str">
        <f t="shared" si="1"/>
        <v>#</v>
      </c>
      <c r="P113" s="16" t="str">
        <f t="shared" si="2"/>
        <v>#videoGame</v>
      </c>
      <c r="R113" s="16" t="str">
        <f>"("""&amp;C113&amp;""") ("&amp;Vlookup(E113,DropDown!B:C,2,FALSE)&amp; " OR ""Video Game"" OR Playstation OR iOS OR PS4 OR PS5 OR Xbox OR Switch OR Swtich 2 OR PC)"</f>
        <v>#N/A</v>
      </c>
      <c r="S113" s="44" t="str">
        <f>"("""&amp;C113&amp;""") ("&amp;Vlookup(E113,DropDown!K:L,2,FALSE)&amp; " | ""Video Game"" | Playstation | iOS | PS4 | PS5 | Xbox | Switch | Switch 2 | PC)"</f>
        <v>#N/A</v>
      </c>
      <c r="T113" s="44"/>
      <c r="U113" s="44"/>
      <c r="V113" s="44"/>
      <c r="W113" s="44"/>
      <c r="X113" s="44"/>
      <c r="Z113" s="44"/>
    </row>
    <row r="114">
      <c r="A114" s="16"/>
      <c r="B114" s="16"/>
      <c r="C114" s="57"/>
      <c r="E114" s="16"/>
      <c r="F114" s="16"/>
      <c r="G114" s="16"/>
      <c r="H114" s="16"/>
      <c r="I114" s="16"/>
      <c r="J114" s="16"/>
      <c r="K114" s="16"/>
      <c r="L114" s="16"/>
      <c r="M114" s="16"/>
      <c r="N114" s="5" t="s">
        <v>112</v>
      </c>
      <c r="O114" s="16" t="str">
        <f t="shared" si="1"/>
        <v>#</v>
      </c>
      <c r="P114" s="16" t="str">
        <f t="shared" si="2"/>
        <v>#videoGame</v>
      </c>
      <c r="R114" s="16" t="str">
        <f>"("""&amp;C114&amp;""") ("&amp;Vlookup(E114,DropDown!B:C,2,FALSE)&amp; " OR ""Video Game"" OR Playstation OR iOS OR PS4 OR PS5 OR Xbox OR Switch OR Swtich 2 OR PC)"</f>
        <v>#N/A</v>
      </c>
      <c r="S114" s="44" t="str">
        <f>"("""&amp;C114&amp;""") ("&amp;Vlookup(E114,DropDown!K:L,2,FALSE)&amp; " | ""Video Game"" | Playstation | iOS | PS4 | PS5 | Xbox | Switch | Switch 2 | PC)"</f>
        <v>#N/A</v>
      </c>
      <c r="T114" s="44"/>
      <c r="U114" s="44"/>
      <c r="V114" s="44"/>
      <c r="W114" s="44"/>
      <c r="X114" s="44"/>
      <c r="Z114" s="44"/>
    </row>
    <row r="115">
      <c r="A115" s="16"/>
      <c r="B115" s="16"/>
      <c r="C115" s="57"/>
      <c r="E115" s="16"/>
      <c r="F115" s="16"/>
      <c r="G115" s="16"/>
      <c r="H115" s="16"/>
      <c r="I115" s="16"/>
      <c r="J115" s="16"/>
      <c r="K115" s="16"/>
      <c r="L115" s="16"/>
      <c r="M115" s="16"/>
      <c r="N115" s="5" t="s">
        <v>112</v>
      </c>
      <c r="O115" s="16" t="str">
        <f t="shared" si="1"/>
        <v>#</v>
      </c>
      <c r="P115" s="16" t="str">
        <f t="shared" si="2"/>
        <v>#videoGame</v>
      </c>
      <c r="R115" s="16" t="str">
        <f>"("""&amp;C115&amp;""") ("&amp;Vlookup(E115,DropDown!B:C,2,FALSE)&amp; " OR ""Video Game"" OR Playstation OR iOS OR PS4 OR PS5 OR Xbox OR Switch OR Swtich 2 OR PC)"</f>
        <v>#N/A</v>
      </c>
      <c r="S115" s="44" t="str">
        <f>"("""&amp;C115&amp;""") ("&amp;Vlookup(E115,DropDown!K:L,2,FALSE)&amp; " | ""Video Game"" | Playstation | iOS | PS4 | PS5 | Xbox | Switch | Switch 2 | PC)"</f>
        <v>#N/A</v>
      </c>
      <c r="T115" s="44"/>
      <c r="U115" s="44"/>
      <c r="V115" s="44"/>
      <c r="W115" s="44"/>
      <c r="X115" s="44"/>
      <c r="Z115" s="44"/>
    </row>
    <row r="116">
      <c r="A116" s="16"/>
      <c r="B116" s="16"/>
      <c r="C116" s="57"/>
      <c r="E116" s="16"/>
      <c r="F116" s="16"/>
      <c r="G116" s="16"/>
      <c r="H116" s="16"/>
      <c r="I116" s="16"/>
      <c r="J116" s="16"/>
      <c r="K116" s="16"/>
      <c r="L116" s="16"/>
      <c r="M116" s="16"/>
      <c r="N116" s="5" t="s">
        <v>112</v>
      </c>
      <c r="O116" s="16" t="str">
        <f t="shared" si="1"/>
        <v>#</v>
      </c>
      <c r="P116" s="16" t="str">
        <f t="shared" si="2"/>
        <v>#videoGame</v>
      </c>
      <c r="R116" s="16" t="str">
        <f>"("""&amp;C116&amp;""") ("&amp;Vlookup(E116,DropDown!B:C,2,FALSE)&amp; " OR ""Video Game"" OR Playstation OR iOS OR PS4 OR PS5 OR Xbox OR Switch OR Swtich 2 OR PC)"</f>
        <v>#N/A</v>
      </c>
      <c r="S116" s="44" t="str">
        <f>"("""&amp;C116&amp;""") ("&amp;Vlookup(E116,DropDown!K:L,2,FALSE)&amp; " | ""Video Game"" | Playstation | iOS | PS4 | PS5 | Xbox | Switch | Switch 2 | PC)"</f>
        <v>#N/A</v>
      </c>
      <c r="T116" s="44"/>
      <c r="U116" s="44"/>
      <c r="V116" s="44"/>
      <c r="W116" s="44"/>
      <c r="X116" s="44"/>
      <c r="Z116" s="44"/>
    </row>
    <row r="117">
      <c r="A117" s="16"/>
      <c r="B117" s="16"/>
      <c r="C117" s="57"/>
      <c r="E117" s="16"/>
      <c r="F117" s="16"/>
      <c r="G117" s="16"/>
      <c r="H117" s="16"/>
      <c r="I117" s="16"/>
      <c r="J117" s="16"/>
      <c r="K117" s="16"/>
      <c r="L117" s="16"/>
      <c r="M117" s="16"/>
      <c r="N117" s="5" t="s">
        <v>112</v>
      </c>
      <c r="O117" s="16" t="str">
        <f t="shared" si="1"/>
        <v>#</v>
      </c>
      <c r="P117" s="16" t="str">
        <f t="shared" si="2"/>
        <v>#videoGame</v>
      </c>
      <c r="R117" s="16" t="str">
        <f>"("""&amp;C117&amp;""") ("&amp;Vlookup(E117,DropDown!B:C,2,FALSE)&amp; " OR ""Video Game"" OR Playstation OR iOS OR PS4 OR PS5 OR Xbox OR Switch OR Swtich 2 OR PC)"</f>
        <v>#N/A</v>
      </c>
      <c r="S117" s="44" t="str">
        <f>"("""&amp;C117&amp;""") ("&amp;Vlookup(E117,DropDown!K:L,2,FALSE)&amp; " | ""Video Game"" | Playstation | iOS | PS4 | PS5 | Xbox | Switch | Switch 2 | PC)"</f>
        <v>#N/A</v>
      </c>
      <c r="T117" s="44"/>
      <c r="U117" s="44"/>
      <c r="V117" s="44"/>
      <c r="W117" s="44"/>
      <c r="X117" s="44"/>
      <c r="Z117" s="44"/>
    </row>
    <row r="118">
      <c r="A118" s="16"/>
      <c r="B118" s="16"/>
      <c r="C118" s="57"/>
      <c r="E118" s="16"/>
      <c r="F118" s="16"/>
      <c r="G118" s="16"/>
      <c r="H118" s="16"/>
      <c r="I118" s="16"/>
      <c r="J118" s="16"/>
      <c r="K118" s="16"/>
      <c r="L118" s="16"/>
      <c r="M118" s="16"/>
      <c r="N118" s="5" t="s">
        <v>112</v>
      </c>
      <c r="O118" s="16" t="str">
        <f t="shared" si="1"/>
        <v>#</v>
      </c>
      <c r="P118" s="16" t="str">
        <f t="shared" si="2"/>
        <v>#videoGame</v>
      </c>
      <c r="R118" s="16" t="str">
        <f>"("""&amp;C118&amp;""") ("&amp;Vlookup(E118,DropDown!B:C,2,FALSE)&amp; " OR ""Video Game"" OR Playstation OR iOS OR PS4 OR PS5 OR Xbox OR Switch OR Swtich 2 OR PC)"</f>
        <v>#N/A</v>
      </c>
      <c r="S118" s="44" t="str">
        <f>"("""&amp;C118&amp;""") ("&amp;Vlookup(E118,DropDown!K:L,2,FALSE)&amp; " | ""Video Game"" | Playstation | iOS | PS4 | PS5 | Xbox | Switch | Switch 2 | PC)"</f>
        <v>#N/A</v>
      </c>
      <c r="T118" s="44"/>
      <c r="U118" s="44"/>
      <c r="V118" s="44"/>
      <c r="W118" s="44"/>
      <c r="X118" s="44"/>
      <c r="Z118" s="44"/>
    </row>
    <row r="119">
      <c r="A119" s="16"/>
      <c r="B119" s="16"/>
      <c r="C119" s="57"/>
      <c r="E119" s="16"/>
      <c r="F119" s="16"/>
      <c r="G119" s="16"/>
      <c r="H119" s="16"/>
      <c r="I119" s="16"/>
      <c r="J119" s="16"/>
      <c r="K119" s="16"/>
      <c r="L119" s="16"/>
      <c r="M119" s="16"/>
      <c r="N119" s="5" t="s">
        <v>112</v>
      </c>
      <c r="O119" s="16" t="str">
        <f t="shared" si="1"/>
        <v>#</v>
      </c>
      <c r="P119" s="16" t="str">
        <f t="shared" si="2"/>
        <v>#videoGame</v>
      </c>
      <c r="R119" s="16" t="str">
        <f>"("""&amp;C119&amp;""") ("&amp;Vlookup(E119,DropDown!B:C,2,FALSE)&amp; " OR ""Video Game"" OR Playstation OR iOS OR PS4 OR PS5 OR Xbox OR Switch OR Swtich 2 OR PC)"</f>
        <v>#N/A</v>
      </c>
      <c r="S119" s="44" t="str">
        <f>"("""&amp;C119&amp;""") ("&amp;Vlookup(E119,DropDown!K:L,2,FALSE)&amp; " | ""Video Game"" | Playstation | iOS | PS4 | PS5 | Xbox | Switch | Switch 2 | PC)"</f>
        <v>#N/A</v>
      </c>
      <c r="T119" s="44"/>
      <c r="U119" s="44"/>
      <c r="V119" s="44"/>
      <c r="W119" s="44"/>
      <c r="X119" s="44"/>
      <c r="Z119" s="44"/>
    </row>
    <row r="120">
      <c r="A120" s="16"/>
      <c r="B120" s="16"/>
      <c r="C120" s="57"/>
      <c r="E120" s="16"/>
      <c r="F120" s="16"/>
      <c r="G120" s="16"/>
      <c r="H120" s="16"/>
      <c r="I120" s="16"/>
      <c r="J120" s="16"/>
      <c r="K120" s="16"/>
      <c r="L120" s="16"/>
      <c r="M120" s="16"/>
      <c r="N120" s="5" t="s">
        <v>112</v>
      </c>
      <c r="O120" s="16" t="str">
        <f t="shared" si="1"/>
        <v>#</v>
      </c>
      <c r="P120" s="16" t="str">
        <f t="shared" si="2"/>
        <v>#videoGame</v>
      </c>
      <c r="R120" s="16" t="str">
        <f>"("""&amp;C120&amp;""") ("&amp;Vlookup(E120,DropDown!B:C,2,FALSE)&amp; " OR ""Video Game"" OR Playstation OR iOS OR PS4 OR PS5 OR Xbox OR Switch OR Swtich 2 OR PC)"</f>
        <v>#N/A</v>
      </c>
      <c r="S120" s="44" t="str">
        <f>"("""&amp;C120&amp;""") ("&amp;Vlookup(E120,DropDown!K:L,2,FALSE)&amp; " | ""Video Game"" | Playstation | iOS | PS4 | PS5 | Xbox | Switch | Switch 2 | PC)"</f>
        <v>#N/A</v>
      </c>
      <c r="T120" s="44"/>
      <c r="U120" s="44"/>
      <c r="V120" s="44"/>
      <c r="W120" s="44"/>
      <c r="X120" s="44"/>
      <c r="Z120" s="44"/>
    </row>
    <row r="121">
      <c r="A121" s="16"/>
      <c r="B121" s="16"/>
      <c r="C121" s="57"/>
      <c r="E121" s="16"/>
      <c r="F121" s="16"/>
      <c r="G121" s="16"/>
      <c r="H121" s="16"/>
      <c r="I121" s="16"/>
      <c r="J121" s="16"/>
      <c r="K121" s="16"/>
      <c r="L121" s="16"/>
      <c r="M121" s="16"/>
      <c r="N121" s="5" t="s">
        <v>112</v>
      </c>
      <c r="O121" s="16" t="str">
        <f t="shared" si="1"/>
        <v>#</v>
      </c>
      <c r="P121" s="16" t="str">
        <f t="shared" si="2"/>
        <v>#videoGame</v>
      </c>
      <c r="R121" s="16" t="str">
        <f>"("""&amp;C121&amp;""") ("&amp;Vlookup(E121,DropDown!B:C,2,FALSE)&amp; " OR ""Video Game"" OR Playstation OR iOS OR PS4 OR PS5 OR Xbox OR Switch OR Swtich 2 OR PC)"</f>
        <v>#N/A</v>
      </c>
      <c r="S121" s="44" t="str">
        <f>"("""&amp;C121&amp;""") ("&amp;Vlookup(E121,DropDown!K:L,2,FALSE)&amp; " | ""Video Game"" | Playstation | iOS | PS4 | PS5 | Xbox | Switch | Switch 2 | PC)"</f>
        <v>#N/A</v>
      </c>
      <c r="T121" s="44"/>
      <c r="U121" s="44"/>
      <c r="V121" s="44"/>
      <c r="W121" s="44"/>
      <c r="X121" s="44"/>
      <c r="Z121" s="44"/>
    </row>
    <row r="122">
      <c r="A122" s="16"/>
      <c r="B122" s="16"/>
      <c r="C122" s="57"/>
      <c r="E122" s="16"/>
      <c r="F122" s="16"/>
      <c r="G122" s="16"/>
      <c r="H122" s="16"/>
      <c r="I122" s="16"/>
      <c r="J122" s="16"/>
      <c r="K122" s="16"/>
      <c r="L122" s="16"/>
      <c r="M122" s="16"/>
      <c r="N122" s="5" t="s">
        <v>112</v>
      </c>
      <c r="O122" s="16" t="str">
        <f t="shared" si="1"/>
        <v>#</v>
      </c>
      <c r="P122" s="16" t="str">
        <f t="shared" si="2"/>
        <v>#videoGame</v>
      </c>
      <c r="R122" s="16" t="str">
        <f>"("""&amp;C122&amp;""") ("&amp;Vlookup(E122,DropDown!B:C,2,FALSE)&amp; " OR ""Video Game"" OR Playstation OR iOS OR PS4 OR PS5 OR Xbox OR Switch OR Swtich 2 OR PC)"</f>
        <v>#N/A</v>
      </c>
      <c r="S122" s="44" t="str">
        <f>"("""&amp;C122&amp;""") ("&amp;Vlookup(E122,DropDown!K:L,2,FALSE)&amp; " | ""Video Game"" | Playstation | iOS | PS4 | PS5 | Xbox | Switch | Switch 2 | PC)"</f>
        <v>#N/A</v>
      </c>
      <c r="T122" s="44"/>
      <c r="U122" s="44"/>
      <c r="V122" s="44"/>
      <c r="W122" s="44"/>
      <c r="X122" s="44"/>
      <c r="Z122" s="44"/>
    </row>
    <row r="123">
      <c r="A123" s="16"/>
      <c r="B123" s="16"/>
      <c r="C123" s="57"/>
      <c r="E123" s="16"/>
      <c r="F123" s="16"/>
      <c r="G123" s="16"/>
      <c r="H123" s="16"/>
      <c r="I123" s="16"/>
      <c r="J123" s="16"/>
      <c r="K123" s="16"/>
      <c r="L123" s="16"/>
      <c r="M123" s="16"/>
      <c r="N123" s="5" t="s">
        <v>112</v>
      </c>
      <c r="O123" s="16" t="str">
        <f t="shared" si="1"/>
        <v>#</v>
      </c>
      <c r="P123" s="16" t="str">
        <f t="shared" si="2"/>
        <v>#videoGame</v>
      </c>
      <c r="R123" s="16" t="str">
        <f>"("""&amp;C123&amp;""") ("&amp;Vlookup(E123,DropDown!B:C,2,FALSE)&amp; " OR ""Video Game"" OR Playstation OR iOS OR PS4 OR PS5 OR Xbox OR Switch OR Swtich 2 OR PC)"</f>
        <v>#N/A</v>
      </c>
      <c r="S123" s="44" t="str">
        <f>"("""&amp;C123&amp;""") ("&amp;Vlookup(E123,DropDown!K:L,2,FALSE)&amp; " | ""Video Game"" | Playstation | iOS | PS4 | PS5 | Xbox | Switch | Switch 2 | PC)"</f>
        <v>#N/A</v>
      </c>
      <c r="T123" s="44"/>
      <c r="U123" s="44"/>
      <c r="V123" s="44"/>
      <c r="W123" s="44"/>
      <c r="X123" s="44"/>
      <c r="Z123" s="44"/>
    </row>
    <row r="124">
      <c r="A124" s="16"/>
      <c r="B124" s="16"/>
      <c r="C124" s="57"/>
      <c r="E124" s="16"/>
      <c r="F124" s="16"/>
      <c r="G124" s="16"/>
      <c r="H124" s="16"/>
      <c r="I124" s="16"/>
      <c r="J124" s="16"/>
      <c r="K124" s="16"/>
      <c r="L124" s="16"/>
      <c r="M124" s="16"/>
      <c r="N124" s="5" t="s">
        <v>112</v>
      </c>
      <c r="O124" s="16" t="str">
        <f t="shared" si="1"/>
        <v>#</v>
      </c>
      <c r="P124" s="16" t="str">
        <f t="shared" si="2"/>
        <v>#videoGame</v>
      </c>
      <c r="R124" s="16" t="str">
        <f>"("""&amp;C124&amp;""") ("&amp;Vlookup(E124,DropDown!B:C,2,FALSE)&amp; " OR ""Video Game"" OR Playstation OR iOS OR PS4 OR PS5 OR Xbox OR Switch OR Swtich 2 OR PC)"</f>
        <v>#N/A</v>
      </c>
      <c r="S124" s="44" t="str">
        <f>"("""&amp;C124&amp;""") ("&amp;Vlookup(E124,DropDown!K:L,2,FALSE)&amp; " | ""Video Game"" | Playstation | iOS | PS4 | PS5 | Xbox | Switch | Switch 2 | PC)"</f>
        <v>#N/A</v>
      </c>
      <c r="T124" s="44"/>
      <c r="U124" s="44"/>
      <c r="V124" s="44"/>
      <c r="W124" s="44"/>
      <c r="X124" s="44"/>
      <c r="Z124" s="44"/>
    </row>
    <row r="125">
      <c r="A125" s="16"/>
      <c r="B125" s="16"/>
      <c r="C125" s="57"/>
      <c r="E125" s="16"/>
      <c r="F125" s="16"/>
      <c r="G125" s="16"/>
      <c r="H125" s="16"/>
      <c r="I125" s="16"/>
      <c r="J125" s="16"/>
      <c r="K125" s="16"/>
      <c r="L125" s="16"/>
      <c r="M125" s="16"/>
      <c r="N125" s="5" t="s">
        <v>112</v>
      </c>
      <c r="O125" s="16" t="str">
        <f t="shared" si="1"/>
        <v>#</v>
      </c>
      <c r="P125" s="16" t="str">
        <f t="shared" si="2"/>
        <v>#videoGame</v>
      </c>
      <c r="R125" s="16" t="str">
        <f>"("""&amp;C125&amp;""") ("&amp;Vlookup(E125,DropDown!B:C,2,FALSE)&amp; " OR ""Video Game"" OR Playstation OR iOS OR PS4 OR PS5 OR Xbox OR Switch OR Swtich 2 OR PC)"</f>
        <v>#N/A</v>
      </c>
      <c r="S125" s="44" t="str">
        <f>"("""&amp;C125&amp;""") ("&amp;Vlookup(E125,DropDown!K:L,2,FALSE)&amp; " | ""Video Game"" | Playstation | iOS | PS4 | PS5 | Xbox | Switch | Switch 2 | PC)"</f>
        <v>#N/A</v>
      </c>
      <c r="T125" s="44"/>
      <c r="U125" s="44"/>
      <c r="V125" s="44"/>
      <c r="W125" s="44"/>
      <c r="X125" s="44"/>
      <c r="Z125" s="44"/>
    </row>
    <row r="126">
      <c r="A126" s="16"/>
      <c r="B126" s="16"/>
      <c r="C126" s="57"/>
      <c r="E126" s="16"/>
      <c r="F126" s="16"/>
      <c r="G126" s="16"/>
      <c r="H126" s="16"/>
      <c r="I126" s="16"/>
      <c r="J126" s="16"/>
      <c r="K126" s="16"/>
      <c r="L126" s="16"/>
      <c r="M126" s="16"/>
      <c r="N126" s="5" t="s">
        <v>112</v>
      </c>
      <c r="O126" s="16" t="str">
        <f t="shared" si="1"/>
        <v>#</v>
      </c>
      <c r="P126" s="16" t="str">
        <f t="shared" si="2"/>
        <v>#videoGame</v>
      </c>
      <c r="R126" s="16" t="str">
        <f>"("""&amp;C126&amp;""") ("&amp;Vlookup(E126,DropDown!B:C,2,FALSE)&amp; " OR ""Video Game"" OR Playstation OR iOS OR PS4 OR PS5 OR Xbox OR Switch OR Swtich 2 OR PC)"</f>
        <v>#N/A</v>
      </c>
      <c r="S126" s="44" t="str">
        <f>"("""&amp;C126&amp;""") ("&amp;Vlookup(E126,DropDown!K:L,2,FALSE)&amp; " | ""Video Game"" | Playstation | iOS | PS4 | PS5 | Xbox | Switch | Switch 2 | PC)"</f>
        <v>#N/A</v>
      </c>
      <c r="T126" s="44"/>
      <c r="U126" s="44"/>
      <c r="V126" s="44"/>
      <c r="W126" s="44"/>
      <c r="X126" s="44"/>
      <c r="Z126" s="44"/>
    </row>
    <row r="127">
      <c r="A127" s="16"/>
      <c r="B127" s="16"/>
      <c r="C127" s="57"/>
      <c r="E127" s="16"/>
      <c r="F127" s="16"/>
      <c r="G127" s="16"/>
      <c r="H127" s="16"/>
      <c r="I127" s="16"/>
      <c r="J127" s="16"/>
      <c r="K127" s="16"/>
      <c r="L127" s="16"/>
      <c r="M127" s="16"/>
      <c r="N127" s="5" t="s">
        <v>112</v>
      </c>
      <c r="O127" s="16" t="str">
        <f t="shared" si="1"/>
        <v>#</v>
      </c>
      <c r="P127" s="16" t="str">
        <f t="shared" si="2"/>
        <v>#videoGame</v>
      </c>
      <c r="R127" s="16" t="str">
        <f>"("""&amp;C127&amp;""") ("&amp;Vlookup(E127,DropDown!B:C,2,FALSE)&amp; " OR ""Video Game"" OR Playstation OR iOS OR PS4 OR PS5 OR Xbox OR Switch OR Swtich 2 OR PC)"</f>
        <v>#N/A</v>
      </c>
      <c r="S127" s="44" t="str">
        <f>"("""&amp;C127&amp;""") ("&amp;Vlookup(E127,DropDown!K:L,2,FALSE)&amp; " | ""Video Game"" | Playstation | iOS | PS4 | PS5 | Xbox | Switch | Switch 2 | PC)"</f>
        <v>#N/A</v>
      </c>
      <c r="T127" s="44"/>
      <c r="U127" s="44"/>
      <c r="V127" s="44"/>
      <c r="W127" s="44"/>
      <c r="X127" s="44"/>
      <c r="Z127" s="44"/>
    </row>
    <row r="128">
      <c r="A128" s="16"/>
      <c r="B128" s="16"/>
      <c r="C128" s="57"/>
      <c r="E128" s="16"/>
      <c r="F128" s="16"/>
      <c r="G128" s="16"/>
      <c r="H128" s="16"/>
      <c r="I128" s="16"/>
      <c r="J128" s="16"/>
      <c r="K128" s="16"/>
      <c r="L128" s="16"/>
      <c r="M128" s="16"/>
      <c r="N128" s="5" t="s">
        <v>112</v>
      </c>
      <c r="O128" s="16" t="str">
        <f t="shared" si="1"/>
        <v>#</v>
      </c>
      <c r="P128" s="16" t="str">
        <f t="shared" si="2"/>
        <v>#videoGame</v>
      </c>
      <c r="R128" s="16" t="str">
        <f>"("""&amp;C128&amp;""") ("&amp;Vlookup(E128,DropDown!B:C,2,FALSE)&amp; " OR ""Video Game"" OR Playstation OR iOS OR PS4 OR PS5 OR Xbox OR Switch OR Swtich 2 OR PC)"</f>
        <v>#N/A</v>
      </c>
      <c r="S128" s="44" t="str">
        <f>"("""&amp;C128&amp;""") ("&amp;Vlookup(E128,DropDown!K:L,2,FALSE)&amp; " | ""Video Game"" | Playstation | iOS | PS4 | PS5 | Xbox | Switch | Switch 2 | PC)"</f>
        <v>#N/A</v>
      </c>
      <c r="T128" s="44"/>
      <c r="U128" s="44"/>
      <c r="V128" s="44"/>
      <c r="W128" s="44"/>
      <c r="X128" s="44"/>
      <c r="Z128" s="44"/>
    </row>
    <row r="129">
      <c r="A129" s="16"/>
      <c r="B129" s="16"/>
      <c r="C129" s="57"/>
      <c r="E129" s="16"/>
      <c r="F129" s="16"/>
      <c r="G129" s="16"/>
      <c r="H129" s="16"/>
      <c r="I129" s="16"/>
      <c r="J129" s="16"/>
      <c r="K129" s="16"/>
      <c r="L129" s="16"/>
      <c r="M129" s="16"/>
      <c r="N129" s="5" t="s">
        <v>112</v>
      </c>
      <c r="O129" s="16" t="str">
        <f t="shared" si="1"/>
        <v>#</v>
      </c>
      <c r="P129" s="16" t="str">
        <f t="shared" si="2"/>
        <v>#videoGame</v>
      </c>
      <c r="R129" s="16" t="str">
        <f>"("""&amp;C129&amp;""") ("&amp;Vlookup(E129,DropDown!B:C,2,FALSE)&amp; " OR ""Video Game"" OR Playstation OR iOS OR PS4 OR PS5 OR Xbox OR Switch OR Swtich 2 OR PC)"</f>
        <v>#N/A</v>
      </c>
      <c r="S129" s="44" t="str">
        <f>"("""&amp;C129&amp;""") ("&amp;Vlookup(E129,DropDown!K:L,2,FALSE)&amp; " | ""Video Game"" | Playstation | iOS | PS4 | PS5 | Xbox | Switch | Switch 2 | PC)"</f>
        <v>#N/A</v>
      </c>
      <c r="T129" s="44"/>
      <c r="U129" s="44"/>
      <c r="V129" s="44"/>
      <c r="W129" s="44"/>
      <c r="X129" s="44"/>
      <c r="Z129" s="44"/>
    </row>
    <row r="130">
      <c r="A130" s="16"/>
      <c r="B130" s="16"/>
      <c r="C130" s="57"/>
      <c r="E130" s="16"/>
      <c r="F130" s="16"/>
      <c r="G130" s="16"/>
      <c r="H130" s="16"/>
      <c r="I130" s="16"/>
      <c r="J130" s="16"/>
      <c r="K130" s="16"/>
      <c r="L130" s="16"/>
      <c r="M130" s="16"/>
      <c r="N130" s="5" t="s">
        <v>112</v>
      </c>
      <c r="O130" s="16" t="str">
        <f t="shared" si="1"/>
        <v>#</v>
      </c>
      <c r="P130" s="16" t="str">
        <f t="shared" si="2"/>
        <v>#videoGame</v>
      </c>
      <c r="R130" s="16" t="str">
        <f>"("""&amp;C130&amp;""") ("&amp;Vlookup(E130,DropDown!B:C,2,FALSE)&amp; " OR ""Video Game"" OR Playstation OR iOS OR PS4 OR PS5 OR Xbox OR Switch OR Swtich 2 OR PC)"</f>
        <v>#N/A</v>
      </c>
      <c r="S130" s="44" t="str">
        <f>"("""&amp;C130&amp;""") ("&amp;Vlookup(E130,DropDown!K:L,2,FALSE)&amp; " | ""Video Game"" | Playstation | iOS | PS4 | PS5 | Xbox | Switch | Switch 2 | PC)"</f>
        <v>#N/A</v>
      </c>
      <c r="T130" s="44"/>
      <c r="U130" s="44"/>
      <c r="V130" s="44"/>
      <c r="W130" s="44"/>
      <c r="X130" s="44"/>
      <c r="Z130" s="44"/>
    </row>
    <row r="131">
      <c r="A131" s="16"/>
      <c r="B131" s="16"/>
      <c r="C131" s="57"/>
      <c r="E131" s="16"/>
      <c r="F131" s="16"/>
      <c r="G131" s="16"/>
      <c r="H131" s="16"/>
      <c r="I131" s="16"/>
      <c r="J131" s="16"/>
      <c r="K131" s="16"/>
      <c r="L131" s="16"/>
      <c r="M131" s="16"/>
      <c r="N131" s="5" t="s">
        <v>112</v>
      </c>
      <c r="O131" s="16" t="str">
        <f t="shared" si="1"/>
        <v>#</v>
      </c>
      <c r="P131" s="16" t="str">
        <f t="shared" si="2"/>
        <v>#videoGame</v>
      </c>
      <c r="R131" s="16" t="str">
        <f>"("""&amp;C131&amp;""") ("&amp;Vlookup(E131,DropDown!B:C,2,FALSE)&amp; " OR ""Video Game"" OR Playstation OR iOS OR PS4 OR PS5 OR Xbox OR Switch OR Swtich 2 OR PC)"</f>
        <v>#N/A</v>
      </c>
      <c r="S131" s="44" t="str">
        <f>"("""&amp;C131&amp;""") ("&amp;Vlookup(E131,DropDown!K:L,2,FALSE)&amp; " | ""Video Game"" | Playstation | iOS | PS4 | PS5 | Xbox | Switch | Switch 2 | PC)"</f>
        <v>#N/A</v>
      </c>
      <c r="T131" s="44"/>
      <c r="U131" s="44"/>
      <c r="V131" s="44"/>
      <c r="W131" s="44"/>
      <c r="X131" s="44"/>
      <c r="Z131" s="44"/>
    </row>
    <row r="132">
      <c r="A132" s="16"/>
      <c r="B132" s="16"/>
      <c r="C132" s="57"/>
      <c r="E132" s="16"/>
      <c r="F132" s="16"/>
      <c r="G132" s="16"/>
      <c r="H132" s="16"/>
      <c r="I132" s="16"/>
      <c r="J132" s="16"/>
      <c r="K132" s="16"/>
      <c r="L132" s="16"/>
      <c r="M132" s="16"/>
      <c r="N132" s="5" t="s">
        <v>112</v>
      </c>
      <c r="O132" s="16" t="str">
        <f t="shared" si="1"/>
        <v>#</v>
      </c>
      <c r="P132" s="16" t="str">
        <f t="shared" si="2"/>
        <v>#videoGame</v>
      </c>
      <c r="R132" s="16" t="str">
        <f>"("""&amp;C132&amp;""") ("&amp;Vlookup(E132,DropDown!B:C,2,FALSE)&amp; " OR ""Video Game"" OR Playstation OR iOS OR PS4 OR PS5 OR Xbox OR Switch OR Swtich 2 OR PC)"</f>
        <v>#N/A</v>
      </c>
      <c r="S132" s="44" t="str">
        <f>"("""&amp;C132&amp;""") ("&amp;Vlookup(E132,DropDown!K:L,2,FALSE)&amp; " | ""Video Game"" | Playstation | iOS | PS4 | PS5 | Xbox | Switch | Switch 2 | PC)"</f>
        <v>#N/A</v>
      </c>
      <c r="T132" s="44"/>
      <c r="U132" s="44"/>
      <c r="V132" s="44"/>
      <c r="W132" s="44"/>
      <c r="X132" s="44"/>
      <c r="Z132" s="44"/>
    </row>
    <row r="133">
      <c r="A133" s="16"/>
      <c r="B133" s="16"/>
      <c r="C133" s="57"/>
      <c r="E133" s="16"/>
      <c r="F133" s="16"/>
      <c r="G133" s="16"/>
      <c r="H133" s="16"/>
      <c r="I133" s="16"/>
      <c r="J133" s="16"/>
      <c r="K133" s="16"/>
      <c r="L133" s="16"/>
      <c r="M133" s="16"/>
      <c r="N133" s="5" t="s">
        <v>112</v>
      </c>
      <c r="O133" s="16" t="str">
        <f t="shared" si="1"/>
        <v>#</v>
      </c>
      <c r="P133" s="16" t="str">
        <f t="shared" si="2"/>
        <v>#videoGame</v>
      </c>
      <c r="R133" s="16" t="str">
        <f>"("""&amp;C133&amp;""") ("&amp;Vlookup(E133,DropDown!B:C,2,FALSE)&amp; " OR ""Video Game"" OR Playstation OR iOS OR PS4 OR PS5 OR Xbox OR Switch OR Swtich 2 OR PC)"</f>
        <v>#N/A</v>
      </c>
      <c r="S133" s="44" t="str">
        <f>"("""&amp;C133&amp;""") ("&amp;Vlookup(E133,DropDown!K:L,2,FALSE)&amp; " | ""Video Game"" | Playstation | iOS | PS4 | PS5 | Xbox | Switch | Switch 2 | PC)"</f>
        <v>#N/A</v>
      </c>
      <c r="T133" s="44"/>
      <c r="U133" s="44"/>
      <c r="V133" s="44"/>
      <c r="W133" s="44"/>
      <c r="X133" s="44"/>
      <c r="Z133" s="44"/>
    </row>
    <row r="134">
      <c r="A134" s="16"/>
      <c r="B134" s="16"/>
      <c r="C134" s="57"/>
      <c r="E134" s="16"/>
      <c r="F134" s="16"/>
      <c r="G134" s="16"/>
      <c r="H134" s="16"/>
      <c r="I134" s="16"/>
      <c r="J134" s="16"/>
      <c r="K134" s="16"/>
      <c r="L134" s="16"/>
      <c r="M134" s="16"/>
      <c r="N134" s="5" t="s">
        <v>112</v>
      </c>
      <c r="O134" s="16" t="str">
        <f t="shared" si="1"/>
        <v>#</v>
      </c>
      <c r="P134" s="16" t="str">
        <f t="shared" si="2"/>
        <v>#videoGame</v>
      </c>
      <c r="R134" s="16" t="str">
        <f>"("""&amp;C134&amp;""") ("&amp;Vlookup(E134,DropDown!B:C,2,FALSE)&amp; " OR ""Video Game"" OR Playstation OR iOS OR PS4 OR PS5 OR Xbox OR Switch OR Swtich 2 OR PC)"</f>
        <v>#N/A</v>
      </c>
      <c r="S134" s="44" t="str">
        <f>"("""&amp;C134&amp;""") ("&amp;Vlookup(E134,DropDown!K:L,2,FALSE)&amp; " | ""Video Game"" | Playstation | iOS | PS4 | PS5 | Xbox | Switch | Switch 2 | PC)"</f>
        <v>#N/A</v>
      </c>
      <c r="T134" s="44"/>
      <c r="U134" s="44"/>
      <c r="V134" s="44"/>
      <c r="W134" s="44"/>
      <c r="X134" s="44"/>
      <c r="Z134" s="44"/>
    </row>
    <row r="135">
      <c r="A135" s="16"/>
      <c r="B135" s="16"/>
      <c r="C135" s="57"/>
      <c r="E135" s="16"/>
      <c r="F135" s="16"/>
      <c r="G135" s="16"/>
      <c r="H135" s="16"/>
      <c r="I135" s="16"/>
      <c r="J135" s="16"/>
      <c r="K135" s="16"/>
      <c r="L135" s="16"/>
      <c r="M135" s="16"/>
      <c r="N135" s="5" t="s">
        <v>112</v>
      </c>
      <c r="O135" s="16" t="str">
        <f t="shared" si="1"/>
        <v>#</v>
      </c>
      <c r="P135" s="16" t="str">
        <f t="shared" si="2"/>
        <v>#videoGame</v>
      </c>
      <c r="R135" s="16" t="str">
        <f>"("""&amp;C135&amp;""") ("&amp;Vlookup(E135,DropDown!B:C,2,FALSE)&amp; " OR ""Video Game"" OR Playstation OR iOS OR PS4 OR PS5 OR Xbox OR Switch OR Swtich 2 OR PC)"</f>
        <v>#N/A</v>
      </c>
      <c r="S135" s="44" t="str">
        <f>"("""&amp;C135&amp;""") ("&amp;Vlookup(E135,DropDown!K:L,2,FALSE)&amp; " | ""Video Game"" | Playstation | iOS | PS4 | PS5 | Xbox | Switch | Switch 2 | PC)"</f>
        <v>#N/A</v>
      </c>
      <c r="T135" s="44"/>
      <c r="U135" s="44"/>
      <c r="V135" s="44"/>
      <c r="W135" s="44"/>
      <c r="X135" s="44"/>
      <c r="Z135" s="44"/>
    </row>
    <row r="136">
      <c r="A136" s="16"/>
      <c r="B136" s="16"/>
      <c r="C136" s="57"/>
      <c r="E136" s="16"/>
      <c r="F136" s="16"/>
      <c r="G136" s="16"/>
      <c r="H136" s="16"/>
      <c r="I136" s="16"/>
      <c r="J136" s="16"/>
      <c r="K136" s="16"/>
      <c r="L136" s="16"/>
      <c r="M136" s="16"/>
      <c r="N136" s="5" t="s">
        <v>112</v>
      </c>
      <c r="O136" s="16" t="str">
        <f t="shared" si="1"/>
        <v>#</v>
      </c>
      <c r="P136" s="16" t="str">
        <f t="shared" si="2"/>
        <v>#videoGame</v>
      </c>
      <c r="R136" s="16" t="str">
        <f>"("""&amp;C136&amp;""") ("&amp;Vlookup(E136,DropDown!B:C,2,FALSE)&amp; " OR ""Video Game"" OR Playstation OR iOS OR PS4 OR PS5 OR Xbox OR Switch OR Swtich 2 OR PC)"</f>
        <v>#N/A</v>
      </c>
      <c r="S136" s="44" t="str">
        <f>"("""&amp;C136&amp;""") ("&amp;Vlookup(E136,DropDown!K:L,2,FALSE)&amp; " | ""Video Game"" | Playstation | iOS | PS4 | PS5 | Xbox | Switch | Switch 2 | PC)"</f>
        <v>#N/A</v>
      </c>
      <c r="T136" s="44"/>
      <c r="U136" s="44"/>
      <c r="V136" s="44"/>
      <c r="W136" s="44"/>
      <c r="X136" s="44"/>
      <c r="Z136" s="44"/>
    </row>
    <row r="137">
      <c r="A137" s="16"/>
      <c r="B137" s="16"/>
      <c r="C137" s="57"/>
      <c r="E137" s="16"/>
      <c r="F137" s="16"/>
      <c r="G137" s="16"/>
      <c r="H137" s="16"/>
      <c r="I137" s="16"/>
      <c r="J137" s="16"/>
      <c r="K137" s="16"/>
      <c r="L137" s="16"/>
      <c r="M137" s="16"/>
      <c r="N137" s="5" t="s">
        <v>112</v>
      </c>
      <c r="O137" s="16" t="str">
        <f t="shared" si="1"/>
        <v>#</v>
      </c>
      <c r="P137" s="16" t="str">
        <f t="shared" si="2"/>
        <v>#videoGame</v>
      </c>
      <c r="R137" s="16" t="str">
        <f>"("""&amp;C137&amp;""") ("&amp;Vlookup(E137,DropDown!B:C,2,FALSE)&amp; " OR ""Video Game"" OR Playstation OR iOS OR PS4 OR PS5 OR Xbox OR Switch OR Swtich 2 OR PC)"</f>
        <v>#N/A</v>
      </c>
      <c r="S137" s="44" t="str">
        <f>"("""&amp;C137&amp;""") ("&amp;Vlookup(E137,DropDown!K:L,2,FALSE)&amp; " | ""Video Game"" | Playstation | iOS | PS4 | PS5 | Xbox | Switch | Switch 2 | PC)"</f>
        <v>#N/A</v>
      </c>
      <c r="T137" s="44"/>
      <c r="U137" s="44"/>
      <c r="V137" s="44"/>
      <c r="W137" s="44"/>
      <c r="X137" s="44"/>
      <c r="Z137" s="44"/>
    </row>
    <row r="138">
      <c r="A138" s="16"/>
      <c r="B138" s="16"/>
      <c r="C138" s="57"/>
      <c r="E138" s="16"/>
      <c r="F138" s="16"/>
      <c r="G138" s="16"/>
      <c r="H138" s="16"/>
      <c r="I138" s="16"/>
      <c r="J138" s="16"/>
      <c r="K138" s="16"/>
      <c r="L138" s="16"/>
      <c r="M138" s="16"/>
      <c r="N138" s="5" t="s">
        <v>112</v>
      </c>
      <c r="O138" s="16" t="str">
        <f t="shared" si="1"/>
        <v>#</v>
      </c>
      <c r="P138" s="16" t="str">
        <f t="shared" si="2"/>
        <v>#videoGame</v>
      </c>
      <c r="R138" s="16" t="str">
        <f>"("""&amp;C138&amp;""") ("&amp;Vlookup(E138,DropDown!B:C,2,FALSE)&amp; " OR ""Video Game"" OR Playstation OR iOS OR PS4 OR PS5 OR Xbox OR Switch OR Swtich 2 OR PC)"</f>
        <v>#N/A</v>
      </c>
      <c r="S138" s="44" t="str">
        <f>"("""&amp;C138&amp;""") ("&amp;Vlookup(E138,DropDown!K:L,2,FALSE)&amp; " | ""Video Game"" | Playstation | iOS | PS4 | PS5 | Xbox | Switch | Switch 2 | PC)"</f>
        <v>#N/A</v>
      </c>
      <c r="T138" s="44"/>
      <c r="U138" s="44"/>
      <c r="V138" s="44"/>
      <c r="W138" s="44"/>
      <c r="X138" s="44"/>
      <c r="Z138" s="44"/>
    </row>
    <row r="139">
      <c r="A139" s="16"/>
      <c r="B139" s="16"/>
      <c r="C139" s="57"/>
      <c r="E139" s="16"/>
      <c r="F139" s="16"/>
      <c r="G139" s="16"/>
      <c r="H139" s="16"/>
      <c r="I139" s="16"/>
      <c r="J139" s="16"/>
      <c r="K139" s="16"/>
      <c r="L139" s="16"/>
      <c r="M139" s="16"/>
      <c r="N139" s="5" t="s">
        <v>112</v>
      </c>
      <c r="O139" s="16" t="str">
        <f t="shared" si="1"/>
        <v>#</v>
      </c>
      <c r="P139" s="16" t="str">
        <f t="shared" si="2"/>
        <v>#videoGame</v>
      </c>
      <c r="R139" s="16" t="str">
        <f>"("""&amp;C139&amp;""") ("&amp;Vlookup(E139,DropDown!B:C,2,FALSE)&amp; " OR ""Video Game"" OR Playstation OR iOS OR PS4 OR PS5 OR Xbox OR Switch OR Swtich 2 OR PC)"</f>
        <v>#N/A</v>
      </c>
      <c r="S139" s="44" t="str">
        <f>"("""&amp;C139&amp;""") ("&amp;Vlookup(E139,DropDown!K:L,2,FALSE)&amp; " | ""Video Game"" | Playstation | iOS | PS4 | PS5 | Xbox | Switch | Switch 2 | PC)"</f>
        <v>#N/A</v>
      </c>
      <c r="T139" s="44"/>
      <c r="U139" s="44"/>
      <c r="V139" s="44"/>
      <c r="W139" s="44"/>
      <c r="X139" s="44"/>
      <c r="Z139" s="44"/>
    </row>
    <row r="140">
      <c r="A140" s="16"/>
      <c r="B140" s="16"/>
      <c r="C140" s="57"/>
      <c r="E140" s="16"/>
      <c r="F140" s="16"/>
      <c r="G140" s="16"/>
      <c r="H140" s="16"/>
      <c r="I140" s="16"/>
      <c r="J140" s="16"/>
      <c r="K140" s="16"/>
      <c r="L140" s="16"/>
      <c r="M140" s="16"/>
      <c r="N140" s="5" t="s">
        <v>112</v>
      </c>
      <c r="O140" s="16" t="str">
        <f t="shared" si="1"/>
        <v>#</v>
      </c>
      <c r="P140" s="16" t="str">
        <f t="shared" si="2"/>
        <v>#videoGame</v>
      </c>
      <c r="R140" s="16" t="str">
        <f>"("""&amp;C140&amp;""") ("&amp;Vlookup(E140,DropDown!B:C,2,FALSE)&amp; " OR ""Video Game"" OR Playstation OR iOS OR PS4 OR PS5 OR Xbox OR Switch OR Swtich 2 OR PC)"</f>
        <v>#N/A</v>
      </c>
      <c r="S140" s="44" t="str">
        <f>"("""&amp;C140&amp;""") ("&amp;Vlookup(E140,DropDown!K:L,2,FALSE)&amp; " | ""Video Game"" | Playstation | iOS | PS4 | PS5 | Xbox | Switch | Switch 2 | PC)"</f>
        <v>#N/A</v>
      </c>
      <c r="T140" s="44"/>
      <c r="U140" s="44"/>
      <c r="V140" s="44"/>
      <c r="W140" s="44"/>
      <c r="X140" s="44"/>
      <c r="Z140" s="44"/>
    </row>
    <row r="141">
      <c r="A141" s="16"/>
      <c r="B141" s="16"/>
      <c r="C141" s="57"/>
      <c r="E141" s="16"/>
      <c r="F141" s="16"/>
      <c r="G141" s="16"/>
      <c r="H141" s="16"/>
      <c r="I141" s="16"/>
      <c r="J141" s="16"/>
      <c r="K141" s="16"/>
      <c r="L141" s="16"/>
      <c r="M141" s="16"/>
      <c r="N141" s="5" t="s">
        <v>112</v>
      </c>
      <c r="O141" s="16" t="str">
        <f t="shared" si="1"/>
        <v>#</v>
      </c>
      <c r="P141" s="16" t="str">
        <f t="shared" si="2"/>
        <v>#videoGame</v>
      </c>
      <c r="R141" s="16" t="str">
        <f>"("""&amp;C141&amp;""") ("&amp;Vlookup(E141,DropDown!B:C,2,FALSE)&amp; " OR ""Video Game"" OR Playstation OR iOS OR PS4 OR PS5 OR Xbox OR Switch OR Swtich 2 OR PC)"</f>
        <v>#N/A</v>
      </c>
      <c r="S141" s="44" t="str">
        <f>"("""&amp;C141&amp;""") ("&amp;Vlookup(E141,DropDown!K:L,2,FALSE)&amp; " | ""Video Game"" | Playstation | iOS | PS4 | PS5 | Xbox | Switch | Switch 2 | PC)"</f>
        <v>#N/A</v>
      </c>
      <c r="T141" s="44"/>
      <c r="U141" s="44"/>
      <c r="V141" s="44"/>
      <c r="W141" s="44"/>
      <c r="X141" s="44"/>
      <c r="Z141" s="44"/>
    </row>
    <row r="142">
      <c r="A142" s="16"/>
      <c r="B142" s="16"/>
      <c r="C142" s="57"/>
      <c r="E142" s="16"/>
      <c r="F142" s="16"/>
      <c r="G142" s="16"/>
      <c r="H142" s="16"/>
      <c r="I142" s="16"/>
      <c r="J142" s="16"/>
      <c r="K142" s="16"/>
      <c r="L142" s="16"/>
      <c r="M142" s="16"/>
      <c r="N142" s="5" t="s">
        <v>112</v>
      </c>
      <c r="O142" s="16" t="str">
        <f t="shared" si="1"/>
        <v>#</v>
      </c>
      <c r="P142" s="16" t="str">
        <f t="shared" si="2"/>
        <v>#videoGame</v>
      </c>
      <c r="R142" s="16" t="str">
        <f>"("""&amp;C142&amp;""") ("&amp;Vlookup(E142,DropDown!B:C,2,FALSE)&amp; " OR ""Video Game"" OR Playstation OR iOS OR PS4 OR PS5 OR Xbox OR Switch OR Swtich 2 OR PC)"</f>
        <v>#N/A</v>
      </c>
      <c r="S142" s="44" t="str">
        <f>"("""&amp;C142&amp;""") ("&amp;Vlookup(E142,DropDown!K:L,2,FALSE)&amp; " | ""Video Game"" | Playstation | iOS | PS4 | PS5 | Xbox | Switch | Switch 2 | PC)"</f>
        <v>#N/A</v>
      </c>
      <c r="T142" s="44"/>
      <c r="U142" s="44"/>
      <c r="V142" s="44"/>
      <c r="W142" s="44"/>
      <c r="X142" s="44"/>
      <c r="Z142" s="44"/>
    </row>
    <row r="143">
      <c r="A143" s="16"/>
      <c r="B143" s="16"/>
      <c r="C143" s="57"/>
      <c r="E143" s="16"/>
      <c r="F143" s="16"/>
      <c r="G143" s="16"/>
      <c r="H143" s="16"/>
      <c r="I143" s="16"/>
      <c r="J143" s="16"/>
      <c r="K143" s="16"/>
      <c r="L143" s="16"/>
      <c r="M143" s="16"/>
      <c r="N143" s="5" t="s">
        <v>112</v>
      </c>
      <c r="O143" s="16" t="str">
        <f t="shared" si="1"/>
        <v>#</v>
      </c>
      <c r="P143" s="16" t="str">
        <f t="shared" si="2"/>
        <v>#videoGame</v>
      </c>
      <c r="R143" s="16" t="str">
        <f>"("""&amp;C143&amp;""") ("&amp;Vlookup(E143,DropDown!B:C,2,FALSE)&amp; " OR ""Video Game"" OR Playstation OR iOS OR PS4 OR PS5 OR Xbox OR Switch OR Swtich 2 OR PC)"</f>
        <v>#N/A</v>
      </c>
      <c r="S143" s="44" t="str">
        <f>"("""&amp;C143&amp;""") ("&amp;Vlookup(E143,DropDown!K:L,2,FALSE)&amp; " | ""Video Game"" | Playstation | iOS | PS4 | PS5 | Xbox | Switch | Switch 2 | PC)"</f>
        <v>#N/A</v>
      </c>
      <c r="T143" s="44"/>
      <c r="U143" s="44"/>
      <c r="V143" s="44"/>
      <c r="W143" s="44"/>
      <c r="X143" s="44"/>
      <c r="Z143" s="44"/>
    </row>
    <row r="144">
      <c r="A144" s="16"/>
      <c r="B144" s="16"/>
      <c r="C144" s="57"/>
      <c r="E144" s="16"/>
      <c r="F144" s="16"/>
      <c r="G144" s="16"/>
      <c r="H144" s="16"/>
      <c r="I144" s="16"/>
      <c r="J144" s="16"/>
      <c r="K144" s="16"/>
      <c r="L144" s="16"/>
      <c r="M144" s="16"/>
      <c r="N144" s="5" t="s">
        <v>112</v>
      </c>
      <c r="O144" s="16" t="str">
        <f t="shared" si="1"/>
        <v>#</v>
      </c>
      <c r="P144" s="16" t="str">
        <f t="shared" si="2"/>
        <v>#videoGame</v>
      </c>
      <c r="R144" s="16" t="str">
        <f>"("""&amp;C144&amp;""") ("&amp;Vlookup(E144,DropDown!B:C,2,FALSE)&amp; " OR ""Video Game"" OR Playstation OR iOS OR PS4 OR PS5 OR Xbox OR Switch OR Swtich 2 OR PC)"</f>
        <v>#N/A</v>
      </c>
      <c r="S144" s="44" t="str">
        <f>"("""&amp;C144&amp;""") ("&amp;Vlookup(E144,DropDown!K:L,2,FALSE)&amp; " | ""Video Game"" | Playstation | iOS | PS4 | PS5 | Xbox | Switch | Switch 2 | PC)"</f>
        <v>#N/A</v>
      </c>
      <c r="T144" s="44"/>
      <c r="U144" s="44"/>
      <c r="V144" s="44"/>
      <c r="W144" s="44"/>
      <c r="X144" s="44"/>
      <c r="Z144" s="44"/>
    </row>
    <row r="145">
      <c r="A145" s="16"/>
      <c r="B145" s="16"/>
      <c r="C145" s="57"/>
      <c r="E145" s="16"/>
      <c r="F145" s="16"/>
      <c r="G145" s="16"/>
      <c r="H145" s="16"/>
      <c r="I145" s="16"/>
      <c r="J145" s="16"/>
      <c r="K145" s="16"/>
      <c r="L145" s="16"/>
      <c r="M145" s="16"/>
      <c r="N145" s="5" t="s">
        <v>112</v>
      </c>
      <c r="O145" s="16" t="str">
        <f t="shared" si="1"/>
        <v>#</v>
      </c>
      <c r="P145" s="16" t="str">
        <f t="shared" si="2"/>
        <v>#videoGame</v>
      </c>
      <c r="R145" s="16" t="str">
        <f>"("""&amp;C145&amp;""") ("&amp;Vlookup(E145,DropDown!B:C,2,FALSE)&amp; " OR ""Video Game"" OR Playstation OR iOS OR PS4 OR PS5 OR Xbox OR Switch OR Swtich 2 OR PC)"</f>
        <v>#N/A</v>
      </c>
      <c r="S145" s="44" t="str">
        <f>"("""&amp;C145&amp;""") ("&amp;Vlookup(E145,DropDown!K:L,2,FALSE)&amp; " | ""Video Game"" | Playstation | iOS | PS4 | PS5 | Xbox | Switch | Switch 2 | PC)"</f>
        <v>#N/A</v>
      </c>
      <c r="T145" s="44"/>
      <c r="U145" s="44"/>
      <c r="V145" s="44"/>
      <c r="W145" s="44"/>
      <c r="X145" s="44"/>
      <c r="Z145" s="44"/>
    </row>
    <row r="146">
      <c r="A146" s="16"/>
      <c r="B146" s="16"/>
      <c r="C146" s="57"/>
      <c r="E146" s="16"/>
      <c r="F146" s="16"/>
      <c r="G146" s="16"/>
      <c r="H146" s="16"/>
      <c r="I146" s="16"/>
      <c r="J146" s="16"/>
      <c r="K146" s="16"/>
      <c r="L146" s="16"/>
      <c r="M146" s="16"/>
      <c r="N146" s="5" t="s">
        <v>112</v>
      </c>
      <c r="O146" s="16" t="str">
        <f t="shared" si="1"/>
        <v>#</v>
      </c>
      <c r="P146" s="16" t="str">
        <f t="shared" si="2"/>
        <v>#videoGame</v>
      </c>
      <c r="R146" s="16" t="str">
        <f>"("""&amp;C146&amp;""") ("&amp;Vlookup(E146,DropDown!B:C,2,FALSE)&amp; " OR ""Video Game"" OR Playstation OR iOS OR PS4 OR PS5 OR Xbox OR Switch OR Swtich 2 OR PC)"</f>
        <v>#N/A</v>
      </c>
      <c r="S146" s="44" t="str">
        <f>"("""&amp;C146&amp;""") ("&amp;Vlookup(E146,DropDown!K:L,2,FALSE)&amp; " | ""Video Game"" | Playstation | iOS | PS4 | PS5 | Xbox | Switch | Switch 2 | PC)"</f>
        <v>#N/A</v>
      </c>
      <c r="T146" s="44"/>
      <c r="U146" s="44"/>
      <c r="V146" s="44"/>
      <c r="W146" s="44"/>
      <c r="X146" s="44"/>
      <c r="Z146" s="44"/>
    </row>
    <row r="147">
      <c r="A147" s="16"/>
      <c r="B147" s="16"/>
      <c r="C147" s="57"/>
      <c r="E147" s="16"/>
      <c r="F147" s="16"/>
      <c r="G147" s="16"/>
      <c r="H147" s="16"/>
      <c r="I147" s="16"/>
      <c r="J147" s="16"/>
      <c r="K147" s="16"/>
      <c r="L147" s="16"/>
      <c r="M147" s="16"/>
      <c r="N147" s="5" t="s">
        <v>112</v>
      </c>
      <c r="O147" s="16" t="str">
        <f t="shared" si="1"/>
        <v>#</v>
      </c>
      <c r="P147" s="16" t="str">
        <f t="shared" si="2"/>
        <v>#videoGame</v>
      </c>
      <c r="R147" s="16" t="str">
        <f>"("""&amp;C147&amp;""") ("&amp;Vlookup(E147,DropDown!B:C,2,FALSE)&amp; " OR ""Video Game"" OR Playstation OR iOS OR PS4 OR PS5 OR Xbox OR Switch OR Swtich 2 OR PC)"</f>
        <v>#N/A</v>
      </c>
      <c r="S147" s="44" t="str">
        <f>"("""&amp;C147&amp;""") ("&amp;Vlookup(E147,DropDown!K:L,2,FALSE)&amp; " | ""Video Game"" | Playstation | iOS | PS4 | PS5 | Xbox | Switch | Switch 2 | PC)"</f>
        <v>#N/A</v>
      </c>
      <c r="T147" s="44"/>
      <c r="U147" s="44"/>
      <c r="V147" s="44"/>
      <c r="W147" s="44"/>
      <c r="X147" s="44"/>
      <c r="Z147" s="44"/>
    </row>
    <row r="148">
      <c r="A148" s="16"/>
      <c r="B148" s="16"/>
      <c r="C148" s="57"/>
      <c r="E148" s="16"/>
      <c r="F148" s="16"/>
      <c r="G148" s="16"/>
      <c r="H148" s="16"/>
      <c r="I148" s="16"/>
      <c r="J148" s="16"/>
      <c r="K148" s="16"/>
      <c r="L148" s="16"/>
      <c r="M148" s="16"/>
      <c r="N148" s="5" t="s">
        <v>112</v>
      </c>
      <c r="O148" s="16" t="str">
        <f t="shared" si="1"/>
        <v>#</v>
      </c>
      <c r="P148" s="16" t="str">
        <f t="shared" si="2"/>
        <v>#videoGame</v>
      </c>
      <c r="R148" s="16" t="str">
        <f>"("""&amp;C148&amp;""") ("&amp;Vlookup(E148,DropDown!B:C,2,FALSE)&amp; " OR ""Video Game"" OR Playstation OR iOS OR PS4 OR PS5 OR Xbox OR Switch OR Swtich 2 OR PC)"</f>
        <v>#N/A</v>
      </c>
      <c r="S148" s="44" t="str">
        <f>"("""&amp;C148&amp;""") ("&amp;Vlookup(E148,DropDown!K:L,2,FALSE)&amp; " | ""Video Game"" | Playstation | iOS | PS4 | PS5 | Xbox | Switch | Switch 2 | PC)"</f>
        <v>#N/A</v>
      </c>
      <c r="T148" s="44"/>
      <c r="U148" s="44"/>
      <c r="V148" s="44"/>
      <c r="W148" s="44"/>
      <c r="X148" s="44"/>
      <c r="Z148" s="44"/>
    </row>
    <row r="149">
      <c r="A149" s="16"/>
      <c r="B149" s="16"/>
      <c r="C149" s="57"/>
      <c r="E149" s="16"/>
      <c r="F149" s="16"/>
      <c r="G149" s="16"/>
      <c r="H149" s="16"/>
      <c r="I149" s="16"/>
      <c r="J149" s="16"/>
      <c r="K149" s="16"/>
      <c r="L149" s="16"/>
      <c r="M149" s="16"/>
      <c r="N149" s="5" t="s">
        <v>112</v>
      </c>
      <c r="O149" s="16" t="str">
        <f t="shared" si="1"/>
        <v>#</v>
      </c>
      <c r="P149" s="16" t="str">
        <f t="shared" si="2"/>
        <v>#videoGame</v>
      </c>
      <c r="R149" s="16" t="str">
        <f>"("""&amp;C149&amp;""") ("&amp;Vlookup(E149,DropDown!B:C,2,FALSE)&amp; " OR ""Video Game"" OR Playstation OR iOS OR PS4 OR PS5 OR Xbox OR Switch OR Swtich 2 OR PC)"</f>
        <v>#N/A</v>
      </c>
      <c r="S149" s="44" t="str">
        <f>"("""&amp;C149&amp;""") ("&amp;Vlookup(E149,DropDown!K:L,2,FALSE)&amp; " | ""Video Game"" | Playstation | iOS | PS4 | PS5 | Xbox | Switch | Switch 2 | PC)"</f>
        <v>#N/A</v>
      </c>
      <c r="T149" s="44"/>
      <c r="U149" s="44"/>
      <c r="V149" s="44"/>
      <c r="W149" s="44"/>
      <c r="X149" s="44"/>
      <c r="Z149" s="44"/>
    </row>
    <row r="150">
      <c r="A150" s="16"/>
      <c r="B150" s="16"/>
      <c r="C150" s="57"/>
      <c r="E150" s="16"/>
      <c r="F150" s="16"/>
      <c r="G150" s="16"/>
      <c r="H150" s="16"/>
      <c r="I150" s="16"/>
      <c r="J150" s="16"/>
      <c r="K150" s="16"/>
      <c r="L150" s="16"/>
      <c r="M150" s="16"/>
      <c r="N150" s="5" t="s">
        <v>112</v>
      </c>
      <c r="O150" s="16" t="str">
        <f t="shared" si="1"/>
        <v>#</v>
      </c>
      <c r="P150" s="16" t="str">
        <f t="shared" si="2"/>
        <v>#videoGame</v>
      </c>
      <c r="R150" s="16" t="str">
        <f>"("""&amp;C150&amp;""") ("&amp;Vlookup(E150,DropDown!B:C,2,FALSE)&amp; " OR ""Video Game"" OR Playstation OR iOS OR PS4 OR PS5 OR Xbox OR Switch OR Swtich 2 OR PC)"</f>
        <v>#N/A</v>
      </c>
      <c r="S150" s="44" t="str">
        <f>"("""&amp;C150&amp;""") ("&amp;Vlookup(E150,DropDown!K:L,2,FALSE)&amp; " | ""Video Game"" | Playstation | iOS | PS4 | PS5 | Xbox | Switch | Switch 2 | PC)"</f>
        <v>#N/A</v>
      </c>
      <c r="T150" s="44"/>
      <c r="U150" s="44"/>
      <c r="V150" s="44"/>
      <c r="W150" s="44"/>
      <c r="X150" s="44"/>
      <c r="Z150" s="44"/>
    </row>
    <row r="151">
      <c r="A151" s="16"/>
      <c r="B151" s="16"/>
      <c r="C151" s="57"/>
      <c r="E151" s="16"/>
      <c r="F151" s="16"/>
      <c r="G151" s="16"/>
      <c r="H151" s="16"/>
      <c r="I151" s="16"/>
      <c r="J151" s="16"/>
      <c r="K151" s="16"/>
      <c r="L151" s="16"/>
      <c r="M151" s="16"/>
      <c r="N151" s="5" t="s">
        <v>112</v>
      </c>
      <c r="O151" s="16" t="str">
        <f t="shared" si="1"/>
        <v>#</v>
      </c>
      <c r="P151" s="16" t="str">
        <f t="shared" si="2"/>
        <v>#videoGame</v>
      </c>
      <c r="R151" s="16" t="str">
        <f>"("""&amp;C151&amp;""") ("&amp;Vlookup(E151,DropDown!B:C,2,FALSE)&amp; " OR ""Video Game"" OR Playstation OR iOS OR PS4 OR PS5 OR Xbox OR Switch OR Swtich 2 OR PC)"</f>
        <v>#N/A</v>
      </c>
      <c r="S151" s="44" t="str">
        <f>"("""&amp;C151&amp;""") ("&amp;Vlookup(E151,DropDown!K:L,2,FALSE)&amp; " | ""Video Game"" | Playstation | iOS | PS4 | PS5 | Xbox | Switch | Switch 2 | PC)"</f>
        <v>#N/A</v>
      </c>
      <c r="T151" s="44"/>
      <c r="U151" s="44"/>
      <c r="V151" s="44"/>
      <c r="W151" s="44"/>
      <c r="X151" s="44"/>
      <c r="Z151" s="44"/>
    </row>
    <row r="152">
      <c r="A152" s="16"/>
      <c r="B152" s="16"/>
      <c r="C152" s="57"/>
      <c r="E152" s="16"/>
      <c r="F152" s="16"/>
      <c r="G152" s="16"/>
      <c r="H152" s="16"/>
      <c r="I152" s="16"/>
      <c r="J152" s="16"/>
      <c r="K152" s="16"/>
      <c r="L152" s="16"/>
      <c r="M152" s="16"/>
      <c r="N152" s="5" t="s">
        <v>112</v>
      </c>
      <c r="O152" s="16" t="str">
        <f t="shared" si="1"/>
        <v>#</v>
      </c>
      <c r="P152" s="16" t="str">
        <f t="shared" si="2"/>
        <v>#videoGame</v>
      </c>
      <c r="R152" s="16" t="str">
        <f>"("""&amp;C152&amp;""") ("&amp;Vlookup(E152,DropDown!B:C,2,FALSE)&amp; " OR ""Video Game"" OR Playstation OR iOS OR PS4 OR PS5 OR Xbox OR Switch OR Swtich 2 OR PC)"</f>
        <v>#N/A</v>
      </c>
      <c r="S152" s="44" t="str">
        <f>"("""&amp;C152&amp;""") ("&amp;Vlookup(E152,DropDown!K:L,2,FALSE)&amp; " | ""Video Game"" | Playstation | iOS | PS4 | PS5 | Xbox | Switch | Switch 2 | PC)"</f>
        <v>#N/A</v>
      </c>
      <c r="T152" s="44"/>
      <c r="U152" s="44"/>
      <c r="V152" s="44"/>
      <c r="W152" s="44"/>
      <c r="X152" s="44"/>
      <c r="Z152" s="44"/>
    </row>
    <row r="153">
      <c r="A153" s="16"/>
      <c r="B153" s="16"/>
      <c r="C153" s="57"/>
      <c r="E153" s="16"/>
      <c r="F153" s="16"/>
      <c r="G153" s="16"/>
      <c r="H153" s="16"/>
      <c r="I153" s="16"/>
      <c r="J153" s="16"/>
      <c r="K153" s="16"/>
      <c r="L153" s="16"/>
      <c r="M153" s="16"/>
      <c r="N153" s="5" t="s">
        <v>112</v>
      </c>
      <c r="O153" s="16" t="str">
        <f t="shared" si="1"/>
        <v>#</v>
      </c>
      <c r="P153" s="16" t="str">
        <f t="shared" si="2"/>
        <v>#videoGame</v>
      </c>
      <c r="R153" s="16" t="str">
        <f>"("""&amp;C153&amp;""") ("&amp;Vlookup(E153,DropDown!B:C,2,FALSE)&amp; " OR ""Video Game"" OR Playstation OR iOS OR PS4 OR PS5 OR Xbox OR Switch OR Swtich 2 OR PC)"</f>
        <v>#N/A</v>
      </c>
      <c r="S153" s="44" t="str">
        <f>"("""&amp;C153&amp;""") ("&amp;Vlookup(E153,DropDown!K:L,2,FALSE)&amp; " | ""Video Game"" | Playstation | iOS | PS4 | PS5 | Xbox | Switch | Switch 2 | PC)"</f>
        <v>#N/A</v>
      </c>
      <c r="T153" s="44"/>
      <c r="U153" s="44"/>
      <c r="V153" s="44"/>
      <c r="W153" s="44"/>
      <c r="X153" s="44"/>
      <c r="Z153" s="44"/>
    </row>
    <row r="154">
      <c r="A154" s="16"/>
      <c r="B154" s="16"/>
      <c r="C154" s="57"/>
      <c r="E154" s="16"/>
      <c r="F154" s="16"/>
      <c r="G154" s="16"/>
      <c r="H154" s="16"/>
      <c r="I154" s="16"/>
      <c r="J154" s="16"/>
      <c r="K154" s="16"/>
      <c r="L154" s="16"/>
      <c r="M154" s="16"/>
      <c r="N154" s="5" t="s">
        <v>112</v>
      </c>
      <c r="O154" s="16" t="str">
        <f t="shared" si="1"/>
        <v>#</v>
      </c>
      <c r="P154" s="16" t="str">
        <f t="shared" si="2"/>
        <v>#videoGame</v>
      </c>
      <c r="R154" s="16" t="str">
        <f>"("""&amp;C154&amp;""") ("&amp;Vlookup(E154,DropDown!B:C,2,FALSE)&amp; " OR ""Video Game"" OR Playstation OR iOS OR PS4 OR PS5 OR Xbox OR Switch OR Swtich 2 OR PC)"</f>
        <v>#N/A</v>
      </c>
      <c r="S154" s="44" t="str">
        <f>"("""&amp;C154&amp;""") ("&amp;Vlookup(E154,DropDown!K:L,2,FALSE)&amp; " | ""Video Game"" | Playstation | iOS | PS4 | PS5 | Xbox | Switch | Switch 2 | PC)"</f>
        <v>#N/A</v>
      </c>
      <c r="T154" s="44"/>
      <c r="U154" s="44"/>
      <c r="V154" s="44"/>
      <c r="W154" s="44"/>
      <c r="X154" s="44"/>
      <c r="Z154" s="44"/>
    </row>
    <row r="155">
      <c r="A155" s="16"/>
      <c r="B155" s="16"/>
      <c r="C155" s="57"/>
      <c r="E155" s="16"/>
      <c r="F155" s="16"/>
      <c r="G155" s="16"/>
      <c r="H155" s="16"/>
      <c r="I155" s="16"/>
      <c r="J155" s="16"/>
      <c r="K155" s="16"/>
      <c r="L155" s="16"/>
      <c r="M155" s="16"/>
      <c r="N155" s="5" t="s">
        <v>112</v>
      </c>
      <c r="O155" s="16" t="str">
        <f t="shared" si="1"/>
        <v>#</v>
      </c>
      <c r="P155" s="16" t="str">
        <f t="shared" si="2"/>
        <v>#videoGame</v>
      </c>
      <c r="R155" s="16" t="str">
        <f>"("""&amp;C155&amp;""") ("&amp;Vlookup(E155,DropDown!B:C,2,FALSE)&amp; " OR ""Video Game"" OR Playstation OR iOS OR PS4 OR PS5 OR Xbox OR Switch OR Swtich 2 OR PC)"</f>
        <v>#N/A</v>
      </c>
      <c r="S155" s="44" t="str">
        <f>"("""&amp;C155&amp;""") ("&amp;Vlookup(E155,DropDown!K:L,2,FALSE)&amp; " | ""Video Game"" | Playstation | iOS | PS4 | PS5 | Xbox | Switch | Switch 2 | PC)"</f>
        <v>#N/A</v>
      </c>
      <c r="T155" s="44"/>
      <c r="U155" s="44"/>
      <c r="V155" s="44"/>
      <c r="W155" s="44"/>
      <c r="X155" s="44"/>
      <c r="Z155" s="44"/>
    </row>
    <row r="156">
      <c r="A156" s="16"/>
      <c r="B156" s="16"/>
      <c r="C156" s="57"/>
      <c r="E156" s="16"/>
      <c r="F156" s="16"/>
      <c r="G156" s="16"/>
      <c r="H156" s="16"/>
      <c r="I156" s="16"/>
      <c r="J156" s="16"/>
      <c r="K156" s="16"/>
      <c r="L156" s="16"/>
      <c r="M156" s="16"/>
      <c r="N156" s="5" t="s">
        <v>112</v>
      </c>
      <c r="O156" s="16" t="str">
        <f t="shared" si="1"/>
        <v>#</v>
      </c>
      <c r="P156" s="16" t="str">
        <f t="shared" si="2"/>
        <v>#videoGame</v>
      </c>
      <c r="R156" s="16" t="str">
        <f>"("""&amp;C156&amp;""") ("&amp;Vlookup(E156,DropDown!B:C,2,FALSE)&amp; " OR ""Video Game"" OR Playstation OR iOS OR PS4 OR PS5 OR Xbox OR Switch OR Swtich 2 OR PC)"</f>
        <v>#N/A</v>
      </c>
      <c r="S156" s="44" t="str">
        <f>"("""&amp;C156&amp;""") ("&amp;Vlookup(E156,DropDown!K:L,2,FALSE)&amp; " | ""Video Game"" | Playstation | iOS | PS4 | PS5 | Xbox | Switch | Switch 2 | PC)"</f>
        <v>#N/A</v>
      </c>
      <c r="T156" s="44"/>
      <c r="U156" s="44"/>
      <c r="V156" s="44"/>
      <c r="W156" s="44"/>
      <c r="X156" s="44"/>
      <c r="Z156" s="44"/>
    </row>
    <row r="157">
      <c r="A157" s="16"/>
      <c r="B157" s="16"/>
      <c r="C157" s="57"/>
      <c r="E157" s="16"/>
      <c r="F157" s="16"/>
      <c r="G157" s="16"/>
      <c r="H157" s="16"/>
      <c r="I157" s="16"/>
      <c r="J157" s="16"/>
      <c r="K157" s="16"/>
      <c r="L157" s="16"/>
      <c r="M157" s="16"/>
      <c r="N157" s="5" t="s">
        <v>112</v>
      </c>
      <c r="O157" s="16" t="str">
        <f t="shared" si="1"/>
        <v>#</v>
      </c>
      <c r="P157" s="16" t="str">
        <f t="shared" si="2"/>
        <v>#videoGame</v>
      </c>
      <c r="R157" s="16" t="str">
        <f>"("""&amp;C157&amp;""") ("&amp;Vlookup(E157,DropDown!B:C,2,FALSE)&amp; " OR ""Video Game"" OR Playstation OR iOS OR PS4 OR PS5 OR Xbox OR Switch OR Swtich 2 OR PC)"</f>
        <v>#N/A</v>
      </c>
      <c r="S157" s="44" t="str">
        <f>"("""&amp;C157&amp;""") ("&amp;Vlookup(E157,DropDown!K:L,2,FALSE)&amp; " | ""Video Game"" | Playstation | iOS | PS4 | PS5 | Xbox | Switch | Switch 2 | PC)"</f>
        <v>#N/A</v>
      </c>
      <c r="T157" s="44"/>
      <c r="U157" s="44"/>
      <c r="V157" s="44"/>
      <c r="W157" s="44"/>
      <c r="X157" s="44"/>
      <c r="Z157" s="44"/>
    </row>
    <row r="158">
      <c r="A158" s="16"/>
      <c r="B158" s="16"/>
      <c r="C158" s="57"/>
      <c r="E158" s="16"/>
      <c r="F158" s="16"/>
      <c r="G158" s="16"/>
      <c r="H158" s="16"/>
      <c r="I158" s="16"/>
      <c r="J158" s="16"/>
      <c r="K158" s="16"/>
      <c r="L158" s="16"/>
      <c r="M158" s="16"/>
      <c r="N158" s="5" t="s">
        <v>112</v>
      </c>
      <c r="O158" s="16" t="str">
        <f t="shared" si="1"/>
        <v>#</v>
      </c>
      <c r="P158" s="16" t="str">
        <f t="shared" si="2"/>
        <v>#videoGame</v>
      </c>
      <c r="R158" s="16" t="str">
        <f>"("""&amp;C158&amp;""") ("&amp;Vlookup(E158,DropDown!B:C,2,FALSE)&amp; " OR ""Video Game"" OR Playstation OR iOS OR PS4 OR PS5 OR Xbox OR Switch OR Swtich 2 OR PC)"</f>
        <v>#N/A</v>
      </c>
      <c r="S158" s="44" t="str">
        <f>"("""&amp;C158&amp;""") ("&amp;Vlookup(E158,DropDown!K:L,2,FALSE)&amp; " | ""Video Game"" | Playstation | iOS | PS4 | PS5 | Xbox | Switch | Switch 2 | PC)"</f>
        <v>#N/A</v>
      </c>
      <c r="T158" s="44"/>
      <c r="U158" s="44"/>
      <c r="V158" s="44"/>
      <c r="W158" s="44"/>
      <c r="X158" s="44"/>
      <c r="Z158" s="44"/>
    </row>
    <row r="159">
      <c r="A159" s="16"/>
      <c r="B159" s="16"/>
      <c r="C159" s="57"/>
      <c r="E159" s="16"/>
      <c r="F159" s="16"/>
      <c r="G159" s="16"/>
      <c r="H159" s="16"/>
      <c r="I159" s="16"/>
      <c r="J159" s="16"/>
      <c r="K159" s="16"/>
      <c r="L159" s="16"/>
      <c r="M159" s="16"/>
      <c r="N159" s="5" t="s">
        <v>112</v>
      </c>
      <c r="O159" s="16" t="str">
        <f t="shared" si="1"/>
        <v>#</v>
      </c>
      <c r="P159" s="16" t="str">
        <f t="shared" si="2"/>
        <v>#videoGame</v>
      </c>
      <c r="R159" s="16" t="str">
        <f>"("""&amp;C159&amp;""") ("&amp;Vlookup(E159,DropDown!B:C,2,FALSE)&amp; " OR ""Video Game"" OR Playstation OR iOS OR PS4 OR PS5 OR Xbox OR Switch OR Swtich 2 OR PC)"</f>
        <v>#N/A</v>
      </c>
      <c r="S159" s="44" t="str">
        <f>"("""&amp;C159&amp;""") ("&amp;Vlookup(E159,DropDown!K:L,2,FALSE)&amp; " | ""Video Game"" | Playstation | iOS | PS4 | PS5 | Xbox | Switch | Switch 2 | PC)"</f>
        <v>#N/A</v>
      </c>
      <c r="T159" s="44"/>
      <c r="U159" s="44"/>
      <c r="V159" s="44"/>
      <c r="W159" s="44"/>
      <c r="X159" s="44"/>
      <c r="Z159" s="44"/>
    </row>
    <row r="160">
      <c r="A160" s="16"/>
      <c r="B160" s="16"/>
      <c r="C160" s="57"/>
      <c r="E160" s="16"/>
      <c r="F160" s="16"/>
      <c r="G160" s="16"/>
      <c r="H160" s="16"/>
      <c r="I160" s="16"/>
      <c r="J160" s="16"/>
      <c r="K160" s="16"/>
      <c r="L160" s="16"/>
      <c r="M160" s="16"/>
      <c r="N160" s="5" t="s">
        <v>112</v>
      </c>
      <c r="O160" s="16" t="str">
        <f t="shared" si="1"/>
        <v>#</v>
      </c>
      <c r="P160" s="16" t="str">
        <f t="shared" si="2"/>
        <v>#videoGame</v>
      </c>
      <c r="R160" s="16" t="str">
        <f>"("""&amp;C160&amp;""") ("&amp;Vlookup(E160,DropDown!B:C,2,FALSE)&amp; " OR ""Video Game"" OR Playstation OR iOS OR PS4 OR PS5 OR Xbox OR Switch OR Swtich 2 OR PC)"</f>
        <v>#N/A</v>
      </c>
      <c r="S160" s="44" t="str">
        <f>"("""&amp;C160&amp;""") ("&amp;Vlookup(E160,DropDown!K:L,2,FALSE)&amp; " | ""Video Game"" | Playstation | iOS | PS4 | PS5 | Xbox | Switch | Switch 2 | PC)"</f>
        <v>#N/A</v>
      </c>
      <c r="T160" s="44"/>
      <c r="U160" s="44"/>
      <c r="V160" s="44"/>
      <c r="W160" s="44"/>
      <c r="X160" s="44"/>
      <c r="Z160" s="44"/>
    </row>
    <row r="161">
      <c r="A161" s="16"/>
      <c r="B161" s="16"/>
      <c r="C161" s="57"/>
      <c r="E161" s="16"/>
      <c r="F161" s="16"/>
      <c r="G161" s="16"/>
      <c r="H161" s="16"/>
      <c r="I161" s="16"/>
      <c r="J161" s="16"/>
      <c r="K161" s="16"/>
      <c r="L161" s="16"/>
      <c r="M161" s="16"/>
      <c r="N161" s="5" t="s">
        <v>112</v>
      </c>
      <c r="O161" s="16" t="str">
        <f t="shared" si="1"/>
        <v>#</v>
      </c>
      <c r="P161" s="16" t="str">
        <f t="shared" si="2"/>
        <v>#videoGame</v>
      </c>
      <c r="R161" s="16" t="str">
        <f>"("""&amp;C161&amp;""") ("&amp;Vlookup(E161,DropDown!B:C,2,FALSE)&amp; " OR ""Video Game"" OR Playstation OR iOS OR PS4 OR PS5 OR Xbox OR Switch OR Swtich 2 OR PC)"</f>
        <v>#N/A</v>
      </c>
      <c r="S161" s="44" t="str">
        <f>"("""&amp;C161&amp;""") ("&amp;Vlookup(E161,DropDown!K:L,2,FALSE)&amp; " | ""Video Game"" | Playstation | iOS | PS4 | PS5 | Xbox | Switch | Switch 2 | PC)"</f>
        <v>#N/A</v>
      </c>
      <c r="T161" s="44"/>
      <c r="U161" s="44"/>
      <c r="V161" s="44"/>
      <c r="W161" s="44"/>
      <c r="X161" s="44"/>
      <c r="Z161" s="44"/>
    </row>
    <row r="162">
      <c r="A162" s="16"/>
      <c r="B162" s="16"/>
      <c r="C162" s="57"/>
      <c r="E162" s="16"/>
      <c r="F162" s="16"/>
      <c r="G162" s="16"/>
      <c r="H162" s="16"/>
      <c r="I162" s="16"/>
      <c r="J162" s="16"/>
      <c r="K162" s="16"/>
      <c r="L162" s="16"/>
      <c r="M162" s="16"/>
      <c r="N162" s="5" t="s">
        <v>112</v>
      </c>
      <c r="O162" s="16" t="str">
        <f t="shared" si="1"/>
        <v>#</v>
      </c>
      <c r="P162" s="16" t="str">
        <f t="shared" si="2"/>
        <v>#videoGame</v>
      </c>
      <c r="R162" s="16" t="str">
        <f>"("""&amp;C162&amp;""") ("&amp;Vlookup(E162,DropDown!B:C,2,FALSE)&amp; " OR ""Video Game"" OR Playstation OR iOS OR PS4 OR PS5 OR Xbox OR Switch OR Swtich 2 OR PC)"</f>
        <v>#N/A</v>
      </c>
      <c r="S162" s="44" t="str">
        <f>"("""&amp;C162&amp;""") ("&amp;Vlookup(E162,DropDown!K:L,2,FALSE)&amp; " | ""Video Game"" | Playstation | iOS | PS4 | PS5 | Xbox | Switch | Switch 2 | PC)"</f>
        <v>#N/A</v>
      </c>
      <c r="T162" s="44"/>
      <c r="U162" s="44"/>
      <c r="V162" s="44"/>
      <c r="W162" s="44"/>
      <c r="X162" s="44"/>
      <c r="Z162" s="44"/>
    </row>
    <row r="163">
      <c r="A163" s="16"/>
      <c r="B163" s="16"/>
      <c r="C163" s="57"/>
      <c r="E163" s="16"/>
      <c r="F163" s="16"/>
      <c r="G163" s="16"/>
      <c r="H163" s="16"/>
      <c r="I163" s="16"/>
      <c r="J163" s="16"/>
      <c r="K163" s="16"/>
      <c r="L163" s="16"/>
      <c r="M163" s="16"/>
      <c r="N163" s="5" t="s">
        <v>112</v>
      </c>
      <c r="O163" s="16" t="str">
        <f t="shared" si="1"/>
        <v>#</v>
      </c>
      <c r="P163" s="16" t="str">
        <f t="shared" si="2"/>
        <v>#videoGame</v>
      </c>
      <c r="R163" s="16" t="str">
        <f>"("""&amp;C163&amp;""") ("&amp;Vlookup(E163,DropDown!B:C,2,FALSE)&amp; " OR ""Video Game"" OR Playstation OR iOS OR PS4 OR PS5 OR Xbox OR Switch OR Swtich 2 OR PC)"</f>
        <v>#N/A</v>
      </c>
      <c r="S163" s="44" t="str">
        <f>"("""&amp;C163&amp;""") ("&amp;Vlookup(E163,DropDown!K:L,2,FALSE)&amp; " | ""Video Game"" | Playstation | iOS | PS4 | PS5 | Xbox | Switch | Switch 2 | PC)"</f>
        <v>#N/A</v>
      </c>
      <c r="T163" s="44"/>
      <c r="U163" s="44"/>
      <c r="V163" s="44"/>
      <c r="W163" s="44"/>
      <c r="X163" s="44"/>
      <c r="Z163" s="44"/>
    </row>
    <row r="164">
      <c r="A164" s="16"/>
      <c r="B164" s="16"/>
      <c r="C164" s="57"/>
      <c r="E164" s="16"/>
      <c r="F164" s="16"/>
      <c r="G164" s="16"/>
      <c r="H164" s="16"/>
      <c r="I164" s="16"/>
      <c r="J164" s="16"/>
      <c r="K164" s="16"/>
      <c r="L164" s="16"/>
      <c r="M164" s="16"/>
      <c r="N164" s="5" t="s">
        <v>112</v>
      </c>
      <c r="O164" s="16" t="str">
        <f t="shared" si="1"/>
        <v>#</v>
      </c>
      <c r="P164" s="16" t="str">
        <f t="shared" si="2"/>
        <v>#videoGame</v>
      </c>
      <c r="R164" s="16" t="str">
        <f>"("""&amp;C164&amp;""") ("&amp;Vlookup(E164,DropDown!B:C,2,FALSE)&amp; " OR ""Video Game"" OR Playstation OR iOS OR PS4 OR PS5 OR Xbox OR Switch OR Swtich 2 OR PC)"</f>
        <v>#N/A</v>
      </c>
      <c r="S164" s="44" t="str">
        <f>"("""&amp;C164&amp;""") ("&amp;Vlookup(E164,DropDown!K:L,2,FALSE)&amp; " | ""Video Game"" | Playstation | iOS | PS4 | PS5 | Xbox | Switch | Switch 2 | PC)"</f>
        <v>#N/A</v>
      </c>
      <c r="T164" s="44"/>
      <c r="U164" s="44"/>
      <c r="V164" s="44"/>
      <c r="W164" s="44"/>
      <c r="X164" s="44"/>
      <c r="Z164" s="44"/>
    </row>
    <row r="165">
      <c r="A165" s="16"/>
      <c r="B165" s="16"/>
      <c r="C165" s="57"/>
      <c r="E165" s="16"/>
      <c r="F165" s="16"/>
      <c r="G165" s="16"/>
      <c r="H165" s="16"/>
      <c r="I165" s="16"/>
      <c r="J165" s="16"/>
      <c r="K165" s="16"/>
      <c r="L165" s="16"/>
      <c r="M165" s="16"/>
      <c r="N165" s="5" t="s">
        <v>112</v>
      </c>
      <c r="O165" s="16" t="str">
        <f t="shared" si="1"/>
        <v>#</v>
      </c>
      <c r="P165" s="16" t="str">
        <f t="shared" si="2"/>
        <v>#videoGame</v>
      </c>
      <c r="R165" s="16" t="str">
        <f>"("""&amp;C165&amp;""") ("&amp;Vlookup(E165,DropDown!B:C,2,FALSE)&amp; " OR ""Video Game"" OR Playstation OR iOS OR PS4 OR PS5 OR Xbox OR Switch OR Swtich 2 OR PC)"</f>
        <v>#N/A</v>
      </c>
      <c r="S165" s="44" t="str">
        <f>"("""&amp;C165&amp;""") ("&amp;Vlookup(E165,DropDown!K:L,2,FALSE)&amp; " | ""Video Game"" | Playstation | iOS | PS4 | PS5 | Xbox | Switch | Switch 2 | PC)"</f>
        <v>#N/A</v>
      </c>
      <c r="T165" s="44"/>
      <c r="U165" s="44"/>
      <c r="V165" s="44"/>
      <c r="W165" s="44"/>
      <c r="X165" s="44"/>
      <c r="Z165" s="44"/>
    </row>
    <row r="166">
      <c r="A166" s="16"/>
      <c r="B166" s="16"/>
      <c r="C166" s="57"/>
      <c r="E166" s="16"/>
      <c r="F166" s="16"/>
      <c r="G166" s="16"/>
      <c r="H166" s="16"/>
      <c r="I166" s="16"/>
      <c r="J166" s="16"/>
      <c r="K166" s="16"/>
      <c r="L166" s="16"/>
      <c r="M166" s="16"/>
      <c r="N166" s="5" t="s">
        <v>112</v>
      </c>
      <c r="O166" s="16" t="str">
        <f t="shared" si="1"/>
        <v>#</v>
      </c>
      <c r="P166" s="16" t="str">
        <f t="shared" si="2"/>
        <v>#videoGame</v>
      </c>
      <c r="R166" s="16" t="str">
        <f>"("""&amp;C166&amp;""") ("&amp;Vlookup(E166,DropDown!B:C,2,FALSE)&amp; " OR ""Video Game"" OR Playstation OR iOS OR PS4 OR PS5 OR Xbox OR Switch OR Swtich 2 OR PC)"</f>
        <v>#N/A</v>
      </c>
      <c r="S166" s="44" t="str">
        <f>"("""&amp;C166&amp;""") ("&amp;Vlookup(E166,DropDown!K:L,2,FALSE)&amp; " | ""Video Game"" | Playstation | iOS | PS4 | PS5 | Xbox | Switch | Switch 2 | PC)"</f>
        <v>#N/A</v>
      </c>
      <c r="T166" s="44"/>
      <c r="U166" s="44"/>
      <c r="V166" s="44"/>
      <c r="W166" s="44"/>
      <c r="X166" s="44"/>
      <c r="Z166" s="44"/>
    </row>
    <row r="167">
      <c r="A167" s="16"/>
      <c r="B167" s="16"/>
      <c r="C167" s="57"/>
      <c r="E167" s="16"/>
      <c r="F167" s="16"/>
      <c r="G167" s="16"/>
      <c r="H167" s="16"/>
      <c r="I167" s="16"/>
      <c r="J167" s="16"/>
      <c r="K167" s="16"/>
      <c r="L167" s="16"/>
      <c r="M167" s="16"/>
      <c r="N167" s="5" t="s">
        <v>112</v>
      </c>
      <c r="O167" s="16" t="str">
        <f t="shared" si="1"/>
        <v>#</v>
      </c>
      <c r="P167" s="16" t="str">
        <f t="shared" si="2"/>
        <v>#videoGame</v>
      </c>
      <c r="R167" s="16" t="str">
        <f>"("""&amp;C167&amp;""") ("&amp;Vlookup(E167,DropDown!B:C,2,FALSE)&amp; " OR ""Video Game"" OR Playstation OR iOS OR PS4 OR PS5 OR Xbox OR Switch OR Swtich 2 OR PC)"</f>
        <v>#N/A</v>
      </c>
      <c r="S167" s="44" t="str">
        <f>"("""&amp;C167&amp;""") ("&amp;Vlookup(E167,DropDown!K:L,2,FALSE)&amp; " | ""Video Game"" | Playstation | iOS | PS4 | PS5 | Xbox | Switch | Switch 2 | PC)"</f>
        <v>#N/A</v>
      </c>
      <c r="T167" s="44"/>
      <c r="U167" s="44"/>
      <c r="V167" s="44"/>
      <c r="W167" s="44"/>
      <c r="X167" s="44"/>
      <c r="Z167" s="44"/>
    </row>
    <row r="168">
      <c r="A168" s="16"/>
      <c r="B168" s="16"/>
      <c r="C168" s="57"/>
      <c r="E168" s="16"/>
      <c r="F168" s="16"/>
      <c r="G168" s="16"/>
      <c r="H168" s="16"/>
      <c r="I168" s="16"/>
      <c r="J168" s="16"/>
      <c r="K168" s="16"/>
      <c r="L168" s="16"/>
      <c r="M168" s="16"/>
      <c r="N168" s="5" t="s">
        <v>112</v>
      </c>
      <c r="O168" s="16" t="str">
        <f t="shared" si="1"/>
        <v>#</v>
      </c>
      <c r="P168" s="16" t="str">
        <f t="shared" si="2"/>
        <v>#videoGame</v>
      </c>
      <c r="R168" s="16" t="str">
        <f>"("""&amp;C168&amp;""") ("&amp;Vlookup(E168,DropDown!B:C,2,FALSE)&amp; " OR ""Video Game"" OR Playstation OR iOS OR PS4 OR PS5 OR Xbox OR Switch OR Swtich 2 OR PC)"</f>
        <v>#N/A</v>
      </c>
      <c r="S168" s="44" t="str">
        <f>"("""&amp;C168&amp;""") ("&amp;Vlookup(E168,DropDown!K:L,2,FALSE)&amp; " | ""Video Game"" | Playstation | iOS | PS4 | PS5 | Xbox | Switch | Switch 2 | PC)"</f>
        <v>#N/A</v>
      </c>
      <c r="T168" s="44"/>
      <c r="U168" s="44"/>
      <c r="V168" s="44"/>
      <c r="W168" s="44"/>
      <c r="X168" s="44"/>
      <c r="Z168" s="44"/>
    </row>
    <row r="169">
      <c r="A169" s="16"/>
      <c r="B169" s="16"/>
      <c r="C169" s="57"/>
      <c r="E169" s="16"/>
      <c r="F169" s="16"/>
      <c r="G169" s="16"/>
      <c r="H169" s="16"/>
      <c r="I169" s="16"/>
      <c r="J169" s="16"/>
      <c r="K169" s="16"/>
      <c r="L169" s="16"/>
      <c r="M169" s="16"/>
      <c r="N169" s="5" t="s">
        <v>112</v>
      </c>
      <c r="O169" s="16" t="str">
        <f t="shared" si="1"/>
        <v>#</v>
      </c>
      <c r="P169" s="16" t="str">
        <f t="shared" si="2"/>
        <v>#videoGame</v>
      </c>
      <c r="R169" s="16" t="str">
        <f>"("""&amp;C169&amp;""") ("&amp;Vlookup(E169,DropDown!B:C,2,FALSE)&amp; " OR ""Video Game"" OR Playstation OR iOS OR PS4 OR PS5 OR Xbox OR Switch OR Swtich 2 OR PC)"</f>
        <v>#N/A</v>
      </c>
      <c r="S169" s="44" t="str">
        <f>"("""&amp;C169&amp;""") ("&amp;Vlookup(E169,DropDown!K:L,2,FALSE)&amp; " | ""Video Game"" | Playstation | iOS | PS4 | PS5 | Xbox | Switch | Switch 2 | PC)"</f>
        <v>#N/A</v>
      </c>
      <c r="T169" s="44"/>
      <c r="U169" s="44"/>
      <c r="V169" s="44"/>
      <c r="W169" s="44"/>
      <c r="X169" s="44"/>
      <c r="Z169" s="44"/>
    </row>
    <row r="170">
      <c r="A170" s="16"/>
      <c r="B170" s="16"/>
      <c r="C170" s="57"/>
      <c r="E170" s="16"/>
      <c r="F170" s="16"/>
      <c r="G170" s="16"/>
      <c r="H170" s="16"/>
      <c r="I170" s="16"/>
      <c r="J170" s="16"/>
      <c r="K170" s="16"/>
      <c r="L170" s="16"/>
      <c r="M170" s="16"/>
      <c r="N170" s="5" t="s">
        <v>112</v>
      </c>
      <c r="O170" s="16" t="str">
        <f t="shared" si="1"/>
        <v>#</v>
      </c>
      <c r="P170" s="16" t="str">
        <f t="shared" si="2"/>
        <v>#videoGame</v>
      </c>
      <c r="R170" s="16" t="str">
        <f>"("""&amp;C170&amp;""") ("&amp;Vlookup(E170,DropDown!B:C,2,FALSE)&amp; " OR ""Video Game"" OR Playstation OR iOS OR PS4 OR PS5 OR Xbox OR Switch OR Swtich 2 OR PC)"</f>
        <v>#N/A</v>
      </c>
      <c r="S170" s="44" t="str">
        <f>"("""&amp;C170&amp;""") ("&amp;Vlookup(E170,DropDown!K:L,2,FALSE)&amp; " | ""Video Game"" | Playstation | iOS | PS4 | PS5 | Xbox | Switch | Switch 2 | PC)"</f>
        <v>#N/A</v>
      </c>
      <c r="T170" s="44"/>
      <c r="U170" s="44"/>
      <c r="V170" s="44"/>
      <c r="W170" s="44"/>
      <c r="X170" s="44"/>
      <c r="Z170" s="44"/>
    </row>
    <row r="171">
      <c r="A171" s="16"/>
      <c r="B171" s="16"/>
      <c r="C171" s="57"/>
      <c r="E171" s="16"/>
      <c r="F171" s="16"/>
      <c r="G171" s="16"/>
      <c r="H171" s="16"/>
      <c r="I171" s="16"/>
      <c r="J171" s="16"/>
      <c r="K171" s="16"/>
      <c r="L171" s="16"/>
      <c r="M171" s="16"/>
      <c r="N171" s="5" t="s">
        <v>112</v>
      </c>
      <c r="O171" s="16" t="str">
        <f t="shared" si="1"/>
        <v>#</v>
      </c>
      <c r="P171" s="16" t="str">
        <f t="shared" si="2"/>
        <v>#videoGame</v>
      </c>
      <c r="R171" s="16" t="str">
        <f>"("""&amp;C171&amp;""") ("&amp;Vlookup(E171,DropDown!B:C,2,FALSE)&amp; " OR ""Video Game"" OR Playstation OR iOS OR PS4 OR PS5 OR Xbox OR Switch OR Swtich 2 OR PC)"</f>
        <v>#N/A</v>
      </c>
      <c r="S171" s="44" t="str">
        <f>"("""&amp;C171&amp;""") ("&amp;Vlookup(E171,DropDown!K:L,2,FALSE)&amp; " | ""Video Game"" | Playstation | iOS | PS4 | PS5 | Xbox | Switch | Switch 2 | PC)"</f>
        <v>#N/A</v>
      </c>
      <c r="T171" s="44"/>
      <c r="U171" s="44"/>
      <c r="V171" s="44"/>
      <c r="W171" s="44"/>
      <c r="X171" s="44"/>
      <c r="Z171" s="44"/>
    </row>
    <row r="172">
      <c r="A172" s="16"/>
      <c r="B172" s="16"/>
      <c r="C172" s="57"/>
      <c r="E172" s="16"/>
      <c r="F172" s="16"/>
      <c r="G172" s="16"/>
      <c r="H172" s="16"/>
      <c r="I172" s="16"/>
      <c r="J172" s="16"/>
      <c r="K172" s="16"/>
      <c r="L172" s="16"/>
      <c r="M172" s="16"/>
      <c r="N172" s="5" t="s">
        <v>112</v>
      </c>
      <c r="O172" s="16" t="str">
        <f t="shared" si="1"/>
        <v>#</v>
      </c>
      <c r="P172" s="16" t="str">
        <f t="shared" si="2"/>
        <v>#videoGame</v>
      </c>
      <c r="R172" s="16" t="str">
        <f>"("""&amp;C172&amp;""") ("&amp;Vlookup(E172,DropDown!B:C,2,FALSE)&amp; " OR ""Video Game"" OR Playstation OR iOS OR PS4 OR PS5 OR Xbox OR Switch OR Swtich 2 OR PC)"</f>
        <v>#N/A</v>
      </c>
      <c r="S172" s="44" t="str">
        <f>"("""&amp;C172&amp;""") ("&amp;Vlookup(E172,DropDown!K:L,2,FALSE)&amp; " | ""Video Game"" | Playstation | iOS | PS4 | PS5 | Xbox | Switch | Switch 2 | PC)"</f>
        <v>#N/A</v>
      </c>
      <c r="T172" s="44"/>
      <c r="U172" s="44"/>
      <c r="V172" s="44"/>
      <c r="W172" s="44"/>
      <c r="X172" s="44"/>
      <c r="Z172" s="44"/>
    </row>
    <row r="173">
      <c r="A173" s="16"/>
      <c r="B173" s="16"/>
      <c r="C173" s="57"/>
      <c r="E173" s="16"/>
      <c r="F173" s="16"/>
      <c r="G173" s="16"/>
      <c r="H173" s="16"/>
      <c r="I173" s="16"/>
      <c r="J173" s="16"/>
      <c r="K173" s="16"/>
      <c r="L173" s="16"/>
      <c r="M173" s="16"/>
      <c r="N173" s="5" t="s">
        <v>112</v>
      </c>
      <c r="O173" s="16" t="str">
        <f t="shared" si="1"/>
        <v>#</v>
      </c>
      <c r="P173" s="16" t="str">
        <f t="shared" si="2"/>
        <v>#videoGame</v>
      </c>
      <c r="R173" s="16" t="str">
        <f>"("""&amp;C173&amp;""") ("&amp;Vlookup(E173,DropDown!B:C,2,FALSE)&amp; " OR ""Video Game"" OR Playstation OR iOS OR PS4 OR PS5 OR Xbox OR Switch OR Swtich 2 OR PC)"</f>
        <v>#N/A</v>
      </c>
      <c r="S173" s="44" t="str">
        <f>"("""&amp;C173&amp;""") ("&amp;Vlookup(E173,DropDown!K:L,2,FALSE)&amp; " | ""Video Game"" | Playstation | iOS | PS4 | PS5 | Xbox | Switch | Switch 2 | PC)"</f>
        <v>#N/A</v>
      </c>
      <c r="T173" s="44"/>
      <c r="U173" s="44"/>
      <c r="V173" s="44"/>
      <c r="W173" s="44"/>
      <c r="X173" s="44"/>
      <c r="Z173" s="44"/>
    </row>
    <row r="174">
      <c r="A174" s="16"/>
      <c r="B174" s="16"/>
      <c r="C174" s="57"/>
      <c r="E174" s="16"/>
      <c r="F174" s="16"/>
      <c r="G174" s="16"/>
      <c r="H174" s="16"/>
      <c r="I174" s="16"/>
      <c r="J174" s="16"/>
      <c r="K174" s="16"/>
      <c r="L174" s="16"/>
      <c r="M174" s="16"/>
      <c r="N174" s="5" t="s">
        <v>112</v>
      </c>
      <c r="O174" s="16" t="str">
        <f t="shared" si="1"/>
        <v>#</v>
      </c>
      <c r="P174" s="16" t="str">
        <f t="shared" si="2"/>
        <v>#videoGame</v>
      </c>
      <c r="R174" s="16" t="str">
        <f>"("""&amp;C174&amp;""") ("&amp;Vlookup(E174,DropDown!B:C,2,FALSE)&amp; " OR ""Video Game"" OR Playstation OR iOS OR PS4 OR PS5 OR Xbox OR Switch OR Swtich 2 OR PC)"</f>
        <v>#N/A</v>
      </c>
      <c r="S174" s="44" t="str">
        <f>"("""&amp;C174&amp;""") ("&amp;Vlookup(E174,DropDown!K:L,2,FALSE)&amp; " | ""Video Game"" | Playstation | iOS | PS4 | PS5 | Xbox | Switch | Switch 2 | PC)"</f>
        <v>#N/A</v>
      </c>
      <c r="T174" s="44"/>
      <c r="U174" s="44"/>
      <c r="V174" s="44"/>
      <c r="W174" s="44"/>
      <c r="X174" s="44"/>
      <c r="Z174" s="44"/>
    </row>
    <row r="175">
      <c r="A175" s="16"/>
      <c r="B175" s="16"/>
      <c r="C175" s="57"/>
      <c r="E175" s="16"/>
      <c r="F175" s="16"/>
      <c r="G175" s="16"/>
      <c r="H175" s="16"/>
      <c r="I175" s="16"/>
      <c r="J175" s="16"/>
      <c r="K175" s="16"/>
      <c r="L175" s="16"/>
      <c r="M175" s="16"/>
      <c r="N175" s="5" t="s">
        <v>112</v>
      </c>
      <c r="O175" s="16" t="str">
        <f t="shared" si="1"/>
        <v>#</v>
      </c>
      <c r="P175" s="16" t="str">
        <f t="shared" si="2"/>
        <v>#videoGame</v>
      </c>
      <c r="R175" s="16" t="str">
        <f>"("""&amp;C175&amp;""") ("&amp;Vlookup(E175,DropDown!B:C,2,FALSE)&amp; " OR ""Video Game"" OR Playstation OR iOS OR PS4 OR PS5 OR Xbox OR Switch OR Swtich 2 OR PC)"</f>
        <v>#N/A</v>
      </c>
      <c r="S175" s="44" t="str">
        <f>"("""&amp;C175&amp;""") ("&amp;Vlookup(E175,DropDown!K:L,2,FALSE)&amp; " | ""Video Game"" | Playstation | iOS | PS4 | PS5 | Xbox | Switch | Switch 2 | PC)"</f>
        <v>#N/A</v>
      </c>
      <c r="T175" s="44"/>
      <c r="U175" s="44"/>
      <c r="V175" s="44"/>
      <c r="W175" s="44"/>
      <c r="X175" s="44"/>
      <c r="Z175" s="44"/>
    </row>
    <row r="176">
      <c r="A176" s="16"/>
      <c r="B176" s="16"/>
      <c r="C176" s="57"/>
      <c r="E176" s="16"/>
      <c r="F176" s="16"/>
      <c r="G176" s="16"/>
      <c r="H176" s="16"/>
      <c r="I176" s="16"/>
      <c r="J176" s="16"/>
      <c r="K176" s="16"/>
      <c r="L176" s="16"/>
      <c r="M176" s="16"/>
      <c r="N176" s="5" t="s">
        <v>112</v>
      </c>
      <c r="O176" s="16" t="str">
        <f t="shared" si="1"/>
        <v>#</v>
      </c>
      <c r="P176" s="16" t="str">
        <f t="shared" si="2"/>
        <v>#videoGame</v>
      </c>
      <c r="R176" s="16" t="str">
        <f>"("""&amp;C176&amp;""") ("&amp;Vlookup(E176,DropDown!B:C,2,FALSE)&amp; " OR ""Video Game"" OR Playstation OR iOS OR PS4 OR PS5 OR Xbox OR Switch OR Swtich 2 OR PC)"</f>
        <v>#N/A</v>
      </c>
      <c r="S176" s="44" t="str">
        <f>"("""&amp;C176&amp;""") ("&amp;Vlookup(E176,DropDown!K:L,2,FALSE)&amp; " | ""Video Game"" | Playstation | iOS | PS4 | PS5 | Xbox | Switch | Switch 2 | PC)"</f>
        <v>#N/A</v>
      </c>
      <c r="T176" s="44"/>
      <c r="U176" s="44"/>
      <c r="V176" s="44"/>
      <c r="W176" s="44"/>
      <c r="X176" s="44"/>
      <c r="Z176" s="44"/>
    </row>
    <row r="177">
      <c r="A177" s="16"/>
      <c r="B177" s="16"/>
      <c r="C177" s="57"/>
      <c r="E177" s="16"/>
      <c r="F177" s="16"/>
      <c r="G177" s="16"/>
      <c r="H177" s="16"/>
      <c r="I177" s="16"/>
      <c r="J177" s="16"/>
      <c r="K177" s="16"/>
      <c r="L177" s="16"/>
      <c r="M177" s="16"/>
      <c r="N177" s="5" t="s">
        <v>112</v>
      </c>
      <c r="O177" s="16" t="str">
        <f t="shared" si="1"/>
        <v>#</v>
      </c>
      <c r="P177" s="16" t="str">
        <f t="shared" si="2"/>
        <v>#videoGame</v>
      </c>
      <c r="R177" s="16" t="str">
        <f>"("""&amp;C177&amp;""") ("&amp;Vlookup(E177,DropDown!B:C,2,FALSE)&amp; " OR ""Video Game"" OR Playstation OR iOS OR PS4 OR PS5 OR Xbox OR Switch OR Swtich 2 OR PC)"</f>
        <v>#N/A</v>
      </c>
      <c r="S177" s="44" t="str">
        <f>"("""&amp;C177&amp;""") ("&amp;Vlookup(E177,DropDown!K:L,2,FALSE)&amp; " | ""Video Game"" | Playstation | iOS | PS4 | PS5 | Xbox | Switch | Switch 2 | PC)"</f>
        <v>#N/A</v>
      </c>
      <c r="T177" s="44"/>
      <c r="U177" s="44"/>
      <c r="V177" s="44"/>
      <c r="W177" s="44"/>
      <c r="X177" s="44"/>
      <c r="Z177" s="44"/>
    </row>
    <row r="178">
      <c r="A178" s="16"/>
      <c r="B178" s="16"/>
      <c r="C178" s="57"/>
      <c r="E178" s="16"/>
      <c r="F178" s="16"/>
      <c r="G178" s="16"/>
      <c r="H178" s="16"/>
      <c r="I178" s="16"/>
      <c r="J178" s="16"/>
      <c r="K178" s="16"/>
      <c r="L178" s="16"/>
      <c r="M178" s="16"/>
      <c r="N178" s="5" t="s">
        <v>112</v>
      </c>
      <c r="O178" s="16" t="str">
        <f t="shared" si="1"/>
        <v>#</v>
      </c>
      <c r="P178" s="16" t="str">
        <f t="shared" si="2"/>
        <v>#videoGame</v>
      </c>
      <c r="R178" s="16" t="str">
        <f>"("""&amp;C178&amp;""") ("&amp;Vlookup(E178,DropDown!B:C,2,FALSE)&amp; " OR ""Video Game"" OR Playstation OR iOS OR PS4 OR PS5 OR Xbox OR Switch OR Swtich 2 OR PC)"</f>
        <v>#N/A</v>
      </c>
      <c r="S178" s="44" t="str">
        <f>"("""&amp;C178&amp;""") ("&amp;Vlookup(E178,DropDown!K:L,2,FALSE)&amp; " | ""Video Game"" | Playstation | iOS | PS4 | PS5 | Xbox | Switch | Switch 2 | PC)"</f>
        <v>#N/A</v>
      </c>
      <c r="T178" s="44"/>
      <c r="U178" s="44"/>
      <c r="V178" s="44"/>
      <c r="W178" s="44"/>
      <c r="X178" s="44"/>
      <c r="Z178" s="44"/>
    </row>
    <row r="179">
      <c r="A179" s="16"/>
      <c r="B179" s="16"/>
      <c r="C179" s="57"/>
      <c r="E179" s="16"/>
      <c r="F179" s="16"/>
      <c r="G179" s="16"/>
      <c r="H179" s="16"/>
      <c r="I179" s="16"/>
      <c r="J179" s="16"/>
      <c r="K179" s="16"/>
      <c r="L179" s="16"/>
      <c r="M179" s="16"/>
      <c r="N179" s="5" t="s">
        <v>112</v>
      </c>
      <c r="O179" s="16" t="str">
        <f t="shared" si="1"/>
        <v>#</v>
      </c>
      <c r="P179" s="16" t="str">
        <f t="shared" si="2"/>
        <v>#videoGame</v>
      </c>
      <c r="R179" s="16" t="str">
        <f>"("""&amp;C179&amp;""") ("&amp;Vlookup(E179,DropDown!B:C,2,FALSE)&amp; " OR ""Video Game"" OR Playstation OR iOS OR PS4 OR PS5 OR Xbox OR Switch OR Swtich 2 OR PC)"</f>
        <v>#N/A</v>
      </c>
      <c r="S179" s="44" t="str">
        <f>"("""&amp;C179&amp;""") ("&amp;Vlookup(E179,DropDown!K:L,2,FALSE)&amp; " | ""Video Game"" | Playstation | iOS | PS4 | PS5 | Xbox | Switch | Switch 2 | PC)"</f>
        <v>#N/A</v>
      </c>
      <c r="T179" s="44"/>
      <c r="U179" s="44"/>
      <c r="V179" s="44"/>
      <c r="W179" s="44"/>
      <c r="X179" s="44"/>
      <c r="Z179" s="44"/>
    </row>
    <row r="180">
      <c r="A180" s="16"/>
      <c r="B180" s="16"/>
      <c r="C180" s="57"/>
      <c r="E180" s="16"/>
      <c r="F180" s="16"/>
      <c r="G180" s="16"/>
      <c r="H180" s="16"/>
      <c r="I180" s="16"/>
      <c r="J180" s="16"/>
      <c r="K180" s="16"/>
      <c r="L180" s="16"/>
      <c r="M180" s="16"/>
      <c r="N180" s="5" t="s">
        <v>112</v>
      </c>
      <c r="O180" s="16" t="str">
        <f t="shared" si="1"/>
        <v>#</v>
      </c>
      <c r="P180" s="16" t="str">
        <f t="shared" si="2"/>
        <v>#videoGame</v>
      </c>
      <c r="R180" s="16" t="str">
        <f>"("""&amp;C180&amp;""") ("&amp;Vlookup(E180,DropDown!B:C,2,FALSE)&amp; " OR ""Video Game"" OR Playstation OR iOS OR PS4 OR PS5 OR Xbox OR Switch OR Swtich 2 OR PC)"</f>
        <v>#N/A</v>
      </c>
      <c r="S180" s="44" t="str">
        <f>"("""&amp;C180&amp;""") ("&amp;Vlookup(E180,DropDown!K:L,2,FALSE)&amp; " | ""Video Game"" | Playstation | iOS | PS4 | PS5 | Xbox | Switch | Switch 2 | PC)"</f>
        <v>#N/A</v>
      </c>
      <c r="T180" s="44"/>
      <c r="U180" s="44"/>
      <c r="V180" s="44"/>
      <c r="W180" s="44"/>
      <c r="X180" s="44"/>
      <c r="Z180" s="44"/>
    </row>
    <row r="181">
      <c r="A181" s="16"/>
      <c r="B181" s="16"/>
      <c r="C181" s="57"/>
      <c r="E181" s="16"/>
      <c r="F181" s="16"/>
      <c r="G181" s="16"/>
      <c r="H181" s="16"/>
      <c r="I181" s="16"/>
      <c r="J181" s="16"/>
      <c r="K181" s="16"/>
      <c r="L181" s="16"/>
      <c r="M181" s="16"/>
      <c r="N181" s="5" t="s">
        <v>112</v>
      </c>
      <c r="O181" s="16" t="str">
        <f t="shared" si="1"/>
        <v>#</v>
      </c>
      <c r="P181" s="16" t="str">
        <f t="shared" si="2"/>
        <v>#videoGame</v>
      </c>
      <c r="R181" s="16" t="str">
        <f>"("""&amp;C181&amp;""") ("&amp;Vlookup(E181,DropDown!B:C,2,FALSE)&amp; " OR ""Video Game"" OR Playstation OR iOS OR PS4 OR PS5 OR Xbox OR Switch OR Swtich 2 OR PC)"</f>
        <v>#N/A</v>
      </c>
      <c r="S181" s="44" t="str">
        <f>"("""&amp;C181&amp;""") ("&amp;Vlookup(E181,DropDown!K:L,2,FALSE)&amp; " | ""Video Game"" | Playstation | iOS | PS4 | PS5 | Xbox | Switch | Switch 2 | PC)"</f>
        <v>#N/A</v>
      </c>
      <c r="T181" s="44"/>
      <c r="U181" s="44"/>
      <c r="V181" s="44"/>
      <c r="W181" s="44"/>
      <c r="X181" s="44"/>
      <c r="Z181" s="44"/>
    </row>
    <row r="182">
      <c r="A182" s="16"/>
      <c r="B182" s="16"/>
      <c r="C182" s="57"/>
      <c r="E182" s="16"/>
      <c r="F182" s="16"/>
      <c r="G182" s="16"/>
      <c r="H182" s="16"/>
      <c r="I182" s="16"/>
      <c r="J182" s="16"/>
      <c r="K182" s="16"/>
      <c r="L182" s="16"/>
      <c r="M182" s="16"/>
      <c r="N182" s="5" t="s">
        <v>112</v>
      </c>
      <c r="O182" s="16" t="str">
        <f t="shared" si="1"/>
        <v>#</v>
      </c>
      <c r="P182" s="16" t="str">
        <f t="shared" si="2"/>
        <v>#videoGame</v>
      </c>
      <c r="R182" s="16" t="str">
        <f>"("""&amp;C182&amp;""") ("&amp;Vlookup(E182,DropDown!B:C,2,FALSE)&amp; " OR ""Video Game"" OR Playstation OR iOS OR PS4 OR PS5 OR Xbox OR Switch OR Swtich 2 OR PC)"</f>
        <v>#N/A</v>
      </c>
      <c r="S182" s="44" t="str">
        <f>"("""&amp;C182&amp;""") ("&amp;Vlookup(E182,DropDown!K:L,2,FALSE)&amp; " | ""Video Game"" | Playstation | iOS | PS4 | PS5 | Xbox | Switch | Switch 2 | PC)"</f>
        <v>#N/A</v>
      </c>
      <c r="T182" s="44"/>
      <c r="U182" s="44"/>
      <c r="V182" s="44"/>
      <c r="W182" s="44"/>
      <c r="X182" s="44"/>
      <c r="Z182" s="44"/>
    </row>
    <row r="183">
      <c r="A183" s="16"/>
      <c r="B183" s="16"/>
      <c r="C183" s="57"/>
      <c r="E183" s="16"/>
      <c r="F183" s="16"/>
      <c r="G183" s="16"/>
      <c r="H183" s="16"/>
      <c r="I183" s="16"/>
      <c r="J183" s="16"/>
      <c r="K183" s="16"/>
      <c r="L183" s="16"/>
      <c r="M183" s="16"/>
      <c r="N183" s="5" t="s">
        <v>112</v>
      </c>
      <c r="O183" s="16" t="str">
        <f t="shared" si="1"/>
        <v>#</v>
      </c>
      <c r="P183" s="16" t="str">
        <f t="shared" si="2"/>
        <v>#videoGame</v>
      </c>
      <c r="R183" s="16" t="str">
        <f>"("""&amp;C183&amp;""") ("&amp;Vlookup(E183,DropDown!B:C,2,FALSE)&amp; " OR ""Video Game"" OR Playstation OR iOS OR PS4 OR PS5 OR Xbox OR Switch OR Swtich 2 OR PC)"</f>
        <v>#N/A</v>
      </c>
      <c r="S183" s="44" t="str">
        <f>"("""&amp;C183&amp;""") ("&amp;Vlookup(E183,DropDown!K:L,2,FALSE)&amp; " | ""Video Game"" | Playstation | iOS | PS4 | PS5 | Xbox | Switch | Switch 2 | PC)"</f>
        <v>#N/A</v>
      </c>
      <c r="T183" s="44"/>
      <c r="U183" s="44"/>
      <c r="V183" s="44"/>
      <c r="W183" s="44"/>
      <c r="X183" s="44"/>
      <c r="Z183" s="44"/>
    </row>
    <row r="184">
      <c r="A184" s="16"/>
      <c r="B184" s="16"/>
      <c r="C184" s="57"/>
      <c r="E184" s="16"/>
      <c r="F184" s="16"/>
      <c r="G184" s="16"/>
      <c r="H184" s="16"/>
      <c r="I184" s="16"/>
      <c r="J184" s="16"/>
      <c r="K184" s="16"/>
      <c r="L184" s="16"/>
      <c r="M184" s="16"/>
      <c r="N184" s="5" t="s">
        <v>112</v>
      </c>
      <c r="O184" s="16" t="str">
        <f t="shared" si="1"/>
        <v>#</v>
      </c>
      <c r="P184" s="16" t="str">
        <f t="shared" si="2"/>
        <v>#videoGame</v>
      </c>
      <c r="R184" s="16" t="str">
        <f>"("""&amp;C184&amp;""") ("&amp;Vlookup(E184,DropDown!B:C,2,FALSE)&amp; " OR ""Video Game"" OR Playstation OR iOS OR PS4 OR PS5 OR Xbox OR Switch OR Swtich 2 OR PC)"</f>
        <v>#N/A</v>
      </c>
      <c r="S184" s="44" t="str">
        <f>"("""&amp;C184&amp;""") ("&amp;Vlookup(E184,DropDown!K:L,2,FALSE)&amp; " | ""Video Game"" | Playstation | iOS | PS4 | PS5 | Xbox | Switch | Switch 2 | PC)"</f>
        <v>#N/A</v>
      </c>
      <c r="T184" s="44"/>
      <c r="U184" s="44"/>
      <c r="V184" s="44"/>
      <c r="W184" s="44"/>
      <c r="X184" s="44"/>
      <c r="Z184" s="44"/>
    </row>
    <row r="185">
      <c r="A185" s="16"/>
      <c r="B185" s="16"/>
      <c r="C185" s="57"/>
      <c r="E185" s="16"/>
      <c r="F185" s="16"/>
      <c r="G185" s="16"/>
      <c r="H185" s="16"/>
      <c r="I185" s="16"/>
      <c r="J185" s="16"/>
      <c r="K185" s="16"/>
      <c r="L185" s="16"/>
      <c r="M185" s="16"/>
      <c r="N185" s="5" t="s">
        <v>112</v>
      </c>
      <c r="O185" s="16" t="str">
        <f t="shared" si="1"/>
        <v>#</v>
      </c>
      <c r="P185" s="16" t="str">
        <f t="shared" si="2"/>
        <v>#videoGame</v>
      </c>
      <c r="R185" s="16" t="str">
        <f>"("""&amp;C185&amp;""") ("&amp;Vlookup(E185,DropDown!B:C,2,FALSE)&amp; " OR ""Video Game"" OR Playstation OR iOS OR PS4 OR PS5 OR Xbox OR Switch OR Swtich 2 OR PC)"</f>
        <v>#N/A</v>
      </c>
      <c r="S185" s="44" t="str">
        <f>"("""&amp;C185&amp;""") ("&amp;Vlookup(E185,DropDown!K:L,2,FALSE)&amp; " | ""Video Game"" | Playstation | iOS | PS4 | PS5 | Xbox | Switch | Switch 2 | PC)"</f>
        <v>#N/A</v>
      </c>
      <c r="T185" s="44"/>
      <c r="U185" s="44"/>
      <c r="V185" s="44"/>
      <c r="W185" s="44"/>
      <c r="X185" s="44"/>
      <c r="Z185" s="44"/>
    </row>
    <row r="186">
      <c r="A186" s="16"/>
      <c r="B186" s="16"/>
      <c r="C186" s="57"/>
      <c r="E186" s="16"/>
      <c r="F186" s="16"/>
      <c r="G186" s="16"/>
      <c r="H186" s="16"/>
      <c r="I186" s="16"/>
      <c r="J186" s="16"/>
      <c r="K186" s="16"/>
      <c r="L186" s="16"/>
      <c r="M186" s="16"/>
      <c r="N186" s="5" t="s">
        <v>112</v>
      </c>
      <c r="O186" s="16" t="str">
        <f t="shared" si="1"/>
        <v>#</v>
      </c>
      <c r="P186" s="16" t="str">
        <f t="shared" si="2"/>
        <v>#videoGame</v>
      </c>
      <c r="R186" s="16" t="str">
        <f>"("""&amp;C186&amp;""") ("&amp;Vlookup(E186,DropDown!B:C,2,FALSE)&amp; " OR ""Video Game"" OR Playstation OR iOS OR PS4 OR PS5 OR Xbox OR Switch OR Swtich 2 OR PC)"</f>
        <v>#N/A</v>
      </c>
      <c r="S186" s="44" t="str">
        <f>"("""&amp;C186&amp;""") ("&amp;Vlookup(E186,DropDown!K:L,2,FALSE)&amp; " | ""Video Game"" | Playstation | iOS | PS4 | PS5 | Xbox | Switch | Switch 2 | PC)"</f>
        <v>#N/A</v>
      </c>
      <c r="T186" s="44"/>
      <c r="U186" s="44"/>
      <c r="V186" s="44"/>
      <c r="W186" s="44"/>
      <c r="X186" s="44"/>
      <c r="Z186" s="44"/>
    </row>
    <row r="187">
      <c r="A187" s="16"/>
      <c r="B187" s="16"/>
      <c r="C187" s="57"/>
      <c r="E187" s="16"/>
      <c r="F187" s="16"/>
      <c r="G187" s="16"/>
      <c r="H187" s="16"/>
      <c r="I187" s="16"/>
      <c r="J187" s="16"/>
      <c r="K187" s="16"/>
      <c r="L187" s="16"/>
      <c r="M187" s="16"/>
      <c r="N187" s="5" t="s">
        <v>112</v>
      </c>
      <c r="O187" s="16" t="str">
        <f t="shared" si="1"/>
        <v>#</v>
      </c>
      <c r="P187" s="16" t="str">
        <f t="shared" si="2"/>
        <v>#videoGame</v>
      </c>
      <c r="R187" s="16" t="str">
        <f>"("""&amp;C187&amp;""") ("&amp;Vlookup(E187,DropDown!B:C,2,FALSE)&amp; " OR ""Video Game"" OR Playstation OR iOS OR PS4 OR PS5 OR Xbox OR Switch OR Swtich 2 OR PC)"</f>
        <v>#N/A</v>
      </c>
      <c r="S187" s="44" t="str">
        <f>"("""&amp;C187&amp;""") ("&amp;Vlookup(E187,DropDown!K:L,2,FALSE)&amp; " | ""Video Game"" | Playstation | iOS | PS4 | PS5 | Xbox | Switch | Switch 2 | PC)"</f>
        <v>#N/A</v>
      </c>
      <c r="T187" s="44"/>
      <c r="U187" s="44"/>
      <c r="V187" s="44"/>
      <c r="W187" s="44"/>
      <c r="X187" s="44"/>
      <c r="Z187" s="44"/>
    </row>
    <row r="188">
      <c r="A188" s="16"/>
      <c r="B188" s="16"/>
      <c r="C188" s="57"/>
      <c r="E188" s="16"/>
      <c r="F188" s="16"/>
      <c r="G188" s="16"/>
      <c r="H188" s="16"/>
      <c r="I188" s="16"/>
      <c r="J188" s="16"/>
      <c r="K188" s="16"/>
      <c r="L188" s="16"/>
      <c r="M188" s="16"/>
      <c r="N188" s="5" t="s">
        <v>112</v>
      </c>
      <c r="O188" s="16" t="str">
        <f t="shared" si="1"/>
        <v>#</v>
      </c>
      <c r="P188" s="16" t="str">
        <f t="shared" si="2"/>
        <v>#videoGame</v>
      </c>
      <c r="R188" s="16" t="str">
        <f>"("""&amp;C188&amp;""") ("&amp;Vlookup(E188,DropDown!B:C,2,FALSE)&amp; " OR ""Video Game"" OR Playstation OR iOS OR PS4 OR PS5 OR Xbox OR Switch OR Swtich 2 OR PC)"</f>
        <v>#N/A</v>
      </c>
      <c r="S188" s="44" t="str">
        <f>"("""&amp;C188&amp;""") ("&amp;Vlookup(E188,DropDown!K:L,2,FALSE)&amp; " | ""Video Game"" | Playstation | iOS | PS4 | PS5 | Xbox | Switch | Switch 2 | PC)"</f>
        <v>#N/A</v>
      </c>
      <c r="T188" s="44"/>
      <c r="U188" s="44"/>
      <c r="V188" s="44"/>
      <c r="W188" s="44"/>
      <c r="X188" s="44"/>
      <c r="Z188" s="44"/>
    </row>
    <row r="189">
      <c r="A189" s="16"/>
      <c r="B189" s="16"/>
      <c r="C189" s="57"/>
      <c r="E189" s="16"/>
      <c r="F189" s="16"/>
      <c r="G189" s="16"/>
      <c r="H189" s="16"/>
      <c r="I189" s="16"/>
      <c r="J189" s="16"/>
      <c r="K189" s="16"/>
      <c r="L189" s="16"/>
      <c r="M189" s="16"/>
      <c r="N189" s="5" t="s">
        <v>112</v>
      </c>
      <c r="O189" s="16" t="str">
        <f t="shared" si="1"/>
        <v>#</v>
      </c>
      <c r="P189" s="16" t="str">
        <f t="shared" si="2"/>
        <v>#videoGame</v>
      </c>
      <c r="R189" s="16" t="str">
        <f>"("""&amp;C189&amp;""") ("&amp;Vlookup(E189,DropDown!B:C,2,FALSE)&amp; " OR ""Video Game"" OR Playstation OR iOS OR PS4 OR PS5 OR Xbox OR Switch OR Swtich 2 OR PC)"</f>
        <v>#N/A</v>
      </c>
      <c r="S189" s="44" t="str">
        <f>"("""&amp;C189&amp;""") ("&amp;Vlookup(E189,DropDown!K:L,2,FALSE)&amp; " | ""Video Game"" | Playstation | iOS | PS4 | PS5 | Xbox | Switch | Switch 2 | PC)"</f>
        <v>#N/A</v>
      </c>
      <c r="T189" s="44"/>
      <c r="U189" s="44"/>
      <c r="V189" s="44"/>
      <c r="W189" s="44"/>
      <c r="X189" s="44"/>
      <c r="Z189" s="44"/>
    </row>
    <row r="190">
      <c r="A190" s="16"/>
      <c r="B190" s="16"/>
      <c r="C190" s="57"/>
      <c r="E190" s="16"/>
      <c r="F190" s="16"/>
      <c r="G190" s="16"/>
      <c r="H190" s="16"/>
      <c r="I190" s="16"/>
      <c r="J190" s="16"/>
      <c r="K190" s="16"/>
      <c r="L190" s="16"/>
      <c r="M190" s="16"/>
      <c r="N190" s="5" t="s">
        <v>112</v>
      </c>
      <c r="O190" s="16" t="str">
        <f t="shared" si="1"/>
        <v>#</v>
      </c>
      <c r="P190" s="16" t="str">
        <f t="shared" si="2"/>
        <v>#videoGame</v>
      </c>
      <c r="R190" s="16" t="str">
        <f>"("""&amp;C190&amp;""") ("&amp;Vlookup(E190,DropDown!B:C,2,FALSE)&amp; " OR ""Video Game"" OR Playstation OR iOS OR PS4 OR PS5 OR Xbox OR Switch OR Swtich 2 OR PC)"</f>
        <v>#N/A</v>
      </c>
      <c r="S190" s="44" t="str">
        <f>"("""&amp;C190&amp;""") ("&amp;Vlookup(E190,DropDown!K:L,2,FALSE)&amp; " | ""Video Game"" | Playstation | iOS | PS4 | PS5 | Xbox | Switch | Switch 2 | PC)"</f>
        <v>#N/A</v>
      </c>
      <c r="T190" s="44"/>
      <c r="U190" s="44"/>
      <c r="V190" s="44"/>
      <c r="W190" s="44"/>
      <c r="X190" s="44"/>
      <c r="Z190" s="44"/>
    </row>
    <row r="191">
      <c r="A191" s="16"/>
      <c r="B191" s="16"/>
      <c r="C191" s="57"/>
      <c r="E191" s="16"/>
      <c r="F191" s="16"/>
      <c r="G191" s="16"/>
      <c r="H191" s="16"/>
      <c r="I191" s="16"/>
      <c r="J191" s="16"/>
      <c r="K191" s="16"/>
      <c r="L191" s="16"/>
      <c r="M191" s="16"/>
      <c r="N191" s="5" t="s">
        <v>112</v>
      </c>
      <c r="O191" s="16" t="str">
        <f t="shared" si="1"/>
        <v>#</v>
      </c>
      <c r="P191" s="16" t="str">
        <f t="shared" si="2"/>
        <v>#videoGame</v>
      </c>
      <c r="R191" s="16" t="str">
        <f>"("""&amp;C191&amp;""") ("&amp;Vlookup(E191,DropDown!B:C,2,FALSE)&amp; " OR ""Video Game"" OR Playstation OR iOS OR PS4 OR PS5 OR Xbox OR Switch OR Swtich 2 OR PC)"</f>
        <v>#N/A</v>
      </c>
      <c r="S191" s="44" t="str">
        <f>"("""&amp;C191&amp;""") ("&amp;Vlookup(E191,DropDown!K:L,2,FALSE)&amp; " | ""Video Game"" | Playstation | iOS | PS4 | PS5 | Xbox | Switch | Switch 2 | PC)"</f>
        <v>#N/A</v>
      </c>
      <c r="T191" s="44"/>
      <c r="U191" s="44"/>
      <c r="V191" s="44"/>
      <c r="W191" s="44"/>
      <c r="X191" s="44"/>
      <c r="Z191" s="44"/>
    </row>
    <row r="192">
      <c r="A192" s="16"/>
      <c r="B192" s="16"/>
      <c r="C192" s="57"/>
      <c r="E192" s="16"/>
      <c r="F192" s="16"/>
      <c r="G192" s="16"/>
      <c r="H192" s="16"/>
      <c r="I192" s="16"/>
      <c r="J192" s="16"/>
      <c r="K192" s="16"/>
      <c r="L192" s="16"/>
      <c r="M192" s="16"/>
      <c r="N192" s="5" t="s">
        <v>112</v>
      </c>
      <c r="O192" s="16" t="str">
        <f t="shared" si="1"/>
        <v>#</v>
      </c>
      <c r="P192" s="16" t="str">
        <f t="shared" si="2"/>
        <v>#videoGame</v>
      </c>
      <c r="R192" s="16" t="str">
        <f>"("""&amp;C192&amp;""") ("&amp;Vlookup(E192,DropDown!B:C,2,FALSE)&amp; " OR ""Video Game"" OR Playstation OR iOS OR PS4 OR PS5 OR Xbox OR Switch OR Swtich 2 OR PC)"</f>
        <v>#N/A</v>
      </c>
      <c r="S192" s="44" t="str">
        <f>"("""&amp;C192&amp;""") ("&amp;Vlookup(E192,DropDown!K:L,2,FALSE)&amp; " | ""Video Game"" | Playstation | iOS | PS4 | PS5 | Xbox | Switch | Switch 2 | PC)"</f>
        <v>#N/A</v>
      </c>
      <c r="T192" s="44"/>
      <c r="U192" s="44"/>
      <c r="V192" s="44"/>
      <c r="W192" s="44"/>
      <c r="X192" s="44"/>
      <c r="Z192" s="44"/>
    </row>
    <row r="193">
      <c r="A193" s="16"/>
      <c r="B193" s="16"/>
      <c r="C193" s="57"/>
      <c r="E193" s="16"/>
      <c r="F193" s="16"/>
      <c r="G193" s="16"/>
      <c r="H193" s="16"/>
      <c r="I193" s="16"/>
      <c r="J193" s="16"/>
      <c r="K193" s="16"/>
      <c r="L193" s="16"/>
      <c r="M193" s="16"/>
      <c r="N193" s="5" t="s">
        <v>112</v>
      </c>
      <c r="O193" s="16" t="str">
        <f t="shared" si="1"/>
        <v>#</v>
      </c>
      <c r="P193" s="16" t="str">
        <f t="shared" si="2"/>
        <v>#videoGame</v>
      </c>
      <c r="R193" s="16" t="str">
        <f>"("""&amp;C193&amp;""") ("&amp;Vlookup(E193,DropDown!B:C,2,FALSE)&amp; " OR ""Video Game"" OR Playstation OR iOS OR PS4 OR PS5 OR Xbox OR Switch OR Swtich 2 OR PC)"</f>
        <v>#N/A</v>
      </c>
      <c r="S193" s="44" t="str">
        <f>"("""&amp;C193&amp;""") ("&amp;Vlookup(E193,DropDown!K:L,2,FALSE)&amp; " | ""Video Game"" | Playstation | iOS | PS4 | PS5 | Xbox | Switch | Switch 2 | PC)"</f>
        <v>#N/A</v>
      </c>
      <c r="T193" s="44"/>
      <c r="U193" s="44"/>
      <c r="V193" s="44"/>
      <c r="W193" s="44"/>
      <c r="X193" s="44"/>
      <c r="Z193" s="44"/>
    </row>
    <row r="194">
      <c r="A194" s="16"/>
      <c r="B194" s="16"/>
      <c r="C194" s="57"/>
      <c r="E194" s="16"/>
      <c r="F194" s="16"/>
      <c r="G194" s="16"/>
      <c r="H194" s="16"/>
      <c r="I194" s="16"/>
      <c r="J194" s="16"/>
      <c r="K194" s="16"/>
      <c r="L194" s="16"/>
      <c r="M194" s="16"/>
      <c r="N194" s="5" t="s">
        <v>112</v>
      </c>
      <c r="O194" s="16" t="str">
        <f t="shared" si="1"/>
        <v>#</v>
      </c>
      <c r="P194" s="16" t="str">
        <f t="shared" si="2"/>
        <v>#videoGame</v>
      </c>
      <c r="R194" s="16" t="str">
        <f>"("""&amp;C194&amp;""") ("&amp;Vlookup(E194,DropDown!B:C,2,FALSE)&amp; " OR ""Video Game"" OR Playstation OR iOS OR PS4 OR PS5 OR Xbox OR Switch OR Swtich 2 OR PC)"</f>
        <v>#N/A</v>
      </c>
      <c r="S194" s="44" t="str">
        <f>"("""&amp;C194&amp;""") ("&amp;Vlookup(E194,DropDown!K:L,2,FALSE)&amp; " | ""Video Game"" | Playstation | iOS | PS4 | PS5 | Xbox | Switch | Switch 2 | PC)"</f>
        <v>#N/A</v>
      </c>
      <c r="T194" s="44"/>
      <c r="U194" s="44"/>
      <c r="V194" s="44"/>
      <c r="W194" s="44"/>
      <c r="X194" s="44"/>
      <c r="Z194" s="44"/>
    </row>
    <row r="195">
      <c r="A195" s="16"/>
      <c r="B195" s="16"/>
      <c r="C195" s="57"/>
      <c r="E195" s="16"/>
      <c r="F195" s="16"/>
      <c r="G195" s="16"/>
      <c r="H195" s="16"/>
      <c r="I195" s="16"/>
      <c r="J195" s="16"/>
      <c r="K195" s="16"/>
      <c r="L195" s="16"/>
      <c r="M195" s="16"/>
      <c r="N195" s="5" t="s">
        <v>112</v>
      </c>
      <c r="O195" s="16" t="str">
        <f t="shared" si="1"/>
        <v>#</v>
      </c>
      <c r="P195" s="16" t="str">
        <f t="shared" si="2"/>
        <v>#videoGame</v>
      </c>
      <c r="R195" s="16" t="str">
        <f>"("""&amp;C195&amp;""") ("&amp;Vlookup(E195,DropDown!B:C,2,FALSE)&amp; " OR ""Video Game"" OR Playstation OR iOS OR PS4 OR PS5 OR Xbox OR Switch OR Swtich 2 OR PC)"</f>
        <v>#N/A</v>
      </c>
      <c r="S195" s="44" t="str">
        <f>"("""&amp;C195&amp;""") ("&amp;Vlookup(E195,DropDown!K:L,2,FALSE)&amp; " | ""Video Game"" | Playstation | iOS | PS4 | PS5 | Xbox | Switch | Switch 2 | PC)"</f>
        <v>#N/A</v>
      </c>
      <c r="T195" s="44"/>
      <c r="U195" s="44"/>
      <c r="V195" s="44"/>
      <c r="W195" s="44"/>
      <c r="X195" s="44"/>
      <c r="Z195" s="44"/>
    </row>
    <row r="196">
      <c r="A196" s="16"/>
      <c r="B196" s="16"/>
      <c r="C196" s="57"/>
      <c r="E196" s="16"/>
      <c r="F196" s="16"/>
      <c r="G196" s="16"/>
      <c r="H196" s="16"/>
      <c r="I196" s="16"/>
      <c r="J196" s="16"/>
      <c r="K196" s="16"/>
      <c r="L196" s="16"/>
      <c r="M196" s="16"/>
      <c r="N196" s="5" t="s">
        <v>112</v>
      </c>
      <c r="O196" s="16" t="str">
        <f t="shared" si="1"/>
        <v>#</v>
      </c>
      <c r="P196" s="16" t="str">
        <f t="shared" si="2"/>
        <v>#videoGame</v>
      </c>
      <c r="R196" s="16" t="str">
        <f>"("""&amp;C196&amp;""") ("&amp;Vlookup(E196,DropDown!B:C,2,FALSE)&amp; " OR ""Video Game"" OR Playstation OR iOS OR PS4 OR PS5 OR Xbox OR Switch OR Swtich 2 OR PC)"</f>
        <v>#N/A</v>
      </c>
      <c r="S196" s="44" t="str">
        <f>"("""&amp;C196&amp;""") ("&amp;Vlookup(E196,DropDown!K:L,2,FALSE)&amp; " | ""Video Game"" | Playstation | iOS | PS4 | PS5 | Xbox | Switch | Switch 2 | PC)"</f>
        <v>#N/A</v>
      </c>
      <c r="T196" s="44"/>
      <c r="U196" s="44"/>
      <c r="V196" s="44"/>
      <c r="W196" s="44"/>
      <c r="X196" s="44"/>
      <c r="Z196" s="44"/>
    </row>
    <row r="197">
      <c r="A197" s="16"/>
      <c r="B197" s="16"/>
      <c r="C197" s="57"/>
      <c r="E197" s="16"/>
      <c r="F197" s="16"/>
      <c r="G197" s="16"/>
      <c r="H197" s="16"/>
      <c r="I197" s="16"/>
      <c r="J197" s="16"/>
      <c r="K197" s="16"/>
      <c r="L197" s="16"/>
      <c r="M197" s="16"/>
      <c r="N197" s="5" t="s">
        <v>112</v>
      </c>
      <c r="O197" s="16" t="str">
        <f t="shared" si="1"/>
        <v>#</v>
      </c>
      <c r="P197" s="16" t="str">
        <f t="shared" si="2"/>
        <v>#videoGame</v>
      </c>
      <c r="R197" s="16" t="str">
        <f>"("""&amp;C197&amp;""") ("&amp;Vlookup(E197,DropDown!B:C,2,FALSE)&amp; " OR ""Video Game"" OR Playstation OR iOS OR PS4 OR PS5 OR Xbox OR Switch OR Swtich 2 OR PC)"</f>
        <v>#N/A</v>
      </c>
      <c r="S197" s="44" t="str">
        <f>"("""&amp;C197&amp;""") ("&amp;Vlookup(E197,DropDown!K:L,2,FALSE)&amp; " | ""Video Game"" | Playstation | iOS | PS4 | PS5 | Xbox | Switch | Switch 2 | PC)"</f>
        <v>#N/A</v>
      </c>
      <c r="T197" s="44"/>
      <c r="U197" s="44"/>
      <c r="V197" s="44"/>
      <c r="W197" s="44"/>
      <c r="X197" s="44"/>
      <c r="Z197" s="44"/>
    </row>
    <row r="198">
      <c r="A198" s="16"/>
      <c r="B198" s="16"/>
      <c r="C198" s="57"/>
      <c r="E198" s="16"/>
      <c r="F198" s="16"/>
      <c r="G198" s="16"/>
      <c r="H198" s="16"/>
      <c r="I198" s="16"/>
      <c r="J198" s="16"/>
      <c r="K198" s="16"/>
      <c r="L198" s="16"/>
      <c r="M198" s="16"/>
      <c r="N198" s="5" t="s">
        <v>112</v>
      </c>
      <c r="O198" s="16" t="str">
        <f t="shared" si="1"/>
        <v>#</v>
      </c>
      <c r="P198" s="16" t="str">
        <f t="shared" si="2"/>
        <v>#videoGame</v>
      </c>
      <c r="R198" s="16" t="str">
        <f>"("""&amp;C198&amp;""") ("&amp;Vlookup(E198,DropDown!B:C,2,FALSE)&amp; " OR ""Video Game"" OR Playstation OR iOS OR PS4 OR PS5 OR Xbox OR Switch OR Swtich 2 OR PC)"</f>
        <v>#N/A</v>
      </c>
      <c r="S198" s="44" t="str">
        <f>"("""&amp;C198&amp;""") ("&amp;Vlookup(E198,DropDown!K:L,2,FALSE)&amp; " | ""Video Game"" | Playstation | iOS | PS4 | PS5 | Xbox | Switch | Switch 2 | PC)"</f>
        <v>#N/A</v>
      </c>
      <c r="T198" s="44"/>
      <c r="U198" s="44"/>
      <c r="V198" s="44"/>
      <c r="W198" s="44"/>
      <c r="X198" s="44"/>
      <c r="Z198" s="44"/>
    </row>
    <row r="199">
      <c r="A199" s="16"/>
      <c r="B199" s="16"/>
      <c r="C199" s="57"/>
      <c r="E199" s="16"/>
      <c r="F199" s="16"/>
      <c r="G199" s="16"/>
      <c r="H199" s="16"/>
      <c r="I199" s="16"/>
      <c r="J199" s="16"/>
      <c r="K199" s="16"/>
      <c r="L199" s="16"/>
      <c r="M199" s="16"/>
      <c r="N199" s="5" t="s">
        <v>112</v>
      </c>
      <c r="O199" s="16" t="str">
        <f t="shared" si="1"/>
        <v>#</v>
      </c>
      <c r="P199" s="16" t="str">
        <f t="shared" si="2"/>
        <v>#videoGame</v>
      </c>
      <c r="R199" s="16" t="str">
        <f>"("""&amp;C199&amp;""") ("&amp;Vlookup(E199,DropDown!B:C,2,FALSE)&amp; " OR ""Video Game"" OR Playstation OR iOS OR PS4 OR PS5 OR Xbox OR Switch OR Swtich 2 OR PC)"</f>
        <v>#N/A</v>
      </c>
      <c r="S199" s="44" t="str">
        <f>"("""&amp;C199&amp;""") ("&amp;Vlookup(E199,DropDown!K:L,2,FALSE)&amp; " | ""Video Game"" | Playstation | iOS | PS4 | PS5 | Xbox | Switch | Switch 2 | PC)"</f>
        <v>#N/A</v>
      </c>
      <c r="T199" s="44"/>
      <c r="U199" s="44"/>
      <c r="V199" s="44"/>
      <c r="W199" s="44"/>
      <c r="X199" s="44"/>
      <c r="Z199" s="44"/>
    </row>
    <row r="200">
      <c r="A200" s="16"/>
      <c r="B200" s="16"/>
      <c r="C200" s="57"/>
      <c r="E200" s="16"/>
      <c r="F200" s="16"/>
      <c r="G200" s="16"/>
      <c r="H200" s="16"/>
      <c r="I200" s="16"/>
      <c r="J200" s="16"/>
      <c r="K200" s="16"/>
      <c r="L200" s="16"/>
      <c r="M200" s="16"/>
      <c r="N200" s="5" t="s">
        <v>112</v>
      </c>
      <c r="O200" s="16" t="str">
        <f t="shared" si="1"/>
        <v>#</v>
      </c>
      <c r="P200" s="16" t="str">
        <f t="shared" si="2"/>
        <v>#videoGame</v>
      </c>
      <c r="R200" s="16" t="str">
        <f>"("""&amp;C200&amp;""") ("&amp;Vlookup(E200,DropDown!B:C,2,FALSE)&amp; " OR ""Video Game"" OR Playstation OR iOS OR PS4 OR PS5 OR Xbox OR Switch OR Swtich 2 OR PC)"</f>
        <v>#N/A</v>
      </c>
      <c r="S200" s="44" t="str">
        <f>"("""&amp;C200&amp;""") ("&amp;Vlookup(E200,DropDown!K:L,2,FALSE)&amp; " | ""Video Game"" | Playstation | iOS | PS4 | PS5 | Xbox | Switch | Switch 2 | PC)"</f>
        <v>#N/A</v>
      </c>
      <c r="T200" s="44"/>
      <c r="U200" s="44"/>
      <c r="V200" s="44"/>
      <c r="W200" s="44"/>
      <c r="X200" s="44"/>
      <c r="Z200" s="44"/>
    </row>
    <row r="201">
      <c r="A201" s="16"/>
      <c r="B201" s="16"/>
      <c r="C201" s="57"/>
      <c r="E201" s="16"/>
      <c r="F201" s="16"/>
      <c r="G201" s="16"/>
      <c r="H201" s="16"/>
      <c r="I201" s="16"/>
      <c r="J201" s="16"/>
      <c r="K201" s="16"/>
      <c r="L201" s="16"/>
      <c r="M201" s="16"/>
      <c r="N201" s="5" t="s">
        <v>112</v>
      </c>
      <c r="O201" s="16" t="str">
        <f t="shared" si="1"/>
        <v>#</v>
      </c>
      <c r="P201" s="16" t="str">
        <f t="shared" si="2"/>
        <v>#videoGame</v>
      </c>
      <c r="R201" s="16" t="str">
        <f>"("""&amp;C201&amp;""") ("&amp;Vlookup(E201,DropDown!B:C,2,FALSE)&amp; " OR ""Video Game"" OR Playstation OR iOS OR PS4 OR PS5 OR Xbox OR Switch OR Swtich 2 OR PC)"</f>
        <v>#N/A</v>
      </c>
      <c r="S201" s="44" t="str">
        <f>"("""&amp;C201&amp;""") ("&amp;Vlookup(E201,DropDown!K:L,2,FALSE)&amp; " | ""Video Game"" | Playstation | iOS | PS4 | PS5 | Xbox | Switch | Switch 2 | PC)"</f>
        <v>#N/A</v>
      </c>
      <c r="T201" s="44"/>
      <c r="U201" s="44"/>
      <c r="V201" s="44"/>
      <c r="W201" s="44"/>
      <c r="X201" s="44"/>
      <c r="Z201" s="44"/>
    </row>
    <row r="202">
      <c r="A202" s="16"/>
      <c r="B202" s="16"/>
      <c r="C202" s="57"/>
      <c r="E202" s="16"/>
      <c r="F202" s="16"/>
      <c r="G202" s="16"/>
      <c r="H202" s="16"/>
      <c r="I202" s="16"/>
      <c r="J202" s="16"/>
      <c r="K202" s="16"/>
      <c r="L202" s="16"/>
      <c r="M202" s="16"/>
      <c r="N202" s="5" t="s">
        <v>112</v>
      </c>
      <c r="O202" s="16" t="str">
        <f t="shared" si="1"/>
        <v>#</v>
      </c>
      <c r="P202" s="16" t="str">
        <f t="shared" si="2"/>
        <v>#videoGame</v>
      </c>
      <c r="R202" s="16" t="str">
        <f>"("""&amp;C202&amp;""") ("&amp;Vlookup(E202,DropDown!B:C,2,FALSE)&amp; " OR ""Video Game"" OR Playstation OR iOS OR PS4 OR PS5 OR Xbox OR Switch OR Swtich 2 OR PC)"</f>
        <v>#N/A</v>
      </c>
      <c r="S202" s="44" t="str">
        <f>"("""&amp;C202&amp;""") ("&amp;Vlookup(E202,DropDown!K:L,2,FALSE)&amp; " | ""Video Game"" | Playstation | iOS | PS4 | PS5 | Xbox | Switch | Switch 2 | PC)"</f>
        <v>#N/A</v>
      </c>
      <c r="T202" s="44"/>
      <c r="U202" s="44"/>
      <c r="V202" s="44"/>
      <c r="W202" s="44"/>
      <c r="X202" s="44"/>
      <c r="Z202" s="44"/>
    </row>
    <row r="203">
      <c r="A203" s="16"/>
      <c r="B203" s="16"/>
      <c r="C203" s="57"/>
      <c r="E203" s="16"/>
      <c r="F203" s="16"/>
      <c r="G203" s="16"/>
      <c r="H203" s="16"/>
      <c r="I203" s="16"/>
      <c r="J203" s="16"/>
      <c r="K203" s="16"/>
      <c r="L203" s="16"/>
      <c r="M203" s="16"/>
      <c r="N203" s="5" t="s">
        <v>112</v>
      </c>
      <c r="O203" s="16" t="str">
        <f t="shared" si="1"/>
        <v>#</v>
      </c>
      <c r="P203" s="16" t="str">
        <f t="shared" si="2"/>
        <v>#videoGame</v>
      </c>
      <c r="R203" s="16" t="str">
        <f>"("""&amp;C203&amp;""") ("&amp;Vlookup(E203,DropDown!B:C,2,FALSE)&amp; " OR ""Video Game"" OR Playstation OR iOS OR PS4 OR PS5 OR Xbox OR Switch OR Swtich 2 OR PC)"</f>
        <v>#N/A</v>
      </c>
      <c r="S203" s="44" t="str">
        <f>"("""&amp;C203&amp;""") ("&amp;Vlookup(E203,DropDown!K:L,2,FALSE)&amp; " | ""Video Game"" | Playstation | iOS | PS4 | PS5 | Xbox | Switch | Switch 2 | PC)"</f>
        <v>#N/A</v>
      </c>
      <c r="T203" s="44"/>
      <c r="U203" s="44"/>
      <c r="V203" s="44"/>
      <c r="W203" s="44"/>
      <c r="X203" s="44"/>
      <c r="Z203" s="44"/>
    </row>
    <row r="204">
      <c r="A204" s="16"/>
      <c r="B204" s="16"/>
      <c r="C204" s="57"/>
      <c r="E204" s="16"/>
      <c r="F204" s="16"/>
      <c r="G204" s="16"/>
      <c r="H204" s="16"/>
      <c r="I204" s="16"/>
      <c r="J204" s="16"/>
      <c r="K204" s="16"/>
      <c r="L204" s="16"/>
      <c r="M204" s="16"/>
      <c r="N204" s="5" t="s">
        <v>112</v>
      </c>
      <c r="O204" s="16" t="str">
        <f t="shared" si="1"/>
        <v>#</v>
      </c>
      <c r="P204" s="16" t="str">
        <f t="shared" si="2"/>
        <v>#videoGame</v>
      </c>
      <c r="R204" s="16" t="str">
        <f>"("""&amp;C204&amp;""") ("&amp;Vlookup(E204,DropDown!B:C,2,FALSE)&amp; " OR ""Video Game"" OR Playstation OR iOS OR PS4 OR PS5 OR Xbox OR Switch OR Swtich 2 OR PC)"</f>
        <v>#N/A</v>
      </c>
      <c r="S204" s="44" t="str">
        <f>"("""&amp;C204&amp;""") ("&amp;Vlookup(E204,DropDown!K:L,2,FALSE)&amp; " | ""Video Game"" | Playstation | iOS | PS4 | PS5 | Xbox | Switch | Switch 2 | PC)"</f>
        <v>#N/A</v>
      </c>
      <c r="T204" s="44"/>
      <c r="U204" s="44"/>
      <c r="V204" s="44"/>
      <c r="W204" s="44"/>
      <c r="X204" s="44"/>
      <c r="Z204" s="44"/>
    </row>
    <row r="205">
      <c r="A205" s="16"/>
      <c r="B205" s="16"/>
      <c r="C205" s="57"/>
      <c r="E205" s="16"/>
      <c r="F205" s="16"/>
      <c r="G205" s="16"/>
      <c r="H205" s="16"/>
      <c r="I205" s="16"/>
      <c r="J205" s="16"/>
      <c r="K205" s="16"/>
      <c r="L205" s="16"/>
      <c r="M205" s="16"/>
      <c r="N205" s="5" t="s">
        <v>112</v>
      </c>
      <c r="O205" s="16" t="str">
        <f t="shared" si="1"/>
        <v>#</v>
      </c>
      <c r="P205" s="16" t="str">
        <f t="shared" si="2"/>
        <v>#videoGame</v>
      </c>
      <c r="R205" s="16" t="str">
        <f>"("""&amp;C205&amp;""") ("&amp;Vlookup(E205,DropDown!B:C,2,FALSE)&amp; " OR ""Video Game"" OR Playstation OR iOS OR PS4 OR PS5 OR Xbox OR Switch OR Swtich 2 OR PC)"</f>
        <v>#N/A</v>
      </c>
      <c r="S205" s="44" t="str">
        <f>"("""&amp;C205&amp;""") ("&amp;Vlookup(E205,DropDown!K:L,2,FALSE)&amp; " | ""Video Game"" | Playstation | iOS | PS4 | PS5 | Xbox | Switch | Switch 2 | PC)"</f>
        <v>#N/A</v>
      </c>
      <c r="T205" s="44"/>
      <c r="U205" s="44"/>
      <c r="V205" s="44"/>
      <c r="W205" s="44"/>
      <c r="X205" s="44"/>
      <c r="Z205" s="44"/>
    </row>
    <row r="206">
      <c r="A206" s="16"/>
      <c r="B206" s="16"/>
      <c r="C206" s="57"/>
      <c r="E206" s="16"/>
      <c r="F206" s="16"/>
      <c r="G206" s="16"/>
      <c r="H206" s="16"/>
      <c r="I206" s="16"/>
      <c r="J206" s="16"/>
      <c r="K206" s="16"/>
      <c r="L206" s="16"/>
      <c r="M206" s="16"/>
      <c r="N206" s="5" t="s">
        <v>112</v>
      </c>
      <c r="O206" s="16" t="str">
        <f t="shared" si="1"/>
        <v>#</v>
      </c>
      <c r="P206" s="16" t="str">
        <f t="shared" si="2"/>
        <v>#videoGame</v>
      </c>
      <c r="R206" s="16" t="str">
        <f>"("""&amp;C206&amp;""") ("&amp;Vlookup(E206,DropDown!B:C,2,FALSE)&amp; " OR ""Video Game"" OR Playstation OR iOS OR PS4 OR PS5 OR Xbox OR Switch OR Swtich 2 OR PC)"</f>
        <v>#N/A</v>
      </c>
      <c r="S206" s="44" t="str">
        <f>"("""&amp;C206&amp;""") ("&amp;Vlookup(E206,DropDown!K:L,2,FALSE)&amp; " | ""Video Game"" | Playstation | iOS | PS4 | PS5 | Xbox | Switch | Switch 2 | PC)"</f>
        <v>#N/A</v>
      </c>
      <c r="T206" s="44"/>
      <c r="U206" s="44"/>
      <c r="V206" s="44"/>
      <c r="W206" s="44"/>
      <c r="X206" s="44"/>
      <c r="Z206" s="44"/>
    </row>
    <row r="207">
      <c r="A207" s="16"/>
      <c r="B207" s="16"/>
      <c r="C207" s="57"/>
      <c r="E207" s="16"/>
      <c r="F207" s="16"/>
      <c r="G207" s="16"/>
      <c r="H207" s="16"/>
      <c r="I207" s="16"/>
      <c r="J207" s="16"/>
      <c r="K207" s="16"/>
      <c r="L207" s="16"/>
      <c r="M207" s="16"/>
      <c r="N207" s="5" t="s">
        <v>112</v>
      </c>
      <c r="O207" s="16" t="str">
        <f t="shared" si="1"/>
        <v>#</v>
      </c>
      <c r="P207" s="16" t="str">
        <f t="shared" si="2"/>
        <v>#videoGame</v>
      </c>
      <c r="R207" s="16" t="str">
        <f>"("""&amp;C207&amp;""") ("&amp;Vlookup(E207,DropDown!B:C,2,FALSE)&amp; " OR ""Video Game"" OR Playstation OR iOS OR PS4 OR PS5 OR Xbox OR Switch OR Swtich 2 OR PC)"</f>
        <v>#N/A</v>
      </c>
      <c r="S207" s="44" t="str">
        <f>"("""&amp;C207&amp;""") ("&amp;Vlookup(E207,DropDown!K:L,2,FALSE)&amp; " | ""Video Game"" | Playstation | iOS | PS4 | PS5 | Xbox | Switch | Switch 2 | PC)"</f>
        <v>#N/A</v>
      </c>
      <c r="T207" s="44"/>
      <c r="U207" s="44"/>
      <c r="V207" s="44"/>
      <c r="W207" s="44"/>
      <c r="X207" s="44"/>
      <c r="Z207" s="44"/>
    </row>
    <row r="208">
      <c r="A208" s="16"/>
      <c r="B208" s="16"/>
      <c r="C208" s="57"/>
      <c r="E208" s="16"/>
      <c r="F208" s="16"/>
      <c r="G208" s="16"/>
      <c r="H208" s="16"/>
      <c r="I208" s="16"/>
      <c r="J208" s="16"/>
      <c r="K208" s="16"/>
      <c r="L208" s="16"/>
      <c r="M208" s="16"/>
      <c r="N208" s="5" t="s">
        <v>112</v>
      </c>
      <c r="O208" s="16" t="str">
        <f t="shared" si="1"/>
        <v>#</v>
      </c>
      <c r="P208" s="16" t="str">
        <f t="shared" si="2"/>
        <v>#videoGame</v>
      </c>
      <c r="R208" s="16" t="str">
        <f>"("""&amp;C208&amp;""") ("&amp;Vlookup(E208,DropDown!B:C,2,FALSE)&amp; " OR ""Video Game"" OR Playstation OR iOS OR PS4 OR PS5 OR Xbox OR Switch OR Swtich 2 OR PC)"</f>
        <v>#N/A</v>
      </c>
      <c r="S208" s="44" t="str">
        <f>"("""&amp;C208&amp;""") ("&amp;Vlookup(E208,DropDown!K:L,2,FALSE)&amp; " | ""Video Game"" | Playstation | iOS | PS4 | PS5 | Xbox | Switch | Switch 2 | PC)"</f>
        <v>#N/A</v>
      </c>
      <c r="T208" s="44"/>
      <c r="U208" s="44"/>
      <c r="V208" s="44"/>
      <c r="W208" s="44"/>
      <c r="X208" s="44"/>
      <c r="Z208" s="44"/>
    </row>
    <row r="209">
      <c r="A209" s="16"/>
      <c r="B209" s="16"/>
      <c r="C209" s="57"/>
      <c r="E209" s="16"/>
      <c r="F209" s="16"/>
      <c r="G209" s="16"/>
      <c r="H209" s="16"/>
      <c r="I209" s="16"/>
      <c r="J209" s="16"/>
      <c r="K209" s="16"/>
      <c r="L209" s="16"/>
      <c r="M209" s="16"/>
      <c r="N209" s="5" t="s">
        <v>112</v>
      </c>
      <c r="O209" s="16" t="str">
        <f t="shared" si="1"/>
        <v>#</v>
      </c>
      <c r="P209" s="16" t="str">
        <f t="shared" si="2"/>
        <v>#videoGame</v>
      </c>
      <c r="R209" s="16" t="str">
        <f>"("""&amp;C209&amp;""") ("&amp;Vlookup(E209,DropDown!B:C,2,FALSE)&amp; " OR ""Video Game"" OR Playstation OR iOS OR PS4 OR PS5 OR Xbox OR Switch OR Swtich 2 OR PC)"</f>
        <v>#N/A</v>
      </c>
      <c r="S209" s="44" t="str">
        <f>"("""&amp;C209&amp;""") ("&amp;Vlookup(E209,DropDown!K:L,2,FALSE)&amp; " | ""Video Game"" | Playstation | iOS | PS4 | PS5 | Xbox | Switch | Switch 2 | PC)"</f>
        <v>#N/A</v>
      </c>
      <c r="T209" s="44"/>
      <c r="U209" s="44"/>
      <c r="V209" s="44"/>
      <c r="W209" s="44"/>
      <c r="X209" s="44"/>
      <c r="Z209" s="44"/>
    </row>
    <row r="210">
      <c r="A210" s="16"/>
      <c r="B210" s="16"/>
      <c r="C210" s="57"/>
      <c r="E210" s="16"/>
      <c r="F210" s="16"/>
      <c r="G210" s="16"/>
      <c r="H210" s="16"/>
      <c r="I210" s="16"/>
      <c r="J210" s="16"/>
      <c r="K210" s="16"/>
      <c r="L210" s="16"/>
      <c r="M210" s="16"/>
      <c r="N210" s="5" t="s">
        <v>112</v>
      </c>
      <c r="O210" s="16" t="str">
        <f t="shared" si="1"/>
        <v>#</v>
      </c>
      <c r="P210" s="16" t="str">
        <f t="shared" si="2"/>
        <v>#videoGame</v>
      </c>
      <c r="R210" s="16" t="str">
        <f>"("""&amp;C210&amp;""") ("&amp;Vlookup(E210,DropDown!B:C,2,FALSE)&amp; " OR ""Video Game"" OR Playstation OR iOS OR PS4 OR PS5 OR Xbox OR Switch OR Swtich 2 OR PC)"</f>
        <v>#N/A</v>
      </c>
      <c r="S210" s="44" t="str">
        <f>"("""&amp;C210&amp;""") ("&amp;Vlookup(E210,DropDown!K:L,2,FALSE)&amp; " | ""Video Game"" | Playstation | iOS | PS4 | PS5 | Xbox | Switch | Switch 2 | PC)"</f>
        <v>#N/A</v>
      </c>
      <c r="T210" s="44"/>
      <c r="U210" s="44"/>
      <c r="V210" s="44"/>
      <c r="W210" s="44"/>
      <c r="X210" s="44"/>
      <c r="Z210" s="44"/>
    </row>
    <row r="211">
      <c r="A211" s="16"/>
      <c r="B211" s="16"/>
      <c r="C211" s="57"/>
      <c r="E211" s="16"/>
      <c r="F211" s="16"/>
      <c r="G211" s="16"/>
      <c r="H211" s="16"/>
      <c r="I211" s="16"/>
      <c r="J211" s="16"/>
      <c r="K211" s="16"/>
      <c r="L211" s="16"/>
      <c r="M211" s="16"/>
      <c r="N211" s="5" t="s">
        <v>112</v>
      </c>
      <c r="O211" s="16" t="str">
        <f t="shared" si="1"/>
        <v>#</v>
      </c>
      <c r="P211" s="16" t="str">
        <f t="shared" si="2"/>
        <v>#videoGame</v>
      </c>
      <c r="R211" s="16" t="str">
        <f>"("""&amp;C211&amp;""") ("&amp;Vlookup(E211,DropDown!B:C,2,FALSE)&amp; " OR ""Video Game"" OR Playstation OR iOS OR PS4 OR PS5 OR Xbox OR Switch OR Swtich 2 OR PC)"</f>
        <v>#N/A</v>
      </c>
      <c r="S211" s="44" t="str">
        <f>"("""&amp;C211&amp;""") ("&amp;Vlookup(E211,DropDown!K:L,2,FALSE)&amp; " | ""Video Game"" | Playstation | iOS | PS4 | PS5 | Xbox | Switch | Switch 2 | PC)"</f>
        <v>#N/A</v>
      </c>
      <c r="T211" s="44"/>
      <c r="U211" s="44"/>
      <c r="V211" s="44"/>
      <c r="W211" s="44"/>
      <c r="X211" s="44"/>
      <c r="Z211" s="44"/>
    </row>
    <row r="212">
      <c r="A212" s="16"/>
      <c r="B212" s="16"/>
      <c r="C212" s="57"/>
      <c r="E212" s="16"/>
      <c r="F212" s="16"/>
      <c r="G212" s="16"/>
      <c r="H212" s="16"/>
      <c r="I212" s="16"/>
      <c r="J212" s="16"/>
      <c r="K212" s="16"/>
      <c r="L212" s="16"/>
      <c r="M212" s="16"/>
      <c r="N212" s="5" t="s">
        <v>112</v>
      </c>
      <c r="O212" s="16" t="str">
        <f t="shared" si="1"/>
        <v>#</v>
      </c>
      <c r="P212" s="16" t="str">
        <f t="shared" si="2"/>
        <v>#videoGame</v>
      </c>
      <c r="R212" s="16" t="str">
        <f>"("""&amp;C212&amp;""") ("&amp;Vlookup(E212,DropDown!B:C,2,FALSE)&amp; " OR ""Video Game"" OR Playstation OR iOS OR PS4 OR PS5 OR Xbox OR Switch OR Swtich 2 OR PC)"</f>
        <v>#N/A</v>
      </c>
      <c r="S212" s="44" t="str">
        <f>"("""&amp;C212&amp;""") ("&amp;Vlookup(E212,DropDown!K:L,2,FALSE)&amp; " | ""Video Game"" | Playstation | iOS | PS4 | PS5 | Xbox | Switch | Switch 2 | PC)"</f>
        <v>#N/A</v>
      </c>
      <c r="T212" s="44"/>
      <c r="U212" s="44"/>
      <c r="V212" s="44"/>
      <c r="W212" s="44"/>
      <c r="X212" s="44"/>
      <c r="Z212" s="44"/>
    </row>
    <row r="213">
      <c r="A213" s="16"/>
      <c r="B213" s="16"/>
      <c r="C213" s="57"/>
      <c r="E213" s="16"/>
      <c r="F213" s="16"/>
      <c r="G213" s="16"/>
      <c r="H213" s="16"/>
      <c r="I213" s="16"/>
      <c r="J213" s="16"/>
      <c r="K213" s="16"/>
      <c r="L213" s="16"/>
      <c r="M213" s="16"/>
      <c r="N213" s="5" t="s">
        <v>112</v>
      </c>
      <c r="O213" s="16" t="str">
        <f t="shared" si="1"/>
        <v>#</v>
      </c>
      <c r="P213" s="16" t="str">
        <f t="shared" si="2"/>
        <v>#videoGame</v>
      </c>
      <c r="R213" s="16" t="str">
        <f>"("""&amp;C213&amp;""") ("&amp;Vlookup(E213,DropDown!B:C,2,FALSE)&amp; " OR ""Video Game"" OR Playstation OR iOS OR PS4 OR PS5 OR Xbox OR Switch OR Swtich 2 OR PC)"</f>
        <v>#N/A</v>
      </c>
      <c r="S213" s="44" t="str">
        <f>"("""&amp;C213&amp;""") ("&amp;Vlookup(E213,DropDown!K:L,2,FALSE)&amp; " | ""Video Game"" | Playstation | iOS | PS4 | PS5 | Xbox | Switch | Switch 2 | PC)"</f>
        <v>#N/A</v>
      </c>
      <c r="T213" s="44"/>
      <c r="U213" s="44"/>
      <c r="V213" s="44"/>
      <c r="W213" s="44"/>
      <c r="X213" s="44"/>
      <c r="Z213" s="44"/>
    </row>
    <row r="214">
      <c r="A214" s="16"/>
      <c r="B214" s="16"/>
      <c r="C214" s="57"/>
      <c r="E214" s="16"/>
      <c r="F214" s="16"/>
      <c r="G214" s="16"/>
      <c r="H214" s="16"/>
      <c r="I214" s="16"/>
      <c r="J214" s="16"/>
      <c r="K214" s="16"/>
      <c r="L214" s="16"/>
      <c r="M214" s="16"/>
      <c r="N214" s="5" t="s">
        <v>112</v>
      </c>
      <c r="O214" s="16" t="str">
        <f t="shared" si="1"/>
        <v>#</v>
      </c>
      <c r="P214" s="16" t="str">
        <f t="shared" si="2"/>
        <v>#videoGame</v>
      </c>
      <c r="R214" s="16" t="str">
        <f>"("""&amp;C214&amp;""") ("&amp;Vlookup(E214,DropDown!B:C,2,FALSE)&amp; " OR ""Video Game"" OR Playstation OR iOS OR PS4 OR PS5 OR Xbox OR Switch OR Swtich 2 OR PC)"</f>
        <v>#N/A</v>
      </c>
      <c r="S214" s="44" t="str">
        <f>"("""&amp;C214&amp;""") ("&amp;Vlookup(E214,DropDown!K:L,2,FALSE)&amp; " | ""Video Game"" | Playstation | iOS | PS4 | PS5 | Xbox | Switch | Switch 2 | PC)"</f>
        <v>#N/A</v>
      </c>
      <c r="T214" s="44"/>
      <c r="U214" s="44"/>
      <c r="V214" s="44"/>
      <c r="W214" s="44"/>
      <c r="X214" s="44"/>
      <c r="Z214" s="44"/>
    </row>
    <row r="215">
      <c r="A215" s="16"/>
      <c r="B215" s="16"/>
      <c r="C215" s="57"/>
      <c r="E215" s="16"/>
      <c r="F215" s="16"/>
      <c r="G215" s="16"/>
      <c r="H215" s="16"/>
      <c r="I215" s="16"/>
      <c r="J215" s="16"/>
      <c r="K215" s="16"/>
      <c r="L215" s="16"/>
      <c r="M215" s="16"/>
      <c r="N215" s="5" t="s">
        <v>112</v>
      </c>
      <c r="O215" s="16" t="str">
        <f t="shared" si="1"/>
        <v>#</v>
      </c>
      <c r="P215" s="16" t="str">
        <f t="shared" si="2"/>
        <v>#videoGame</v>
      </c>
      <c r="R215" s="16" t="str">
        <f>"("""&amp;C215&amp;""") ("&amp;Vlookup(E215,DropDown!B:C,2,FALSE)&amp; " OR ""Video Game"" OR Playstation OR iOS OR PS4 OR PS5 OR Xbox OR Switch OR Swtich 2 OR PC)"</f>
        <v>#N/A</v>
      </c>
      <c r="S215" s="44" t="str">
        <f>"("""&amp;C215&amp;""") ("&amp;Vlookup(E215,DropDown!K:L,2,FALSE)&amp; " | ""Video Game"" | Playstation | iOS | PS4 | PS5 | Xbox | Switch | Switch 2 | PC)"</f>
        <v>#N/A</v>
      </c>
      <c r="T215" s="44"/>
      <c r="U215" s="44"/>
      <c r="V215" s="44"/>
      <c r="W215" s="44"/>
      <c r="X215" s="44"/>
      <c r="Z215" s="44"/>
    </row>
    <row r="216">
      <c r="A216" s="16"/>
      <c r="B216" s="16"/>
      <c r="E216" s="16"/>
      <c r="F216" s="16"/>
      <c r="G216" s="16"/>
      <c r="H216" s="16"/>
      <c r="I216" s="16"/>
      <c r="J216" s="16"/>
      <c r="K216" s="16"/>
      <c r="L216" s="16"/>
      <c r="M216" s="16"/>
      <c r="N216" s="5" t="s">
        <v>112</v>
      </c>
      <c r="O216" s="16" t="str">
        <f t="shared" si="1"/>
        <v>#</v>
      </c>
      <c r="P216" s="16" t="str">
        <f t="shared" si="2"/>
        <v>#videoGame</v>
      </c>
      <c r="R216" s="16" t="str">
        <f>"("""&amp;C216&amp;""") ("&amp;Vlookup(E216,DropDown!B:C,2,FALSE)&amp; " OR ""Video Game"" OR Playstation OR iOS OR PS4 OR PS5 OR Xbox OR Switch OR Swtich 2 OR PC)"</f>
        <v>#N/A</v>
      </c>
      <c r="S216" s="44" t="str">
        <f>"("""&amp;C216&amp;""") ("&amp;Vlookup(E216,DropDown!K:L,2,FALSE)&amp; " | ""Video Game"" | Playstation | iOS | PS4 | PS5 | Xbox | Switch | Switch 2 | PC)"</f>
        <v>#N/A</v>
      </c>
      <c r="T216" s="44"/>
      <c r="U216" s="44"/>
      <c r="V216" s="44"/>
      <c r="W216" s="44"/>
      <c r="X216" s="44"/>
      <c r="Z216" s="44"/>
    </row>
    <row r="217">
      <c r="A217" s="16"/>
      <c r="B217" s="16"/>
      <c r="E217" s="16"/>
      <c r="F217" s="16"/>
      <c r="G217" s="16"/>
      <c r="H217" s="16"/>
      <c r="I217" s="16"/>
      <c r="J217" s="16"/>
      <c r="K217" s="16"/>
      <c r="L217" s="16"/>
      <c r="M217" s="16"/>
      <c r="N217" s="5" t="s">
        <v>112</v>
      </c>
      <c r="O217" s="16" t="str">
        <f t="shared" si="1"/>
        <v>#</v>
      </c>
      <c r="P217" s="16" t="str">
        <f t="shared" si="2"/>
        <v>#videoGame</v>
      </c>
      <c r="R217" s="16" t="str">
        <f>"("""&amp;C217&amp;""") ("&amp;Vlookup(E217,DropDown!B:C,2,FALSE)&amp; " OR ""Video Game"" OR Playstation OR iOS OR PS4 OR PS5 OR Xbox OR Switch OR Swtich 2 OR PC)"</f>
        <v>#N/A</v>
      </c>
      <c r="S217" s="44" t="str">
        <f>"("""&amp;C217&amp;""") ("&amp;Vlookup(E217,DropDown!K:L,2,FALSE)&amp; " | ""Video Game"" | Playstation | iOS | PS4 | PS5 | Xbox | Switch | Switch 2 | PC)"</f>
        <v>#N/A</v>
      </c>
      <c r="T217" s="44"/>
      <c r="U217" s="44"/>
      <c r="V217" s="44"/>
      <c r="W217" s="44"/>
      <c r="X217" s="44"/>
      <c r="Z217" s="44"/>
    </row>
    <row r="218">
      <c r="A218" s="16"/>
      <c r="B218" s="16"/>
      <c r="E218" s="16"/>
      <c r="F218" s="16"/>
      <c r="G218" s="16"/>
      <c r="H218" s="16"/>
      <c r="I218" s="16"/>
      <c r="J218" s="16"/>
      <c r="K218" s="16"/>
      <c r="L218" s="16"/>
      <c r="M218" s="16"/>
      <c r="N218" s="5" t="s">
        <v>112</v>
      </c>
      <c r="O218" s="16" t="str">
        <f t="shared" si="1"/>
        <v>#</v>
      </c>
      <c r="P218" s="16" t="str">
        <f t="shared" si="2"/>
        <v>#videoGame</v>
      </c>
      <c r="R218" s="16" t="str">
        <f>"("""&amp;C218&amp;""") ("&amp;Vlookup(E218,DropDown!B:C,2,FALSE)&amp; " OR ""Video Game"" OR Playstation OR iOS OR PS4 OR PS5 OR Xbox OR Switch OR Swtich 2 OR PC)"</f>
        <v>#N/A</v>
      </c>
      <c r="S218" s="44" t="str">
        <f>"("""&amp;C218&amp;""") ("&amp;Vlookup(E218,DropDown!K:L,2,FALSE)&amp; " | ""Video Game"" | Playstation | iOS | PS4 | PS5 | Xbox | Switch | Switch 2 | PC)"</f>
        <v>#N/A</v>
      </c>
      <c r="T218" s="44"/>
      <c r="U218" s="44"/>
      <c r="V218" s="44"/>
      <c r="W218" s="44"/>
      <c r="X218" s="44"/>
      <c r="Z218" s="44"/>
    </row>
    <row r="219">
      <c r="A219" s="16"/>
      <c r="B219" s="16"/>
      <c r="E219" s="16"/>
      <c r="F219" s="16"/>
      <c r="G219" s="16"/>
      <c r="H219" s="16"/>
      <c r="I219" s="16"/>
      <c r="J219" s="16"/>
      <c r="K219" s="16"/>
      <c r="L219" s="16"/>
      <c r="M219" s="16"/>
      <c r="N219" s="5" t="s">
        <v>112</v>
      </c>
      <c r="O219" s="16" t="str">
        <f t="shared" si="1"/>
        <v>#</v>
      </c>
      <c r="P219" s="16" t="str">
        <f t="shared" si="2"/>
        <v>#videoGame</v>
      </c>
      <c r="R219" s="16" t="str">
        <f>"("""&amp;C219&amp;""") ("&amp;Vlookup(E219,DropDown!B:C,2,FALSE)&amp; " OR ""Video Game"" OR Playstation OR iOS OR PS4 OR PS5 OR Xbox OR Switch OR Swtich 2 OR PC)"</f>
        <v>#N/A</v>
      </c>
      <c r="S219" s="44" t="str">
        <f>"("""&amp;C219&amp;""") ("&amp;Vlookup(E219,DropDown!K:L,2,FALSE)&amp; " | ""Video Game"" | Playstation | iOS | PS4 | PS5 | Xbox | Switch | Switch 2 | PC)"</f>
        <v>#N/A</v>
      </c>
      <c r="T219" s="44"/>
      <c r="U219" s="44"/>
      <c r="V219" s="44"/>
      <c r="W219" s="44"/>
      <c r="X219" s="44"/>
      <c r="Z219" s="44"/>
    </row>
    <row r="220">
      <c r="A220" s="16"/>
      <c r="B220" s="16"/>
      <c r="E220" s="16"/>
      <c r="F220" s="16"/>
      <c r="G220" s="16"/>
      <c r="H220" s="16"/>
      <c r="I220" s="16"/>
      <c r="J220" s="16"/>
      <c r="K220" s="16"/>
      <c r="L220" s="16"/>
      <c r="M220" s="16"/>
      <c r="N220" s="5" t="s">
        <v>112</v>
      </c>
      <c r="O220" s="16" t="str">
        <f t="shared" si="1"/>
        <v>#</v>
      </c>
      <c r="P220" s="16" t="str">
        <f t="shared" si="2"/>
        <v>#videoGame</v>
      </c>
      <c r="R220" s="16" t="str">
        <f>"("""&amp;C220&amp;""") ("&amp;Vlookup(E220,DropDown!B:C,2,FALSE)&amp; " OR ""Video Game"" OR Playstation OR iOS OR PS4 OR PS5 OR Xbox OR Switch OR Swtich 2 OR PC)"</f>
        <v>#N/A</v>
      </c>
      <c r="S220" s="44" t="str">
        <f>"("""&amp;C220&amp;""") ("&amp;Vlookup(E220,DropDown!K:L,2,FALSE)&amp; " | ""Video Game"" | Playstation | iOS | PS4 | PS5 | Xbox | Switch | Switch 2 | PC)"</f>
        <v>#N/A</v>
      </c>
      <c r="T220" s="44"/>
      <c r="U220" s="44"/>
      <c r="V220" s="44"/>
      <c r="W220" s="44"/>
      <c r="X220" s="44"/>
      <c r="Z220" s="44"/>
    </row>
    <row r="221">
      <c r="A221" s="16"/>
      <c r="B221" s="16"/>
      <c r="E221" s="16"/>
      <c r="F221" s="16"/>
      <c r="G221" s="16"/>
      <c r="H221" s="16"/>
      <c r="I221" s="16"/>
      <c r="J221" s="16"/>
      <c r="K221" s="16"/>
      <c r="L221" s="16"/>
      <c r="M221" s="16"/>
      <c r="N221" s="5" t="s">
        <v>112</v>
      </c>
      <c r="O221" s="16" t="str">
        <f t="shared" si="1"/>
        <v>#</v>
      </c>
      <c r="P221" s="16" t="str">
        <f t="shared" si="2"/>
        <v>#videoGame</v>
      </c>
      <c r="R221" s="16" t="str">
        <f>"("""&amp;C221&amp;""") ("&amp;Vlookup(E221,DropDown!B:C,2,FALSE)&amp; " OR ""Video Game"" OR Playstation OR iOS OR PS4 OR PS5 OR Xbox OR Switch OR Swtich 2 OR PC)"</f>
        <v>#N/A</v>
      </c>
      <c r="S221" s="44" t="str">
        <f>"("""&amp;C221&amp;""") ("&amp;Vlookup(E221,DropDown!K:L,2,FALSE)&amp; " | ""Video Game"" | Playstation | iOS | PS4 | PS5 | Xbox | Switch | Switch 2 | PC)"</f>
        <v>#N/A</v>
      </c>
      <c r="T221" s="44"/>
      <c r="U221" s="44"/>
      <c r="V221" s="44"/>
      <c r="W221" s="44"/>
      <c r="X221" s="44"/>
      <c r="Z221" s="44"/>
    </row>
    <row r="222">
      <c r="A222" s="16"/>
      <c r="B222" s="16"/>
      <c r="E222" s="16"/>
      <c r="F222" s="16"/>
      <c r="G222" s="16"/>
      <c r="H222" s="16"/>
      <c r="I222" s="16"/>
      <c r="J222" s="16"/>
      <c r="K222" s="16"/>
      <c r="L222" s="16"/>
      <c r="M222" s="16"/>
      <c r="N222" s="5" t="s">
        <v>112</v>
      </c>
      <c r="O222" s="16" t="str">
        <f t="shared" si="1"/>
        <v>#</v>
      </c>
      <c r="P222" s="16" t="str">
        <f t="shared" si="2"/>
        <v>#videoGame</v>
      </c>
      <c r="R222" s="16" t="str">
        <f>"("""&amp;C222&amp;""") ("&amp;Vlookup(E222,DropDown!B:C,2,FALSE)&amp; " OR ""Video Game"" OR Playstation OR iOS OR PS4 OR PS5 OR Xbox OR Switch OR Swtich 2 OR PC)"</f>
        <v>#N/A</v>
      </c>
      <c r="S222" s="44" t="str">
        <f>"("""&amp;C222&amp;""") ("&amp;Vlookup(E222,DropDown!K:L,2,FALSE)&amp; " | ""Video Game"" | Playstation | iOS | PS4 | PS5 | Xbox | Switch | Switch 2 | PC)"</f>
        <v>#N/A</v>
      </c>
      <c r="T222" s="44"/>
      <c r="U222" s="44"/>
      <c r="V222" s="44"/>
      <c r="W222" s="44"/>
      <c r="X222" s="44"/>
      <c r="Z222" s="44"/>
    </row>
    <row r="223">
      <c r="A223" s="16"/>
      <c r="B223" s="16"/>
      <c r="E223" s="16"/>
      <c r="F223" s="16"/>
      <c r="G223" s="16"/>
      <c r="H223" s="16"/>
      <c r="I223" s="16"/>
      <c r="J223" s="16"/>
      <c r="K223" s="16"/>
      <c r="L223" s="16"/>
      <c r="M223" s="16"/>
      <c r="N223" s="5" t="s">
        <v>112</v>
      </c>
      <c r="O223" s="16" t="str">
        <f t="shared" si="1"/>
        <v>#</v>
      </c>
      <c r="P223" s="16" t="str">
        <f t="shared" si="2"/>
        <v>#videoGame</v>
      </c>
      <c r="R223" s="16" t="str">
        <f>"("""&amp;C223&amp;""") ("&amp;Vlookup(E223,DropDown!B:C,2,FALSE)&amp; " OR ""Video Game"" OR Playstation OR iOS OR PS4 OR PS5 OR Xbox OR Switch OR Swtich 2 OR PC)"</f>
        <v>#N/A</v>
      </c>
      <c r="S223" s="44" t="str">
        <f>"("""&amp;C223&amp;""") ("&amp;Vlookup(E223,DropDown!K:L,2,FALSE)&amp; " | ""Video Game"" | Playstation | iOS | PS4 | PS5 | Xbox | Switch | Switch 2 | PC)"</f>
        <v>#N/A</v>
      </c>
      <c r="T223" s="44"/>
      <c r="U223" s="44"/>
      <c r="V223" s="44"/>
      <c r="W223" s="44"/>
      <c r="X223" s="44"/>
      <c r="Z223" s="44"/>
    </row>
    <row r="224">
      <c r="A224" s="16"/>
      <c r="B224" s="16"/>
      <c r="E224" s="16"/>
      <c r="F224" s="16"/>
      <c r="G224" s="16"/>
      <c r="H224" s="16"/>
      <c r="I224" s="16"/>
      <c r="J224" s="16"/>
      <c r="K224" s="16"/>
      <c r="L224" s="16"/>
      <c r="M224" s="16"/>
      <c r="N224" s="5" t="s">
        <v>112</v>
      </c>
      <c r="O224" s="16" t="str">
        <f t="shared" si="1"/>
        <v>#</v>
      </c>
      <c r="P224" s="16" t="str">
        <f t="shared" si="2"/>
        <v>#videoGame</v>
      </c>
      <c r="R224" s="16" t="str">
        <f>"("""&amp;C224&amp;""") ("&amp;Vlookup(E224,DropDown!B:C,2,FALSE)&amp; " OR ""Video Game"" OR Playstation OR iOS OR PS4 OR PS5 OR Xbox OR Switch OR Swtich 2 OR PC)"</f>
        <v>#N/A</v>
      </c>
      <c r="S224" s="44" t="str">
        <f>"("""&amp;C224&amp;""") ("&amp;Vlookup(E224,DropDown!K:L,2,FALSE)&amp; " | ""Video Game"" | Playstation | iOS | PS4 | PS5 | Xbox | Switch | Switch 2 | PC)"</f>
        <v>#N/A</v>
      </c>
      <c r="T224" s="44"/>
      <c r="U224" s="44"/>
      <c r="V224" s="44"/>
      <c r="W224" s="44"/>
      <c r="X224" s="44"/>
      <c r="Z224" s="44"/>
    </row>
    <row r="225">
      <c r="A225" s="16"/>
      <c r="B225" s="16"/>
      <c r="E225" s="16"/>
      <c r="F225" s="16"/>
      <c r="G225" s="16"/>
      <c r="H225" s="16"/>
      <c r="I225" s="16"/>
      <c r="J225" s="16"/>
      <c r="K225" s="16"/>
      <c r="L225" s="16"/>
      <c r="M225" s="16"/>
      <c r="N225" s="5" t="s">
        <v>112</v>
      </c>
      <c r="O225" s="16" t="str">
        <f t="shared" si="1"/>
        <v>#</v>
      </c>
      <c r="P225" s="16" t="str">
        <f t="shared" si="2"/>
        <v>#videoGame</v>
      </c>
      <c r="R225" s="16" t="str">
        <f>"("""&amp;C225&amp;""") ("&amp;Vlookup(E225,DropDown!B:C,2,FALSE)&amp; " OR ""Video Game"" OR Playstation OR iOS OR PS4 OR PS5 OR Xbox OR Switch OR Swtich 2 OR PC)"</f>
        <v>#N/A</v>
      </c>
      <c r="S225" s="44" t="str">
        <f>"("""&amp;C225&amp;""") ("&amp;Vlookup(E225,DropDown!K:L,2,FALSE)&amp; " | ""Video Game"" | Playstation | iOS | PS4 | PS5 | Xbox | Switch | Switch 2 | PC)"</f>
        <v>#N/A</v>
      </c>
      <c r="T225" s="44"/>
      <c r="U225" s="44"/>
      <c r="V225" s="44"/>
      <c r="W225" s="44"/>
      <c r="X225" s="44"/>
      <c r="Z225" s="44"/>
    </row>
    <row r="226">
      <c r="A226" s="16"/>
      <c r="B226" s="16"/>
      <c r="E226" s="16"/>
      <c r="F226" s="16"/>
      <c r="G226" s="16"/>
      <c r="H226" s="16"/>
      <c r="I226" s="16"/>
      <c r="J226" s="16"/>
      <c r="K226" s="16"/>
      <c r="L226" s="16"/>
      <c r="M226" s="16"/>
      <c r="N226" s="5" t="s">
        <v>112</v>
      </c>
      <c r="O226" s="16" t="str">
        <f t="shared" si="1"/>
        <v>#</v>
      </c>
      <c r="P226" s="16" t="str">
        <f t="shared" si="2"/>
        <v>#videoGame</v>
      </c>
      <c r="R226" s="16" t="str">
        <f>"("""&amp;C226&amp;""") ("&amp;Vlookup(E226,DropDown!B:C,2,FALSE)&amp; " OR ""Video Game"" OR Playstation OR iOS OR PS4 OR PS5 OR Xbox OR Switch OR Swtich 2 OR PC)"</f>
        <v>#N/A</v>
      </c>
      <c r="S226" s="44" t="str">
        <f>"("""&amp;C226&amp;""") ("&amp;Vlookup(E226,DropDown!K:L,2,FALSE)&amp; " | ""Video Game"" | Playstation | iOS | PS4 | PS5 | Xbox | Switch | Switch 2 | PC)"</f>
        <v>#N/A</v>
      </c>
      <c r="T226" s="44"/>
      <c r="U226" s="44"/>
      <c r="V226" s="44"/>
      <c r="W226" s="44"/>
      <c r="X226" s="44"/>
      <c r="Z226" s="44"/>
    </row>
    <row r="227">
      <c r="A227" s="16"/>
      <c r="B227" s="16"/>
      <c r="E227" s="16"/>
      <c r="F227" s="16"/>
      <c r="G227" s="16"/>
      <c r="H227" s="16"/>
      <c r="I227" s="16"/>
      <c r="J227" s="16"/>
      <c r="K227" s="16"/>
      <c r="L227" s="16"/>
      <c r="M227" s="16"/>
      <c r="N227" s="5" t="s">
        <v>112</v>
      </c>
      <c r="O227" s="16" t="str">
        <f t="shared" si="1"/>
        <v>#</v>
      </c>
      <c r="P227" s="16" t="str">
        <f t="shared" si="2"/>
        <v>#videoGame</v>
      </c>
      <c r="R227" s="16" t="str">
        <f>"("""&amp;C227&amp;""") ("&amp;Vlookup(E227,DropDown!B:C,2,FALSE)&amp; " OR ""Video Game"" OR Playstation OR iOS OR PS4 OR PS5 OR Xbox OR Switch OR Swtich 2 OR PC)"</f>
        <v>#N/A</v>
      </c>
      <c r="S227" s="44" t="str">
        <f>"("""&amp;C227&amp;""") ("&amp;Vlookup(E227,DropDown!K:L,2,FALSE)&amp; " | ""Video Game"" | Playstation | iOS | PS4 | PS5 | Xbox | Switch | Switch 2 | PC)"</f>
        <v>#N/A</v>
      </c>
      <c r="T227" s="44"/>
      <c r="U227" s="44"/>
      <c r="V227" s="44"/>
      <c r="W227" s="44"/>
      <c r="X227" s="44"/>
      <c r="Z227" s="44"/>
    </row>
    <row r="228">
      <c r="A228" s="16"/>
      <c r="B228" s="16"/>
      <c r="E228" s="16"/>
      <c r="F228" s="16"/>
      <c r="G228" s="16"/>
      <c r="H228" s="16"/>
      <c r="I228" s="16"/>
      <c r="J228" s="16"/>
      <c r="K228" s="16"/>
      <c r="L228" s="16"/>
      <c r="M228" s="16"/>
      <c r="N228" s="5" t="s">
        <v>112</v>
      </c>
      <c r="O228" s="16" t="str">
        <f t="shared" si="1"/>
        <v>#</v>
      </c>
      <c r="P228" s="16" t="str">
        <f t="shared" si="2"/>
        <v>#videoGame</v>
      </c>
      <c r="R228" s="16" t="str">
        <f>"("""&amp;C228&amp;""") ("&amp;Vlookup(E228,DropDown!B:C,2,FALSE)&amp; " OR ""Video Game"" OR Playstation OR iOS OR PS4 OR PS5 OR Xbox OR Switch OR Swtich 2 OR PC)"</f>
        <v>#N/A</v>
      </c>
      <c r="S228" s="44" t="str">
        <f>"("""&amp;C228&amp;""") ("&amp;Vlookup(E228,DropDown!K:L,2,FALSE)&amp; " | ""Video Game"" | Playstation | iOS | PS4 | PS5 | Xbox | Switch | Switch 2 | PC)"</f>
        <v>#N/A</v>
      </c>
      <c r="T228" s="44"/>
      <c r="U228" s="44"/>
      <c r="V228" s="44"/>
      <c r="W228" s="44"/>
      <c r="X228" s="44"/>
      <c r="Z228" s="44"/>
    </row>
    <row r="229">
      <c r="A229" s="16"/>
      <c r="B229" s="16"/>
      <c r="E229" s="16"/>
      <c r="F229" s="16"/>
      <c r="G229" s="16"/>
      <c r="H229" s="16"/>
      <c r="I229" s="16"/>
      <c r="J229" s="16"/>
      <c r="K229" s="16"/>
      <c r="L229" s="16"/>
      <c r="M229" s="16"/>
      <c r="N229" s="5" t="s">
        <v>112</v>
      </c>
      <c r="O229" s="16" t="str">
        <f t="shared" si="1"/>
        <v>#</v>
      </c>
      <c r="P229" s="16" t="str">
        <f t="shared" si="2"/>
        <v>#videoGame</v>
      </c>
      <c r="R229" s="16" t="str">
        <f>"("""&amp;C229&amp;""") ("&amp;Vlookup(E229,DropDown!B:C,2,FALSE)&amp; " OR ""Video Game"" OR Playstation OR iOS OR PS4 OR PS5 OR Xbox OR Switch OR Swtich 2 OR PC)"</f>
        <v>#N/A</v>
      </c>
      <c r="S229" s="44" t="str">
        <f>"("""&amp;C229&amp;""") ("&amp;Vlookup(E229,DropDown!K:L,2,FALSE)&amp; " | ""Video Game"" | Playstation | iOS | PS4 | PS5 | Xbox | Switch | Switch 2 | PC)"</f>
        <v>#N/A</v>
      </c>
      <c r="T229" s="44"/>
      <c r="U229" s="44"/>
      <c r="V229" s="44"/>
      <c r="W229" s="44"/>
      <c r="X229" s="44"/>
      <c r="Z229" s="44"/>
    </row>
    <row r="230">
      <c r="A230" s="16"/>
      <c r="B230" s="16"/>
      <c r="E230" s="16"/>
      <c r="F230" s="16"/>
      <c r="G230" s="16"/>
      <c r="H230" s="16"/>
      <c r="I230" s="16"/>
      <c r="J230" s="16"/>
      <c r="K230" s="16"/>
      <c r="L230" s="16"/>
      <c r="M230" s="16"/>
      <c r="N230" s="5" t="s">
        <v>112</v>
      </c>
      <c r="O230" s="16" t="str">
        <f t="shared" si="1"/>
        <v>#</v>
      </c>
      <c r="P230" s="16" t="str">
        <f t="shared" si="2"/>
        <v>#videoGame</v>
      </c>
      <c r="R230" s="16" t="str">
        <f>"("""&amp;C230&amp;""") ("&amp;Vlookup(E230,DropDown!B:C,2,FALSE)&amp; " OR ""Video Game"" OR Playstation OR iOS OR PS4 OR PS5 OR Xbox OR Switch OR Swtich 2 OR PC)"</f>
        <v>#N/A</v>
      </c>
      <c r="S230" s="44" t="str">
        <f>"("""&amp;C230&amp;""") ("&amp;Vlookup(E230,DropDown!K:L,2,FALSE)&amp; " | ""Video Game"" | Playstation | iOS | PS4 | PS5 | Xbox | Switch | Switch 2 | PC)"</f>
        <v>#N/A</v>
      </c>
      <c r="T230" s="44"/>
      <c r="U230" s="44"/>
      <c r="V230" s="44"/>
      <c r="W230" s="44"/>
      <c r="X230" s="44"/>
      <c r="Z230" s="44"/>
    </row>
    <row r="231">
      <c r="A231" s="16"/>
      <c r="B231" s="16"/>
      <c r="E231" s="16"/>
      <c r="F231" s="16"/>
      <c r="G231" s="16"/>
      <c r="H231" s="16"/>
      <c r="I231" s="16"/>
      <c r="J231" s="16"/>
      <c r="K231" s="16"/>
      <c r="L231" s="16"/>
      <c r="M231" s="16"/>
      <c r="N231" s="5" t="s">
        <v>112</v>
      </c>
      <c r="O231" s="16" t="str">
        <f t="shared" si="1"/>
        <v>#</v>
      </c>
      <c r="P231" s="16" t="str">
        <f t="shared" si="2"/>
        <v>#videoGame</v>
      </c>
      <c r="R231" s="16" t="str">
        <f>"("""&amp;C231&amp;""") ("&amp;Vlookup(E231,DropDown!B:C,2,FALSE)&amp; " OR ""Video Game"" OR Playstation OR iOS OR PS4 OR PS5 OR Xbox OR Switch OR Swtich 2 OR PC)"</f>
        <v>#N/A</v>
      </c>
      <c r="S231" s="44" t="str">
        <f>"("""&amp;C231&amp;""") ("&amp;Vlookup(E231,DropDown!K:L,2,FALSE)&amp; " | ""Video Game"" | Playstation | iOS | PS4 | PS5 | Xbox | Switch | Switch 2 | PC)"</f>
        <v>#N/A</v>
      </c>
      <c r="T231" s="44"/>
      <c r="U231" s="44"/>
      <c r="V231" s="44"/>
      <c r="W231" s="44"/>
      <c r="X231" s="44"/>
      <c r="Z231" s="44"/>
    </row>
    <row r="232">
      <c r="A232" s="16"/>
      <c r="B232" s="16"/>
      <c r="E232" s="16"/>
      <c r="F232" s="16"/>
      <c r="G232" s="16"/>
      <c r="H232" s="16"/>
      <c r="I232" s="16"/>
      <c r="J232" s="16"/>
      <c r="K232" s="16"/>
      <c r="L232" s="16"/>
      <c r="M232" s="16"/>
      <c r="N232" s="5" t="s">
        <v>112</v>
      </c>
      <c r="O232" s="16" t="str">
        <f t="shared" si="1"/>
        <v>#</v>
      </c>
      <c r="P232" s="16" t="str">
        <f t="shared" si="2"/>
        <v>#videoGame</v>
      </c>
      <c r="R232" s="16" t="str">
        <f>"("""&amp;C232&amp;""") ("&amp;Vlookup(E232,DropDown!B:C,2,FALSE)&amp; " OR ""Video Game"" OR Playstation OR iOS OR PS4 OR PS5 OR Xbox OR Switch OR Swtich 2 OR PC)"</f>
        <v>#N/A</v>
      </c>
      <c r="S232" s="44" t="str">
        <f>"("""&amp;C232&amp;""") ("&amp;Vlookup(E232,DropDown!K:L,2,FALSE)&amp; " | ""Video Game"" | Playstation | iOS | PS4 | PS5 | Xbox | Switch | Switch 2 | PC)"</f>
        <v>#N/A</v>
      </c>
      <c r="T232" s="44"/>
      <c r="U232" s="44"/>
      <c r="V232" s="44"/>
      <c r="W232" s="44"/>
      <c r="X232" s="44"/>
      <c r="Z232" s="44"/>
    </row>
    <row r="233">
      <c r="A233" s="16"/>
      <c r="B233" s="16"/>
      <c r="E233" s="16"/>
      <c r="F233" s="16"/>
      <c r="G233" s="16"/>
      <c r="H233" s="16"/>
      <c r="I233" s="16"/>
      <c r="J233" s="16"/>
      <c r="K233" s="16"/>
      <c r="L233" s="16"/>
      <c r="M233" s="16"/>
      <c r="N233" s="5" t="s">
        <v>112</v>
      </c>
      <c r="O233" s="16" t="str">
        <f t="shared" si="1"/>
        <v>#</v>
      </c>
      <c r="P233" s="16" t="str">
        <f t="shared" si="2"/>
        <v>#videoGame</v>
      </c>
      <c r="R233" s="16" t="str">
        <f>"("""&amp;C233&amp;""") ("&amp;Vlookup(E233,DropDown!B:C,2,FALSE)&amp; " OR ""Video Game"" OR Playstation OR iOS OR PS4 OR PS5 OR Xbox OR Switch OR Swtich 2 OR PC)"</f>
        <v>#N/A</v>
      </c>
      <c r="S233" s="44" t="str">
        <f>"("""&amp;C233&amp;""") ("&amp;Vlookup(E233,DropDown!K:L,2,FALSE)&amp; " | ""Video Game"" | Playstation | iOS | PS4 | PS5 | Xbox | Switch | Switch 2 | PC)"</f>
        <v>#N/A</v>
      </c>
      <c r="T233" s="44"/>
      <c r="U233" s="44"/>
      <c r="V233" s="44"/>
      <c r="W233" s="44"/>
      <c r="X233" s="44"/>
      <c r="Z233" s="44"/>
    </row>
    <row r="234">
      <c r="A234" s="16"/>
      <c r="B234" s="16"/>
      <c r="E234" s="16"/>
      <c r="F234" s="16"/>
      <c r="G234" s="16"/>
      <c r="H234" s="16"/>
      <c r="I234" s="16"/>
      <c r="J234" s="16"/>
      <c r="K234" s="16"/>
      <c r="L234" s="16"/>
      <c r="M234" s="16"/>
      <c r="N234" s="5" t="s">
        <v>112</v>
      </c>
      <c r="O234" s="16" t="str">
        <f t="shared" si="1"/>
        <v>#</v>
      </c>
      <c r="P234" s="16" t="str">
        <f t="shared" si="2"/>
        <v>#videoGame</v>
      </c>
      <c r="R234" s="16" t="str">
        <f>"("""&amp;C234&amp;""") ("&amp;Vlookup(E234,DropDown!B:C,2,FALSE)&amp; " OR ""Video Game"" OR Playstation OR iOS OR PS4 OR PS5 OR Xbox OR Switch OR Swtich 2 OR PC)"</f>
        <v>#N/A</v>
      </c>
      <c r="S234" s="44" t="str">
        <f>"("""&amp;C234&amp;""") ("&amp;Vlookup(E234,DropDown!K:L,2,FALSE)&amp; " | ""Video Game"" | Playstation | iOS | PS4 | PS5 | Xbox | Switch | Switch 2 | PC)"</f>
        <v>#N/A</v>
      </c>
      <c r="T234" s="44"/>
      <c r="U234" s="44"/>
      <c r="V234" s="44"/>
      <c r="W234" s="44"/>
      <c r="X234" s="44"/>
      <c r="Z234" s="44"/>
    </row>
    <row r="235">
      <c r="A235" s="16"/>
      <c r="B235" s="16"/>
      <c r="E235" s="16"/>
      <c r="F235" s="16"/>
      <c r="G235" s="16"/>
      <c r="H235" s="16"/>
      <c r="I235" s="16"/>
      <c r="J235" s="16"/>
      <c r="K235" s="16"/>
      <c r="L235" s="16"/>
      <c r="M235" s="16"/>
      <c r="N235" s="5" t="s">
        <v>112</v>
      </c>
      <c r="O235" s="16" t="str">
        <f t="shared" si="1"/>
        <v>#</v>
      </c>
      <c r="P235" s="16" t="str">
        <f t="shared" si="2"/>
        <v>#videoGame</v>
      </c>
      <c r="R235" s="16" t="str">
        <f>"("""&amp;C235&amp;""") ("&amp;Vlookup(E235,DropDown!B:C,2,FALSE)&amp; " OR ""Video Game"" OR Playstation OR iOS OR PS4 OR PS5 OR Xbox OR Switch OR Swtich 2 OR PC)"</f>
        <v>#N/A</v>
      </c>
      <c r="S235" s="44" t="str">
        <f>"("""&amp;C235&amp;""") ("&amp;Vlookup(E235,DropDown!K:L,2,FALSE)&amp; " | ""Video Game"" | Playstation | iOS | PS4 | PS5 | Xbox | Switch | Switch 2 | PC)"</f>
        <v>#N/A</v>
      </c>
      <c r="T235" s="44"/>
      <c r="U235" s="44"/>
      <c r="V235" s="44"/>
      <c r="W235" s="44"/>
      <c r="X235" s="44"/>
      <c r="Z235" s="44"/>
    </row>
    <row r="236">
      <c r="A236" s="16"/>
      <c r="B236" s="16"/>
      <c r="E236" s="16"/>
      <c r="F236" s="16"/>
      <c r="G236" s="16"/>
      <c r="H236" s="16"/>
      <c r="I236" s="16"/>
      <c r="J236" s="16"/>
      <c r="K236" s="16"/>
      <c r="L236" s="16"/>
      <c r="M236" s="16"/>
      <c r="N236" s="5" t="s">
        <v>112</v>
      </c>
      <c r="O236" s="16" t="str">
        <f t="shared" si="1"/>
        <v>#</v>
      </c>
      <c r="P236" s="16" t="str">
        <f t="shared" si="2"/>
        <v>#videoGame</v>
      </c>
      <c r="R236" s="16" t="str">
        <f>"("""&amp;C236&amp;""") ("&amp;Vlookup(E236,DropDown!B:C,2,FALSE)&amp; " OR ""Video Game"" OR Playstation OR iOS OR PS4 OR PS5 OR Xbox OR Switch OR Swtich 2 OR PC)"</f>
        <v>#N/A</v>
      </c>
      <c r="S236" s="44" t="str">
        <f>"("""&amp;C236&amp;""") ("&amp;Vlookup(E236,DropDown!K:L,2,FALSE)&amp; " | ""Video Game"" | Playstation | iOS | PS4 | PS5 | Xbox | Switch | Switch 2 | PC)"</f>
        <v>#N/A</v>
      </c>
      <c r="T236" s="44"/>
      <c r="U236" s="44"/>
      <c r="V236" s="44"/>
      <c r="W236" s="44"/>
      <c r="X236" s="44"/>
      <c r="Z236" s="44"/>
    </row>
    <row r="237">
      <c r="A237" s="16"/>
      <c r="B237" s="16"/>
      <c r="E237" s="16"/>
      <c r="F237" s="16"/>
      <c r="G237" s="16"/>
      <c r="H237" s="16"/>
      <c r="I237" s="16"/>
      <c r="J237" s="16"/>
      <c r="K237" s="16"/>
      <c r="L237" s="16"/>
      <c r="M237" s="16"/>
      <c r="N237" s="5" t="s">
        <v>112</v>
      </c>
      <c r="O237" s="16" t="str">
        <f t="shared" si="1"/>
        <v>#</v>
      </c>
      <c r="P237" s="16" t="str">
        <f t="shared" si="2"/>
        <v>#videoGame</v>
      </c>
      <c r="R237" s="16" t="str">
        <f>"("""&amp;C237&amp;""") ("&amp;Vlookup(E237,DropDown!B:C,2,FALSE)&amp; " OR ""Video Game"" OR Playstation OR iOS OR PS4 OR PS5 OR Xbox OR Switch OR Swtich 2 OR PC)"</f>
        <v>#N/A</v>
      </c>
      <c r="S237" s="44" t="str">
        <f>"("""&amp;C237&amp;""") ("&amp;Vlookup(E237,DropDown!K:L,2,FALSE)&amp; " | ""Video Game"" | Playstation | iOS | PS4 | PS5 | Xbox | Switch | Switch 2 | PC)"</f>
        <v>#N/A</v>
      </c>
      <c r="T237" s="44"/>
      <c r="U237" s="44"/>
      <c r="V237" s="44"/>
      <c r="W237" s="44"/>
      <c r="X237" s="44"/>
      <c r="Z237" s="44"/>
    </row>
    <row r="238">
      <c r="A238" s="16"/>
      <c r="B238" s="16"/>
      <c r="E238" s="16"/>
      <c r="F238" s="16"/>
      <c r="G238" s="16"/>
      <c r="H238" s="16"/>
      <c r="I238" s="16"/>
      <c r="J238" s="16"/>
      <c r="K238" s="16"/>
      <c r="L238" s="16"/>
      <c r="M238" s="16"/>
      <c r="N238" s="5" t="s">
        <v>112</v>
      </c>
      <c r="O238" s="16" t="str">
        <f t="shared" si="1"/>
        <v>#</v>
      </c>
      <c r="P238" s="16" t="str">
        <f t="shared" si="2"/>
        <v>#videoGame</v>
      </c>
      <c r="R238" s="16" t="str">
        <f>"("""&amp;C238&amp;""") ("&amp;Vlookup(E238,DropDown!B:C,2,FALSE)&amp; " OR ""Video Game"" OR Playstation OR iOS OR PS4 OR PS5 OR Xbox OR Switch OR Swtich 2 OR PC)"</f>
        <v>#N/A</v>
      </c>
      <c r="S238" s="44" t="str">
        <f>"("""&amp;C238&amp;""") ("&amp;Vlookup(E238,DropDown!K:L,2,FALSE)&amp; " | ""Video Game"" | Playstation | iOS | PS4 | PS5 | Xbox | Switch | Switch 2 | PC)"</f>
        <v>#N/A</v>
      </c>
      <c r="T238" s="44"/>
      <c r="U238" s="44"/>
      <c r="V238" s="44"/>
      <c r="W238" s="44"/>
      <c r="X238" s="44"/>
      <c r="Z238" s="44"/>
    </row>
    <row r="239">
      <c r="A239" s="16"/>
      <c r="B239" s="16"/>
      <c r="E239" s="16"/>
      <c r="F239" s="16"/>
      <c r="G239" s="16"/>
      <c r="H239" s="16"/>
      <c r="I239" s="16"/>
      <c r="J239" s="16"/>
      <c r="K239" s="16"/>
      <c r="L239" s="16"/>
      <c r="M239" s="16"/>
      <c r="N239" s="5" t="s">
        <v>112</v>
      </c>
      <c r="O239" s="16" t="str">
        <f t="shared" si="1"/>
        <v>#</v>
      </c>
      <c r="P239" s="16" t="str">
        <f t="shared" si="2"/>
        <v>#videoGame</v>
      </c>
      <c r="R239" s="16" t="str">
        <f>"("""&amp;C239&amp;""") ("&amp;Vlookup(E239,DropDown!B:C,2,FALSE)&amp; " OR ""Video Game"" OR Playstation OR iOS OR PS4 OR PS5 OR Xbox OR Switch OR Swtich 2 OR PC)"</f>
        <v>#N/A</v>
      </c>
      <c r="S239" s="44" t="str">
        <f>"("""&amp;C239&amp;""") ("&amp;Vlookup(E239,DropDown!K:L,2,FALSE)&amp; " | ""Video Game"" | Playstation | iOS | PS4 | PS5 | Xbox | Switch | Switch 2 | PC)"</f>
        <v>#N/A</v>
      </c>
      <c r="T239" s="44"/>
      <c r="U239" s="44"/>
      <c r="V239" s="44"/>
      <c r="W239" s="44"/>
      <c r="X239" s="44"/>
      <c r="Z239" s="44"/>
    </row>
    <row r="240">
      <c r="A240" s="16"/>
      <c r="B240" s="16"/>
      <c r="E240" s="16"/>
      <c r="F240" s="16"/>
      <c r="G240" s="16"/>
      <c r="H240" s="16"/>
      <c r="I240" s="16"/>
      <c r="J240" s="16"/>
      <c r="K240" s="16"/>
      <c r="L240" s="16"/>
      <c r="M240" s="16"/>
      <c r="N240" s="5" t="s">
        <v>112</v>
      </c>
      <c r="O240" s="16" t="str">
        <f t="shared" si="1"/>
        <v>#</v>
      </c>
      <c r="P240" s="16" t="str">
        <f t="shared" si="2"/>
        <v>#videoGame</v>
      </c>
      <c r="R240" s="16" t="str">
        <f>"("""&amp;C240&amp;""") ("&amp;Vlookup(E240,DropDown!B:C,2,FALSE)&amp; " OR ""Video Game"" OR Playstation OR iOS OR PS4 OR PS5 OR Xbox OR Switch OR Swtich 2 OR PC)"</f>
        <v>#N/A</v>
      </c>
      <c r="S240" s="44" t="str">
        <f>"("""&amp;C240&amp;""") ("&amp;Vlookup(E240,DropDown!K:L,2,FALSE)&amp; " | ""Video Game"" | Playstation | iOS | PS4 | PS5 | Xbox | Switch | Switch 2 | PC)"</f>
        <v>#N/A</v>
      </c>
      <c r="T240" s="44"/>
      <c r="U240" s="44"/>
      <c r="V240" s="44"/>
      <c r="W240" s="44"/>
      <c r="X240" s="44"/>
      <c r="Z240" s="44"/>
    </row>
    <row r="241">
      <c r="A241" s="16"/>
      <c r="B241" s="16"/>
      <c r="E241" s="16"/>
      <c r="F241" s="16"/>
      <c r="G241" s="16"/>
      <c r="H241" s="16"/>
      <c r="I241" s="16"/>
      <c r="J241" s="16"/>
      <c r="K241" s="16"/>
      <c r="L241" s="16"/>
      <c r="M241" s="16"/>
      <c r="N241" s="5" t="s">
        <v>112</v>
      </c>
      <c r="O241" s="16" t="str">
        <f t="shared" si="1"/>
        <v>#</v>
      </c>
      <c r="P241" s="16" t="str">
        <f t="shared" si="2"/>
        <v>#videoGame</v>
      </c>
      <c r="R241" s="16" t="str">
        <f>"("""&amp;C241&amp;""") ("&amp;Vlookup(E241,DropDown!B:C,2,FALSE)&amp; " OR ""Video Game"" OR Playstation OR iOS OR PS4 OR PS5 OR Xbox OR Switch OR Swtich 2 OR PC)"</f>
        <v>#N/A</v>
      </c>
      <c r="S241" s="44" t="str">
        <f>"("""&amp;C241&amp;""") ("&amp;Vlookup(E241,DropDown!K:L,2,FALSE)&amp; " | ""Video Game"" | Playstation | iOS | PS4 | PS5 | Xbox | Switch | Switch 2 | PC)"</f>
        <v>#N/A</v>
      </c>
      <c r="T241" s="44"/>
      <c r="U241" s="44"/>
      <c r="V241" s="44"/>
      <c r="W241" s="44"/>
      <c r="X241" s="44"/>
      <c r="Z241" s="44"/>
    </row>
    <row r="242">
      <c r="A242" s="16"/>
      <c r="B242" s="16"/>
      <c r="E242" s="16"/>
      <c r="F242" s="16"/>
      <c r="G242" s="16"/>
      <c r="H242" s="16"/>
      <c r="I242" s="16"/>
      <c r="J242" s="16"/>
      <c r="K242" s="16"/>
      <c r="L242" s="16"/>
      <c r="M242" s="16"/>
      <c r="N242" s="5" t="s">
        <v>112</v>
      </c>
      <c r="O242" s="16" t="str">
        <f t="shared" si="1"/>
        <v>#</v>
      </c>
      <c r="P242" s="16" t="str">
        <f t="shared" si="2"/>
        <v>#videoGame</v>
      </c>
      <c r="R242" s="16" t="str">
        <f>"("""&amp;C242&amp;""") ("&amp;Vlookup(E242,DropDown!B:C,2,FALSE)&amp; " OR ""Video Game"" OR Playstation OR iOS OR PS4 OR PS5 OR Xbox OR Switch OR Swtich 2 OR PC)"</f>
        <v>#N/A</v>
      </c>
      <c r="S242" s="44" t="str">
        <f>"("""&amp;C242&amp;""") ("&amp;Vlookup(E242,DropDown!K:L,2,FALSE)&amp; " | ""Video Game"" | Playstation | iOS | PS4 | PS5 | Xbox | Switch | Switch 2 | PC)"</f>
        <v>#N/A</v>
      </c>
      <c r="T242" s="44"/>
      <c r="U242" s="44"/>
      <c r="V242" s="44"/>
      <c r="W242" s="44"/>
      <c r="X242" s="44"/>
      <c r="Z242" s="44"/>
    </row>
    <row r="243">
      <c r="A243" s="16"/>
      <c r="B243" s="16"/>
      <c r="E243" s="16"/>
      <c r="F243" s="16"/>
      <c r="G243" s="16"/>
      <c r="H243" s="16"/>
      <c r="I243" s="16"/>
      <c r="J243" s="16"/>
      <c r="K243" s="16"/>
      <c r="L243" s="16"/>
      <c r="M243" s="16"/>
      <c r="N243" s="5" t="s">
        <v>112</v>
      </c>
      <c r="O243" s="16" t="str">
        <f t="shared" si="1"/>
        <v>#</v>
      </c>
      <c r="P243" s="16" t="str">
        <f t="shared" si="2"/>
        <v>#videoGame</v>
      </c>
      <c r="R243" s="16" t="str">
        <f>"("""&amp;C243&amp;""") ("&amp;Vlookup(E243,DropDown!B:C,2,FALSE)&amp; " OR ""Video Game"" OR Playstation OR iOS OR PS4 OR PS5 OR Xbox OR Switch OR Swtich 2 OR PC)"</f>
        <v>#N/A</v>
      </c>
      <c r="S243" s="44" t="str">
        <f>"("""&amp;C243&amp;""") ("&amp;Vlookup(E243,DropDown!K:L,2,FALSE)&amp; " | ""Video Game"" | Playstation | iOS | PS4 | PS5 | Xbox | Switch | Switch 2 | PC)"</f>
        <v>#N/A</v>
      </c>
      <c r="T243" s="44"/>
      <c r="U243" s="44"/>
      <c r="V243" s="44"/>
      <c r="W243" s="44"/>
      <c r="X243" s="44"/>
      <c r="Z243" s="44"/>
    </row>
    <row r="244">
      <c r="A244" s="16"/>
      <c r="B244" s="16"/>
      <c r="E244" s="16"/>
      <c r="F244" s="16"/>
      <c r="G244" s="16"/>
      <c r="H244" s="16"/>
      <c r="I244" s="16"/>
      <c r="J244" s="16"/>
      <c r="K244" s="16"/>
      <c r="L244" s="16"/>
      <c r="M244" s="16"/>
      <c r="N244" s="5" t="s">
        <v>112</v>
      </c>
      <c r="O244" s="16" t="str">
        <f t="shared" si="1"/>
        <v>#</v>
      </c>
      <c r="P244" s="16" t="str">
        <f t="shared" si="2"/>
        <v>#videoGame</v>
      </c>
      <c r="R244" s="16" t="str">
        <f>"("""&amp;C244&amp;""") ("&amp;Vlookup(E244,DropDown!B:C,2,FALSE)&amp; " OR ""Video Game"" OR Playstation OR iOS OR PS4 OR PS5 OR Xbox OR Switch OR Swtich 2 OR PC)"</f>
        <v>#N/A</v>
      </c>
      <c r="S244" s="44" t="str">
        <f>"("""&amp;C244&amp;""") ("&amp;Vlookup(E244,DropDown!K:L,2,FALSE)&amp; " | ""Video Game"" | Playstation | iOS | PS4 | PS5 | Xbox | Switch | Switch 2 | PC)"</f>
        <v>#N/A</v>
      </c>
      <c r="T244" s="44"/>
      <c r="U244" s="44"/>
      <c r="V244" s="44"/>
      <c r="W244" s="44"/>
      <c r="X244" s="44"/>
      <c r="Z244" s="44"/>
    </row>
    <row r="245">
      <c r="A245" s="16"/>
      <c r="B245" s="16"/>
      <c r="E245" s="16"/>
      <c r="F245" s="16"/>
      <c r="G245" s="16"/>
      <c r="H245" s="16"/>
      <c r="I245" s="16"/>
      <c r="J245" s="16"/>
      <c r="K245" s="16"/>
      <c r="L245" s="16"/>
      <c r="M245" s="16"/>
      <c r="N245" s="5" t="s">
        <v>112</v>
      </c>
      <c r="O245" s="16" t="str">
        <f t="shared" si="1"/>
        <v>#</v>
      </c>
      <c r="P245" s="16" t="str">
        <f t="shared" si="2"/>
        <v>#videoGame</v>
      </c>
      <c r="R245" s="16" t="str">
        <f>"("""&amp;C245&amp;""") ("&amp;Vlookup(E245,DropDown!B:C,2,FALSE)&amp; " OR ""Video Game"" OR Playstation OR iOS OR PS4 OR PS5 OR Xbox OR Switch OR Swtich 2 OR PC)"</f>
        <v>#N/A</v>
      </c>
      <c r="S245" s="44" t="str">
        <f>"("""&amp;C245&amp;""") ("&amp;Vlookup(E245,DropDown!K:L,2,FALSE)&amp; " | ""Video Game"" | Playstation | iOS | PS4 | PS5 | Xbox | Switch | Switch 2 | PC)"</f>
        <v>#N/A</v>
      </c>
      <c r="T245" s="44"/>
      <c r="U245" s="44"/>
      <c r="V245" s="44"/>
      <c r="W245" s="44"/>
      <c r="X245" s="44"/>
      <c r="Z245" s="44"/>
    </row>
    <row r="246">
      <c r="A246" s="16"/>
      <c r="B246" s="16"/>
      <c r="E246" s="16"/>
      <c r="F246" s="16"/>
      <c r="G246" s="16"/>
      <c r="H246" s="16"/>
      <c r="I246" s="16"/>
      <c r="J246" s="16"/>
      <c r="K246" s="16"/>
      <c r="L246" s="16"/>
      <c r="M246" s="16"/>
      <c r="N246" s="5" t="s">
        <v>112</v>
      </c>
      <c r="O246" s="16" t="str">
        <f t="shared" si="1"/>
        <v>#</v>
      </c>
      <c r="P246" s="16" t="str">
        <f t="shared" si="2"/>
        <v>#videoGame</v>
      </c>
      <c r="R246" s="16" t="str">
        <f>"("""&amp;C246&amp;""") ("&amp;Vlookup(E246,DropDown!B:C,2,FALSE)&amp; " OR ""Video Game"" OR Playstation OR iOS OR PS4 OR PS5 OR Xbox OR Switch OR Swtich 2 OR PC)"</f>
        <v>#N/A</v>
      </c>
      <c r="S246" s="44" t="str">
        <f>"("""&amp;C246&amp;""") ("&amp;Vlookup(E246,DropDown!K:L,2,FALSE)&amp; " | ""Video Game"" | Playstation | iOS | PS4 | PS5 | Xbox | Switch | Switch 2 | PC)"</f>
        <v>#N/A</v>
      </c>
      <c r="T246" s="44"/>
      <c r="U246" s="44"/>
      <c r="V246" s="44"/>
      <c r="W246" s="44"/>
      <c r="X246" s="44"/>
      <c r="Z246" s="44"/>
    </row>
    <row r="247">
      <c r="A247" s="16"/>
      <c r="B247" s="16"/>
      <c r="E247" s="16"/>
      <c r="F247" s="16"/>
      <c r="G247" s="16"/>
      <c r="H247" s="16"/>
      <c r="I247" s="16"/>
      <c r="J247" s="16"/>
      <c r="K247" s="16"/>
      <c r="L247" s="16"/>
      <c r="M247" s="16"/>
      <c r="N247" s="5" t="s">
        <v>112</v>
      </c>
      <c r="O247" s="16" t="str">
        <f t="shared" si="1"/>
        <v>#</v>
      </c>
      <c r="P247" s="16" t="str">
        <f t="shared" si="2"/>
        <v>#videoGame</v>
      </c>
      <c r="R247" s="16" t="str">
        <f>"("""&amp;C247&amp;""") ("&amp;Vlookup(E247,DropDown!B:C,2,FALSE)&amp; " OR ""Video Game"" OR Playstation OR iOS OR PS4 OR PS5 OR Xbox OR Switch OR Swtich 2 OR PC)"</f>
        <v>#N/A</v>
      </c>
      <c r="S247" s="44" t="str">
        <f>"("""&amp;C247&amp;""") ("&amp;Vlookup(E247,DropDown!K:L,2,FALSE)&amp; " | ""Video Game"" | Playstation | iOS | PS4 | PS5 | Xbox | Switch | Switch 2 | PC)"</f>
        <v>#N/A</v>
      </c>
      <c r="T247" s="44"/>
      <c r="U247" s="44"/>
      <c r="V247" s="44"/>
      <c r="W247" s="44"/>
      <c r="X247" s="44"/>
      <c r="Z247" s="44"/>
    </row>
    <row r="248">
      <c r="A248" s="16"/>
      <c r="B248" s="16"/>
      <c r="E248" s="16"/>
      <c r="F248" s="16"/>
      <c r="G248" s="16"/>
      <c r="H248" s="16"/>
      <c r="I248" s="16"/>
      <c r="J248" s="16"/>
      <c r="K248" s="16"/>
      <c r="L248" s="16"/>
      <c r="M248" s="16"/>
      <c r="N248" s="5" t="s">
        <v>112</v>
      </c>
      <c r="O248" s="16" t="str">
        <f t="shared" si="1"/>
        <v>#</v>
      </c>
      <c r="P248" s="16" t="str">
        <f t="shared" si="2"/>
        <v>#videoGame</v>
      </c>
      <c r="R248" s="16" t="str">
        <f>"("""&amp;C248&amp;""") ("&amp;Vlookup(E248,DropDown!B:C,2,FALSE)&amp; " OR ""Video Game"" OR Playstation OR iOS OR PS4 OR PS5 OR Xbox OR Switch OR Swtich 2 OR PC)"</f>
        <v>#N/A</v>
      </c>
      <c r="S248" s="44" t="str">
        <f>"("""&amp;C248&amp;""") ("&amp;Vlookup(E248,DropDown!K:L,2,FALSE)&amp; " | ""Video Game"" | Playstation | iOS | PS4 | PS5 | Xbox | Switch | Switch 2 | PC)"</f>
        <v>#N/A</v>
      </c>
      <c r="T248" s="44"/>
      <c r="U248" s="44"/>
      <c r="V248" s="44"/>
      <c r="W248" s="44"/>
      <c r="X248" s="44"/>
      <c r="Z248" s="44"/>
    </row>
    <row r="249">
      <c r="A249" s="16"/>
      <c r="B249" s="16"/>
      <c r="E249" s="16"/>
      <c r="F249" s="16"/>
      <c r="G249" s="16"/>
      <c r="H249" s="16"/>
      <c r="I249" s="16"/>
      <c r="J249" s="16"/>
      <c r="K249" s="16"/>
      <c r="L249" s="16"/>
      <c r="M249" s="16"/>
      <c r="N249" s="5" t="s">
        <v>112</v>
      </c>
      <c r="O249" s="16" t="str">
        <f t="shared" si="1"/>
        <v>#</v>
      </c>
      <c r="P249" s="16" t="str">
        <f t="shared" si="2"/>
        <v>#videoGame</v>
      </c>
      <c r="R249" s="16" t="str">
        <f>"("""&amp;C249&amp;""") ("&amp;Vlookup(E249,DropDown!B:C,2,FALSE)&amp; " OR ""Video Game"" OR Playstation OR iOS OR PS4 OR PS5 OR Xbox OR Switch OR Swtich 2 OR PC)"</f>
        <v>#N/A</v>
      </c>
      <c r="S249" s="44" t="str">
        <f>"("""&amp;C249&amp;""") ("&amp;Vlookup(E249,DropDown!K:L,2,FALSE)&amp; " | ""Video Game"" | Playstation | iOS | PS4 | PS5 | Xbox | Switch | Switch 2 | PC)"</f>
        <v>#N/A</v>
      </c>
      <c r="T249" s="44"/>
      <c r="U249" s="44"/>
      <c r="V249" s="44"/>
      <c r="W249" s="44"/>
      <c r="X249" s="44"/>
      <c r="Z249" s="44"/>
    </row>
    <row r="250">
      <c r="A250" s="16"/>
      <c r="B250" s="16"/>
      <c r="E250" s="16"/>
      <c r="F250" s="16"/>
      <c r="G250" s="16"/>
      <c r="H250" s="16"/>
      <c r="I250" s="16"/>
      <c r="J250" s="16"/>
      <c r="K250" s="16"/>
      <c r="L250" s="16"/>
      <c r="M250" s="16"/>
      <c r="N250" s="5" t="s">
        <v>112</v>
      </c>
      <c r="O250" s="16" t="str">
        <f t="shared" si="1"/>
        <v>#</v>
      </c>
      <c r="P250" s="16" t="str">
        <f t="shared" si="2"/>
        <v>#videoGame</v>
      </c>
      <c r="R250" s="16" t="str">
        <f>"("""&amp;C250&amp;""") ("&amp;Vlookup(E250,DropDown!B:C,2,FALSE)&amp; " OR ""Video Game"" OR Playstation OR iOS OR PS4 OR PS5 OR Xbox OR Switch OR Swtich 2 OR PC)"</f>
        <v>#N/A</v>
      </c>
      <c r="S250" s="44" t="str">
        <f>"("""&amp;C250&amp;""") ("&amp;Vlookup(E250,DropDown!K:L,2,FALSE)&amp; " | ""Video Game"" | Playstation | iOS | PS4 | PS5 | Xbox | Switch | Switch 2 | PC)"</f>
        <v>#N/A</v>
      </c>
      <c r="T250" s="44"/>
      <c r="U250" s="44"/>
      <c r="V250" s="44"/>
      <c r="W250" s="44"/>
      <c r="X250" s="44"/>
      <c r="Z250" s="44"/>
    </row>
    <row r="251">
      <c r="A251" s="16"/>
      <c r="B251" s="16"/>
      <c r="E251" s="16"/>
      <c r="F251" s="16"/>
      <c r="G251" s="16"/>
      <c r="H251" s="16"/>
      <c r="I251" s="16"/>
      <c r="J251" s="16"/>
      <c r="K251" s="16"/>
      <c r="L251" s="16"/>
      <c r="M251" s="16"/>
      <c r="N251" s="5" t="s">
        <v>112</v>
      </c>
      <c r="O251" s="16" t="str">
        <f t="shared" si="1"/>
        <v>#</v>
      </c>
      <c r="P251" s="16" t="str">
        <f t="shared" si="2"/>
        <v>#videoGame</v>
      </c>
      <c r="R251" s="16" t="str">
        <f>"("""&amp;C251&amp;""") ("&amp;Vlookup(E251,DropDown!B:C,2,FALSE)&amp; " OR ""Video Game"" OR Playstation OR iOS OR PS4 OR PS5 OR Xbox OR Switch OR Swtich 2 OR PC)"</f>
        <v>#N/A</v>
      </c>
      <c r="S251" s="44" t="str">
        <f>"("""&amp;C251&amp;""") ("&amp;Vlookup(E251,DropDown!K:L,2,FALSE)&amp; " | ""Video Game"" | Playstation | iOS | PS4 | PS5 | Xbox | Switch | Switch 2 | PC)"</f>
        <v>#N/A</v>
      </c>
      <c r="T251" s="44"/>
      <c r="U251" s="44"/>
      <c r="V251" s="44"/>
      <c r="W251" s="44"/>
      <c r="X251" s="44"/>
      <c r="Z251" s="44"/>
    </row>
    <row r="252">
      <c r="A252" s="16"/>
      <c r="B252" s="16"/>
      <c r="E252" s="16"/>
      <c r="F252" s="16"/>
      <c r="G252" s="16"/>
      <c r="H252" s="16"/>
      <c r="I252" s="16"/>
      <c r="J252" s="16"/>
      <c r="K252" s="16"/>
      <c r="L252" s="16"/>
      <c r="M252" s="16"/>
      <c r="N252" s="5" t="s">
        <v>112</v>
      </c>
      <c r="O252" s="16" t="str">
        <f t="shared" si="1"/>
        <v>#</v>
      </c>
      <c r="P252" s="16" t="str">
        <f t="shared" si="2"/>
        <v>#videoGame</v>
      </c>
      <c r="R252" s="16" t="str">
        <f>"("""&amp;C252&amp;""") ("&amp;Vlookup(E252,DropDown!B:C,2,FALSE)&amp; " OR ""Video Game"" OR Playstation OR iOS OR PS4 OR PS5 OR Xbox OR Switch OR Swtich 2 OR PC)"</f>
        <v>#N/A</v>
      </c>
      <c r="S252" s="44" t="str">
        <f>"("""&amp;C252&amp;""") ("&amp;Vlookup(E252,DropDown!K:L,2,FALSE)&amp; " | ""Video Game"" | Playstation | iOS | PS4 | PS5 | Xbox | Switch | Switch 2 | PC)"</f>
        <v>#N/A</v>
      </c>
      <c r="T252" s="44"/>
      <c r="U252" s="44"/>
      <c r="V252" s="44"/>
      <c r="W252" s="44"/>
      <c r="X252" s="44"/>
      <c r="Z252" s="44"/>
    </row>
    <row r="253">
      <c r="A253" s="16"/>
      <c r="B253" s="16"/>
      <c r="E253" s="16"/>
      <c r="F253" s="16"/>
      <c r="G253" s="16"/>
      <c r="H253" s="16"/>
      <c r="I253" s="16"/>
      <c r="J253" s="16"/>
      <c r="K253" s="16"/>
      <c r="L253" s="16"/>
      <c r="M253" s="16"/>
      <c r="N253" s="5" t="s">
        <v>112</v>
      </c>
      <c r="O253" s="16" t="str">
        <f t="shared" si="1"/>
        <v>#</v>
      </c>
      <c r="P253" s="16" t="str">
        <f t="shared" si="2"/>
        <v>#videoGame</v>
      </c>
      <c r="R253" s="16" t="str">
        <f>"("""&amp;C253&amp;""") ("&amp;Vlookup(E253,DropDown!B:C,2,FALSE)&amp; " OR ""Video Game"" OR Playstation OR iOS OR PS4 OR PS5 OR Xbox OR Switch OR Swtich 2 OR PC)"</f>
        <v>#N/A</v>
      </c>
      <c r="S253" s="44" t="str">
        <f>"("""&amp;C253&amp;""") ("&amp;Vlookup(E253,DropDown!K:L,2,FALSE)&amp; " | ""Video Game"" | Playstation | iOS | PS4 | PS5 | Xbox | Switch | Switch 2 | PC)"</f>
        <v>#N/A</v>
      </c>
      <c r="T253" s="44"/>
      <c r="U253" s="44"/>
      <c r="V253" s="44"/>
      <c r="W253" s="44"/>
      <c r="X253" s="44"/>
      <c r="Z253" s="44"/>
    </row>
    <row r="254">
      <c r="A254" s="16"/>
      <c r="B254" s="16"/>
      <c r="E254" s="16"/>
      <c r="F254" s="16"/>
      <c r="G254" s="16"/>
      <c r="H254" s="16"/>
      <c r="I254" s="16"/>
      <c r="J254" s="16"/>
      <c r="K254" s="16"/>
      <c r="L254" s="16"/>
      <c r="M254" s="16"/>
      <c r="N254" s="5" t="s">
        <v>112</v>
      </c>
      <c r="O254" s="16" t="str">
        <f t="shared" si="1"/>
        <v>#</v>
      </c>
      <c r="P254" s="16" t="str">
        <f t="shared" si="2"/>
        <v>#videoGame</v>
      </c>
      <c r="R254" s="16" t="str">
        <f>"("""&amp;C254&amp;""") ("&amp;Vlookup(E254,DropDown!B:C,2,FALSE)&amp; " OR ""Video Game"" OR Playstation OR iOS OR PS4 OR PS5 OR Xbox OR Switch OR Swtich 2 OR PC)"</f>
        <v>#N/A</v>
      </c>
      <c r="S254" s="44" t="str">
        <f>"("""&amp;C254&amp;""") ("&amp;Vlookup(E254,DropDown!K:L,2,FALSE)&amp; " | ""Video Game"" | Playstation | iOS | PS4 | PS5 | Xbox | Switch | Switch 2 | PC)"</f>
        <v>#N/A</v>
      </c>
      <c r="T254" s="44"/>
      <c r="U254" s="44"/>
      <c r="V254" s="44"/>
      <c r="W254" s="44"/>
      <c r="X254" s="44"/>
      <c r="Z254" s="44"/>
    </row>
    <row r="255">
      <c r="A255" s="16"/>
      <c r="B255" s="16"/>
      <c r="E255" s="16"/>
      <c r="F255" s="16"/>
      <c r="G255" s="16"/>
      <c r="H255" s="16"/>
      <c r="I255" s="16"/>
      <c r="J255" s="16"/>
      <c r="K255" s="16"/>
      <c r="L255" s="16"/>
      <c r="M255" s="16"/>
      <c r="N255" s="5" t="s">
        <v>112</v>
      </c>
      <c r="O255" s="16" t="str">
        <f t="shared" si="1"/>
        <v>#</v>
      </c>
      <c r="P255" s="16" t="str">
        <f t="shared" si="2"/>
        <v>#videoGame</v>
      </c>
      <c r="R255" s="16" t="str">
        <f>"("""&amp;C255&amp;""") ("&amp;Vlookup(E255,DropDown!B:C,2,FALSE)&amp; " OR ""Video Game"" OR Playstation OR iOS OR PS4 OR PS5 OR Xbox OR Switch OR Swtich 2 OR PC)"</f>
        <v>#N/A</v>
      </c>
      <c r="S255" s="44" t="str">
        <f>"("""&amp;C255&amp;""") ("&amp;Vlookup(E255,DropDown!K:L,2,FALSE)&amp; " | ""Video Game"" | Playstation | iOS | PS4 | PS5 | Xbox | Switch | Switch 2 | PC)"</f>
        <v>#N/A</v>
      </c>
      <c r="T255" s="44"/>
      <c r="U255" s="44"/>
      <c r="V255" s="44"/>
      <c r="W255" s="44"/>
      <c r="X255" s="44"/>
      <c r="Z255" s="44"/>
    </row>
    <row r="256">
      <c r="A256" s="16"/>
      <c r="B256" s="16"/>
      <c r="E256" s="16"/>
      <c r="F256" s="16"/>
      <c r="G256" s="16"/>
      <c r="H256" s="16"/>
      <c r="I256" s="16"/>
      <c r="J256" s="16"/>
      <c r="K256" s="16"/>
      <c r="L256" s="16"/>
      <c r="M256" s="16"/>
      <c r="N256" s="5" t="s">
        <v>112</v>
      </c>
      <c r="O256" s="16" t="str">
        <f t="shared" si="1"/>
        <v>#</v>
      </c>
      <c r="P256" s="16" t="str">
        <f t="shared" si="2"/>
        <v>#videoGame</v>
      </c>
      <c r="R256" s="16" t="str">
        <f>"("""&amp;C256&amp;""") ("&amp;Vlookup(E256,DropDown!B:C,2,FALSE)&amp; " OR ""Video Game"" OR Playstation OR iOS OR PS4 OR PS5 OR Xbox OR Switch OR Swtich 2 OR PC)"</f>
        <v>#N/A</v>
      </c>
      <c r="S256" s="44" t="str">
        <f>"("""&amp;C256&amp;""") ("&amp;Vlookup(E256,DropDown!K:L,2,FALSE)&amp; " | ""Video Game"" | Playstation | iOS | PS4 | PS5 | Xbox | Switch | Switch 2 | PC)"</f>
        <v>#N/A</v>
      </c>
      <c r="T256" s="44"/>
      <c r="U256" s="44"/>
      <c r="V256" s="44"/>
      <c r="W256" s="44"/>
      <c r="X256" s="44"/>
      <c r="Z256" s="44"/>
    </row>
    <row r="257">
      <c r="A257" s="16"/>
      <c r="B257" s="16"/>
      <c r="E257" s="16"/>
      <c r="F257" s="16"/>
      <c r="G257" s="16"/>
      <c r="H257" s="16"/>
      <c r="I257" s="16"/>
      <c r="J257" s="16"/>
      <c r="K257" s="16"/>
      <c r="L257" s="16"/>
      <c r="M257" s="16"/>
      <c r="N257" s="5" t="s">
        <v>112</v>
      </c>
      <c r="O257" s="16" t="str">
        <f t="shared" si="1"/>
        <v>#</v>
      </c>
      <c r="P257" s="16" t="str">
        <f t="shared" si="2"/>
        <v>#videoGame</v>
      </c>
      <c r="R257" s="16" t="str">
        <f>"("""&amp;C257&amp;""") ("&amp;Vlookup(E257,DropDown!B:C,2,FALSE)&amp; " OR ""Video Game"" OR Playstation OR iOS OR PS4 OR PS5 OR Xbox OR Switch OR Swtich 2 OR PC)"</f>
        <v>#N/A</v>
      </c>
      <c r="S257" s="44" t="str">
        <f>"("""&amp;C257&amp;""") ("&amp;Vlookup(E257,DropDown!K:L,2,FALSE)&amp; " | ""Video Game"" | Playstation | iOS | PS4 | PS5 | Xbox | Switch | Switch 2 | PC)"</f>
        <v>#N/A</v>
      </c>
      <c r="T257" s="44"/>
      <c r="U257" s="44"/>
      <c r="V257" s="44"/>
      <c r="W257" s="44"/>
      <c r="X257" s="44"/>
      <c r="Z257" s="44"/>
    </row>
    <row r="258">
      <c r="A258" s="16"/>
      <c r="B258" s="16"/>
      <c r="E258" s="16"/>
      <c r="F258" s="16"/>
      <c r="G258" s="16"/>
      <c r="H258" s="16"/>
      <c r="I258" s="16"/>
      <c r="J258" s="16"/>
      <c r="K258" s="16"/>
      <c r="L258" s="16"/>
      <c r="M258" s="16"/>
      <c r="N258" s="5" t="s">
        <v>112</v>
      </c>
      <c r="O258" s="16" t="str">
        <f t="shared" si="1"/>
        <v>#</v>
      </c>
      <c r="P258" s="16" t="str">
        <f t="shared" si="2"/>
        <v>#videoGame</v>
      </c>
      <c r="R258" s="16" t="str">
        <f>"("""&amp;C258&amp;""") ("&amp;Vlookup(E258,DropDown!B:C,2,FALSE)&amp; " OR ""Video Game"" OR Playstation OR iOS OR PS4 OR PS5 OR Xbox OR Switch OR Swtich 2 OR PC)"</f>
        <v>#N/A</v>
      </c>
      <c r="S258" s="44" t="str">
        <f>"("""&amp;C258&amp;""") ("&amp;Vlookup(E258,DropDown!K:L,2,FALSE)&amp; " | ""Video Game"" | Playstation | iOS | PS4 | PS5 | Xbox | Switch | Switch 2 | PC)"</f>
        <v>#N/A</v>
      </c>
      <c r="T258" s="44"/>
      <c r="U258" s="44"/>
      <c r="V258" s="44"/>
      <c r="W258" s="44"/>
      <c r="X258" s="44"/>
      <c r="Z258" s="44"/>
    </row>
    <row r="259">
      <c r="A259" s="16"/>
      <c r="B259" s="16"/>
      <c r="E259" s="16"/>
      <c r="F259" s="16"/>
      <c r="G259" s="16"/>
      <c r="H259" s="16"/>
      <c r="I259" s="16"/>
      <c r="J259" s="16"/>
      <c r="K259" s="16"/>
      <c r="L259" s="16"/>
      <c r="M259" s="16"/>
      <c r="N259" s="5" t="s">
        <v>112</v>
      </c>
      <c r="O259" s="16" t="str">
        <f t="shared" si="1"/>
        <v>#</v>
      </c>
      <c r="P259" s="16" t="str">
        <f t="shared" si="2"/>
        <v>#videoGame</v>
      </c>
      <c r="R259" s="16" t="str">
        <f>"("""&amp;C259&amp;""") ("&amp;Vlookup(E259,DropDown!B:C,2,FALSE)&amp; " OR ""Video Game"" OR Playstation OR iOS OR PS4 OR PS5 OR Xbox OR Switch OR Swtich 2 OR PC)"</f>
        <v>#N/A</v>
      </c>
      <c r="S259" s="44" t="str">
        <f>"("""&amp;C259&amp;""") ("&amp;Vlookup(E259,DropDown!K:L,2,FALSE)&amp; " | ""Video Game"" | Playstation | iOS | PS4 | PS5 | Xbox | Switch | Switch 2 | PC)"</f>
        <v>#N/A</v>
      </c>
      <c r="T259" s="44"/>
      <c r="U259" s="44"/>
      <c r="V259" s="44"/>
      <c r="W259" s="44"/>
      <c r="X259" s="44"/>
      <c r="Z259" s="44"/>
    </row>
    <row r="260">
      <c r="A260" s="16"/>
      <c r="B260" s="16"/>
      <c r="E260" s="16"/>
      <c r="F260" s="16"/>
      <c r="G260" s="16"/>
      <c r="H260" s="16"/>
      <c r="I260" s="16"/>
      <c r="J260" s="16"/>
      <c r="K260" s="16"/>
      <c r="L260" s="16"/>
      <c r="M260" s="16"/>
      <c r="N260" s="5" t="s">
        <v>112</v>
      </c>
      <c r="O260" s="16" t="str">
        <f t="shared" si="1"/>
        <v>#</v>
      </c>
      <c r="P260" s="16" t="str">
        <f t="shared" si="2"/>
        <v>#videoGame</v>
      </c>
      <c r="R260" s="16" t="str">
        <f>"("""&amp;C260&amp;""") ("&amp;Vlookup(E260,DropDown!B:C,2,FALSE)&amp; " OR ""Video Game"" OR Playstation OR iOS OR PS4 OR PS5 OR Xbox OR Switch OR Swtich 2 OR PC)"</f>
        <v>#N/A</v>
      </c>
      <c r="S260" s="44" t="str">
        <f>"("""&amp;C260&amp;""") ("&amp;Vlookup(E260,DropDown!K:L,2,FALSE)&amp; " | ""Video Game"" | Playstation | iOS | PS4 | PS5 | Xbox | Switch | Switch 2 | PC)"</f>
        <v>#N/A</v>
      </c>
      <c r="T260" s="44"/>
      <c r="U260" s="44"/>
      <c r="V260" s="44"/>
      <c r="W260" s="44"/>
      <c r="X260" s="44"/>
      <c r="Z260" s="44"/>
    </row>
    <row r="261">
      <c r="A261" s="16"/>
      <c r="B261" s="16"/>
      <c r="E261" s="16"/>
      <c r="F261" s="16"/>
      <c r="G261" s="16"/>
      <c r="H261" s="16"/>
      <c r="I261" s="16"/>
      <c r="J261" s="16"/>
      <c r="K261" s="16"/>
      <c r="L261" s="16"/>
      <c r="M261" s="16"/>
      <c r="N261" s="5" t="s">
        <v>112</v>
      </c>
      <c r="O261" s="16" t="str">
        <f t="shared" si="1"/>
        <v>#</v>
      </c>
      <c r="P261" s="16" t="str">
        <f t="shared" si="2"/>
        <v>#videoGame</v>
      </c>
      <c r="R261" s="16" t="str">
        <f>"("""&amp;C261&amp;""") ("&amp;Vlookup(E261,DropDown!B:C,2,FALSE)&amp; " OR ""Video Game"" OR Playstation OR iOS OR PS4 OR PS5 OR Xbox OR Switch OR Swtich 2 OR PC)"</f>
        <v>#N/A</v>
      </c>
      <c r="S261" s="44" t="str">
        <f>"("""&amp;C261&amp;""") ("&amp;Vlookup(E261,DropDown!K:L,2,FALSE)&amp; " | ""Video Game"" | Playstation | iOS | PS4 | PS5 | Xbox | Switch | Switch 2 | PC)"</f>
        <v>#N/A</v>
      </c>
      <c r="T261" s="44"/>
      <c r="U261" s="44"/>
      <c r="V261" s="44"/>
      <c r="W261" s="44"/>
      <c r="X261" s="44"/>
      <c r="Z261" s="44"/>
    </row>
    <row r="262">
      <c r="A262" s="16"/>
      <c r="B262" s="16"/>
      <c r="E262" s="16"/>
      <c r="F262" s="16"/>
      <c r="G262" s="16"/>
      <c r="H262" s="16"/>
      <c r="I262" s="16"/>
      <c r="J262" s="16"/>
      <c r="K262" s="16"/>
      <c r="L262" s="16"/>
      <c r="M262" s="16"/>
      <c r="N262" s="5" t="s">
        <v>112</v>
      </c>
      <c r="O262" s="16" t="str">
        <f t="shared" si="1"/>
        <v>#</v>
      </c>
      <c r="P262" s="16" t="str">
        <f t="shared" si="2"/>
        <v>#videoGame</v>
      </c>
      <c r="R262" s="16" t="str">
        <f>"("""&amp;C262&amp;""") ("&amp;Vlookup(E262,DropDown!B:C,2,FALSE)&amp; " OR ""Video Game"" OR Playstation OR iOS OR PS4 OR PS5 OR Xbox OR Switch OR Swtich 2 OR PC)"</f>
        <v>#N/A</v>
      </c>
      <c r="S262" s="44" t="str">
        <f>"("""&amp;C262&amp;""") ("&amp;Vlookup(E262,DropDown!K:L,2,FALSE)&amp; " | ""Video Game"" | Playstation | iOS | PS4 | PS5 | Xbox | Switch | Switch 2 | PC)"</f>
        <v>#N/A</v>
      </c>
      <c r="T262" s="44"/>
      <c r="U262" s="44"/>
      <c r="V262" s="44"/>
      <c r="W262" s="44"/>
      <c r="X262" s="44"/>
      <c r="Z262" s="44"/>
    </row>
    <row r="263">
      <c r="A263" s="16"/>
      <c r="B263" s="16"/>
      <c r="E263" s="16"/>
      <c r="F263" s="16"/>
      <c r="G263" s="16"/>
      <c r="H263" s="16"/>
      <c r="I263" s="16"/>
      <c r="J263" s="16"/>
      <c r="K263" s="16"/>
      <c r="L263" s="16"/>
      <c r="M263" s="16"/>
      <c r="N263" s="5" t="s">
        <v>112</v>
      </c>
      <c r="O263" s="16" t="str">
        <f t="shared" si="1"/>
        <v>#</v>
      </c>
      <c r="P263" s="16" t="str">
        <f t="shared" si="2"/>
        <v>#videoGame</v>
      </c>
      <c r="R263" s="16" t="str">
        <f>"("""&amp;C263&amp;""") ("&amp;Vlookup(E263,DropDown!B:C,2,FALSE)&amp; " OR ""Video Game"" OR Playstation OR iOS OR PS4 OR PS5 OR Xbox OR Switch OR Swtich 2 OR PC)"</f>
        <v>#N/A</v>
      </c>
      <c r="S263" s="44" t="str">
        <f>"("""&amp;C263&amp;""") ("&amp;Vlookup(E263,DropDown!K:L,2,FALSE)&amp; " | ""Video Game"" | Playstation | iOS | PS4 | PS5 | Xbox | Switch | Switch 2 | PC)"</f>
        <v>#N/A</v>
      </c>
      <c r="T263" s="44"/>
      <c r="U263" s="44"/>
      <c r="V263" s="44"/>
      <c r="W263" s="44"/>
      <c r="X263" s="44"/>
      <c r="Z263" s="44"/>
    </row>
    <row r="264">
      <c r="A264" s="16"/>
      <c r="B264" s="16"/>
      <c r="E264" s="16"/>
      <c r="F264" s="16"/>
      <c r="G264" s="16"/>
      <c r="H264" s="16"/>
      <c r="I264" s="16"/>
      <c r="J264" s="16"/>
      <c r="K264" s="16"/>
      <c r="L264" s="16"/>
      <c r="M264" s="16"/>
      <c r="N264" s="5" t="s">
        <v>112</v>
      </c>
      <c r="O264" s="16" t="str">
        <f t="shared" si="1"/>
        <v>#</v>
      </c>
      <c r="P264" s="16" t="str">
        <f t="shared" si="2"/>
        <v>#videoGame</v>
      </c>
      <c r="R264" s="16" t="str">
        <f>"("""&amp;C264&amp;""") ("&amp;Vlookup(E264,DropDown!B:C,2,FALSE)&amp; " OR ""Video Game"" OR Playstation OR iOS OR PS4 OR PS5 OR Xbox OR Switch OR Swtich 2 OR PC)"</f>
        <v>#N/A</v>
      </c>
      <c r="S264" s="44" t="str">
        <f>"("""&amp;C264&amp;""") ("&amp;Vlookup(E264,DropDown!K:L,2,FALSE)&amp; " | ""Video Game"" | Playstation | iOS | PS4 | PS5 | Xbox | Switch | Switch 2 | PC)"</f>
        <v>#N/A</v>
      </c>
      <c r="T264" s="44"/>
      <c r="U264" s="44"/>
      <c r="V264" s="44"/>
      <c r="W264" s="44"/>
      <c r="X264" s="44"/>
      <c r="Z264" s="44"/>
    </row>
    <row r="265">
      <c r="A265" s="16"/>
      <c r="B265" s="16"/>
      <c r="E265" s="16"/>
      <c r="F265" s="16"/>
      <c r="G265" s="16"/>
      <c r="H265" s="16"/>
      <c r="I265" s="16"/>
      <c r="J265" s="16"/>
      <c r="K265" s="16"/>
      <c r="L265" s="16"/>
      <c r="M265" s="16"/>
      <c r="N265" s="5" t="s">
        <v>112</v>
      </c>
      <c r="O265" s="16" t="str">
        <f t="shared" si="1"/>
        <v>#</v>
      </c>
      <c r="P265" s="16" t="str">
        <f t="shared" si="2"/>
        <v>#videoGame</v>
      </c>
      <c r="R265" s="16" t="str">
        <f>"("""&amp;C265&amp;""") ("&amp;Vlookup(E265,DropDown!B:C,2,FALSE)&amp; " OR ""Video Game"" OR Playstation OR iOS OR PS4 OR PS5 OR Xbox OR Switch OR Swtich 2 OR PC)"</f>
        <v>#N/A</v>
      </c>
      <c r="S265" s="44" t="str">
        <f>"("""&amp;C265&amp;""") ("&amp;Vlookup(E265,DropDown!K:L,2,FALSE)&amp; " | ""Video Game"" | Playstation | iOS | PS4 | PS5 | Xbox | Switch | Switch 2 | PC)"</f>
        <v>#N/A</v>
      </c>
      <c r="T265" s="44"/>
      <c r="U265" s="44"/>
      <c r="V265" s="44"/>
      <c r="W265" s="44"/>
      <c r="X265" s="44"/>
      <c r="Z265" s="44"/>
    </row>
    <row r="266">
      <c r="A266" s="16"/>
      <c r="B266" s="16"/>
      <c r="E266" s="16"/>
      <c r="F266" s="16"/>
      <c r="G266" s="16"/>
      <c r="H266" s="16"/>
      <c r="I266" s="16"/>
      <c r="J266" s="16"/>
      <c r="K266" s="16"/>
      <c r="L266" s="16"/>
      <c r="M266" s="16"/>
      <c r="N266" s="5" t="s">
        <v>112</v>
      </c>
      <c r="O266" s="16" t="str">
        <f t="shared" si="1"/>
        <v>#</v>
      </c>
      <c r="P266" s="16" t="str">
        <f t="shared" si="2"/>
        <v>#videoGame</v>
      </c>
      <c r="R266" s="16" t="str">
        <f>"("""&amp;C266&amp;""") ("&amp;Vlookup(E266,DropDown!B:C,2,FALSE)&amp; " OR ""Video Game"" OR Playstation OR iOS OR PS4 OR PS5 OR Xbox OR Switch OR Swtich 2 OR PC)"</f>
        <v>#N/A</v>
      </c>
      <c r="S266" s="44" t="str">
        <f>"("""&amp;C266&amp;""") ("&amp;Vlookup(E266,DropDown!K:L,2,FALSE)&amp; " | ""Video Game"" | Playstation | iOS | PS4 | PS5 | Xbox | Switch | Switch 2 | PC)"</f>
        <v>#N/A</v>
      </c>
      <c r="T266" s="44"/>
      <c r="U266" s="44"/>
      <c r="V266" s="44"/>
      <c r="W266" s="44"/>
      <c r="X266" s="44"/>
      <c r="Z266" s="44"/>
    </row>
    <row r="267">
      <c r="A267" s="16"/>
      <c r="B267" s="16"/>
      <c r="E267" s="16"/>
      <c r="F267" s="16"/>
      <c r="G267" s="16"/>
      <c r="H267" s="16"/>
      <c r="I267" s="16"/>
      <c r="J267" s="16"/>
      <c r="K267" s="16"/>
      <c r="L267" s="16"/>
      <c r="M267" s="16"/>
      <c r="N267" s="5" t="s">
        <v>112</v>
      </c>
      <c r="O267" s="16" t="str">
        <f t="shared" si="1"/>
        <v>#</v>
      </c>
      <c r="P267" s="16" t="str">
        <f t="shared" si="2"/>
        <v>#videoGame</v>
      </c>
      <c r="R267" s="16" t="str">
        <f>"("""&amp;C267&amp;""") ("&amp;Vlookup(E267,DropDown!B:C,2,FALSE)&amp; " OR ""Video Game"" OR Playstation OR iOS OR PS4 OR PS5 OR Xbox OR Switch OR Swtich 2 OR PC)"</f>
        <v>#N/A</v>
      </c>
      <c r="S267" s="44" t="str">
        <f>"("""&amp;C267&amp;""") ("&amp;Vlookup(E267,DropDown!K:L,2,FALSE)&amp; " | ""Video Game"" | Playstation | iOS | PS4 | PS5 | Xbox | Switch | Switch 2 | PC)"</f>
        <v>#N/A</v>
      </c>
      <c r="T267" s="44"/>
      <c r="U267" s="44"/>
      <c r="V267" s="44"/>
      <c r="W267" s="44"/>
      <c r="X267" s="44"/>
      <c r="Z267" s="44"/>
    </row>
    <row r="268">
      <c r="A268" s="16"/>
      <c r="B268" s="16"/>
      <c r="E268" s="16"/>
      <c r="F268" s="16"/>
      <c r="G268" s="16"/>
      <c r="H268" s="16"/>
      <c r="I268" s="16"/>
      <c r="J268" s="16"/>
      <c r="K268" s="16"/>
      <c r="L268" s="16"/>
      <c r="M268" s="16"/>
      <c r="N268" s="5" t="s">
        <v>112</v>
      </c>
      <c r="O268" s="16" t="str">
        <f t="shared" si="1"/>
        <v>#</v>
      </c>
      <c r="P268" s="16" t="str">
        <f t="shared" si="2"/>
        <v>#videoGame</v>
      </c>
      <c r="R268" s="16" t="str">
        <f>"("""&amp;C268&amp;""") ("&amp;Vlookup(E268,DropDown!B:C,2,FALSE)&amp; " OR ""Video Game"" OR Playstation OR iOS OR PS4 OR PS5 OR Xbox OR Switch OR Swtich 2 OR PC)"</f>
        <v>#N/A</v>
      </c>
      <c r="S268" s="44" t="str">
        <f>"("""&amp;C268&amp;""") ("&amp;Vlookup(E268,DropDown!K:L,2,FALSE)&amp; " | ""Video Game"" | Playstation | iOS | PS4 | PS5 | Xbox | Switch | Switch 2 | PC)"</f>
        <v>#N/A</v>
      </c>
      <c r="T268" s="44"/>
      <c r="U268" s="44"/>
      <c r="V268" s="44"/>
      <c r="W268" s="44"/>
      <c r="X268" s="44"/>
      <c r="Z268" s="44"/>
    </row>
    <row r="269">
      <c r="A269" s="16"/>
      <c r="B269" s="16"/>
      <c r="E269" s="16"/>
      <c r="F269" s="16"/>
      <c r="G269" s="16"/>
      <c r="H269" s="16"/>
      <c r="I269" s="16"/>
      <c r="J269" s="16"/>
      <c r="K269" s="16"/>
      <c r="L269" s="16"/>
      <c r="M269" s="16"/>
      <c r="N269" s="5" t="s">
        <v>112</v>
      </c>
      <c r="O269" s="16" t="str">
        <f t="shared" si="1"/>
        <v>#</v>
      </c>
      <c r="P269" s="16" t="str">
        <f t="shared" si="2"/>
        <v>#videoGame</v>
      </c>
      <c r="R269" s="16" t="str">
        <f>"("""&amp;C269&amp;""") ("&amp;Vlookup(E269,DropDown!B:C,2,FALSE)&amp; " OR ""Video Game"" OR Playstation OR iOS OR PS4 OR PS5 OR Xbox OR Switch OR Swtich 2 OR PC)"</f>
        <v>#N/A</v>
      </c>
      <c r="S269" s="44" t="str">
        <f>"("""&amp;C269&amp;""") ("&amp;Vlookup(E269,DropDown!K:L,2,FALSE)&amp; " | ""Video Game"" | Playstation | iOS | PS4 | PS5 | Xbox | Switch | Switch 2 | PC)"</f>
        <v>#N/A</v>
      </c>
      <c r="T269" s="44"/>
      <c r="U269" s="44"/>
      <c r="V269" s="44"/>
      <c r="W269" s="44"/>
      <c r="X269" s="44"/>
      <c r="Z269" s="44"/>
    </row>
    <row r="270">
      <c r="A270" s="16"/>
      <c r="B270" s="16"/>
      <c r="E270" s="16"/>
      <c r="F270" s="16"/>
      <c r="G270" s="16"/>
      <c r="H270" s="16"/>
      <c r="I270" s="16"/>
      <c r="J270" s="16"/>
      <c r="K270" s="16"/>
      <c r="L270" s="16"/>
      <c r="M270" s="16"/>
      <c r="N270" s="5" t="s">
        <v>112</v>
      </c>
      <c r="O270" s="16" t="str">
        <f t="shared" si="1"/>
        <v>#</v>
      </c>
      <c r="P270" s="16" t="str">
        <f t="shared" si="2"/>
        <v>#videoGame</v>
      </c>
      <c r="R270" s="16" t="str">
        <f>"("""&amp;C270&amp;""") ("&amp;Vlookup(E270,DropDown!B:C,2,FALSE)&amp; " OR ""Video Game"" OR Playstation OR iOS OR PS4 OR PS5 OR Xbox OR Switch OR Swtich 2 OR PC)"</f>
        <v>#N/A</v>
      </c>
      <c r="S270" s="44" t="str">
        <f>"("""&amp;C270&amp;""") ("&amp;Vlookup(E270,DropDown!K:L,2,FALSE)&amp; " | ""Video Game"" | Playstation | iOS | PS4 | PS5 | Xbox | Switch | Switch 2 | PC)"</f>
        <v>#N/A</v>
      </c>
      <c r="T270" s="44"/>
      <c r="U270" s="44"/>
      <c r="V270" s="44"/>
      <c r="W270" s="44"/>
      <c r="X270" s="44"/>
      <c r="Z270" s="44"/>
    </row>
    <row r="271">
      <c r="A271" s="16"/>
      <c r="B271" s="16"/>
      <c r="E271" s="16"/>
      <c r="F271" s="16"/>
      <c r="G271" s="16"/>
      <c r="H271" s="16"/>
      <c r="I271" s="16"/>
      <c r="J271" s="16"/>
      <c r="K271" s="16"/>
      <c r="L271" s="16"/>
      <c r="M271" s="16"/>
      <c r="N271" s="5" t="s">
        <v>112</v>
      </c>
      <c r="O271" s="16" t="str">
        <f t="shared" si="1"/>
        <v>#</v>
      </c>
      <c r="P271" s="16" t="str">
        <f t="shared" si="2"/>
        <v>#videoGame</v>
      </c>
      <c r="R271" s="16" t="str">
        <f>"("""&amp;C271&amp;""") ("&amp;Vlookup(E271,DropDown!B:C,2,FALSE)&amp; " OR ""Video Game"" OR Playstation OR iOS OR PS4 OR PS5 OR Xbox OR Switch OR Swtich 2 OR PC)"</f>
        <v>#N/A</v>
      </c>
      <c r="S271" s="44" t="str">
        <f>"("""&amp;C271&amp;""") ("&amp;Vlookup(E271,DropDown!K:L,2,FALSE)&amp; " | ""Video Game"" | Playstation | iOS | PS4 | PS5 | Xbox | Switch | Switch 2 | PC)"</f>
        <v>#N/A</v>
      </c>
      <c r="T271" s="44"/>
      <c r="U271" s="44"/>
      <c r="V271" s="44"/>
      <c r="W271" s="44"/>
      <c r="X271" s="44"/>
      <c r="Z271" s="44"/>
    </row>
    <row r="272">
      <c r="A272" s="16"/>
      <c r="B272" s="16"/>
      <c r="E272" s="16"/>
      <c r="F272" s="16"/>
      <c r="G272" s="16"/>
      <c r="H272" s="16"/>
      <c r="I272" s="16"/>
      <c r="J272" s="16"/>
      <c r="K272" s="16"/>
      <c r="L272" s="16"/>
      <c r="M272" s="16"/>
      <c r="N272" s="5" t="s">
        <v>112</v>
      </c>
      <c r="O272" s="16" t="str">
        <f t="shared" si="1"/>
        <v>#</v>
      </c>
      <c r="P272" s="16" t="str">
        <f t="shared" si="2"/>
        <v>#videoGame</v>
      </c>
      <c r="R272" s="16" t="str">
        <f>"("""&amp;C272&amp;""") ("&amp;Vlookup(E272,DropDown!B:C,2,FALSE)&amp; " OR ""Video Game"" OR Playstation OR iOS OR PS4 OR PS5 OR Xbox OR Switch OR Swtich 2 OR PC)"</f>
        <v>#N/A</v>
      </c>
      <c r="S272" s="44" t="str">
        <f>"("""&amp;C272&amp;""") ("&amp;Vlookup(E272,DropDown!K:L,2,FALSE)&amp; " | ""Video Game"" | Playstation | iOS | PS4 | PS5 | Xbox | Switch | Switch 2 | PC)"</f>
        <v>#N/A</v>
      </c>
      <c r="T272" s="44"/>
      <c r="U272" s="44"/>
      <c r="V272" s="44"/>
      <c r="W272" s="44"/>
      <c r="X272" s="44"/>
      <c r="Z272" s="44"/>
    </row>
    <row r="273">
      <c r="A273" s="16"/>
      <c r="B273" s="16"/>
      <c r="E273" s="16"/>
      <c r="F273" s="16"/>
      <c r="G273" s="16"/>
      <c r="H273" s="16"/>
      <c r="I273" s="16"/>
      <c r="J273" s="16"/>
      <c r="K273" s="16"/>
      <c r="L273" s="16"/>
      <c r="M273" s="16"/>
      <c r="N273" s="5" t="s">
        <v>112</v>
      </c>
      <c r="O273" s="16" t="str">
        <f t="shared" si="1"/>
        <v>#</v>
      </c>
      <c r="P273" s="16" t="str">
        <f t="shared" si="2"/>
        <v>#videoGame</v>
      </c>
      <c r="R273" s="16" t="str">
        <f>"("""&amp;C273&amp;""") ("&amp;Vlookup(E273,DropDown!B:C,2,FALSE)&amp; " OR ""Video Game"" OR Playstation OR iOS OR PS4 OR PS5 OR Xbox OR Switch OR Swtich 2 OR PC)"</f>
        <v>#N/A</v>
      </c>
      <c r="S273" s="44" t="str">
        <f>"("""&amp;C273&amp;""") ("&amp;Vlookup(E273,DropDown!K:L,2,FALSE)&amp; " | ""Video Game"" | Playstation | iOS | PS4 | PS5 | Xbox | Switch | Switch 2 | PC)"</f>
        <v>#N/A</v>
      </c>
      <c r="T273" s="44"/>
      <c r="U273" s="44"/>
      <c r="V273" s="44"/>
      <c r="W273" s="44"/>
      <c r="X273" s="44"/>
      <c r="Z273" s="44"/>
    </row>
    <row r="274">
      <c r="A274" s="16"/>
      <c r="B274" s="16"/>
      <c r="E274" s="16"/>
      <c r="F274" s="16"/>
      <c r="G274" s="16"/>
      <c r="H274" s="16"/>
      <c r="I274" s="16"/>
      <c r="J274" s="16"/>
      <c r="K274" s="16"/>
      <c r="L274" s="16"/>
      <c r="M274" s="16"/>
      <c r="N274" s="5" t="s">
        <v>112</v>
      </c>
      <c r="O274" s="16" t="str">
        <f t="shared" si="1"/>
        <v>#</v>
      </c>
      <c r="P274" s="16" t="str">
        <f t="shared" si="2"/>
        <v>#videoGame</v>
      </c>
      <c r="R274" s="16" t="str">
        <f>"("""&amp;C274&amp;""") ("&amp;Vlookup(E274,DropDown!B:C,2,FALSE)&amp; " OR ""Video Game"" OR Playstation OR iOS OR PS4 OR PS5 OR Xbox OR Switch OR Swtich 2 OR PC)"</f>
        <v>#N/A</v>
      </c>
      <c r="S274" s="44" t="str">
        <f>"("""&amp;C274&amp;""") ("&amp;Vlookup(E274,DropDown!K:L,2,FALSE)&amp; " | ""Video Game"" | Playstation | iOS | PS4 | PS5 | Xbox | Switch | Switch 2 | PC)"</f>
        <v>#N/A</v>
      </c>
      <c r="T274" s="44"/>
      <c r="U274" s="44"/>
      <c r="V274" s="44"/>
      <c r="W274" s="44"/>
      <c r="X274" s="44"/>
      <c r="Z274" s="44"/>
    </row>
    <row r="275">
      <c r="A275" s="16"/>
      <c r="B275" s="16"/>
      <c r="E275" s="16"/>
      <c r="F275" s="16"/>
      <c r="G275" s="16"/>
      <c r="H275" s="16"/>
      <c r="I275" s="16"/>
      <c r="J275" s="16"/>
      <c r="K275" s="16"/>
      <c r="L275" s="16"/>
      <c r="M275" s="16"/>
      <c r="N275" s="5" t="s">
        <v>112</v>
      </c>
      <c r="O275" s="16" t="str">
        <f t="shared" si="1"/>
        <v>#</v>
      </c>
      <c r="P275" s="16" t="str">
        <f t="shared" si="2"/>
        <v>#videoGame</v>
      </c>
      <c r="R275" s="16" t="str">
        <f>"("""&amp;C275&amp;""") ("&amp;Vlookup(E275,DropDown!B:C,2,FALSE)&amp; " OR ""Video Game"" OR Playstation OR iOS OR PS4 OR PS5 OR Xbox OR Switch OR Swtich 2 OR PC)"</f>
        <v>#N/A</v>
      </c>
      <c r="S275" s="44" t="str">
        <f>"("""&amp;C275&amp;""") ("&amp;Vlookup(E275,DropDown!K:L,2,FALSE)&amp; " | ""Video Game"" | Playstation | iOS | PS4 | PS5 | Xbox | Switch | Switch 2 | PC)"</f>
        <v>#N/A</v>
      </c>
      <c r="T275" s="44"/>
      <c r="U275" s="44"/>
      <c r="V275" s="44"/>
      <c r="W275" s="44"/>
      <c r="X275" s="44"/>
      <c r="Z275" s="44"/>
    </row>
    <row r="276">
      <c r="A276" s="16"/>
      <c r="B276" s="16"/>
      <c r="E276" s="16"/>
      <c r="F276" s="16"/>
      <c r="G276" s="16"/>
      <c r="H276" s="16"/>
      <c r="I276" s="16"/>
      <c r="J276" s="16"/>
      <c r="K276" s="16"/>
      <c r="L276" s="16"/>
      <c r="M276" s="16"/>
      <c r="N276" s="5" t="s">
        <v>112</v>
      </c>
      <c r="O276" s="16" t="str">
        <f t="shared" si="1"/>
        <v>#</v>
      </c>
      <c r="P276" s="16" t="str">
        <f t="shared" si="2"/>
        <v>#videoGame</v>
      </c>
      <c r="R276" s="16" t="str">
        <f>"("""&amp;C276&amp;""") ("&amp;Vlookup(E276,DropDown!B:C,2,FALSE)&amp; " OR ""Video Game"" OR Playstation OR iOS OR PS4 OR PS5 OR Xbox OR Switch OR Swtich 2 OR PC)"</f>
        <v>#N/A</v>
      </c>
      <c r="S276" s="44" t="str">
        <f>"("""&amp;C276&amp;""") ("&amp;Vlookup(E276,DropDown!K:L,2,FALSE)&amp; " | ""Video Game"" | Playstation | iOS | PS4 | PS5 | Xbox | Switch | Switch 2 | PC)"</f>
        <v>#N/A</v>
      </c>
      <c r="T276" s="44"/>
      <c r="U276" s="44"/>
      <c r="V276" s="44"/>
      <c r="W276" s="44"/>
      <c r="X276" s="44"/>
      <c r="Z276" s="44"/>
    </row>
    <row r="277">
      <c r="A277" s="16"/>
      <c r="B277" s="16"/>
      <c r="E277" s="16"/>
      <c r="F277" s="16"/>
      <c r="G277" s="16"/>
      <c r="H277" s="16"/>
      <c r="I277" s="16"/>
      <c r="J277" s="16"/>
      <c r="K277" s="16"/>
      <c r="L277" s="16"/>
      <c r="M277" s="16"/>
      <c r="N277" s="5" t="s">
        <v>112</v>
      </c>
      <c r="O277" s="16" t="str">
        <f t="shared" si="1"/>
        <v>#</v>
      </c>
      <c r="P277" s="16" t="str">
        <f t="shared" si="2"/>
        <v>#videoGame</v>
      </c>
      <c r="R277" s="16" t="str">
        <f>"("""&amp;C277&amp;""") ("&amp;Vlookup(E277,DropDown!B:C,2,FALSE)&amp; " OR ""Video Game"" OR Playstation OR iOS OR PS4 OR PS5 OR Xbox OR Switch OR Swtich 2 OR PC)"</f>
        <v>#N/A</v>
      </c>
      <c r="S277" s="44" t="str">
        <f>"("""&amp;C277&amp;""") ("&amp;Vlookup(E277,DropDown!K:L,2,FALSE)&amp; " | ""Video Game"" | Playstation | iOS | PS4 | PS5 | Xbox | Switch | Switch 2 | PC)"</f>
        <v>#N/A</v>
      </c>
      <c r="T277" s="44"/>
      <c r="U277" s="44"/>
      <c r="V277" s="44"/>
      <c r="W277" s="44"/>
      <c r="X277" s="44"/>
      <c r="Z277" s="44"/>
    </row>
    <row r="278">
      <c r="A278" s="16"/>
      <c r="B278" s="16"/>
      <c r="E278" s="16"/>
      <c r="F278" s="16"/>
      <c r="G278" s="16"/>
      <c r="H278" s="16"/>
      <c r="I278" s="16"/>
      <c r="J278" s="16"/>
      <c r="K278" s="16"/>
      <c r="L278" s="16"/>
      <c r="M278" s="16"/>
      <c r="N278" s="5" t="s">
        <v>112</v>
      </c>
      <c r="O278" s="16" t="str">
        <f t="shared" si="1"/>
        <v>#</v>
      </c>
      <c r="P278" s="16" t="str">
        <f t="shared" si="2"/>
        <v>#videoGame</v>
      </c>
      <c r="R278" s="16" t="str">
        <f>"("""&amp;C278&amp;""") ("&amp;Vlookup(E278,DropDown!B:C,2,FALSE)&amp; " OR ""Video Game"" OR Playstation OR iOS OR PS4 OR PS5 OR Xbox OR Switch OR Swtich 2 OR PC)"</f>
        <v>#N/A</v>
      </c>
      <c r="S278" s="44" t="str">
        <f>"("""&amp;C278&amp;""") ("&amp;Vlookup(E278,DropDown!K:L,2,FALSE)&amp; " | ""Video Game"" | Playstation | iOS | PS4 | PS5 | Xbox | Switch | Switch 2 | PC)"</f>
        <v>#N/A</v>
      </c>
      <c r="T278" s="44"/>
      <c r="U278" s="44"/>
      <c r="V278" s="44"/>
      <c r="W278" s="44"/>
      <c r="X278" s="44"/>
      <c r="Z278" s="44"/>
    </row>
    <row r="279">
      <c r="A279" s="16"/>
      <c r="B279" s="16"/>
      <c r="E279" s="16"/>
      <c r="F279" s="16"/>
      <c r="G279" s="16"/>
      <c r="H279" s="16"/>
      <c r="I279" s="16"/>
      <c r="J279" s="16"/>
      <c r="K279" s="16"/>
      <c r="L279" s="16"/>
      <c r="M279" s="16"/>
      <c r="N279" s="5" t="s">
        <v>112</v>
      </c>
      <c r="O279" s="16" t="str">
        <f t="shared" si="1"/>
        <v>#</v>
      </c>
      <c r="P279" s="16" t="str">
        <f t="shared" si="2"/>
        <v>#videoGame</v>
      </c>
      <c r="R279" s="16" t="str">
        <f>"("""&amp;C279&amp;""") ("&amp;Vlookup(E279,DropDown!B:C,2,FALSE)&amp; " OR ""Video Game"" OR Playstation OR iOS OR PS4 OR PS5 OR Xbox OR Switch OR Swtich 2 OR PC)"</f>
        <v>#N/A</v>
      </c>
      <c r="S279" s="44" t="str">
        <f>"("""&amp;C279&amp;""") ("&amp;Vlookup(E279,DropDown!K:L,2,FALSE)&amp; " | ""Video Game"" | Playstation | iOS | PS4 | PS5 | Xbox | Switch | Switch 2 | PC)"</f>
        <v>#N/A</v>
      </c>
      <c r="T279" s="44"/>
      <c r="U279" s="44"/>
      <c r="V279" s="44"/>
      <c r="W279" s="44"/>
      <c r="X279" s="44"/>
      <c r="Z279" s="44"/>
    </row>
    <row r="280">
      <c r="A280" s="16"/>
      <c r="B280" s="16"/>
      <c r="E280" s="16"/>
      <c r="F280" s="16"/>
      <c r="G280" s="16"/>
      <c r="H280" s="16"/>
      <c r="I280" s="16"/>
      <c r="J280" s="16"/>
      <c r="K280" s="16"/>
      <c r="L280" s="16"/>
      <c r="M280" s="16"/>
      <c r="N280" s="5" t="s">
        <v>112</v>
      </c>
      <c r="O280" s="16" t="str">
        <f t="shared" si="1"/>
        <v>#</v>
      </c>
      <c r="P280" s="16" t="str">
        <f t="shared" si="2"/>
        <v>#videoGame</v>
      </c>
      <c r="R280" s="16" t="str">
        <f>"("""&amp;C280&amp;""") ("&amp;Vlookup(E280,DropDown!B:C,2,FALSE)&amp; " OR ""Video Game"" OR Playstation OR iOS OR PS4 OR PS5 OR Xbox OR Switch OR Swtich 2 OR PC)"</f>
        <v>#N/A</v>
      </c>
      <c r="S280" s="44" t="str">
        <f>"("""&amp;C280&amp;""") ("&amp;Vlookup(E280,DropDown!K:L,2,FALSE)&amp; " | ""Video Game"" | Playstation | iOS | PS4 | PS5 | Xbox | Switch | Switch 2 | PC)"</f>
        <v>#N/A</v>
      </c>
      <c r="T280" s="44"/>
      <c r="U280" s="44"/>
      <c r="V280" s="44"/>
      <c r="W280" s="44"/>
      <c r="X280" s="44"/>
      <c r="Z280" s="44"/>
    </row>
    <row r="281">
      <c r="A281" s="16"/>
      <c r="B281" s="16"/>
      <c r="E281" s="16"/>
      <c r="F281" s="16"/>
      <c r="G281" s="16"/>
      <c r="H281" s="16"/>
      <c r="I281" s="16"/>
      <c r="J281" s="16"/>
      <c r="K281" s="16"/>
      <c r="L281" s="16"/>
      <c r="M281" s="16"/>
      <c r="N281" s="5" t="s">
        <v>112</v>
      </c>
      <c r="O281" s="16" t="str">
        <f t="shared" si="1"/>
        <v>#</v>
      </c>
      <c r="P281" s="16" t="str">
        <f t="shared" si="2"/>
        <v>#videoGame</v>
      </c>
      <c r="R281" s="16" t="str">
        <f>"("""&amp;C281&amp;""") ("&amp;Vlookup(E281,DropDown!B:C,2,FALSE)&amp; " OR ""Video Game"" OR Playstation OR iOS OR PS4 OR PS5 OR Xbox OR Switch OR Swtich 2 OR PC)"</f>
        <v>#N/A</v>
      </c>
      <c r="S281" s="44" t="str">
        <f>"("""&amp;C281&amp;""") ("&amp;Vlookup(E281,DropDown!K:L,2,FALSE)&amp; " | ""Video Game"" | Playstation | iOS | PS4 | PS5 | Xbox | Switch | Switch 2 | PC)"</f>
        <v>#N/A</v>
      </c>
      <c r="T281" s="44"/>
      <c r="U281" s="44"/>
      <c r="V281" s="44"/>
      <c r="W281" s="44"/>
      <c r="X281" s="44"/>
      <c r="Z281" s="44"/>
    </row>
    <row r="282">
      <c r="A282" s="16"/>
      <c r="B282" s="16"/>
      <c r="E282" s="16"/>
      <c r="F282" s="16"/>
      <c r="G282" s="16"/>
      <c r="H282" s="16"/>
      <c r="I282" s="16"/>
      <c r="J282" s="16"/>
      <c r="K282" s="16"/>
      <c r="L282" s="16"/>
      <c r="M282" s="16"/>
      <c r="N282" s="5" t="s">
        <v>112</v>
      </c>
      <c r="O282" s="16" t="str">
        <f t="shared" si="1"/>
        <v>#</v>
      </c>
      <c r="P282" s="16" t="str">
        <f t="shared" si="2"/>
        <v>#videoGame</v>
      </c>
      <c r="R282" s="16" t="str">
        <f>"("""&amp;C282&amp;""") ("&amp;Vlookup(E282,DropDown!B:C,2,FALSE)&amp; " OR ""Video Game"" OR Playstation OR iOS OR PS4 OR PS5 OR Xbox OR Switch OR Swtich 2 OR PC)"</f>
        <v>#N/A</v>
      </c>
      <c r="S282" s="44" t="str">
        <f>"("""&amp;C282&amp;""") ("&amp;Vlookup(E282,DropDown!K:L,2,FALSE)&amp; " | ""Video Game"" | Playstation | iOS | PS4 | PS5 | Xbox | Switch | Switch 2 | PC)"</f>
        <v>#N/A</v>
      </c>
      <c r="T282" s="44"/>
      <c r="U282" s="44"/>
      <c r="V282" s="44"/>
      <c r="W282" s="44"/>
      <c r="X282" s="44"/>
      <c r="Z282" s="44"/>
    </row>
    <row r="283">
      <c r="A283" s="16"/>
      <c r="B283" s="16"/>
      <c r="E283" s="16"/>
      <c r="F283" s="16"/>
      <c r="G283" s="16"/>
      <c r="H283" s="16"/>
      <c r="I283" s="16"/>
      <c r="J283" s="16"/>
      <c r="K283" s="16"/>
      <c r="L283" s="16"/>
      <c r="M283" s="16"/>
      <c r="N283" s="5" t="s">
        <v>112</v>
      </c>
      <c r="O283" s="16" t="str">
        <f t="shared" si="1"/>
        <v>#</v>
      </c>
      <c r="P283" s="16" t="str">
        <f t="shared" si="2"/>
        <v>#videoGame</v>
      </c>
      <c r="R283" s="16" t="str">
        <f>"("""&amp;C283&amp;""") ("&amp;Vlookup(E283,DropDown!B:C,2,FALSE)&amp; " OR ""Video Game"" OR Playstation OR iOS OR PS4 OR PS5 OR Xbox OR Switch OR Swtich 2 OR PC)"</f>
        <v>#N/A</v>
      </c>
      <c r="S283" s="44" t="str">
        <f>"("""&amp;C283&amp;""") ("&amp;Vlookup(E283,DropDown!K:L,2,FALSE)&amp; " | ""Video Game"" | Playstation | iOS | PS4 | PS5 | Xbox | Switch | Switch 2 | PC)"</f>
        <v>#N/A</v>
      </c>
      <c r="T283" s="44"/>
      <c r="U283" s="44"/>
      <c r="V283" s="44"/>
      <c r="W283" s="44"/>
      <c r="X283" s="44"/>
      <c r="Z283" s="44"/>
    </row>
    <row r="284">
      <c r="A284" s="16"/>
      <c r="B284" s="16"/>
      <c r="E284" s="16"/>
      <c r="F284" s="16"/>
      <c r="G284" s="16"/>
      <c r="H284" s="16"/>
      <c r="I284" s="16"/>
      <c r="J284" s="16"/>
      <c r="K284" s="16"/>
      <c r="L284" s="16"/>
      <c r="M284" s="16"/>
      <c r="N284" s="5" t="s">
        <v>112</v>
      </c>
      <c r="O284" s="16" t="str">
        <f t="shared" si="1"/>
        <v>#</v>
      </c>
      <c r="P284" s="16" t="str">
        <f t="shared" si="2"/>
        <v>#videoGame</v>
      </c>
      <c r="R284" s="16" t="str">
        <f>"("""&amp;C284&amp;""") ("&amp;Vlookup(E284,DropDown!B:C,2,FALSE)&amp; " OR ""Video Game"" OR Playstation OR iOS OR PS4 OR PS5 OR Xbox OR Switch OR Swtich 2 OR PC)"</f>
        <v>#N/A</v>
      </c>
      <c r="S284" s="44" t="str">
        <f>"("""&amp;C284&amp;""") ("&amp;Vlookup(E284,DropDown!K:L,2,FALSE)&amp; " | ""Video Game"" | Playstation | iOS | PS4 | PS5 | Xbox | Switch | Switch 2 | PC)"</f>
        <v>#N/A</v>
      </c>
      <c r="T284" s="44"/>
      <c r="U284" s="44"/>
      <c r="V284" s="44"/>
      <c r="W284" s="44"/>
      <c r="X284" s="44"/>
      <c r="Z284" s="44"/>
    </row>
    <row r="285">
      <c r="A285" s="16"/>
      <c r="B285" s="16"/>
      <c r="E285" s="16"/>
      <c r="F285" s="16"/>
      <c r="G285" s="16"/>
      <c r="H285" s="16"/>
      <c r="I285" s="16"/>
      <c r="J285" s="16"/>
      <c r="K285" s="16"/>
      <c r="L285" s="16"/>
      <c r="M285" s="16"/>
      <c r="N285" s="5" t="s">
        <v>112</v>
      </c>
      <c r="O285" s="16" t="str">
        <f t="shared" si="1"/>
        <v>#</v>
      </c>
      <c r="P285" s="16" t="str">
        <f t="shared" si="2"/>
        <v>#videoGame</v>
      </c>
      <c r="R285" s="16" t="str">
        <f>"("""&amp;C285&amp;""") ("&amp;Vlookup(E285,DropDown!B:C,2,FALSE)&amp; " OR ""Video Game"" OR Playstation OR iOS OR PS4 OR PS5 OR Xbox OR Switch OR Swtich 2 OR PC)"</f>
        <v>#N/A</v>
      </c>
      <c r="S285" s="44" t="str">
        <f>"("""&amp;C285&amp;""") ("&amp;Vlookup(E285,DropDown!K:L,2,FALSE)&amp; " | ""Video Game"" | Playstation | iOS | PS4 | PS5 | Xbox | Switch | Switch 2 | PC)"</f>
        <v>#N/A</v>
      </c>
      <c r="T285" s="44"/>
      <c r="U285" s="44"/>
      <c r="V285" s="44"/>
      <c r="W285" s="44"/>
      <c r="X285" s="44"/>
      <c r="Z285" s="44"/>
    </row>
    <row r="286">
      <c r="A286" s="16"/>
      <c r="B286" s="16"/>
      <c r="E286" s="16"/>
      <c r="F286" s="16"/>
      <c r="G286" s="16"/>
      <c r="H286" s="16"/>
      <c r="I286" s="16"/>
      <c r="J286" s="16"/>
      <c r="K286" s="16"/>
      <c r="L286" s="16"/>
      <c r="M286" s="16"/>
      <c r="N286" s="5" t="s">
        <v>112</v>
      </c>
      <c r="O286" s="16" t="str">
        <f t="shared" si="1"/>
        <v>#</v>
      </c>
      <c r="P286" s="16" t="str">
        <f t="shared" si="2"/>
        <v>#videoGame</v>
      </c>
      <c r="R286" s="16" t="str">
        <f>"("""&amp;C286&amp;""") ("&amp;Vlookup(E286,DropDown!B:C,2,FALSE)&amp; " OR ""Video Game"" OR Playstation OR iOS OR PS4 OR PS5 OR Xbox OR Switch OR Swtich 2 OR PC)"</f>
        <v>#N/A</v>
      </c>
      <c r="S286" s="44" t="str">
        <f>"("""&amp;C286&amp;""") ("&amp;Vlookup(E286,DropDown!K:L,2,FALSE)&amp; " | ""Video Game"" | Playstation | iOS | PS4 | PS5 | Xbox | Switch | Switch 2 | PC)"</f>
        <v>#N/A</v>
      </c>
      <c r="T286" s="44"/>
      <c r="U286" s="44"/>
      <c r="V286" s="44"/>
      <c r="W286" s="44"/>
      <c r="X286" s="44"/>
      <c r="Z286" s="44"/>
    </row>
    <row r="287">
      <c r="A287" s="16"/>
      <c r="B287" s="16"/>
      <c r="E287" s="16"/>
      <c r="F287" s="16"/>
      <c r="G287" s="16"/>
      <c r="H287" s="16"/>
      <c r="I287" s="16"/>
      <c r="J287" s="16"/>
      <c r="K287" s="16"/>
      <c r="L287" s="16"/>
      <c r="M287" s="16"/>
      <c r="N287" s="5" t="s">
        <v>112</v>
      </c>
      <c r="O287" s="16" t="str">
        <f t="shared" si="1"/>
        <v>#</v>
      </c>
      <c r="P287" s="16" t="str">
        <f t="shared" si="2"/>
        <v>#videoGame</v>
      </c>
      <c r="R287" s="16" t="str">
        <f>"("""&amp;C287&amp;""") ("&amp;Vlookup(E287,DropDown!B:C,2,FALSE)&amp; " OR ""Video Game"" OR Playstation OR iOS OR PS4 OR PS5 OR Xbox OR Switch OR Swtich 2 OR PC)"</f>
        <v>#N/A</v>
      </c>
      <c r="S287" s="44" t="str">
        <f>"("""&amp;C287&amp;""") ("&amp;Vlookup(E287,DropDown!K:L,2,FALSE)&amp; " | ""Video Game"" | Playstation | iOS | PS4 | PS5 | Xbox | Switch | Switch 2 | PC)"</f>
        <v>#N/A</v>
      </c>
      <c r="T287" s="44"/>
      <c r="U287" s="44"/>
      <c r="V287" s="44"/>
      <c r="W287" s="44"/>
      <c r="X287" s="44"/>
      <c r="Z287" s="44"/>
    </row>
    <row r="288">
      <c r="A288" s="16"/>
      <c r="B288" s="16"/>
      <c r="E288" s="16"/>
      <c r="F288" s="16"/>
      <c r="G288" s="16"/>
      <c r="H288" s="16"/>
      <c r="I288" s="16"/>
      <c r="J288" s="16"/>
      <c r="K288" s="16"/>
      <c r="L288" s="16"/>
      <c r="M288" s="16"/>
      <c r="N288" s="5" t="s">
        <v>112</v>
      </c>
      <c r="O288" s="16" t="str">
        <f t="shared" si="1"/>
        <v>#</v>
      </c>
      <c r="P288" s="16" t="str">
        <f t="shared" si="2"/>
        <v>#videoGame</v>
      </c>
      <c r="R288" s="16" t="str">
        <f>"("""&amp;C288&amp;""") ("&amp;Vlookup(E288,DropDown!B:C,2,FALSE)&amp; " OR ""Video Game"" OR Playstation OR iOS OR PS4 OR PS5 OR Xbox OR Switch OR Swtich 2 OR PC)"</f>
        <v>#N/A</v>
      </c>
      <c r="S288" s="44" t="str">
        <f>"("""&amp;C288&amp;""") ("&amp;Vlookup(E288,DropDown!K:L,2,FALSE)&amp; " | ""Video Game"" | Playstation | iOS | PS4 | PS5 | Xbox | Switch | Switch 2 | PC)"</f>
        <v>#N/A</v>
      </c>
      <c r="T288" s="44"/>
      <c r="U288" s="44"/>
      <c r="V288" s="44"/>
      <c r="W288" s="44"/>
      <c r="X288" s="44"/>
      <c r="Z288" s="44"/>
    </row>
    <row r="289">
      <c r="A289" s="16"/>
      <c r="B289" s="16"/>
      <c r="E289" s="16"/>
      <c r="F289" s="16"/>
      <c r="G289" s="16"/>
      <c r="H289" s="16"/>
      <c r="I289" s="16"/>
      <c r="J289" s="16"/>
      <c r="K289" s="16"/>
      <c r="L289" s="16"/>
      <c r="M289" s="16"/>
      <c r="N289" s="5" t="s">
        <v>112</v>
      </c>
      <c r="O289" s="16" t="str">
        <f t="shared" si="1"/>
        <v>#</v>
      </c>
      <c r="P289" s="16" t="str">
        <f t="shared" si="2"/>
        <v>#videoGame</v>
      </c>
      <c r="R289" s="16" t="str">
        <f>"("""&amp;C289&amp;""") ("&amp;Vlookup(E289,DropDown!B:C,2,FALSE)&amp; " OR ""Video Game"" OR Playstation OR iOS OR PS4 OR PS5 OR Xbox OR Switch OR Swtich 2 OR PC)"</f>
        <v>#N/A</v>
      </c>
      <c r="S289" s="44" t="str">
        <f>"("""&amp;C289&amp;""") ("&amp;Vlookup(E289,DropDown!K:L,2,FALSE)&amp; " | ""Video Game"" | Playstation | iOS | PS4 | PS5 | Xbox | Switch | Switch 2 | PC)"</f>
        <v>#N/A</v>
      </c>
      <c r="T289" s="44"/>
      <c r="U289" s="44"/>
      <c r="V289" s="44"/>
      <c r="W289" s="44"/>
      <c r="X289" s="44"/>
      <c r="Z289" s="44"/>
    </row>
    <row r="290">
      <c r="A290" s="16"/>
      <c r="B290" s="16"/>
      <c r="E290" s="16"/>
      <c r="F290" s="16"/>
      <c r="G290" s="16"/>
      <c r="H290" s="16"/>
      <c r="I290" s="16"/>
      <c r="J290" s="16"/>
      <c r="K290" s="16"/>
      <c r="L290" s="16"/>
      <c r="M290" s="16"/>
      <c r="N290" s="5" t="s">
        <v>112</v>
      </c>
      <c r="O290" s="16" t="str">
        <f t="shared" si="1"/>
        <v>#</v>
      </c>
      <c r="P290" s="16" t="str">
        <f t="shared" si="2"/>
        <v>#videoGame</v>
      </c>
      <c r="R290" s="16" t="str">
        <f>"("""&amp;C290&amp;""") ("&amp;Vlookup(E290,DropDown!B:C,2,FALSE)&amp; " OR ""Video Game"" OR Playstation OR iOS OR PS4 OR PS5 OR Xbox OR Switch OR Swtich 2 OR PC)"</f>
        <v>#N/A</v>
      </c>
      <c r="S290" s="44" t="str">
        <f>"("""&amp;C290&amp;""") ("&amp;Vlookup(E290,DropDown!K:L,2,FALSE)&amp; " | ""Video Game"" | Playstation | iOS | PS4 | PS5 | Xbox | Switch | Switch 2 | PC)"</f>
        <v>#N/A</v>
      </c>
      <c r="T290" s="44"/>
      <c r="U290" s="44"/>
      <c r="V290" s="44"/>
      <c r="W290" s="44"/>
      <c r="X290" s="44"/>
      <c r="Z290" s="44"/>
    </row>
    <row r="291">
      <c r="A291" s="16"/>
      <c r="B291" s="16"/>
      <c r="E291" s="16"/>
      <c r="F291" s="16"/>
      <c r="G291" s="16"/>
      <c r="H291" s="16"/>
      <c r="I291" s="16"/>
      <c r="J291" s="16"/>
      <c r="K291" s="16"/>
      <c r="L291" s="16"/>
      <c r="M291" s="16"/>
      <c r="N291" s="5" t="s">
        <v>112</v>
      </c>
      <c r="O291" s="16" t="str">
        <f t="shared" si="1"/>
        <v>#</v>
      </c>
      <c r="P291" s="16" t="str">
        <f t="shared" si="2"/>
        <v>#videoGame</v>
      </c>
      <c r="R291" s="16" t="str">
        <f>"("""&amp;C291&amp;""") ("&amp;Vlookup(E291,DropDown!B:C,2,FALSE)&amp; " OR ""Video Game"" OR Playstation OR iOS OR PS4 OR PS5 OR Xbox OR Switch OR Swtich 2 OR PC)"</f>
        <v>#N/A</v>
      </c>
      <c r="S291" s="44" t="str">
        <f>"("""&amp;C291&amp;""") ("&amp;Vlookup(E291,DropDown!K:L,2,FALSE)&amp; " | ""Video Game"" | Playstation | iOS | PS4 | PS5 | Xbox | Switch | Switch 2 | PC)"</f>
        <v>#N/A</v>
      </c>
      <c r="T291" s="44"/>
      <c r="U291" s="44"/>
      <c r="V291" s="44"/>
      <c r="W291" s="44"/>
      <c r="X291" s="44"/>
      <c r="Z291" s="44"/>
    </row>
    <row r="292">
      <c r="A292" s="16"/>
      <c r="B292" s="16"/>
      <c r="E292" s="16"/>
      <c r="F292" s="16"/>
      <c r="G292" s="16"/>
      <c r="H292" s="16"/>
      <c r="I292" s="16"/>
      <c r="J292" s="16"/>
      <c r="K292" s="16"/>
      <c r="L292" s="16"/>
      <c r="M292" s="16"/>
      <c r="N292" s="5" t="s">
        <v>112</v>
      </c>
      <c r="O292" s="16" t="str">
        <f t="shared" si="1"/>
        <v>#</v>
      </c>
      <c r="P292" s="16" t="str">
        <f t="shared" si="2"/>
        <v>#videoGame</v>
      </c>
      <c r="R292" s="16" t="str">
        <f>"("""&amp;C292&amp;""") ("&amp;Vlookup(E292,DropDown!B:C,2,FALSE)&amp; " OR ""Video Game"" OR Playstation OR iOS OR PS4 OR PS5 OR Xbox OR Switch OR Swtich 2 OR PC)"</f>
        <v>#N/A</v>
      </c>
      <c r="S292" s="44" t="str">
        <f>"("""&amp;C292&amp;""") ("&amp;Vlookup(E292,DropDown!K:L,2,FALSE)&amp; " | ""Video Game"" | Playstation | iOS | PS4 | PS5 | Xbox | Switch | Switch 2 | PC)"</f>
        <v>#N/A</v>
      </c>
      <c r="T292" s="44"/>
      <c r="U292" s="44"/>
      <c r="V292" s="44"/>
      <c r="W292" s="44"/>
      <c r="X292" s="44"/>
      <c r="Z292" s="44"/>
    </row>
    <row r="293">
      <c r="A293" s="16"/>
      <c r="B293" s="16"/>
      <c r="E293" s="16"/>
      <c r="F293" s="16"/>
      <c r="G293" s="16"/>
      <c r="H293" s="16"/>
      <c r="I293" s="16"/>
      <c r="J293" s="16"/>
      <c r="K293" s="16"/>
      <c r="L293" s="16"/>
      <c r="M293" s="16"/>
      <c r="N293" s="5" t="s">
        <v>112</v>
      </c>
      <c r="O293" s="16" t="str">
        <f t="shared" si="1"/>
        <v>#</v>
      </c>
      <c r="P293" s="16" t="str">
        <f t="shared" si="2"/>
        <v>#videoGame</v>
      </c>
      <c r="R293" s="16" t="str">
        <f>"("""&amp;C293&amp;""") ("&amp;Vlookup(E293,DropDown!B:C,2,FALSE)&amp; " OR ""Video Game"" OR Playstation OR iOS OR PS4 OR PS5 OR Xbox OR Switch OR Swtich 2 OR PC)"</f>
        <v>#N/A</v>
      </c>
      <c r="S293" s="44" t="str">
        <f>"("""&amp;C293&amp;""") ("&amp;Vlookup(E293,DropDown!K:L,2,FALSE)&amp; " | ""Video Game"" | Playstation | iOS | PS4 | PS5 | Xbox | Switch | Switch 2 | PC)"</f>
        <v>#N/A</v>
      </c>
      <c r="T293" s="44"/>
      <c r="U293" s="44"/>
      <c r="V293" s="44"/>
      <c r="W293" s="44"/>
      <c r="X293" s="44"/>
      <c r="Z293" s="44"/>
    </row>
    <row r="294">
      <c r="A294" s="16"/>
      <c r="B294" s="16"/>
      <c r="E294" s="16"/>
      <c r="F294" s="16"/>
      <c r="G294" s="16"/>
      <c r="H294" s="16"/>
      <c r="I294" s="16"/>
      <c r="J294" s="16"/>
      <c r="K294" s="16"/>
      <c r="L294" s="16"/>
      <c r="M294" s="16"/>
      <c r="N294" s="5" t="s">
        <v>112</v>
      </c>
      <c r="O294" s="16" t="str">
        <f t="shared" si="1"/>
        <v>#</v>
      </c>
      <c r="P294" s="16" t="str">
        <f t="shared" si="2"/>
        <v>#videoGame</v>
      </c>
      <c r="R294" s="16" t="str">
        <f>"("""&amp;C294&amp;""") ("&amp;Vlookup(E294,DropDown!B:C,2,FALSE)&amp; " OR ""Video Game"" OR Playstation OR iOS OR PS4 OR PS5 OR Xbox OR Switch OR Swtich 2 OR PC)"</f>
        <v>#N/A</v>
      </c>
      <c r="S294" s="44" t="str">
        <f>"("""&amp;C294&amp;""") ("&amp;Vlookup(E294,DropDown!K:L,2,FALSE)&amp; " | ""Video Game"" | Playstation | iOS | PS4 | PS5 | Xbox | Switch | Switch 2 | PC)"</f>
        <v>#N/A</v>
      </c>
      <c r="T294" s="44"/>
      <c r="U294" s="44"/>
      <c r="V294" s="44"/>
      <c r="W294" s="44"/>
      <c r="X294" s="44"/>
      <c r="Z294" s="44"/>
    </row>
    <row r="295">
      <c r="A295" s="16"/>
      <c r="B295" s="16"/>
      <c r="E295" s="16"/>
      <c r="F295" s="16"/>
      <c r="G295" s="16"/>
      <c r="H295" s="16"/>
      <c r="I295" s="16"/>
      <c r="J295" s="16"/>
      <c r="K295" s="16"/>
      <c r="L295" s="16"/>
      <c r="M295" s="16"/>
      <c r="N295" s="5" t="s">
        <v>112</v>
      </c>
      <c r="O295" s="16" t="str">
        <f t="shared" si="1"/>
        <v>#</v>
      </c>
      <c r="P295" s="16" t="str">
        <f t="shared" si="2"/>
        <v>#videoGame</v>
      </c>
      <c r="R295" s="16" t="str">
        <f>"("""&amp;C295&amp;""") ("&amp;Vlookup(E295,DropDown!B:C,2,FALSE)&amp; " OR ""Video Game"" OR Playstation OR iOS OR PS4 OR PS5 OR Xbox OR Switch OR Swtich 2 OR PC)"</f>
        <v>#N/A</v>
      </c>
      <c r="S295" s="44" t="str">
        <f>"("""&amp;C295&amp;""") ("&amp;Vlookup(E295,DropDown!K:L,2,FALSE)&amp; " | ""Video Game"" | Playstation | iOS | PS4 | PS5 | Xbox | Switch | Switch 2 | PC)"</f>
        <v>#N/A</v>
      </c>
      <c r="T295" s="44"/>
      <c r="U295" s="44"/>
      <c r="V295" s="44"/>
      <c r="W295" s="44"/>
      <c r="X295" s="44"/>
      <c r="Z295" s="44"/>
    </row>
    <row r="296">
      <c r="A296" s="16"/>
      <c r="B296" s="16"/>
      <c r="E296" s="16"/>
      <c r="F296" s="16"/>
      <c r="G296" s="16"/>
      <c r="H296" s="16"/>
      <c r="I296" s="16"/>
      <c r="J296" s="16"/>
      <c r="K296" s="16"/>
      <c r="L296" s="16"/>
      <c r="M296" s="16"/>
      <c r="N296" s="5" t="s">
        <v>112</v>
      </c>
      <c r="O296" s="16" t="str">
        <f t="shared" si="1"/>
        <v>#</v>
      </c>
      <c r="P296" s="16" t="str">
        <f t="shared" si="2"/>
        <v>#videoGame</v>
      </c>
      <c r="R296" s="16" t="str">
        <f>"("""&amp;C296&amp;""") ("&amp;Vlookup(E296,DropDown!B:C,2,FALSE)&amp; " OR ""Video Game"" OR Playstation OR iOS OR PS4 OR PS5 OR Xbox OR Switch OR Swtich 2 OR PC)"</f>
        <v>#N/A</v>
      </c>
      <c r="S296" s="44" t="str">
        <f>"("""&amp;C296&amp;""") ("&amp;Vlookup(E296,DropDown!K:L,2,FALSE)&amp; " | ""Video Game"" | Playstation | iOS | PS4 | PS5 | Xbox | Switch | Switch 2 | PC)"</f>
        <v>#N/A</v>
      </c>
      <c r="T296" s="44"/>
      <c r="U296" s="44"/>
      <c r="V296" s="44"/>
      <c r="W296" s="44"/>
      <c r="X296" s="44"/>
      <c r="Z296" s="44"/>
    </row>
    <row r="297">
      <c r="A297" s="16"/>
      <c r="B297" s="16"/>
      <c r="E297" s="16"/>
      <c r="F297" s="16"/>
      <c r="G297" s="16"/>
      <c r="H297" s="16"/>
      <c r="I297" s="16"/>
      <c r="J297" s="16"/>
      <c r="K297" s="16"/>
      <c r="L297" s="16"/>
      <c r="M297" s="16"/>
      <c r="N297" s="5" t="s">
        <v>112</v>
      </c>
      <c r="O297" s="16" t="str">
        <f t="shared" si="1"/>
        <v>#</v>
      </c>
      <c r="P297" s="16" t="str">
        <f t="shared" si="2"/>
        <v>#videoGame</v>
      </c>
      <c r="R297" s="16" t="str">
        <f>"("""&amp;C297&amp;""") ("&amp;Vlookup(E297,DropDown!B:C,2,FALSE)&amp; " OR ""Video Game"" OR Playstation OR iOS OR PS4 OR PS5 OR Xbox OR Switch OR Swtich 2 OR PC)"</f>
        <v>#N/A</v>
      </c>
      <c r="S297" s="44" t="str">
        <f>"("""&amp;C297&amp;""") ("&amp;Vlookup(E297,DropDown!K:L,2,FALSE)&amp; " | ""Video Game"" | Playstation | iOS | PS4 | PS5 | Xbox | Switch | Switch 2 | PC)"</f>
        <v>#N/A</v>
      </c>
      <c r="T297" s="44"/>
      <c r="U297" s="44"/>
      <c r="V297" s="44"/>
      <c r="W297" s="44"/>
      <c r="X297" s="44"/>
      <c r="Z297" s="44"/>
    </row>
    <row r="298">
      <c r="A298" s="16"/>
      <c r="B298" s="16"/>
      <c r="E298" s="16"/>
      <c r="F298" s="16"/>
      <c r="G298" s="16"/>
      <c r="H298" s="16"/>
      <c r="I298" s="16"/>
      <c r="J298" s="16"/>
      <c r="K298" s="16"/>
      <c r="L298" s="16"/>
      <c r="M298" s="16"/>
      <c r="N298" s="5" t="s">
        <v>112</v>
      </c>
      <c r="O298" s="16" t="str">
        <f t="shared" si="1"/>
        <v>#</v>
      </c>
      <c r="P298" s="16" t="str">
        <f t="shared" si="2"/>
        <v>#videoGame</v>
      </c>
      <c r="R298" s="16" t="str">
        <f>"("""&amp;C298&amp;""") ("&amp;Vlookup(E298,DropDown!B:C,2,FALSE)&amp; " OR ""Video Game"" OR Playstation OR iOS OR PS4 OR PS5 OR Xbox OR Switch OR Swtich 2 OR PC)"</f>
        <v>#N/A</v>
      </c>
      <c r="S298" s="44" t="str">
        <f>"("""&amp;C298&amp;""") ("&amp;Vlookup(E298,DropDown!K:L,2,FALSE)&amp; " | ""Video Game"" | Playstation | iOS | PS4 | PS5 | Xbox | Switch | Switch 2 | PC)"</f>
        <v>#N/A</v>
      </c>
      <c r="T298" s="44"/>
      <c r="U298" s="44"/>
      <c r="V298" s="44"/>
      <c r="W298" s="44"/>
      <c r="X298" s="44"/>
      <c r="Z298" s="44"/>
    </row>
    <row r="299">
      <c r="A299" s="16"/>
      <c r="B299" s="16"/>
      <c r="E299" s="16"/>
      <c r="F299" s="16"/>
      <c r="G299" s="16"/>
      <c r="H299" s="16"/>
      <c r="I299" s="16"/>
      <c r="J299" s="16"/>
      <c r="K299" s="16"/>
      <c r="L299" s="16"/>
      <c r="M299" s="16"/>
      <c r="N299" s="5" t="s">
        <v>112</v>
      </c>
      <c r="O299" s="16" t="str">
        <f t="shared" si="1"/>
        <v>#</v>
      </c>
      <c r="P299" s="16" t="str">
        <f t="shared" si="2"/>
        <v>#videoGame</v>
      </c>
      <c r="R299" s="16" t="str">
        <f>"("""&amp;C299&amp;""") ("&amp;Vlookup(E299,DropDown!B:C,2,FALSE)&amp; " OR ""Video Game"" OR Playstation OR iOS OR PS4 OR PS5 OR Xbox OR Switch OR Swtich 2 OR PC)"</f>
        <v>#N/A</v>
      </c>
      <c r="S299" s="44" t="str">
        <f>"("""&amp;C299&amp;""") ("&amp;Vlookup(E299,DropDown!K:L,2,FALSE)&amp; " | ""Video Game"" | Playstation | iOS | PS4 | PS5 | Xbox | Switch | Switch 2 | PC)"</f>
        <v>#N/A</v>
      </c>
      <c r="T299" s="44"/>
      <c r="U299" s="44"/>
      <c r="V299" s="44"/>
      <c r="W299" s="44"/>
      <c r="X299" s="44"/>
      <c r="Z299" s="44"/>
    </row>
    <row r="300">
      <c r="A300" s="16"/>
      <c r="B300" s="16"/>
      <c r="E300" s="16"/>
      <c r="F300" s="16"/>
      <c r="G300" s="16"/>
      <c r="H300" s="16"/>
      <c r="I300" s="16"/>
      <c r="J300" s="16"/>
      <c r="K300" s="16"/>
      <c r="L300" s="16"/>
      <c r="M300" s="16"/>
      <c r="N300" s="5" t="s">
        <v>112</v>
      </c>
      <c r="O300" s="16" t="str">
        <f t="shared" si="1"/>
        <v>#</v>
      </c>
      <c r="P300" s="16" t="str">
        <f t="shared" si="2"/>
        <v>#videoGame</v>
      </c>
      <c r="R300" s="16" t="str">
        <f>"("""&amp;C300&amp;""") ("&amp;Vlookup(E300,DropDown!B:C,2,FALSE)&amp; " OR ""Video Game"" OR Playstation OR iOS OR PS4 OR PS5 OR Xbox OR Switch OR Swtich 2 OR PC)"</f>
        <v>#N/A</v>
      </c>
      <c r="S300" s="44" t="str">
        <f>"("""&amp;C300&amp;""") ("&amp;Vlookup(E300,DropDown!K:L,2,FALSE)&amp; " | ""Video Game"" | Playstation | iOS | PS4 | PS5 | Xbox | Switch | Switch 2 | PC)"</f>
        <v>#N/A</v>
      </c>
      <c r="T300" s="44"/>
      <c r="U300" s="44"/>
      <c r="V300" s="44"/>
      <c r="W300" s="44"/>
      <c r="X300" s="44"/>
      <c r="Z300" s="44"/>
    </row>
    <row r="301">
      <c r="A301" s="16"/>
      <c r="B301" s="16"/>
      <c r="E301" s="16"/>
      <c r="F301" s="16"/>
      <c r="G301" s="16"/>
      <c r="H301" s="16"/>
      <c r="I301" s="16"/>
      <c r="J301" s="16"/>
      <c r="K301" s="16"/>
      <c r="L301" s="16"/>
      <c r="M301" s="16"/>
      <c r="N301" s="5" t="s">
        <v>112</v>
      </c>
      <c r="O301" s="16" t="str">
        <f t="shared" si="1"/>
        <v>#</v>
      </c>
      <c r="P301" s="16" t="str">
        <f t="shared" si="2"/>
        <v>#videoGame</v>
      </c>
      <c r="R301" s="16" t="str">
        <f>"("""&amp;C301&amp;""") ("&amp;Vlookup(E301,DropDown!B:C,2,FALSE)&amp; " OR ""Video Game"" OR Playstation OR iOS OR PS4 OR PS5 OR Xbox OR Switch OR Swtich 2 OR PC)"</f>
        <v>#N/A</v>
      </c>
      <c r="S301" s="44" t="str">
        <f>"("""&amp;C301&amp;""") ("&amp;Vlookup(E301,DropDown!K:L,2,FALSE)&amp; " | ""Video Game"" | Playstation | iOS | PS4 | PS5 | Xbox | Switch | Switch 2 | PC)"</f>
        <v>#N/A</v>
      </c>
      <c r="T301" s="44"/>
      <c r="U301" s="44"/>
      <c r="V301" s="44"/>
      <c r="W301" s="44"/>
      <c r="X301" s="44"/>
      <c r="Z301" s="44"/>
    </row>
    <row r="302">
      <c r="A302" s="16"/>
      <c r="B302" s="16"/>
      <c r="E302" s="16"/>
      <c r="F302" s="16"/>
      <c r="G302" s="16"/>
      <c r="H302" s="16"/>
      <c r="I302" s="16"/>
      <c r="J302" s="16"/>
      <c r="K302" s="16"/>
      <c r="L302" s="16"/>
      <c r="M302" s="16"/>
      <c r="N302" s="5" t="s">
        <v>112</v>
      </c>
      <c r="O302" s="16" t="str">
        <f t="shared" si="1"/>
        <v>#</v>
      </c>
      <c r="P302" s="16" t="str">
        <f t="shared" si="2"/>
        <v>#videoGame</v>
      </c>
      <c r="R302" s="16" t="str">
        <f>"("""&amp;C302&amp;""") ("&amp;Vlookup(E302,DropDown!B:C,2,FALSE)&amp; " OR ""Video Game"" OR Playstation OR iOS OR PS4 OR PS5 OR Xbox OR Switch OR Swtich 2 OR PC)"</f>
        <v>#N/A</v>
      </c>
      <c r="S302" s="44" t="str">
        <f>"("""&amp;C302&amp;""") ("&amp;Vlookup(E302,DropDown!K:L,2,FALSE)&amp; " | ""Video Game"" | Playstation | iOS | PS4 | PS5 | Xbox | Switch | Switch 2 | PC)"</f>
        <v>#N/A</v>
      </c>
      <c r="T302" s="44"/>
      <c r="U302" s="44"/>
      <c r="V302" s="44"/>
      <c r="W302" s="44"/>
      <c r="X302" s="44"/>
      <c r="Z302" s="44"/>
    </row>
    <row r="303">
      <c r="A303" s="16"/>
      <c r="B303" s="16"/>
      <c r="E303" s="16"/>
      <c r="F303" s="16"/>
      <c r="G303" s="16"/>
      <c r="H303" s="16"/>
      <c r="I303" s="16"/>
      <c r="J303" s="16"/>
      <c r="K303" s="16"/>
      <c r="L303" s="16"/>
      <c r="M303" s="16"/>
      <c r="N303" s="5" t="s">
        <v>112</v>
      </c>
      <c r="O303" s="16" t="str">
        <f t="shared" si="1"/>
        <v>#</v>
      </c>
      <c r="P303" s="16" t="str">
        <f t="shared" si="2"/>
        <v>#videoGame</v>
      </c>
      <c r="R303" s="16" t="str">
        <f>"("""&amp;C303&amp;""") ("&amp;Vlookup(E303,DropDown!B:C,2,FALSE)&amp; " OR ""Video Game"" OR Playstation OR iOS OR PS4 OR PS5 OR Xbox OR Switch OR Swtich 2 OR PC)"</f>
        <v>#N/A</v>
      </c>
      <c r="S303" s="44" t="str">
        <f>"("""&amp;C303&amp;""") ("&amp;Vlookup(E303,DropDown!K:L,2,FALSE)&amp; " | ""Video Game"" | Playstation | iOS | PS4 | PS5 | Xbox | Switch | Switch 2 | PC)"</f>
        <v>#N/A</v>
      </c>
      <c r="T303" s="44"/>
      <c r="U303" s="44"/>
      <c r="V303" s="44"/>
      <c r="W303" s="44"/>
      <c r="X303" s="44"/>
      <c r="Z303" s="44"/>
    </row>
    <row r="304">
      <c r="A304" s="16"/>
      <c r="B304" s="16"/>
      <c r="E304" s="16"/>
      <c r="F304" s="16"/>
      <c r="G304" s="16"/>
      <c r="H304" s="16"/>
      <c r="I304" s="16"/>
      <c r="J304" s="16"/>
      <c r="K304" s="16"/>
      <c r="L304" s="16"/>
      <c r="M304" s="16"/>
      <c r="N304" s="5" t="s">
        <v>112</v>
      </c>
      <c r="O304" s="16" t="str">
        <f t="shared" si="1"/>
        <v>#</v>
      </c>
      <c r="P304" s="16" t="str">
        <f t="shared" si="2"/>
        <v>#videoGame</v>
      </c>
      <c r="R304" s="16" t="str">
        <f>"("""&amp;C304&amp;""") ("&amp;Vlookup(E304,DropDown!B:C,2,FALSE)&amp; " OR ""Video Game"" OR Playstation OR iOS OR PS4 OR PS5 OR Xbox OR Switch OR Swtich 2 OR PC)"</f>
        <v>#N/A</v>
      </c>
      <c r="S304" s="44" t="str">
        <f>"("""&amp;C304&amp;""") ("&amp;Vlookup(E304,DropDown!K:L,2,FALSE)&amp; " | ""Video Game"" | Playstation | iOS | PS4 | PS5 | Xbox | Switch | Switch 2 | PC)"</f>
        <v>#N/A</v>
      </c>
      <c r="T304" s="44"/>
      <c r="U304" s="44"/>
      <c r="V304" s="44"/>
      <c r="W304" s="44"/>
      <c r="X304" s="44"/>
      <c r="Z304" s="44"/>
    </row>
    <row r="305">
      <c r="A305" s="16"/>
      <c r="B305" s="16"/>
      <c r="E305" s="16"/>
      <c r="F305" s="16"/>
      <c r="G305" s="16"/>
      <c r="H305" s="16"/>
      <c r="I305" s="16"/>
      <c r="J305" s="16"/>
      <c r="K305" s="16"/>
      <c r="L305" s="16"/>
      <c r="M305" s="16"/>
      <c r="N305" s="5" t="s">
        <v>112</v>
      </c>
      <c r="O305" s="16" t="str">
        <f t="shared" si="1"/>
        <v>#</v>
      </c>
      <c r="P305" s="16" t="str">
        <f t="shared" si="2"/>
        <v>#videoGame</v>
      </c>
      <c r="R305" s="16" t="str">
        <f>"("""&amp;C305&amp;""") ("&amp;Vlookup(E305,DropDown!B:C,2,FALSE)&amp; " OR ""Video Game"" OR Playstation OR iOS OR PS4 OR PS5 OR Xbox OR Switch OR Swtich 2 OR PC)"</f>
        <v>#N/A</v>
      </c>
      <c r="S305" s="44" t="str">
        <f>"("""&amp;C305&amp;""") ("&amp;Vlookup(E305,DropDown!K:L,2,FALSE)&amp; " | ""Video Game"" | Playstation | iOS | PS4 | PS5 | Xbox | Switch | Switch 2 | PC)"</f>
        <v>#N/A</v>
      </c>
      <c r="T305" s="44"/>
      <c r="U305" s="44"/>
      <c r="V305" s="44"/>
      <c r="W305" s="44"/>
      <c r="X305" s="44"/>
      <c r="Z305" s="44"/>
    </row>
    <row r="306">
      <c r="A306" s="16"/>
      <c r="B306" s="16"/>
      <c r="E306" s="16"/>
      <c r="F306" s="16"/>
      <c r="G306" s="16"/>
      <c r="H306" s="16"/>
      <c r="I306" s="16"/>
      <c r="J306" s="16"/>
      <c r="K306" s="16"/>
      <c r="L306" s="16"/>
      <c r="M306" s="16"/>
      <c r="N306" s="5" t="s">
        <v>112</v>
      </c>
      <c r="O306" s="16" t="str">
        <f t="shared" si="1"/>
        <v>#</v>
      </c>
      <c r="P306" s="16" t="str">
        <f t="shared" si="2"/>
        <v>#videoGame</v>
      </c>
      <c r="R306" s="16" t="str">
        <f>"("""&amp;C306&amp;""") ("&amp;Vlookup(E306,DropDown!B:C,2,FALSE)&amp; " OR ""Video Game"" OR Playstation OR iOS OR PS4 OR PS5 OR Xbox OR Switch OR Swtich 2 OR PC)"</f>
        <v>#N/A</v>
      </c>
      <c r="S306" s="44" t="str">
        <f>"("""&amp;C306&amp;""") ("&amp;Vlookup(E306,DropDown!K:L,2,FALSE)&amp; " | ""Video Game"" | Playstation | iOS | PS4 | PS5 | Xbox | Switch | Switch 2 | PC)"</f>
        <v>#N/A</v>
      </c>
      <c r="T306" s="44"/>
      <c r="U306" s="44"/>
      <c r="V306" s="44"/>
      <c r="W306" s="44"/>
      <c r="X306" s="44"/>
      <c r="Z306" s="44"/>
    </row>
    <row r="307">
      <c r="A307" s="16"/>
      <c r="B307" s="16"/>
      <c r="E307" s="16"/>
      <c r="F307" s="16"/>
      <c r="G307" s="16"/>
      <c r="H307" s="16"/>
      <c r="I307" s="16"/>
      <c r="J307" s="16"/>
      <c r="K307" s="16"/>
      <c r="L307" s="16"/>
      <c r="M307" s="16"/>
      <c r="N307" s="5" t="s">
        <v>112</v>
      </c>
      <c r="O307" s="16" t="str">
        <f t="shared" si="1"/>
        <v>#</v>
      </c>
      <c r="P307" s="16" t="str">
        <f t="shared" si="2"/>
        <v>#videoGame</v>
      </c>
      <c r="R307" s="16" t="str">
        <f>"("""&amp;C307&amp;""") ("&amp;Vlookup(E307,DropDown!B:C,2,FALSE)&amp; " OR ""Video Game"" OR Playstation OR iOS OR PS4 OR PS5 OR Xbox OR Switch OR Swtich 2 OR PC)"</f>
        <v>#N/A</v>
      </c>
      <c r="S307" s="44" t="str">
        <f>"("""&amp;C307&amp;""") ("&amp;Vlookup(E307,DropDown!K:L,2,FALSE)&amp; " | ""Video Game"" | Playstation | iOS | PS4 | PS5 | Xbox | Switch | Switch 2 | PC)"</f>
        <v>#N/A</v>
      </c>
      <c r="T307" s="44"/>
      <c r="U307" s="44"/>
      <c r="V307" s="44"/>
      <c r="W307" s="44"/>
      <c r="X307" s="44"/>
      <c r="Z307" s="44"/>
    </row>
    <row r="308">
      <c r="A308" s="16"/>
      <c r="B308" s="16"/>
      <c r="E308" s="16"/>
      <c r="F308" s="16"/>
      <c r="G308" s="16"/>
      <c r="H308" s="16"/>
      <c r="I308" s="16"/>
      <c r="J308" s="16"/>
      <c r="K308" s="16"/>
      <c r="L308" s="16"/>
      <c r="M308" s="16"/>
      <c r="N308" s="5" t="s">
        <v>112</v>
      </c>
      <c r="O308" s="16" t="str">
        <f t="shared" si="1"/>
        <v>#</v>
      </c>
      <c r="P308" s="16" t="str">
        <f t="shared" si="2"/>
        <v>#videoGame</v>
      </c>
      <c r="R308" s="16" t="str">
        <f>"("""&amp;C308&amp;""") ("&amp;Vlookup(E308,DropDown!B:C,2,FALSE)&amp; " OR ""Video Game"" OR Playstation OR iOS OR PS4 OR PS5 OR Xbox OR Switch OR Swtich 2 OR PC)"</f>
        <v>#N/A</v>
      </c>
      <c r="S308" s="44" t="str">
        <f>"("""&amp;C308&amp;""") ("&amp;Vlookup(E308,DropDown!K:L,2,FALSE)&amp; " | ""Video Game"" | Playstation | iOS | PS4 | PS5 | Xbox | Switch | Switch 2 | PC)"</f>
        <v>#N/A</v>
      </c>
      <c r="T308" s="44"/>
      <c r="U308" s="44"/>
      <c r="V308" s="44"/>
      <c r="W308" s="44"/>
      <c r="X308" s="44"/>
      <c r="Z308" s="44"/>
    </row>
    <row r="309">
      <c r="A309" s="16"/>
      <c r="B309" s="16"/>
      <c r="E309" s="16"/>
      <c r="F309" s="16"/>
      <c r="G309" s="16"/>
      <c r="H309" s="16"/>
      <c r="I309" s="16"/>
      <c r="J309" s="16"/>
      <c r="K309" s="16"/>
      <c r="L309" s="16"/>
      <c r="M309" s="16"/>
      <c r="N309" s="5" t="s">
        <v>112</v>
      </c>
      <c r="O309" s="16" t="str">
        <f t="shared" si="1"/>
        <v>#</v>
      </c>
      <c r="P309" s="16" t="str">
        <f t="shared" si="2"/>
        <v>#videoGame</v>
      </c>
      <c r="R309" s="16" t="str">
        <f>"("""&amp;C309&amp;""") ("&amp;Vlookup(E309,DropDown!B:C,2,FALSE)&amp; " OR ""Video Game"" OR Playstation OR iOS OR PS4 OR PS5 OR Xbox OR Switch OR Swtich 2 OR PC)"</f>
        <v>#N/A</v>
      </c>
      <c r="S309" s="44" t="str">
        <f>"("""&amp;C309&amp;""") ("&amp;Vlookup(E309,DropDown!K:L,2,FALSE)&amp; " | ""Video Game"" | Playstation | iOS | PS4 | PS5 | Xbox | Switch | Switch 2 | PC)"</f>
        <v>#N/A</v>
      </c>
      <c r="T309" s="44"/>
      <c r="U309" s="44"/>
      <c r="V309" s="44"/>
      <c r="W309" s="44"/>
      <c r="X309" s="44"/>
      <c r="Z309" s="44"/>
    </row>
    <row r="310">
      <c r="A310" s="16"/>
      <c r="B310" s="16"/>
      <c r="E310" s="16"/>
      <c r="F310" s="16"/>
      <c r="G310" s="16"/>
      <c r="H310" s="16"/>
      <c r="I310" s="16"/>
      <c r="J310" s="16"/>
      <c r="K310" s="16"/>
      <c r="L310" s="16"/>
      <c r="M310" s="16"/>
      <c r="N310" s="5" t="s">
        <v>112</v>
      </c>
      <c r="O310" s="16" t="str">
        <f t="shared" si="1"/>
        <v>#</v>
      </c>
      <c r="P310" s="16" t="str">
        <f t="shared" si="2"/>
        <v>#videoGame</v>
      </c>
      <c r="R310" s="16" t="str">
        <f>"("""&amp;C310&amp;""") ("&amp;Vlookup(E310,DropDown!B:C,2,FALSE)&amp; " OR ""Video Game"" OR Playstation OR iOS OR PS4 OR PS5 OR Xbox OR Switch OR Swtich 2 OR PC)"</f>
        <v>#N/A</v>
      </c>
      <c r="S310" s="44" t="str">
        <f>"("""&amp;C310&amp;""") ("&amp;Vlookup(E310,DropDown!K:L,2,FALSE)&amp; " | ""Video Game"" | Playstation | iOS | PS4 | PS5 | Xbox | Switch | Switch 2 | PC)"</f>
        <v>#N/A</v>
      </c>
      <c r="T310" s="44"/>
      <c r="U310" s="44"/>
      <c r="V310" s="44"/>
      <c r="W310" s="44"/>
      <c r="X310" s="44"/>
      <c r="Z310" s="44"/>
    </row>
    <row r="311">
      <c r="A311" s="16"/>
      <c r="B311" s="16"/>
      <c r="E311" s="16"/>
      <c r="F311" s="16"/>
      <c r="G311" s="16"/>
      <c r="H311" s="16"/>
      <c r="I311" s="16"/>
      <c r="J311" s="16"/>
      <c r="K311" s="16"/>
      <c r="L311" s="16"/>
      <c r="M311" s="16"/>
      <c r="N311" s="5" t="s">
        <v>112</v>
      </c>
      <c r="O311" s="16" t="str">
        <f t="shared" si="1"/>
        <v>#</v>
      </c>
      <c r="P311" s="16" t="str">
        <f t="shared" si="2"/>
        <v>#videoGame</v>
      </c>
      <c r="R311" s="16" t="str">
        <f>"("""&amp;C311&amp;""") ("&amp;Vlookup(E311,DropDown!B:C,2,FALSE)&amp; " OR ""Video Game"" OR Playstation OR iOS OR PS4 OR PS5 OR Xbox OR Switch OR Swtich 2 OR PC)"</f>
        <v>#N/A</v>
      </c>
      <c r="S311" s="44" t="str">
        <f>"("""&amp;C311&amp;""") ("&amp;Vlookup(E311,DropDown!K:L,2,FALSE)&amp; " | ""Video Game"" | Playstation | iOS | PS4 | PS5 | Xbox | Switch | Switch 2 | PC)"</f>
        <v>#N/A</v>
      </c>
      <c r="T311" s="44"/>
      <c r="U311" s="44"/>
      <c r="V311" s="44"/>
      <c r="W311" s="44"/>
      <c r="X311" s="44"/>
      <c r="Z311" s="44"/>
    </row>
    <row r="312">
      <c r="A312" s="16"/>
      <c r="B312" s="16"/>
      <c r="E312" s="16"/>
      <c r="F312" s="16"/>
      <c r="G312" s="16"/>
      <c r="H312" s="16"/>
      <c r="I312" s="16"/>
      <c r="J312" s="16"/>
      <c r="K312" s="16"/>
      <c r="L312" s="16"/>
      <c r="M312" s="16"/>
      <c r="N312" s="5" t="s">
        <v>112</v>
      </c>
      <c r="O312" s="16" t="str">
        <f t="shared" si="1"/>
        <v>#</v>
      </c>
      <c r="P312" s="16" t="str">
        <f t="shared" si="2"/>
        <v>#videoGame</v>
      </c>
      <c r="R312" s="16" t="str">
        <f>"("""&amp;C312&amp;""") ("&amp;Vlookup(E312,DropDown!B:C,2,FALSE)&amp; " OR ""Video Game"" OR Playstation OR iOS OR PS4 OR PS5 OR Xbox OR Switch OR Swtich 2 OR PC)"</f>
        <v>#N/A</v>
      </c>
      <c r="S312" s="44" t="str">
        <f>"("""&amp;C312&amp;""") ("&amp;Vlookup(E312,DropDown!K:L,2,FALSE)&amp; " | ""Video Game"" | Playstation | iOS | PS4 | PS5 | Xbox | Switch | Switch 2 | PC)"</f>
        <v>#N/A</v>
      </c>
      <c r="T312" s="44"/>
      <c r="U312" s="44"/>
      <c r="V312" s="44"/>
      <c r="W312" s="44"/>
      <c r="X312" s="44"/>
      <c r="Z312" s="44"/>
    </row>
    <row r="313">
      <c r="A313" s="16"/>
      <c r="B313" s="16"/>
      <c r="E313" s="16"/>
      <c r="F313" s="16"/>
      <c r="G313" s="16"/>
      <c r="H313" s="16"/>
      <c r="I313" s="16"/>
      <c r="J313" s="16"/>
      <c r="K313" s="16"/>
      <c r="L313" s="16"/>
      <c r="M313" s="16"/>
      <c r="N313" s="5" t="s">
        <v>112</v>
      </c>
      <c r="O313" s="16" t="str">
        <f t="shared" si="1"/>
        <v>#</v>
      </c>
      <c r="P313" s="16" t="str">
        <f t="shared" si="2"/>
        <v>#videoGame</v>
      </c>
      <c r="R313" s="16" t="str">
        <f>"("""&amp;C313&amp;""") ("&amp;Vlookup(E313,DropDown!B:C,2,FALSE)&amp; " OR ""Video Game"" OR Playstation OR iOS OR PS4 OR PS5 OR Xbox OR Switch OR Swtich 2 OR PC)"</f>
        <v>#N/A</v>
      </c>
      <c r="S313" s="44" t="str">
        <f>"("""&amp;C313&amp;""") ("&amp;Vlookup(E313,DropDown!K:L,2,FALSE)&amp; " | ""Video Game"" | Playstation | iOS | PS4 | PS5 | Xbox | Switch | Switch 2 | PC)"</f>
        <v>#N/A</v>
      </c>
      <c r="T313" s="44"/>
      <c r="U313" s="44"/>
      <c r="V313" s="44"/>
      <c r="W313" s="44"/>
      <c r="X313" s="44"/>
      <c r="Z313" s="44"/>
    </row>
    <row r="314">
      <c r="A314" s="16"/>
      <c r="B314" s="16"/>
      <c r="E314" s="16"/>
      <c r="F314" s="16"/>
      <c r="G314" s="16"/>
      <c r="H314" s="16"/>
      <c r="I314" s="16"/>
      <c r="J314" s="16"/>
      <c r="K314" s="16"/>
      <c r="L314" s="16"/>
      <c r="M314" s="16"/>
      <c r="N314" s="5" t="s">
        <v>112</v>
      </c>
      <c r="O314" s="16" t="str">
        <f t="shared" si="1"/>
        <v>#</v>
      </c>
      <c r="P314" s="16" t="str">
        <f t="shared" si="2"/>
        <v>#videoGame</v>
      </c>
      <c r="R314" s="16" t="str">
        <f>"("""&amp;C314&amp;""") ("&amp;Vlookup(E314,DropDown!B:C,2,FALSE)&amp; " OR ""Video Game"" OR Playstation OR iOS OR PS4 OR PS5 OR Xbox OR Switch OR Swtich 2 OR PC)"</f>
        <v>#N/A</v>
      </c>
      <c r="S314" s="44" t="str">
        <f>"("""&amp;C314&amp;""") ("&amp;Vlookup(E314,DropDown!K:L,2,FALSE)&amp; " | ""Video Game"" | Playstation | iOS | PS4 | PS5 | Xbox | Switch | Switch 2 | PC)"</f>
        <v>#N/A</v>
      </c>
      <c r="T314" s="44"/>
      <c r="U314" s="44"/>
      <c r="V314" s="44"/>
      <c r="W314" s="44"/>
      <c r="X314" s="44"/>
      <c r="Z314" s="44"/>
    </row>
    <row r="315">
      <c r="A315" s="16"/>
      <c r="B315" s="16"/>
      <c r="E315" s="16"/>
      <c r="F315" s="16"/>
      <c r="G315" s="16"/>
      <c r="H315" s="16"/>
      <c r="I315" s="16"/>
      <c r="J315" s="16"/>
      <c r="K315" s="16"/>
      <c r="L315" s="16"/>
      <c r="M315" s="16"/>
      <c r="N315" s="5" t="s">
        <v>112</v>
      </c>
      <c r="O315" s="16" t="str">
        <f t="shared" si="1"/>
        <v>#</v>
      </c>
      <c r="P315" s="16" t="str">
        <f t="shared" si="2"/>
        <v>#videoGame</v>
      </c>
      <c r="R315" s="16" t="str">
        <f>"("""&amp;C315&amp;""") ("&amp;Vlookup(E315,DropDown!B:C,2,FALSE)&amp; " OR ""Video Game"" OR Playstation OR iOS OR PS4 OR PS5 OR Xbox OR Switch OR Swtich 2 OR PC)"</f>
        <v>#N/A</v>
      </c>
      <c r="S315" s="44" t="str">
        <f>"("""&amp;C315&amp;""") ("&amp;Vlookup(E315,DropDown!K:L,2,FALSE)&amp; " | ""Video Game"" | Playstation | iOS | PS4 | PS5 | Xbox | Switch | Switch 2 | PC)"</f>
        <v>#N/A</v>
      </c>
      <c r="T315" s="44"/>
      <c r="U315" s="44"/>
      <c r="V315" s="44"/>
      <c r="W315" s="44"/>
      <c r="X315" s="44"/>
      <c r="Z315" s="44"/>
    </row>
    <row r="316">
      <c r="A316" s="16"/>
      <c r="B316" s="16"/>
      <c r="E316" s="16"/>
      <c r="F316" s="16"/>
      <c r="G316" s="16"/>
      <c r="H316" s="16"/>
      <c r="I316" s="16"/>
      <c r="J316" s="16"/>
      <c r="K316" s="16"/>
      <c r="L316" s="16"/>
      <c r="M316" s="16"/>
      <c r="N316" s="5" t="s">
        <v>112</v>
      </c>
      <c r="O316" s="16" t="str">
        <f t="shared" si="1"/>
        <v>#</v>
      </c>
      <c r="P316" s="16" t="str">
        <f t="shared" si="2"/>
        <v>#videoGame</v>
      </c>
      <c r="R316" s="16" t="str">
        <f>"("""&amp;C316&amp;""") ("&amp;Vlookup(E316,DropDown!B:C,2,FALSE)&amp; " OR ""Video Game"" OR Playstation OR iOS OR PS4 OR PS5 OR Xbox OR Switch OR Swtich 2 OR PC)"</f>
        <v>#N/A</v>
      </c>
      <c r="S316" s="44" t="str">
        <f>"("""&amp;C316&amp;""") ("&amp;Vlookup(E316,DropDown!K:L,2,FALSE)&amp; " | ""Video Game"" | Playstation | iOS | PS4 | PS5 | Xbox | Switch | Switch 2 | PC)"</f>
        <v>#N/A</v>
      </c>
      <c r="T316" s="44"/>
      <c r="U316" s="44"/>
      <c r="V316" s="44"/>
      <c r="W316" s="44"/>
      <c r="X316" s="44"/>
      <c r="Z316" s="44"/>
    </row>
    <row r="317">
      <c r="A317" s="16"/>
      <c r="B317" s="16"/>
      <c r="E317" s="16"/>
      <c r="F317" s="16"/>
      <c r="G317" s="16"/>
      <c r="H317" s="16"/>
      <c r="I317" s="16"/>
      <c r="J317" s="16"/>
      <c r="K317" s="16"/>
      <c r="L317" s="16"/>
      <c r="M317" s="16"/>
      <c r="N317" s="5" t="s">
        <v>112</v>
      </c>
      <c r="O317" s="16" t="str">
        <f t="shared" si="1"/>
        <v>#</v>
      </c>
      <c r="P317" s="16" t="str">
        <f t="shared" si="2"/>
        <v>#videoGame</v>
      </c>
      <c r="R317" s="16" t="str">
        <f>"("""&amp;C317&amp;""") ("&amp;Vlookup(E317,DropDown!B:C,2,FALSE)&amp; " OR ""Video Game"" OR Playstation OR iOS OR PS4 OR PS5 OR Xbox OR Switch OR Swtich 2 OR PC)"</f>
        <v>#N/A</v>
      </c>
      <c r="S317" s="44" t="str">
        <f>"("""&amp;C317&amp;""") ("&amp;Vlookup(E317,DropDown!K:L,2,FALSE)&amp; " | ""Video Game"" | Playstation | iOS | PS4 | PS5 | Xbox | Switch | Switch 2 | PC)"</f>
        <v>#N/A</v>
      </c>
      <c r="T317" s="44"/>
      <c r="U317" s="44"/>
      <c r="V317" s="44"/>
      <c r="W317" s="44"/>
      <c r="X317" s="44"/>
      <c r="Z317" s="44"/>
    </row>
    <row r="318">
      <c r="A318" s="16"/>
      <c r="B318" s="16"/>
      <c r="E318" s="16"/>
      <c r="F318" s="16"/>
      <c r="G318" s="16"/>
      <c r="H318" s="16"/>
      <c r="I318" s="16"/>
      <c r="J318" s="16"/>
      <c r="K318" s="16"/>
      <c r="L318" s="16"/>
      <c r="M318" s="16"/>
      <c r="N318" s="5" t="s">
        <v>112</v>
      </c>
      <c r="O318" s="16" t="str">
        <f t="shared" si="1"/>
        <v>#</v>
      </c>
      <c r="P318" s="16" t="str">
        <f t="shared" si="2"/>
        <v>#videoGame</v>
      </c>
      <c r="R318" s="16" t="str">
        <f>"("""&amp;C318&amp;""") ("&amp;Vlookup(E318,DropDown!B:C,2,FALSE)&amp; " OR ""Video Game"" OR Playstation OR iOS OR PS4 OR PS5 OR Xbox OR Switch OR Swtich 2 OR PC)"</f>
        <v>#N/A</v>
      </c>
      <c r="S318" s="44" t="str">
        <f>"("""&amp;C318&amp;""") ("&amp;Vlookup(E318,DropDown!K:L,2,FALSE)&amp; " | ""Video Game"" | Playstation | iOS | PS4 | PS5 | Xbox | Switch | Switch 2 | PC)"</f>
        <v>#N/A</v>
      </c>
      <c r="T318" s="44"/>
      <c r="U318" s="44"/>
      <c r="V318" s="44"/>
      <c r="W318" s="44"/>
      <c r="X318" s="44"/>
      <c r="Z318" s="44"/>
    </row>
    <row r="319">
      <c r="A319" s="16"/>
      <c r="B319" s="16"/>
      <c r="E319" s="16"/>
      <c r="F319" s="16"/>
      <c r="G319" s="16"/>
      <c r="H319" s="16"/>
      <c r="I319" s="16"/>
      <c r="J319" s="16"/>
      <c r="K319" s="16"/>
      <c r="L319" s="16"/>
      <c r="M319" s="16"/>
      <c r="N319" s="5" t="s">
        <v>112</v>
      </c>
      <c r="O319" s="16" t="str">
        <f t="shared" si="1"/>
        <v>#</v>
      </c>
      <c r="P319" s="16" t="str">
        <f t="shared" si="2"/>
        <v>#videoGame</v>
      </c>
      <c r="R319" s="16" t="str">
        <f>"("""&amp;C319&amp;""") ("&amp;Vlookup(E319,DropDown!B:C,2,FALSE)&amp; " OR ""Video Game"" OR Playstation OR iOS OR PS4 OR PS5 OR Xbox OR Switch OR Swtich 2 OR PC)"</f>
        <v>#N/A</v>
      </c>
      <c r="S319" s="44" t="str">
        <f>"("""&amp;C319&amp;""") ("&amp;Vlookup(E319,DropDown!K:L,2,FALSE)&amp; " | ""Video Game"" | Playstation | iOS | PS4 | PS5 | Xbox | Switch | Switch 2 | PC)"</f>
        <v>#N/A</v>
      </c>
      <c r="T319" s="44"/>
      <c r="U319" s="44"/>
      <c r="V319" s="44"/>
      <c r="W319" s="44"/>
      <c r="X319" s="44"/>
      <c r="Z319" s="44"/>
    </row>
    <row r="320">
      <c r="A320" s="16"/>
      <c r="B320" s="16"/>
      <c r="E320" s="16"/>
      <c r="F320" s="16"/>
      <c r="G320" s="16"/>
      <c r="H320" s="16"/>
      <c r="I320" s="16"/>
      <c r="J320" s="16"/>
      <c r="K320" s="16"/>
      <c r="L320" s="16"/>
      <c r="M320" s="16"/>
      <c r="N320" s="5" t="s">
        <v>112</v>
      </c>
      <c r="O320" s="16" t="str">
        <f t="shared" si="1"/>
        <v>#</v>
      </c>
      <c r="P320" s="16" t="str">
        <f t="shared" si="2"/>
        <v>#videoGame</v>
      </c>
      <c r="R320" s="16" t="str">
        <f>"("""&amp;C320&amp;""") ("&amp;Vlookup(E320,DropDown!B:C,2,FALSE)&amp; " OR ""Video Game"" OR Playstation OR iOS OR PS4 OR PS5 OR Xbox OR Switch OR Swtich 2 OR PC)"</f>
        <v>#N/A</v>
      </c>
      <c r="S320" s="44" t="str">
        <f>"("""&amp;C320&amp;""") ("&amp;Vlookup(E320,DropDown!K:L,2,FALSE)&amp; " | ""Video Game"" | Playstation | iOS | PS4 | PS5 | Xbox | Switch | Switch 2 | PC)"</f>
        <v>#N/A</v>
      </c>
      <c r="T320" s="44"/>
      <c r="U320" s="44"/>
      <c r="V320" s="44"/>
      <c r="W320" s="44"/>
      <c r="X320" s="44"/>
      <c r="Z320" s="44"/>
    </row>
    <row r="321">
      <c r="A321" s="16"/>
      <c r="B321" s="16"/>
      <c r="E321" s="16"/>
      <c r="F321" s="16"/>
      <c r="G321" s="16"/>
      <c r="H321" s="16"/>
      <c r="I321" s="16"/>
      <c r="J321" s="16"/>
      <c r="K321" s="16"/>
      <c r="L321" s="16"/>
      <c r="M321" s="16"/>
      <c r="N321" s="5" t="s">
        <v>112</v>
      </c>
      <c r="O321" s="16" t="str">
        <f t="shared" si="1"/>
        <v>#</v>
      </c>
      <c r="P321" s="16" t="str">
        <f t="shared" si="2"/>
        <v>#videoGame</v>
      </c>
      <c r="R321" s="16" t="str">
        <f>"("""&amp;C321&amp;""") ("&amp;Vlookup(E321,DropDown!B:C,2,FALSE)&amp; " OR ""Video Game"" OR Playstation OR iOS OR PS4 OR PS5 OR Xbox OR Switch OR Swtich 2 OR PC)"</f>
        <v>#N/A</v>
      </c>
      <c r="S321" s="44" t="str">
        <f>"("""&amp;C321&amp;""") ("&amp;Vlookup(E321,DropDown!K:L,2,FALSE)&amp; " | ""Video Game"" | Playstation | iOS | PS4 | PS5 | Xbox | Switch | Switch 2 | PC)"</f>
        <v>#N/A</v>
      </c>
      <c r="T321" s="44"/>
      <c r="U321" s="44"/>
      <c r="V321" s="44"/>
      <c r="W321" s="44"/>
      <c r="X321" s="44"/>
      <c r="Z321" s="44"/>
    </row>
    <row r="322">
      <c r="A322" s="16"/>
      <c r="B322" s="16"/>
      <c r="E322" s="16"/>
      <c r="F322" s="16"/>
      <c r="G322" s="16"/>
      <c r="H322" s="16"/>
      <c r="I322" s="16"/>
      <c r="J322" s="16"/>
      <c r="K322" s="16"/>
      <c r="L322" s="16"/>
      <c r="M322" s="16"/>
      <c r="N322" s="5" t="s">
        <v>112</v>
      </c>
      <c r="O322" s="16" t="str">
        <f t="shared" si="1"/>
        <v>#</v>
      </c>
      <c r="P322" s="16" t="str">
        <f t="shared" si="2"/>
        <v>#videoGame</v>
      </c>
      <c r="R322" s="16" t="str">
        <f>"("""&amp;C322&amp;""") ("&amp;Vlookup(E322,DropDown!B:C,2,FALSE)&amp; " OR ""Video Game"" OR Playstation OR iOS OR PS4 OR PS5 OR Xbox OR Switch OR Swtich 2 OR PC)"</f>
        <v>#N/A</v>
      </c>
      <c r="S322" s="44" t="str">
        <f>"("""&amp;C322&amp;""") ("&amp;Vlookup(E322,DropDown!K:L,2,FALSE)&amp; " | ""Video Game"" | Playstation | iOS | PS4 | PS5 | Xbox | Switch | Switch 2 | PC)"</f>
        <v>#N/A</v>
      </c>
      <c r="T322" s="44"/>
      <c r="U322" s="44"/>
      <c r="V322" s="44"/>
      <c r="W322" s="44"/>
      <c r="X322" s="44"/>
      <c r="Z322" s="44"/>
    </row>
    <row r="323">
      <c r="A323" s="16"/>
      <c r="B323" s="16"/>
      <c r="E323" s="16"/>
      <c r="F323" s="16"/>
      <c r="G323" s="16"/>
      <c r="H323" s="16"/>
      <c r="I323" s="16"/>
      <c r="J323" s="16"/>
      <c r="K323" s="16"/>
      <c r="L323" s="16"/>
      <c r="M323" s="16"/>
      <c r="N323" s="5" t="s">
        <v>112</v>
      </c>
      <c r="O323" s="16" t="str">
        <f t="shared" si="1"/>
        <v>#</v>
      </c>
      <c r="P323" s="16" t="str">
        <f t="shared" si="2"/>
        <v>#videoGame</v>
      </c>
      <c r="R323" s="16" t="str">
        <f>"("""&amp;C323&amp;""") ("&amp;Vlookup(E323,DropDown!B:C,2,FALSE)&amp; " OR ""Video Game"" OR Playstation OR iOS OR PS4 OR PS5 OR Xbox OR Switch OR Swtich 2 OR PC)"</f>
        <v>#N/A</v>
      </c>
      <c r="S323" s="44" t="str">
        <f>"("""&amp;C323&amp;""") ("&amp;Vlookup(E323,DropDown!K:L,2,FALSE)&amp; " | ""Video Game"" | Playstation | iOS | PS4 | PS5 | Xbox | Switch | Switch 2 | PC)"</f>
        <v>#N/A</v>
      </c>
      <c r="T323" s="44"/>
      <c r="U323" s="44"/>
      <c r="V323" s="44"/>
      <c r="W323" s="44"/>
      <c r="X323" s="44"/>
      <c r="Z323" s="44"/>
    </row>
    <row r="324">
      <c r="A324" s="16"/>
      <c r="B324" s="16"/>
      <c r="E324" s="16"/>
      <c r="F324" s="16"/>
      <c r="G324" s="16"/>
      <c r="H324" s="16"/>
      <c r="I324" s="16"/>
      <c r="J324" s="16"/>
      <c r="K324" s="16"/>
      <c r="L324" s="16"/>
      <c r="M324" s="16"/>
      <c r="N324" s="5" t="s">
        <v>112</v>
      </c>
      <c r="O324" s="16" t="str">
        <f t="shared" si="1"/>
        <v>#</v>
      </c>
      <c r="P324" s="16" t="str">
        <f t="shared" si="2"/>
        <v>#videoGame</v>
      </c>
      <c r="R324" s="16" t="str">
        <f>"("""&amp;C324&amp;""") ("&amp;Vlookup(E324,DropDown!B:C,2,FALSE)&amp; " OR ""Video Game"" OR Playstation OR iOS OR PS4 OR PS5 OR Xbox OR Switch OR Swtich 2 OR PC)"</f>
        <v>#N/A</v>
      </c>
      <c r="S324" s="44" t="str">
        <f>"("""&amp;C324&amp;""") ("&amp;Vlookup(E324,DropDown!K:L,2,FALSE)&amp; " | ""Video Game"" | Playstation | iOS | PS4 | PS5 | Xbox | Switch | Switch 2 | PC)"</f>
        <v>#N/A</v>
      </c>
      <c r="T324" s="44"/>
      <c r="U324" s="44"/>
      <c r="V324" s="44"/>
      <c r="W324" s="44"/>
      <c r="X324" s="44"/>
      <c r="Z324" s="44"/>
    </row>
    <row r="325">
      <c r="A325" s="16"/>
      <c r="B325" s="16"/>
      <c r="E325" s="16"/>
      <c r="F325" s="16"/>
      <c r="G325" s="16"/>
      <c r="H325" s="16"/>
      <c r="I325" s="16"/>
      <c r="J325" s="16"/>
      <c r="K325" s="16"/>
      <c r="L325" s="16"/>
      <c r="M325" s="16"/>
      <c r="N325" s="5" t="s">
        <v>112</v>
      </c>
      <c r="O325" s="16" t="str">
        <f t="shared" si="1"/>
        <v>#</v>
      </c>
      <c r="P325" s="16" t="str">
        <f t="shared" si="2"/>
        <v>#videoGame</v>
      </c>
      <c r="R325" s="16" t="str">
        <f>"("""&amp;C325&amp;""") ("&amp;Vlookup(E325,DropDown!B:C,2,FALSE)&amp; " OR ""Video Game"" OR Playstation OR iOS OR PS4 OR PS5 OR Xbox OR Switch OR Swtich 2 OR PC)"</f>
        <v>#N/A</v>
      </c>
      <c r="S325" s="44" t="str">
        <f>"("""&amp;C325&amp;""") ("&amp;Vlookup(E325,DropDown!K:L,2,FALSE)&amp; " | ""Video Game"" | Playstation | iOS | PS4 | PS5 | Xbox | Switch | Switch 2 | PC)"</f>
        <v>#N/A</v>
      </c>
      <c r="T325" s="44"/>
      <c r="U325" s="44"/>
      <c r="V325" s="44"/>
      <c r="W325" s="44"/>
      <c r="X325" s="44"/>
      <c r="Z325" s="44"/>
    </row>
    <row r="326">
      <c r="A326" s="16"/>
      <c r="B326" s="16"/>
      <c r="E326" s="16"/>
      <c r="F326" s="16"/>
      <c r="G326" s="16"/>
      <c r="H326" s="16"/>
      <c r="I326" s="16"/>
      <c r="J326" s="16"/>
      <c r="K326" s="16"/>
      <c r="L326" s="16"/>
      <c r="M326" s="16"/>
      <c r="N326" s="5" t="s">
        <v>112</v>
      </c>
      <c r="O326" s="16" t="str">
        <f t="shared" si="1"/>
        <v>#</v>
      </c>
      <c r="P326" s="16" t="str">
        <f t="shared" si="2"/>
        <v>#videoGame</v>
      </c>
      <c r="R326" s="16" t="str">
        <f>"("""&amp;C326&amp;""") ("&amp;Vlookup(E326,DropDown!B:C,2,FALSE)&amp; " OR ""Video Game"" OR Playstation OR iOS OR PS4 OR PS5 OR Xbox OR Switch OR Swtich 2 OR PC)"</f>
        <v>#N/A</v>
      </c>
      <c r="S326" s="44" t="str">
        <f>"("""&amp;C326&amp;""") ("&amp;Vlookup(E326,DropDown!K:L,2,FALSE)&amp; " | ""Video Game"" | Playstation | iOS | PS4 | PS5 | Xbox | Switch | Switch 2 | PC)"</f>
        <v>#N/A</v>
      </c>
      <c r="T326" s="44"/>
      <c r="U326" s="44"/>
      <c r="V326" s="44"/>
      <c r="W326" s="44"/>
      <c r="X326" s="44"/>
      <c r="Z326" s="44"/>
    </row>
    <row r="327">
      <c r="A327" s="16"/>
      <c r="B327" s="16"/>
      <c r="E327" s="16"/>
      <c r="F327" s="16"/>
      <c r="G327" s="16"/>
      <c r="H327" s="16"/>
      <c r="I327" s="16"/>
      <c r="J327" s="16"/>
      <c r="K327" s="16"/>
      <c r="L327" s="16"/>
      <c r="M327" s="16"/>
      <c r="N327" s="5" t="s">
        <v>112</v>
      </c>
      <c r="O327" s="16" t="str">
        <f t="shared" si="1"/>
        <v>#</v>
      </c>
      <c r="P327" s="16" t="str">
        <f t="shared" si="2"/>
        <v>#videoGame</v>
      </c>
      <c r="R327" s="16" t="str">
        <f>"("""&amp;C327&amp;""") ("&amp;Vlookup(E327,DropDown!B:C,2,FALSE)&amp; " OR ""Video Game"" OR Playstation OR iOS OR PS4 OR PS5 OR Xbox OR Switch OR Swtich 2 OR PC)"</f>
        <v>#N/A</v>
      </c>
      <c r="S327" s="44" t="str">
        <f>"("""&amp;C327&amp;""") ("&amp;Vlookup(E327,DropDown!K:L,2,FALSE)&amp; " | ""Video Game"" | Playstation | iOS | PS4 | PS5 | Xbox | Switch | Switch 2 | PC)"</f>
        <v>#N/A</v>
      </c>
      <c r="T327" s="44"/>
      <c r="U327" s="44"/>
      <c r="V327" s="44"/>
      <c r="W327" s="44"/>
      <c r="X327" s="44"/>
      <c r="Z327" s="44"/>
    </row>
    <row r="328">
      <c r="A328" s="16"/>
      <c r="B328" s="16"/>
      <c r="E328" s="16"/>
      <c r="F328" s="16"/>
      <c r="G328" s="16"/>
      <c r="H328" s="16"/>
      <c r="I328" s="16"/>
      <c r="J328" s="16"/>
      <c r="K328" s="16"/>
      <c r="L328" s="16"/>
      <c r="M328" s="16"/>
      <c r="N328" s="5" t="s">
        <v>112</v>
      </c>
      <c r="O328" s="16" t="str">
        <f t="shared" si="1"/>
        <v>#</v>
      </c>
      <c r="P328" s="16" t="str">
        <f t="shared" si="2"/>
        <v>#videoGame</v>
      </c>
      <c r="R328" s="16" t="str">
        <f>"("""&amp;C328&amp;""") ("&amp;Vlookup(E328,DropDown!B:C,2,FALSE)&amp; " OR ""Video Game"" OR Playstation OR iOS OR PS4 OR PS5 OR Xbox OR Switch OR Swtich 2 OR PC)"</f>
        <v>#N/A</v>
      </c>
      <c r="S328" s="44" t="str">
        <f>"("""&amp;C328&amp;""") ("&amp;Vlookup(E328,DropDown!K:L,2,FALSE)&amp; " | ""Video Game"" | Playstation | iOS | PS4 | PS5 | Xbox | Switch | Switch 2 | PC)"</f>
        <v>#N/A</v>
      </c>
      <c r="T328" s="44"/>
      <c r="U328" s="44"/>
      <c r="V328" s="44"/>
      <c r="W328" s="44"/>
      <c r="X328" s="44"/>
      <c r="Z328" s="44"/>
    </row>
    <row r="329">
      <c r="A329" s="16"/>
      <c r="B329" s="16"/>
      <c r="E329" s="16"/>
      <c r="F329" s="16"/>
      <c r="G329" s="16"/>
      <c r="H329" s="16"/>
      <c r="I329" s="16"/>
      <c r="J329" s="16"/>
      <c r="K329" s="16"/>
      <c r="L329" s="16"/>
      <c r="M329" s="16"/>
      <c r="N329" s="5" t="s">
        <v>112</v>
      </c>
      <c r="O329" s="16" t="str">
        <f t="shared" si="1"/>
        <v>#</v>
      </c>
      <c r="P329" s="16" t="str">
        <f t="shared" si="2"/>
        <v>#videoGame</v>
      </c>
      <c r="R329" s="16" t="str">
        <f>"("""&amp;C329&amp;""") ("&amp;Vlookup(E329,DropDown!B:C,2,FALSE)&amp; " OR ""Video Game"" OR Playstation OR iOS OR PS4 OR PS5 OR Xbox OR Switch OR Swtich 2 OR PC)"</f>
        <v>#N/A</v>
      </c>
      <c r="S329" s="44" t="str">
        <f>"("""&amp;C329&amp;""") ("&amp;Vlookup(E329,DropDown!K:L,2,FALSE)&amp; " | ""Video Game"" | Playstation | iOS | PS4 | PS5 | Xbox | Switch | Switch 2 | PC)"</f>
        <v>#N/A</v>
      </c>
      <c r="T329" s="44"/>
      <c r="U329" s="44"/>
      <c r="V329" s="44"/>
      <c r="W329" s="44"/>
      <c r="X329" s="44"/>
      <c r="Z329" s="44"/>
    </row>
    <row r="330">
      <c r="A330" s="16"/>
      <c r="B330" s="16"/>
      <c r="E330" s="16"/>
      <c r="F330" s="16"/>
      <c r="G330" s="16"/>
      <c r="H330" s="16"/>
      <c r="I330" s="16"/>
      <c r="J330" s="16"/>
      <c r="K330" s="16"/>
      <c r="L330" s="16"/>
      <c r="M330" s="16"/>
      <c r="N330" s="5" t="s">
        <v>112</v>
      </c>
      <c r="O330" s="16" t="str">
        <f t="shared" si="1"/>
        <v>#</v>
      </c>
      <c r="P330" s="16" t="str">
        <f t="shared" si="2"/>
        <v>#videoGame</v>
      </c>
      <c r="R330" s="16" t="str">
        <f>"("""&amp;C330&amp;""") ("&amp;Vlookup(E330,DropDown!B:C,2,FALSE)&amp; " OR ""Video Game"" OR Playstation OR iOS OR PS4 OR PS5 OR Xbox OR Switch OR Swtich 2 OR PC)"</f>
        <v>#N/A</v>
      </c>
      <c r="S330" s="44" t="str">
        <f>"("""&amp;C330&amp;""") ("&amp;Vlookup(E330,DropDown!K:L,2,FALSE)&amp; " | ""Video Game"" | Playstation | iOS | PS4 | PS5 | Xbox | Switch | Switch 2 | PC)"</f>
        <v>#N/A</v>
      </c>
      <c r="T330" s="44"/>
      <c r="U330" s="44"/>
      <c r="V330" s="44"/>
      <c r="W330" s="44"/>
      <c r="X330" s="44"/>
      <c r="Z330" s="44"/>
    </row>
    <row r="331">
      <c r="A331" s="16"/>
      <c r="B331" s="16"/>
      <c r="E331" s="16"/>
      <c r="F331" s="16"/>
      <c r="G331" s="16"/>
      <c r="H331" s="16"/>
      <c r="I331" s="16"/>
      <c r="J331" s="16"/>
      <c r="K331" s="16"/>
      <c r="L331" s="16"/>
      <c r="M331" s="16"/>
      <c r="N331" s="5" t="s">
        <v>112</v>
      </c>
      <c r="O331" s="16" t="str">
        <f t="shared" si="1"/>
        <v>#</v>
      </c>
      <c r="P331" s="16" t="str">
        <f t="shared" si="2"/>
        <v>#videoGame</v>
      </c>
      <c r="R331" s="16" t="str">
        <f>"("""&amp;C331&amp;""") ("&amp;Vlookup(E331,DropDown!B:C,2,FALSE)&amp; " OR ""Video Game"" OR Playstation OR iOS OR PS4 OR PS5 OR Xbox OR Switch OR Swtich 2 OR PC)"</f>
        <v>#N/A</v>
      </c>
      <c r="S331" s="44" t="str">
        <f>"("""&amp;C331&amp;""") ("&amp;Vlookup(E331,DropDown!K:L,2,FALSE)&amp; " | ""Video Game"" | Playstation | iOS | PS4 | PS5 | Xbox | Switch | Switch 2 | PC)"</f>
        <v>#N/A</v>
      </c>
      <c r="T331" s="44"/>
      <c r="U331" s="44"/>
      <c r="V331" s="44"/>
      <c r="W331" s="44"/>
      <c r="X331" s="44"/>
      <c r="Z331" s="44"/>
    </row>
    <row r="332">
      <c r="A332" s="16"/>
      <c r="B332" s="16"/>
      <c r="E332" s="16"/>
      <c r="F332" s="16"/>
      <c r="G332" s="16"/>
      <c r="H332" s="16"/>
      <c r="I332" s="16"/>
      <c r="J332" s="16"/>
      <c r="K332" s="16"/>
      <c r="L332" s="16"/>
      <c r="M332" s="16"/>
      <c r="N332" s="5" t="s">
        <v>112</v>
      </c>
      <c r="O332" s="16" t="str">
        <f t="shared" si="1"/>
        <v>#</v>
      </c>
      <c r="P332" s="16" t="str">
        <f t="shared" si="2"/>
        <v>#videoGame</v>
      </c>
      <c r="R332" s="16" t="str">
        <f>"("""&amp;C332&amp;""") ("&amp;Vlookup(E332,DropDown!B:C,2,FALSE)&amp; " OR ""Video Game"" OR Playstation OR iOS OR PS4 OR PS5 OR Xbox OR Switch OR Swtich 2 OR PC)"</f>
        <v>#N/A</v>
      </c>
      <c r="S332" s="44" t="str">
        <f>"("""&amp;C332&amp;""") ("&amp;Vlookup(E332,DropDown!K:L,2,FALSE)&amp; " | ""Video Game"" | Playstation | iOS | PS4 | PS5 | Xbox | Switch | Switch 2 | PC)"</f>
        <v>#N/A</v>
      </c>
      <c r="T332" s="44"/>
      <c r="U332" s="44"/>
      <c r="V332" s="44"/>
      <c r="W332" s="44"/>
      <c r="X332" s="44"/>
      <c r="Z332" s="44"/>
    </row>
    <row r="333">
      <c r="A333" s="16"/>
      <c r="B333" s="16"/>
      <c r="E333" s="16"/>
      <c r="F333" s="16"/>
      <c r="G333" s="16"/>
      <c r="H333" s="16"/>
      <c r="I333" s="16"/>
      <c r="J333" s="16"/>
      <c r="K333" s="16"/>
      <c r="L333" s="16"/>
      <c r="M333" s="16"/>
      <c r="N333" s="5" t="s">
        <v>112</v>
      </c>
      <c r="O333" s="16" t="str">
        <f t="shared" si="1"/>
        <v>#</v>
      </c>
      <c r="P333" s="16" t="str">
        <f t="shared" si="2"/>
        <v>#videoGame</v>
      </c>
      <c r="R333" s="16" t="str">
        <f>"("""&amp;C333&amp;""") ("&amp;Vlookup(E333,DropDown!B:C,2,FALSE)&amp; " OR ""Video Game"" OR Playstation OR iOS OR PS4 OR PS5 OR Xbox OR Switch OR Swtich 2 OR PC)"</f>
        <v>#N/A</v>
      </c>
      <c r="S333" s="44" t="str">
        <f>"("""&amp;C333&amp;""") ("&amp;Vlookup(E333,DropDown!K:L,2,FALSE)&amp; " | ""Video Game"" | Playstation | iOS | PS4 | PS5 | Xbox | Switch | Switch 2 | PC)"</f>
        <v>#N/A</v>
      </c>
      <c r="T333" s="44"/>
      <c r="U333" s="44"/>
      <c r="V333" s="44"/>
      <c r="W333" s="44"/>
      <c r="X333" s="44"/>
      <c r="Z333" s="44"/>
    </row>
    <row r="334">
      <c r="A334" s="16"/>
      <c r="B334" s="16"/>
      <c r="E334" s="16"/>
      <c r="F334" s="16"/>
      <c r="G334" s="16"/>
      <c r="H334" s="16"/>
      <c r="I334" s="16"/>
      <c r="J334" s="16"/>
      <c r="K334" s="16"/>
      <c r="L334" s="16"/>
      <c r="M334" s="16"/>
      <c r="N334" s="5" t="s">
        <v>112</v>
      </c>
      <c r="O334" s="16" t="str">
        <f t="shared" si="1"/>
        <v>#</v>
      </c>
      <c r="P334" s="16" t="str">
        <f t="shared" si="2"/>
        <v>#videoGame</v>
      </c>
      <c r="R334" s="16" t="str">
        <f>"("""&amp;C334&amp;""") ("&amp;Vlookup(E334,DropDown!B:C,2,FALSE)&amp; " OR ""Video Game"" OR Playstation OR iOS OR PS4 OR PS5 OR Xbox OR Switch OR Swtich 2 OR PC)"</f>
        <v>#N/A</v>
      </c>
      <c r="S334" s="44" t="str">
        <f>"("""&amp;C334&amp;""") ("&amp;Vlookup(E334,DropDown!K:L,2,FALSE)&amp; " | ""Video Game"" | Playstation | iOS | PS4 | PS5 | Xbox | Switch | Switch 2 | PC)"</f>
        <v>#N/A</v>
      </c>
      <c r="T334" s="44"/>
      <c r="U334" s="44"/>
      <c r="V334" s="44"/>
      <c r="W334" s="44"/>
      <c r="X334" s="44"/>
      <c r="Z334" s="44"/>
    </row>
    <row r="335">
      <c r="A335" s="16"/>
      <c r="B335" s="16"/>
      <c r="E335" s="16"/>
      <c r="F335" s="16"/>
      <c r="G335" s="16"/>
      <c r="H335" s="16"/>
      <c r="I335" s="16"/>
      <c r="J335" s="16"/>
      <c r="K335" s="16"/>
      <c r="L335" s="16"/>
      <c r="M335" s="16"/>
      <c r="N335" s="5" t="s">
        <v>112</v>
      </c>
      <c r="O335" s="16" t="str">
        <f t="shared" si="1"/>
        <v>#</v>
      </c>
      <c r="P335" s="16" t="str">
        <f t="shared" si="2"/>
        <v>#videoGame</v>
      </c>
      <c r="R335" s="16" t="str">
        <f>"("""&amp;C335&amp;""") ("&amp;Vlookup(E335,DropDown!B:C,2,FALSE)&amp; " OR ""Video Game"" OR Playstation OR iOS OR PS4 OR PS5 OR Xbox OR Switch OR Swtich 2 OR PC)"</f>
        <v>#N/A</v>
      </c>
      <c r="S335" s="44" t="str">
        <f>"("""&amp;C335&amp;""") ("&amp;Vlookup(E335,DropDown!K:L,2,FALSE)&amp; " | ""Video Game"" | Playstation | iOS | PS4 | PS5 | Xbox | Switch | Switch 2 | PC)"</f>
        <v>#N/A</v>
      </c>
      <c r="T335" s="44"/>
      <c r="U335" s="44"/>
      <c r="V335" s="44"/>
      <c r="W335" s="44"/>
      <c r="X335" s="44"/>
      <c r="Z335" s="44"/>
    </row>
    <row r="336">
      <c r="A336" s="16"/>
      <c r="B336" s="16"/>
      <c r="E336" s="16"/>
      <c r="F336" s="16"/>
      <c r="G336" s="16"/>
      <c r="H336" s="16"/>
      <c r="I336" s="16"/>
      <c r="J336" s="16"/>
      <c r="K336" s="16"/>
      <c r="L336" s="16"/>
      <c r="M336" s="16"/>
      <c r="N336" s="5" t="s">
        <v>112</v>
      </c>
      <c r="O336" s="16" t="str">
        <f t="shared" si="1"/>
        <v>#</v>
      </c>
      <c r="P336" s="16" t="str">
        <f t="shared" si="2"/>
        <v>#videoGame</v>
      </c>
      <c r="R336" s="16" t="str">
        <f>"("""&amp;C336&amp;""") ("&amp;Vlookup(E336,DropDown!B:C,2,FALSE)&amp; " OR ""Video Game"" OR Playstation OR iOS OR PS4 OR PS5 OR Xbox OR Switch OR Swtich 2 OR PC)"</f>
        <v>#N/A</v>
      </c>
      <c r="S336" s="44" t="str">
        <f>"("""&amp;C336&amp;""") ("&amp;Vlookup(E336,DropDown!K:L,2,FALSE)&amp; " | ""Video Game"" | Playstation | iOS | PS4 | PS5 | Xbox | Switch | Switch 2 | PC)"</f>
        <v>#N/A</v>
      </c>
      <c r="T336" s="44"/>
      <c r="U336" s="44"/>
      <c r="V336" s="44"/>
      <c r="W336" s="44"/>
      <c r="X336" s="44"/>
      <c r="Z336" s="44"/>
    </row>
    <row r="337">
      <c r="A337" s="16"/>
      <c r="B337" s="16"/>
      <c r="E337" s="16"/>
      <c r="F337" s="16"/>
      <c r="G337" s="16"/>
      <c r="H337" s="16"/>
      <c r="I337" s="16"/>
      <c r="J337" s="16"/>
      <c r="K337" s="16"/>
      <c r="L337" s="16"/>
      <c r="M337" s="16"/>
      <c r="N337" s="5" t="s">
        <v>112</v>
      </c>
      <c r="O337" s="16" t="str">
        <f t="shared" si="1"/>
        <v>#</v>
      </c>
      <c r="P337" s="16" t="str">
        <f t="shared" si="2"/>
        <v>#videoGame</v>
      </c>
      <c r="R337" s="16" t="str">
        <f>"("""&amp;C337&amp;""") ("&amp;Vlookup(E337,DropDown!B:C,2,FALSE)&amp; " OR ""Video Game"" OR Playstation OR iOS OR PS4 OR PS5 OR Xbox OR Switch OR Swtich 2 OR PC)"</f>
        <v>#N/A</v>
      </c>
      <c r="S337" s="44" t="str">
        <f>"("""&amp;C337&amp;""") ("&amp;Vlookup(E337,DropDown!K:L,2,FALSE)&amp; " | ""Video Game"" | Playstation | iOS | PS4 | PS5 | Xbox | Switch | Switch 2 | PC)"</f>
        <v>#N/A</v>
      </c>
      <c r="T337" s="44"/>
      <c r="U337" s="44"/>
      <c r="V337" s="44"/>
      <c r="W337" s="44"/>
      <c r="X337" s="44"/>
      <c r="Z337" s="44"/>
    </row>
    <row r="338">
      <c r="A338" s="16"/>
      <c r="B338" s="16"/>
      <c r="E338" s="16"/>
      <c r="F338" s="16"/>
      <c r="G338" s="16"/>
      <c r="H338" s="16"/>
      <c r="I338" s="16"/>
      <c r="J338" s="16"/>
      <c r="K338" s="16"/>
      <c r="L338" s="16"/>
      <c r="M338" s="16"/>
      <c r="N338" s="5" t="s">
        <v>112</v>
      </c>
      <c r="O338" s="16" t="str">
        <f t="shared" si="1"/>
        <v>#</v>
      </c>
      <c r="P338" s="16" t="str">
        <f t="shared" si="2"/>
        <v>#videoGame</v>
      </c>
      <c r="R338" s="16" t="str">
        <f>"("""&amp;C338&amp;""") ("&amp;Vlookup(E338,DropDown!B:C,2,FALSE)&amp; " OR ""Video Game"" OR Playstation OR iOS OR PS4 OR PS5 OR Xbox OR Switch OR Swtich 2 OR PC)"</f>
        <v>#N/A</v>
      </c>
      <c r="S338" s="44" t="str">
        <f>"("""&amp;C338&amp;""") ("&amp;Vlookup(E338,DropDown!K:L,2,FALSE)&amp; " | ""Video Game"" | Playstation | iOS | PS4 | PS5 | Xbox | Switch | Switch 2 | PC)"</f>
        <v>#N/A</v>
      </c>
      <c r="T338" s="44"/>
      <c r="U338" s="44"/>
      <c r="V338" s="44"/>
      <c r="W338" s="44"/>
      <c r="X338" s="44"/>
      <c r="Z338" s="44"/>
    </row>
    <row r="339">
      <c r="A339" s="16"/>
      <c r="B339" s="16"/>
      <c r="E339" s="16"/>
      <c r="F339" s="16"/>
      <c r="G339" s="16"/>
      <c r="H339" s="16"/>
      <c r="I339" s="16"/>
      <c r="J339" s="16"/>
      <c r="K339" s="16"/>
      <c r="L339" s="16"/>
      <c r="M339" s="16"/>
      <c r="N339" s="5" t="s">
        <v>112</v>
      </c>
      <c r="O339" s="16" t="str">
        <f t="shared" si="1"/>
        <v>#</v>
      </c>
      <c r="P339" s="16" t="str">
        <f t="shared" si="2"/>
        <v>#videoGame</v>
      </c>
      <c r="R339" s="16" t="str">
        <f>"("""&amp;C339&amp;""") ("&amp;Vlookup(E339,DropDown!B:C,2,FALSE)&amp; " OR ""Video Game"" OR Playstation OR iOS OR PS4 OR PS5 OR Xbox OR Switch OR Swtich 2 OR PC)"</f>
        <v>#N/A</v>
      </c>
      <c r="S339" s="44" t="str">
        <f>"("""&amp;C339&amp;""") ("&amp;Vlookup(E339,DropDown!K:L,2,FALSE)&amp; " | ""Video Game"" | Playstation | iOS | PS4 | PS5 | Xbox | Switch | Switch 2 | PC)"</f>
        <v>#N/A</v>
      </c>
      <c r="T339" s="44"/>
      <c r="U339" s="44"/>
      <c r="V339" s="44"/>
      <c r="W339" s="44"/>
      <c r="X339" s="44"/>
      <c r="Z339" s="44"/>
    </row>
    <row r="340">
      <c r="A340" s="16"/>
      <c r="B340" s="16"/>
      <c r="E340" s="16"/>
      <c r="F340" s="16"/>
      <c r="G340" s="16"/>
      <c r="H340" s="16"/>
      <c r="I340" s="16"/>
      <c r="J340" s="16"/>
      <c r="K340" s="16"/>
      <c r="L340" s="16"/>
      <c r="M340" s="16"/>
      <c r="N340" s="5" t="s">
        <v>112</v>
      </c>
      <c r="O340" s="16" t="str">
        <f t="shared" si="1"/>
        <v>#</v>
      </c>
      <c r="P340" s="16" t="str">
        <f t="shared" si="2"/>
        <v>#videoGame</v>
      </c>
      <c r="R340" s="16" t="str">
        <f>"("""&amp;C340&amp;""") ("&amp;Vlookup(E340,DropDown!B:C,2,FALSE)&amp; " OR ""Video Game"" OR Playstation OR iOS OR PS4 OR PS5 OR Xbox OR Switch OR Swtich 2 OR PC)"</f>
        <v>#N/A</v>
      </c>
      <c r="S340" s="44" t="str">
        <f>"("""&amp;C340&amp;""") ("&amp;Vlookup(E340,DropDown!K:L,2,FALSE)&amp; " | ""Video Game"" | Playstation | iOS | PS4 | PS5 | Xbox | Switch | Switch 2 | PC)"</f>
        <v>#N/A</v>
      </c>
      <c r="T340" s="44"/>
      <c r="U340" s="44"/>
      <c r="V340" s="44"/>
      <c r="W340" s="44"/>
      <c r="X340" s="44"/>
      <c r="Z340" s="44"/>
    </row>
    <row r="341">
      <c r="A341" s="16"/>
      <c r="B341" s="16"/>
      <c r="E341" s="16"/>
      <c r="F341" s="16"/>
      <c r="G341" s="16"/>
      <c r="H341" s="16"/>
      <c r="I341" s="16"/>
      <c r="J341" s="16"/>
      <c r="K341" s="16"/>
      <c r="L341" s="16"/>
      <c r="M341" s="16"/>
      <c r="N341" s="5" t="s">
        <v>112</v>
      </c>
      <c r="O341" s="16" t="str">
        <f t="shared" si="1"/>
        <v>#</v>
      </c>
      <c r="P341" s="16" t="str">
        <f t="shared" si="2"/>
        <v>#videoGame</v>
      </c>
      <c r="R341" s="16" t="str">
        <f>"("""&amp;C341&amp;""") ("&amp;Vlookup(E341,DropDown!B:C,2,FALSE)&amp; " OR ""Video Game"" OR Playstation OR iOS OR PS4 OR PS5 OR Xbox OR Switch OR Swtich 2 OR PC)"</f>
        <v>#N/A</v>
      </c>
      <c r="S341" s="44" t="str">
        <f>"("""&amp;C341&amp;""") ("&amp;Vlookup(E341,DropDown!K:L,2,FALSE)&amp; " | ""Video Game"" | Playstation | iOS | PS4 | PS5 | Xbox | Switch | Switch 2 | PC)"</f>
        <v>#N/A</v>
      </c>
      <c r="T341" s="44"/>
      <c r="U341" s="44"/>
      <c r="V341" s="44"/>
      <c r="W341" s="44"/>
      <c r="X341" s="44"/>
      <c r="Z341" s="44"/>
    </row>
    <row r="342">
      <c r="A342" s="16"/>
      <c r="B342" s="16"/>
      <c r="E342" s="16"/>
      <c r="F342" s="16"/>
      <c r="G342" s="16"/>
      <c r="H342" s="16"/>
      <c r="I342" s="16"/>
      <c r="J342" s="16"/>
      <c r="K342" s="16"/>
      <c r="L342" s="16"/>
      <c r="M342" s="16"/>
      <c r="N342" s="5" t="s">
        <v>112</v>
      </c>
      <c r="O342" s="16" t="str">
        <f t="shared" si="1"/>
        <v>#</v>
      </c>
      <c r="P342" s="16" t="str">
        <f t="shared" si="2"/>
        <v>#videoGame</v>
      </c>
      <c r="R342" s="16" t="str">
        <f>"("""&amp;C342&amp;""") ("&amp;Vlookup(E342,DropDown!B:C,2,FALSE)&amp; " OR ""Video Game"" OR Playstation OR iOS OR PS4 OR PS5 OR Xbox OR Switch OR Swtich 2 OR PC)"</f>
        <v>#N/A</v>
      </c>
      <c r="S342" s="44" t="str">
        <f>"("""&amp;C342&amp;""") ("&amp;Vlookup(E342,DropDown!K:L,2,FALSE)&amp; " | ""Video Game"" | Playstation | iOS | PS4 | PS5 | Xbox | Switch | Switch 2 | PC)"</f>
        <v>#N/A</v>
      </c>
      <c r="T342" s="44"/>
      <c r="U342" s="44"/>
      <c r="V342" s="44"/>
      <c r="W342" s="44"/>
      <c r="X342" s="44"/>
      <c r="Z342" s="44"/>
    </row>
    <row r="343">
      <c r="A343" s="16"/>
      <c r="B343" s="16"/>
      <c r="E343" s="16"/>
      <c r="F343" s="16"/>
      <c r="G343" s="16"/>
      <c r="H343" s="16"/>
      <c r="I343" s="16"/>
      <c r="J343" s="16"/>
      <c r="K343" s="16"/>
      <c r="L343" s="16"/>
      <c r="M343" s="16"/>
      <c r="N343" s="5" t="s">
        <v>112</v>
      </c>
      <c r="O343" s="16" t="str">
        <f t="shared" si="1"/>
        <v>#</v>
      </c>
      <c r="P343" s="16" t="str">
        <f t="shared" si="2"/>
        <v>#videoGame</v>
      </c>
      <c r="R343" s="16" t="str">
        <f>"("""&amp;C343&amp;""") ("&amp;Vlookup(E343,DropDown!B:C,2,FALSE)&amp; " OR ""Video Game"" OR Playstation OR iOS OR PS4 OR PS5 OR Xbox OR Switch OR Swtich 2 OR PC)"</f>
        <v>#N/A</v>
      </c>
      <c r="S343" s="44" t="str">
        <f>"("""&amp;C343&amp;""") ("&amp;Vlookup(E343,DropDown!K:L,2,FALSE)&amp; " | ""Video Game"" | Playstation | iOS | PS4 | PS5 | Xbox | Switch | Switch 2 | PC)"</f>
        <v>#N/A</v>
      </c>
      <c r="T343" s="44"/>
      <c r="U343" s="44"/>
      <c r="V343" s="44"/>
      <c r="W343" s="44"/>
      <c r="X343" s="44"/>
      <c r="Z343" s="44"/>
    </row>
    <row r="344">
      <c r="A344" s="16"/>
      <c r="B344" s="16"/>
      <c r="E344" s="16"/>
      <c r="F344" s="16"/>
      <c r="G344" s="16"/>
      <c r="H344" s="16"/>
      <c r="I344" s="16"/>
      <c r="J344" s="16"/>
      <c r="K344" s="16"/>
      <c r="L344" s="16"/>
      <c r="M344" s="16"/>
      <c r="N344" s="5" t="s">
        <v>112</v>
      </c>
      <c r="O344" s="16" t="str">
        <f t="shared" si="1"/>
        <v>#</v>
      </c>
      <c r="P344" s="16" t="str">
        <f t="shared" si="2"/>
        <v>#videoGame</v>
      </c>
      <c r="R344" s="16" t="str">
        <f>"("""&amp;C344&amp;""") ("&amp;Vlookup(E344,DropDown!B:C,2,FALSE)&amp; " OR ""Video Game"" OR Playstation OR iOS OR PS4 OR PS5 OR Xbox OR Switch OR Swtich 2 OR PC)"</f>
        <v>#N/A</v>
      </c>
      <c r="S344" s="44" t="str">
        <f>"("""&amp;C344&amp;""") ("&amp;Vlookup(E344,DropDown!K:L,2,FALSE)&amp; " | ""Video Game"" | Playstation | iOS | PS4 | PS5 | Xbox | Switch | Switch 2 | PC)"</f>
        <v>#N/A</v>
      </c>
      <c r="T344" s="44"/>
      <c r="U344" s="44"/>
      <c r="V344" s="44"/>
      <c r="W344" s="44"/>
      <c r="X344" s="44"/>
      <c r="Z344" s="44"/>
    </row>
    <row r="345">
      <c r="A345" s="16"/>
      <c r="B345" s="16"/>
      <c r="E345" s="16"/>
      <c r="F345" s="16"/>
      <c r="G345" s="16"/>
      <c r="H345" s="16"/>
      <c r="I345" s="16"/>
      <c r="J345" s="16"/>
      <c r="K345" s="16"/>
      <c r="L345" s="16"/>
      <c r="M345" s="16"/>
      <c r="N345" s="5" t="s">
        <v>112</v>
      </c>
      <c r="O345" s="16" t="str">
        <f t="shared" si="1"/>
        <v>#</v>
      </c>
      <c r="P345" s="16" t="str">
        <f t="shared" si="2"/>
        <v>#videoGame</v>
      </c>
      <c r="R345" s="16" t="str">
        <f>"("""&amp;C345&amp;""") ("&amp;Vlookup(E345,DropDown!B:C,2,FALSE)&amp; " OR ""Video Game"" OR Playstation OR iOS OR PS4 OR PS5 OR Xbox OR Switch OR Swtich 2 OR PC)"</f>
        <v>#N/A</v>
      </c>
      <c r="S345" s="44" t="str">
        <f>"("""&amp;C345&amp;""") ("&amp;Vlookup(E345,DropDown!K:L,2,FALSE)&amp; " | ""Video Game"" | Playstation | iOS | PS4 | PS5 | Xbox | Switch | Switch 2 | PC)"</f>
        <v>#N/A</v>
      </c>
      <c r="T345" s="44"/>
      <c r="U345" s="44"/>
      <c r="V345" s="44"/>
      <c r="W345" s="44"/>
      <c r="X345" s="44"/>
      <c r="Z345" s="44"/>
    </row>
    <row r="346">
      <c r="A346" s="16"/>
      <c r="B346" s="16"/>
      <c r="E346" s="16"/>
      <c r="F346" s="16"/>
      <c r="G346" s="16"/>
      <c r="H346" s="16"/>
      <c r="I346" s="16"/>
      <c r="J346" s="16"/>
      <c r="K346" s="16"/>
      <c r="L346" s="16"/>
      <c r="M346" s="16"/>
      <c r="N346" s="5" t="s">
        <v>112</v>
      </c>
      <c r="O346" s="16" t="str">
        <f t="shared" si="1"/>
        <v>#</v>
      </c>
      <c r="P346" s="16" t="str">
        <f t="shared" si="2"/>
        <v>#videoGame</v>
      </c>
      <c r="R346" s="16" t="str">
        <f>"("""&amp;C346&amp;""") ("&amp;Vlookup(E346,DropDown!B:C,2,FALSE)&amp; " OR ""Video Game"" OR Playstation OR iOS OR PS4 OR PS5 OR Xbox OR Switch OR Swtich 2 OR PC)"</f>
        <v>#N/A</v>
      </c>
      <c r="S346" s="44" t="str">
        <f>"("""&amp;C346&amp;""") ("&amp;Vlookup(E346,DropDown!K:L,2,FALSE)&amp; " | ""Video Game"" | Playstation | iOS | PS4 | PS5 | Xbox | Switch | Switch 2 | PC)"</f>
        <v>#N/A</v>
      </c>
      <c r="T346" s="44"/>
      <c r="U346" s="44"/>
      <c r="V346" s="44"/>
      <c r="W346" s="44"/>
      <c r="X346" s="44"/>
      <c r="Z346" s="44"/>
    </row>
    <row r="347">
      <c r="A347" s="16"/>
      <c r="B347" s="16"/>
      <c r="E347" s="16"/>
      <c r="F347" s="16"/>
      <c r="G347" s="16"/>
      <c r="H347" s="16"/>
      <c r="I347" s="16"/>
      <c r="J347" s="16"/>
      <c r="K347" s="16"/>
      <c r="L347" s="16"/>
      <c r="M347" s="16"/>
      <c r="N347" s="5" t="s">
        <v>112</v>
      </c>
      <c r="O347" s="16" t="str">
        <f t="shared" si="1"/>
        <v>#</v>
      </c>
      <c r="P347" s="16" t="str">
        <f t="shared" si="2"/>
        <v>#videoGame</v>
      </c>
      <c r="R347" s="16" t="str">
        <f>"("""&amp;C347&amp;""") ("&amp;Vlookup(E347,DropDown!B:C,2,FALSE)&amp; " OR ""Video Game"" OR Playstation OR iOS OR PS4 OR PS5 OR Xbox OR Switch OR Swtich 2 OR PC)"</f>
        <v>#N/A</v>
      </c>
      <c r="S347" s="44" t="str">
        <f>"("""&amp;C347&amp;""") ("&amp;Vlookup(E347,DropDown!K:L,2,FALSE)&amp; " | ""Video Game"" | Playstation | iOS | PS4 | PS5 | Xbox | Switch | Switch 2 | PC)"</f>
        <v>#N/A</v>
      </c>
      <c r="T347" s="44"/>
      <c r="U347" s="44"/>
      <c r="V347" s="44"/>
      <c r="W347" s="44"/>
      <c r="X347" s="44"/>
      <c r="Z347" s="44"/>
    </row>
    <row r="348">
      <c r="A348" s="16"/>
      <c r="B348" s="16"/>
      <c r="E348" s="16"/>
      <c r="F348" s="16"/>
      <c r="G348" s="16"/>
      <c r="H348" s="16"/>
      <c r="I348" s="16"/>
      <c r="J348" s="16"/>
      <c r="K348" s="16"/>
      <c r="L348" s="16"/>
      <c r="M348" s="16"/>
      <c r="N348" s="5" t="s">
        <v>112</v>
      </c>
      <c r="O348" s="16" t="str">
        <f t="shared" si="1"/>
        <v>#</v>
      </c>
      <c r="P348" s="16" t="str">
        <f t="shared" si="2"/>
        <v>#videoGame</v>
      </c>
      <c r="R348" s="16" t="str">
        <f>"("""&amp;C348&amp;""") ("&amp;Vlookup(E348,DropDown!B:C,2,FALSE)&amp; " OR ""Video Game"" OR Playstation OR iOS OR PS4 OR PS5 OR Xbox OR Switch OR Swtich 2 OR PC)"</f>
        <v>#N/A</v>
      </c>
      <c r="S348" s="44" t="str">
        <f>"("""&amp;C348&amp;""") ("&amp;Vlookup(E348,DropDown!K:L,2,FALSE)&amp; " | ""Video Game"" | Playstation | iOS | PS4 | PS5 | Xbox | Switch | Switch 2 | PC)"</f>
        <v>#N/A</v>
      </c>
      <c r="T348" s="44"/>
      <c r="U348" s="44"/>
      <c r="V348" s="44"/>
      <c r="W348" s="44"/>
      <c r="X348" s="44"/>
      <c r="Z348" s="44"/>
    </row>
    <row r="349">
      <c r="A349" s="16"/>
      <c r="B349" s="16"/>
      <c r="E349" s="16"/>
      <c r="F349" s="16"/>
      <c r="G349" s="16"/>
      <c r="H349" s="16"/>
      <c r="I349" s="16"/>
      <c r="J349" s="16"/>
      <c r="K349" s="16"/>
      <c r="L349" s="16"/>
      <c r="M349" s="16"/>
      <c r="N349" s="5" t="s">
        <v>112</v>
      </c>
      <c r="O349" s="16" t="str">
        <f t="shared" si="1"/>
        <v>#</v>
      </c>
      <c r="P349" s="16" t="str">
        <f t="shared" si="2"/>
        <v>#videoGame</v>
      </c>
      <c r="R349" s="16" t="str">
        <f>"("""&amp;C349&amp;""") ("&amp;Vlookup(E349,DropDown!B:C,2,FALSE)&amp; " OR ""Video Game"" OR Playstation OR iOS OR PS4 OR PS5 OR Xbox OR Switch OR Swtich 2 OR PC)"</f>
        <v>#N/A</v>
      </c>
      <c r="S349" s="44" t="str">
        <f>"("""&amp;C349&amp;""") ("&amp;Vlookup(E349,DropDown!K:L,2,FALSE)&amp; " | ""Video Game"" | Playstation | iOS | PS4 | PS5 | Xbox | Switch | Switch 2 | PC)"</f>
        <v>#N/A</v>
      </c>
      <c r="T349" s="44"/>
      <c r="U349" s="44"/>
      <c r="V349" s="44"/>
      <c r="W349" s="44"/>
      <c r="X349" s="44"/>
      <c r="Z349" s="44"/>
    </row>
    <row r="350">
      <c r="A350" s="16"/>
      <c r="B350" s="16"/>
      <c r="E350" s="16"/>
      <c r="F350" s="16"/>
      <c r="G350" s="16"/>
      <c r="H350" s="16"/>
      <c r="I350" s="16"/>
      <c r="J350" s="16"/>
      <c r="K350" s="16"/>
      <c r="L350" s="16"/>
      <c r="M350" s="16"/>
      <c r="N350" s="5" t="s">
        <v>112</v>
      </c>
      <c r="O350" s="16" t="str">
        <f t="shared" si="1"/>
        <v>#</v>
      </c>
      <c r="P350" s="16" t="str">
        <f t="shared" si="2"/>
        <v>#videoGame</v>
      </c>
      <c r="R350" s="16" t="str">
        <f>"("""&amp;C350&amp;""") ("&amp;Vlookup(E350,DropDown!B:C,2,FALSE)&amp; " OR ""Video Game"" OR Playstation OR iOS OR PS4 OR PS5 OR Xbox OR Switch OR Swtich 2 OR PC)"</f>
        <v>#N/A</v>
      </c>
      <c r="S350" s="44" t="str">
        <f>"("""&amp;C350&amp;""") ("&amp;Vlookup(E350,DropDown!K:L,2,FALSE)&amp; " | ""Video Game"" | Playstation | iOS | PS4 | PS5 | Xbox | Switch | Switch 2 | PC)"</f>
        <v>#N/A</v>
      </c>
      <c r="T350" s="44"/>
      <c r="U350" s="44"/>
      <c r="V350" s="44"/>
      <c r="W350" s="44"/>
      <c r="X350" s="44"/>
      <c r="Z350" s="44"/>
    </row>
    <row r="351">
      <c r="A351" s="16"/>
      <c r="B351" s="16"/>
      <c r="E351" s="16"/>
      <c r="F351" s="16"/>
      <c r="G351" s="16"/>
      <c r="H351" s="16"/>
      <c r="I351" s="16"/>
      <c r="J351" s="16"/>
      <c r="K351" s="16"/>
      <c r="L351" s="16"/>
      <c r="M351" s="16"/>
      <c r="N351" s="5" t="s">
        <v>112</v>
      </c>
      <c r="O351" s="16" t="str">
        <f t="shared" si="1"/>
        <v>#</v>
      </c>
      <c r="P351" s="16" t="str">
        <f t="shared" si="2"/>
        <v>#videoGame</v>
      </c>
      <c r="R351" s="16" t="str">
        <f>"("""&amp;C351&amp;""") ("&amp;Vlookup(E351,DropDown!B:C,2,FALSE)&amp; " OR ""Video Game"" OR Playstation OR iOS OR PS4 OR PS5 OR Xbox OR Switch OR Swtich 2 OR PC)"</f>
        <v>#N/A</v>
      </c>
      <c r="S351" s="44" t="str">
        <f>"("""&amp;C351&amp;""") ("&amp;Vlookup(E351,DropDown!K:L,2,FALSE)&amp; " | ""Video Game"" | Playstation | iOS | PS4 | PS5 | Xbox | Switch | Switch 2 | PC)"</f>
        <v>#N/A</v>
      </c>
      <c r="T351" s="44"/>
      <c r="U351" s="44"/>
      <c r="V351" s="44"/>
      <c r="W351" s="44"/>
      <c r="X351" s="44"/>
      <c r="Z351" s="44"/>
    </row>
    <row r="352">
      <c r="A352" s="16"/>
      <c r="B352" s="16"/>
      <c r="E352" s="16"/>
      <c r="F352" s="16"/>
      <c r="G352" s="16"/>
      <c r="H352" s="16"/>
      <c r="I352" s="16"/>
      <c r="J352" s="16"/>
      <c r="K352" s="16"/>
      <c r="L352" s="16"/>
      <c r="M352" s="16"/>
      <c r="N352" s="5" t="s">
        <v>112</v>
      </c>
      <c r="O352" s="16" t="str">
        <f t="shared" si="1"/>
        <v>#</v>
      </c>
      <c r="P352" s="16" t="str">
        <f t="shared" si="2"/>
        <v>#videoGame</v>
      </c>
      <c r="R352" s="16" t="str">
        <f>"("""&amp;C352&amp;""") ("&amp;Vlookup(E352,DropDown!B:C,2,FALSE)&amp; " OR ""Video Game"" OR Playstation OR iOS OR PS4 OR PS5 OR Xbox OR Switch OR Swtich 2 OR PC)"</f>
        <v>#N/A</v>
      </c>
      <c r="S352" s="44" t="str">
        <f>"("""&amp;C352&amp;""") ("&amp;Vlookup(E352,DropDown!K:L,2,FALSE)&amp; " | ""Video Game"" | Playstation | iOS | PS4 | PS5 | Xbox | Switch | Switch 2 | PC)"</f>
        <v>#N/A</v>
      </c>
      <c r="T352" s="44"/>
      <c r="U352" s="44"/>
      <c r="V352" s="44"/>
      <c r="W352" s="44"/>
      <c r="X352" s="44"/>
      <c r="Z352" s="44"/>
    </row>
    <row r="353">
      <c r="A353" s="16"/>
      <c r="B353" s="16"/>
      <c r="E353" s="16"/>
      <c r="F353" s="16"/>
      <c r="G353" s="16"/>
      <c r="H353" s="16"/>
      <c r="I353" s="16"/>
      <c r="J353" s="16"/>
      <c r="K353" s="16"/>
      <c r="L353" s="16"/>
      <c r="M353" s="16"/>
      <c r="N353" s="5" t="s">
        <v>112</v>
      </c>
      <c r="O353" s="16" t="str">
        <f t="shared" si="1"/>
        <v>#</v>
      </c>
      <c r="P353" s="16" t="str">
        <f t="shared" si="2"/>
        <v>#videoGame</v>
      </c>
      <c r="R353" s="16" t="str">
        <f>"("""&amp;C353&amp;""") ("&amp;Vlookup(E353,DropDown!B:C,2,FALSE)&amp; " OR ""Video Game"" OR Playstation OR iOS OR PS4 OR PS5 OR Xbox OR Switch OR Swtich 2 OR PC)"</f>
        <v>#N/A</v>
      </c>
      <c r="S353" s="44" t="str">
        <f>"("""&amp;C353&amp;""") ("&amp;Vlookup(E353,DropDown!K:L,2,FALSE)&amp; " | ""Video Game"" | Playstation | iOS | PS4 | PS5 | Xbox | Switch | Switch 2 | PC)"</f>
        <v>#N/A</v>
      </c>
      <c r="T353" s="44"/>
      <c r="U353" s="44"/>
      <c r="V353" s="44"/>
      <c r="W353" s="44"/>
      <c r="X353" s="44"/>
      <c r="Z353" s="44"/>
    </row>
    <row r="354">
      <c r="A354" s="16"/>
      <c r="B354" s="16"/>
      <c r="E354" s="16"/>
      <c r="F354" s="16"/>
      <c r="G354" s="16"/>
      <c r="H354" s="16"/>
      <c r="I354" s="16"/>
      <c r="J354" s="16"/>
      <c r="K354" s="16"/>
      <c r="L354" s="16"/>
      <c r="M354" s="16"/>
      <c r="N354" s="5" t="s">
        <v>112</v>
      </c>
      <c r="O354" s="16" t="str">
        <f t="shared" si="1"/>
        <v>#</v>
      </c>
      <c r="P354" s="16" t="str">
        <f t="shared" si="2"/>
        <v>#videoGame</v>
      </c>
      <c r="R354" s="16" t="str">
        <f>"("""&amp;C354&amp;""") ("&amp;Vlookup(E354,DropDown!B:C,2,FALSE)&amp; " OR ""Video Game"" OR Playstation OR iOS OR PS4 OR PS5 OR Xbox OR Switch OR Swtich 2 OR PC)"</f>
        <v>#N/A</v>
      </c>
      <c r="S354" s="44" t="str">
        <f>"("""&amp;C354&amp;""") ("&amp;Vlookup(E354,DropDown!K:L,2,FALSE)&amp; " | ""Video Game"" | Playstation | iOS | PS4 | PS5 | Xbox | Switch | Switch 2 | PC)"</f>
        <v>#N/A</v>
      </c>
      <c r="T354" s="44"/>
      <c r="U354" s="44"/>
      <c r="V354" s="44"/>
      <c r="W354" s="44"/>
      <c r="X354" s="44"/>
      <c r="Z354" s="44"/>
    </row>
    <row r="355">
      <c r="A355" s="16"/>
      <c r="B355" s="16"/>
      <c r="E355" s="16"/>
      <c r="F355" s="16"/>
      <c r="G355" s="16"/>
      <c r="H355" s="16"/>
      <c r="I355" s="16"/>
      <c r="J355" s="16"/>
      <c r="K355" s="16"/>
      <c r="L355" s="16"/>
      <c r="M355" s="16"/>
      <c r="N355" s="5" t="s">
        <v>112</v>
      </c>
      <c r="O355" s="16" t="str">
        <f t="shared" si="1"/>
        <v>#</v>
      </c>
      <c r="P355" s="16" t="str">
        <f t="shared" si="2"/>
        <v>#videoGame</v>
      </c>
      <c r="R355" s="16" t="str">
        <f>"("""&amp;C355&amp;""") ("&amp;Vlookup(E355,DropDown!B:C,2,FALSE)&amp; " OR ""Video Game"" OR Playstation OR iOS OR PS4 OR PS5 OR Xbox OR Switch OR Swtich 2 OR PC)"</f>
        <v>#N/A</v>
      </c>
      <c r="S355" s="44" t="str">
        <f>"("""&amp;C355&amp;""") ("&amp;Vlookup(E355,DropDown!K:L,2,FALSE)&amp; " | ""Video Game"" | Playstation | iOS | PS4 | PS5 | Xbox | Switch | Switch 2 | PC)"</f>
        <v>#N/A</v>
      </c>
      <c r="T355" s="44"/>
      <c r="U355" s="44"/>
      <c r="V355" s="44"/>
      <c r="W355" s="44"/>
      <c r="X355" s="44"/>
      <c r="Z355" s="44"/>
    </row>
    <row r="356">
      <c r="A356" s="16"/>
      <c r="B356" s="16"/>
      <c r="E356" s="16"/>
      <c r="F356" s="16"/>
      <c r="G356" s="16"/>
      <c r="H356" s="16"/>
      <c r="I356" s="16"/>
      <c r="J356" s="16"/>
      <c r="K356" s="16"/>
      <c r="L356" s="16"/>
      <c r="M356" s="16"/>
      <c r="N356" s="5" t="s">
        <v>112</v>
      </c>
      <c r="O356" s="16" t="str">
        <f t="shared" si="1"/>
        <v>#</v>
      </c>
      <c r="P356" s="16" t="str">
        <f t="shared" si="2"/>
        <v>#videoGame</v>
      </c>
      <c r="R356" s="16" t="str">
        <f>"("""&amp;C356&amp;""") ("&amp;Vlookup(E356,DropDown!B:C,2,FALSE)&amp; " OR ""Video Game"" OR Playstation OR iOS OR PS4 OR PS5 OR Xbox OR Switch OR Swtich 2 OR PC)"</f>
        <v>#N/A</v>
      </c>
      <c r="S356" s="44" t="str">
        <f>"("""&amp;C356&amp;""") ("&amp;Vlookup(E356,DropDown!K:L,2,FALSE)&amp; " | ""Video Game"" | Playstation | iOS | PS4 | PS5 | Xbox | Switch | Switch 2 | PC)"</f>
        <v>#N/A</v>
      </c>
      <c r="T356" s="44"/>
      <c r="U356" s="44"/>
      <c r="V356" s="44"/>
      <c r="W356" s="44"/>
      <c r="X356" s="44"/>
      <c r="Z356" s="44"/>
    </row>
    <row r="357">
      <c r="A357" s="16"/>
      <c r="B357" s="16"/>
      <c r="E357" s="16"/>
      <c r="F357" s="16"/>
      <c r="G357" s="16"/>
      <c r="H357" s="16"/>
      <c r="I357" s="16"/>
      <c r="J357" s="16"/>
      <c r="K357" s="16"/>
      <c r="L357" s="16"/>
      <c r="M357" s="16"/>
      <c r="N357" s="5" t="s">
        <v>112</v>
      </c>
      <c r="O357" s="16" t="str">
        <f t="shared" si="1"/>
        <v>#</v>
      </c>
      <c r="P357" s="16" t="str">
        <f t="shared" si="2"/>
        <v>#videoGame</v>
      </c>
      <c r="R357" s="16" t="str">
        <f>"("""&amp;C357&amp;""") ("&amp;Vlookup(E357,DropDown!B:C,2,FALSE)&amp; " OR ""Video Game"" OR Playstation OR iOS OR PS4 OR PS5 OR Xbox OR Switch OR Swtich 2 OR PC)"</f>
        <v>#N/A</v>
      </c>
      <c r="S357" s="44" t="str">
        <f>"("""&amp;C357&amp;""") ("&amp;Vlookup(E357,DropDown!K:L,2,FALSE)&amp; " | ""Video Game"" | Playstation | iOS | PS4 | PS5 | Xbox | Switch | Switch 2 | PC)"</f>
        <v>#N/A</v>
      </c>
      <c r="T357" s="44"/>
      <c r="U357" s="44"/>
      <c r="V357" s="44"/>
      <c r="W357" s="44"/>
      <c r="X357" s="44"/>
      <c r="Z357" s="44"/>
    </row>
    <row r="358">
      <c r="A358" s="16"/>
      <c r="B358" s="16"/>
      <c r="E358" s="16"/>
      <c r="F358" s="16"/>
      <c r="G358" s="16"/>
      <c r="H358" s="16"/>
      <c r="I358" s="16"/>
      <c r="J358" s="16"/>
      <c r="K358" s="16"/>
      <c r="L358" s="16"/>
      <c r="M358" s="16"/>
      <c r="N358" s="5" t="s">
        <v>112</v>
      </c>
      <c r="O358" s="16" t="str">
        <f t="shared" si="1"/>
        <v>#</v>
      </c>
      <c r="P358" s="16" t="str">
        <f t="shared" si="2"/>
        <v>#videoGame</v>
      </c>
      <c r="R358" s="16" t="str">
        <f>"("""&amp;C358&amp;""") ("&amp;Vlookup(E358,DropDown!B:C,2,FALSE)&amp; " OR ""Video Game"" OR Playstation OR iOS OR PS4 OR PS5 OR Xbox OR Switch OR Swtich 2 OR PC)"</f>
        <v>#N/A</v>
      </c>
      <c r="S358" s="44" t="str">
        <f>"("""&amp;C358&amp;""") ("&amp;Vlookup(E358,DropDown!K:L,2,FALSE)&amp; " | ""Video Game"" | Playstation | iOS | PS4 | PS5 | Xbox | Switch | Switch 2 | PC)"</f>
        <v>#N/A</v>
      </c>
      <c r="T358" s="44"/>
      <c r="U358" s="44"/>
      <c r="V358" s="44"/>
      <c r="W358" s="44"/>
      <c r="X358" s="44"/>
      <c r="Z358" s="44"/>
    </row>
    <row r="359">
      <c r="A359" s="16"/>
      <c r="B359" s="16"/>
      <c r="E359" s="16"/>
      <c r="F359" s="16"/>
      <c r="G359" s="16"/>
      <c r="H359" s="16"/>
      <c r="I359" s="16"/>
      <c r="J359" s="16"/>
      <c r="K359" s="16"/>
      <c r="L359" s="16"/>
      <c r="M359" s="16"/>
      <c r="N359" s="5" t="s">
        <v>112</v>
      </c>
      <c r="O359" s="16" t="str">
        <f t="shared" si="1"/>
        <v>#</v>
      </c>
      <c r="P359" s="16" t="str">
        <f t="shared" si="2"/>
        <v>#videoGame</v>
      </c>
      <c r="R359" s="16" t="str">
        <f>"("""&amp;C359&amp;""") ("&amp;Vlookup(E359,DropDown!B:C,2,FALSE)&amp; " OR ""Video Game"" OR Playstation OR iOS OR PS4 OR PS5 OR Xbox OR Switch OR Swtich 2 OR PC)"</f>
        <v>#N/A</v>
      </c>
      <c r="S359" s="44" t="str">
        <f>"("""&amp;C359&amp;""") ("&amp;Vlookup(E359,DropDown!K:L,2,FALSE)&amp; " | ""Video Game"" | Playstation | iOS | PS4 | PS5 | Xbox | Switch | Switch 2 | PC)"</f>
        <v>#N/A</v>
      </c>
      <c r="T359" s="44"/>
      <c r="U359" s="44"/>
      <c r="V359" s="44"/>
      <c r="W359" s="44"/>
      <c r="X359" s="44"/>
      <c r="Z359" s="44"/>
    </row>
    <row r="360">
      <c r="A360" s="16"/>
      <c r="B360" s="16"/>
      <c r="E360" s="16"/>
      <c r="F360" s="16"/>
      <c r="G360" s="16"/>
      <c r="H360" s="16"/>
      <c r="I360" s="16"/>
      <c r="J360" s="16"/>
      <c r="K360" s="16"/>
      <c r="L360" s="16"/>
      <c r="M360" s="16"/>
      <c r="N360" s="5" t="s">
        <v>112</v>
      </c>
      <c r="O360" s="16" t="str">
        <f t="shared" si="1"/>
        <v>#</v>
      </c>
      <c r="P360" s="16" t="str">
        <f t="shared" si="2"/>
        <v>#videoGame</v>
      </c>
      <c r="R360" s="16" t="str">
        <f>"("""&amp;C360&amp;""") ("&amp;Vlookup(E360,DropDown!B:C,2,FALSE)&amp; " OR ""Video Game"" OR Playstation OR iOS OR PS4 OR PS5 OR Xbox OR Switch OR Swtich 2 OR PC)"</f>
        <v>#N/A</v>
      </c>
      <c r="S360" s="44" t="str">
        <f>"("""&amp;C360&amp;""") ("&amp;Vlookup(E360,DropDown!K:L,2,FALSE)&amp; " | ""Video Game"" | Playstation | iOS | PS4 | PS5 | Xbox | Switch | Switch 2 | PC)"</f>
        <v>#N/A</v>
      </c>
      <c r="T360" s="44"/>
      <c r="U360" s="44"/>
      <c r="V360" s="44"/>
      <c r="W360" s="44"/>
      <c r="X360" s="44"/>
      <c r="Z360" s="44"/>
    </row>
    <row r="361">
      <c r="A361" s="16"/>
      <c r="B361" s="16"/>
      <c r="E361" s="16"/>
      <c r="F361" s="16"/>
      <c r="G361" s="16"/>
      <c r="H361" s="16"/>
      <c r="I361" s="16"/>
      <c r="J361" s="16"/>
      <c r="K361" s="16"/>
      <c r="L361" s="16"/>
      <c r="M361" s="16"/>
      <c r="N361" s="5" t="s">
        <v>112</v>
      </c>
      <c r="O361" s="16" t="str">
        <f t="shared" si="1"/>
        <v>#</v>
      </c>
      <c r="P361" s="16" t="str">
        <f t="shared" si="2"/>
        <v>#videoGame</v>
      </c>
      <c r="R361" s="16" t="str">
        <f>"("""&amp;C361&amp;""") ("&amp;Vlookup(E361,DropDown!B:C,2,FALSE)&amp; " OR ""Video Game"" OR Playstation OR iOS OR PS4 OR PS5 OR Xbox OR Switch OR Swtich 2 OR PC)"</f>
        <v>#N/A</v>
      </c>
      <c r="S361" s="44" t="str">
        <f>"("""&amp;C361&amp;""") ("&amp;Vlookup(E361,DropDown!K:L,2,FALSE)&amp; " | ""Video Game"" | Playstation | iOS | PS4 | PS5 | Xbox | Switch | Switch 2 | PC)"</f>
        <v>#N/A</v>
      </c>
      <c r="T361" s="44"/>
      <c r="U361" s="44"/>
      <c r="V361" s="44"/>
      <c r="W361" s="44"/>
      <c r="X361" s="44"/>
      <c r="Z361" s="44"/>
    </row>
    <row r="362">
      <c r="A362" s="16"/>
      <c r="B362" s="16"/>
      <c r="E362" s="16"/>
      <c r="F362" s="16"/>
      <c r="G362" s="16"/>
      <c r="H362" s="16"/>
      <c r="I362" s="16"/>
      <c r="J362" s="16"/>
      <c r="K362" s="16"/>
      <c r="L362" s="16"/>
      <c r="M362" s="16"/>
      <c r="N362" s="5" t="s">
        <v>112</v>
      </c>
      <c r="O362" s="16" t="str">
        <f t="shared" si="1"/>
        <v>#</v>
      </c>
      <c r="P362" s="16" t="str">
        <f t="shared" si="2"/>
        <v>#videoGame</v>
      </c>
      <c r="R362" s="16" t="str">
        <f>"("""&amp;C362&amp;""") ("&amp;Vlookup(E362,DropDown!B:C,2,FALSE)&amp; " OR ""Video Game"" OR Playstation OR iOS OR PS4 OR PS5 OR Xbox OR Switch OR Swtich 2 OR PC)"</f>
        <v>#N/A</v>
      </c>
      <c r="S362" s="44" t="str">
        <f>"("""&amp;C362&amp;""") ("&amp;Vlookup(E362,DropDown!K:L,2,FALSE)&amp; " | ""Video Game"" | Playstation | iOS | PS4 | PS5 | Xbox | Switch | Switch 2 | PC)"</f>
        <v>#N/A</v>
      </c>
      <c r="T362" s="44"/>
      <c r="U362" s="44"/>
      <c r="V362" s="44"/>
      <c r="W362" s="44"/>
      <c r="X362" s="44"/>
      <c r="Z362" s="44"/>
    </row>
    <row r="363">
      <c r="A363" s="16"/>
      <c r="B363" s="16"/>
      <c r="E363" s="16"/>
      <c r="F363" s="16"/>
      <c r="G363" s="16"/>
      <c r="H363" s="16"/>
      <c r="I363" s="16"/>
      <c r="J363" s="16"/>
      <c r="K363" s="16"/>
      <c r="L363" s="16"/>
      <c r="M363" s="16"/>
      <c r="N363" s="5" t="s">
        <v>112</v>
      </c>
      <c r="O363" s="16" t="str">
        <f t="shared" si="1"/>
        <v>#</v>
      </c>
      <c r="P363" s="16" t="str">
        <f t="shared" si="2"/>
        <v>#videoGame</v>
      </c>
      <c r="R363" s="16" t="str">
        <f>"("""&amp;C363&amp;""") ("&amp;Vlookup(E363,DropDown!B:C,2,FALSE)&amp; " OR ""Video Game"" OR Playstation OR iOS OR PS4 OR PS5 OR Xbox OR Switch OR Swtich 2 OR PC)"</f>
        <v>#N/A</v>
      </c>
      <c r="S363" s="44" t="str">
        <f>"("""&amp;C363&amp;""") ("&amp;Vlookup(E363,DropDown!K:L,2,FALSE)&amp; " | ""Video Game"" | Playstation | iOS | PS4 | PS5 | Xbox | Switch | Switch 2 | PC)"</f>
        <v>#N/A</v>
      </c>
      <c r="T363" s="44"/>
      <c r="U363" s="44"/>
      <c r="V363" s="44"/>
      <c r="W363" s="44"/>
      <c r="X363" s="44"/>
      <c r="Z363" s="44"/>
    </row>
    <row r="364">
      <c r="A364" s="16"/>
      <c r="B364" s="16"/>
      <c r="E364" s="16"/>
      <c r="F364" s="16"/>
      <c r="G364" s="16"/>
      <c r="H364" s="16"/>
      <c r="I364" s="16"/>
      <c r="J364" s="16"/>
      <c r="K364" s="16"/>
      <c r="L364" s="16"/>
      <c r="M364" s="16"/>
      <c r="N364" s="5" t="s">
        <v>112</v>
      </c>
      <c r="O364" s="16" t="str">
        <f t="shared" si="1"/>
        <v>#</v>
      </c>
      <c r="P364" s="16" t="str">
        <f t="shared" si="2"/>
        <v>#videoGame</v>
      </c>
      <c r="R364" s="16" t="str">
        <f>"("""&amp;C364&amp;""") ("&amp;Vlookup(E364,DropDown!B:C,2,FALSE)&amp; " OR ""Video Game"" OR Playstation OR iOS OR PS4 OR PS5 OR Xbox OR Switch OR Swtich 2 OR PC)"</f>
        <v>#N/A</v>
      </c>
      <c r="S364" s="44" t="str">
        <f>"("""&amp;C364&amp;""") ("&amp;Vlookup(E364,DropDown!K:L,2,FALSE)&amp; " | ""Video Game"" | Playstation | iOS | PS4 | PS5 | Xbox | Switch | Switch 2 | PC)"</f>
        <v>#N/A</v>
      </c>
      <c r="T364" s="44"/>
      <c r="U364" s="44"/>
      <c r="V364" s="44"/>
      <c r="W364" s="44"/>
      <c r="X364" s="44"/>
      <c r="Z364" s="44"/>
    </row>
    <row r="365">
      <c r="A365" s="16"/>
      <c r="B365" s="16"/>
      <c r="E365" s="16"/>
      <c r="F365" s="16"/>
      <c r="G365" s="16"/>
      <c r="H365" s="16"/>
      <c r="I365" s="16"/>
      <c r="J365" s="16"/>
      <c r="K365" s="16"/>
      <c r="L365" s="16"/>
      <c r="M365" s="16"/>
      <c r="N365" s="5" t="s">
        <v>112</v>
      </c>
      <c r="O365" s="16" t="str">
        <f t="shared" si="1"/>
        <v>#</v>
      </c>
      <c r="P365" s="16" t="str">
        <f t="shared" si="2"/>
        <v>#videoGame</v>
      </c>
      <c r="R365" s="16" t="str">
        <f>"("""&amp;C365&amp;""") ("&amp;Vlookup(E365,DropDown!B:C,2,FALSE)&amp; " OR ""Video Game"" OR Playstation OR iOS OR PS4 OR PS5 OR Xbox OR Switch OR Swtich 2 OR PC)"</f>
        <v>#N/A</v>
      </c>
      <c r="S365" s="44" t="str">
        <f>"("""&amp;C365&amp;""") ("&amp;Vlookup(E365,DropDown!K:L,2,FALSE)&amp; " | ""Video Game"" | Playstation | iOS | PS4 | PS5 | Xbox | Switch | Switch 2 | PC)"</f>
        <v>#N/A</v>
      </c>
      <c r="T365" s="44"/>
      <c r="U365" s="44"/>
      <c r="V365" s="44"/>
      <c r="W365" s="44"/>
      <c r="X365" s="44"/>
      <c r="Z365" s="44"/>
    </row>
    <row r="366">
      <c r="A366" s="16"/>
      <c r="B366" s="16"/>
      <c r="E366" s="16"/>
      <c r="F366" s="16"/>
      <c r="G366" s="16"/>
      <c r="H366" s="16"/>
      <c r="I366" s="16"/>
      <c r="J366" s="16"/>
      <c r="K366" s="16"/>
      <c r="L366" s="16"/>
      <c r="M366" s="16"/>
      <c r="N366" s="5" t="s">
        <v>112</v>
      </c>
      <c r="O366" s="16" t="str">
        <f t="shared" si="1"/>
        <v>#</v>
      </c>
      <c r="P366" s="16" t="str">
        <f t="shared" si="2"/>
        <v>#videoGame</v>
      </c>
      <c r="R366" s="16" t="str">
        <f>"("""&amp;C366&amp;""") ("&amp;Vlookup(E366,DropDown!B:C,2,FALSE)&amp; " OR ""Video Game"" OR Playstation OR iOS OR PS4 OR PS5 OR Xbox OR Switch OR Swtich 2 OR PC)"</f>
        <v>#N/A</v>
      </c>
      <c r="S366" s="44" t="str">
        <f>"("""&amp;C366&amp;""") ("&amp;Vlookup(E366,DropDown!K:L,2,FALSE)&amp; " | ""Video Game"" | Playstation | iOS | PS4 | PS5 | Xbox | Switch | Switch 2 | PC)"</f>
        <v>#N/A</v>
      </c>
      <c r="T366" s="44"/>
      <c r="U366" s="44"/>
      <c r="V366" s="44"/>
      <c r="W366" s="44"/>
      <c r="X366" s="44"/>
      <c r="Z366" s="44"/>
    </row>
    <row r="367">
      <c r="A367" s="16"/>
      <c r="B367" s="16"/>
      <c r="E367" s="16"/>
      <c r="F367" s="16"/>
      <c r="G367" s="16"/>
      <c r="H367" s="16"/>
      <c r="I367" s="16"/>
      <c r="J367" s="16"/>
      <c r="K367" s="16"/>
      <c r="L367" s="16"/>
      <c r="M367" s="16"/>
      <c r="N367" s="5" t="s">
        <v>112</v>
      </c>
      <c r="O367" s="16" t="str">
        <f t="shared" si="1"/>
        <v>#</v>
      </c>
      <c r="P367" s="16" t="str">
        <f t="shared" si="2"/>
        <v>#videoGame</v>
      </c>
      <c r="R367" s="16" t="str">
        <f>"("""&amp;C367&amp;""") ("&amp;Vlookup(E367,DropDown!B:C,2,FALSE)&amp; " OR ""Video Game"" OR Playstation OR iOS OR PS4 OR PS5 OR Xbox OR Switch OR Swtich 2 OR PC)"</f>
        <v>#N/A</v>
      </c>
      <c r="S367" s="44" t="str">
        <f>"("""&amp;C367&amp;""") ("&amp;Vlookup(E367,DropDown!K:L,2,FALSE)&amp; " | ""Video Game"" | Playstation | iOS | PS4 | PS5 | Xbox | Switch | Switch 2 | PC)"</f>
        <v>#N/A</v>
      </c>
      <c r="T367" s="44"/>
      <c r="U367" s="44"/>
      <c r="V367" s="44"/>
      <c r="W367" s="44"/>
      <c r="X367" s="44"/>
      <c r="Z367" s="44"/>
    </row>
    <row r="368">
      <c r="A368" s="16"/>
      <c r="B368" s="16"/>
      <c r="E368" s="16"/>
      <c r="F368" s="16"/>
      <c r="G368" s="16"/>
      <c r="H368" s="16"/>
      <c r="I368" s="16"/>
      <c r="J368" s="16"/>
      <c r="K368" s="16"/>
      <c r="L368" s="16"/>
      <c r="M368" s="16"/>
      <c r="N368" s="5" t="s">
        <v>112</v>
      </c>
      <c r="O368" s="16" t="str">
        <f t="shared" si="1"/>
        <v>#</v>
      </c>
      <c r="P368" s="16" t="str">
        <f t="shared" si="2"/>
        <v>#videoGame</v>
      </c>
      <c r="R368" s="16" t="str">
        <f>"("""&amp;C368&amp;""") ("&amp;Vlookup(E368,DropDown!B:C,2,FALSE)&amp; " OR ""Video Game"" OR Playstation OR iOS OR PS4 OR PS5 OR Xbox OR Switch OR Swtich 2 OR PC)"</f>
        <v>#N/A</v>
      </c>
      <c r="S368" s="44" t="str">
        <f>"("""&amp;C368&amp;""") ("&amp;Vlookup(E368,DropDown!K:L,2,FALSE)&amp; " | ""Video Game"" | Playstation | iOS | PS4 | PS5 | Xbox | Switch | Switch 2 | PC)"</f>
        <v>#N/A</v>
      </c>
      <c r="T368" s="44"/>
      <c r="U368" s="44"/>
      <c r="V368" s="44"/>
      <c r="W368" s="44"/>
      <c r="X368" s="44"/>
      <c r="Z368" s="44"/>
    </row>
    <row r="369">
      <c r="A369" s="16"/>
      <c r="B369" s="16"/>
      <c r="E369" s="16"/>
      <c r="F369" s="16"/>
      <c r="G369" s="16"/>
      <c r="H369" s="16"/>
      <c r="I369" s="16"/>
      <c r="J369" s="16"/>
      <c r="K369" s="16"/>
      <c r="L369" s="16"/>
      <c r="M369" s="16"/>
      <c r="N369" s="5" t="s">
        <v>112</v>
      </c>
      <c r="O369" s="16" t="str">
        <f t="shared" si="1"/>
        <v>#</v>
      </c>
      <c r="P369" s="16" t="str">
        <f t="shared" si="2"/>
        <v>#videoGame</v>
      </c>
      <c r="R369" s="16" t="str">
        <f>"("""&amp;C369&amp;""") ("&amp;Vlookup(E369,DropDown!B:C,2,FALSE)&amp; " OR ""Video Game"" OR Playstation OR iOS OR PS4 OR PS5 OR Xbox OR Switch OR Swtich 2 OR PC)"</f>
        <v>#N/A</v>
      </c>
      <c r="S369" s="44" t="str">
        <f>"("""&amp;C369&amp;""") ("&amp;Vlookup(E369,DropDown!K:L,2,FALSE)&amp; " | ""Video Game"" | Playstation | iOS | PS4 | PS5 | Xbox | Switch | Switch 2 | PC)"</f>
        <v>#N/A</v>
      </c>
      <c r="T369" s="44"/>
      <c r="U369" s="44"/>
      <c r="V369" s="44"/>
      <c r="W369" s="44"/>
      <c r="X369" s="44"/>
      <c r="Z369" s="44"/>
    </row>
    <row r="370">
      <c r="A370" s="16"/>
      <c r="B370" s="16"/>
      <c r="E370" s="16"/>
      <c r="F370" s="16"/>
      <c r="G370" s="16"/>
      <c r="H370" s="16"/>
      <c r="I370" s="16"/>
      <c r="J370" s="16"/>
      <c r="K370" s="16"/>
      <c r="L370" s="16"/>
      <c r="M370" s="16"/>
      <c r="N370" s="5" t="s">
        <v>112</v>
      </c>
      <c r="O370" s="16" t="str">
        <f t="shared" si="1"/>
        <v>#</v>
      </c>
      <c r="P370" s="16" t="str">
        <f t="shared" si="2"/>
        <v>#videoGame</v>
      </c>
      <c r="R370" s="16" t="str">
        <f>"("""&amp;C370&amp;""") ("&amp;Vlookup(E370,DropDown!B:C,2,FALSE)&amp; " OR ""Video Game"" OR Playstation OR iOS OR PS4 OR PS5 OR Xbox OR Switch OR Swtich 2 OR PC)"</f>
        <v>#N/A</v>
      </c>
      <c r="S370" s="44" t="str">
        <f>"("""&amp;C370&amp;""") ("&amp;Vlookup(E370,DropDown!K:L,2,FALSE)&amp; " | ""Video Game"" | Playstation | iOS | PS4 | PS5 | Xbox | Switch | Switch 2 | PC)"</f>
        <v>#N/A</v>
      </c>
      <c r="T370" s="44"/>
      <c r="U370" s="44"/>
      <c r="V370" s="44"/>
      <c r="W370" s="44"/>
      <c r="X370" s="44"/>
      <c r="Z370" s="44"/>
    </row>
    <row r="371">
      <c r="A371" s="16"/>
      <c r="B371" s="16"/>
      <c r="E371" s="16"/>
      <c r="F371" s="16"/>
      <c r="G371" s="16"/>
      <c r="H371" s="16"/>
      <c r="I371" s="16"/>
      <c r="J371" s="16"/>
      <c r="K371" s="16"/>
      <c r="L371" s="16"/>
      <c r="M371" s="16"/>
      <c r="N371" s="5" t="s">
        <v>112</v>
      </c>
      <c r="O371" s="16" t="str">
        <f t="shared" si="1"/>
        <v>#</v>
      </c>
      <c r="P371" s="16" t="str">
        <f t="shared" si="2"/>
        <v>#videoGame</v>
      </c>
      <c r="R371" s="16" t="str">
        <f>"("""&amp;C371&amp;""") ("&amp;Vlookup(E371,DropDown!B:C,2,FALSE)&amp; " OR ""Video Game"" OR Playstation OR iOS OR PS4 OR PS5 OR Xbox OR Switch OR Swtich 2 OR PC)"</f>
        <v>#N/A</v>
      </c>
      <c r="S371" s="44" t="str">
        <f>"("""&amp;C371&amp;""") ("&amp;Vlookup(E371,DropDown!K:L,2,FALSE)&amp; " | ""Video Game"" | Playstation | iOS | PS4 | PS5 | Xbox | Switch | Switch 2 | PC)"</f>
        <v>#N/A</v>
      </c>
      <c r="T371" s="44"/>
      <c r="U371" s="44"/>
      <c r="V371" s="44"/>
      <c r="W371" s="44"/>
      <c r="X371" s="44"/>
      <c r="Z371" s="44"/>
    </row>
    <row r="372">
      <c r="A372" s="16"/>
      <c r="B372" s="16"/>
      <c r="E372" s="16"/>
      <c r="F372" s="16"/>
      <c r="G372" s="16"/>
      <c r="H372" s="16"/>
      <c r="I372" s="16"/>
      <c r="J372" s="16"/>
      <c r="K372" s="16"/>
      <c r="L372" s="16"/>
      <c r="M372" s="16"/>
      <c r="N372" s="5" t="s">
        <v>112</v>
      </c>
      <c r="O372" s="16" t="str">
        <f t="shared" si="1"/>
        <v>#</v>
      </c>
      <c r="P372" s="16" t="str">
        <f t="shared" si="2"/>
        <v>#videoGame</v>
      </c>
      <c r="R372" s="16" t="str">
        <f>"("""&amp;C372&amp;""") ("&amp;Vlookup(E372,DropDown!B:C,2,FALSE)&amp; " OR ""Video Game"" OR Playstation OR iOS OR PS4 OR PS5 OR Xbox OR Switch OR Swtich 2 OR PC)"</f>
        <v>#N/A</v>
      </c>
      <c r="S372" s="44" t="str">
        <f>"("""&amp;C372&amp;""") ("&amp;Vlookup(E372,DropDown!K:L,2,FALSE)&amp; " | ""Video Game"" | Playstation | iOS | PS4 | PS5 | Xbox | Switch | Switch 2 | PC)"</f>
        <v>#N/A</v>
      </c>
      <c r="T372" s="44"/>
      <c r="U372" s="44"/>
      <c r="V372" s="44"/>
      <c r="W372" s="44"/>
      <c r="X372" s="44"/>
      <c r="Z372" s="44"/>
    </row>
    <row r="373">
      <c r="A373" s="16"/>
      <c r="B373" s="16"/>
      <c r="E373" s="16"/>
      <c r="F373" s="16"/>
      <c r="G373" s="16"/>
      <c r="H373" s="16"/>
      <c r="I373" s="16"/>
      <c r="J373" s="16"/>
      <c r="K373" s="16"/>
      <c r="L373" s="16"/>
      <c r="M373" s="16"/>
      <c r="N373" s="5" t="s">
        <v>112</v>
      </c>
      <c r="O373" s="16" t="str">
        <f t="shared" si="1"/>
        <v>#</v>
      </c>
      <c r="P373" s="16" t="str">
        <f t="shared" si="2"/>
        <v>#videoGame</v>
      </c>
      <c r="R373" s="16" t="str">
        <f>"("""&amp;C373&amp;""") ("&amp;Vlookup(E373,DropDown!B:C,2,FALSE)&amp; " OR ""Video Game"" OR Playstation OR iOS OR PS4 OR PS5 OR Xbox OR Switch OR Swtich 2 OR PC)"</f>
        <v>#N/A</v>
      </c>
      <c r="S373" s="44" t="str">
        <f>"("""&amp;C373&amp;""") ("&amp;Vlookup(E373,DropDown!K:L,2,FALSE)&amp; " | ""Video Game"" | Playstation | iOS | PS4 | PS5 | Xbox | Switch | Switch 2 | PC)"</f>
        <v>#N/A</v>
      </c>
      <c r="T373" s="44"/>
      <c r="U373" s="44"/>
      <c r="V373" s="44"/>
      <c r="W373" s="44"/>
      <c r="X373" s="44"/>
      <c r="Z373" s="44"/>
    </row>
    <row r="374">
      <c r="A374" s="16"/>
      <c r="B374" s="16"/>
      <c r="E374" s="16"/>
      <c r="F374" s="16"/>
      <c r="G374" s="16"/>
      <c r="H374" s="16"/>
      <c r="I374" s="16"/>
      <c r="J374" s="16"/>
      <c r="K374" s="16"/>
      <c r="L374" s="16"/>
      <c r="M374" s="16"/>
      <c r="N374" s="5" t="s">
        <v>112</v>
      </c>
      <c r="O374" s="16" t="str">
        <f t="shared" si="1"/>
        <v>#</v>
      </c>
      <c r="P374" s="16" t="str">
        <f t="shared" si="2"/>
        <v>#videoGame</v>
      </c>
      <c r="R374" s="16" t="str">
        <f>"("""&amp;C374&amp;""") ("&amp;Vlookup(E374,DropDown!B:C,2,FALSE)&amp; " OR ""Video Game"" OR Playstation OR iOS OR PS4 OR PS5 OR Xbox OR Switch OR Swtich 2 OR PC)"</f>
        <v>#N/A</v>
      </c>
      <c r="S374" s="44" t="str">
        <f>"("""&amp;C374&amp;""") ("&amp;Vlookup(E374,DropDown!K:L,2,FALSE)&amp; " | ""Video Game"" | Playstation | iOS | PS4 | PS5 | Xbox | Switch | Switch 2 | PC)"</f>
        <v>#N/A</v>
      </c>
      <c r="T374" s="44"/>
      <c r="U374" s="44"/>
      <c r="V374" s="44"/>
      <c r="W374" s="44"/>
      <c r="X374" s="44"/>
      <c r="Z374" s="44"/>
    </row>
    <row r="375">
      <c r="A375" s="16"/>
      <c r="B375" s="16"/>
      <c r="E375" s="16"/>
      <c r="F375" s="16"/>
      <c r="G375" s="16"/>
      <c r="H375" s="16"/>
      <c r="I375" s="16"/>
      <c r="J375" s="16"/>
      <c r="K375" s="16"/>
      <c r="L375" s="16"/>
      <c r="M375" s="16"/>
      <c r="N375" s="5" t="s">
        <v>112</v>
      </c>
      <c r="O375" s="16" t="str">
        <f t="shared" si="1"/>
        <v>#</v>
      </c>
      <c r="P375" s="16" t="str">
        <f t="shared" si="2"/>
        <v>#videoGame</v>
      </c>
      <c r="R375" s="16" t="str">
        <f>"("""&amp;C375&amp;""") ("&amp;Vlookup(E375,DropDown!B:C,2,FALSE)&amp; " OR ""Video Game"" OR Playstation OR iOS OR PS4 OR PS5 OR Xbox OR Switch OR Swtich 2 OR PC)"</f>
        <v>#N/A</v>
      </c>
      <c r="S375" s="44" t="str">
        <f>"("""&amp;C375&amp;""") ("&amp;Vlookup(E375,DropDown!K:L,2,FALSE)&amp; " | ""Video Game"" | Playstation | iOS | PS4 | PS5 | Xbox | Switch | Switch 2 | PC)"</f>
        <v>#N/A</v>
      </c>
      <c r="T375" s="44"/>
      <c r="U375" s="44"/>
      <c r="V375" s="44"/>
      <c r="W375" s="44"/>
      <c r="X375" s="44"/>
      <c r="Z375" s="44"/>
    </row>
    <row r="376">
      <c r="A376" s="16"/>
      <c r="B376" s="16"/>
      <c r="E376" s="16"/>
      <c r="F376" s="16"/>
      <c r="G376" s="16"/>
      <c r="H376" s="16"/>
      <c r="I376" s="16"/>
      <c r="J376" s="16"/>
      <c r="K376" s="16"/>
      <c r="L376" s="16"/>
      <c r="M376" s="16"/>
      <c r="N376" s="5" t="s">
        <v>112</v>
      </c>
      <c r="O376" s="16" t="str">
        <f t="shared" si="1"/>
        <v>#</v>
      </c>
      <c r="P376" s="16" t="str">
        <f t="shared" si="2"/>
        <v>#videoGame</v>
      </c>
      <c r="R376" s="16" t="str">
        <f>"("""&amp;C376&amp;""") ("&amp;Vlookup(E376,DropDown!B:C,2,FALSE)&amp; " OR ""Video Game"" OR Playstation OR iOS OR PS4 OR PS5 OR Xbox OR Switch OR Swtich 2 OR PC)"</f>
        <v>#N/A</v>
      </c>
      <c r="S376" s="44" t="str">
        <f>"("""&amp;C376&amp;""") ("&amp;Vlookup(E376,DropDown!K:L,2,FALSE)&amp; " | ""Video Game"" | Playstation | iOS | PS4 | PS5 | Xbox | Switch | Switch 2 | PC)"</f>
        <v>#N/A</v>
      </c>
      <c r="T376" s="44"/>
      <c r="U376" s="44"/>
      <c r="V376" s="44"/>
      <c r="W376" s="44"/>
      <c r="X376" s="44"/>
      <c r="Z376" s="44"/>
    </row>
    <row r="377">
      <c r="A377" s="16"/>
      <c r="B377" s="16"/>
      <c r="E377" s="16"/>
      <c r="F377" s="16"/>
      <c r="G377" s="16"/>
      <c r="H377" s="16"/>
      <c r="I377" s="16"/>
      <c r="J377" s="16"/>
      <c r="K377" s="16"/>
      <c r="L377" s="16"/>
      <c r="M377" s="16"/>
      <c r="N377" s="5" t="s">
        <v>112</v>
      </c>
      <c r="O377" s="16" t="str">
        <f t="shared" si="1"/>
        <v>#</v>
      </c>
      <c r="P377" s="16" t="str">
        <f t="shared" si="2"/>
        <v>#videoGame</v>
      </c>
      <c r="R377" s="16" t="str">
        <f>"("""&amp;C377&amp;""") ("&amp;Vlookup(E377,DropDown!B:C,2,FALSE)&amp; " OR ""Video Game"" OR Playstation OR iOS OR PS4 OR PS5 OR Xbox OR Switch OR Swtich 2 OR PC)"</f>
        <v>#N/A</v>
      </c>
      <c r="S377" s="44" t="str">
        <f>"("""&amp;C377&amp;""") ("&amp;Vlookup(E377,DropDown!K:L,2,FALSE)&amp; " | ""Video Game"" | Playstation | iOS | PS4 | PS5 | Xbox | Switch | Switch 2 | PC)"</f>
        <v>#N/A</v>
      </c>
      <c r="T377" s="44"/>
      <c r="U377" s="44"/>
      <c r="V377" s="44"/>
      <c r="W377" s="44"/>
      <c r="X377" s="44"/>
      <c r="Z377" s="44"/>
    </row>
    <row r="378">
      <c r="A378" s="16"/>
      <c r="B378" s="16"/>
      <c r="E378" s="16"/>
      <c r="F378" s="16"/>
      <c r="G378" s="16"/>
      <c r="H378" s="16"/>
      <c r="I378" s="16"/>
      <c r="J378" s="16"/>
      <c r="K378" s="16"/>
      <c r="L378" s="16"/>
      <c r="M378" s="16"/>
      <c r="N378" s="5" t="s">
        <v>112</v>
      </c>
      <c r="O378" s="16" t="str">
        <f t="shared" si="1"/>
        <v>#</v>
      </c>
      <c r="P378" s="16" t="str">
        <f t="shared" si="2"/>
        <v>#videoGame</v>
      </c>
      <c r="R378" s="16" t="str">
        <f>"("""&amp;C378&amp;""") ("&amp;Vlookup(E378,DropDown!B:C,2,FALSE)&amp; " OR ""Video Game"" OR Playstation OR iOS OR PS4 OR PS5 OR Xbox OR Switch OR Swtich 2 OR PC)"</f>
        <v>#N/A</v>
      </c>
      <c r="S378" s="44" t="str">
        <f>"("""&amp;C378&amp;""") ("&amp;Vlookup(E378,DropDown!K:L,2,FALSE)&amp; " | ""Video Game"" | Playstation | iOS | PS4 | PS5 | Xbox | Switch | Switch 2 | PC)"</f>
        <v>#N/A</v>
      </c>
      <c r="T378" s="44"/>
      <c r="U378" s="44"/>
      <c r="V378" s="44"/>
      <c r="W378" s="44"/>
      <c r="X378" s="44"/>
      <c r="Z378" s="44"/>
    </row>
    <row r="379">
      <c r="A379" s="16"/>
      <c r="B379" s="16"/>
      <c r="E379" s="16"/>
      <c r="F379" s="16"/>
      <c r="G379" s="16"/>
      <c r="H379" s="16"/>
      <c r="I379" s="16"/>
      <c r="J379" s="16"/>
      <c r="K379" s="16"/>
      <c r="L379" s="16"/>
      <c r="M379" s="16"/>
      <c r="N379" s="5" t="s">
        <v>112</v>
      </c>
      <c r="O379" s="16" t="str">
        <f t="shared" si="1"/>
        <v>#</v>
      </c>
      <c r="P379" s="16" t="str">
        <f t="shared" si="2"/>
        <v>#videoGame</v>
      </c>
      <c r="R379" s="16" t="str">
        <f>"("""&amp;C379&amp;""") ("&amp;Vlookup(E379,DropDown!B:C,2,FALSE)&amp; " OR ""Video Game"" OR Playstation OR iOS OR PS4 OR PS5 OR Xbox OR Switch OR Swtich 2 OR PC)"</f>
        <v>#N/A</v>
      </c>
      <c r="S379" s="44" t="str">
        <f>"("""&amp;C379&amp;""") ("&amp;Vlookup(E379,DropDown!K:L,2,FALSE)&amp; " | ""Video Game"" | Playstation | iOS | PS4 | PS5 | Xbox | Switch | Switch 2 | PC)"</f>
        <v>#N/A</v>
      </c>
      <c r="T379" s="44"/>
      <c r="U379" s="44"/>
      <c r="V379" s="44"/>
      <c r="W379" s="44"/>
      <c r="X379" s="44"/>
      <c r="Z379" s="44"/>
    </row>
    <row r="380">
      <c r="A380" s="16"/>
      <c r="B380" s="16"/>
      <c r="E380" s="16"/>
      <c r="F380" s="16"/>
      <c r="G380" s="16"/>
      <c r="H380" s="16"/>
      <c r="I380" s="16"/>
      <c r="J380" s="16"/>
      <c r="K380" s="16"/>
      <c r="L380" s="16"/>
      <c r="M380" s="16"/>
      <c r="N380" s="5" t="s">
        <v>112</v>
      </c>
      <c r="O380" s="16" t="str">
        <f t="shared" si="1"/>
        <v>#</v>
      </c>
      <c r="P380" s="16" t="str">
        <f t="shared" si="2"/>
        <v>#videoGame</v>
      </c>
      <c r="R380" s="16" t="str">
        <f>"("""&amp;C380&amp;""") ("&amp;Vlookup(E380,DropDown!B:C,2,FALSE)&amp; " OR ""Video Game"" OR Playstation OR iOS OR PS4 OR PS5 OR Xbox OR Switch OR Swtich 2 OR PC)"</f>
        <v>#N/A</v>
      </c>
      <c r="S380" s="44" t="str">
        <f>"("""&amp;C380&amp;""") ("&amp;Vlookup(E380,DropDown!K:L,2,FALSE)&amp; " | ""Video Game"" | Playstation | iOS | PS4 | PS5 | Xbox | Switch | Switch 2 | PC)"</f>
        <v>#N/A</v>
      </c>
      <c r="T380" s="44"/>
      <c r="U380" s="44"/>
      <c r="V380" s="44"/>
      <c r="W380" s="44"/>
      <c r="X380" s="44"/>
      <c r="Z380" s="44"/>
    </row>
    <row r="381">
      <c r="A381" s="16"/>
      <c r="B381" s="16"/>
      <c r="E381" s="16"/>
      <c r="F381" s="16"/>
      <c r="G381" s="16"/>
      <c r="H381" s="16"/>
      <c r="I381" s="16"/>
      <c r="J381" s="16"/>
      <c r="K381" s="16"/>
      <c r="L381" s="16"/>
      <c r="M381" s="16"/>
      <c r="N381" s="5" t="s">
        <v>112</v>
      </c>
      <c r="O381" s="16" t="str">
        <f t="shared" si="1"/>
        <v>#</v>
      </c>
      <c r="P381" s="16" t="str">
        <f t="shared" si="2"/>
        <v>#videoGame</v>
      </c>
      <c r="R381" s="16" t="str">
        <f>"("""&amp;C381&amp;""") ("&amp;Vlookup(E381,DropDown!B:C,2,FALSE)&amp; " OR ""Video Game"" OR Playstation OR iOS OR PS4 OR PS5 OR Xbox OR Switch OR Swtich 2 OR PC)"</f>
        <v>#N/A</v>
      </c>
      <c r="S381" s="44" t="str">
        <f>"("""&amp;C381&amp;""") ("&amp;Vlookup(E381,DropDown!K:L,2,FALSE)&amp; " | ""Video Game"" | Playstation | iOS | PS4 | PS5 | Xbox | Switch | Switch 2 | PC)"</f>
        <v>#N/A</v>
      </c>
      <c r="T381" s="44"/>
      <c r="U381" s="44"/>
      <c r="V381" s="44"/>
      <c r="W381" s="44"/>
      <c r="X381" s="44"/>
      <c r="Z381" s="44"/>
    </row>
    <row r="382">
      <c r="A382" s="16"/>
      <c r="B382" s="16"/>
      <c r="E382" s="16"/>
      <c r="F382" s="16"/>
      <c r="G382" s="16"/>
      <c r="H382" s="16"/>
      <c r="I382" s="16"/>
      <c r="J382" s="16"/>
      <c r="K382" s="16"/>
      <c r="L382" s="16"/>
      <c r="M382" s="16"/>
      <c r="N382" s="5" t="s">
        <v>112</v>
      </c>
      <c r="O382" s="16" t="str">
        <f t="shared" si="1"/>
        <v>#</v>
      </c>
      <c r="P382" s="16" t="str">
        <f t="shared" si="2"/>
        <v>#videoGame</v>
      </c>
      <c r="R382" s="16" t="str">
        <f>"("""&amp;C382&amp;""") ("&amp;Vlookup(E382,DropDown!B:C,2,FALSE)&amp; " OR ""Video Game"" OR Playstation OR iOS OR PS4 OR PS5 OR Xbox OR Switch OR Swtich 2 OR PC)"</f>
        <v>#N/A</v>
      </c>
      <c r="S382" s="44" t="str">
        <f>"("""&amp;C382&amp;""") ("&amp;Vlookup(E382,DropDown!K:L,2,FALSE)&amp; " | ""Video Game"" | Playstation | iOS | PS4 | PS5 | Xbox | Switch | Switch 2 | PC)"</f>
        <v>#N/A</v>
      </c>
      <c r="T382" s="44"/>
      <c r="U382" s="44"/>
      <c r="V382" s="44"/>
      <c r="W382" s="44"/>
      <c r="X382" s="44"/>
      <c r="Z382" s="44"/>
    </row>
    <row r="383">
      <c r="A383" s="16"/>
      <c r="B383" s="16"/>
      <c r="E383" s="16"/>
      <c r="F383" s="16"/>
      <c r="G383" s="16"/>
      <c r="H383" s="16"/>
      <c r="I383" s="16"/>
      <c r="J383" s="16"/>
      <c r="K383" s="16"/>
      <c r="L383" s="16"/>
      <c r="M383" s="16"/>
      <c r="N383" s="5" t="s">
        <v>112</v>
      </c>
      <c r="O383" s="16" t="str">
        <f t="shared" si="1"/>
        <v>#</v>
      </c>
      <c r="P383" s="16" t="str">
        <f t="shared" si="2"/>
        <v>#videoGame</v>
      </c>
      <c r="R383" s="16" t="str">
        <f>"("""&amp;C383&amp;""") ("&amp;Vlookup(E383,DropDown!B:C,2,FALSE)&amp; " OR ""Video Game"" OR Playstation OR iOS OR PS4 OR PS5 OR Xbox OR Switch OR Swtich 2 OR PC)"</f>
        <v>#N/A</v>
      </c>
      <c r="S383" s="44" t="str">
        <f>"("""&amp;C383&amp;""") ("&amp;Vlookup(E383,DropDown!K:L,2,FALSE)&amp; " | ""Video Game"" | Playstation | iOS | PS4 | PS5 | Xbox | Switch | Switch 2 | PC)"</f>
        <v>#N/A</v>
      </c>
      <c r="T383" s="44"/>
      <c r="U383" s="44"/>
      <c r="V383" s="44"/>
      <c r="W383" s="44"/>
      <c r="X383" s="44"/>
      <c r="Z383" s="44"/>
    </row>
    <row r="384">
      <c r="A384" s="16"/>
      <c r="B384" s="16"/>
      <c r="E384" s="16"/>
      <c r="F384" s="16"/>
      <c r="G384" s="16"/>
      <c r="H384" s="16"/>
      <c r="I384" s="16"/>
      <c r="J384" s="16"/>
      <c r="K384" s="16"/>
      <c r="L384" s="16"/>
      <c r="M384" s="16"/>
      <c r="N384" s="5" t="s">
        <v>112</v>
      </c>
      <c r="O384" s="16" t="str">
        <f t="shared" si="1"/>
        <v>#</v>
      </c>
      <c r="P384" s="16" t="str">
        <f t="shared" si="2"/>
        <v>#videoGame</v>
      </c>
      <c r="R384" s="16" t="str">
        <f>"("""&amp;C384&amp;""") ("&amp;Vlookup(E384,DropDown!B:C,2,FALSE)&amp; " OR ""Video Game"" OR Playstation OR iOS OR PS4 OR PS5 OR Xbox OR Switch OR Swtich 2 OR PC)"</f>
        <v>#N/A</v>
      </c>
      <c r="S384" s="44" t="str">
        <f>"("""&amp;C384&amp;""") ("&amp;Vlookup(E384,DropDown!K:L,2,FALSE)&amp; " | ""Video Game"" | Playstation | iOS | PS4 | PS5 | Xbox | Switch | Switch 2 | PC)"</f>
        <v>#N/A</v>
      </c>
      <c r="T384" s="44"/>
      <c r="U384" s="44"/>
      <c r="V384" s="44"/>
      <c r="W384" s="44"/>
      <c r="X384" s="44"/>
      <c r="Z384" s="44"/>
    </row>
    <row r="385">
      <c r="A385" s="16"/>
      <c r="B385" s="16"/>
      <c r="E385" s="16"/>
      <c r="F385" s="16"/>
      <c r="G385" s="16"/>
      <c r="H385" s="16"/>
      <c r="I385" s="16"/>
      <c r="J385" s="16"/>
      <c r="K385" s="16"/>
      <c r="L385" s="16"/>
      <c r="M385" s="16"/>
      <c r="N385" s="5" t="s">
        <v>112</v>
      </c>
      <c r="O385" s="16" t="str">
        <f t="shared" si="1"/>
        <v>#</v>
      </c>
      <c r="P385" s="16" t="str">
        <f t="shared" si="2"/>
        <v>#videoGame</v>
      </c>
      <c r="R385" s="16" t="str">
        <f>"("""&amp;C385&amp;""") ("&amp;Vlookup(E385,DropDown!B:C,2,FALSE)&amp; " OR ""Video Game"" OR Playstation OR iOS OR PS4 OR PS5 OR Xbox OR Switch OR Swtich 2 OR PC)"</f>
        <v>#N/A</v>
      </c>
      <c r="S385" s="44" t="str">
        <f>"("""&amp;C385&amp;""") ("&amp;Vlookup(E385,DropDown!K:L,2,FALSE)&amp; " | ""Video Game"" | Playstation | iOS | PS4 | PS5 | Xbox | Switch | Switch 2 | PC)"</f>
        <v>#N/A</v>
      </c>
      <c r="T385" s="44"/>
      <c r="U385" s="44"/>
      <c r="V385" s="44"/>
      <c r="W385" s="44"/>
      <c r="X385" s="44"/>
      <c r="Z385" s="44"/>
    </row>
    <row r="386">
      <c r="A386" s="16"/>
      <c r="B386" s="16"/>
      <c r="E386" s="16"/>
      <c r="F386" s="16"/>
      <c r="G386" s="16"/>
      <c r="H386" s="16"/>
      <c r="I386" s="16"/>
      <c r="J386" s="16"/>
      <c r="K386" s="16"/>
      <c r="L386" s="16"/>
      <c r="M386" s="16"/>
      <c r="N386" s="5" t="s">
        <v>112</v>
      </c>
      <c r="O386" s="16" t="str">
        <f t="shared" si="1"/>
        <v>#</v>
      </c>
      <c r="P386" s="16" t="str">
        <f t="shared" si="2"/>
        <v>#videoGame</v>
      </c>
      <c r="R386" s="16" t="str">
        <f>"("""&amp;C386&amp;""") ("&amp;Vlookup(E386,DropDown!B:C,2,FALSE)&amp; " OR ""Video Game"" OR Playstation OR iOS OR PS4 OR PS5 OR Xbox OR Switch OR Swtich 2 OR PC)"</f>
        <v>#N/A</v>
      </c>
      <c r="S386" s="44" t="str">
        <f>"("""&amp;C386&amp;""") ("&amp;Vlookup(E386,DropDown!K:L,2,FALSE)&amp; " | ""Video Game"" | Playstation | iOS | PS4 | PS5 | Xbox | Switch | Switch 2 | PC)"</f>
        <v>#N/A</v>
      </c>
      <c r="T386" s="44"/>
      <c r="U386" s="44"/>
      <c r="V386" s="44"/>
      <c r="W386" s="44"/>
      <c r="X386" s="44"/>
      <c r="Z386" s="44"/>
    </row>
    <row r="387">
      <c r="A387" s="16"/>
      <c r="B387" s="16"/>
      <c r="E387" s="16"/>
      <c r="F387" s="16"/>
      <c r="G387" s="16"/>
      <c r="H387" s="16"/>
      <c r="I387" s="16"/>
      <c r="J387" s="16"/>
      <c r="K387" s="16"/>
      <c r="L387" s="16"/>
      <c r="M387" s="16"/>
      <c r="N387" s="5" t="s">
        <v>112</v>
      </c>
      <c r="O387" s="16" t="str">
        <f t="shared" si="1"/>
        <v>#</v>
      </c>
      <c r="P387" s="16" t="str">
        <f t="shared" si="2"/>
        <v>#videoGame</v>
      </c>
      <c r="R387" s="16" t="str">
        <f>"("""&amp;C387&amp;""") ("&amp;Vlookup(E387,DropDown!B:C,2,FALSE)&amp; " OR ""Video Game"" OR Playstation OR iOS OR PS4 OR PS5 OR Xbox OR Switch OR Swtich 2 OR PC)"</f>
        <v>#N/A</v>
      </c>
      <c r="S387" s="44" t="str">
        <f>"("""&amp;C387&amp;""") ("&amp;Vlookup(E387,DropDown!K:L,2,FALSE)&amp; " | ""Video Game"" | Playstation | iOS | PS4 | PS5 | Xbox | Switch | Switch 2 | PC)"</f>
        <v>#N/A</v>
      </c>
      <c r="T387" s="44"/>
      <c r="U387" s="44"/>
      <c r="V387" s="44"/>
      <c r="W387" s="44"/>
      <c r="X387" s="44"/>
      <c r="Z387" s="44"/>
    </row>
    <row r="388">
      <c r="A388" s="16"/>
      <c r="B388" s="16"/>
      <c r="E388" s="16"/>
      <c r="F388" s="16"/>
      <c r="G388" s="16"/>
      <c r="H388" s="16"/>
      <c r="I388" s="16"/>
      <c r="J388" s="16"/>
      <c r="K388" s="16"/>
      <c r="L388" s="16"/>
      <c r="M388" s="16"/>
      <c r="N388" s="5" t="s">
        <v>112</v>
      </c>
      <c r="O388" s="16" t="str">
        <f t="shared" si="1"/>
        <v>#</v>
      </c>
      <c r="P388" s="16" t="str">
        <f t="shared" si="2"/>
        <v>#videoGame</v>
      </c>
      <c r="R388" s="16" t="str">
        <f>"("""&amp;C388&amp;""") ("&amp;Vlookup(E388,DropDown!B:C,2,FALSE)&amp; " OR ""Video Game"" OR Playstation OR iOS OR PS4 OR PS5 OR Xbox OR Switch OR Swtich 2 OR PC)"</f>
        <v>#N/A</v>
      </c>
      <c r="S388" s="44" t="str">
        <f>"("""&amp;C388&amp;""") ("&amp;Vlookup(E388,DropDown!K:L,2,FALSE)&amp; " | ""Video Game"" | Playstation | iOS | PS4 | PS5 | Xbox | Switch | Switch 2 | PC)"</f>
        <v>#N/A</v>
      </c>
      <c r="T388" s="44"/>
      <c r="U388" s="44"/>
      <c r="V388" s="44"/>
      <c r="W388" s="44"/>
      <c r="X388" s="44"/>
      <c r="Z388" s="44"/>
    </row>
    <row r="389">
      <c r="A389" s="16"/>
      <c r="B389" s="16"/>
      <c r="E389" s="16"/>
      <c r="F389" s="16"/>
      <c r="G389" s="16"/>
      <c r="H389" s="16"/>
      <c r="I389" s="16"/>
      <c r="J389" s="16"/>
      <c r="K389" s="16"/>
      <c r="L389" s="16"/>
      <c r="M389" s="16"/>
      <c r="N389" s="5" t="s">
        <v>112</v>
      </c>
      <c r="O389" s="16" t="str">
        <f t="shared" si="1"/>
        <v>#</v>
      </c>
      <c r="P389" s="16" t="str">
        <f t="shared" si="2"/>
        <v>#videoGame</v>
      </c>
      <c r="R389" s="16" t="str">
        <f>"("""&amp;C389&amp;""") ("&amp;Vlookup(E389,DropDown!B:C,2,FALSE)&amp; " OR ""Video Game"" OR Playstation OR iOS OR PS4 OR PS5 OR Xbox OR Switch OR Swtich 2 OR PC)"</f>
        <v>#N/A</v>
      </c>
      <c r="S389" s="44" t="str">
        <f>"("""&amp;C389&amp;""") ("&amp;Vlookup(E389,DropDown!K:L,2,FALSE)&amp; " | ""Video Game"" | Playstation | iOS | PS4 | PS5 | Xbox | Switch | Switch 2 | PC)"</f>
        <v>#N/A</v>
      </c>
      <c r="T389" s="44"/>
      <c r="U389" s="44"/>
      <c r="V389" s="44"/>
      <c r="W389" s="44"/>
      <c r="X389" s="44"/>
      <c r="Z389" s="44"/>
    </row>
    <row r="390">
      <c r="A390" s="16"/>
      <c r="B390" s="16"/>
      <c r="E390" s="16"/>
      <c r="F390" s="16"/>
      <c r="G390" s="16"/>
      <c r="H390" s="16"/>
      <c r="I390" s="16"/>
      <c r="J390" s="16"/>
      <c r="K390" s="16"/>
      <c r="L390" s="16"/>
      <c r="M390" s="16"/>
      <c r="N390" s="5" t="s">
        <v>112</v>
      </c>
      <c r="O390" s="16" t="str">
        <f t="shared" si="1"/>
        <v>#</v>
      </c>
      <c r="P390" s="16" t="str">
        <f t="shared" si="2"/>
        <v>#videoGame</v>
      </c>
      <c r="R390" s="16" t="str">
        <f>"("""&amp;C390&amp;""") ("&amp;Vlookup(E390,DropDown!B:C,2,FALSE)&amp; " OR ""Video Game"" OR Playstation OR iOS OR PS4 OR PS5 OR Xbox OR Switch OR Swtich 2 OR PC)"</f>
        <v>#N/A</v>
      </c>
      <c r="S390" s="44" t="str">
        <f>"("""&amp;C390&amp;""") ("&amp;Vlookup(E390,DropDown!K:L,2,FALSE)&amp; " | ""Video Game"" | Playstation | iOS | PS4 | PS5 | Xbox | Switch | Switch 2 | PC)"</f>
        <v>#N/A</v>
      </c>
      <c r="T390" s="44"/>
      <c r="U390" s="44"/>
      <c r="V390" s="44"/>
      <c r="W390" s="44"/>
      <c r="X390" s="44"/>
      <c r="Z390" s="44"/>
    </row>
    <row r="391">
      <c r="A391" s="16"/>
      <c r="B391" s="16"/>
      <c r="E391" s="16"/>
      <c r="F391" s="16"/>
      <c r="G391" s="16"/>
      <c r="H391" s="16"/>
      <c r="I391" s="16"/>
      <c r="J391" s="16"/>
      <c r="K391" s="16"/>
      <c r="L391" s="16"/>
      <c r="M391" s="16"/>
      <c r="N391" s="5" t="s">
        <v>112</v>
      </c>
      <c r="O391" s="16" t="str">
        <f t="shared" si="1"/>
        <v>#</v>
      </c>
      <c r="P391" s="16" t="str">
        <f t="shared" si="2"/>
        <v>#videoGame</v>
      </c>
      <c r="R391" s="16" t="str">
        <f>"("""&amp;C391&amp;""") ("&amp;Vlookup(E391,DropDown!B:C,2,FALSE)&amp; " OR ""Video Game"" OR Playstation OR iOS OR PS4 OR PS5 OR Xbox OR Switch OR Swtich 2 OR PC)"</f>
        <v>#N/A</v>
      </c>
      <c r="S391" s="44" t="str">
        <f>"("""&amp;C391&amp;""") ("&amp;Vlookup(E391,DropDown!K:L,2,FALSE)&amp; " | ""Video Game"" | Playstation | iOS | PS4 | PS5 | Xbox | Switch | Switch 2 | PC)"</f>
        <v>#N/A</v>
      </c>
      <c r="T391" s="44"/>
      <c r="U391" s="44"/>
      <c r="V391" s="44"/>
      <c r="W391" s="44"/>
      <c r="X391" s="44"/>
      <c r="Z391" s="44"/>
    </row>
    <row r="392">
      <c r="A392" s="16"/>
      <c r="B392" s="16"/>
      <c r="E392" s="16"/>
      <c r="F392" s="16"/>
      <c r="G392" s="16"/>
      <c r="H392" s="16"/>
      <c r="I392" s="16"/>
      <c r="J392" s="16"/>
      <c r="K392" s="16"/>
      <c r="L392" s="16"/>
      <c r="M392" s="16"/>
      <c r="N392" s="5" t="s">
        <v>112</v>
      </c>
      <c r="O392" s="16" t="str">
        <f t="shared" si="1"/>
        <v>#</v>
      </c>
      <c r="P392" s="16" t="str">
        <f t="shared" si="2"/>
        <v>#videoGame</v>
      </c>
      <c r="R392" s="16" t="str">
        <f>"("""&amp;C392&amp;""") ("&amp;Vlookup(E392,DropDown!B:C,2,FALSE)&amp; " OR ""Video Game"" OR Playstation OR iOS OR PS4 OR PS5 OR Xbox OR Switch OR Swtich 2 OR PC)"</f>
        <v>#N/A</v>
      </c>
      <c r="S392" s="44" t="str">
        <f>"("""&amp;C392&amp;""") ("&amp;Vlookup(E392,DropDown!K:L,2,FALSE)&amp; " | ""Video Game"" | Playstation | iOS | PS4 | PS5 | Xbox | Switch | Switch 2 | PC)"</f>
        <v>#N/A</v>
      </c>
      <c r="T392" s="44"/>
      <c r="U392" s="44"/>
      <c r="V392" s="44"/>
      <c r="W392" s="44"/>
      <c r="X392" s="44"/>
      <c r="Z392" s="44"/>
    </row>
    <row r="393">
      <c r="A393" s="16"/>
      <c r="B393" s="16"/>
      <c r="E393" s="16"/>
      <c r="F393" s="16"/>
      <c r="G393" s="16"/>
      <c r="H393" s="16"/>
      <c r="I393" s="16"/>
      <c r="J393" s="16"/>
      <c r="K393" s="16"/>
      <c r="L393" s="16"/>
      <c r="M393" s="16"/>
      <c r="N393" s="5" t="s">
        <v>112</v>
      </c>
      <c r="O393" s="16" t="str">
        <f t="shared" si="1"/>
        <v>#</v>
      </c>
      <c r="P393" s="16" t="str">
        <f t="shared" si="2"/>
        <v>#videoGame</v>
      </c>
      <c r="R393" s="16" t="str">
        <f>"("""&amp;C393&amp;""") ("&amp;Vlookup(E393,DropDown!B:C,2,FALSE)&amp; " OR ""Video Game"" OR Playstation OR iOS OR PS4 OR PS5 OR Xbox OR Switch OR Swtich 2 OR PC)"</f>
        <v>#N/A</v>
      </c>
      <c r="S393" s="44" t="str">
        <f>"("""&amp;C393&amp;""") ("&amp;Vlookup(E393,DropDown!K:L,2,FALSE)&amp; " | ""Video Game"" | Playstation | iOS | PS4 | PS5 | Xbox | Switch | Switch 2 | PC)"</f>
        <v>#N/A</v>
      </c>
      <c r="T393" s="44"/>
      <c r="U393" s="44"/>
      <c r="V393" s="44"/>
      <c r="W393" s="44"/>
      <c r="X393" s="44"/>
      <c r="Z393" s="44"/>
    </row>
    <row r="394">
      <c r="A394" s="16"/>
      <c r="B394" s="16"/>
      <c r="E394" s="16"/>
      <c r="F394" s="16"/>
      <c r="G394" s="16"/>
      <c r="H394" s="16"/>
      <c r="I394" s="16"/>
      <c r="J394" s="16"/>
      <c r="K394" s="16"/>
      <c r="L394" s="16"/>
      <c r="M394" s="16"/>
      <c r="N394" s="5" t="s">
        <v>112</v>
      </c>
      <c r="O394" s="16" t="str">
        <f t="shared" si="1"/>
        <v>#</v>
      </c>
      <c r="P394" s="16" t="str">
        <f t="shared" si="2"/>
        <v>#videoGame</v>
      </c>
      <c r="R394" s="16" t="str">
        <f>"("""&amp;C394&amp;""") ("&amp;Vlookup(E394,DropDown!B:C,2,FALSE)&amp; " OR ""Video Game"" OR Playstation OR iOS OR PS4 OR PS5 OR Xbox OR Switch OR Swtich 2 OR PC)"</f>
        <v>#N/A</v>
      </c>
      <c r="S394" s="44" t="str">
        <f>"("""&amp;C394&amp;""") ("&amp;Vlookup(E394,DropDown!K:L,2,FALSE)&amp; " | ""Video Game"" | Playstation | iOS | PS4 | PS5 | Xbox | Switch | Switch 2 | PC)"</f>
        <v>#N/A</v>
      </c>
      <c r="T394" s="44"/>
      <c r="U394" s="44"/>
      <c r="V394" s="44"/>
      <c r="W394" s="44"/>
      <c r="X394" s="44"/>
      <c r="Z394" s="44"/>
    </row>
    <row r="395">
      <c r="A395" s="16"/>
      <c r="B395" s="16"/>
      <c r="E395" s="16"/>
      <c r="F395" s="16"/>
      <c r="G395" s="16"/>
      <c r="H395" s="16"/>
      <c r="I395" s="16"/>
      <c r="J395" s="16"/>
      <c r="K395" s="16"/>
      <c r="L395" s="16"/>
      <c r="M395" s="16"/>
      <c r="N395" s="5" t="s">
        <v>112</v>
      </c>
      <c r="O395" s="16" t="str">
        <f t="shared" si="1"/>
        <v>#</v>
      </c>
      <c r="P395" s="16" t="str">
        <f t="shared" si="2"/>
        <v>#videoGame</v>
      </c>
      <c r="R395" s="16" t="str">
        <f>"("""&amp;C395&amp;""") ("&amp;Vlookup(E395,DropDown!B:C,2,FALSE)&amp; " OR ""Video Game"" OR Playstation OR iOS OR PS4 OR PS5 OR Xbox OR Switch OR Swtich 2 OR PC)"</f>
        <v>#N/A</v>
      </c>
      <c r="S395" s="44" t="str">
        <f>"("""&amp;C395&amp;""") ("&amp;Vlookup(E395,DropDown!K:L,2,FALSE)&amp; " | ""Video Game"" | Playstation | iOS | PS4 | PS5 | Xbox | Switch | Switch 2 | PC)"</f>
        <v>#N/A</v>
      </c>
      <c r="T395" s="44"/>
      <c r="U395" s="44"/>
      <c r="V395" s="44"/>
      <c r="W395" s="44"/>
      <c r="X395" s="44"/>
      <c r="Z395" s="44"/>
    </row>
    <row r="396">
      <c r="A396" s="16"/>
      <c r="B396" s="16"/>
      <c r="E396" s="16"/>
      <c r="F396" s="16"/>
      <c r="G396" s="16"/>
      <c r="H396" s="16"/>
      <c r="I396" s="16"/>
      <c r="J396" s="16"/>
      <c r="K396" s="16"/>
      <c r="L396" s="16"/>
      <c r="M396" s="16"/>
      <c r="N396" s="5" t="s">
        <v>112</v>
      </c>
      <c r="O396" s="16" t="str">
        <f t="shared" si="1"/>
        <v>#</v>
      </c>
      <c r="P396" s="16" t="str">
        <f t="shared" si="2"/>
        <v>#videoGame</v>
      </c>
      <c r="R396" s="16" t="str">
        <f>"("""&amp;C396&amp;""") ("&amp;Vlookup(E396,DropDown!B:C,2,FALSE)&amp; " OR ""Video Game"" OR Playstation OR iOS OR PS4 OR PS5 OR Xbox OR Switch OR Swtich 2 OR PC)"</f>
        <v>#N/A</v>
      </c>
      <c r="S396" s="44" t="str">
        <f>"("""&amp;C396&amp;""") ("&amp;Vlookup(E396,DropDown!K:L,2,FALSE)&amp; " | ""Video Game"" | Playstation | iOS | PS4 | PS5 | Xbox | Switch | Switch 2 | PC)"</f>
        <v>#N/A</v>
      </c>
      <c r="T396" s="44"/>
      <c r="U396" s="44"/>
      <c r="V396" s="44"/>
      <c r="W396" s="44"/>
      <c r="X396" s="44"/>
      <c r="Z396" s="44"/>
    </row>
    <row r="397">
      <c r="A397" s="16"/>
      <c r="B397" s="16"/>
      <c r="E397" s="16"/>
      <c r="F397" s="16"/>
      <c r="G397" s="16"/>
      <c r="H397" s="16"/>
      <c r="I397" s="16"/>
      <c r="J397" s="16"/>
      <c r="K397" s="16"/>
      <c r="L397" s="16"/>
      <c r="M397" s="16"/>
      <c r="N397" s="5" t="s">
        <v>112</v>
      </c>
      <c r="O397" s="16" t="str">
        <f t="shared" si="1"/>
        <v>#</v>
      </c>
      <c r="P397" s="16" t="str">
        <f t="shared" si="2"/>
        <v>#videoGame</v>
      </c>
      <c r="R397" s="16" t="str">
        <f>"("""&amp;C397&amp;""") ("&amp;Vlookup(E397,DropDown!B:C,2,FALSE)&amp; " OR ""Video Game"" OR Playstation OR iOS OR PS4 OR PS5 OR Xbox OR Switch OR Swtich 2 OR PC)"</f>
        <v>#N/A</v>
      </c>
      <c r="S397" s="44" t="str">
        <f>"("""&amp;C397&amp;""") ("&amp;Vlookup(E397,DropDown!K:L,2,FALSE)&amp; " | ""Video Game"" | Playstation | iOS | PS4 | PS5 | Xbox | Switch | Switch 2 | PC)"</f>
        <v>#N/A</v>
      </c>
      <c r="T397" s="44"/>
      <c r="U397" s="44"/>
      <c r="V397" s="44"/>
      <c r="W397" s="44"/>
      <c r="X397" s="44"/>
      <c r="Z397" s="44"/>
    </row>
    <row r="398">
      <c r="A398" s="16"/>
      <c r="B398" s="16"/>
      <c r="E398" s="16"/>
      <c r="F398" s="16"/>
      <c r="G398" s="16"/>
      <c r="H398" s="16"/>
      <c r="I398" s="16"/>
      <c r="J398" s="16"/>
      <c r="K398" s="16"/>
      <c r="L398" s="16"/>
      <c r="M398" s="16"/>
      <c r="N398" s="5" t="s">
        <v>112</v>
      </c>
      <c r="O398" s="16" t="str">
        <f t="shared" si="1"/>
        <v>#</v>
      </c>
      <c r="P398" s="16" t="str">
        <f t="shared" si="2"/>
        <v>#videoGame</v>
      </c>
      <c r="R398" s="16" t="str">
        <f>"("""&amp;C398&amp;""") ("&amp;Vlookup(E398,DropDown!B:C,2,FALSE)&amp; " OR ""Video Game"" OR Playstation OR iOS OR PS4 OR PS5 OR Xbox OR Switch OR Swtich 2 OR PC)"</f>
        <v>#N/A</v>
      </c>
      <c r="S398" s="44" t="str">
        <f>"("""&amp;C398&amp;""") ("&amp;Vlookup(E398,DropDown!K:L,2,FALSE)&amp; " | ""Video Game"" | Playstation | iOS | PS4 | PS5 | Xbox | Switch | Switch 2 | PC)"</f>
        <v>#N/A</v>
      </c>
      <c r="T398" s="44"/>
      <c r="U398" s="44"/>
      <c r="V398" s="44"/>
      <c r="W398" s="44"/>
      <c r="X398" s="44"/>
      <c r="Z398" s="44"/>
    </row>
    <row r="399">
      <c r="A399" s="16"/>
      <c r="B399" s="16"/>
      <c r="E399" s="16"/>
      <c r="F399" s="16"/>
      <c r="G399" s="16"/>
      <c r="H399" s="16"/>
      <c r="I399" s="16"/>
      <c r="J399" s="16"/>
      <c r="K399" s="16"/>
      <c r="L399" s="16"/>
      <c r="M399" s="16"/>
      <c r="N399" s="5" t="s">
        <v>112</v>
      </c>
      <c r="O399" s="16" t="str">
        <f t="shared" si="1"/>
        <v>#</v>
      </c>
      <c r="P399" s="16" t="str">
        <f t="shared" si="2"/>
        <v>#videoGame</v>
      </c>
      <c r="R399" s="16" t="str">
        <f>"("""&amp;C399&amp;""") ("&amp;Vlookup(E399,DropDown!B:C,2,FALSE)&amp; " OR ""Video Game"" OR Playstation OR iOS OR PS4 OR PS5 OR Xbox OR Switch OR Swtich 2 OR PC)"</f>
        <v>#N/A</v>
      </c>
      <c r="S399" s="44" t="str">
        <f>"("""&amp;C399&amp;""") ("&amp;Vlookup(E399,DropDown!K:L,2,FALSE)&amp; " | ""Video Game"" | Playstation | iOS | PS4 | PS5 | Xbox | Switch | Switch 2 | PC)"</f>
        <v>#N/A</v>
      </c>
      <c r="T399" s="44"/>
      <c r="U399" s="44"/>
      <c r="V399" s="44"/>
      <c r="W399" s="44"/>
      <c r="X399" s="44"/>
      <c r="Z399" s="44"/>
    </row>
    <row r="400">
      <c r="A400" s="16"/>
      <c r="B400" s="16"/>
      <c r="E400" s="16"/>
      <c r="F400" s="16"/>
      <c r="G400" s="16"/>
      <c r="H400" s="16"/>
      <c r="I400" s="16"/>
      <c r="J400" s="16"/>
      <c r="K400" s="16"/>
      <c r="L400" s="16"/>
      <c r="M400" s="16"/>
      <c r="N400" s="5" t="s">
        <v>112</v>
      </c>
      <c r="O400" s="16" t="str">
        <f t="shared" si="1"/>
        <v>#</v>
      </c>
      <c r="P400" s="16" t="str">
        <f t="shared" si="2"/>
        <v>#videoGame</v>
      </c>
      <c r="R400" s="16" t="str">
        <f>"("""&amp;C400&amp;""") ("&amp;Vlookup(E400,DropDown!B:C,2,FALSE)&amp; " OR ""Video Game"" OR Playstation OR iOS OR PS4 OR PS5 OR Xbox OR Switch OR Swtich 2 OR PC)"</f>
        <v>#N/A</v>
      </c>
      <c r="S400" s="44" t="str">
        <f>"("""&amp;C400&amp;""") ("&amp;Vlookup(E400,DropDown!K:L,2,FALSE)&amp; " | ""Video Game"" | Playstation | iOS | PS4 | PS5 | Xbox | Switch | Switch 2 | PC)"</f>
        <v>#N/A</v>
      </c>
      <c r="T400" s="44"/>
      <c r="U400" s="44"/>
      <c r="V400" s="44"/>
      <c r="W400" s="44"/>
      <c r="X400" s="44"/>
      <c r="Z400" s="44"/>
    </row>
    <row r="401">
      <c r="A401" s="16"/>
      <c r="B401" s="16"/>
      <c r="E401" s="16"/>
      <c r="F401" s="16"/>
      <c r="G401" s="16"/>
      <c r="H401" s="16"/>
      <c r="I401" s="16"/>
      <c r="J401" s="16"/>
      <c r="K401" s="16"/>
      <c r="L401" s="16"/>
      <c r="M401" s="16"/>
      <c r="N401" s="5" t="s">
        <v>112</v>
      </c>
      <c r="O401" s="16" t="str">
        <f t="shared" si="1"/>
        <v>#</v>
      </c>
      <c r="P401" s="16" t="str">
        <f t="shared" si="2"/>
        <v>#videoGame</v>
      </c>
      <c r="R401" s="16" t="str">
        <f>"("""&amp;C401&amp;""") ("&amp;Vlookup(E401,DropDown!B:C,2,FALSE)&amp; " OR ""Video Game"" OR Playstation OR iOS OR PS4 OR PS5 OR Xbox OR Switch OR Swtich 2 OR PC)"</f>
        <v>#N/A</v>
      </c>
      <c r="S401" s="44" t="str">
        <f>"("""&amp;C401&amp;""") ("&amp;Vlookup(E401,DropDown!K:L,2,FALSE)&amp; " | ""Video Game"" | Playstation | iOS | PS4 | PS5 | Xbox | Switch | Switch 2 | PC)"</f>
        <v>#N/A</v>
      </c>
      <c r="T401" s="44"/>
      <c r="U401" s="44"/>
      <c r="V401" s="44"/>
      <c r="W401" s="44"/>
      <c r="X401" s="44"/>
      <c r="Z401" s="44"/>
    </row>
    <row r="402">
      <c r="A402" s="16"/>
      <c r="B402" s="16"/>
      <c r="E402" s="16"/>
      <c r="F402" s="16"/>
      <c r="G402" s="16"/>
      <c r="H402" s="16"/>
      <c r="I402" s="16"/>
      <c r="J402" s="16"/>
      <c r="K402" s="16"/>
      <c r="L402" s="16"/>
      <c r="M402" s="16"/>
      <c r="N402" s="5" t="s">
        <v>112</v>
      </c>
      <c r="O402" s="16" t="str">
        <f t="shared" si="1"/>
        <v>#</v>
      </c>
      <c r="P402" s="16" t="str">
        <f t="shared" si="2"/>
        <v>#videoGame</v>
      </c>
      <c r="R402" s="16" t="str">
        <f>"("""&amp;C402&amp;""") ("&amp;Vlookup(E402,DropDown!B:C,2,FALSE)&amp; " OR ""Video Game"" OR Playstation OR iOS OR PS4 OR PS5 OR Xbox OR Switch OR Swtich 2 OR PC)"</f>
        <v>#N/A</v>
      </c>
      <c r="S402" s="44" t="str">
        <f>"("""&amp;C402&amp;""") ("&amp;Vlookup(E402,DropDown!K:L,2,FALSE)&amp; " | ""Video Game"" | Playstation | iOS | PS4 | PS5 | Xbox | Switch | Switch 2 | PC)"</f>
        <v>#N/A</v>
      </c>
      <c r="T402" s="44"/>
      <c r="U402" s="44"/>
      <c r="V402" s="44"/>
      <c r="W402" s="44"/>
      <c r="X402" s="44"/>
      <c r="Z402" s="44"/>
    </row>
    <row r="403">
      <c r="A403" s="16"/>
      <c r="B403" s="16"/>
      <c r="E403" s="16"/>
      <c r="F403" s="16"/>
      <c r="G403" s="16"/>
      <c r="H403" s="16"/>
      <c r="I403" s="16"/>
      <c r="J403" s="16"/>
      <c r="K403" s="16"/>
      <c r="L403" s="16"/>
      <c r="M403" s="16"/>
      <c r="N403" s="5" t="s">
        <v>112</v>
      </c>
      <c r="O403" s="16" t="str">
        <f t="shared" si="1"/>
        <v>#</v>
      </c>
      <c r="P403" s="16" t="str">
        <f t="shared" si="2"/>
        <v>#videoGame</v>
      </c>
      <c r="R403" s="16" t="str">
        <f>"("""&amp;C403&amp;""") ("&amp;Vlookup(E403,DropDown!B:C,2,FALSE)&amp; " OR ""Video Game"" OR Playstation OR iOS OR PS4 OR PS5 OR Xbox OR Switch OR Swtich 2 OR PC)"</f>
        <v>#N/A</v>
      </c>
      <c r="S403" s="44" t="str">
        <f>"("""&amp;C403&amp;""") ("&amp;Vlookup(E403,DropDown!K:L,2,FALSE)&amp; " | ""Video Game"" | Playstation | iOS | PS4 | PS5 | Xbox | Switch | Switch 2 | PC)"</f>
        <v>#N/A</v>
      </c>
      <c r="T403" s="44"/>
      <c r="U403" s="44"/>
      <c r="V403" s="44"/>
      <c r="W403" s="44"/>
      <c r="X403" s="44"/>
      <c r="Z403" s="44"/>
    </row>
    <row r="404">
      <c r="A404" s="16"/>
      <c r="B404" s="16"/>
      <c r="E404" s="16"/>
      <c r="F404" s="16"/>
      <c r="G404" s="16"/>
      <c r="H404" s="16"/>
      <c r="I404" s="16"/>
      <c r="J404" s="16"/>
      <c r="K404" s="16"/>
      <c r="L404" s="16"/>
      <c r="M404" s="16"/>
      <c r="N404" s="5" t="s">
        <v>112</v>
      </c>
      <c r="O404" s="16" t="str">
        <f t="shared" si="1"/>
        <v>#</v>
      </c>
      <c r="P404" s="16" t="str">
        <f t="shared" si="2"/>
        <v>#videoGame</v>
      </c>
      <c r="R404" s="16" t="str">
        <f>"("""&amp;C404&amp;""") ("&amp;Vlookup(E404,DropDown!B:C,2,FALSE)&amp; " OR ""Video Game"" OR Playstation OR iOS OR PS4 OR PS5 OR Xbox OR Switch OR Swtich 2 OR PC)"</f>
        <v>#N/A</v>
      </c>
      <c r="S404" s="44" t="str">
        <f>"("""&amp;C404&amp;""") ("&amp;Vlookup(E404,DropDown!K:L,2,FALSE)&amp; " | ""Video Game"" | Playstation | iOS | PS4 | PS5 | Xbox | Switch | Switch 2 | PC)"</f>
        <v>#N/A</v>
      </c>
      <c r="T404" s="44"/>
      <c r="U404" s="44"/>
      <c r="V404" s="44"/>
      <c r="W404" s="44"/>
      <c r="X404" s="44"/>
      <c r="Z404" s="44"/>
    </row>
    <row r="405">
      <c r="A405" s="16"/>
      <c r="B405" s="16"/>
      <c r="E405" s="16"/>
      <c r="F405" s="16"/>
      <c r="G405" s="16"/>
      <c r="H405" s="16"/>
      <c r="I405" s="16"/>
      <c r="J405" s="16"/>
      <c r="K405" s="16"/>
      <c r="L405" s="16"/>
      <c r="M405" s="16"/>
      <c r="N405" s="5" t="s">
        <v>112</v>
      </c>
      <c r="O405" s="16" t="str">
        <f t="shared" si="1"/>
        <v>#</v>
      </c>
      <c r="P405" s="16" t="str">
        <f t="shared" si="2"/>
        <v>#videoGame</v>
      </c>
      <c r="R405" s="16" t="str">
        <f>"("""&amp;C405&amp;""") ("&amp;Vlookup(E405,DropDown!B:C,2,FALSE)&amp; " OR ""Video Game"" OR Playstation OR iOS OR PS4 OR PS5 OR Xbox OR Switch OR Swtich 2 OR PC)"</f>
        <v>#N/A</v>
      </c>
      <c r="S405" s="44" t="str">
        <f>"("""&amp;C405&amp;""") ("&amp;Vlookup(E405,DropDown!K:L,2,FALSE)&amp; " | ""Video Game"" | Playstation | iOS | PS4 | PS5 | Xbox | Switch | Switch 2 | PC)"</f>
        <v>#N/A</v>
      </c>
      <c r="T405" s="44"/>
      <c r="U405" s="44"/>
      <c r="V405" s="44"/>
      <c r="W405" s="44"/>
      <c r="X405" s="44"/>
      <c r="Z405" s="44"/>
    </row>
    <row r="406">
      <c r="A406" s="16"/>
      <c r="B406" s="16"/>
      <c r="E406" s="16"/>
      <c r="F406" s="16"/>
      <c r="G406" s="16"/>
      <c r="H406" s="16"/>
      <c r="I406" s="16"/>
      <c r="J406" s="16"/>
      <c r="K406" s="16"/>
      <c r="L406" s="16"/>
      <c r="M406" s="16"/>
      <c r="N406" s="5" t="s">
        <v>112</v>
      </c>
      <c r="O406" s="16" t="str">
        <f t="shared" si="1"/>
        <v>#</v>
      </c>
      <c r="P406" s="16" t="str">
        <f t="shared" si="2"/>
        <v>#videoGame</v>
      </c>
      <c r="R406" s="16" t="str">
        <f>"("""&amp;C406&amp;""") ("&amp;Vlookup(E406,DropDown!B:C,2,FALSE)&amp; " OR ""Video Game"" OR Playstation OR iOS OR PS4 OR PS5 OR Xbox OR Switch OR Swtich 2 OR PC)"</f>
        <v>#N/A</v>
      </c>
      <c r="S406" s="44" t="str">
        <f>"("""&amp;C406&amp;""") ("&amp;Vlookup(E406,DropDown!K:L,2,FALSE)&amp; " | ""Video Game"" | Playstation | iOS | PS4 | PS5 | Xbox | Switch | Switch 2 | PC)"</f>
        <v>#N/A</v>
      </c>
      <c r="T406" s="44"/>
      <c r="U406" s="44"/>
      <c r="V406" s="44"/>
      <c r="W406" s="44"/>
      <c r="X406" s="44"/>
      <c r="Z406" s="44"/>
    </row>
    <row r="407">
      <c r="A407" s="16"/>
      <c r="B407" s="16"/>
      <c r="E407" s="16"/>
      <c r="F407" s="16"/>
      <c r="G407" s="16"/>
      <c r="H407" s="16"/>
      <c r="I407" s="16"/>
      <c r="J407" s="16"/>
      <c r="K407" s="16"/>
      <c r="L407" s="16"/>
      <c r="M407" s="16"/>
      <c r="N407" s="5" t="s">
        <v>112</v>
      </c>
      <c r="O407" s="16" t="str">
        <f t="shared" si="1"/>
        <v>#</v>
      </c>
      <c r="P407" s="16" t="str">
        <f t="shared" si="2"/>
        <v>#videoGame</v>
      </c>
      <c r="R407" s="16" t="str">
        <f>"("""&amp;C407&amp;""") ("&amp;Vlookup(E407,DropDown!B:C,2,FALSE)&amp; " OR ""Video Game"" OR Playstation OR iOS OR PS4 OR PS5 OR Xbox OR Switch OR Swtich 2 OR PC)"</f>
        <v>#N/A</v>
      </c>
      <c r="S407" s="44" t="str">
        <f>"("""&amp;C407&amp;""") ("&amp;Vlookup(E407,DropDown!K:L,2,FALSE)&amp; " | ""Video Game"" | Playstation | iOS | PS4 | PS5 | Xbox | Switch | Switch 2 | PC)"</f>
        <v>#N/A</v>
      </c>
      <c r="T407" s="44"/>
      <c r="U407" s="44"/>
      <c r="V407" s="44"/>
      <c r="W407" s="44"/>
      <c r="X407" s="44"/>
      <c r="Z407" s="44"/>
    </row>
    <row r="408">
      <c r="A408" s="16"/>
      <c r="B408" s="16"/>
      <c r="E408" s="16"/>
      <c r="F408" s="16"/>
      <c r="G408" s="16"/>
      <c r="H408" s="16"/>
      <c r="I408" s="16"/>
      <c r="J408" s="16"/>
      <c r="K408" s="16"/>
      <c r="L408" s="16"/>
      <c r="M408" s="16"/>
      <c r="N408" s="5" t="s">
        <v>112</v>
      </c>
      <c r="O408" s="16" t="str">
        <f t="shared" si="1"/>
        <v>#</v>
      </c>
      <c r="P408" s="16" t="str">
        <f t="shared" si="2"/>
        <v>#videoGame</v>
      </c>
      <c r="R408" s="16" t="str">
        <f>"("""&amp;C408&amp;""") ("&amp;Vlookup(E408,DropDown!B:C,2,FALSE)&amp; " OR ""Video Game"" OR Playstation OR iOS OR PS4 OR PS5 OR Xbox OR Switch OR Swtich 2 OR PC)"</f>
        <v>#N/A</v>
      </c>
      <c r="S408" s="44" t="str">
        <f>"("""&amp;C408&amp;""") ("&amp;Vlookup(E408,DropDown!K:L,2,FALSE)&amp; " | ""Video Game"" | Playstation | iOS | PS4 | PS5 | Xbox | Switch | Switch 2 | PC)"</f>
        <v>#N/A</v>
      </c>
      <c r="T408" s="44"/>
      <c r="U408" s="44"/>
      <c r="V408" s="44"/>
      <c r="W408" s="44"/>
      <c r="X408" s="44"/>
      <c r="Z408" s="44"/>
    </row>
    <row r="409">
      <c r="A409" s="16"/>
      <c r="B409" s="16"/>
      <c r="E409" s="16"/>
      <c r="F409" s="16"/>
      <c r="G409" s="16"/>
      <c r="H409" s="16"/>
      <c r="I409" s="16"/>
      <c r="J409" s="16"/>
      <c r="K409" s="16"/>
      <c r="L409" s="16"/>
      <c r="M409" s="16"/>
      <c r="N409" s="5" t="s">
        <v>112</v>
      </c>
      <c r="O409" s="16" t="str">
        <f t="shared" si="1"/>
        <v>#</v>
      </c>
      <c r="P409" s="16" t="str">
        <f t="shared" si="2"/>
        <v>#videoGame</v>
      </c>
      <c r="R409" s="16" t="str">
        <f>"("""&amp;C409&amp;""") ("&amp;Vlookup(E409,DropDown!B:C,2,FALSE)&amp; " OR ""Video Game"" OR Playstation OR iOS OR PS4 OR PS5 OR Xbox OR Switch OR Swtich 2 OR PC)"</f>
        <v>#N/A</v>
      </c>
      <c r="S409" s="44" t="str">
        <f>"("""&amp;C409&amp;""") ("&amp;Vlookup(E409,DropDown!K:L,2,FALSE)&amp; " | ""Video Game"" | Playstation | iOS | PS4 | PS5 | Xbox | Switch | Switch 2 | PC)"</f>
        <v>#N/A</v>
      </c>
      <c r="T409" s="44"/>
      <c r="U409" s="44"/>
      <c r="V409" s="44"/>
      <c r="W409" s="44"/>
      <c r="X409" s="44"/>
      <c r="Z409" s="44"/>
    </row>
    <row r="410">
      <c r="A410" s="16"/>
      <c r="B410" s="16"/>
      <c r="E410" s="16"/>
      <c r="F410" s="16"/>
      <c r="G410" s="16"/>
      <c r="H410" s="16"/>
      <c r="I410" s="16"/>
      <c r="J410" s="16"/>
      <c r="K410" s="16"/>
      <c r="L410" s="16"/>
      <c r="M410" s="16"/>
      <c r="N410" s="5" t="s">
        <v>112</v>
      </c>
      <c r="O410" s="16" t="str">
        <f t="shared" si="1"/>
        <v>#</v>
      </c>
      <c r="P410" s="16" t="str">
        <f t="shared" si="2"/>
        <v>#videoGame</v>
      </c>
      <c r="R410" s="16" t="str">
        <f>"("""&amp;C410&amp;""") ("&amp;Vlookup(E410,DropDown!B:C,2,FALSE)&amp; " OR ""Video Game"" OR Playstation OR iOS OR PS4 OR PS5 OR Xbox OR Switch OR Swtich 2 OR PC)"</f>
        <v>#N/A</v>
      </c>
      <c r="S410" s="44" t="str">
        <f>"("""&amp;C410&amp;""") ("&amp;Vlookup(E410,DropDown!K:L,2,FALSE)&amp; " | ""Video Game"" | Playstation | iOS | PS4 | PS5 | Xbox | Switch | Switch 2 | PC)"</f>
        <v>#N/A</v>
      </c>
      <c r="T410" s="44"/>
      <c r="U410" s="44"/>
      <c r="V410" s="44"/>
      <c r="W410" s="44"/>
      <c r="X410" s="44"/>
      <c r="Z410" s="44"/>
    </row>
    <row r="411">
      <c r="A411" s="16"/>
      <c r="B411" s="16"/>
      <c r="E411" s="16"/>
      <c r="F411" s="16"/>
      <c r="G411" s="16"/>
      <c r="H411" s="16"/>
      <c r="I411" s="16"/>
      <c r="J411" s="16"/>
      <c r="K411" s="16"/>
      <c r="L411" s="16"/>
      <c r="M411" s="16"/>
      <c r="N411" s="5" t="s">
        <v>112</v>
      </c>
      <c r="O411" s="16" t="str">
        <f t="shared" si="1"/>
        <v>#</v>
      </c>
      <c r="P411" s="16" t="str">
        <f t="shared" si="2"/>
        <v>#videoGame</v>
      </c>
      <c r="R411" s="16" t="str">
        <f>"("""&amp;C411&amp;""") ("&amp;Vlookup(E411,DropDown!B:C,2,FALSE)&amp; " OR ""Video Game"" OR Playstation OR iOS OR PS4 OR PS5 OR Xbox OR Switch OR Swtich 2 OR PC)"</f>
        <v>#N/A</v>
      </c>
      <c r="S411" s="44" t="str">
        <f>"("""&amp;C411&amp;""") ("&amp;Vlookup(E411,DropDown!K:L,2,FALSE)&amp; " | ""Video Game"" | Playstation | iOS | PS4 | PS5 | Xbox | Switch | Switch 2 | PC)"</f>
        <v>#N/A</v>
      </c>
      <c r="T411" s="44"/>
      <c r="U411" s="44"/>
      <c r="V411" s="44"/>
      <c r="W411" s="44"/>
      <c r="X411" s="44"/>
      <c r="Z411" s="44"/>
    </row>
    <row r="412">
      <c r="A412" s="16"/>
      <c r="B412" s="16"/>
      <c r="E412" s="16"/>
      <c r="F412" s="16"/>
      <c r="G412" s="16"/>
      <c r="H412" s="16"/>
      <c r="I412" s="16"/>
      <c r="J412" s="16"/>
      <c r="K412" s="16"/>
      <c r="L412" s="16"/>
      <c r="M412" s="16"/>
      <c r="N412" s="5" t="s">
        <v>112</v>
      </c>
      <c r="O412" s="16" t="str">
        <f t="shared" si="1"/>
        <v>#</v>
      </c>
      <c r="P412" s="16" t="str">
        <f t="shared" si="2"/>
        <v>#videoGame</v>
      </c>
      <c r="R412" s="16" t="str">
        <f>"("""&amp;C412&amp;""") ("&amp;Vlookup(E412,DropDown!B:C,2,FALSE)&amp; " OR ""Video Game"" OR Playstation OR iOS OR PS4 OR PS5 OR Xbox OR Switch OR Swtich 2 OR PC)"</f>
        <v>#N/A</v>
      </c>
      <c r="S412" s="44" t="str">
        <f>"("""&amp;C412&amp;""") ("&amp;Vlookup(E412,DropDown!K:L,2,FALSE)&amp; " | ""Video Game"" | Playstation | iOS | PS4 | PS5 | Xbox | Switch | Switch 2 | PC)"</f>
        <v>#N/A</v>
      </c>
      <c r="T412" s="44"/>
      <c r="U412" s="44"/>
      <c r="V412" s="44"/>
      <c r="W412" s="44"/>
      <c r="X412" s="44"/>
      <c r="Z412" s="44"/>
    </row>
    <row r="413">
      <c r="A413" s="16"/>
      <c r="B413" s="16"/>
      <c r="E413" s="16"/>
      <c r="F413" s="16"/>
      <c r="G413" s="16"/>
      <c r="H413" s="16"/>
      <c r="I413" s="16"/>
      <c r="J413" s="16"/>
      <c r="K413" s="16"/>
      <c r="L413" s="16"/>
      <c r="M413" s="16"/>
      <c r="N413" s="5" t="s">
        <v>112</v>
      </c>
      <c r="O413" s="16" t="str">
        <f t="shared" si="1"/>
        <v>#</v>
      </c>
      <c r="P413" s="16" t="str">
        <f t="shared" si="2"/>
        <v>#videoGame</v>
      </c>
      <c r="R413" s="16" t="str">
        <f>"("""&amp;C413&amp;""") ("&amp;Vlookup(E413,DropDown!B:C,2,FALSE)&amp; " OR ""Video Game"" OR Playstation OR iOS OR PS4 OR PS5 OR Xbox OR Switch OR Swtich 2 OR PC)"</f>
        <v>#N/A</v>
      </c>
      <c r="S413" s="44" t="str">
        <f>"("""&amp;C413&amp;""") ("&amp;Vlookup(E413,DropDown!K:L,2,FALSE)&amp; " | ""Video Game"" | Playstation | iOS | PS4 | PS5 | Xbox | Switch | Switch 2 | PC)"</f>
        <v>#N/A</v>
      </c>
      <c r="T413" s="44"/>
      <c r="U413" s="44"/>
      <c r="V413" s="44"/>
      <c r="W413" s="44"/>
      <c r="X413" s="44"/>
      <c r="Z413" s="44"/>
    </row>
    <row r="414">
      <c r="A414" s="16"/>
      <c r="B414" s="16"/>
      <c r="E414" s="16"/>
      <c r="F414" s="16"/>
      <c r="G414" s="16"/>
      <c r="H414" s="16"/>
      <c r="I414" s="16"/>
      <c r="J414" s="16"/>
      <c r="K414" s="16"/>
      <c r="L414" s="16"/>
      <c r="M414" s="16"/>
      <c r="N414" s="5" t="s">
        <v>112</v>
      </c>
      <c r="O414" s="16" t="str">
        <f t="shared" si="1"/>
        <v>#</v>
      </c>
      <c r="P414" s="16" t="str">
        <f t="shared" si="2"/>
        <v>#videoGame</v>
      </c>
      <c r="R414" s="16" t="str">
        <f>"("""&amp;C414&amp;""") ("&amp;Vlookup(E414,DropDown!B:C,2,FALSE)&amp; " OR ""Video Game"" OR Playstation OR iOS OR PS4 OR PS5 OR Xbox OR Switch OR Swtich 2 OR PC)"</f>
        <v>#N/A</v>
      </c>
      <c r="S414" s="44" t="str">
        <f>"("""&amp;C414&amp;""") ("&amp;Vlookup(E414,DropDown!K:L,2,FALSE)&amp; " | ""Video Game"" | Playstation | iOS | PS4 | PS5 | Xbox | Switch | Switch 2 | PC)"</f>
        <v>#N/A</v>
      </c>
      <c r="T414" s="44"/>
      <c r="U414" s="44"/>
      <c r="V414" s="44"/>
      <c r="W414" s="44"/>
      <c r="X414" s="44"/>
      <c r="Z414" s="44"/>
    </row>
    <row r="415">
      <c r="A415" s="16"/>
      <c r="B415" s="16"/>
      <c r="E415" s="16"/>
      <c r="F415" s="16"/>
      <c r="G415" s="16"/>
      <c r="H415" s="16"/>
      <c r="I415" s="16"/>
      <c r="J415" s="16"/>
      <c r="K415" s="16"/>
      <c r="L415" s="16"/>
      <c r="M415" s="16"/>
      <c r="N415" s="5" t="s">
        <v>112</v>
      </c>
      <c r="O415" s="16" t="str">
        <f t="shared" si="1"/>
        <v>#</v>
      </c>
      <c r="P415" s="16" t="str">
        <f t="shared" si="2"/>
        <v>#videoGame</v>
      </c>
      <c r="R415" s="16" t="str">
        <f>"("""&amp;C415&amp;""") ("&amp;Vlookup(E415,DropDown!B:C,2,FALSE)&amp; " OR ""Video Game"" OR Playstation OR iOS OR PS4 OR PS5 OR Xbox OR Switch OR Swtich 2 OR PC)"</f>
        <v>#N/A</v>
      </c>
      <c r="S415" s="44" t="str">
        <f>"("""&amp;C415&amp;""") ("&amp;Vlookup(E415,DropDown!K:L,2,FALSE)&amp; " | ""Video Game"" | Playstation | iOS | PS4 | PS5 | Xbox | Switch | Switch 2 | PC)"</f>
        <v>#N/A</v>
      </c>
      <c r="T415" s="44"/>
      <c r="U415" s="44"/>
      <c r="V415" s="44"/>
      <c r="W415" s="44"/>
      <c r="X415" s="44"/>
      <c r="Z415" s="44"/>
    </row>
    <row r="416">
      <c r="A416" s="16"/>
      <c r="B416" s="16"/>
      <c r="E416" s="16"/>
      <c r="F416" s="16"/>
      <c r="G416" s="16"/>
      <c r="H416" s="16"/>
      <c r="I416" s="16"/>
      <c r="J416" s="16"/>
      <c r="K416" s="16"/>
      <c r="L416" s="16"/>
      <c r="M416" s="16"/>
      <c r="N416" s="5" t="s">
        <v>112</v>
      </c>
      <c r="O416" s="16" t="str">
        <f t="shared" si="1"/>
        <v>#</v>
      </c>
      <c r="P416" s="16" t="str">
        <f t="shared" si="2"/>
        <v>#videoGame</v>
      </c>
      <c r="R416" s="16" t="str">
        <f>"("""&amp;C416&amp;""") ("&amp;Vlookup(E416,DropDown!B:C,2,FALSE)&amp; " OR ""Video Game"" OR Playstation OR iOS OR PS4 OR PS5 OR Xbox OR Switch OR Swtich 2 OR PC)"</f>
        <v>#N/A</v>
      </c>
      <c r="S416" s="44" t="str">
        <f>"("""&amp;C416&amp;""") ("&amp;Vlookup(E416,DropDown!K:L,2,FALSE)&amp; " | ""Video Game"" | Playstation | iOS | PS4 | PS5 | Xbox | Switch | Switch 2 | PC)"</f>
        <v>#N/A</v>
      </c>
      <c r="T416" s="44"/>
      <c r="U416" s="44"/>
      <c r="V416" s="44"/>
      <c r="W416" s="44"/>
      <c r="X416" s="44"/>
      <c r="Z416" s="44"/>
    </row>
    <row r="417">
      <c r="A417" s="16"/>
      <c r="B417" s="16"/>
      <c r="E417" s="16"/>
      <c r="F417" s="16"/>
      <c r="G417" s="16"/>
      <c r="H417" s="16"/>
      <c r="I417" s="16"/>
      <c r="J417" s="16"/>
      <c r="K417" s="16"/>
      <c r="L417" s="16"/>
      <c r="M417" s="16"/>
      <c r="N417" s="5" t="s">
        <v>112</v>
      </c>
      <c r="O417" s="16" t="str">
        <f t="shared" si="1"/>
        <v>#</v>
      </c>
      <c r="P417" s="16" t="str">
        <f t="shared" si="2"/>
        <v>#videoGame</v>
      </c>
      <c r="R417" s="16" t="str">
        <f>"("""&amp;C417&amp;""") ("&amp;Vlookup(E417,DropDown!B:C,2,FALSE)&amp; " OR ""Video Game"" OR Playstation OR iOS OR PS4 OR PS5 OR Xbox OR Switch OR Swtich 2 OR PC)"</f>
        <v>#N/A</v>
      </c>
      <c r="S417" s="44" t="str">
        <f>"("""&amp;C417&amp;""") ("&amp;Vlookup(E417,DropDown!K:L,2,FALSE)&amp; " | ""Video Game"" | Playstation | iOS | PS4 | PS5 | Xbox | Switch | Switch 2 | PC)"</f>
        <v>#N/A</v>
      </c>
      <c r="T417" s="44"/>
      <c r="U417" s="44"/>
      <c r="V417" s="44"/>
      <c r="W417" s="44"/>
      <c r="X417" s="44"/>
      <c r="Z417" s="44"/>
    </row>
    <row r="418">
      <c r="A418" s="16"/>
      <c r="B418" s="16"/>
      <c r="E418" s="16"/>
      <c r="F418" s="16"/>
      <c r="G418" s="16"/>
      <c r="H418" s="16"/>
      <c r="I418" s="16"/>
      <c r="J418" s="16"/>
      <c r="K418" s="16"/>
      <c r="L418" s="16"/>
      <c r="M418" s="16"/>
      <c r="N418" s="5" t="s">
        <v>112</v>
      </c>
      <c r="O418" s="16" t="str">
        <f t="shared" si="1"/>
        <v>#</v>
      </c>
      <c r="P418" s="16" t="str">
        <f t="shared" si="2"/>
        <v>#videoGame</v>
      </c>
      <c r="R418" s="16" t="str">
        <f>"("""&amp;C418&amp;""") ("&amp;Vlookup(E418,DropDown!B:C,2,FALSE)&amp; " OR ""Video Game"" OR Playstation OR iOS OR PS4 OR PS5 OR Xbox OR Switch OR Swtich 2 OR PC)"</f>
        <v>#N/A</v>
      </c>
      <c r="S418" s="44" t="str">
        <f>"("""&amp;C418&amp;""") ("&amp;Vlookup(E418,DropDown!K:L,2,FALSE)&amp; " | ""Video Game"" | Playstation | iOS | PS4 | PS5 | Xbox | Switch | Switch 2 | PC)"</f>
        <v>#N/A</v>
      </c>
      <c r="T418" s="44"/>
      <c r="U418" s="44"/>
      <c r="V418" s="44"/>
      <c r="W418" s="44"/>
      <c r="X418" s="44"/>
      <c r="Z418" s="44"/>
    </row>
    <row r="419">
      <c r="A419" s="16"/>
      <c r="B419" s="16"/>
      <c r="E419" s="16"/>
      <c r="F419" s="16"/>
      <c r="G419" s="16"/>
      <c r="H419" s="16"/>
      <c r="I419" s="16"/>
      <c r="J419" s="16"/>
      <c r="K419" s="16"/>
      <c r="L419" s="16"/>
      <c r="M419" s="16"/>
      <c r="N419" s="5" t="s">
        <v>112</v>
      </c>
      <c r="O419" s="16" t="str">
        <f t="shared" si="1"/>
        <v>#</v>
      </c>
      <c r="P419" s="16" t="str">
        <f t="shared" si="2"/>
        <v>#videoGame</v>
      </c>
      <c r="R419" s="16" t="str">
        <f>"("""&amp;C419&amp;""") ("&amp;Vlookup(E419,DropDown!B:C,2,FALSE)&amp; " OR ""Video Game"" OR Playstation OR iOS OR PS4 OR PS5 OR Xbox OR Switch OR Swtich 2 OR PC)"</f>
        <v>#N/A</v>
      </c>
      <c r="S419" s="44" t="str">
        <f>"("""&amp;C419&amp;""") ("&amp;Vlookup(E419,DropDown!K:L,2,FALSE)&amp; " | ""Video Game"" | Playstation | iOS | PS4 | PS5 | Xbox | Switch | Switch 2 | PC)"</f>
        <v>#N/A</v>
      </c>
      <c r="T419" s="44"/>
      <c r="U419" s="44"/>
      <c r="V419" s="44"/>
      <c r="W419" s="44"/>
      <c r="X419" s="44"/>
      <c r="Z419" s="44"/>
    </row>
    <row r="420">
      <c r="A420" s="16"/>
      <c r="B420" s="16"/>
      <c r="E420" s="16"/>
      <c r="F420" s="16"/>
      <c r="G420" s="16"/>
      <c r="H420" s="16"/>
      <c r="I420" s="16"/>
      <c r="J420" s="16"/>
      <c r="K420" s="16"/>
      <c r="L420" s="16"/>
      <c r="M420" s="16"/>
      <c r="N420" s="5" t="s">
        <v>112</v>
      </c>
      <c r="O420" s="16" t="str">
        <f t="shared" si="1"/>
        <v>#</v>
      </c>
      <c r="P420" s="16" t="str">
        <f t="shared" si="2"/>
        <v>#videoGame</v>
      </c>
      <c r="R420" s="16" t="str">
        <f>"("""&amp;C420&amp;""") ("&amp;Vlookup(E420,DropDown!B:C,2,FALSE)&amp; " OR ""Video Game"" OR Playstation OR iOS OR PS4 OR PS5 OR Xbox OR Switch OR Swtich 2 OR PC)"</f>
        <v>#N/A</v>
      </c>
      <c r="S420" s="44" t="str">
        <f>"("""&amp;C420&amp;""") ("&amp;Vlookup(E420,DropDown!K:L,2,FALSE)&amp; " | ""Video Game"" | Playstation | iOS | PS4 | PS5 | Xbox | Switch | Switch 2 | PC)"</f>
        <v>#N/A</v>
      </c>
      <c r="T420" s="44"/>
      <c r="U420" s="44"/>
      <c r="V420" s="44"/>
      <c r="W420" s="44"/>
      <c r="X420" s="44"/>
      <c r="Z420" s="44"/>
    </row>
    <row r="421">
      <c r="A421" s="16"/>
      <c r="B421" s="16"/>
      <c r="E421" s="16"/>
      <c r="F421" s="16"/>
      <c r="G421" s="16"/>
      <c r="H421" s="16"/>
      <c r="I421" s="16"/>
      <c r="J421" s="16"/>
      <c r="K421" s="16"/>
      <c r="L421" s="16"/>
      <c r="M421" s="16"/>
      <c r="N421" s="5" t="s">
        <v>112</v>
      </c>
      <c r="O421" s="16" t="str">
        <f t="shared" si="1"/>
        <v>#</v>
      </c>
      <c r="P421" s="16" t="str">
        <f t="shared" si="2"/>
        <v>#videoGame</v>
      </c>
      <c r="R421" s="16" t="str">
        <f>"("""&amp;C421&amp;""") ("&amp;Vlookup(E421,DropDown!B:C,2,FALSE)&amp; " OR ""Video Game"" OR Playstation OR iOS OR PS4 OR PS5 OR Xbox OR Switch OR Swtich 2 OR PC)"</f>
        <v>#N/A</v>
      </c>
      <c r="S421" s="44" t="str">
        <f>"("""&amp;C421&amp;""") ("&amp;Vlookup(E421,DropDown!K:L,2,FALSE)&amp; " | ""Video Game"" | Playstation | iOS | PS4 | PS5 | Xbox | Switch | Switch 2 | PC)"</f>
        <v>#N/A</v>
      </c>
      <c r="T421" s="44"/>
      <c r="U421" s="44"/>
      <c r="V421" s="44"/>
      <c r="W421" s="44"/>
      <c r="X421" s="44"/>
      <c r="Z421" s="44"/>
    </row>
    <row r="422">
      <c r="A422" s="16"/>
      <c r="B422" s="16"/>
      <c r="E422" s="16"/>
      <c r="F422" s="16"/>
      <c r="G422" s="16"/>
      <c r="H422" s="16"/>
      <c r="I422" s="16"/>
      <c r="J422" s="16"/>
      <c r="K422" s="16"/>
      <c r="L422" s="16"/>
      <c r="M422" s="16"/>
      <c r="N422" s="5" t="s">
        <v>112</v>
      </c>
      <c r="O422" s="16" t="str">
        <f t="shared" si="1"/>
        <v>#</v>
      </c>
      <c r="P422" s="16" t="str">
        <f t="shared" si="2"/>
        <v>#videoGame</v>
      </c>
      <c r="R422" s="16" t="str">
        <f>"("""&amp;C422&amp;""") ("&amp;Vlookup(E422,DropDown!B:C,2,FALSE)&amp; " OR ""Video Game"" OR Playstation OR iOS OR PS4 OR PS5 OR Xbox OR Switch OR Swtich 2 OR PC)"</f>
        <v>#N/A</v>
      </c>
      <c r="S422" s="44" t="str">
        <f>"("""&amp;C422&amp;""") ("&amp;Vlookup(E422,DropDown!K:L,2,FALSE)&amp; " | ""Video Game"" | Playstation | iOS | PS4 | PS5 | Xbox | Switch | Switch 2 | PC)"</f>
        <v>#N/A</v>
      </c>
      <c r="T422" s="44"/>
      <c r="U422" s="44"/>
      <c r="V422" s="44"/>
      <c r="W422" s="44"/>
      <c r="X422" s="44"/>
      <c r="Z422" s="44"/>
    </row>
    <row r="423">
      <c r="A423" s="16"/>
      <c r="B423" s="16"/>
      <c r="E423" s="16"/>
      <c r="F423" s="16"/>
      <c r="G423" s="16"/>
      <c r="H423" s="16"/>
      <c r="I423" s="16"/>
      <c r="J423" s="16"/>
      <c r="K423" s="16"/>
      <c r="L423" s="16"/>
      <c r="M423" s="16"/>
      <c r="N423" s="5" t="s">
        <v>112</v>
      </c>
      <c r="O423" s="16" t="str">
        <f t="shared" si="1"/>
        <v>#</v>
      </c>
      <c r="P423" s="16" t="str">
        <f t="shared" si="2"/>
        <v>#videoGame</v>
      </c>
      <c r="R423" s="16" t="str">
        <f>"("""&amp;C423&amp;""") ("&amp;Vlookup(E423,DropDown!B:C,2,FALSE)&amp; " OR ""Video Game"" OR Playstation OR iOS OR PS4 OR PS5 OR Xbox OR Switch OR Swtich 2 OR PC)"</f>
        <v>#N/A</v>
      </c>
      <c r="S423" s="44" t="str">
        <f>"("""&amp;C423&amp;""") ("&amp;Vlookup(E423,DropDown!K:L,2,FALSE)&amp; " | ""Video Game"" | Playstation | iOS | PS4 | PS5 | Xbox | Switch | Switch 2 | PC)"</f>
        <v>#N/A</v>
      </c>
      <c r="T423" s="44"/>
      <c r="U423" s="44"/>
      <c r="V423" s="44"/>
      <c r="W423" s="44"/>
      <c r="X423" s="44"/>
      <c r="Z423" s="44"/>
    </row>
    <row r="424">
      <c r="A424" s="16"/>
      <c r="B424" s="16"/>
      <c r="E424" s="16"/>
      <c r="F424" s="16"/>
      <c r="G424" s="16"/>
      <c r="H424" s="16"/>
      <c r="I424" s="16"/>
      <c r="J424" s="16"/>
      <c r="K424" s="16"/>
      <c r="L424" s="16"/>
      <c r="M424" s="16"/>
      <c r="N424" s="5" t="s">
        <v>112</v>
      </c>
      <c r="O424" s="16" t="str">
        <f t="shared" si="1"/>
        <v>#</v>
      </c>
      <c r="P424" s="16" t="str">
        <f t="shared" si="2"/>
        <v>#videoGame</v>
      </c>
      <c r="R424" s="16" t="str">
        <f>"("""&amp;C424&amp;""") ("&amp;Vlookup(E424,DropDown!B:C,2,FALSE)&amp; " OR ""Video Game"" OR Playstation OR iOS OR PS4 OR PS5 OR Xbox OR Switch OR Swtich 2 OR PC)"</f>
        <v>#N/A</v>
      </c>
      <c r="S424" s="44" t="str">
        <f>"("""&amp;C424&amp;""") ("&amp;Vlookup(E424,DropDown!K:L,2,FALSE)&amp; " | ""Video Game"" | Playstation | iOS | PS4 | PS5 | Xbox | Switch | Switch 2 | PC)"</f>
        <v>#N/A</v>
      </c>
      <c r="T424" s="44"/>
      <c r="U424" s="44"/>
      <c r="V424" s="44"/>
      <c r="W424" s="44"/>
      <c r="X424" s="44"/>
      <c r="Z424" s="44"/>
    </row>
    <row r="425">
      <c r="A425" s="16"/>
      <c r="B425" s="16"/>
      <c r="E425" s="16"/>
      <c r="F425" s="16"/>
      <c r="G425" s="16"/>
      <c r="H425" s="16"/>
      <c r="I425" s="16"/>
      <c r="J425" s="16"/>
      <c r="K425" s="16"/>
      <c r="L425" s="16"/>
      <c r="M425" s="16"/>
      <c r="N425" s="5" t="s">
        <v>112</v>
      </c>
      <c r="O425" s="16" t="str">
        <f t="shared" si="1"/>
        <v>#</v>
      </c>
      <c r="P425" s="16" t="str">
        <f t="shared" si="2"/>
        <v>#videoGame</v>
      </c>
      <c r="R425" s="16" t="str">
        <f>"("""&amp;C425&amp;""") ("&amp;Vlookup(E425,DropDown!B:C,2,FALSE)&amp; " OR ""Video Game"" OR Playstation OR iOS OR PS4 OR PS5 OR Xbox OR Switch OR Swtich 2 OR PC)"</f>
        <v>#N/A</v>
      </c>
      <c r="S425" s="44" t="str">
        <f>"("""&amp;C425&amp;""") ("&amp;Vlookup(E425,DropDown!K:L,2,FALSE)&amp; " | ""Video Game"" | Playstation | iOS | PS4 | PS5 | Xbox | Switch | Switch 2 | PC)"</f>
        <v>#N/A</v>
      </c>
      <c r="T425" s="44"/>
      <c r="U425" s="44"/>
      <c r="V425" s="44"/>
      <c r="W425" s="44"/>
      <c r="X425" s="44"/>
      <c r="Z425" s="44"/>
    </row>
    <row r="426">
      <c r="A426" s="16"/>
      <c r="B426" s="16"/>
      <c r="E426" s="16"/>
      <c r="F426" s="16"/>
      <c r="G426" s="16"/>
      <c r="H426" s="16"/>
      <c r="I426" s="16"/>
      <c r="J426" s="16"/>
      <c r="K426" s="16"/>
      <c r="L426" s="16"/>
      <c r="M426" s="16"/>
      <c r="N426" s="5" t="s">
        <v>112</v>
      </c>
      <c r="O426" s="16" t="str">
        <f t="shared" si="1"/>
        <v>#</v>
      </c>
      <c r="P426" s="16" t="str">
        <f t="shared" si="2"/>
        <v>#videoGame</v>
      </c>
      <c r="R426" s="16" t="str">
        <f>"("""&amp;C426&amp;""") ("&amp;Vlookup(E426,DropDown!B:C,2,FALSE)&amp; " OR ""Video Game"" OR Playstation OR iOS OR PS4 OR PS5 OR Xbox OR Switch OR Swtich 2 OR PC)"</f>
        <v>#N/A</v>
      </c>
      <c r="S426" s="44" t="str">
        <f>"("""&amp;C426&amp;""") ("&amp;Vlookup(E426,DropDown!K:L,2,FALSE)&amp; " | ""Video Game"" | Playstation | iOS | PS4 | PS5 | Xbox | Switch | Switch 2 | PC)"</f>
        <v>#N/A</v>
      </c>
      <c r="T426" s="44"/>
      <c r="U426" s="44"/>
      <c r="V426" s="44"/>
      <c r="W426" s="44"/>
      <c r="X426" s="44"/>
      <c r="Z426" s="44"/>
    </row>
    <row r="427">
      <c r="A427" s="16"/>
      <c r="B427" s="16"/>
      <c r="E427" s="16"/>
      <c r="F427" s="16"/>
      <c r="G427" s="16"/>
      <c r="H427" s="16"/>
      <c r="I427" s="16"/>
      <c r="J427" s="16"/>
      <c r="K427" s="16"/>
      <c r="L427" s="16"/>
      <c r="M427" s="16"/>
      <c r="N427" s="5" t="s">
        <v>112</v>
      </c>
      <c r="O427" s="16" t="str">
        <f t="shared" si="1"/>
        <v>#</v>
      </c>
      <c r="P427" s="16" t="str">
        <f t="shared" si="2"/>
        <v>#videoGame</v>
      </c>
      <c r="R427" s="16" t="str">
        <f>"("""&amp;C427&amp;""") ("&amp;Vlookup(E427,DropDown!B:C,2,FALSE)&amp; " OR ""Video Game"" OR Playstation OR iOS OR PS4 OR PS5 OR Xbox OR Switch OR Swtich 2 OR PC)"</f>
        <v>#N/A</v>
      </c>
      <c r="S427" s="44" t="str">
        <f>"("""&amp;C427&amp;""") ("&amp;Vlookup(E427,DropDown!K:L,2,FALSE)&amp; " | ""Video Game"" | Playstation | iOS | PS4 | PS5 | Xbox | Switch | Switch 2 | PC)"</f>
        <v>#N/A</v>
      </c>
      <c r="T427" s="44"/>
      <c r="U427" s="44"/>
      <c r="V427" s="44"/>
      <c r="W427" s="44"/>
      <c r="X427" s="44"/>
      <c r="Z427" s="44"/>
    </row>
    <row r="428">
      <c r="A428" s="16"/>
      <c r="B428" s="16"/>
      <c r="E428" s="16"/>
      <c r="F428" s="16"/>
      <c r="G428" s="16"/>
      <c r="H428" s="16"/>
      <c r="I428" s="16"/>
      <c r="J428" s="16"/>
      <c r="K428" s="16"/>
      <c r="L428" s="16"/>
      <c r="M428" s="16"/>
      <c r="N428" s="5" t="s">
        <v>112</v>
      </c>
      <c r="O428" s="16" t="str">
        <f t="shared" si="1"/>
        <v>#</v>
      </c>
      <c r="P428" s="16" t="str">
        <f t="shared" si="2"/>
        <v>#videoGame</v>
      </c>
      <c r="R428" s="16" t="str">
        <f>"("""&amp;C428&amp;""") ("&amp;Vlookup(E428,DropDown!B:C,2,FALSE)&amp; " OR ""Video Game"" OR Playstation OR iOS OR PS4 OR PS5 OR Xbox OR Switch OR Swtich 2 OR PC)"</f>
        <v>#N/A</v>
      </c>
      <c r="S428" s="44" t="str">
        <f>"("""&amp;C428&amp;""") ("&amp;Vlookup(E428,DropDown!K:L,2,FALSE)&amp; " | ""Video Game"" | Playstation | iOS | PS4 | PS5 | Xbox | Switch | Switch 2 | PC)"</f>
        <v>#N/A</v>
      </c>
      <c r="T428" s="44"/>
      <c r="U428" s="44"/>
      <c r="V428" s="44"/>
      <c r="W428" s="44"/>
      <c r="X428" s="44"/>
      <c r="Z428" s="44"/>
    </row>
    <row r="429">
      <c r="A429" s="16"/>
      <c r="B429" s="16"/>
      <c r="E429" s="16"/>
      <c r="F429" s="16"/>
      <c r="G429" s="16"/>
      <c r="H429" s="16"/>
      <c r="I429" s="16"/>
      <c r="J429" s="16"/>
      <c r="K429" s="16"/>
      <c r="L429" s="16"/>
      <c r="M429" s="16"/>
      <c r="N429" s="5" t="s">
        <v>112</v>
      </c>
      <c r="O429" s="16" t="str">
        <f t="shared" si="1"/>
        <v>#</v>
      </c>
      <c r="P429" s="16" t="str">
        <f t="shared" si="2"/>
        <v>#videoGame</v>
      </c>
      <c r="R429" s="16" t="str">
        <f>"("""&amp;C429&amp;""") ("&amp;Vlookup(E429,DropDown!B:C,2,FALSE)&amp; " OR ""Video Game"" OR Playstation OR iOS OR PS4 OR PS5 OR Xbox OR Switch OR Swtich 2 OR PC)"</f>
        <v>#N/A</v>
      </c>
      <c r="S429" s="44" t="str">
        <f>"("""&amp;C429&amp;""") ("&amp;Vlookup(E429,DropDown!K:L,2,FALSE)&amp; " | ""Video Game"" | Playstation | iOS | PS4 | PS5 | Xbox | Switch | Switch 2 | PC)"</f>
        <v>#N/A</v>
      </c>
      <c r="T429" s="44"/>
      <c r="U429" s="44"/>
      <c r="V429" s="44"/>
      <c r="W429" s="44"/>
      <c r="X429" s="44"/>
      <c r="Z429" s="44"/>
    </row>
    <row r="430">
      <c r="A430" s="16"/>
      <c r="B430" s="16"/>
      <c r="E430" s="16"/>
      <c r="F430" s="16"/>
      <c r="G430" s="16"/>
      <c r="H430" s="16"/>
      <c r="I430" s="16"/>
      <c r="J430" s="16"/>
      <c r="K430" s="16"/>
      <c r="L430" s="16"/>
      <c r="M430" s="16"/>
      <c r="N430" s="5" t="s">
        <v>112</v>
      </c>
      <c r="O430" s="16" t="str">
        <f t="shared" si="1"/>
        <v>#</v>
      </c>
      <c r="P430" s="16" t="str">
        <f t="shared" si="2"/>
        <v>#videoGame</v>
      </c>
      <c r="R430" s="16" t="str">
        <f>"("""&amp;C430&amp;""") ("&amp;Vlookup(E430,DropDown!B:C,2,FALSE)&amp; " OR ""Video Game"" OR Playstation OR iOS OR PS4 OR PS5 OR Xbox OR Switch OR Swtich 2 OR PC)"</f>
        <v>#N/A</v>
      </c>
      <c r="S430" s="44" t="str">
        <f>"("""&amp;C430&amp;""") ("&amp;Vlookup(E430,DropDown!K:L,2,FALSE)&amp; " | ""Video Game"" | Playstation | iOS | PS4 | PS5 | Xbox | Switch | Switch 2 | PC)"</f>
        <v>#N/A</v>
      </c>
      <c r="T430" s="44"/>
      <c r="U430" s="44"/>
      <c r="V430" s="44"/>
      <c r="W430" s="44"/>
      <c r="X430" s="44"/>
      <c r="Z430" s="44"/>
    </row>
    <row r="431">
      <c r="A431" s="16"/>
      <c r="B431" s="16"/>
      <c r="E431" s="16"/>
      <c r="F431" s="16"/>
      <c r="G431" s="16"/>
      <c r="H431" s="16"/>
      <c r="I431" s="16"/>
      <c r="J431" s="16"/>
      <c r="K431" s="16"/>
      <c r="L431" s="16"/>
      <c r="M431" s="16"/>
      <c r="N431" s="5" t="s">
        <v>112</v>
      </c>
      <c r="O431" s="16" t="str">
        <f t="shared" si="1"/>
        <v>#</v>
      </c>
      <c r="P431" s="16" t="str">
        <f t="shared" si="2"/>
        <v>#videoGame</v>
      </c>
      <c r="R431" s="16" t="str">
        <f>"("""&amp;C431&amp;""") ("&amp;Vlookup(E431,DropDown!B:C,2,FALSE)&amp; " OR ""Video Game"" OR Playstation OR iOS OR PS4 OR PS5 OR Xbox OR Switch OR Swtich 2 OR PC)"</f>
        <v>#N/A</v>
      </c>
      <c r="S431" s="44" t="str">
        <f>"("""&amp;C431&amp;""") ("&amp;Vlookup(E431,DropDown!K:L,2,FALSE)&amp; " | ""Video Game"" | Playstation | iOS | PS4 | PS5 | Xbox | Switch | Switch 2 | PC)"</f>
        <v>#N/A</v>
      </c>
      <c r="T431" s="44"/>
      <c r="U431" s="44"/>
      <c r="V431" s="44"/>
      <c r="W431" s="44"/>
      <c r="X431" s="44"/>
      <c r="Z431" s="44"/>
    </row>
    <row r="432">
      <c r="A432" s="16"/>
      <c r="B432" s="16"/>
      <c r="E432" s="16"/>
      <c r="F432" s="16"/>
      <c r="G432" s="16"/>
      <c r="H432" s="16"/>
      <c r="I432" s="16"/>
      <c r="J432" s="16"/>
      <c r="K432" s="16"/>
      <c r="L432" s="16"/>
      <c r="M432" s="16"/>
      <c r="N432" s="5" t="s">
        <v>112</v>
      </c>
      <c r="O432" s="16" t="str">
        <f t="shared" si="1"/>
        <v>#</v>
      </c>
      <c r="P432" s="16" t="str">
        <f t="shared" si="2"/>
        <v>#videoGame</v>
      </c>
      <c r="R432" s="16" t="str">
        <f>"("""&amp;C432&amp;""") ("&amp;Vlookup(E432,DropDown!B:C,2,FALSE)&amp; " OR ""Video Game"" OR Playstation OR iOS OR PS4 OR PS5 OR Xbox OR Switch OR Swtich 2 OR PC)"</f>
        <v>#N/A</v>
      </c>
      <c r="S432" s="44" t="str">
        <f>"("""&amp;C432&amp;""") ("&amp;Vlookup(E432,DropDown!K:L,2,FALSE)&amp; " | ""Video Game"" | Playstation | iOS | PS4 | PS5 | Xbox | Switch | Switch 2 | PC)"</f>
        <v>#N/A</v>
      </c>
      <c r="T432" s="44"/>
      <c r="U432" s="44"/>
      <c r="V432" s="44"/>
      <c r="W432" s="44"/>
      <c r="X432" s="44"/>
      <c r="Z432" s="44"/>
    </row>
    <row r="433">
      <c r="A433" s="16"/>
      <c r="B433" s="16"/>
      <c r="E433" s="16"/>
      <c r="F433" s="16"/>
      <c r="G433" s="16"/>
      <c r="H433" s="16"/>
      <c r="I433" s="16"/>
      <c r="J433" s="16"/>
      <c r="K433" s="16"/>
      <c r="L433" s="16"/>
      <c r="M433" s="16"/>
      <c r="N433" s="5" t="s">
        <v>112</v>
      </c>
      <c r="O433" s="16" t="str">
        <f t="shared" si="1"/>
        <v>#</v>
      </c>
      <c r="P433" s="16" t="str">
        <f t="shared" si="2"/>
        <v>#videoGame</v>
      </c>
      <c r="R433" s="16" t="str">
        <f>"("""&amp;C433&amp;""") ("&amp;Vlookup(E433,DropDown!B:C,2,FALSE)&amp; " OR ""Video Game"" OR Playstation OR iOS OR PS4 OR PS5 OR Xbox OR Switch OR Swtich 2 OR PC)"</f>
        <v>#N/A</v>
      </c>
      <c r="S433" s="44" t="str">
        <f>"("""&amp;C433&amp;""") ("&amp;Vlookup(E433,DropDown!K:L,2,FALSE)&amp; " | ""Video Game"" | Playstation | iOS | PS4 | PS5 | Xbox | Switch | Switch 2 | PC)"</f>
        <v>#N/A</v>
      </c>
      <c r="T433" s="44"/>
      <c r="U433" s="44"/>
      <c r="V433" s="44"/>
      <c r="W433" s="44"/>
      <c r="X433" s="44"/>
      <c r="Z433" s="44"/>
    </row>
    <row r="434">
      <c r="A434" s="16"/>
      <c r="B434" s="16"/>
      <c r="E434" s="16"/>
      <c r="F434" s="16"/>
      <c r="G434" s="16"/>
      <c r="H434" s="16"/>
      <c r="I434" s="16"/>
      <c r="J434" s="16"/>
      <c r="K434" s="16"/>
      <c r="L434" s="16"/>
      <c r="M434" s="16"/>
      <c r="N434" s="5" t="s">
        <v>112</v>
      </c>
      <c r="O434" s="16" t="str">
        <f t="shared" si="1"/>
        <v>#</v>
      </c>
      <c r="P434" s="16" t="str">
        <f t="shared" si="2"/>
        <v>#videoGame</v>
      </c>
      <c r="R434" s="16" t="str">
        <f>"("""&amp;C434&amp;""") ("&amp;Vlookup(E434,DropDown!B:C,2,FALSE)&amp; " OR ""Video Game"" OR Playstation OR iOS OR PS4 OR PS5 OR Xbox OR Switch OR Swtich 2 OR PC)"</f>
        <v>#N/A</v>
      </c>
      <c r="S434" s="44" t="str">
        <f>"("""&amp;C434&amp;""") ("&amp;Vlookup(E434,DropDown!K:L,2,FALSE)&amp; " | ""Video Game"" | Playstation | iOS | PS4 | PS5 | Xbox | Switch | Switch 2 | PC)"</f>
        <v>#N/A</v>
      </c>
      <c r="T434" s="44"/>
      <c r="U434" s="44"/>
      <c r="V434" s="44"/>
      <c r="W434" s="44"/>
      <c r="X434" s="44"/>
      <c r="Z434" s="44"/>
    </row>
    <row r="435">
      <c r="A435" s="16"/>
      <c r="B435" s="16"/>
      <c r="E435" s="16"/>
      <c r="F435" s="16"/>
      <c r="G435" s="16"/>
      <c r="H435" s="16"/>
      <c r="I435" s="16"/>
      <c r="J435" s="16"/>
      <c r="K435" s="16"/>
      <c r="L435" s="16"/>
      <c r="M435" s="16"/>
      <c r="N435" s="5" t="s">
        <v>112</v>
      </c>
      <c r="O435" s="16" t="str">
        <f t="shared" si="1"/>
        <v>#</v>
      </c>
      <c r="P435" s="16" t="str">
        <f t="shared" si="2"/>
        <v>#videoGame</v>
      </c>
      <c r="R435" s="16" t="str">
        <f>"("""&amp;C435&amp;""") ("&amp;Vlookup(E435,DropDown!B:C,2,FALSE)&amp; " OR ""Video Game"" OR Playstation OR iOS OR PS4 OR PS5 OR Xbox OR Switch OR Swtich 2 OR PC)"</f>
        <v>#N/A</v>
      </c>
      <c r="S435" s="44" t="str">
        <f>"("""&amp;C435&amp;""") ("&amp;Vlookup(E435,DropDown!K:L,2,FALSE)&amp; " | ""Video Game"" | Playstation | iOS | PS4 | PS5 | Xbox | Switch | Switch 2 | PC)"</f>
        <v>#N/A</v>
      </c>
      <c r="T435" s="44"/>
      <c r="U435" s="44"/>
      <c r="V435" s="44"/>
      <c r="W435" s="44"/>
      <c r="X435" s="44"/>
      <c r="Z435" s="44"/>
    </row>
    <row r="436">
      <c r="A436" s="16"/>
      <c r="B436" s="16"/>
      <c r="E436" s="16"/>
      <c r="F436" s="16"/>
      <c r="G436" s="16"/>
      <c r="H436" s="16"/>
      <c r="I436" s="16"/>
      <c r="J436" s="16"/>
      <c r="K436" s="16"/>
      <c r="L436" s="16"/>
      <c r="M436" s="16"/>
      <c r="N436" s="5" t="s">
        <v>112</v>
      </c>
      <c r="O436" s="16" t="str">
        <f t="shared" si="1"/>
        <v>#</v>
      </c>
      <c r="P436" s="16" t="str">
        <f t="shared" si="2"/>
        <v>#videoGame</v>
      </c>
      <c r="R436" s="16" t="str">
        <f>"("""&amp;C436&amp;""") ("&amp;Vlookup(E436,DropDown!B:C,2,FALSE)&amp; " OR ""Video Game"" OR Playstation OR iOS OR PS4 OR PS5 OR Xbox OR Switch OR Swtich 2 OR PC)"</f>
        <v>#N/A</v>
      </c>
      <c r="S436" s="44" t="str">
        <f>"("""&amp;C436&amp;""") ("&amp;Vlookup(E436,DropDown!K:L,2,FALSE)&amp; " | ""Video Game"" | Playstation | iOS | PS4 | PS5 | Xbox | Switch | Switch 2 | PC)"</f>
        <v>#N/A</v>
      </c>
      <c r="T436" s="44"/>
      <c r="U436" s="44"/>
      <c r="V436" s="44"/>
      <c r="W436" s="44"/>
      <c r="X436" s="44"/>
      <c r="Z436" s="44"/>
    </row>
    <row r="437">
      <c r="A437" s="16"/>
      <c r="B437" s="16"/>
      <c r="E437" s="16"/>
      <c r="F437" s="16"/>
      <c r="G437" s="16"/>
      <c r="H437" s="16"/>
      <c r="I437" s="16"/>
      <c r="J437" s="16"/>
      <c r="K437" s="16"/>
      <c r="L437" s="16"/>
      <c r="M437" s="16"/>
      <c r="N437" s="5" t="s">
        <v>112</v>
      </c>
      <c r="O437" s="16" t="str">
        <f t="shared" si="1"/>
        <v>#</v>
      </c>
      <c r="P437" s="16" t="str">
        <f t="shared" si="2"/>
        <v>#videoGame</v>
      </c>
      <c r="R437" s="16" t="str">
        <f>"("""&amp;C437&amp;""") ("&amp;Vlookup(E437,DropDown!B:C,2,FALSE)&amp; " OR ""Video Game"" OR Playstation OR iOS OR PS4 OR PS5 OR Xbox OR Switch OR Swtich 2 OR PC)"</f>
        <v>#N/A</v>
      </c>
      <c r="S437" s="44" t="str">
        <f>"("""&amp;C437&amp;""") ("&amp;Vlookup(E437,DropDown!K:L,2,FALSE)&amp; " | ""Video Game"" | Playstation | iOS | PS4 | PS5 | Xbox | Switch | Switch 2 | PC)"</f>
        <v>#N/A</v>
      </c>
      <c r="T437" s="44"/>
      <c r="U437" s="44"/>
      <c r="V437" s="44"/>
      <c r="W437" s="44"/>
      <c r="X437" s="44"/>
      <c r="Z437" s="44"/>
    </row>
    <row r="438">
      <c r="A438" s="16"/>
      <c r="B438" s="16"/>
      <c r="E438" s="16"/>
      <c r="F438" s="16"/>
      <c r="G438" s="16"/>
      <c r="H438" s="16"/>
      <c r="I438" s="16"/>
      <c r="J438" s="16"/>
      <c r="K438" s="16"/>
      <c r="L438" s="16"/>
      <c r="M438" s="16"/>
      <c r="N438" s="5" t="s">
        <v>112</v>
      </c>
      <c r="O438" s="16" t="str">
        <f t="shared" si="1"/>
        <v>#</v>
      </c>
      <c r="P438" s="16" t="str">
        <f t="shared" si="2"/>
        <v>#videoGame</v>
      </c>
      <c r="R438" s="16" t="str">
        <f>"("""&amp;C438&amp;""") ("&amp;Vlookup(E438,DropDown!B:C,2,FALSE)&amp; " OR ""Video Game"" OR Playstation OR iOS OR PS4 OR PS5 OR Xbox OR Switch OR Swtich 2 OR PC)"</f>
        <v>#N/A</v>
      </c>
      <c r="S438" s="44" t="str">
        <f>"("""&amp;C438&amp;""") ("&amp;Vlookup(E438,DropDown!K:L,2,FALSE)&amp; " | ""Video Game"" | Playstation | iOS | PS4 | PS5 | Xbox | Switch | Switch 2 | PC)"</f>
        <v>#N/A</v>
      </c>
      <c r="T438" s="44"/>
      <c r="U438" s="44"/>
      <c r="V438" s="44"/>
      <c r="W438" s="44"/>
      <c r="X438" s="44"/>
      <c r="Z438" s="44"/>
    </row>
    <row r="439">
      <c r="A439" s="16"/>
      <c r="B439" s="16"/>
      <c r="E439" s="16"/>
      <c r="F439" s="16"/>
      <c r="G439" s="16"/>
      <c r="H439" s="16"/>
      <c r="I439" s="16"/>
      <c r="J439" s="16"/>
      <c r="K439" s="16"/>
      <c r="L439" s="16"/>
      <c r="M439" s="16"/>
      <c r="N439" s="5" t="s">
        <v>112</v>
      </c>
      <c r="O439" s="16" t="str">
        <f t="shared" si="1"/>
        <v>#</v>
      </c>
      <c r="P439" s="16" t="str">
        <f t="shared" si="2"/>
        <v>#videoGame</v>
      </c>
      <c r="R439" s="16" t="str">
        <f>"("""&amp;C439&amp;""") ("&amp;Vlookup(E439,DropDown!B:C,2,FALSE)&amp; " OR ""Video Game"" OR Playstation OR iOS OR PS4 OR PS5 OR Xbox OR Switch OR Swtich 2 OR PC)"</f>
        <v>#N/A</v>
      </c>
      <c r="S439" s="44" t="str">
        <f>"("""&amp;C439&amp;""") ("&amp;Vlookup(E439,DropDown!K:L,2,FALSE)&amp; " | ""Video Game"" | Playstation | iOS | PS4 | PS5 | Xbox | Switch | Switch 2 | PC)"</f>
        <v>#N/A</v>
      </c>
      <c r="T439" s="44"/>
      <c r="U439" s="44"/>
      <c r="V439" s="44"/>
      <c r="W439" s="44"/>
      <c r="X439" s="44"/>
      <c r="Z439" s="44"/>
    </row>
    <row r="440">
      <c r="A440" s="16"/>
      <c r="B440" s="16"/>
      <c r="E440" s="16"/>
      <c r="F440" s="16"/>
      <c r="G440" s="16"/>
      <c r="H440" s="16"/>
      <c r="I440" s="16"/>
      <c r="J440" s="16"/>
      <c r="K440" s="16"/>
      <c r="L440" s="16"/>
      <c r="M440" s="16"/>
      <c r="N440" s="5" t="s">
        <v>112</v>
      </c>
      <c r="O440" s="16" t="str">
        <f t="shared" si="1"/>
        <v>#</v>
      </c>
      <c r="P440" s="16" t="str">
        <f t="shared" si="2"/>
        <v>#videoGame</v>
      </c>
      <c r="R440" s="16" t="str">
        <f>"("""&amp;C440&amp;""") ("&amp;Vlookup(E440,DropDown!B:C,2,FALSE)&amp; " OR ""Video Game"" OR Playstation OR iOS OR PS4 OR PS5 OR Xbox OR Switch OR Swtich 2 OR PC)"</f>
        <v>#N/A</v>
      </c>
      <c r="S440" s="44" t="str">
        <f>"("""&amp;C440&amp;""") ("&amp;Vlookup(E440,DropDown!K:L,2,FALSE)&amp; " | ""Video Game"" | Playstation | iOS | PS4 | PS5 | Xbox | Switch | Switch 2 | PC)"</f>
        <v>#N/A</v>
      </c>
      <c r="T440" s="44"/>
      <c r="U440" s="44"/>
      <c r="V440" s="44"/>
      <c r="W440" s="44"/>
      <c r="X440" s="44"/>
      <c r="Z440" s="44"/>
    </row>
    <row r="441">
      <c r="A441" s="16"/>
      <c r="B441" s="16"/>
      <c r="E441" s="16"/>
      <c r="F441" s="16"/>
      <c r="G441" s="16"/>
      <c r="H441" s="16"/>
      <c r="I441" s="16"/>
      <c r="J441" s="16"/>
      <c r="K441" s="16"/>
      <c r="L441" s="16"/>
      <c r="M441" s="16"/>
      <c r="N441" s="5" t="s">
        <v>112</v>
      </c>
      <c r="O441" s="16" t="str">
        <f t="shared" si="1"/>
        <v>#</v>
      </c>
      <c r="P441" s="16" t="str">
        <f t="shared" si="2"/>
        <v>#videoGame</v>
      </c>
      <c r="R441" s="16" t="str">
        <f>"("""&amp;C441&amp;""") ("&amp;Vlookup(E441,DropDown!B:C,2,FALSE)&amp; " OR ""Video Game"" OR Playstation OR iOS OR PS4 OR PS5 OR Xbox OR Switch OR Swtich 2 OR PC)"</f>
        <v>#N/A</v>
      </c>
      <c r="S441" s="44" t="str">
        <f>"("""&amp;C441&amp;""") ("&amp;Vlookup(E441,DropDown!K:L,2,FALSE)&amp; " | ""Video Game"" | Playstation | iOS | PS4 | PS5 | Xbox | Switch | Switch 2 | PC)"</f>
        <v>#N/A</v>
      </c>
      <c r="T441" s="44"/>
      <c r="U441" s="44"/>
      <c r="V441" s="44"/>
      <c r="W441" s="44"/>
      <c r="X441" s="44"/>
      <c r="Z441" s="44"/>
    </row>
    <row r="442">
      <c r="A442" s="16"/>
      <c r="B442" s="16"/>
      <c r="E442" s="16"/>
      <c r="F442" s="16"/>
      <c r="G442" s="16"/>
      <c r="H442" s="16"/>
      <c r="I442" s="16"/>
      <c r="J442" s="16"/>
      <c r="K442" s="16"/>
      <c r="L442" s="16"/>
      <c r="M442" s="16"/>
      <c r="N442" s="5" t="s">
        <v>112</v>
      </c>
      <c r="O442" s="16" t="str">
        <f t="shared" si="1"/>
        <v>#</v>
      </c>
      <c r="P442" s="16" t="str">
        <f t="shared" si="2"/>
        <v>#videoGame</v>
      </c>
      <c r="R442" s="16" t="str">
        <f>"("""&amp;C442&amp;""") ("&amp;Vlookup(E442,DropDown!B:C,2,FALSE)&amp; " OR ""Video Game"" OR Playstation OR iOS OR PS4 OR PS5 OR Xbox OR Switch OR Swtich 2 OR PC)"</f>
        <v>#N/A</v>
      </c>
      <c r="S442" s="44" t="str">
        <f>"("""&amp;C442&amp;""") ("&amp;Vlookup(E442,DropDown!K:L,2,FALSE)&amp; " | ""Video Game"" | Playstation | iOS | PS4 | PS5 | Xbox | Switch | Switch 2 | PC)"</f>
        <v>#N/A</v>
      </c>
      <c r="T442" s="44"/>
      <c r="U442" s="44"/>
      <c r="V442" s="44"/>
      <c r="W442" s="44"/>
      <c r="X442" s="44"/>
      <c r="Z442" s="44"/>
    </row>
    <row r="443">
      <c r="A443" s="16"/>
      <c r="B443" s="16"/>
      <c r="E443" s="16"/>
      <c r="F443" s="16"/>
      <c r="G443" s="16"/>
      <c r="H443" s="16"/>
      <c r="I443" s="16"/>
      <c r="J443" s="16"/>
      <c r="K443" s="16"/>
      <c r="L443" s="16"/>
      <c r="M443" s="16"/>
      <c r="N443" s="5" t="s">
        <v>112</v>
      </c>
      <c r="O443" s="16" t="str">
        <f t="shared" si="1"/>
        <v>#</v>
      </c>
      <c r="P443" s="16" t="str">
        <f t="shared" si="2"/>
        <v>#videoGame</v>
      </c>
      <c r="R443" s="16" t="str">
        <f>"("""&amp;C443&amp;""") ("&amp;Vlookup(E443,DropDown!B:C,2,FALSE)&amp; " OR ""Video Game"" OR Playstation OR iOS OR PS4 OR PS5 OR Xbox OR Switch OR Swtich 2 OR PC)"</f>
        <v>#N/A</v>
      </c>
      <c r="S443" s="44" t="str">
        <f>"("""&amp;C443&amp;""") ("&amp;Vlookup(E443,DropDown!K:L,2,FALSE)&amp; " | ""Video Game"" | Playstation | iOS | PS4 | PS5 | Xbox | Switch | Switch 2 | PC)"</f>
        <v>#N/A</v>
      </c>
      <c r="T443" s="44"/>
      <c r="U443" s="44"/>
      <c r="V443" s="44"/>
      <c r="W443" s="44"/>
      <c r="X443" s="44"/>
      <c r="Z443" s="44"/>
    </row>
    <row r="444">
      <c r="A444" s="16"/>
      <c r="B444" s="16"/>
      <c r="E444" s="16"/>
      <c r="F444" s="16"/>
      <c r="G444" s="16"/>
      <c r="H444" s="16"/>
      <c r="I444" s="16"/>
      <c r="J444" s="16"/>
      <c r="K444" s="16"/>
      <c r="L444" s="16"/>
      <c r="M444" s="16"/>
      <c r="N444" s="5" t="s">
        <v>112</v>
      </c>
      <c r="O444" s="16" t="str">
        <f t="shared" si="1"/>
        <v>#</v>
      </c>
      <c r="P444" s="16" t="str">
        <f t="shared" si="2"/>
        <v>#videoGame</v>
      </c>
      <c r="R444" s="16" t="str">
        <f>"("""&amp;C444&amp;""") ("&amp;Vlookup(E444,DropDown!B:C,2,FALSE)&amp; " OR ""Video Game"" OR Playstation OR iOS OR PS4 OR PS5 OR Xbox OR Switch OR Swtich 2 OR PC)"</f>
        <v>#N/A</v>
      </c>
      <c r="S444" s="44" t="str">
        <f>"("""&amp;C444&amp;""") ("&amp;Vlookup(E444,DropDown!K:L,2,FALSE)&amp; " | ""Video Game"" | Playstation | iOS | PS4 | PS5 | Xbox | Switch | Switch 2 | PC)"</f>
        <v>#N/A</v>
      </c>
      <c r="T444" s="44"/>
      <c r="U444" s="44"/>
      <c r="V444" s="44"/>
      <c r="W444" s="44"/>
      <c r="X444" s="44"/>
      <c r="Z444" s="44"/>
    </row>
    <row r="445">
      <c r="A445" s="16"/>
      <c r="B445" s="16"/>
      <c r="E445" s="16"/>
      <c r="F445" s="16"/>
      <c r="G445" s="16"/>
      <c r="H445" s="16"/>
      <c r="I445" s="16"/>
      <c r="J445" s="16"/>
      <c r="K445" s="16"/>
      <c r="L445" s="16"/>
      <c r="M445" s="16"/>
      <c r="N445" s="5" t="s">
        <v>112</v>
      </c>
      <c r="O445" s="16" t="str">
        <f t="shared" si="1"/>
        <v>#</v>
      </c>
      <c r="P445" s="16" t="str">
        <f t="shared" si="2"/>
        <v>#videoGame</v>
      </c>
      <c r="R445" s="16" t="str">
        <f>"("""&amp;C445&amp;""") ("&amp;Vlookup(E445,DropDown!B:C,2,FALSE)&amp; " OR ""Video Game"" OR Playstation OR iOS OR PS4 OR PS5 OR Xbox OR Switch OR Swtich 2 OR PC)"</f>
        <v>#N/A</v>
      </c>
      <c r="S445" s="44" t="str">
        <f>"("""&amp;C445&amp;""") ("&amp;Vlookup(E445,DropDown!K:L,2,FALSE)&amp; " | ""Video Game"" | Playstation | iOS | PS4 | PS5 | Xbox | Switch | Switch 2 | PC)"</f>
        <v>#N/A</v>
      </c>
      <c r="T445" s="44"/>
      <c r="U445" s="44"/>
      <c r="V445" s="44"/>
      <c r="W445" s="44"/>
      <c r="X445" s="44"/>
      <c r="Z445" s="44"/>
    </row>
    <row r="446">
      <c r="A446" s="16"/>
      <c r="B446" s="16"/>
      <c r="E446" s="16"/>
      <c r="F446" s="16"/>
      <c r="G446" s="16"/>
      <c r="H446" s="16"/>
      <c r="I446" s="16"/>
      <c r="J446" s="16"/>
      <c r="K446" s="16"/>
      <c r="L446" s="16"/>
      <c r="M446" s="16"/>
      <c r="N446" s="5" t="s">
        <v>112</v>
      </c>
      <c r="O446" s="16" t="str">
        <f t="shared" si="1"/>
        <v>#</v>
      </c>
      <c r="P446" s="16" t="str">
        <f t="shared" si="2"/>
        <v>#videoGame</v>
      </c>
      <c r="R446" s="16" t="str">
        <f>"("""&amp;C446&amp;""") ("&amp;Vlookup(E446,DropDown!B:C,2,FALSE)&amp; " OR ""Video Game"" OR Playstation OR iOS OR PS4 OR PS5 OR Xbox OR Switch OR Swtich 2 OR PC)"</f>
        <v>#N/A</v>
      </c>
      <c r="S446" s="44" t="str">
        <f>"("""&amp;C446&amp;""") ("&amp;Vlookup(E446,DropDown!K:L,2,FALSE)&amp; " | ""Video Game"" | Playstation | iOS | PS4 | PS5 | Xbox | Switch | Switch 2 | PC)"</f>
        <v>#N/A</v>
      </c>
      <c r="T446" s="44"/>
      <c r="U446" s="44"/>
      <c r="V446" s="44"/>
      <c r="W446" s="44"/>
      <c r="X446" s="44"/>
      <c r="Z446" s="44"/>
    </row>
    <row r="447">
      <c r="A447" s="16"/>
      <c r="B447" s="16"/>
      <c r="E447" s="16"/>
      <c r="F447" s="16"/>
      <c r="G447" s="16"/>
      <c r="H447" s="16"/>
      <c r="I447" s="16"/>
      <c r="J447" s="16"/>
      <c r="K447" s="16"/>
      <c r="L447" s="16"/>
      <c r="M447" s="16"/>
      <c r="N447" s="5" t="s">
        <v>112</v>
      </c>
      <c r="O447" s="16" t="str">
        <f t="shared" si="1"/>
        <v>#</v>
      </c>
      <c r="P447" s="16" t="str">
        <f t="shared" si="2"/>
        <v>#videoGame</v>
      </c>
      <c r="R447" s="16" t="str">
        <f>"("""&amp;C447&amp;""") ("&amp;Vlookup(E447,DropDown!B:C,2,FALSE)&amp; " OR ""Video Game"" OR Playstation OR iOS OR PS4 OR PS5 OR Xbox OR Switch OR Swtich 2 OR PC)"</f>
        <v>#N/A</v>
      </c>
      <c r="S447" s="44" t="str">
        <f>"("""&amp;C447&amp;""") ("&amp;Vlookup(E447,DropDown!K:L,2,FALSE)&amp; " | ""Video Game"" | Playstation | iOS | PS4 | PS5 | Xbox | Switch | Switch 2 | PC)"</f>
        <v>#N/A</v>
      </c>
      <c r="T447" s="44"/>
      <c r="U447" s="44"/>
      <c r="V447" s="44"/>
      <c r="W447" s="44"/>
      <c r="X447" s="44"/>
      <c r="Z447" s="44"/>
    </row>
    <row r="448">
      <c r="A448" s="16"/>
      <c r="B448" s="16"/>
      <c r="E448" s="16"/>
      <c r="F448" s="16"/>
      <c r="G448" s="16"/>
      <c r="H448" s="16"/>
      <c r="I448" s="16"/>
      <c r="J448" s="16"/>
      <c r="K448" s="16"/>
      <c r="L448" s="16"/>
      <c r="M448" s="16"/>
      <c r="N448" s="5" t="s">
        <v>112</v>
      </c>
      <c r="O448" s="16" t="str">
        <f t="shared" si="1"/>
        <v>#</v>
      </c>
      <c r="P448" s="16" t="str">
        <f t="shared" si="2"/>
        <v>#videoGame</v>
      </c>
      <c r="R448" s="16" t="str">
        <f>"("""&amp;C448&amp;""") ("&amp;Vlookup(E448,DropDown!B:C,2,FALSE)&amp; " OR ""Video Game"" OR Playstation OR iOS OR PS4 OR PS5 OR Xbox OR Switch OR Swtich 2 OR PC)"</f>
        <v>#N/A</v>
      </c>
      <c r="S448" s="44" t="str">
        <f>"("""&amp;C448&amp;""") ("&amp;Vlookup(E448,DropDown!K:L,2,FALSE)&amp; " | ""Video Game"" | Playstation | iOS | PS4 | PS5 | Xbox | Switch | Switch 2 | PC)"</f>
        <v>#N/A</v>
      </c>
      <c r="T448" s="44"/>
      <c r="U448" s="44"/>
      <c r="V448" s="44"/>
      <c r="W448" s="44"/>
      <c r="X448" s="44"/>
      <c r="Z448" s="44"/>
    </row>
    <row r="449">
      <c r="A449" s="16"/>
      <c r="B449" s="16"/>
      <c r="E449" s="16"/>
      <c r="F449" s="16"/>
      <c r="G449" s="16"/>
      <c r="H449" s="16"/>
      <c r="I449" s="16"/>
      <c r="J449" s="16"/>
      <c r="K449" s="16"/>
      <c r="L449" s="16"/>
      <c r="M449" s="16"/>
      <c r="N449" s="5" t="s">
        <v>112</v>
      </c>
      <c r="O449" s="16" t="str">
        <f t="shared" si="1"/>
        <v>#</v>
      </c>
      <c r="P449" s="16" t="str">
        <f t="shared" si="2"/>
        <v>#videoGame</v>
      </c>
      <c r="R449" s="16" t="str">
        <f>"("""&amp;C449&amp;""") ("&amp;Vlookup(E449,DropDown!B:C,2,FALSE)&amp; " OR ""Video Game"" OR Playstation OR iOS OR PS4 OR PS5 OR Xbox OR Switch OR Swtich 2 OR PC)"</f>
        <v>#N/A</v>
      </c>
      <c r="S449" s="44" t="str">
        <f>"("""&amp;C449&amp;""") ("&amp;Vlookup(E449,DropDown!K:L,2,FALSE)&amp; " | ""Video Game"" | Playstation | iOS | PS4 | PS5 | Xbox | Switch | Switch 2 | PC)"</f>
        <v>#N/A</v>
      </c>
      <c r="T449" s="44"/>
      <c r="U449" s="44"/>
      <c r="V449" s="44"/>
      <c r="W449" s="44"/>
      <c r="X449" s="44"/>
      <c r="Z449" s="44"/>
    </row>
    <row r="450">
      <c r="A450" s="16"/>
      <c r="B450" s="16"/>
      <c r="E450" s="16"/>
      <c r="F450" s="16"/>
      <c r="G450" s="16"/>
      <c r="H450" s="16"/>
      <c r="I450" s="16"/>
      <c r="J450" s="16"/>
      <c r="K450" s="16"/>
      <c r="L450" s="16"/>
      <c r="M450" s="16"/>
      <c r="N450" s="5" t="s">
        <v>112</v>
      </c>
      <c r="O450" s="16" t="str">
        <f t="shared" si="1"/>
        <v>#</v>
      </c>
      <c r="P450" s="16" t="str">
        <f t="shared" si="2"/>
        <v>#videoGame</v>
      </c>
      <c r="R450" s="16" t="str">
        <f>"("""&amp;C450&amp;""") ("&amp;Vlookup(E450,DropDown!B:C,2,FALSE)&amp; " OR ""Video Game"" OR Playstation OR iOS OR PS4 OR PS5 OR Xbox OR Switch OR Swtich 2 OR PC)"</f>
        <v>#N/A</v>
      </c>
      <c r="S450" s="44" t="str">
        <f>"("""&amp;C450&amp;""") ("&amp;Vlookup(E450,DropDown!K:L,2,FALSE)&amp; " | ""Video Game"" | Playstation | iOS | PS4 | PS5 | Xbox | Switch | Switch 2 | PC)"</f>
        <v>#N/A</v>
      </c>
      <c r="T450" s="44"/>
      <c r="U450" s="44"/>
      <c r="V450" s="44"/>
      <c r="W450" s="44"/>
      <c r="X450" s="44"/>
      <c r="Z450" s="44"/>
    </row>
    <row r="451">
      <c r="A451" s="16"/>
      <c r="B451" s="16"/>
      <c r="E451" s="16"/>
      <c r="F451" s="16"/>
      <c r="G451" s="16"/>
      <c r="H451" s="16"/>
      <c r="I451" s="16"/>
      <c r="J451" s="16"/>
      <c r="K451" s="16"/>
      <c r="L451" s="16"/>
      <c r="M451" s="16"/>
      <c r="N451" s="5" t="s">
        <v>112</v>
      </c>
      <c r="O451" s="16" t="str">
        <f t="shared" si="1"/>
        <v>#</v>
      </c>
      <c r="P451" s="16" t="str">
        <f t="shared" si="2"/>
        <v>#videoGame</v>
      </c>
      <c r="R451" s="16" t="str">
        <f>"("""&amp;C451&amp;""") ("&amp;Vlookup(E451,DropDown!B:C,2,FALSE)&amp; " OR ""Video Game"" OR Playstation OR iOS OR PS4 OR PS5 OR Xbox OR Switch OR Swtich 2 OR PC)"</f>
        <v>#N/A</v>
      </c>
      <c r="S451" s="44" t="str">
        <f>"("""&amp;C451&amp;""") ("&amp;Vlookup(E451,DropDown!K:L,2,FALSE)&amp; " | ""Video Game"" | Playstation | iOS | PS4 | PS5 | Xbox | Switch | Switch 2 | PC)"</f>
        <v>#N/A</v>
      </c>
      <c r="T451" s="44"/>
      <c r="U451" s="44"/>
      <c r="V451" s="44"/>
      <c r="W451" s="44"/>
      <c r="X451" s="44"/>
      <c r="Z451" s="44"/>
    </row>
    <row r="452">
      <c r="A452" s="16"/>
      <c r="B452" s="16"/>
      <c r="E452" s="16"/>
      <c r="F452" s="16"/>
      <c r="G452" s="16"/>
      <c r="H452" s="16"/>
      <c r="I452" s="16"/>
      <c r="J452" s="16"/>
      <c r="K452" s="16"/>
      <c r="L452" s="16"/>
      <c r="M452" s="16"/>
      <c r="N452" s="5" t="s">
        <v>112</v>
      </c>
      <c r="O452" s="16" t="str">
        <f t="shared" si="1"/>
        <v>#</v>
      </c>
      <c r="P452" s="16" t="str">
        <f t="shared" si="2"/>
        <v>#videoGame</v>
      </c>
      <c r="R452" s="16" t="str">
        <f>"("""&amp;C452&amp;""") ("&amp;Vlookup(E452,DropDown!B:C,2,FALSE)&amp; " OR ""Video Game"" OR Playstation OR iOS OR PS4 OR PS5 OR Xbox OR Switch OR Swtich 2 OR PC)"</f>
        <v>#N/A</v>
      </c>
      <c r="S452" s="44" t="str">
        <f>"("""&amp;C452&amp;""") ("&amp;Vlookup(E452,DropDown!K:L,2,FALSE)&amp; " | ""Video Game"" | Playstation | iOS | PS4 | PS5 | Xbox | Switch | Switch 2 | PC)"</f>
        <v>#N/A</v>
      </c>
      <c r="T452" s="44"/>
      <c r="U452" s="44"/>
      <c r="V452" s="44"/>
      <c r="W452" s="44"/>
      <c r="X452" s="44"/>
      <c r="Z452" s="44"/>
    </row>
    <row r="453">
      <c r="A453" s="16"/>
      <c r="B453" s="16"/>
      <c r="E453" s="16"/>
      <c r="F453" s="16"/>
      <c r="G453" s="16"/>
      <c r="H453" s="16"/>
      <c r="I453" s="16"/>
      <c r="J453" s="16"/>
      <c r="K453" s="16"/>
      <c r="L453" s="16"/>
      <c r="M453" s="16"/>
      <c r="N453" s="5" t="s">
        <v>112</v>
      </c>
      <c r="O453" s="16" t="str">
        <f t="shared" si="1"/>
        <v>#</v>
      </c>
      <c r="P453" s="16" t="str">
        <f t="shared" si="2"/>
        <v>#videoGame</v>
      </c>
      <c r="R453" s="16" t="str">
        <f>"("""&amp;C453&amp;""") ("&amp;Vlookup(E453,DropDown!B:C,2,FALSE)&amp; " OR ""Video Game"" OR Playstation OR iOS OR PS4 OR PS5 OR Xbox OR Switch OR Swtich 2 OR PC)"</f>
        <v>#N/A</v>
      </c>
      <c r="S453" s="44" t="str">
        <f>"("""&amp;C453&amp;""") ("&amp;Vlookup(E453,DropDown!K:L,2,FALSE)&amp; " | ""Video Game"" | Playstation | iOS | PS4 | PS5 | Xbox | Switch | Switch 2 | PC)"</f>
        <v>#N/A</v>
      </c>
      <c r="T453" s="44"/>
      <c r="U453" s="44"/>
      <c r="V453" s="44"/>
      <c r="W453" s="44"/>
      <c r="X453" s="44"/>
      <c r="Z453" s="44"/>
    </row>
    <row r="454">
      <c r="A454" s="16"/>
      <c r="B454" s="16"/>
      <c r="E454" s="16"/>
      <c r="F454" s="16"/>
      <c r="G454" s="16"/>
      <c r="H454" s="16"/>
      <c r="I454" s="16"/>
      <c r="J454" s="16"/>
      <c r="K454" s="16"/>
      <c r="L454" s="16"/>
      <c r="M454" s="16"/>
      <c r="N454" s="5" t="s">
        <v>112</v>
      </c>
      <c r="O454" s="16" t="str">
        <f t="shared" si="1"/>
        <v>#</v>
      </c>
      <c r="P454" s="16" t="str">
        <f t="shared" si="2"/>
        <v>#videoGame</v>
      </c>
      <c r="R454" s="16" t="str">
        <f>"("""&amp;C454&amp;""") ("&amp;Vlookup(E454,DropDown!B:C,2,FALSE)&amp; " OR ""Video Game"" OR Playstation OR iOS OR PS4 OR PS5 OR Xbox OR Switch OR Swtich 2 OR PC)"</f>
        <v>#N/A</v>
      </c>
      <c r="S454" s="44" t="str">
        <f>"("""&amp;C454&amp;""") ("&amp;Vlookup(E454,DropDown!K:L,2,FALSE)&amp; " | ""Video Game"" | Playstation | iOS | PS4 | PS5 | Xbox | Switch | Switch 2 | PC)"</f>
        <v>#N/A</v>
      </c>
      <c r="T454" s="44"/>
      <c r="U454" s="44"/>
      <c r="V454" s="44"/>
      <c r="W454" s="44"/>
      <c r="X454" s="44"/>
      <c r="Z454" s="44"/>
    </row>
    <row r="455">
      <c r="A455" s="16"/>
      <c r="B455" s="16"/>
      <c r="E455" s="16"/>
      <c r="F455" s="16"/>
      <c r="G455" s="16"/>
      <c r="H455" s="16"/>
      <c r="I455" s="16"/>
      <c r="J455" s="16"/>
      <c r="K455" s="16"/>
      <c r="L455" s="16"/>
      <c r="M455" s="16"/>
      <c r="N455" s="5" t="s">
        <v>112</v>
      </c>
      <c r="O455" s="16" t="str">
        <f t="shared" si="1"/>
        <v>#</v>
      </c>
      <c r="P455" s="16" t="str">
        <f t="shared" si="2"/>
        <v>#videoGame</v>
      </c>
      <c r="R455" s="16" t="str">
        <f>"("""&amp;C455&amp;""") ("&amp;Vlookup(E455,DropDown!B:C,2,FALSE)&amp; " OR ""Video Game"" OR Playstation OR iOS OR PS4 OR PS5 OR Xbox OR Switch OR Swtich 2 OR PC)"</f>
        <v>#N/A</v>
      </c>
      <c r="S455" s="44" t="str">
        <f>"("""&amp;C455&amp;""") ("&amp;Vlookup(E455,DropDown!K:L,2,FALSE)&amp; " | ""Video Game"" | Playstation | iOS | PS4 | PS5 | Xbox | Switch | Switch 2 | PC)"</f>
        <v>#N/A</v>
      </c>
      <c r="T455" s="44"/>
      <c r="U455" s="44"/>
      <c r="V455" s="44"/>
      <c r="W455" s="44"/>
      <c r="X455" s="44"/>
      <c r="Z455" s="44"/>
    </row>
    <row r="456">
      <c r="A456" s="16"/>
      <c r="B456" s="16"/>
      <c r="E456" s="16"/>
      <c r="F456" s="16"/>
      <c r="G456" s="16"/>
      <c r="H456" s="16"/>
      <c r="I456" s="16"/>
      <c r="J456" s="16"/>
      <c r="K456" s="16"/>
      <c r="L456" s="16"/>
      <c r="M456" s="16"/>
      <c r="N456" s="5" t="s">
        <v>112</v>
      </c>
      <c r="O456" s="16" t="str">
        <f t="shared" si="1"/>
        <v>#</v>
      </c>
      <c r="P456" s="16" t="str">
        <f t="shared" si="2"/>
        <v>#videoGame</v>
      </c>
      <c r="R456" s="16" t="str">
        <f>"("""&amp;C456&amp;""") ("&amp;Vlookup(E456,DropDown!B:C,2,FALSE)&amp; " OR ""Video Game"" OR Playstation OR iOS OR PS4 OR PS5 OR Xbox OR Switch OR Swtich 2 OR PC)"</f>
        <v>#N/A</v>
      </c>
      <c r="S456" s="44" t="str">
        <f>"("""&amp;C456&amp;""") ("&amp;Vlookup(E456,DropDown!K:L,2,FALSE)&amp; " | ""Video Game"" | Playstation | iOS | PS4 | PS5 | Xbox | Switch | Switch 2 | PC)"</f>
        <v>#N/A</v>
      </c>
      <c r="T456" s="44"/>
      <c r="U456" s="44"/>
      <c r="V456" s="44"/>
      <c r="W456" s="44"/>
      <c r="X456" s="44"/>
      <c r="Z456" s="44"/>
    </row>
    <row r="457">
      <c r="A457" s="16"/>
      <c r="B457" s="16"/>
      <c r="E457" s="16"/>
      <c r="F457" s="16"/>
      <c r="G457" s="16"/>
      <c r="H457" s="16"/>
      <c r="I457" s="16"/>
      <c r="J457" s="16"/>
      <c r="K457" s="16"/>
      <c r="L457" s="16"/>
      <c r="M457" s="16"/>
      <c r="N457" s="5" t="s">
        <v>112</v>
      </c>
      <c r="O457" s="16" t="str">
        <f t="shared" si="1"/>
        <v>#</v>
      </c>
      <c r="P457" s="16" t="str">
        <f t="shared" si="2"/>
        <v>#videoGame</v>
      </c>
      <c r="R457" s="16" t="str">
        <f>"("""&amp;C457&amp;""") ("&amp;Vlookup(E457,DropDown!B:C,2,FALSE)&amp; " OR ""Video Game"" OR Playstation OR iOS OR PS4 OR PS5 OR Xbox OR Switch OR Swtich 2 OR PC)"</f>
        <v>#N/A</v>
      </c>
      <c r="S457" s="44" t="str">
        <f>"("""&amp;C457&amp;""") ("&amp;Vlookup(E457,DropDown!K:L,2,FALSE)&amp; " | ""Video Game"" | Playstation | iOS | PS4 | PS5 | Xbox | Switch | Switch 2 | PC)"</f>
        <v>#N/A</v>
      </c>
      <c r="T457" s="44"/>
      <c r="U457" s="44"/>
      <c r="V457" s="44"/>
      <c r="W457" s="44"/>
      <c r="X457" s="44"/>
      <c r="Z457" s="44"/>
    </row>
    <row r="458">
      <c r="A458" s="16"/>
      <c r="B458" s="16"/>
      <c r="E458" s="16"/>
      <c r="F458" s="16"/>
      <c r="G458" s="16"/>
      <c r="H458" s="16"/>
      <c r="I458" s="16"/>
      <c r="J458" s="16"/>
      <c r="K458" s="16"/>
      <c r="L458" s="16"/>
      <c r="M458" s="16"/>
      <c r="N458" s="5" t="s">
        <v>112</v>
      </c>
      <c r="O458" s="16" t="str">
        <f t="shared" si="1"/>
        <v>#</v>
      </c>
      <c r="P458" s="16" t="str">
        <f t="shared" si="2"/>
        <v>#videoGame</v>
      </c>
      <c r="R458" s="16" t="str">
        <f>"("""&amp;C458&amp;""") ("&amp;Vlookup(E458,DropDown!B:C,2,FALSE)&amp; " OR ""Video Game"" OR Playstation OR iOS OR PS4 OR PS5 OR Xbox OR Switch OR Swtich 2 OR PC)"</f>
        <v>#N/A</v>
      </c>
      <c r="S458" s="44" t="str">
        <f>"("""&amp;C458&amp;""") ("&amp;Vlookup(E458,DropDown!K:L,2,FALSE)&amp; " | ""Video Game"" | Playstation | iOS | PS4 | PS5 | Xbox | Switch | Switch 2 | PC)"</f>
        <v>#N/A</v>
      </c>
      <c r="T458" s="44"/>
      <c r="U458" s="44"/>
      <c r="V458" s="44"/>
      <c r="W458" s="44"/>
      <c r="X458" s="44"/>
      <c r="Z458" s="44"/>
    </row>
    <row r="459">
      <c r="A459" s="16"/>
      <c r="B459" s="16"/>
      <c r="E459" s="16"/>
      <c r="F459" s="16"/>
      <c r="G459" s="16"/>
      <c r="H459" s="16"/>
      <c r="I459" s="16"/>
      <c r="J459" s="16"/>
      <c r="K459" s="16"/>
      <c r="L459" s="16"/>
      <c r="M459" s="16"/>
      <c r="N459" s="5" t="s">
        <v>112</v>
      </c>
      <c r="O459" s="16" t="str">
        <f t="shared" si="1"/>
        <v>#</v>
      </c>
      <c r="P459" s="16" t="str">
        <f t="shared" si="2"/>
        <v>#videoGame</v>
      </c>
      <c r="R459" s="16" t="str">
        <f>"("""&amp;C459&amp;""") ("&amp;Vlookup(E459,DropDown!B:C,2,FALSE)&amp; " OR ""Video Game"" OR Playstation OR iOS OR PS4 OR PS5 OR Xbox OR Switch OR Swtich 2 OR PC)"</f>
        <v>#N/A</v>
      </c>
      <c r="S459" s="44" t="str">
        <f>"("""&amp;C459&amp;""") ("&amp;Vlookup(E459,DropDown!K:L,2,FALSE)&amp; " | ""Video Game"" | Playstation | iOS | PS4 | PS5 | Xbox | Switch | Switch 2 | PC)"</f>
        <v>#N/A</v>
      </c>
      <c r="T459" s="44"/>
      <c r="U459" s="44"/>
      <c r="V459" s="44"/>
      <c r="W459" s="44"/>
      <c r="X459" s="44"/>
      <c r="Z459" s="44"/>
    </row>
    <row r="460">
      <c r="A460" s="16"/>
      <c r="B460" s="16"/>
      <c r="E460" s="16"/>
      <c r="F460" s="16"/>
      <c r="G460" s="16"/>
      <c r="H460" s="16"/>
      <c r="I460" s="16"/>
      <c r="J460" s="16"/>
      <c r="K460" s="16"/>
      <c r="L460" s="16"/>
      <c r="M460" s="16"/>
      <c r="N460" s="5" t="s">
        <v>112</v>
      </c>
      <c r="O460" s="16" t="str">
        <f t="shared" si="1"/>
        <v>#</v>
      </c>
      <c r="P460" s="16" t="str">
        <f t="shared" si="2"/>
        <v>#videoGame</v>
      </c>
      <c r="R460" s="16" t="str">
        <f>"("""&amp;C460&amp;""") ("&amp;Vlookup(E460,DropDown!B:C,2,FALSE)&amp; " OR ""Video Game"" OR Playstation OR iOS OR PS4 OR PS5 OR Xbox OR Switch OR Swtich 2 OR PC)"</f>
        <v>#N/A</v>
      </c>
      <c r="S460" s="44" t="str">
        <f>"("""&amp;C460&amp;""") ("&amp;Vlookup(E460,DropDown!K:L,2,FALSE)&amp; " | ""Video Game"" | Playstation | iOS | PS4 | PS5 | Xbox | Switch | Switch 2 | PC)"</f>
        <v>#N/A</v>
      </c>
      <c r="T460" s="44"/>
      <c r="U460" s="44"/>
      <c r="V460" s="44"/>
      <c r="W460" s="44"/>
      <c r="X460" s="44"/>
      <c r="Z460" s="44"/>
    </row>
    <row r="461">
      <c r="A461" s="16"/>
      <c r="B461" s="16"/>
      <c r="E461" s="16"/>
      <c r="F461" s="16"/>
      <c r="G461" s="16"/>
      <c r="H461" s="16"/>
      <c r="I461" s="16"/>
      <c r="J461" s="16"/>
      <c r="K461" s="16"/>
      <c r="L461" s="16"/>
      <c r="M461" s="16"/>
      <c r="N461" s="5" t="s">
        <v>112</v>
      </c>
      <c r="O461" s="16" t="str">
        <f t="shared" si="1"/>
        <v>#</v>
      </c>
      <c r="P461" s="16" t="str">
        <f t="shared" si="2"/>
        <v>#videoGame</v>
      </c>
      <c r="R461" s="16" t="str">
        <f>"("""&amp;C461&amp;""") ("&amp;Vlookup(E461,DropDown!B:C,2,FALSE)&amp; " OR ""Video Game"" OR Playstation OR iOS OR PS4 OR PS5 OR Xbox OR Switch OR Swtich 2 OR PC)"</f>
        <v>#N/A</v>
      </c>
      <c r="S461" s="44" t="str">
        <f>"("""&amp;C461&amp;""") ("&amp;Vlookup(E461,DropDown!K:L,2,FALSE)&amp; " | ""Video Game"" | Playstation | iOS | PS4 | PS5 | Xbox | Switch | Switch 2 | PC)"</f>
        <v>#N/A</v>
      </c>
      <c r="T461" s="44"/>
      <c r="U461" s="44"/>
      <c r="V461" s="44"/>
      <c r="W461" s="44"/>
      <c r="X461" s="44"/>
      <c r="Z461" s="44"/>
    </row>
    <row r="462">
      <c r="A462" s="16"/>
      <c r="B462" s="16"/>
      <c r="E462" s="16"/>
      <c r="F462" s="16"/>
      <c r="G462" s="16"/>
      <c r="H462" s="16"/>
      <c r="I462" s="16"/>
      <c r="J462" s="16"/>
      <c r="K462" s="16"/>
      <c r="L462" s="16"/>
      <c r="M462" s="16"/>
      <c r="N462" s="5" t="s">
        <v>112</v>
      </c>
      <c r="O462" s="16" t="str">
        <f t="shared" si="1"/>
        <v>#</v>
      </c>
      <c r="P462" s="16" t="str">
        <f t="shared" si="2"/>
        <v>#videoGame</v>
      </c>
      <c r="R462" s="16" t="str">
        <f>"("""&amp;C462&amp;""") ("&amp;Vlookup(E462,DropDown!B:C,2,FALSE)&amp; " OR ""Video Game"" OR Playstation OR iOS OR PS4 OR PS5 OR Xbox OR Switch OR Swtich 2 OR PC)"</f>
        <v>#N/A</v>
      </c>
      <c r="S462" s="44" t="str">
        <f>"("""&amp;C462&amp;""") ("&amp;Vlookup(E462,DropDown!K:L,2,FALSE)&amp; " | ""Video Game"" | Playstation | iOS | PS4 | PS5 | Xbox | Switch | Switch 2 | PC)"</f>
        <v>#N/A</v>
      </c>
      <c r="T462" s="44"/>
      <c r="U462" s="44"/>
      <c r="V462" s="44"/>
      <c r="W462" s="44"/>
      <c r="X462" s="44"/>
      <c r="Z462" s="44"/>
    </row>
    <row r="463">
      <c r="A463" s="16"/>
      <c r="B463" s="16"/>
      <c r="E463" s="16"/>
      <c r="F463" s="16"/>
      <c r="G463" s="16"/>
      <c r="H463" s="16"/>
      <c r="I463" s="16"/>
      <c r="J463" s="16"/>
      <c r="K463" s="16"/>
      <c r="L463" s="16"/>
      <c r="M463" s="16"/>
      <c r="N463" s="5" t="s">
        <v>112</v>
      </c>
      <c r="O463" s="16" t="str">
        <f t="shared" si="1"/>
        <v>#</v>
      </c>
      <c r="P463" s="16" t="str">
        <f t="shared" si="2"/>
        <v>#videoGame</v>
      </c>
      <c r="R463" s="16" t="str">
        <f>"("""&amp;C463&amp;""") ("&amp;Vlookup(E463,DropDown!B:C,2,FALSE)&amp; " OR ""Video Game"" OR Playstation OR iOS OR PS4 OR PS5 OR Xbox OR Switch OR Swtich 2 OR PC)"</f>
        <v>#N/A</v>
      </c>
      <c r="S463" s="44" t="str">
        <f>"("""&amp;C463&amp;""") ("&amp;Vlookup(E463,DropDown!K:L,2,FALSE)&amp; " | ""Video Game"" | Playstation | iOS | PS4 | PS5 | Xbox | Switch | Switch 2 | PC)"</f>
        <v>#N/A</v>
      </c>
      <c r="T463" s="44"/>
      <c r="U463" s="44"/>
      <c r="V463" s="44"/>
      <c r="W463" s="44"/>
      <c r="X463" s="44"/>
      <c r="Z463" s="44"/>
    </row>
    <row r="464">
      <c r="A464" s="16"/>
      <c r="B464" s="16"/>
      <c r="E464" s="16"/>
      <c r="F464" s="16"/>
      <c r="G464" s="16"/>
      <c r="H464" s="16"/>
      <c r="I464" s="16"/>
      <c r="J464" s="16"/>
      <c r="K464" s="16"/>
      <c r="L464" s="16"/>
      <c r="M464" s="16"/>
      <c r="N464" s="5" t="s">
        <v>112</v>
      </c>
      <c r="O464" s="16" t="str">
        <f t="shared" si="1"/>
        <v>#</v>
      </c>
      <c r="P464" s="16" t="str">
        <f t="shared" si="2"/>
        <v>#videoGame</v>
      </c>
      <c r="R464" s="16" t="str">
        <f>"("""&amp;C464&amp;""") ("&amp;Vlookup(E464,DropDown!B:C,2,FALSE)&amp; " OR ""Video Game"" OR Playstation OR iOS OR PS4 OR PS5 OR Xbox OR Switch OR Swtich 2 OR PC)"</f>
        <v>#N/A</v>
      </c>
      <c r="S464" s="44" t="str">
        <f>"("""&amp;C464&amp;""") ("&amp;Vlookup(E464,DropDown!K:L,2,FALSE)&amp; " | ""Video Game"" | Playstation | iOS | PS4 | PS5 | Xbox | Switch | Switch 2 | PC)"</f>
        <v>#N/A</v>
      </c>
      <c r="T464" s="44"/>
      <c r="U464" s="44"/>
      <c r="V464" s="44"/>
      <c r="W464" s="44"/>
      <c r="X464" s="44"/>
      <c r="Z464" s="44"/>
    </row>
    <row r="465">
      <c r="A465" s="16"/>
      <c r="B465" s="16"/>
      <c r="E465" s="16"/>
      <c r="F465" s="16"/>
      <c r="G465" s="16"/>
      <c r="H465" s="16"/>
      <c r="I465" s="16"/>
      <c r="J465" s="16"/>
      <c r="K465" s="16"/>
      <c r="L465" s="16"/>
      <c r="M465" s="16"/>
      <c r="N465" s="5" t="s">
        <v>112</v>
      </c>
      <c r="O465" s="16" t="str">
        <f t="shared" si="1"/>
        <v>#</v>
      </c>
      <c r="P465" s="16" t="str">
        <f t="shared" si="2"/>
        <v>#videoGame</v>
      </c>
      <c r="R465" s="16" t="str">
        <f>"("""&amp;C465&amp;""") ("&amp;Vlookup(E465,DropDown!B:C,2,FALSE)&amp; " OR ""Video Game"" OR Playstation OR iOS OR PS4 OR PS5 OR Xbox OR Switch OR Swtich 2 OR PC)"</f>
        <v>#N/A</v>
      </c>
      <c r="S465" s="44" t="str">
        <f>"("""&amp;C465&amp;""") ("&amp;Vlookup(E465,DropDown!K:L,2,FALSE)&amp; " | ""Video Game"" | Playstation | iOS | PS4 | PS5 | Xbox | Switch | Switch 2 | PC)"</f>
        <v>#N/A</v>
      </c>
      <c r="T465" s="44"/>
      <c r="U465" s="44"/>
      <c r="V465" s="44"/>
      <c r="W465" s="44"/>
      <c r="X465" s="44"/>
      <c r="Z465" s="44"/>
    </row>
    <row r="466">
      <c r="A466" s="16"/>
      <c r="B466" s="16"/>
      <c r="E466" s="16"/>
      <c r="F466" s="16"/>
      <c r="G466" s="16"/>
      <c r="H466" s="16"/>
      <c r="I466" s="16"/>
      <c r="J466" s="16"/>
      <c r="K466" s="16"/>
      <c r="L466" s="16"/>
      <c r="M466" s="16"/>
      <c r="N466" s="5" t="s">
        <v>112</v>
      </c>
      <c r="O466" s="16" t="str">
        <f t="shared" si="1"/>
        <v>#</v>
      </c>
      <c r="P466" s="16" t="str">
        <f t="shared" si="2"/>
        <v>#videoGame</v>
      </c>
      <c r="R466" s="16" t="str">
        <f>"("""&amp;C466&amp;""") ("&amp;Vlookup(E466,DropDown!B:C,2,FALSE)&amp; " OR ""Video Game"" OR Playstation OR iOS OR PS4 OR PS5 OR Xbox OR Switch OR Swtich 2 OR PC)"</f>
        <v>#N/A</v>
      </c>
      <c r="S466" s="44" t="str">
        <f>"("""&amp;C466&amp;""") ("&amp;Vlookup(E466,DropDown!K:L,2,FALSE)&amp; " | ""Video Game"" | Playstation | iOS | PS4 | PS5 | Xbox | Switch | Switch 2 | PC)"</f>
        <v>#N/A</v>
      </c>
      <c r="T466" s="44"/>
      <c r="U466" s="44"/>
      <c r="V466" s="44"/>
      <c r="W466" s="44"/>
      <c r="X466" s="44"/>
      <c r="Z466" s="44"/>
    </row>
    <row r="467">
      <c r="A467" s="16"/>
      <c r="B467" s="16"/>
      <c r="E467" s="16"/>
      <c r="F467" s="16"/>
      <c r="G467" s="16"/>
      <c r="H467" s="16"/>
      <c r="I467" s="16"/>
      <c r="J467" s="16"/>
      <c r="K467" s="16"/>
      <c r="L467" s="16"/>
      <c r="M467" s="16"/>
      <c r="N467" s="5" t="s">
        <v>112</v>
      </c>
      <c r="O467" s="16" t="str">
        <f t="shared" si="1"/>
        <v>#</v>
      </c>
      <c r="P467" s="16" t="str">
        <f t="shared" si="2"/>
        <v>#videoGame</v>
      </c>
      <c r="R467" s="16" t="str">
        <f>"("""&amp;C467&amp;""") ("&amp;Vlookup(E467,DropDown!B:C,2,FALSE)&amp; " OR ""Video Game"" OR Playstation OR iOS OR PS4 OR PS5 OR Xbox OR Switch OR Swtich 2 OR PC)"</f>
        <v>#N/A</v>
      </c>
      <c r="S467" s="44" t="str">
        <f>"("""&amp;C467&amp;""") ("&amp;Vlookup(E467,DropDown!K:L,2,FALSE)&amp; " | ""Video Game"" | Playstation | iOS | PS4 | PS5 | Xbox | Switch | Switch 2 | PC)"</f>
        <v>#N/A</v>
      </c>
      <c r="T467" s="44"/>
      <c r="U467" s="44"/>
      <c r="V467" s="44"/>
      <c r="W467" s="44"/>
      <c r="X467" s="44"/>
      <c r="Z467" s="44"/>
    </row>
    <row r="468">
      <c r="A468" s="16"/>
      <c r="B468" s="16"/>
      <c r="E468" s="16"/>
      <c r="F468" s="16"/>
      <c r="G468" s="16"/>
      <c r="H468" s="16"/>
      <c r="I468" s="16"/>
      <c r="J468" s="16"/>
      <c r="K468" s="16"/>
      <c r="L468" s="16"/>
      <c r="M468" s="16"/>
      <c r="N468" s="5" t="s">
        <v>112</v>
      </c>
      <c r="O468" s="16" t="str">
        <f t="shared" si="1"/>
        <v>#</v>
      </c>
      <c r="P468" s="16" t="str">
        <f t="shared" si="2"/>
        <v>#videoGame</v>
      </c>
      <c r="R468" s="16" t="str">
        <f>"("""&amp;C468&amp;""") ("&amp;Vlookup(E468,DropDown!B:C,2,FALSE)&amp; " OR ""Video Game"" OR Playstation OR iOS OR PS4 OR PS5 OR Xbox OR Switch OR Swtich 2 OR PC)"</f>
        <v>#N/A</v>
      </c>
      <c r="S468" s="44" t="str">
        <f>"("""&amp;C468&amp;""") ("&amp;Vlookup(E468,DropDown!K:L,2,FALSE)&amp; " | ""Video Game"" | Playstation | iOS | PS4 | PS5 | Xbox | Switch | Switch 2 | PC)"</f>
        <v>#N/A</v>
      </c>
      <c r="T468" s="44"/>
      <c r="U468" s="44"/>
      <c r="V468" s="44"/>
      <c r="W468" s="44"/>
      <c r="X468" s="44"/>
      <c r="Z468" s="44"/>
    </row>
    <row r="469">
      <c r="A469" s="16"/>
      <c r="B469" s="16"/>
      <c r="E469" s="16"/>
      <c r="F469" s="16"/>
      <c r="G469" s="16"/>
      <c r="H469" s="16"/>
      <c r="I469" s="16"/>
      <c r="J469" s="16"/>
      <c r="K469" s="16"/>
      <c r="L469" s="16"/>
      <c r="M469" s="16"/>
      <c r="N469" s="5" t="s">
        <v>112</v>
      </c>
      <c r="O469" s="16" t="str">
        <f t="shared" si="1"/>
        <v>#</v>
      </c>
      <c r="P469" s="16" t="str">
        <f t="shared" si="2"/>
        <v>#videoGame</v>
      </c>
      <c r="R469" s="16" t="str">
        <f>"("""&amp;C469&amp;""") ("&amp;Vlookup(E469,DropDown!B:C,2,FALSE)&amp; " OR ""Video Game"" OR Playstation OR iOS OR PS4 OR PS5 OR Xbox OR Switch OR Swtich 2 OR PC)"</f>
        <v>#N/A</v>
      </c>
      <c r="S469" s="44" t="str">
        <f>"("""&amp;C469&amp;""") ("&amp;Vlookup(E469,DropDown!K:L,2,FALSE)&amp; " | ""Video Game"" | Playstation | iOS | PS4 | PS5 | Xbox | Switch | Switch 2 | PC)"</f>
        <v>#N/A</v>
      </c>
      <c r="T469" s="44"/>
      <c r="U469" s="44"/>
      <c r="V469" s="44"/>
      <c r="W469" s="44"/>
      <c r="X469" s="44"/>
      <c r="Z469" s="44"/>
    </row>
    <row r="470">
      <c r="A470" s="16"/>
      <c r="B470" s="16"/>
      <c r="E470" s="16"/>
      <c r="F470" s="16"/>
      <c r="G470" s="16"/>
      <c r="H470" s="16"/>
      <c r="I470" s="16"/>
      <c r="J470" s="16"/>
      <c r="K470" s="16"/>
      <c r="L470" s="16"/>
      <c r="M470" s="16"/>
      <c r="N470" s="5" t="s">
        <v>112</v>
      </c>
      <c r="O470" s="16" t="str">
        <f t="shared" si="1"/>
        <v>#</v>
      </c>
      <c r="P470" s="16" t="str">
        <f t="shared" si="2"/>
        <v>#videoGame</v>
      </c>
      <c r="R470" s="16" t="str">
        <f>"("""&amp;C470&amp;""") ("&amp;Vlookup(E470,DropDown!B:C,2,FALSE)&amp; " OR ""Video Game"" OR Playstation OR iOS OR PS4 OR PS5 OR Xbox OR Switch OR Swtich 2 OR PC)"</f>
        <v>#N/A</v>
      </c>
      <c r="S470" s="44" t="str">
        <f>"("""&amp;C470&amp;""") ("&amp;Vlookup(E470,DropDown!K:L,2,FALSE)&amp; " | ""Video Game"" | Playstation | iOS | PS4 | PS5 | Xbox | Switch | Switch 2 | PC)"</f>
        <v>#N/A</v>
      </c>
      <c r="T470" s="44"/>
      <c r="U470" s="44"/>
      <c r="V470" s="44"/>
      <c r="W470" s="44"/>
      <c r="X470" s="44"/>
      <c r="Z470" s="44"/>
    </row>
    <row r="471">
      <c r="A471" s="16"/>
      <c r="B471" s="16"/>
      <c r="E471" s="16"/>
      <c r="F471" s="16"/>
      <c r="G471" s="16"/>
      <c r="H471" s="16"/>
      <c r="I471" s="16"/>
      <c r="J471" s="16"/>
      <c r="K471" s="16"/>
      <c r="L471" s="16"/>
      <c r="M471" s="16"/>
      <c r="N471" s="5" t="s">
        <v>112</v>
      </c>
      <c r="O471" s="16" t="str">
        <f t="shared" si="1"/>
        <v>#</v>
      </c>
      <c r="P471" s="16" t="str">
        <f t="shared" si="2"/>
        <v>#videoGame</v>
      </c>
      <c r="R471" s="16" t="str">
        <f>"("""&amp;C471&amp;""") ("&amp;Vlookup(E471,DropDown!B:C,2,FALSE)&amp; " OR ""Video Game"" OR Playstation OR iOS OR PS4 OR PS5 OR Xbox OR Switch OR Swtich 2 OR PC)"</f>
        <v>#N/A</v>
      </c>
      <c r="S471" s="44" t="str">
        <f>"("""&amp;C471&amp;""") ("&amp;Vlookup(E471,DropDown!K:L,2,FALSE)&amp; " | ""Video Game"" | Playstation | iOS | PS4 | PS5 | Xbox | Switch | Switch 2 | PC)"</f>
        <v>#N/A</v>
      </c>
      <c r="T471" s="44"/>
      <c r="U471" s="44"/>
      <c r="V471" s="44"/>
      <c r="W471" s="44"/>
      <c r="X471" s="44"/>
      <c r="Z471" s="44"/>
    </row>
    <row r="472">
      <c r="A472" s="16"/>
      <c r="B472" s="16"/>
      <c r="E472" s="16"/>
      <c r="F472" s="16"/>
      <c r="G472" s="16"/>
      <c r="H472" s="16"/>
      <c r="I472" s="16"/>
      <c r="J472" s="16"/>
      <c r="K472" s="16"/>
      <c r="L472" s="16"/>
      <c r="M472" s="16"/>
      <c r="N472" s="5" t="s">
        <v>112</v>
      </c>
      <c r="O472" s="16" t="str">
        <f t="shared" si="1"/>
        <v>#</v>
      </c>
      <c r="P472" s="16" t="str">
        <f t="shared" si="2"/>
        <v>#videoGame</v>
      </c>
      <c r="R472" s="16" t="str">
        <f>"("""&amp;C472&amp;""") ("&amp;Vlookup(E472,DropDown!B:C,2,FALSE)&amp; " OR ""Video Game"" OR Playstation OR iOS OR PS4 OR PS5 OR Xbox OR Switch OR Swtich 2 OR PC)"</f>
        <v>#N/A</v>
      </c>
      <c r="S472" s="44" t="str">
        <f>"("""&amp;C472&amp;""") ("&amp;Vlookup(E472,DropDown!K:L,2,FALSE)&amp; " | ""Video Game"" | Playstation | iOS | PS4 | PS5 | Xbox | Switch | Switch 2 | PC)"</f>
        <v>#N/A</v>
      </c>
      <c r="T472" s="44"/>
      <c r="U472" s="44"/>
      <c r="V472" s="44"/>
      <c r="W472" s="44"/>
      <c r="X472" s="44"/>
      <c r="Z472" s="44"/>
    </row>
    <row r="473">
      <c r="A473" s="16"/>
      <c r="B473" s="16"/>
      <c r="E473" s="16"/>
      <c r="F473" s="16"/>
      <c r="G473" s="16"/>
      <c r="H473" s="16"/>
      <c r="I473" s="16"/>
      <c r="J473" s="16"/>
      <c r="K473" s="16"/>
      <c r="L473" s="16"/>
      <c r="M473" s="16"/>
      <c r="N473" s="5" t="s">
        <v>112</v>
      </c>
      <c r="O473" s="16" t="str">
        <f t="shared" si="1"/>
        <v>#</v>
      </c>
      <c r="P473" s="16" t="str">
        <f t="shared" si="2"/>
        <v>#videoGame</v>
      </c>
      <c r="R473" s="16" t="str">
        <f>"("""&amp;C473&amp;""") ("&amp;Vlookup(E473,DropDown!B:C,2,FALSE)&amp; " OR ""Video Game"" OR Playstation OR iOS OR PS4 OR PS5 OR Xbox OR Switch OR Swtich 2 OR PC)"</f>
        <v>#N/A</v>
      </c>
      <c r="S473" s="44" t="str">
        <f>"("""&amp;C473&amp;""") ("&amp;Vlookup(E473,DropDown!K:L,2,FALSE)&amp; " | ""Video Game"" | Playstation | iOS | PS4 | PS5 | Xbox | Switch | Switch 2 | PC)"</f>
        <v>#N/A</v>
      </c>
      <c r="T473" s="44"/>
      <c r="U473" s="44"/>
      <c r="V473" s="44"/>
      <c r="W473" s="44"/>
      <c r="X473" s="44"/>
      <c r="Z473" s="44"/>
    </row>
    <row r="474">
      <c r="A474" s="16"/>
      <c r="B474" s="16"/>
      <c r="E474" s="16"/>
      <c r="F474" s="16"/>
      <c r="G474" s="16"/>
      <c r="H474" s="16"/>
      <c r="I474" s="16"/>
      <c r="J474" s="16"/>
      <c r="K474" s="16"/>
      <c r="L474" s="16"/>
      <c r="M474" s="16"/>
      <c r="N474" s="5" t="s">
        <v>112</v>
      </c>
      <c r="O474" s="16" t="str">
        <f t="shared" si="1"/>
        <v>#</v>
      </c>
      <c r="P474" s="16" t="str">
        <f t="shared" si="2"/>
        <v>#videoGame</v>
      </c>
      <c r="R474" s="16" t="str">
        <f>"("""&amp;C474&amp;""") ("&amp;Vlookup(E474,DropDown!B:C,2,FALSE)&amp; " OR ""Video Game"" OR Playstation OR iOS OR PS4 OR PS5 OR Xbox OR Switch OR Swtich 2 OR PC)"</f>
        <v>#N/A</v>
      </c>
      <c r="S474" s="44" t="str">
        <f>"("""&amp;C474&amp;""") ("&amp;Vlookup(E474,DropDown!K:L,2,FALSE)&amp; " | ""Video Game"" | Playstation | iOS | PS4 | PS5 | Xbox | Switch | Switch 2 | PC)"</f>
        <v>#N/A</v>
      </c>
      <c r="T474" s="44"/>
      <c r="U474" s="44"/>
      <c r="V474" s="44"/>
      <c r="W474" s="44"/>
      <c r="X474" s="44"/>
      <c r="Z474" s="44"/>
    </row>
    <row r="475">
      <c r="A475" s="16"/>
      <c r="B475" s="16"/>
      <c r="E475" s="16"/>
      <c r="F475" s="16"/>
      <c r="G475" s="16"/>
      <c r="H475" s="16"/>
      <c r="I475" s="16"/>
      <c r="J475" s="16"/>
      <c r="K475" s="16"/>
      <c r="L475" s="16"/>
      <c r="M475" s="16"/>
      <c r="N475" s="5" t="s">
        <v>112</v>
      </c>
      <c r="O475" s="16" t="str">
        <f t="shared" si="1"/>
        <v>#</v>
      </c>
      <c r="P475" s="16" t="str">
        <f t="shared" si="2"/>
        <v>#videoGame</v>
      </c>
      <c r="R475" s="16" t="str">
        <f>"("""&amp;C475&amp;""") ("&amp;Vlookup(E475,DropDown!B:C,2,FALSE)&amp; " OR ""Video Game"" OR Playstation OR iOS OR PS4 OR PS5 OR Xbox OR Switch OR Swtich 2 OR PC)"</f>
        <v>#N/A</v>
      </c>
      <c r="S475" s="44" t="str">
        <f>"("""&amp;C475&amp;""") ("&amp;Vlookup(E475,DropDown!K:L,2,FALSE)&amp; " | ""Video Game"" | Playstation | iOS | PS4 | PS5 | Xbox | Switch | Switch 2 | PC)"</f>
        <v>#N/A</v>
      </c>
      <c r="T475" s="44"/>
      <c r="U475" s="44"/>
      <c r="V475" s="44"/>
      <c r="W475" s="44"/>
      <c r="X475" s="44"/>
      <c r="Z475" s="44"/>
    </row>
    <row r="476">
      <c r="A476" s="16"/>
      <c r="B476" s="16"/>
      <c r="E476" s="16"/>
      <c r="F476" s="16"/>
      <c r="G476" s="16"/>
      <c r="H476" s="16"/>
      <c r="I476" s="16"/>
      <c r="J476" s="16"/>
      <c r="K476" s="16"/>
      <c r="L476" s="16"/>
      <c r="M476" s="16"/>
      <c r="N476" s="5" t="s">
        <v>112</v>
      </c>
      <c r="O476" s="16" t="str">
        <f t="shared" si="1"/>
        <v>#</v>
      </c>
      <c r="P476" s="16" t="str">
        <f t="shared" si="2"/>
        <v>#videoGame</v>
      </c>
      <c r="R476" s="16" t="str">
        <f>"("""&amp;C476&amp;""") ("&amp;Vlookup(E476,DropDown!B:C,2,FALSE)&amp; " OR ""Video Game"" OR Playstation OR iOS OR PS4 OR PS5 OR Xbox OR Switch OR Swtich 2 OR PC)"</f>
        <v>#N/A</v>
      </c>
      <c r="S476" s="44" t="str">
        <f>"("""&amp;C476&amp;""") ("&amp;Vlookup(E476,DropDown!K:L,2,FALSE)&amp; " | ""Video Game"" | Playstation | iOS | PS4 | PS5 | Xbox | Switch | Switch 2 | PC)"</f>
        <v>#N/A</v>
      </c>
      <c r="T476" s="44"/>
      <c r="U476" s="44"/>
      <c r="V476" s="44"/>
      <c r="W476" s="44"/>
      <c r="X476" s="44"/>
      <c r="Z476" s="44"/>
    </row>
    <row r="477">
      <c r="A477" s="16"/>
      <c r="B477" s="16"/>
      <c r="E477" s="16"/>
      <c r="F477" s="16"/>
      <c r="G477" s="16"/>
      <c r="H477" s="16"/>
      <c r="I477" s="16"/>
      <c r="J477" s="16"/>
      <c r="K477" s="16"/>
      <c r="L477" s="16"/>
      <c r="M477" s="16"/>
      <c r="N477" s="5" t="s">
        <v>112</v>
      </c>
      <c r="O477" s="16" t="str">
        <f t="shared" si="1"/>
        <v>#</v>
      </c>
      <c r="P477" s="16" t="str">
        <f t="shared" si="2"/>
        <v>#videoGame</v>
      </c>
      <c r="R477" s="16" t="str">
        <f>"("""&amp;C477&amp;""") ("&amp;Vlookup(E477,DropDown!B:C,2,FALSE)&amp; " OR ""Video Game"" OR Playstation OR iOS OR PS4 OR PS5 OR Xbox OR Switch OR Swtich 2 OR PC)"</f>
        <v>#N/A</v>
      </c>
      <c r="S477" s="44" t="str">
        <f>"("""&amp;C477&amp;""") ("&amp;Vlookup(E477,DropDown!K:L,2,FALSE)&amp; " | ""Video Game"" | Playstation | iOS | PS4 | PS5 | Xbox | Switch | Switch 2 | PC)"</f>
        <v>#N/A</v>
      </c>
      <c r="T477" s="44"/>
      <c r="U477" s="44"/>
      <c r="V477" s="44"/>
      <c r="W477" s="44"/>
      <c r="X477" s="44"/>
      <c r="Z477" s="44"/>
    </row>
    <row r="478">
      <c r="A478" s="16"/>
      <c r="B478" s="16"/>
      <c r="E478" s="16"/>
      <c r="F478" s="16"/>
      <c r="G478" s="16"/>
      <c r="H478" s="16"/>
      <c r="I478" s="16"/>
      <c r="J478" s="16"/>
      <c r="K478" s="16"/>
      <c r="L478" s="16"/>
      <c r="M478" s="16"/>
      <c r="N478" s="5" t="s">
        <v>112</v>
      </c>
      <c r="O478" s="16" t="str">
        <f t="shared" si="1"/>
        <v>#</v>
      </c>
      <c r="P478" s="16" t="str">
        <f t="shared" si="2"/>
        <v>#videoGame</v>
      </c>
      <c r="R478" s="16" t="str">
        <f>"("""&amp;C478&amp;""") ("&amp;Vlookup(E478,DropDown!B:C,2,FALSE)&amp; " OR ""Video Game"" OR Playstation OR iOS OR PS4 OR PS5 OR Xbox OR Switch OR Swtich 2 OR PC)"</f>
        <v>#N/A</v>
      </c>
      <c r="S478" s="44" t="str">
        <f>"("""&amp;C478&amp;""") ("&amp;Vlookup(E478,DropDown!K:L,2,FALSE)&amp; " | ""Video Game"" | Playstation | iOS | PS4 | PS5 | Xbox | Switch | Switch 2 | PC)"</f>
        <v>#N/A</v>
      </c>
      <c r="T478" s="44"/>
      <c r="U478" s="44"/>
      <c r="V478" s="44"/>
      <c r="W478" s="44"/>
      <c r="X478" s="44"/>
      <c r="Z478" s="44"/>
    </row>
    <row r="479">
      <c r="A479" s="16"/>
      <c r="B479" s="16"/>
      <c r="E479" s="16"/>
      <c r="F479" s="16"/>
      <c r="G479" s="16"/>
      <c r="H479" s="16"/>
      <c r="I479" s="16"/>
      <c r="J479" s="16"/>
      <c r="K479" s="16"/>
      <c r="L479" s="16"/>
      <c r="M479" s="16"/>
      <c r="N479" s="5" t="s">
        <v>112</v>
      </c>
      <c r="O479" s="16" t="str">
        <f t="shared" si="1"/>
        <v>#</v>
      </c>
      <c r="P479" s="16" t="str">
        <f t="shared" si="2"/>
        <v>#videoGame</v>
      </c>
      <c r="R479" s="16" t="str">
        <f>"("""&amp;C479&amp;""") ("&amp;Vlookup(E479,DropDown!B:C,2,FALSE)&amp; " OR ""Video Game"" OR Playstation OR iOS OR PS4 OR PS5 OR Xbox OR Switch OR Swtich 2 OR PC)"</f>
        <v>#N/A</v>
      </c>
      <c r="S479" s="44" t="str">
        <f>"("""&amp;C479&amp;""") ("&amp;Vlookup(E479,DropDown!K:L,2,FALSE)&amp; " | ""Video Game"" | Playstation | iOS | PS4 | PS5 | Xbox | Switch | Switch 2 | PC)"</f>
        <v>#N/A</v>
      </c>
      <c r="T479" s="44"/>
      <c r="U479" s="44"/>
      <c r="V479" s="44"/>
      <c r="W479" s="44"/>
      <c r="X479" s="44"/>
      <c r="Z479" s="44"/>
    </row>
    <row r="480">
      <c r="A480" s="16"/>
      <c r="B480" s="16"/>
      <c r="E480" s="16"/>
      <c r="F480" s="16"/>
      <c r="G480" s="16"/>
      <c r="H480" s="16"/>
      <c r="I480" s="16"/>
      <c r="J480" s="16"/>
      <c r="K480" s="16"/>
      <c r="L480" s="16"/>
      <c r="M480" s="16"/>
      <c r="N480" s="5" t="s">
        <v>112</v>
      </c>
      <c r="O480" s="16" t="str">
        <f t="shared" si="1"/>
        <v>#</v>
      </c>
      <c r="P480" s="16" t="str">
        <f t="shared" si="2"/>
        <v>#videoGame</v>
      </c>
      <c r="R480" s="16" t="str">
        <f>"("""&amp;C480&amp;""") ("&amp;Vlookup(E480,DropDown!B:C,2,FALSE)&amp; " OR ""Video Game"" OR Playstation OR iOS OR PS4 OR PS5 OR Xbox OR Switch OR Swtich 2 OR PC)"</f>
        <v>#N/A</v>
      </c>
      <c r="S480" s="44" t="str">
        <f>"("""&amp;C480&amp;""") ("&amp;Vlookup(E480,DropDown!K:L,2,FALSE)&amp; " | ""Video Game"" | Playstation | iOS | PS4 | PS5 | Xbox | Switch | Switch 2 | PC)"</f>
        <v>#N/A</v>
      </c>
      <c r="T480" s="44"/>
      <c r="U480" s="44"/>
      <c r="V480" s="44"/>
      <c r="W480" s="44"/>
      <c r="X480" s="44"/>
      <c r="Z480" s="44"/>
    </row>
    <row r="481">
      <c r="A481" s="16"/>
      <c r="B481" s="16"/>
      <c r="E481" s="16"/>
      <c r="F481" s="16"/>
      <c r="G481" s="16"/>
      <c r="H481" s="16"/>
      <c r="I481" s="16"/>
      <c r="J481" s="16"/>
      <c r="K481" s="16"/>
      <c r="L481" s="16"/>
      <c r="M481" s="16"/>
      <c r="N481" s="5" t="s">
        <v>112</v>
      </c>
      <c r="O481" s="16" t="str">
        <f t="shared" si="1"/>
        <v>#</v>
      </c>
      <c r="P481" s="16" t="str">
        <f t="shared" si="2"/>
        <v>#videoGame</v>
      </c>
      <c r="R481" s="16" t="str">
        <f>"("""&amp;C481&amp;""") ("&amp;Vlookup(E481,DropDown!B:C,2,FALSE)&amp; " OR ""Video Game"" OR Playstation OR iOS OR PS4 OR PS5 OR Xbox OR Switch OR Swtich 2 OR PC)"</f>
        <v>#N/A</v>
      </c>
      <c r="S481" s="44" t="str">
        <f>"("""&amp;C481&amp;""") ("&amp;Vlookup(E481,DropDown!K:L,2,FALSE)&amp; " | ""Video Game"" | Playstation | iOS | PS4 | PS5 | Xbox | Switch | Switch 2 | PC)"</f>
        <v>#N/A</v>
      </c>
      <c r="T481" s="44"/>
      <c r="U481" s="44"/>
      <c r="V481" s="44"/>
      <c r="W481" s="44"/>
      <c r="X481" s="44"/>
      <c r="Z481" s="44"/>
    </row>
    <row r="482">
      <c r="A482" s="16"/>
      <c r="B482" s="16"/>
      <c r="E482" s="16"/>
      <c r="F482" s="16"/>
      <c r="G482" s="16"/>
      <c r="H482" s="16"/>
      <c r="I482" s="16"/>
      <c r="J482" s="16"/>
      <c r="K482" s="16"/>
      <c r="L482" s="16"/>
      <c r="M482" s="16"/>
      <c r="N482" s="5" t="s">
        <v>112</v>
      </c>
      <c r="O482" s="16" t="str">
        <f t="shared" si="1"/>
        <v>#</v>
      </c>
      <c r="P482" s="16" t="str">
        <f t="shared" si="2"/>
        <v>#videoGame</v>
      </c>
      <c r="R482" s="16" t="str">
        <f>"("""&amp;C482&amp;""") ("&amp;Vlookup(E482,DropDown!B:C,2,FALSE)&amp; " OR ""Video Game"" OR Playstation OR iOS OR PS4 OR PS5 OR Xbox OR Switch OR Swtich 2 OR PC)"</f>
        <v>#N/A</v>
      </c>
      <c r="S482" s="44" t="str">
        <f>"("""&amp;C482&amp;""") ("&amp;Vlookup(E482,DropDown!K:L,2,FALSE)&amp; " | ""Video Game"" | Playstation | iOS | PS4 | PS5 | Xbox | Switch | Switch 2 | PC)"</f>
        <v>#N/A</v>
      </c>
      <c r="T482" s="44"/>
      <c r="U482" s="44"/>
      <c r="V482" s="44"/>
      <c r="W482" s="44"/>
      <c r="X482" s="44"/>
      <c r="Z482" s="44"/>
    </row>
    <row r="483">
      <c r="A483" s="16"/>
      <c r="B483" s="16"/>
      <c r="E483" s="16"/>
      <c r="F483" s="16"/>
      <c r="G483" s="16"/>
      <c r="H483" s="16"/>
      <c r="I483" s="16"/>
      <c r="J483" s="16"/>
      <c r="K483" s="16"/>
      <c r="L483" s="16"/>
      <c r="M483" s="16"/>
      <c r="N483" s="5" t="s">
        <v>112</v>
      </c>
      <c r="O483" s="16" t="str">
        <f t="shared" si="1"/>
        <v>#</v>
      </c>
      <c r="P483" s="16" t="str">
        <f t="shared" si="2"/>
        <v>#videoGame</v>
      </c>
      <c r="R483" s="16" t="str">
        <f>"("""&amp;C483&amp;""") ("&amp;Vlookup(E483,DropDown!B:C,2,FALSE)&amp; " OR ""Video Game"" OR Playstation OR iOS OR PS4 OR PS5 OR Xbox OR Switch OR Swtich 2 OR PC)"</f>
        <v>#N/A</v>
      </c>
      <c r="S483" s="44" t="str">
        <f>"("""&amp;C483&amp;""") ("&amp;Vlookup(E483,DropDown!K:L,2,FALSE)&amp; " | ""Video Game"" | Playstation | iOS | PS4 | PS5 | Xbox | Switch | Switch 2 | PC)"</f>
        <v>#N/A</v>
      </c>
      <c r="T483" s="44"/>
      <c r="U483" s="44"/>
      <c r="V483" s="44"/>
      <c r="W483" s="44"/>
      <c r="X483" s="44"/>
      <c r="Z483" s="44"/>
    </row>
    <row r="484">
      <c r="A484" s="16"/>
      <c r="B484" s="16"/>
      <c r="E484" s="16"/>
      <c r="F484" s="16"/>
      <c r="G484" s="16"/>
      <c r="H484" s="16"/>
      <c r="I484" s="16"/>
      <c r="J484" s="16"/>
      <c r="K484" s="16"/>
      <c r="L484" s="16"/>
      <c r="M484" s="16"/>
      <c r="N484" s="5" t="s">
        <v>112</v>
      </c>
      <c r="O484" s="16" t="str">
        <f t="shared" si="1"/>
        <v>#</v>
      </c>
      <c r="P484" s="16" t="str">
        <f t="shared" si="2"/>
        <v>#videoGame</v>
      </c>
      <c r="R484" s="16" t="str">
        <f>"("""&amp;C484&amp;""") ("&amp;Vlookup(E484,DropDown!B:C,2,FALSE)&amp; " OR ""Video Game"" OR Playstation OR iOS OR PS4 OR PS5 OR Xbox OR Switch OR Swtich 2 OR PC)"</f>
        <v>#N/A</v>
      </c>
      <c r="S484" s="44" t="str">
        <f>"("""&amp;C484&amp;""") ("&amp;Vlookup(E484,DropDown!K:L,2,FALSE)&amp; " | ""Video Game"" | Playstation | iOS | PS4 | PS5 | Xbox | Switch | Switch 2 | PC)"</f>
        <v>#N/A</v>
      </c>
      <c r="T484" s="44"/>
      <c r="U484" s="44"/>
      <c r="V484" s="44"/>
      <c r="W484" s="44"/>
      <c r="X484" s="44"/>
      <c r="Z484" s="44"/>
    </row>
    <row r="485">
      <c r="A485" s="16"/>
      <c r="B485" s="16"/>
      <c r="E485" s="16"/>
      <c r="F485" s="16"/>
      <c r="G485" s="16"/>
      <c r="H485" s="16"/>
      <c r="I485" s="16"/>
      <c r="J485" s="16"/>
      <c r="K485" s="16"/>
      <c r="L485" s="16"/>
      <c r="M485" s="16"/>
      <c r="N485" s="5" t="s">
        <v>112</v>
      </c>
      <c r="O485" s="16" t="str">
        <f t="shared" si="1"/>
        <v>#</v>
      </c>
      <c r="P485" s="16" t="str">
        <f t="shared" si="2"/>
        <v>#videoGame</v>
      </c>
      <c r="R485" s="16" t="str">
        <f>"("""&amp;C485&amp;""") ("&amp;Vlookup(E485,DropDown!B:C,2,FALSE)&amp; " OR ""Video Game"" OR Playstation OR iOS OR PS4 OR PS5 OR Xbox OR Switch OR Swtich 2 OR PC)"</f>
        <v>#N/A</v>
      </c>
      <c r="S485" s="44" t="str">
        <f>"("""&amp;C485&amp;""") ("&amp;Vlookup(E485,DropDown!K:L,2,FALSE)&amp; " | ""Video Game"" | Playstation | iOS | PS4 | PS5 | Xbox | Switch | Switch 2 | PC)"</f>
        <v>#N/A</v>
      </c>
      <c r="T485" s="44"/>
      <c r="U485" s="44"/>
      <c r="V485" s="44"/>
      <c r="W485" s="44"/>
      <c r="X485" s="44"/>
      <c r="Z485" s="44"/>
    </row>
    <row r="486">
      <c r="A486" s="16"/>
      <c r="B486" s="16"/>
      <c r="E486" s="16"/>
      <c r="F486" s="16"/>
      <c r="G486" s="16"/>
      <c r="H486" s="16"/>
      <c r="I486" s="16"/>
      <c r="J486" s="16"/>
      <c r="K486" s="16"/>
      <c r="L486" s="16"/>
      <c r="M486" s="16"/>
      <c r="N486" s="5" t="s">
        <v>112</v>
      </c>
      <c r="O486" s="16" t="str">
        <f t="shared" si="1"/>
        <v>#</v>
      </c>
      <c r="P486" s="16" t="str">
        <f t="shared" si="2"/>
        <v>#videoGame</v>
      </c>
      <c r="R486" s="16" t="str">
        <f>"("""&amp;C486&amp;""") ("&amp;Vlookup(E486,DropDown!B:C,2,FALSE)&amp; " OR ""Video Game"" OR Playstation OR iOS OR PS4 OR PS5 OR Xbox OR Switch OR Swtich 2 OR PC)"</f>
        <v>#N/A</v>
      </c>
      <c r="S486" s="44" t="str">
        <f>"("""&amp;C486&amp;""") ("&amp;Vlookup(E486,DropDown!K:L,2,FALSE)&amp; " | ""Video Game"" | Playstation | iOS | PS4 | PS5 | Xbox | Switch | Switch 2 | PC)"</f>
        <v>#N/A</v>
      </c>
      <c r="T486" s="44"/>
      <c r="U486" s="44"/>
      <c r="V486" s="44"/>
      <c r="W486" s="44"/>
      <c r="X486" s="44"/>
      <c r="Z486" s="44"/>
    </row>
    <row r="487">
      <c r="A487" s="16"/>
      <c r="B487" s="16"/>
      <c r="E487" s="16"/>
      <c r="F487" s="16"/>
      <c r="G487" s="16"/>
      <c r="H487" s="16"/>
      <c r="I487" s="16"/>
      <c r="J487" s="16"/>
      <c r="K487" s="16"/>
      <c r="L487" s="16"/>
      <c r="M487" s="16"/>
      <c r="N487" s="5" t="s">
        <v>112</v>
      </c>
      <c r="O487" s="16" t="str">
        <f t="shared" si="1"/>
        <v>#</v>
      </c>
      <c r="P487" s="16" t="str">
        <f t="shared" si="2"/>
        <v>#videoGame</v>
      </c>
      <c r="R487" s="16" t="str">
        <f>"("""&amp;C487&amp;""") ("&amp;Vlookup(E487,DropDown!B:C,2,FALSE)&amp; " OR ""Video Game"" OR Playstation OR iOS OR PS4 OR PS5 OR Xbox OR Switch OR Swtich 2 OR PC)"</f>
        <v>#N/A</v>
      </c>
      <c r="S487" s="44" t="str">
        <f>"("""&amp;C487&amp;""") ("&amp;Vlookup(E487,DropDown!K:L,2,FALSE)&amp; " | ""Video Game"" | Playstation | iOS | PS4 | PS5 | Xbox | Switch | Switch 2 | PC)"</f>
        <v>#N/A</v>
      </c>
      <c r="T487" s="44"/>
      <c r="U487" s="44"/>
      <c r="V487" s="44"/>
      <c r="W487" s="44"/>
      <c r="X487" s="44"/>
      <c r="Z487" s="44"/>
    </row>
    <row r="488">
      <c r="A488" s="16"/>
      <c r="B488" s="16"/>
      <c r="E488" s="16"/>
      <c r="F488" s="16"/>
      <c r="G488" s="16"/>
      <c r="H488" s="16"/>
      <c r="I488" s="16"/>
      <c r="J488" s="16"/>
      <c r="K488" s="16"/>
      <c r="L488" s="16"/>
      <c r="M488" s="16"/>
      <c r="N488" s="5" t="s">
        <v>112</v>
      </c>
      <c r="O488" s="16" t="str">
        <f t="shared" si="1"/>
        <v>#</v>
      </c>
      <c r="P488" s="16" t="str">
        <f t="shared" si="2"/>
        <v>#videoGame</v>
      </c>
      <c r="R488" s="16" t="str">
        <f>"("""&amp;C488&amp;""") ("&amp;Vlookup(E488,DropDown!B:C,2,FALSE)&amp; " OR ""Video Game"" OR Playstation OR iOS OR PS4 OR PS5 OR Xbox OR Switch OR Swtich 2 OR PC)"</f>
        <v>#N/A</v>
      </c>
      <c r="S488" s="44" t="str">
        <f>"("""&amp;C488&amp;""") ("&amp;Vlookup(E488,DropDown!K:L,2,FALSE)&amp; " | ""Video Game"" | Playstation | iOS | PS4 | PS5 | Xbox | Switch | Switch 2 | PC)"</f>
        <v>#N/A</v>
      </c>
      <c r="T488" s="44"/>
      <c r="U488" s="44"/>
      <c r="V488" s="44"/>
      <c r="W488" s="44"/>
      <c r="X488" s="44"/>
      <c r="Z488" s="44"/>
    </row>
    <row r="489">
      <c r="A489" s="16"/>
      <c r="B489" s="16"/>
      <c r="E489" s="16"/>
      <c r="F489" s="16"/>
      <c r="G489" s="16"/>
      <c r="H489" s="16"/>
      <c r="I489" s="16"/>
      <c r="J489" s="16"/>
      <c r="K489" s="16"/>
      <c r="L489" s="16"/>
      <c r="M489" s="16"/>
      <c r="N489" s="5" t="s">
        <v>112</v>
      </c>
      <c r="O489" s="16" t="str">
        <f t="shared" si="1"/>
        <v>#</v>
      </c>
      <c r="P489" s="16" t="str">
        <f t="shared" si="2"/>
        <v>#videoGame</v>
      </c>
      <c r="R489" s="16" t="str">
        <f>"("""&amp;C489&amp;""") ("&amp;Vlookup(E489,DropDown!B:C,2,FALSE)&amp; " OR ""Video Game"" OR Playstation OR iOS OR PS4 OR PS5 OR Xbox OR Switch OR Swtich 2 OR PC)"</f>
        <v>#N/A</v>
      </c>
      <c r="S489" s="44" t="str">
        <f>"("""&amp;C489&amp;""") ("&amp;Vlookup(E489,DropDown!K:L,2,FALSE)&amp; " | ""Video Game"" | Playstation | iOS | PS4 | PS5 | Xbox | Switch | Switch 2 | PC)"</f>
        <v>#N/A</v>
      </c>
      <c r="T489" s="44"/>
      <c r="U489" s="44"/>
      <c r="V489" s="44"/>
      <c r="W489" s="44"/>
      <c r="X489" s="44"/>
      <c r="Z489" s="44"/>
    </row>
    <row r="490">
      <c r="A490" s="16"/>
      <c r="B490" s="16"/>
      <c r="E490" s="16"/>
      <c r="F490" s="16"/>
      <c r="G490" s="16"/>
      <c r="H490" s="16"/>
      <c r="I490" s="16"/>
      <c r="J490" s="16"/>
      <c r="K490" s="16"/>
      <c r="L490" s="16"/>
      <c r="M490" s="16"/>
      <c r="N490" s="5" t="s">
        <v>112</v>
      </c>
      <c r="O490" s="16" t="str">
        <f t="shared" si="1"/>
        <v>#</v>
      </c>
      <c r="P490" s="16" t="str">
        <f t="shared" si="2"/>
        <v>#videoGame</v>
      </c>
      <c r="R490" s="16" t="str">
        <f>"("""&amp;C490&amp;""") ("&amp;Vlookup(E490,DropDown!B:C,2,FALSE)&amp; " OR ""Video Game"" OR Playstation OR iOS OR PS4 OR PS5 OR Xbox OR Switch OR Swtich 2 OR PC)"</f>
        <v>#N/A</v>
      </c>
      <c r="S490" s="44" t="str">
        <f>"("""&amp;C490&amp;""") ("&amp;Vlookup(E490,DropDown!K:L,2,FALSE)&amp; " | ""Video Game"" | Playstation | iOS | PS4 | PS5 | Xbox | Switch | Switch 2 | PC)"</f>
        <v>#N/A</v>
      </c>
      <c r="T490" s="44"/>
      <c r="U490" s="44"/>
      <c r="V490" s="44"/>
      <c r="W490" s="44"/>
      <c r="X490" s="44"/>
      <c r="Z490" s="44"/>
    </row>
    <row r="491">
      <c r="A491" s="16"/>
      <c r="B491" s="16"/>
      <c r="E491" s="16"/>
      <c r="F491" s="16"/>
      <c r="G491" s="16"/>
      <c r="H491" s="16"/>
      <c r="I491" s="16"/>
      <c r="J491" s="16"/>
      <c r="K491" s="16"/>
      <c r="L491" s="16"/>
      <c r="M491" s="16"/>
      <c r="N491" s="5" t="s">
        <v>112</v>
      </c>
      <c r="O491" s="16" t="str">
        <f t="shared" si="1"/>
        <v>#</v>
      </c>
      <c r="P491" s="16" t="str">
        <f t="shared" si="2"/>
        <v>#videoGame</v>
      </c>
      <c r="R491" s="16" t="str">
        <f>"("""&amp;C491&amp;""") ("&amp;Vlookup(E491,DropDown!B:C,2,FALSE)&amp; " OR ""Video Game"" OR Playstation OR iOS OR PS4 OR PS5 OR Xbox OR Switch OR Swtich 2 OR PC)"</f>
        <v>#N/A</v>
      </c>
      <c r="S491" s="44" t="str">
        <f>"("""&amp;C491&amp;""") ("&amp;Vlookup(E491,DropDown!K:L,2,FALSE)&amp; " | ""Video Game"" | Playstation | iOS | PS4 | PS5 | Xbox | Switch | Switch 2 | PC)"</f>
        <v>#N/A</v>
      </c>
      <c r="T491" s="44"/>
      <c r="U491" s="44"/>
      <c r="V491" s="44"/>
      <c r="W491" s="44"/>
      <c r="X491" s="44"/>
      <c r="Z491" s="44"/>
    </row>
    <row r="492">
      <c r="A492" s="16"/>
      <c r="B492" s="16"/>
      <c r="E492" s="16"/>
      <c r="F492" s="16"/>
      <c r="G492" s="16"/>
      <c r="H492" s="16"/>
      <c r="I492" s="16"/>
      <c r="J492" s="16"/>
      <c r="K492" s="16"/>
      <c r="L492" s="16"/>
      <c r="M492" s="16"/>
      <c r="N492" s="5" t="s">
        <v>112</v>
      </c>
      <c r="O492" s="16" t="str">
        <f t="shared" si="1"/>
        <v>#</v>
      </c>
      <c r="P492" s="16" t="str">
        <f t="shared" si="2"/>
        <v>#videoGame</v>
      </c>
      <c r="R492" s="16" t="str">
        <f>"("""&amp;C492&amp;""") ("&amp;Vlookup(E492,DropDown!B:C,2,FALSE)&amp; " OR ""Video Game"" OR Playstation OR iOS OR PS4 OR PS5 OR Xbox OR Switch OR Swtich 2 OR PC)"</f>
        <v>#N/A</v>
      </c>
      <c r="S492" s="44" t="str">
        <f>"("""&amp;C492&amp;""") ("&amp;Vlookup(E492,DropDown!K:L,2,FALSE)&amp; " | ""Video Game"" | Playstation | iOS | PS4 | PS5 | Xbox | Switch | Switch 2 | PC)"</f>
        <v>#N/A</v>
      </c>
      <c r="T492" s="44"/>
      <c r="U492" s="44"/>
      <c r="V492" s="44"/>
      <c r="W492" s="44"/>
      <c r="X492" s="44"/>
      <c r="Z492" s="44"/>
    </row>
    <row r="493">
      <c r="A493" s="16"/>
      <c r="B493" s="16"/>
      <c r="E493" s="16"/>
      <c r="F493" s="16"/>
      <c r="G493" s="16"/>
      <c r="H493" s="16"/>
      <c r="I493" s="16"/>
      <c r="J493" s="16"/>
      <c r="K493" s="16"/>
      <c r="L493" s="16"/>
      <c r="M493" s="16"/>
      <c r="N493" s="5" t="s">
        <v>112</v>
      </c>
      <c r="O493" s="16" t="str">
        <f t="shared" si="1"/>
        <v>#</v>
      </c>
      <c r="P493" s="16" t="str">
        <f t="shared" si="2"/>
        <v>#videoGame</v>
      </c>
      <c r="R493" s="16" t="str">
        <f>"("""&amp;C493&amp;""") ("&amp;Vlookup(E493,DropDown!B:C,2,FALSE)&amp; " OR ""Video Game"" OR Playstation OR iOS OR PS4 OR PS5 OR Xbox OR Switch OR Swtich 2 OR PC)"</f>
        <v>#N/A</v>
      </c>
      <c r="S493" s="44" t="str">
        <f>"("""&amp;C493&amp;""") ("&amp;Vlookup(E493,DropDown!K:L,2,FALSE)&amp; " | ""Video Game"" | Playstation | iOS | PS4 | PS5 | Xbox | Switch | Switch 2 | PC)"</f>
        <v>#N/A</v>
      </c>
      <c r="T493" s="44"/>
      <c r="U493" s="44"/>
      <c r="V493" s="44"/>
      <c r="W493" s="44"/>
      <c r="X493" s="44"/>
      <c r="Z493" s="44"/>
    </row>
    <row r="494">
      <c r="A494" s="16"/>
      <c r="B494" s="16"/>
      <c r="E494" s="16"/>
      <c r="F494" s="16"/>
      <c r="G494" s="16"/>
      <c r="H494" s="16"/>
      <c r="I494" s="16"/>
      <c r="J494" s="16"/>
      <c r="K494" s="16"/>
      <c r="L494" s="16"/>
      <c r="M494" s="16"/>
      <c r="N494" s="5" t="s">
        <v>112</v>
      </c>
      <c r="O494" s="16" t="str">
        <f t="shared" si="1"/>
        <v>#</v>
      </c>
      <c r="P494" s="16" t="str">
        <f t="shared" si="2"/>
        <v>#videoGame</v>
      </c>
      <c r="R494" s="16" t="str">
        <f>"("""&amp;C494&amp;""") ("&amp;Vlookup(E494,DropDown!B:C,2,FALSE)&amp; " OR ""Video Game"" OR Playstation OR iOS OR PS4 OR PS5 OR Xbox OR Switch OR Swtich 2 OR PC)"</f>
        <v>#N/A</v>
      </c>
      <c r="S494" s="44" t="str">
        <f>"("""&amp;C494&amp;""") ("&amp;Vlookup(E494,DropDown!K:L,2,FALSE)&amp; " | ""Video Game"" | Playstation | iOS | PS4 | PS5 | Xbox | Switch | Switch 2 | PC)"</f>
        <v>#N/A</v>
      </c>
      <c r="T494" s="44"/>
      <c r="U494" s="44"/>
      <c r="V494" s="44"/>
      <c r="W494" s="44"/>
      <c r="X494" s="44"/>
      <c r="Z494" s="44"/>
    </row>
    <row r="495">
      <c r="A495" s="16"/>
      <c r="B495" s="16"/>
      <c r="E495" s="16"/>
      <c r="F495" s="16"/>
      <c r="G495" s="16"/>
      <c r="H495" s="16"/>
      <c r="I495" s="16"/>
      <c r="J495" s="16"/>
      <c r="K495" s="16"/>
      <c r="L495" s="16"/>
      <c r="M495" s="16"/>
      <c r="N495" s="5" t="s">
        <v>112</v>
      </c>
      <c r="O495" s="16" t="str">
        <f t="shared" si="1"/>
        <v>#</v>
      </c>
      <c r="P495" s="16" t="str">
        <f t="shared" si="2"/>
        <v>#videoGame</v>
      </c>
      <c r="R495" s="16" t="str">
        <f>"("""&amp;C495&amp;""") ("&amp;Vlookup(E495,DropDown!B:C,2,FALSE)&amp; " OR ""Video Game"" OR Playstation OR iOS OR PS4 OR PS5 OR Xbox OR Switch OR Swtich 2 OR PC)"</f>
        <v>#N/A</v>
      </c>
      <c r="S495" s="44" t="str">
        <f>"("""&amp;C495&amp;""") ("&amp;Vlookup(E495,DropDown!K:L,2,FALSE)&amp; " | ""Video Game"" | Playstation | iOS | PS4 | PS5 | Xbox | Switch | Switch 2 | PC)"</f>
        <v>#N/A</v>
      </c>
      <c r="T495" s="44"/>
      <c r="U495" s="44"/>
      <c r="V495" s="44"/>
      <c r="W495" s="44"/>
      <c r="X495" s="44"/>
      <c r="Z495" s="44"/>
    </row>
    <row r="496">
      <c r="A496" s="16"/>
      <c r="B496" s="16"/>
      <c r="E496" s="16"/>
      <c r="F496" s="16"/>
      <c r="G496" s="16"/>
      <c r="H496" s="16"/>
      <c r="I496" s="16"/>
      <c r="J496" s="16"/>
      <c r="K496" s="16"/>
      <c r="L496" s="16"/>
      <c r="M496" s="16"/>
      <c r="N496" s="5" t="s">
        <v>112</v>
      </c>
      <c r="O496" s="16" t="str">
        <f t="shared" si="1"/>
        <v>#</v>
      </c>
      <c r="P496" s="16" t="str">
        <f t="shared" si="2"/>
        <v>#videoGame</v>
      </c>
      <c r="R496" s="16" t="str">
        <f>"("""&amp;C496&amp;""") ("&amp;Vlookup(E496,DropDown!B:C,2,FALSE)&amp; " OR ""Video Game"" OR Playstation OR iOS OR PS4 OR PS5 OR Xbox OR Switch OR Swtich 2 OR PC)"</f>
        <v>#N/A</v>
      </c>
      <c r="S496" s="44" t="str">
        <f>"("""&amp;C496&amp;""") ("&amp;Vlookup(E496,DropDown!K:L,2,FALSE)&amp; " | ""Video Game"" | Playstation | iOS | PS4 | PS5 | Xbox | Switch | Switch 2 | PC)"</f>
        <v>#N/A</v>
      </c>
      <c r="T496" s="44"/>
      <c r="U496" s="44"/>
      <c r="V496" s="44"/>
      <c r="W496" s="44"/>
      <c r="X496" s="44"/>
      <c r="Z496" s="44"/>
    </row>
    <row r="497">
      <c r="A497" s="16"/>
      <c r="B497" s="16"/>
      <c r="E497" s="16"/>
      <c r="F497" s="16"/>
      <c r="G497" s="16"/>
      <c r="H497" s="16"/>
      <c r="I497" s="16"/>
      <c r="J497" s="16"/>
      <c r="K497" s="16"/>
      <c r="L497" s="16"/>
      <c r="M497" s="16"/>
      <c r="N497" s="5" t="s">
        <v>112</v>
      </c>
      <c r="O497" s="16" t="str">
        <f t="shared" si="1"/>
        <v>#</v>
      </c>
      <c r="P497" s="16" t="str">
        <f t="shared" si="2"/>
        <v>#videoGame</v>
      </c>
      <c r="R497" s="16" t="str">
        <f>"("""&amp;C497&amp;""") ("&amp;Vlookup(E497,DropDown!B:C,2,FALSE)&amp; " OR ""Video Game"" OR Playstation OR iOS OR PS4 OR PS5 OR Xbox OR Switch OR Swtich 2 OR PC)"</f>
        <v>#N/A</v>
      </c>
      <c r="S497" s="44" t="str">
        <f>"("""&amp;C497&amp;""") ("&amp;Vlookup(E497,DropDown!K:L,2,FALSE)&amp; " | ""Video Game"" | Playstation | iOS | PS4 | PS5 | Xbox | Switch | Switch 2 | PC)"</f>
        <v>#N/A</v>
      </c>
      <c r="T497" s="44"/>
      <c r="U497" s="44"/>
      <c r="V497" s="44"/>
      <c r="W497" s="44"/>
      <c r="X497" s="44"/>
      <c r="Z497" s="44"/>
    </row>
    <row r="498">
      <c r="A498" s="16"/>
      <c r="B498" s="16"/>
      <c r="E498" s="16"/>
      <c r="F498" s="16"/>
      <c r="G498" s="16"/>
      <c r="H498" s="16"/>
      <c r="I498" s="16"/>
      <c r="J498" s="16"/>
      <c r="K498" s="16"/>
      <c r="L498" s="16"/>
      <c r="M498" s="16"/>
      <c r="N498" s="5" t="s">
        <v>112</v>
      </c>
      <c r="O498" s="16" t="str">
        <f t="shared" si="1"/>
        <v>#</v>
      </c>
      <c r="P498" s="16" t="str">
        <f t="shared" si="2"/>
        <v>#videoGame</v>
      </c>
      <c r="R498" s="16" t="str">
        <f>"("""&amp;C498&amp;""") ("&amp;Vlookup(E498,DropDown!B:C,2,FALSE)&amp; " OR ""Video Game"" OR Playstation OR iOS OR PS4 OR PS5 OR Xbox OR Switch OR Swtich 2 OR PC)"</f>
        <v>#N/A</v>
      </c>
      <c r="S498" s="44" t="str">
        <f>"("""&amp;C498&amp;""") ("&amp;Vlookup(E498,DropDown!K:L,2,FALSE)&amp; " | ""Video Game"" | Playstation | iOS | PS4 | PS5 | Xbox | Switch | Switch 2 | PC)"</f>
        <v>#N/A</v>
      </c>
      <c r="T498" s="44"/>
      <c r="U498" s="44"/>
      <c r="V498" s="44"/>
      <c r="W498" s="44"/>
      <c r="X498" s="44"/>
      <c r="Z498" s="44"/>
    </row>
    <row r="499">
      <c r="A499" s="16"/>
      <c r="B499" s="16"/>
      <c r="E499" s="16"/>
      <c r="F499" s="16"/>
      <c r="G499" s="16"/>
      <c r="H499" s="16"/>
      <c r="I499" s="16"/>
      <c r="J499" s="16"/>
      <c r="K499" s="16"/>
      <c r="L499" s="16"/>
      <c r="M499" s="16"/>
      <c r="N499" s="5" t="s">
        <v>112</v>
      </c>
      <c r="O499" s="16" t="str">
        <f t="shared" si="1"/>
        <v>#</v>
      </c>
      <c r="P499" s="16" t="str">
        <f t="shared" si="2"/>
        <v>#videoGame</v>
      </c>
      <c r="R499" s="16" t="str">
        <f>"("""&amp;C499&amp;""") ("&amp;Vlookup(E499,DropDown!B:C,2,FALSE)&amp; " OR ""Video Game"" OR Playstation OR iOS OR PS4 OR PS5 OR Xbox OR Switch OR Swtich 2 OR PC)"</f>
        <v>#N/A</v>
      </c>
      <c r="S499" s="44" t="str">
        <f>"("""&amp;C499&amp;""") ("&amp;Vlookup(E499,DropDown!K:L,2,FALSE)&amp; " | ""Video Game"" | Playstation | iOS | PS4 | PS5 | Xbox | Switch | Switch 2 | PC)"</f>
        <v>#N/A</v>
      </c>
      <c r="T499" s="44"/>
      <c r="U499" s="44"/>
      <c r="V499" s="44"/>
      <c r="W499" s="44"/>
      <c r="X499" s="44"/>
      <c r="Z499" s="44"/>
    </row>
    <row r="500">
      <c r="A500" s="16"/>
      <c r="B500" s="16"/>
      <c r="E500" s="16"/>
      <c r="F500" s="16"/>
      <c r="G500" s="16"/>
      <c r="H500" s="16"/>
      <c r="I500" s="16"/>
      <c r="J500" s="16"/>
      <c r="K500" s="16"/>
      <c r="L500" s="16"/>
      <c r="M500" s="16"/>
      <c r="N500" s="5" t="s">
        <v>112</v>
      </c>
      <c r="O500" s="16" t="str">
        <f t="shared" si="1"/>
        <v>#</v>
      </c>
      <c r="P500" s="16" t="str">
        <f t="shared" si="2"/>
        <v>#videoGame</v>
      </c>
      <c r="R500" s="16" t="str">
        <f>"("""&amp;C500&amp;""") ("&amp;Vlookup(E500,DropDown!B:C,2,FALSE)&amp; " OR ""Video Game"" OR Playstation OR iOS OR PS4 OR PS5 OR Xbox OR Switch OR Swtich 2 OR PC)"</f>
        <v>#N/A</v>
      </c>
      <c r="S500" s="44" t="str">
        <f>"("""&amp;C500&amp;""") ("&amp;Vlookup(E500,DropDown!K:L,2,FALSE)&amp; " | ""Video Game"" | Playstation | iOS | PS4 | PS5 | Xbox | Switch | Switch 2 | PC)"</f>
        <v>#N/A</v>
      </c>
      <c r="T500" s="44"/>
      <c r="U500" s="44"/>
      <c r="V500" s="44"/>
      <c r="W500" s="44"/>
      <c r="X500" s="44"/>
      <c r="Z500" s="44"/>
    </row>
    <row r="501">
      <c r="A501" s="16"/>
      <c r="B501" s="16"/>
      <c r="E501" s="16"/>
      <c r="F501" s="16"/>
      <c r="G501" s="16"/>
      <c r="H501" s="16"/>
      <c r="I501" s="16"/>
      <c r="J501" s="16"/>
      <c r="K501" s="16"/>
      <c r="L501" s="16"/>
      <c r="M501" s="16"/>
      <c r="N501" s="5" t="s">
        <v>112</v>
      </c>
      <c r="O501" s="16" t="str">
        <f t="shared" si="1"/>
        <v>#</v>
      </c>
      <c r="P501" s="16" t="str">
        <f t="shared" si="2"/>
        <v>#videoGame</v>
      </c>
      <c r="R501" s="16" t="str">
        <f>"("""&amp;C501&amp;""") ("&amp;Vlookup(E501,DropDown!B:C,2,FALSE)&amp; " OR ""Video Game"" OR Playstation OR iOS OR PS4 OR PS5 OR Xbox OR Switch OR Swtich 2 OR PC)"</f>
        <v>#N/A</v>
      </c>
      <c r="S501" s="44" t="str">
        <f>"("""&amp;C501&amp;""") ("&amp;Vlookup(E501,DropDown!K:L,2,FALSE)&amp; " | ""Video Game"" | Playstation | iOS | PS4 | PS5 | Xbox | Switch | Switch 2 | PC)"</f>
        <v>#N/A</v>
      </c>
      <c r="T501" s="44"/>
      <c r="U501" s="44"/>
      <c r="V501" s="44"/>
      <c r="W501" s="44"/>
      <c r="X501" s="44"/>
      <c r="Z501" s="44"/>
    </row>
    <row r="502">
      <c r="A502" s="16"/>
      <c r="B502" s="16"/>
      <c r="E502" s="16"/>
      <c r="F502" s="16"/>
      <c r="G502" s="16"/>
      <c r="H502" s="16"/>
      <c r="I502" s="16"/>
      <c r="J502" s="16"/>
      <c r="K502" s="16"/>
      <c r="L502" s="16"/>
      <c r="M502" s="16"/>
      <c r="N502" s="5" t="s">
        <v>112</v>
      </c>
      <c r="O502" s="16" t="str">
        <f t="shared" si="1"/>
        <v>#</v>
      </c>
      <c r="P502" s="16" t="str">
        <f t="shared" si="2"/>
        <v>#videoGame</v>
      </c>
      <c r="R502" s="16" t="str">
        <f>"("""&amp;C502&amp;""") ("&amp;Vlookup(E502,DropDown!B:C,2,FALSE)&amp; " OR ""Video Game"" OR Playstation OR iOS OR PS4 OR PS5 OR Xbox OR Switch OR Swtich 2 OR PC)"</f>
        <v>#N/A</v>
      </c>
      <c r="S502" s="44" t="str">
        <f>"("""&amp;C502&amp;""") ("&amp;Vlookup(E502,DropDown!K:L,2,FALSE)&amp; " | ""Video Game"" | Playstation | iOS | PS4 | PS5 | Xbox | Switch | Switch 2 | PC)"</f>
        <v>#N/A</v>
      </c>
      <c r="T502" s="44"/>
      <c r="U502" s="44"/>
      <c r="V502" s="44"/>
      <c r="W502" s="44"/>
      <c r="X502" s="44"/>
      <c r="Z502" s="44"/>
    </row>
    <row r="503">
      <c r="A503" s="16"/>
      <c r="B503" s="16"/>
      <c r="E503" s="16"/>
      <c r="F503" s="16"/>
      <c r="G503" s="16"/>
      <c r="H503" s="16"/>
      <c r="I503" s="16"/>
      <c r="J503" s="16"/>
      <c r="K503" s="16"/>
      <c r="L503" s="16"/>
      <c r="M503" s="16"/>
      <c r="N503" s="5" t="s">
        <v>112</v>
      </c>
      <c r="O503" s="16" t="str">
        <f t="shared" si="1"/>
        <v>#</v>
      </c>
      <c r="P503" s="16" t="str">
        <f t="shared" si="2"/>
        <v>#videoGame</v>
      </c>
      <c r="R503" s="16" t="str">
        <f>"("""&amp;C503&amp;""") ("&amp;Vlookup(E503,DropDown!B:C,2,FALSE)&amp; " OR ""Video Game"" OR Playstation OR iOS OR PS4 OR PS5 OR Xbox OR Switch OR Swtich 2 OR PC)"</f>
        <v>#N/A</v>
      </c>
      <c r="S503" s="44" t="str">
        <f>"("""&amp;C503&amp;""") ("&amp;Vlookup(E503,DropDown!K:L,2,FALSE)&amp; " | ""Video Game"" | Playstation | iOS | PS4 | PS5 | Xbox | Switch | Switch 2 | PC)"</f>
        <v>#N/A</v>
      </c>
      <c r="T503" s="44"/>
      <c r="U503" s="44"/>
      <c r="V503" s="44"/>
      <c r="W503" s="44"/>
      <c r="X503" s="44"/>
      <c r="Z503" s="44"/>
    </row>
    <row r="504">
      <c r="A504" s="16"/>
      <c r="B504" s="16"/>
      <c r="E504" s="16"/>
      <c r="F504" s="16"/>
      <c r="G504" s="16"/>
      <c r="H504" s="16"/>
      <c r="I504" s="16"/>
      <c r="J504" s="16"/>
      <c r="K504" s="16"/>
      <c r="L504" s="16"/>
      <c r="M504" s="16"/>
      <c r="N504" s="5" t="s">
        <v>112</v>
      </c>
      <c r="O504" s="16" t="str">
        <f t="shared" si="1"/>
        <v>#</v>
      </c>
      <c r="P504" s="16" t="str">
        <f t="shared" si="2"/>
        <v>#videoGame</v>
      </c>
      <c r="R504" s="16" t="str">
        <f>"("""&amp;C504&amp;""") ("&amp;Vlookup(E504,DropDown!B:C,2,FALSE)&amp; " OR ""Video Game"" OR Playstation OR iOS OR PS4 OR PS5 OR Xbox OR Switch OR Swtich 2 OR PC)"</f>
        <v>#N/A</v>
      </c>
      <c r="S504" s="44" t="str">
        <f>"("""&amp;C504&amp;""") ("&amp;Vlookup(E504,DropDown!K:L,2,FALSE)&amp; " | ""Video Game"" | Playstation | iOS | PS4 | PS5 | Xbox | Switch | Switch 2 | PC)"</f>
        <v>#N/A</v>
      </c>
      <c r="T504" s="44"/>
      <c r="U504" s="44"/>
      <c r="V504" s="44"/>
      <c r="W504" s="44"/>
      <c r="X504" s="44"/>
      <c r="Z504" s="44"/>
    </row>
    <row r="505">
      <c r="A505" s="16"/>
      <c r="B505" s="16"/>
      <c r="E505" s="16"/>
      <c r="F505" s="16"/>
      <c r="G505" s="16"/>
      <c r="H505" s="16"/>
      <c r="I505" s="16"/>
      <c r="J505" s="16"/>
      <c r="K505" s="16"/>
      <c r="L505" s="16"/>
      <c r="M505" s="16"/>
      <c r="N505" s="5" t="s">
        <v>112</v>
      </c>
      <c r="O505" s="16" t="str">
        <f t="shared" si="1"/>
        <v>#</v>
      </c>
      <c r="P505" s="16" t="str">
        <f t="shared" si="2"/>
        <v>#videoGame</v>
      </c>
      <c r="R505" s="16" t="str">
        <f>"("""&amp;C505&amp;""") ("&amp;Vlookup(E505,DropDown!B:C,2,FALSE)&amp; " OR ""Video Game"" OR Playstation OR iOS OR PS4 OR PS5 OR Xbox OR Switch OR Swtich 2 OR PC)"</f>
        <v>#N/A</v>
      </c>
      <c r="S505" s="44" t="str">
        <f>"("""&amp;C505&amp;""") ("&amp;Vlookup(E505,DropDown!K:L,2,FALSE)&amp; " | ""Video Game"" | Playstation | iOS | PS4 | PS5 | Xbox | Switch | Switch 2 | PC)"</f>
        <v>#N/A</v>
      </c>
      <c r="T505" s="44"/>
      <c r="U505" s="44"/>
      <c r="V505" s="44"/>
      <c r="W505" s="44"/>
      <c r="X505" s="44"/>
      <c r="Z505" s="44"/>
    </row>
    <row r="506">
      <c r="A506" s="16"/>
      <c r="B506" s="16"/>
      <c r="E506" s="16"/>
      <c r="F506" s="16"/>
      <c r="G506" s="16"/>
      <c r="H506" s="16"/>
      <c r="I506" s="16"/>
      <c r="J506" s="16"/>
      <c r="K506" s="16"/>
      <c r="L506" s="16"/>
      <c r="M506" s="16"/>
      <c r="N506" s="5" t="s">
        <v>112</v>
      </c>
      <c r="O506" s="16" t="str">
        <f t="shared" si="1"/>
        <v>#</v>
      </c>
      <c r="P506" s="16" t="str">
        <f t="shared" si="2"/>
        <v>#videoGame</v>
      </c>
      <c r="R506" s="16" t="str">
        <f>"("""&amp;C506&amp;""") ("&amp;Vlookup(E506,DropDown!B:C,2,FALSE)&amp; " OR ""Video Game"" OR Playstation OR iOS OR PS4 OR PS5 OR Xbox OR Switch OR Swtich 2 OR PC)"</f>
        <v>#N/A</v>
      </c>
      <c r="S506" s="44" t="str">
        <f>"("""&amp;C506&amp;""") ("&amp;Vlookup(E506,DropDown!K:L,2,FALSE)&amp; " | ""Video Game"" | Playstation | iOS | PS4 | PS5 | Xbox | Switch | Switch 2 | PC)"</f>
        <v>#N/A</v>
      </c>
      <c r="T506" s="44"/>
      <c r="U506" s="44"/>
      <c r="V506" s="44"/>
      <c r="W506" s="44"/>
      <c r="X506" s="44"/>
      <c r="Z506" s="44"/>
    </row>
    <row r="507">
      <c r="A507" s="16"/>
      <c r="B507" s="16"/>
      <c r="E507" s="16"/>
      <c r="F507" s="16"/>
      <c r="G507" s="16"/>
      <c r="H507" s="16"/>
      <c r="I507" s="16"/>
      <c r="J507" s="16"/>
      <c r="K507" s="16"/>
      <c r="L507" s="16"/>
      <c r="M507" s="16"/>
      <c r="N507" s="5" t="s">
        <v>112</v>
      </c>
      <c r="O507" s="16" t="str">
        <f t="shared" si="1"/>
        <v>#</v>
      </c>
      <c r="P507" s="16" t="str">
        <f t="shared" si="2"/>
        <v>#videoGame</v>
      </c>
      <c r="R507" s="16" t="str">
        <f>"("""&amp;C507&amp;""") ("&amp;Vlookup(E507,DropDown!B:C,2,FALSE)&amp; " OR ""Video Game"" OR Playstation OR iOS OR PS4 OR PS5 OR Xbox OR Switch OR Swtich 2 OR PC)"</f>
        <v>#N/A</v>
      </c>
      <c r="S507" s="44" t="str">
        <f>"("""&amp;C507&amp;""") ("&amp;Vlookup(E507,DropDown!K:L,2,FALSE)&amp; " | ""Video Game"" | Playstation | iOS | PS4 | PS5 | Xbox | Switch | Switch 2 | PC)"</f>
        <v>#N/A</v>
      </c>
      <c r="T507" s="44"/>
      <c r="U507" s="44"/>
      <c r="V507" s="44"/>
      <c r="W507" s="44"/>
      <c r="X507" s="44"/>
      <c r="Z507" s="44"/>
    </row>
    <row r="508">
      <c r="A508" s="16"/>
      <c r="B508" s="16"/>
      <c r="E508" s="16"/>
      <c r="F508" s="16"/>
      <c r="G508" s="16"/>
      <c r="H508" s="16"/>
      <c r="I508" s="16"/>
      <c r="J508" s="16"/>
      <c r="K508" s="16"/>
      <c r="L508" s="16"/>
      <c r="M508" s="16"/>
      <c r="N508" s="5" t="s">
        <v>112</v>
      </c>
      <c r="O508" s="16" t="str">
        <f t="shared" si="1"/>
        <v>#</v>
      </c>
      <c r="P508" s="16" t="str">
        <f t="shared" si="2"/>
        <v>#videoGame</v>
      </c>
      <c r="R508" s="16" t="str">
        <f>"("""&amp;C508&amp;""") ("&amp;Vlookup(E508,DropDown!B:C,2,FALSE)&amp; " OR ""Video Game"" OR Playstation OR iOS OR PS4 OR PS5 OR Xbox OR Switch OR Swtich 2 OR PC)"</f>
        <v>#N/A</v>
      </c>
      <c r="S508" s="44" t="str">
        <f>"("""&amp;C508&amp;""") ("&amp;Vlookup(E508,DropDown!K:L,2,FALSE)&amp; " | ""Video Game"" | Playstation | iOS | PS4 | PS5 | Xbox | Switch | Switch 2 | PC)"</f>
        <v>#N/A</v>
      </c>
      <c r="T508" s="44"/>
      <c r="U508" s="44"/>
      <c r="V508" s="44"/>
      <c r="W508" s="44"/>
      <c r="X508" s="44"/>
      <c r="Z508" s="44"/>
    </row>
    <row r="509">
      <c r="A509" s="16"/>
      <c r="B509" s="16"/>
      <c r="E509" s="16"/>
      <c r="F509" s="16"/>
      <c r="G509" s="16"/>
      <c r="H509" s="16"/>
      <c r="I509" s="16"/>
      <c r="J509" s="16"/>
      <c r="K509" s="16"/>
      <c r="L509" s="16"/>
      <c r="M509" s="16"/>
      <c r="N509" s="5" t="s">
        <v>112</v>
      </c>
      <c r="O509" s="16" t="str">
        <f t="shared" si="1"/>
        <v>#</v>
      </c>
      <c r="P509" s="16" t="str">
        <f t="shared" si="2"/>
        <v>#videoGame</v>
      </c>
      <c r="R509" s="16" t="str">
        <f>"("""&amp;C509&amp;""") ("&amp;Vlookup(E509,DropDown!B:C,2,FALSE)&amp; " OR ""Video Game"" OR Playstation OR iOS OR PS4 OR PS5 OR Xbox OR Switch OR Swtich 2 OR PC)"</f>
        <v>#N/A</v>
      </c>
      <c r="S509" s="44" t="str">
        <f>"("""&amp;C509&amp;""") ("&amp;Vlookup(E509,DropDown!K:L,2,FALSE)&amp; " | ""Video Game"" | Playstation | iOS | PS4 | PS5 | Xbox | Switch | Switch 2 | PC)"</f>
        <v>#N/A</v>
      </c>
      <c r="T509" s="44"/>
      <c r="U509" s="44"/>
      <c r="V509" s="44"/>
      <c r="W509" s="44"/>
      <c r="X509" s="44"/>
      <c r="Z509" s="44"/>
    </row>
    <row r="510">
      <c r="A510" s="16"/>
      <c r="B510" s="16"/>
      <c r="E510" s="16"/>
      <c r="F510" s="16"/>
      <c r="G510" s="16"/>
      <c r="H510" s="16"/>
      <c r="I510" s="16"/>
      <c r="J510" s="16"/>
      <c r="K510" s="16"/>
      <c r="L510" s="16"/>
      <c r="M510" s="16"/>
      <c r="N510" s="5" t="s">
        <v>112</v>
      </c>
      <c r="O510" s="16" t="str">
        <f t="shared" si="1"/>
        <v>#</v>
      </c>
      <c r="P510" s="16" t="str">
        <f t="shared" si="2"/>
        <v>#videoGame</v>
      </c>
      <c r="R510" s="16" t="str">
        <f>"("""&amp;C510&amp;""") ("&amp;Vlookup(E510,DropDown!B:C,2,FALSE)&amp; " OR ""Video Game"" OR Playstation OR iOS OR PS4 OR PS5 OR Xbox OR Switch OR Swtich 2 OR PC)"</f>
        <v>#N/A</v>
      </c>
      <c r="S510" s="44" t="str">
        <f>"("""&amp;C510&amp;""") ("&amp;Vlookup(E510,DropDown!K:L,2,FALSE)&amp; " | ""Video Game"" | Playstation | iOS | PS4 | PS5 | Xbox | Switch | Switch 2 | PC)"</f>
        <v>#N/A</v>
      </c>
      <c r="T510" s="44"/>
      <c r="U510" s="44"/>
      <c r="V510" s="44"/>
      <c r="W510" s="44"/>
      <c r="X510" s="44"/>
      <c r="Z510" s="44"/>
    </row>
    <row r="511">
      <c r="A511" s="16"/>
      <c r="B511" s="16"/>
      <c r="E511" s="16"/>
      <c r="F511" s="16"/>
      <c r="G511" s="16"/>
      <c r="H511" s="16"/>
      <c r="I511" s="16"/>
      <c r="J511" s="16"/>
      <c r="K511" s="16"/>
      <c r="L511" s="16"/>
      <c r="M511" s="16"/>
      <c r="N511" s="5" t="s">
        <v>112</v>
      </c>
      <c r="O511" s="16" t="str">
        <f t="shared" si="1"/>
        <v>#</v>
      </c>
      <c r="P511" s="16" t="str">
        <f t="shared" si="2"/>
        <v>#videoGame</v>
      </c>
      <c r="R511" s="16" t="str">
        <f>"("""&amp;C511&amp;""") ("&amp;Vlookup(E511,DropDown!B:C,2,FALSE)&amp; " OR ""Video Game"" OR Playstation OR iOS OR PS4 OR PS5 OR Xbox OR Switch OR Swtich 2 OR PC)"</f>
        <v>#N/A</v>
      </c>
      <c r="S511" s="44" t="str">
        <f>"("""&amp;C511&amp;""") ("&amp;Vlookup(E511,DropDown!K:L,2,FALSE)&amp; " | ""Video Game"" | Playstation | iOS | PS4 | PS5 | Xbox | Switch | Switch 2 | PC)"</f>
        <v>#N/A</v>
      </c>
      <c r="T511" s="44"/>
      <c r="U511" s="44"/>
      <c r="V511" s="44"/>
      <c r="W511" s="44"/>
      <c r="X511" s="44"/>
      <c r="Z511" s="44"/>
    </row>
    <row r="512">
      <c r="A512" s="16"/>
      <c r="B512" s="16"/>
      <c r="E512" s="16"/>
      <c r="F512" s="16"/>
      <c r="G512" s="16"/>
      <c r="H512" s="16"/>
      <c r="I512" s="16"/>
      <c r="J512" s="16"/>
      <c r="K512" s="16"/>
      <c r="L512" s="16"/>
      <c r="M512" s="16"/>
      <c r="N512" s="5" t="s">
        <v>112</v>
      </c>
      <c r="O512" s="16" t="str">
        <f t="shared" si="1"/>
        <v>#</v>
      </c>
      <c r="P512" s="16" t="str">
        <f t="shared" si="2"/>
        <v>#videoGame</v>
      </c>
      <c r="R512" s="16" t="str">
        <f>"("""&amp;C512&amp;""") ("&amp;Vlookup(E512,DropDown!B:C,2,FALSE)&amp; " OR ""Video Game"" OR Playstation OR iOS OR PS4 OR PS5 OR Xbox OR Switch OR Swtich 2 OR PC)"</f>
        <v>#N/A</v>
      </c>
      <c r="S512" s="44" t="str">
        <f>"("""&amp;C512&amp;""") ("&amp;Vlookup(E512,DropDown!K:L,2,FALSE)&amp; " | ""Video Game"" | Playstation | iOS | PS4 | PS5 | Xbox | Switch | Switch 2 | PC)"</f>
        <v>#N/A</v>
      </c>
      <c r="T512" s="44"/>
      <c r="U512" s="44"/>
      <c r="V512" s="44"/>
      <c r="W512" s="44"/>
      <c r="X512" s="44"/>
      <c r="Z512" s="44"/>
    </row>
    <row r="513">
      <c r="A513" s="16"/>
      <c r="B513" s="16"/>
      <c r="E513" s="16"/>
      <c r="F513" s="16"/>
      <c r="G513" s="16"/>
      <c r="H513" s="16"/>
      <c r="I513" s="16"/>
      <c r="J513" s="16"/>
      <c r="K513" s="16"/>
      <c r="L513" s="16"/>
      <c r="M513" s="16"/>
      <c r="N513" s="5" t="s">
        <v>112</v>
      </c>
      <c r="O513" s="16" t="str">
        <f t="shared" si="1"/>
        <v>#</v>
      </c>
      <c r="P513" s="16" t="str">
        <f t="shared" si="2"/>
        <v>#videoGame</v>
      </c>
      <c r="R513" s="16" t="str">
        <f>"("""&amp;C513&amp;""") ("&amp;Vlookup(E513,DropDown!B:C,2,FALSE)&amp; " OR ""Video Game"" OR Playstation OR iOS OR PS4 OR PS5 OR Xbox OR Switch OR Swtich 2 OR PC)"</f>
        <v>#N/A</v>
      </c>
      <c r="S513" s="44" t="str">
        <f>"("""&amp;C513&amp;""") ("&amp;Vlookup(E513,DropDown!K:L,2,FALSE)&amp; " | ""Video Game"" | Playstation | iOS | PS4 | PS5 | Xbox | Switch | Switch 2 | PC)"</f>
        <v>#N/A</v>
      </c>
      <c r="T513" s="44"/>
      <c r="U513" s="44"/>
      <c r="V513" s="44"/>
      <c r="W513" s="44"/>
      <c r="X513" s="44"/>
      <c r="Z513" s="44"/>
    </row>
    <row r="514">
      <c r="A514" s="16"/>
      <c r="B514" s="16"/>
      <c r="E514" s="16"/>
      <c r="F514" s="16"/>
      <c r="G514" s="16"/>
      <c r="H514" s="16"/>
      <c r="I514" s="16"/>
      <c r="J514" s="16"/>
      <c r="K514" s="16"/>
      <c r="L514" s="16"/>
      <c r="M514" s="16"/>
      <c r="N514" s="5" t="s">
        <v>112</v>
      </c>
      <c r="O514" s="16" t="str">
        <f t="shared" si="1"/>
        <v>#</v>
      </c>
      <c r="P514" s="16" t="str">
        <f t="shared" si="2"/>
        <v>#videoGame</v>
      </c>
      <c r="R514" s="16" t="str">
        <f>"("""&amp;C514&amp;""") ("&amp;Vlookup(E514,DropDown!B:C,2,FALSE)&amp; " OR ""Video Game"" OR Playstation OR iOS OR PS4 OR PS5 OR Xbox OR Switch OR Swtich 2 OR PC)"</f>
        <v>#N/A</v>
      </c>
      <c r="S514" s="44" t="str">
        <f>"("""&amp;C514&amp;""") ("&amp;Vlookup(E514,DropDown!K:L,2,FALSE)&amp; " | ""Video Game"" | Playstation | iOS | PS4 | PS5 | Xbox | Switch | Switch 2 | PC)"</f>
        <v>#N/A</v>
      </c>
      <c r="T514" s="44"/>
      <c r="U514" s="44"/>
      <c r="V514" s="44"/>
      <c r="W514" s="44"/>
      <c r="X514" s="44"/>
      <c r="Z514" s="44"/>
    </row>
    <row r="515">
      <c r="A515" s="16"/>
      <c r="B515" s="16"/>
      <c r="E515" s="16"/>
      <c r="F515" s="16"/>
      <c r="G515" s="16"/>
      <c r="H515" s="16"/>
      <c r="I515" s="16"/>
      <c r="J515" s="16"/>
      <c r="K515" s="16"/>
      <c r="L515" s="16"/>
      <c r="M515" s="16"/>
      <c r="N515" s="5" t="s">
        <v>112</v>
      </c>
      <c r="O515" s="16" t="str">
        <f t="shared" si="1"/>
        <v>#</v>
      </c>
      <c r="P515" s="16" t="str">
        <f t="shared" si="2"/>
        <v>#videoGame</v>
      </c>
      <c r="R515" s="16" t="str">
        <f>"("""&amp;C515&amp;""") ("&amp;Vlookup(E515,DropDown!B:C,2,FALSE)&amp; " OR ""Video Game"" OR Playstation OR iOS OR PS4 OR PS5 OR Xbox OR Switch OR Swtich 2 OR PC)"</f>
        <v>#N/A</v>
      </c>
      <c r="S515" s="44" t="str">
        <f>"("""&amp;C515&amp;""") ("&amp;Vlookup(E515,DropDown!K:L,2,FALSE)&amp; " | ""Video Game"" | Playstation | iOS | PS4 | PS5 | Xbox | Switch | Switch 2 | PC)"</f>
        <v>#N/A</v>
      </c>
      <c r="T515" s="44"/>
      <c r="U515" s="44"/>
      <c r="V515" s="44"/>
      <c r="W515" s="44"/>
      <c r="X515" s="44"/>
      <c r="Z515" s="44"/>
    </row>
    <row r="516">
      <c r="A516" s="16"/>
      <c r="B516" s="16"/>
      <c r="E516" s="16"/>
      <c r="F516" s="16"/>
      <c r="G516" s="16"/>
      <c r="H516" s="16"/>
      <c r="I516" s="16"/>
      <c r="J516" s="16"/>
      <c r="K516" s="16"/>
      <c r="L516" s="16"/>
      <c r="M516" s="16"/>
      <c r="N516" s="5" t="s">
        <v>112</v>
      </c>
      <c r="O516" s="16" t="str">
        <f t="shared" si="1"/>
        <v>#</v>
      </c>
      <c r="P516" s="16" t="str">
        <f t="shared" si="2"/>
        <v>#videoGame</v>
      </c>
      <c r="R516" s="16" t="str">
        <f>"("""&amp;C516&amp;""") ("&amp;Vlookup(E516,DropDown!B:C,2,FALSE)&amp; " OR ""Video Game"" OR Playstation OR iOS OR PS4 OR PS5 OR Xbox OR Switch OR Swtich 2 OR PC)"</f>
        <v>#N/A</v>
      </c>
      <c r="S516" s="44" t="str">
        <f>"("""&amp;C516&amp;""") ("&amp;Vlookup(E516,DropDown!K:L,2,FALSE)&amp; " | ""Video Game"" | Playstation | iOS | PS4 | PS5 | Xbox | Switch | Switch 2 | PC)"</f>
        <v>#N/A</v>
      </c>
      <c r="T516" s="44"/>
      <c r="U516" s="44"/>
      <c r="V516" s="44"/>
      <c r="W516" s="44"/>
      <c r="X516" s="44"/>
      <c r="Z516" s="44"/>
    </row>
    <row r="517">
      <c r="A517" s="16"/>
      <c r="B517" s="16"/>
      <c r="E517" s="16"/>
      <c r="F517" s="16"/>
      <c r="G517" s="16"/>
      <c r="H517" s="16"/>
      <c r="I517" s="16"/>
      <c r="J517" s="16"/>
      <c r="K517" s="16"/>
      <c r="L517" s="16"/>
      <c r="M517" s="16"/>
      <c r="N517" s="5" t="s">
        <v>112</v>
      </c>
      <c r="O517" s="16" t="str">
        <f t="shared" si="1"/>
        <v>#</v>
      </c>
      <c r="P517" s="16" t="str">
        <f t="shared" si="2"/>
        <v>#videoGame</v>
      </c>
      <c r="R517" s="16" t="str">
        <f>"("""&amp;C517&amp;""") ("&amp;Vlookup(E517,DropDown!B:C,2,FALSE)&amp; " OR ""Video Game"" OR Playstation OR iOS OR PS4 OR PS5 OR Xbox OR Switch OR Swtich 2 OR PC)"</f>
        <v>#N/A</v>
      </c>
      <c r="S517" s="44" t="str">
        <f>"("""&amp;C517&amp;""") ("&amp;Vlookup(E517,DropDown!K:L,2,FALSE)&amp; " | ""Video Game"" | Playstation | iOS | PS4 | PS5 | Xbox | Switch | Switch 2 | PC)"</f>
        <v>#N/A</v>
      </c>
      <c r="T517" s="44"/>
      <c r="U517" s="44"/>
      <c r="V517" s="44"/>
      <c r="W517" s="44"/>
      <c r="X517" s="44"/>
      <c r="Z517" s="44"/>
    </row>
    <row r="518">
      <c r="A518" s="16"/>
      <c r="B518" s="16"/>
      <c r="E518" s="16"/>
      <c r="F518" s="16"/>
      <c r="G518" s="16"/>
      <c r="H518" s="16"/>
      <c r="I518" s="16"/>
      <c r="J518" s="16"/>
      <c r="K518" s="16"/>
      <c r="L518" s="16"/>
      <c r="M518" s="16"/>
      <c r="N518" s="5" t="s">
        <v>112</v>
      </c>
      <c r="O518" s="16" t="str">
        <f t="shared" si="1"/>
        <v>#</v>
      </c>
      <c r="P518" s="16" t="str">
        <f t="shared" si="2"/>
        <v>#videoGame</v>
      </c>
      <c r="R518" s="16" t="str">
        <f>"("""&amp;C518&amp;""") ("&amp;Vlookup(E518,DropDown!B:C,2,FALSE)&amp; " OR ""Video Game"" OR Playstation OR iOS OR PS4 OR PS5 OR Xbox OR Switch OR Swtich 2 OR PC)"</f>
        <v>#N/A</v>
      </c>
      <c r="S518" s="44" t="str">
        <f>"("""&amp;C518&amp;""") ("&amp;Vlookup(E518,DropDown!K:L,2,FALSE)&amp; " | ""Video Game"" | Playstation | iOS | PS4 | PS5 | Xbox | Switch | Switch 2 | PC)"</f>
        <v>#N/A</v>
      </c>
      <c r="T518" s="44"/>
      <c r="U518" s="44"/>
      <c r="V518" s="44"/>
      <c r="W518" s="44"/>
      <c r="X518" s="44"/>
      <c r="Z518" s="44"/>
    </row>
    <row r="519">
      <c r="A519" s="16"/>
      <c r="B519" s="16"/>
      <c r="E519" s="16"/>
      <c r="F519" s="16"/>
      <c r="G519" s="16"/>
      <c r="H519" s="16"/>
      <c r="I519" s="16"/>
      <c r="J519" s="16"/>
      <c r="K519" s="16"/>
      <c r="L519" s="16"/>
      <c r="M519" s="16"/>
      <c r="N519" s="5" t="s">
        <v>112</v>
      </c>
      <c r="O519" s="16" t="str">
        <f t="shared" si="1"/>
        <v>#</v>
      </c>
      <c r="P519" s="16" t="str">
        <f t="shared" si="2"/>
        <v>#videoGame</v>
      </c>
      <c r="R519" s="16" t="str">
        <f>"("""&amp;C519&amp;""") ("&amp;Vlookup(E519,DropDown!B:C,2,FALSE)&amp; " OR ""Video Game"" OR Playstation OR iOS OR PS4 OR PS5 OR Xbox OR Switch OR Swtich 2 OR PC)"</f>
        <v>#N/A</v>
      </c>
      <c r="S519" s="44" t="str">
        <f>"("""&amp;C519&amp;""") ("&amp;Vlookup(E519,DropDown!K:L,2,FALSE)&amp; " | ""Video Game"" | Playstation | iOS | PS4 | PS5 | Xbox | Switch | Switch 2 | PC)"</f>
        <v>#N/A</v>
      </c>
      <c r="T519" s="44"/>
      <c r="U519" s="44"/>
      <c r="V519" s="44"/>
      <c r="W519" s="44"/>
      <c r="X519" s="44"/>
      <c r="Z519" s="44"/>
    </row>
    <row r="520">
      <c r="A520" s="16"/>
      <c r="B520" s="16"/>
      <c r="E520" s="16"/>
      <c r="F520" s="16"/>
      <c r="G520" s="16"/>
      <c r="H520" s="16"/>
      <c r="I520" s="16"/>
      <c r="J520" s="16"/>
      <c r="K520" s="16"/>
      <c r="L520" s="16"/>
      <c r="M520" s="16"/>
      <c r="N520" s="5" t="s">
        <v>112</v>
      </c>
      <c r="O520" s="16" t="str">
        <f t="shared" si="1"/>
        <v>#</v>
      </c>
      <c r="P520" s="16" t="str">
        <f t="shared" si="2"/>
        <v>#videoGame</v>
      </c>
      <c r="R520" s="16" t="str">
        <f>"("""&amp;C520&amp;""") ("&amp;Vlookup(E520,DropDown!B:C,2,FALSE)&amp; " OR ""Video Game"" OR Playstation OR iOS OR PS4 OR PS5 OR Xbox OR Switch OR Swtich 2 OR PC)"</f>
        <v>#N/A</v>
      </c>
      <c r="S520" s="44" t="str">
        <f>"("""&amp;C520&amp;""") ("&amp;Vlookup(E520,DropDown!K:L,2,FALSE)&amp; " | ""Video Game"" | Playstation | iOS | PS4 | PS5 | Xbox | Switch | Switch 2 | PC)"</f>
        <v>#N/A</v>
      </c>
      <c r="T520" s="44"/>
      <c r="U520" s="44"/>
      <c r="V520" s="44"/>
      <c r="W520" s="44"/>
      <c r="X520" s="44"/>
      <c r="Z520" s="44"/>
    </row>
    <row r="521">
      <c r="A521" s="16"/>
      <c r="B521" s="16"/>
      <c r="E521" s="16"/>
      <c r="F521" s="16"/>
      <c r="G521" s="16"/>
      <c r="H521" s="16"/>
      <c r="I521" s="16"/>
      <c r="J521" s="16"/>
      <c r="K521" s="16"/>
      <c r="L521" s="16"/>
      <c r="M521" s="16"/>
      <c r="N521" s="5" t="s">
        <v>112</v>
      </c>
      <c r="O521" s="16" t="str">
        <f t="shared" si="1"/>
        <v>#</v>
      </c>
      <c r="P521" s="16" t="str">
        <f t="shared" si="2"/>
        <v>#videoGame</v>
      </c>
      <c r="R521" s="16" t="str">
        <f>"("""&amp;C521&amp;""") ("&amp;Vlookup(E521,DropDown!B:C,2,FALSE)&amp; " OR ""Video Game"" OR Playstation OR iOS OR PS4 OR PS5 OR Xbox OR Switch OR Swtich 2 OR PC)"</f>
        <v>#N/A</v>
      </c>
      <c r="S521" s="44" t="str">
        <f>"("""&amp;C521&amp;""") ("&amp;Vlookup(E521,DropDown!K:L,2,FALSE)&amp; " | ""Video Game"" | Playstation | iOS | PS4 | PS5 | Xbox | Switch | Switch 2 | PC)"</f>
        <v>#N/A</v>
      </c>
      <c r="T521" s="44"/>
      <c r="U521" s="44"/>
      <c r="V521" s="44"/>
      <c r="W521" s="44"/>
      <c r="X521" s="44"/>
      <c r="Z521" s="44"/>
    </row>
    <row r="522">
      <c r="A522" s="16"/>
      <c r="B522" s="16"/>
      <c r="E522" s="16"/>
      <c r="F522" s="16"/>
      <c r="G522" s="16"/>
      <c r="H522" s="16"/>
      <c r="I522" s="16"/>
      <c r="J522" s="16"/>
      <c r="K522" s="16"/>
      <c r="L522" s="16"/>
      <c r="M522" s="16"/>
      <c r="N522" s="5" t="s">
        <v>112</v>
      </c>
      <c r="O522" s="16" t="str">
        <f t="shared" si="1"/>
        <v>#</v>
      </c>
      <c r="P522" s="16" t="str">
        <f t="shared" si="2"/>
        <v>#videoGame</v>
      </c>
      <c r="R522" s="16" t="str">
        <f>"("""&amp;C522&amp;""") ("&amp;Vlookup(E522,DropDown!B:C,2,FALSE)&amp; " OR ""Video Game"" OR Playstation OR iOS OR PS4 OR PS5 OR Xbox OR Switch OR Swtich 2 OR PC)"</f>
        <v>#N/A</v>
      </c>
      <c r="S522" s="44" t="str">
        <f>"("""&amp;C522&amp;""") ("&amp;Vlookup(E522,DropDown!K:L,2,FALSE)&amp; " | ""Video Game"" | Playstation | iOS | PS4 | PS5 | Xbox | Switch | Switch 2 | PC)"</f>
        <v>#N/A</v>
      </c>
      <c r="T522" s="44"/>
      <c r="U522" s="44"/>
      <c r="V522" s="44"/>
      <c r="W522" s="44"/>
      <c r="X522" s="44"/>
      <c r="Z522" s="44"/>
    </row>
    <row r="523">
      <c r="A523" s="16"/>
      <c r="B523" s="16"/>
      <c r="E523" s="16"/>
      <c r="F523" s="16"/>
      <c r="G523" s="16"/>
      <c r="H523" s="16"/>
      <c r="I523" s="16"/>
      <c r="J523" s="16"/>
      <c r="K523" s="16"/>
      <c r="L523" s="16"/>
      <c r="M523" s="16"/>
      <c r="N523" s="5" t="s">
        <v>112</v>
      </c>
      <c r="O523" s="16" t="str">
        <f t="shared" si="1"/>
        <v>#</v>
      </c>
      <c r="P523" s="16" t="str">
        <f t="shared" si="2"/>
        <v>#videoGame</v>
      </c>
      <c r="R523" s="16" t="str">
        <f>"("""&amp;C523&amp;""") ("&amp;Vlookup(E523,DropDown!B:C,2,FALSE)&amp; " OR ""Video Game"" OR Playstation OR iOS OR PS4 OR PS5 OR Xbox OR Switch OR Swtich 2 OR PC)"</f>
        <v>#N/A</v>
      </c>
      <c r="S523" s="44" t="str">
        <f>"("""&amp;C523&amp;""") ("&amp;Vlookup(E523,DropDown!K:L,2,FALSE)&amp; " | ""Video Game"" | Playstation | iOS | PS4 | PS5 | Xbox | Switch | Switch 2 | PC)"</f>
        <v>#N/A</v>
      </c>
      <c r="T523" s="44"/>
      <c r="U523" s="44"/>
      <c r="V523" s="44"/>
      <c r="W523" s="44"/>
      <c r="X523" s="44"/>
      <c r="Z523" s="44"/>
    </row>
    <row r="524">
      <c r="A524" s="16"/>
      <c r="B524" s="16"/>
      <c r="E524" s="16"/>
      <c r="F524" s="16"/>
      <c r="G524" s="16"/>
      <c r="H524" s="16"/>
      <c r="I524" s="16"/>
      <c r="J524" s="16"/>
      <c r="K524" s="16"/>
      <c r="L524" s="16"/>
      <c r="M524" s="16"/>
      <c r="N524" s="5" t="s">
        <v>112</v>
      </c>
      <c r="O524" s="16" t="str">
        <f t="shared" si="1"/>
        <v>#</v>
      </c>
      <c r="P524" s="16" t="str">
        <f t="shared" si="2"/>
        <v>#videoGame</v>
      </c>
      <c r="R524" s="16" t="str">
        <f>"("""&amp;C524&amp;""") ("&amp;Vlookup(E524,DropDown!B:C,2,FALSE)&amp; " OR ""Video Game"" OR Playstation OR iOS OR PS4 OR PS5 OR Xbox OR Switch OR Swtich 2 OR PC)"</f>
        <v>#N/A</v>
      </c>
      <c r="S524" s="44" t="str">
        <f>"("""&amp;C524&amp;""") ("&amp;Vlookup(E524,DropDown!K:L,2,FALSE)&amp; " | ""Video Game"" | Playstation | iOS | PS4 | PS5 | Xbox | Switch | Switch 2 | PC)"</f>
        <v>#N/A</v>
      </c>
      <c r="T524" s="44"/>
      <c r="U524" s="44"/>
      <c r="V524" s="44"/>
      <c r="W524" s="44"/>
      <c r="X524" s="44"/>
      <c r="Z524" s="44"/>
    </row>
    <row r="525">
      <c r="A525" s="16"/>
      <c r="B525" s="16"/>
      <c r="E525" s="16"/>
      <c r="F525" s="16"/>
      <c r="G525" s="16"/>
      <c r="H525" s="16"/>
      <c r="I525" s="16"/>
      <c r="J525" s="16"/>
      <c r="K525" s="16"/>
      <c r="L525" s="16"/>
      <c r="M525" s="16"/>
      <c r="N525" s="5" t="s">
        <v>112</v>
      </c>
      <c r="O525" s="16" t="str">
        <f t="shared" si="1"/>
        <v>#</v>
      </c>
      <c r="P525" s="16" t="str">
        <f t="shared" si="2"/>
        <v>#videoGame</v>
      </c>
      <c r="R525" s="16" t="str">
        <f>"("""&amp;C525&amp;""") ("&amp;Vlookup(E525,DropDown!B:C,2,FALSE)&amp; " OR ""Video Game"" OR Playstation OR iOS OR PS4 OR PS5 OR Xbox OR Switch OR Swtich 2 OR PC)"</f>
        <v>#N/A</v>
      </c>
      <c r="S525" s="44" t="str">
        <f>"("""&amp;C525&amp;""") ("&amp;Vlookup(E525,DropDown!K:L,2,FALSE)&amp; " | ""Video Game"" | Playstation | iOS | PS4 | PS5 | Xbox | Switch | Switch 2 | PC)"</f>
        <v>#N/A</v>
      </c>
      <c r="T525" s="44"/>
      <c r="U525" s="44"/>
      <c r="V525" s="44"/>
      <c r="W525" s="44"/>
      <c r="X525" s="44"/>
      <c r="Z525" s="44"/>
    </row>
    <row r="526">
      <c r="A526" s="16"/>
      <c r="B526" s="16"/>
      <c r="E526" s="16"/>
      <c r="F526" s="16"/>
      <c r="G526" s="16"/>
      <c r="H526" s="16"/>
      <c r="I526" s="16"/>
      <c r="J526" s="16"/>
      <c r="K526" s="16"/>
      <c r="L526" s="16"/>
      <c r="M526" s="16"/>
      <c r="N526" s="5" t="s">
        <v>112</v>
      </c>
      <c r="O526" s="16" t="str">
        <f t="shared" si="1"/>
        <v>#</v>
      </c>
      <c r="P526" s="16" t="str">
        <f t="shared" si="2"/>
        <v>#videoGame</v>
      </c>
      <c r="R526" s="16" t="str">
        <f>"("""&amp;C526&amp;""") ("&amp;Vlookup(E526,DropDown!B:C,2,FALSE)&amp; " OR ""Video Game"" OR Playstation OR iOS OR PS4 OR PS5 OR Xbox OR Switch OR Swtich 2 OR PC)"</f>
        <v>#N/A</v>
      </c>
      <c r="S526" s="44" t="str">
        <f>"("""&amp;C526&amp;""") ("&amp;Vlookup(E526,DropDown!K:L,2,FALSE)&amp; " | ""Video Game"" | Playstation | iOS | PS4 | PS5 | Xbox | Switch | Switch 2 | PC)"</f>
        <v>#N/A</v>
      </c>
      <c r="T526" s="44"/>
      <c r="U526" s="44"/>
      <c r="V526" s="44"/>
      <c r="W526" s="44"/>
      <c r="X526" s="44"/>
      <c r="Z526" s="44"/>
    </row>
    <row r="527">
      <c r="A527" s="16"/>
      <c r="B527" s="16"/>
      <c r="E527" s="16"/>
      <c r="F527" s="16"/>
      <c r="G527" s="16"/>
      <c r="H527" s="16"/>
      <c r="I527" s="16"/>
      <c r="J527" s="16"/>
      <c r="K527" s="16"/>
      <c r="L527" s="16"/>
      <c r="M527" s="16"/>
      <c r="N527" s="5" t="s">
        <v>112</v>
      </c>
      <c r="O527" s="16" t="str">
        <f t="shared" si="1"/>
        <v>#</v>
      </c>
      <c r="P527" s="16" t="str">
        <f t="shared" si="2"/>
        <v>#videoGame</v>
      </c>
      <c r="R527" s="16" t="str">
        <f>"("""&amp;C527&amp;""") ("&amp;Vlookup(E527,DropDown!B:C,2,FALSE)&amp; " OR ""Video Game"" OR Playstation OR iOS OR PS4 OR PS5 OR Xbox OR Switch OR Swtich 2 OR PC)"</f>
        <v>#N/A</v>
      </c>
      <c r="S527" s="44" t="str">
        <f>"("""&amp;C527&amp;""") ("&amp;Vlookup(E527,DropDown!K:L,2,FALSE)&amp; " | ""Video Game"" | Playstation | iOS | PS4 | PS5 | Xbox | Switch | Switch 2 | PC)"</f>
        <v>#N/A</v>
      </c>
      <c r="T527" s="44"/>
      <c r="U527" s="44"/>
      <c r="V527" s="44"/>
      <c r="W527" s="44"/>
      <c r="X527" s="44"/>
      <c r="Z527" s="44"/>
    </row>
    <row r="528">
      <c r="A528" s="16"/>
      <c r="B528" s="16"/>
      <c r="E528" s="16"/>
      <c r="F528" s="16"/>
      <c r="G528" s="16"/>
      <c r="H528" s="16"/>
      <c r="I528" s="16"/>
      <c r="J528" s="16"/>
      <c r="K528" s="16"/>
      <c r="L528" s="16"/>
      <c r="M528" s="16"/>
      <c r="N528" s="5" t="s">
        <v>112</v>
      </c>
      <c r="O528" s="16" t="str">
        <f t="shared" si="1"/>
        <v>#</v>
      </c>
      <c r="P528" s="16" t="str">
        <f t="shared" si="2"/>
        <v>#videoGame</v>
      </c>
      <c r="R528" s="16" t="str">
        <f>"("""&amp;C528&amp;""") ("&amp;Vlookup(E528,DropDown!B:C,2,FALSE)&amp; " OR ""Video Game"" OR Playstation OR iOS OR PS4 OR PS5 OR Xbox OR Switch OR Swtich 2 OR PC)"</f>
        <v>#N/A</v>
      </c>
      <c r="S528" s="44" t="str">
        <f>"("""&amp;C528&amp;""") ("&amp;Vlookup(E528,DropDown!K:L,2,FALSE)&amp; " | ""Video Game"" | Playstation | iOS | PS4 | PS5 | Xbox | Switch | Switch 2 | PC)"</f>
        <v>#N/A</v>
      </c>
      <c r="T528" s="44"/>
      <c r="U528" s="44"/>
      <c r="V528" s="44"/>
      <c r="W528" s="44"/>
      <c r="X528" s="44"/>
      <c r="Z528" s="44"/>
    </row>
    <row r="529">
      <c r="A529" s="16"/>
      <c r="B529" s="16"/>
      <c r="E529" s="16"/>
      <c r="F529" s="16"/>
      <c r="G529" s="16"/>
      <c r="H529" s="16"/>
      <c r="I529" s="16"/>
      <c r="J529" s="16"/>
      <c r="K529" s="16"/>
      <c r="L529" s="16"/>
      <c r="M529" s="16"/>
      <c r="N529" s="5" t="s">
        <v>112</v>
      </c>
      <c r="O529" s="16" t="str">
        <f t="shared" si="1"/>
        <v>#</v>
      </c>
      <c r="P529" s="16" t="str">
        <f t="shared" si="2"/>
        <v>#videoGame</v>
      </c>
      <c r="R529" s="16" t="str">
        <f>"("""&amp;C529&amp;""") ("&amp;Vlookup(E529,DropDown!B:C,2,FALSE)&amp; " OR ""Video Game"" OR Playstation OR iOS OR PS4 OR PS5 OR Xbox OR Switch OR Swtich 2 OR PC)"</f>
        <v>#N/A</v>
      </c>
      <c r="S529" s="44" t="str">
        <f>"("""&amp;C529&amp;""") ("&amp;Vlookup(E529,DropDown!K:L,2,FALSE)&amp; " | ""Video Game"" | Playstation | iOS | PS4 | PS5 | Xbox | Switch | Switch 2 | PC)"</f>
        <v>#N/A</v>
      </c>
      <c r="T529" s="44"/>
      <c r="U529" s="44"/>
      <c r="V529" s="44"/>
      <c r="W529" s="44"/>
      <c r="X529" s="44"/>
      <c r="Z529" s="44"/>
    </row>
    <row r="530">
      <c r="A530" s="16"/>
      <c r="B530" s="16"/>
      <c r="E530" s="16"/>
      <c r="F530" s="16"/>
      <c r="G530" s="16"/>
      <c r="H530" s="16"/>
      <c r="I530" s="16"/>
      <c r="J530" s="16"/>
      <c r="K530" s="16"/>
      <c r="L530" s="16"/>
      <c r="M530" s="16"/>
      <c r="N530" s="5" t="s">
        <v>112</v>
      </c>
      <c r="O530" s="16" t="str">
        <f t="shared" si="1"/>
        <v>#</v>
      </c>
      <c r="P530" s="16" t="str">
        <f t="shared" si="2"/>
        <v>#videoGame</v>
      </c>
      <c r="R530" s="16" t="str">
        <f>"("""&amp;C530&amp;""") ("&amp;Vlookup(E530,DropDown!B:C,2,FALSE)&amp; " OR ""Video Game"" OR Playstation OR iOS OR PS4 OR PS5 OR Xbox OR Switch OR Swtich 2 OR PC)"</f>
        <v>#N/A</v>
      </c>
      <c r="S530" s="44" t="str">
        <f>"("""&amp;C530&amp;""") ("&amp;Vlookup(E530,DropDown!K:L,2,FALSE)&amp; " | ""Video Game"" | Playstation | iOS | PS4 | PS5 | Xbox | Switch | Switch 2 | PC)"</f>
        <v>#N/A</v>
      </c>
      <c r="T530" s="44"/>
      <c r="U530" s="44"/>
      <c r="V530" s="44"/>
      <c r="W530" s="44"/>
      <c r="X530" s="44"/>
      <c r="Z530" s="44"/>
    </row>
    <row r="531">
      <c r="A531" s="16"/>
      <c r="B531" s="16"/>
      <c r="E531" s="16"/>
      <c r="F531" s="16"/>
      <c r="G531" s="16"/>
      <c r="H531" s="16"/>
      <c r="I531" s="16"/>
      <c r="J531" s="16"/>
      <c r="K531" s="16"/>
      <c r="L531" s="16"/>
      <c r="M531" s="16"/>
      <c r="N531" s="5" t="s">
        <v>112</v>
      </c>
      <c r="O531" s="16" t="str">
        <f t="shared" si="1"/>
        <v>#</v>
      </c>
      <c r="P531" s="16" t="str">
        <f t="shared" si="2"/>
        <v>#videoGame</v>
      </c>
      <c r="R531" s="16" t="str">
        <f>"("""&amp;C531&amp;""") ("&amp;Vlookup(E531,DropDown!B:C,2,FALSE)&amp; " OR ""Video Game"" OR Playstation OR iOS OR PS4 OR PS5 OR Xbox OR Switch OR Swtich 2 OR PC)"</f>
        <v>#N/A</v>
      </c>
      <c r="S531" s="44" t="str">
        <f>"("""&amp;C531&amp;""") ("&amp;Vlookup(E531,DropDown!K:L,2,FALSE)&amp; " | ""Video Game"" | Playstation | iOS | PS4 | PS5 | Xbox | Switch | Switch 2 | PC)"</f>
        <v>#N/A</v>
      </c>
      <c r="T531" s="44"/>
      <c r="U531" s="44"/>
      <c r="V531" s="44"/>
      <c r="W531" s="44"/>
      <c r="X531" s="44"/>
      <c r="Z531" s="44"/>
    </row>
    <row r="532">
      <c r="A532" s="16"/>
      <c r="B532" s="16"/>
      <c r="E532" s="16"/>
      <c r="F532" s="16"/>
      <c r="G532" s="16"/>
      <c r="H532" s="16"/>
      <c r="I532" s="16"/>
      <c r="J532" s="16"/>
      <c r="K532" s="16"/>
      <c r="L532" s="16"/>
      <c r="M532" s="16"/>
      <c r="N532" s="5" t="s">
        <v>112</v>
      </c>
      <c r="O532" s="16" t="str">
        <f t="shared" si="1"/>
        <v>#</v>
      </c>
      <c r="P532" s="16" t="str">
        <f t="shared" si="2"/>
        <v>#videoGame</v>
      </c>
      <c r="R532" s="16" t="str">
        <f>"("""&amp;C532&amp;""") ("&amp;Vlookup(E532,DropDown!B:C,2,FALSE)&amp; " OR ""Video Game"" OR Playstation OR iOS OR PS4 OR PS5 OR Xbox OR Switch OR Swtich 2 OR PC)"</f>
        <v>#N/A</v>
      </c>
      <c r="S532" s="44" t="str">
        <f>"("""&amp;C532&amp;""") ("&amp;Vlookup(E532,DropDown!K:L,2,FALSE)&amp; " | ""Video Game"" | Playstation | iOS | PS4 | PS5 | Xbox | Switch | Switch 2 | PC)"</f>
        <v>#N/A</v>
      </c>
      <c r="T532" s="44"/>
      <c r="U532" s="44"/>
      <c r="V532" s="44"/>
      <c r="W532" s="44"/>
      <c r="X532" s="44"/>
      <c r="Z532" s="44"/>
    </row>
    <row r="533">
      <c r="A533" s="16"/>
      <c r="B533" s="16"/>
      <c r="E533" s="16"/>
      <c r="F533" s="16"/>
      <c r="G533" s="16"/>
      <c r="H533" s="16"/>
      <c r="I533" s="16"/>
      <c r="J533" s="16"/>
      <c r="K533" s="16"/>
      <c r="L533" s="16"/>
      <c r="M533" s="16"/>
      <c r="N533" s="5" t="s">
        <v>112</v>
      </c>
      <c r="O533" s="16" t="str">
        <f t="shared" si="1"/>
        <v>#</v>
      </c>
      <c r="P533" s="16" t="str">
        <f t="shared" si="2"/>
        <v>#videoGame</v>
      </c>
      <c r="R533" s="16" t="str">
        <f>"("""&amp;C533&amp;""") ("&amp;Vlookup(E533,DropDown!B:C,2,FALSE)&amp; " OR ""Video Game"" OR Playstation OR iOS OR PS4 OR PS5 OR Xbox OR Switch OR Swtich 2 OR PC)"</f>
        <v>#N/A</v>
      </c>
      <c r="S533" s="44" t="str">
        <f>"("""&amp;C533&amp;""") ("&amp;Vlookup(E533,DropDown!K:L,2,FALSE)&amp; " | ""Video Game"" | Playstation | iOS | PS4 | PS5 | Xbox | Switch | Switch 2 | PC)"</f>
        <v>#N/A</v>
      </c>
      <c r="T533" s="44"/>
      <c r="U533" s="44"/>
      <c r="V533" s="44"/>
      <c r="W533" s="44"/>
      <c r="X533" s="44"/>
      <c r="Z533" s="44"/>
    </row>
    <row r="534">
      <c r="A534" s="16"/>
      <c r="B534" s="16"/>
      <c r="E534" s="16"/>
      <c r="F534" s="16"/>
      <c r="G534" s="16"/>
      <c r="H534" s="16"/>
      <c r="I534" s="16"/>
      <c r="J534" s="16"/>
      <c r="K534" s="16"/>
      <c r="L534" s="16"/>
      <c r="M534" s="16"/>
      <c r="N534" s="5" t="s">
        <v>112</v>
      </c>
      <c r="O534" s="16" t="str">
        <f t="shared" si="1"/>
        <v>#</v>
      </c>
      <c r="P534" s="16" t="str">
        <f t="shared" si="2"/>
        <v>#videoGame</v>
      </c>
      <c r="R534" s="16" t="str">
        <f>"("""&amp;C534&amp;""") ("&amp;Vlookup(E534,DropDown!B:C,2,FALSE)&amp; " OR ""Video Game"" OR Playstation OR iOS OR PS4 OR PS5 OR Xbox OR Switch OR Swtich 2 OR PC)"</f>
        <v>#N/A</v>
      </c>
      <c r="S534" s="44" t="str">
        <f>"("""&amp;C534&amp;""") ("&amp;Vlookup(E534,DropDown!K:L,2,FALSE)&amp; " | ""Video Game"" | Playstation | iOS | PS4 | PS5 | Xbox | Switch | Switch 2 | PC)"</f>
        <v>#N/A</v>
      </c>
      <c r="T534" s="44"/>
      <c r="U534" s="44"/>
      <c r="V534" s="44"/>
      <c r="W534" s="44"/>
      <c r="X534" s="44"/>
      <c r="Z534" s="44"/>
    </row>
    <row r="535">
      <c r="A535" s="16"/>
      <c r="B535" s="16"/>
      <c r="E535" s="16"/>
      <c r="F535" s="16"/>
      <c r="G535" s="16"/>
      <c r="H535" s="16"/>
      <c r="I535" s="16"/>
      <c r="J535" s="16"/>
      <c r="K535" s="16"/>
      <c r="L535" s="16"/>
      <c r="M535" s="16"/>
      <c r="N535" s="5" t="s">
        <v>112</v>
      </c>
      <c r="O535" s="16" t="str">
        <f t="shared" si="1"/>
        <v>#</v>
      </c>
      <c r="P535" s="16" t="str">
        <f t="shared" si="2"/>
        <v>#videoGame</v>
      </c>
      <c r="R535" s="16" t="str">
        <f>"("""&amp;C535&amp;""") ("&amp;Vlookup(E535,DropDown!B:C,2,FALSE)&amp; " OR ""Video Game"" OR Playstation OR iOS OR PS4 OR PS5 OR Xbox OR Switch OR Swtich 2 OR PC)"</f>
        <v>#N/A</v>
      </c>
      <c r="S535" s="44" t="str">
        <f>"("""&amp;C535&amp;""") ("&amp;Vlookup(E535,DropDown!K:L,2,FALSE)&amp; " | ""Video Game"" | Playstation | iOS | PS4 | PS5 | Xbox | Switch | Switch 2 | PC)"</f>
        <v>#N/A</v>
      </c>
      <c r="T535" s="44"/>
      <c r="U535" s="44"/>
      <c r="V535" s="44"/>
      <c r="W535" s="44"/>
      <c r="X535" s="44"/>
      <c r="Z535" s="44"/>
    </row>
    <row r="536">
      <c r="A536" s="16"/>
      <c r="B536" s="16"/>
      <c r="E536" s="16"/>
      <c r="F536" s="16"/>
      <c r="G536" s="16"/>
      <c r="H536" s="16"/>
      <c r="I536" s="16"/>
      <c r="J536" s="16"/>
      <c r="K536" s="16"/>
      <c r="L536" s="16"/>
      <c r="M536" s="16"/>
      <c r="N536" s="5" t="s">
        <v>112</v>
      </c>
      <c r="O536" s="16" t="str">
        <f t="shared" si="1"/>
        <v>#</v>
      </c>
      <c r="P536" s="16" t="str">
        <f t="shared" si="2"/>
        <v>#videoGame</v>
      </c>
      <c r="R536" s="16" t="str">
        <f>"("""&amp;C536&amp;""") ("&amp;Vlookup(E536,DropDown!B:C,2,FALSE)&amp; " OR ""Video Game"" OR Playstation OR iOS OR PS4 OR PS5 OR Xbox OR Switch OR Swtich 2 OR PC)"</f>
        <v>#N/A</v>
      </c>
      <c r="S536" s="44" t="str">
        <f>"("""&amp;C536&amp;""") ("&amp;Vlookup(E536,DropDown!K:L,2,FALSE)&amp; " | ""Video Game"" | Playstation | iOS | PS4 | PS5 | Xbox | Switch | Switch 2 | PC)"</f>
        <v>#N/A</v>
      </c>
      <c r="T536" s="44"/>
      <c r="U536" s="44"/>
      <c r="V536" s="44"/>
      <c r="W536" s="44"/>
      <c r="X536" s="44"/>
      <c r="Z536" s="44"/>
    </row>
    <row r="537">
      <c r="A537" s="16"/>
      <c r="B537" s="16"/>
      <c r="E537" s="16"/>
      <c r="F537" s="16"/>
      <c r="G537" s="16"/>
      <c r="H537" s="16"/>
      <c r="I537" s="16"/>
      <c r="J537" s="16"/>
      <c r="K537" s="16"/>
      <c r="L537" s="16"/>
      <c r="M537" s="16"/>
      <c r="N537" s="5" t="s">
        <v>112</v>
      </c>
      <c r="O537" s="16" t="str">
        <f t="shared" si="1"/>
        <v>#</v>
      </c>
      <c r="P537" s="16" t="str">
        <f t="shared" si="2"/>
        <v>#videoGame</v>
      </c>
      <c r="R537" s="16" t="str">
        <f>"("""&amp;C537&amp;""") ("&amp;Vlookup(E537,DropDown!B:C,2,FALSE)&amp; " OR ""Video Game"" OR Playstation OR iOS OR PS4 OR PS5 OR Xbox OR Switch OR Swtich 2 OR PC)"</f>
        <v>#N/A</v>
      </c>
      <c r="S537" s="44" t="str">
        <f>"("""&amp;C537&amp;""") ("&amp;Vlookup(E537,DropDown!K:L,2,FALSE)&amp; " | ""Video Game"" | Playstation | iOS | PS4 | PS5 | Xbox | Switch | Switch 2 | PC)"</f>
        <v>#N/A</v>
      </c>
      <c r="T537" s="44"/>
      <c r="U537" s="44"/>
      <c r="V537" s="44"/>
      <c r="W537" s="44"/>
      <c r="X537" s="44"/>
      <c r="Z537" s="44"/>
    </row>
    <row r="538">
      <c r="A538" s="16"/>
      <c r="B538" s="16"/>
      <c r="E538" s="16"/>
      <c r="F538" s="16"/>
      <c r="G538" s="16"/>
      <c r="H538" s="16"/>
      <c r="I538" s="16"/>
      <c r="J538" s="16"/>
      <c r="K538" s="16"/>
      <c r="L538" s="16"/>
      <c r="M538" s="16"/>
      <c r="N538" s="5" t="s">
        <v>112</v>
      </c>
      <c r="O538" s="16" t="str">
        <f t="shared" si="1"/>
        <v>#</v>
      </c>
      <c r="P538" s="16" t="str">
        <f t="shared" si="2"/>
        <v>#videoGame</v>
      </c>
      <c r="R538" s="16" t="str">
        <f>"("""&amp;C538&amp;""") ("&amp;Vlookup(E538,DropDown!B:C,2,FALSE)&amp; " OR ""Video Game"" OR Playstation OR iOS OR PS4 OR PS5 OR Xbox OR Switch OR Swtich 2 OR PC)"</f>
        <v>#N/A</v>
      </c>
      <c r="S538" s="44" t="str">
        <f>"("""&amp;C538&amp;""") ("&amp;Vlookup(E538,DropDown!K:L,2,FALSE)&amp; " | ""Video Game"" | Playstation | iOS | PS4 | PS5 | Xbox | Switch | Switch 2 | PC)"</f>
        <v>#N/A</v>
      </c>
      <c r="T538" s="44"/>
      <c r="U538" s="44"/>
      <c r="V538" s="44"/>
      <c r="W538" s="44"/>
      <c r="X538" s="44"/>
      <c r="Z538" s="44"/>
    </row>
    <row r="539">
      <c r="A539" s="16"/>
      <c r="B539" s="16"/>
      <c r="E539" s="16"/>
      <c r="F539" s="16"/>
      <c r="G539" s="16"/>
      <c r="H539" s="16"/>
      <c r="I539" s="16"/>
      <c r="J539" s="16"/>
      <c r="K539" s="16"/>
      <c r="L539" s="16"/>
      <c r="M539" s="16"/>
      <c r="N539" s="5" t="s">
        <v>112</v>
      </c>
      <c r="O539" s="16" t="str">
        <f t="shared" si="1"/>
        <v>#</v>
      </c>
      <c r="P539" s="16" t="str">
        <f t="shared" si="2"/>
        <v>#videoGame</v>
      </c>
      <c r="R539" s="16" t="str">
        <f>"("""&amp;C539&amp;""") ("&amp;Vlookup(E539,DropDown!B:C,2,FALSE)&amp; " OR ""Video Game"" OR Playstation OR iOS OR PS4 OR PS5 OR Xbox OR Switch OR Swtich 2 OR PC)"</f>
        <v>#N/A</v>
      </c>
      <c r="S539" s="44" t="str">
        <f>"("""&amp;C539&amp;""") ("&amp;Vlookup(E539,DropDown!K:L,2,FALSE)&amp; " | ""Video Game"" | Playstation | iOS | PS4 | PS5 | Xbox | Switch | Switch 2 | PC)"</f>
        <v>#N/A</v>
      </c>
      <c r="T539" s="44"/>
      <c r="U539" s="44"/>
      <c r="V539" s="44"/>
      <c r="W539" s="44"/>
      <c r="X539" s="44"/>
      <c r="Z539" s="44"/>
    </row>
    <row r="540">
      <c r="A540" s="16"/>
      <c r="B540" s="16"/>
      <c r="E540" s="16"/>
      <c r="F540" s="16"/>
      <c r="G540" s="16"/>
      <c r="H540" s="16"/>
      <c r="I540" s="16"/>
      <c r="J540" s="16"/>
      <c r="K540" s="16"/>
      <c r="L540" s="16"/>
      <c r="M540" s="16"/>
      <c r="N540" s="5" t="s">
        <v>112</v>
      </c>
      <c r="O540" s="16" t="str">
        <f t="shared" si="1"/>
        <v>#</v>
      </c>
      <c r="P540" s="16" t="str">
        <f t="shared" si="2"/>
        <v>#videoGame</v>
      </c>
      <c r="R540" s="16" t="str">
        <f>"("""&amp;C540&amp;""") ("&amp;Vlookup(E540,DropDown!B:C,2,FALSE)&amp; " OR ""Video Game"" OR Playstation OR iOS OR PS4 OR PS5 OR Xbox OR Switch OR Swtich 2 OR PC)"</f>
        <v>#N/A</v>
      </c>
      <c r="S540" s="44" t="str">
        <f>"("""&amp;C540&amp;""") ("&amp;Vlookup(E540,DropDown!K:L,2,FALSE)&amp; " | ""Video Game"" | Playstation | iOS | PS4 | PS5 | Xbox | Switch | Switch 2 | PC)"</f>
        <v>#N/A</v>
      </c>
      <c r="T540" s="44"/>
      <c r="U540" s="44"/>
      <c r="V540" s="44"/>
      <c r="W540" s="44"/>
      <c r="X540" s="44"/>
      <c r="Z540" s="44"/>
    </row>
    <row r="541">
      <c r="A541" s="16"/>
      <c r="B541" s="16"/>
      <c r="E541" s="16"/>
      <c r="F541" s="16"/>
      <c r="G541" s="16"/>
      <c r="H541" s="16"/>
      <c r="I541" s="16"/>
      <c r="J541" s="16"/>
      <c r="K541" s="16"/>
      <c r="L541" s="16"/>
      <c r="M541" s="16"/>
      <c r="N541" s="5" t="s">
        <v>112</v>
      </c>
      <c r="O541" s="16" t="str">
        <f t="shared" si="1"/>
        <v>#</v>
      </c>
      <c r="P541" s="16" t="str">
        <f t="shared" si="2"/>
        <v>#videoGame</v>
      </c>
      <c r="R541" s="16" t="str">
        <f>"("""&amp;C541&amp;""") ("&amp;Vlookup(E541,DropDown!B:C,2,FALSE)&amp; " OR ""Video Game"" OR Playstation OR iOS OR PS4 OR PS5 OR Xbox OR Switch OR Swtich 2 OR PC)"</f>
        <v>#N/A</v>
      </c>
      <c r="S541" s="44" t="str">
        <f>"("""&amp;C541&amp;""") ("&amp;Vlookup(E541,DropDown!K:L,2,FALSE)&amp; " | ""Video Game"" | Playstation | iOS | PS4 | PS5 | Xbox | Switch | Switch 2 | PC)"</f>
        <v>#N/A</v>
      </c>
      <c r="T541" s="44"/>
      <c r="U541" s="44"/>
      <c r="V541" s="44"/>
      <c r="W541" s="44"/>
      <c r="X541" s="44"/>
      <c r="Z541" s="44"/>
    </row>
    <row r="542">
      <c r="A542" s="16"/>
      <c r="B542" s="16"/>
      <c r="E542" s="16"/>
      <c r="F542" s="16"/>
      <c r="G542" s="16"/>
      <c r="H542" s="16"/>
      <c r="I542" s="16"/>
      <c r="J542" s="16"/>
      <c r="K542" s="16"/>
      <c r="L542" s="16"/>
      <c r="M542" s="16"/>
      <c r="N542" s="5" t="s">
        <v>112</v>
      </c>
      <c r="O542" s="16" t="str">
        <f t="shared" si="1"/>
        <v>#</v>
      </c>
      <c r="P542" s="16" t="str">
        <f t="shared" si="2"/>
        <v>#videoGame</v>
      </c>
      <c r="R542" s="16" t="str">
        <f>"("""&amp;C542&amp;""") ("&amp;Vlookup(E542,DropDown!B:C,2,FALSE)&amp; " OR ""Video Game"" OR Playstation OR iOS OR PS4 OR PS5 OR Xbox OR Switch OR Swtich 2 OR PC)"</f>
        <v>#N/A</v>
      </c>
      <c r="S542" s="44" t="str">
        <f>"("""&amp;C542&amp;""") ("&amp;Vlookup(E542,DropDown!K:L,2,FALSE)&amp; " | ""Video Game"" | Playstation | iOS | PS4 | PS5 | Xbox | Switch | Switch 2 | PC)"</f>
        <v>#N/A</v>
      </c>
      <c r="T542" s="44"/>
      <c r="U542" s="44"/>
      <c r="V542" s="44"/>
      <c r="W542" s="44"/>
      <c r="X542" s="44"/>
      <c r="Z542" s="44"/>
    </row>
    <row r="543">
      <c r="A543" s="16"/>
      <c r="B543" s="16"/>
      <c r="E543" s="16"/>
      <c r="F543" s="16"/>
      <c r="G543" s="16"/>
      <c r="H543" s="16"/>
      <c r="I543" s="16"/>
      <c r="J543" s="16"/>
      <c r="K543" s="16"/>
      <c r="L543" s="16"/>
      <c r="M543" s="16"/>
      <c r="N543" s="5" t="s">
        <v>112</v>
      </c>
      <c r="O543" s="16" t="str">
        <f t="shared" si="1"/>
        <v>#</v>
      </c>
      <c r="P543" s="16" t="str">
        <f t="shared" si="2"/>
        <v>#videoGame</v>
      </c>
      <c r="R543" s="16" t="str">
        <f>"("""&amp;C543&amp;""") ("&amp;Vlookup(E543,DropDown!B:C,2,FALSE)&amp; " OR ""Video Game"" OR Playstation OR iOS OR PS4 OR PS5 OR Xbox OR Switch OR Swtich 2 OR PC)"</f>
        <v>#N/A</v>
      </c>
      <c r="S543" s="44" t="str">
        <f>"("""&amp;C543&amp;""") ("&amp;Vlookup(E543,DropDown!K:L,2,FALSE)&amp; " | ""Video Game"" | Playstation | iOS | PS4 | PS5 | Xbox | Switch | Switch 2 | PC)"</f>
        <v>#N/A</v>
      </c>
      <c r="T543" s="44"/>
      <c r="U543" s="44"/>
      <c r="V543" s="44"/>
      <c r="W543" s="44"/>
      <c r="X543" s="44"/>
      <c r="Z543" s="44"/>
    </row>
    <row r="544">
      <c r="A544" s="16"/>
      <c r="B544" s="16"/>
      <c r="E544" s="16"/>
      <c r="F544" s="16"/>
      <c r="G544" s="16"/>
      <c r="H544" s="16"/>
      <c r="I544" s="16"/>
      <c r="J544" s="16"/>
      <c r="K544" s="16"/>
      <c r="L544" s="16"/>
      <c r="M544" s="16"/>
      <c r="N544" s="5" t="s">
        <v>112</v>
      </c>
      <c r="O544" s="16" t="str">
        <f t="shared" si="1"/>
        <v>#</v>
      </c>
      <c r="P544" s="16" t="str">
        <f t="shared" si="2"/>
        <v>#videoGame</v>
      </c>
      <c r="R544" s="16" t="str">
        <f>"("""&amp;C544&amp;""") ("&amp;Vlookup(E544,DropDown!B:C,2,FALSE)&amp; " OR ""Video Game"" OR Playstation OR iOS OR PS4 OR PS5 OR Xbox OR Switch OR Swtich 2 OR PC)"</f>
        <v>#N/A</v>
      </c>
      <c r="S544" s="44" t="str">
        <f>"("""&amp;C544&amp;""") ("&amp;Vlookup(E544,DropDown!K:L,2,FALSE)&amp; " | ""Video Game"" | Playstation | iOS | PS4 | PS5 | Xbox | Switch | Switch 2 | PC)"</f>
        <v>#N/A</v>
      </c>
      <c r="T544" s="44"/>
      <c r="U544" s="44"/>
      <c r="V544" s="44"/>
      <c r="W544" s="44"/>
      <c r="X544" s="44"/>
      <c r="Z544" s="44"/>
    </row>
    <row r="545">
      <c r="A545" s="16"/>
      <c r="B545" s="16"/>
      <c r="E545" s="16"/>
      <c r="F545" s="16"/>
      <c r="G545" s="16"/>
      <c r="H545" s="16"/>
      <c r="I545" s="16"/>
      <c r="J545" s="16"/>
      <c r="K545" s="16"/>
      <c r="L545" s="16"/>
      <c r="M545" s="16"/>
      <c r="N545" s="5" t="s">
        <v>112</v>
      </c>
      <c r="O545" s="16" t="str">
        <f t="shared" si="1"/>
        <v>#</v>
      </c>
      <c r="P545" s="16" t="str">
        <f t="shared" si="2"/>
        <v>#videoGame</v>
      </c>
      <c r="R545" s="16" t="str">
        <f>"("""&amp;C545&amp;""") ("&amp;Vlookup(E545,DropDown!B:C,2,FALSE)&amp; " OR ""Video Game"" OR Playstation OR iOS OR PS4 OR PS5 OR Xbox OR Switch OR Swtich 2 OR PC)"</f>
        <v>#N/A</v>
      </c>
      <c r="S545" s="44" t="str">
        <f>"("""&amp;C545&amp;""") ("&amp;Vlookup(E545,DropDown!K:L,2,FALSE)&amp; " | ""Video Game"" | Playstation | iOS | PS4 | PS5 | Xbox | Switch | Switch 2 | PC)"</f>
        <v>#N/A</v>
      </c>
      <c r="T545" s="44"/>
      <c r="U545" s="44"/>
      <c r="V545" s="44"/>
      <c r="W545" s="44"/>
      <c r="X545" s="44"/>
      <c r="Z545" s="44"/>
    </row>
    <row r="546">
      <c r="A546" s="16"/>
      <c r="B546" s="16"/>
      <c r="E546" s="16"/>
      <c r="F546" s="16"/>
      <c r="G546" s="16"/>
      <c r="H546" s="16"/>
      <c r="I546" s="16"/>
      <c r="J546" s="16"/>
      <c r="K546" s="16"/>
      <c r="L546" s="16"/>
      <c r="M546" s="16"/>
      <c r="N546" s="5" t="s">
        <v>112</v>
      </c>
      <c r="O546" s="16" t="str">
        <f t="shared" si="1"/>
        <v>#</v>
      </c>
      <c r="P546" s="16" t="str">
        <f t="shared" si="2"/>
        <v>#videoGame</v>
      </c>
      <c r="R546" s="16" t="str">
        <f>"("""&amp;C546&amp;""") ("&amp;Vlookup(E546,DropDown!B:C,2,FALSE)&amp; " OR ""Video Game"" OR Playstation OR iOS OR PS4 OR PS5 OR Xbox OR Switch OR Swtich 2 OR PC)"</f>
        <v>#N/A</v>
      </c>
      <c r="S546" s="44" t="str">
        <f>"("""&amp;C546&amp;""") ("&amp;Vlookup(E546,DropDown!K:L,2,FALSE)&amp; " | ""Video Game"" | Playstation | iOS | PS4 | PS5 | Xbox | Switch | Switch 2 | PC)"</f>
        <v>#N/A</v>
      </c>
      <c r="T546" s="44"/>
      <c r="U546" s="44"/>
      <c r="V546" s="44"/>
      <c r="W546" s="44"/>
      <c r="X546" s="44"/>
      <c r="Z546" s="44"/>
    </row>
    <row r="547">
      <c r="A547" s="16"/>
      <c r="B547" s="16"/>
      <c r="E547" s="16"/>
      <c r="F547" s="16"/>
      <c r="G547" s="16"/>
      <c r="H547" s="16"/>
      <c r="I547" s="16"/>
      <c r="J547" s="16"/>
      <c r="K547" s="16"/>
      <c r="L547" s="16"/>
      <c r="M547" s="16"/>
      <c r="N547" s="5" t="s">
        <v>112</v>
      </c>
      <c r="O547" s="16" t="str">
        <f t="shared" si="1"/>
        <v>#</v>
      </c>
      <c r="P547" s="16" t="str">
        <f t="shared" si="2"/>
        <v>#videoGame</v>
      </c>
      <c r="R547" s="16" t="str">
        <f>"("""&amp;C547&amp;""") ("&amp;Vlookup(E547,DropDown!B:C,2,FALSE)&amp; " OR ""Video Game"" OR Playstation OR iOS OR PS4 OR PS5 OR Xbox OR Switch OR Swtich 2 OR PC)"</f>
        <v>#N/A</v>
      </c>
      <c r="S547" s="44" t="str">
        <f>"("""&amp;C547&amp;""") ("&amp;Vlookup(E547,DropDown!K:L,2,FALSE)&amp; " | ""Video Game"" | Playstation | iOS | PS4 | PS5 | Xbox | Switch | Switch 2 | PC)"</f>
        <v>#N/A</v>
      </c>
      <c r="T547" s="44"/>
      <c r="U547" s="44"/>
      <c r="V547" s="44"/>
      <c r="W547" s="44"/>
      <c r="X547" s="44"/>
      <c r="Z547" s="44"/>
    </row>
    <row r="548">
      <c r="A548" s="16"/>
      <c r="B548" s="16"/>
      <c r="E548" s="16"/>
      <c r="F548" s="16"/>
      <c r="G548" s="16"/>
      <c r="H548" s="16"/>
      <c r="I548" s="16"/>
      <c r="J548" s="16"/>
      <c r="K548" s="16"/>
      <c r="L548" s="16"/>
      <c r="M548" s="16"/>
      <c r="N548" s="5" t="s">
        <v>112</v>
      </c>
      <c r="O548" s="16" t="str">
        <f t="shared" si="1"/>
        <v>#</v>
      </c>
      <c r="P548" s="16" t="str">
        <f t="shared" si="2"/>
        <v>#videoGame</v>
      </c>
      <c r="R548" s="16" t="str">
        <f>"("""&amp;C548&amp;""") ("&amp;Vlookup(E548,DropDown!B:C,2,FALSE)&amp; " OR ""Video Game"" OR Playstation OR iOS OR PS4 OR PS5 OR Xbox OR Switch OR Swtich 2 OR PC)"</f>
        <v>#N/A</v>
      </c>
      <c r="S548" s="44" t="str">
        <f>"("""&amp;C548&amp;""") ("&amp;Vlookup(E548,DropDown!K:L,2,FALSE)&amp; " | ""Video Game"" | Playstation | iOS | PS4 | PS5 | Xbox | Switch | Switch 2 | PC)"</f>
        <v>#N/A</v>
      </c>
      <c r="T548" s="44"/>
      <c r="U548" s="44"/>
      <c r="V548" s="44"/>
      <c r="W548" s="44"/>
      <c r="X548" s="44"/>
      <c r="Z548" s="44"/>
    </row>
    <row r="549">
      <c r="A549" s="16"/>
      <c r="B549" s="16"/>
      <c r="E549" s="16"/>
      <c r="F549" s="16"/>
      <c r="G549" s="16"/>
      <c r="H549" s="16"/>
      <c r="I549" s="16"/>
      <c r="J549" s="16"/>
      <c r="K549" s="16"/>
      <c r="L549" s="16"/>
      <c r="M549" s="16"/>
      <c r="N549" s="5" t="s">
        <v>112</v>
      </c>
      <c r="O549" s="16" t="str">
        <f t="shared" si="1"/>
        <v>#</v>
      </c>
      <c r="P549" s="16" t="str">
        <f t="shared" si="2"/>
        <v>#videoGame</v>
      </c>
      <c r="R549" s="16" t="str">
        <f>"("""&amp;C549&amp;""") ("&amp;Vlookup(E549,DropDown!B:C,2,FALSE)&amp; " OR ""Video Game"" OR Playstation OR iOS OR PS4 OR PS5 OR Xbox OR Switch OR Swtich 2 OR PC)"</f>
        <v>#N/A</v>
      </c>
      <c r="S549" s="44" t="str">
        <f>"("""&amp;C549&amp;""") ("&amp;Vlookup(E549,DropDown!K:L,2,FALSE)&amp; " | ""Video Game"" | Playstation | iOS | PS4 | PS5 | Xbox | Switch | Switch 2 | PC)"</f>
        <v>#N/A</v>
      </c>
      <c r="T549" s="44"/>
      <c r="U549" s="44"/>
      <c r="V549" s="44"/>
      <c r="W549" s="44"/>
      <c r="X549" s="44"/>
      <c r="Z549" s="44"/>
    </row>
    <row r="550">
      <c r="A550" s="16"/>
      <c r="B550" s="16"/>
      <c r="E550" s="16"/>
      <c r="F550" s="16"/>
      <c r="G550" s="16"/>
      <c r="H550" s="16"/>
      <c r="I550" s="16"/>
      <c r="J550" s="16"/>
      <c r="K550" s="16"/>
      <c r="L550" s="16"/>
      <c r="M550" s="16"/>
      <c r="N550" s="5" t="s">
        <v>112</v>
      </c>
      <c r="O550" s="16" t="str">
        <f t="shared" si="1"/>
        <v>#</v>
      </c>
      <c r="P550" s="16" t="str">
        <f t="shared" si="2"/>
        <v>#videoGame</v>
      </c>
      <c r="R550" s="16" t="str">
        <f>"("""&amp;C550&amp;""") ("&amp;Vlookup(E550,DropDown!B:C,2,FALSE)&amp; " OR ""Video Game"" OR Playstation OR iOS OR PS4 OR PS5 OR Xbox OR Switch OR Swtich 2 OR PC)"</f>
        <v>#N/A</v>
      </c>
      <c r="S550" s="44" t="str">
        <f>"("""&amp;C550&amp;""") ("&amp;Vlookup(E550,DropDown!K:L,2,FALSE)&amp; " | ""Video Game"" | Playstation | iOS | PS4 | PS5 | Xbox | Switch | Switch 2 | PC)"</f>
        <v>#N/A</v>
      </c>
      <c r="T550" s="44"/>
      <c r="U550" s="44"/>
      <c r="V550" s="44"/>
      <c r="W550" s="44"/>
      <c r="X550" s="44"/>
      <c r="Z550" s="44"/>
    </row>
    <row r="551">
      <c r="A551" s="16"/>
      <c r="B551" s="16"/>
      <c r="E551" s="16"/>
      <c r="F551" s="16"/>
      <c r="G551" s="16"/>
      <c r="H551" s="16"/>
      <c r="I551" s="16"/>
      <c r="J551" s="16"/>
      <c r="K551" s="16"/>
      <c r="L551" s="16"/>
      <c r="M551" s="16"/>
      <c r="N551" s="5" t="s">
        <v>112</v>
      </c>
      <c r="O551" s="16" t="str">
        <f t="shared" si="1"/>
        <v>#</v>
      </c>
      <c r="P551" s="16" t="str">
        <f t="shared" si="2"/>
        <v>#videoGame</v>
      </c>
      <c r="R551" s="16" t="str">
        <f>"("""&amp;C551&amp;""") ("&amp;Vlookup(E551,DropDown!B:C,2,FALSE)&amp; " OR ""Video Game"" OR Playstation OR iOS OR PS4 OR PS5 OR Xbox OR Switch OR Swtich 2 OR PC)"</f>
        <v>#N/A</v>
      </c>
      <c r="S551" s="44" t="str">
        <f>"("""&amp;C551&amp;""") ("&amp;Vlookup(E551,DropDown!K:L,2,FALSE)&amp; " | ""Video Game"" | Playstation | iOS | PS4 | PS5 | Xbox | Switch | Switch 2 | PC)"</f>
        <v>#N/A</v>
      </c>
      <c r="T551" s="44"/>
      <c r="U551" s="44"/>
      <c r="V551" s="44"/>
      <c r="W551" s="44"/>
      <c r="X551" s="44"/>
      <c r="Z551" s="44"/>
    </row>
    <row r="552">
      <c r="A552" s="16"/>
      <c r="B552" s="16"/>
      <c r="E552" s="16"/>
      <c r="F552" s="16"/>
      <c r="G552" s="16"/>
      <c r="H552" s="16"/>
      <c r="I552" s="16"/>
      <c r="J552" s="16"/>
      <c r="K552" s="16"/>
      <c r="L552" s="16"/>
      <c r="M552" s="16"/>
      <c r="N552" s="5" t="s">
        <v>112</v>
      </c>
      <c r="O552" s="16" t="str">
        <f t="shared" si="1"/>
        <v>#</v>
      </c>
      <c r="P552" s="16" t="str">
        <f t="shared" si="2"/>
        <v>#videoGame</v>
      </c>
      <c r="R552" s="16" t="str">
        <f>"("""&amp;C552&amp;""") ("&amp;Vlookup(E552,DropDown!B:C,2,FALSE)&amp; " OR ""Video Game"" OR Playstation OR iOS OR PS4 OR PS5 OR Xbox OR Switch OR Swtich 2 OR PC)"</f>
        <v>#N/A</v>
      </c>
      <c r="S552" s="44" t="str">
        <f>"("""&amp;C552&amp;""") ("&amp;Vlookup(E552,DropDown!K:L,2,FALSE)&amp; " | ""Video Game"" | Playstation | iOS | PS4 | PS5 | Xbox | Switch | Switch 2 | PC)"</f>
        <v>#N/A</v>
      </c>
      <c r="T552" s="44"/>
      <c r="U552" s="44"/>
      <c r="V552" s="44"/>
      <c r="W552" s="44"/>
      <c r="X552" s="44"/>
      <c r="Z552" s="44"/>
    </row>
    <row r="553">
      <c r="A553" s="16"/>
      <c r="B553" s="16"/>
      <c r="E553" s="16"/>
      <c r="F553" s="16"/>
      <c r="G553" s="16"/>
      <c r="H553" s="16"/>
      <c r="I553" s="16"/>
      <c r="J553" s="16"/>
      <c r="K553" s="16"/>
      <c r="L553" s="16"/>
      <c r="M553" s="16"/>
      <c r="N553" s="5" t="s">
        <v>112</v>
      </c>
      <c r="O553" s="16" t="str">
        <f t="shared" si="1"/>
        <v>#</v>
      </c>
      <c r="P553" s="16" t="str">
        <f t="shared" si="2"/>
        <v>#videoGame</v>
      </c>
      <c r="R553" s="16" t="str">
        <f>"("""&amp;C553&amp;""") ("&amp;Vlookup(E553,DropDown!B:C,2,FALSE)&amp; " OR ""Video Game"" OR Playstation OR iOS OR PS4 OR PS5 OR Xbox OR Switch OR Swtich 2 OR PC)"</f>
        <v>#N/A</v>
      </c>
      <c r="S553" s="44" t="str">
        <f>"("""&amp;C553&amp;""") ("&amp;Vlookup(E553,DropDown!K:L,2,FALSE)&amp; " | ""Video Game"" | Playstation | iOS | PS4 | PS5 | Xbox | Switch | Switch 2 | PC)"</f>
        <v>#N/A</v>
      </c>
      <c r="T553" s="44"/>
      <c r="U553" s="44"/>
      <c r="V553" s="44"/>
      <c r="W553" s="44"/>
      <c r="X553" s="44"/>
      <c r="Z553" s="44"/>
    </row>
    <row r="554">
      <c r="A554" s="16"/>
      <c r="B554" s="16"/>
      <c r="E554" s="16"/>
      <c r="F554" s="16"/>
      <c r="G554" s="16"/>
      <c r="H554" s="16"/>
      <c r="I554" s="16"/>
      <c r="J554" s="16"/>
      <c r="K554" s="16"/>
      <c r="L554" s="16"/>
      <c r="M554" s="16"/>
      <c r="N554" s="5" t="s">
        <v>112</v>
      </c>
      <c r="O554" s="16" t="str">
        <f t="shared" si="1"/>
        <v>#</v>
      </c>
      <c r="P554" s="16" t="str">
        <f t="shared" si="2"/>
        <v>#videoGame</v>
      </c>
      <c r="R554" s="16" t="str">
        <f>"("""&amp;C554&amp;""") ("&amp;Vlookup(E554,DropDown!B:C,2,FALSE)&amp; " OR ""Video Game"" OR Playstation OR iOS OR PS4 OR PS5 OR Xbox OR Switch OR Swtich 2 OR PC)"</f>
        <v>#N/A</v>
      </c>
      <c r="S554" s="44" t="str">
        <f>"("""&amp;C554&amp;""") ("&amp;Vlookup(E554,DropDown!K:L,2,FALSE)&amp; " | ""Video Game"" | Playstation | iOS | PS4 | PS5 | Xbox | Switch | Switch 2 | PC)"</f>
        <v>#N/A</v>
      </c>
      <c r="T554" s="44"/>
      <c r="U554" s="44"/>
      <c r="V554" s="44"/>
      <c r="W554" s="44"/>
      <c r="X554" s="44"/>
      <c r="Z554" s="44"/>
    </row>
    <row r="555">
      <c r="A555" s="16"/>
      <c r="B555" s="16"/>
      <c r="E555" s="16"/>
      <c r="F555" s="16"/>
      <c r="G555" s="16"/>
      <c r="H555" s="16"/>
      <c r="I555" s="16"/>
      <c r="J555" s="16"/>
      <c r="K555" s="16"/>
      <c r="L555" s="16"/>
      <c r="M555" s="16"/>
      <c r="N555" s="5" t="s">
        <v>112</v>
      </c>
      <c r="O555" s="16" t="str">
        <f t="shared" si="1"/>
        <v>#</v>
      </c>
      <c r="P555" s="16" t="str">
        <f t="shared" si="2"/>
        <v>#videoGame</v>
      </c>
      <c r="R555" s="16" t="str">
        <f>"("""&amp;C555&amp;""") ("&amp;Vlookup(E555,DropDown!B:C,2,FALSE)&amp; " OR ""Video Game"" OR Playstation OR iOS OR PS4 OR PS5 OR Xbox OR Switch OR Swtich 2 OR PC)"</f>
        <v>#N/A</v>
      </c>
      <c r="S555" s="44" t="str">
        <f>"("""&amp;C555&amp;""") ("&amp;Vlookup(E555,DropDown!K:L,2,FALSE)&amp; " | ""Video Game"" | Playstation | iOS | PS4 | PS5 | Xbox | Switch | Switch 2 | PC)"</f>
        <v>#N/A</v>
      </c>
      <c r="T555" s="44"/>
      <c r="U555" s="44"/>
      <c r="V555" s="44"/>
      <c r="W555" s="44"/>
      <c r="X555" s="44"/>
      <c r="Z555" s="44"/>
    </row>
    <row r="556">
      <c r="A556" s="16"/>
      <c r="B556" s="16"/>
      <c r="E556" s="16"/>
      <c r="F556" s="16"/>
      <c r="G556" s="16"/>
      <c r="H556" s="16"/>
      <c r="I556" s="16"/>
      <c r="J556" s="16"/>
      <c r="K556" s="16"/>
      <c r="L556" s="16"/>
      <c r="M556" s="16"/>
      <c r="N556" s="5" t="s">
        <v>112</v>
      </c>
      <c r="O556" s="16" t="str">
        <f t="shared" si="1"/>
        <v>#</v>
      </c>
      <c r="P556" s="16" t="str">
        <f t="shared" si="2"/>
        <v>#videoGame</v>
      </c>
      <c r="R556" s="16" t="str">
        <f>"("""&amp;C556&amp;""") ("&amp;Vlookup(E556,DropDown!B:C,2,FALSE)&amp; " OR ""Video Game"" OR Playstation OR iOS OR PS4 OR PS5 OR Xbox OR Switch OR Swtich 2 OR PC)"</f>
        <v>#N/A</v>
      </c>
      <c r="S556" s="44" t="str">
        <f>"("""&amp;C556&amp;""") ("&amp;Vlookup(E556,DropDown!K:L,2,FALSE)&amp; " | ""Video Game"" | Playstation | iOS | PS4 | PS5 | Xbox | Switch | Switch 2 | PC)"</f>
        <v>#N/A</v>
      </c>
      <c r="T556" s="44"/>
      <c r="U556" s="44"/>
      <c r="V556" s="44"/>
      <c r="W556" s="44"/>
      <c r="X556" s="44"/>
      <c r="Z556" s="44"/>
    </row>
    <row r="557">
      <c r="A557" s="16"/>
      <c r="B557" s="16"/>
      <c r="E557" s="16"/>
      <c r="F557" s="16"/>
      <c r="G557" s="16"/>
      <c r="H557" s="16"/>
      <c r="I557" s="16"/>
      <c r="J557" s="16"/>
      <c r="K557" s="16"/>
      <c r="L557" s="16"/>
      <c r="M557" s="16"/>
      <c r="N557" s="5" t="s">
        <v>112</v>
      </c>
      <c r="O557" s="16" t="str">
        <f t="shared" si="1"/>
        <v>#</v>
      </c>
      <c r="P557" s="16" t="str">
        <f t="shared" si="2"/>
        <v>#videoGame</v>
      </c>
      <c r="R557" s="16" t="str">
        <f>"("""&amp;C557&amp;""") ("&amp;Vlookup(E557,DropDown!B:C,2,FALSE)&amp; " OR ""Video Game"" OR Playstation OR iOS OR PS4 OR PS5 OR Xbox OR Switch OR Swtich 2 OR PC)"</f>
        <v>#N/A</v>
      </c>
      <c r="S557" s="44" t="str">
        <f>"("""&amp;C557&amp;""") ("&amp;Vlookup(E557,DropDown!K:L,2,FALSE)&amp; " | ""Video Game"" | Playstation | iOS | PS4 | PS5 | Xbox | Switch | Switch 2 | PC)"</f>
        <v>#N/A</v>
      </c>
      <c r="T557" s="44"/>
      <c r="U557" s="44"/>
      <c r="V557" s="44"/>
      <c r="W557" s="44"/>
      <c r="X557" s="44"/>
      <c r="Z557" s="44"/>
    </row>
    <row r="558">
      <c r="A558" s="16"/>
      <c r="B558" s="16"/>
      <c r="E558" s="16"/>
      <c r="F558" s="16"/>
      <c r="G558" s="16"/>
      <c r="H558" s="16"/>
      <c r="I558" s="16"/>
      <c r="J558" s="16"/>
      <c r="K558" s="16"/>
      <c r="L558" s="16"/>
      <c r="M558" s="16"/>
      <c r="N558" s="5" t="s">
        <v>112</v>
      </c>
      <c r="O558" s="16" t="str">
        <f t="shared" si="1"/>
        <v>#</v>
      </c>
      <c r="P558" s="16" t="str">
        <f t="shared" si="2"/>
        <v>#videoGame</v>
      </c>
      <c r="R558" s="16" t="str">
        <f>"("""&amp;C558&amp;""") ("&amp;Vlookup(E558,DropDown!B:C,2,FALSE)&amp; " OR ""Video Game"" OR Playstation OR iOS OR PS4 OR PS5 OR Xbox OR Switch OR Swtich 2 OR PC)"</f>
        <v>#N/A</v>
      </c>
      <c r="S558" s="44" t="str">
        <f>"("""&amp;C558&amp;""") ("&amp;Vlookup(E558,DropDown!K:L,2,FALSE)&amp; " | ""Video Game"" | Playstation | iOS | PS4 | PS5 | Xbox | Switch | Switch 2 | PC)"</f>
        <v>#N/A</v>
      </c>
      <c r="T558" s="44"/>
      <c r="U558" s="44"/>
      <c r="V558" s="44"/>
      <c r="W558" s="44"/>
      <c r="X558" s="44"/>
      <c r="Z558" s="44"/>
    </row>
    <row r="559">
      <c r="A559" s="16"/>
      <c r="B559" s="16"/>
      <c r="E559" s="16"/>
      <c r="F559" s="16"/>
      <c r="G559" s="16"/>
      <c r="H559" s="16"/>
      <c r="I559" s="16"/>
      <c r="J559" s="16"/>
      <c r="K559" s="16"/>
      <c r="L559" s="16"/>
      <c r="M559" s="16"/>
      <c r="N559" s="5" t="s">
        <v>112</v>
      </c>
      <c r="O559" s="16" t="str">
        <f t="shared" si="1"/>
        <v>#</v>
      </c>
      <c r="P559" s="16" t="str">
        <f t="shared" si="2"/>
        <v>#videoGame</v>
      </c>
      <c r="R559" s="16" t="str">
        <f>"("""&amp;C559&amp;""") ("&amp;Vlookup(E559,DropDown!B:C,2,FALSE)&amp; " OR ""Video Game"" OR Playstation OR iOS OR PS4 OR PS5 OR Xbox OR Switch OR Swtich 2 OR PC)"</f>
        <v>#N/A</v>
      </c>
      <c r="S559" s="44" t="str">
        <f>"("""&amp;C559&amp;""") ("&amp;Vlookup(E559,DropDown!K:L,2,FALSE)&amp; " | ""Video Game"" | Playstation | iOS | PS4 | PS5 | Xbox | Switch | Switch 2 | PC)"</f>
        <v>#N/A</v>
      </c>
      <c r="T559" s="44"/>
      <c r="U559" s="44"/>
      <c r="V559" s="44"/>
      <c r="W559" s="44"/>
      <c r="X559" s="44"/>
      <c r="Z559" s="44"/>
    </row>
    <row r="560">
      <c r="A560" s="16"/>
      <c r="B560" s="16"/>
      <c r="E560" s="16"/>
      <c r="F560" s="16"/>
      <c r="G560" s="16"/>
      <c r="H560" s="16"/>
      <c r="I560" s="16"/>
      <c r="J560" s="16"/>
      <c r="K560" s="16"/>
      <c r="L560" s="16"/>
      <c r="M560" s="16"/>
      <c r="N560" s="5" t="s">
        <v>112</v>
      </c>
      <c r="O560" s="16" t="str">
        <f t="shared" si="1"/>
        <v>#</v>
      </c>
      <c r="P560" s="16" t="str">
        <f t="shared" si="2"/>
        <v>#videoGame</v>
      </c>
      <c r="R560" s="16" t="str">
        <f>"("""&amp;C560&amp;""") ("&amp;Vlookup(E560,DropDown!B:C,2,FALSE)&amp; " OR ""Video Game"" OR Playstation OR iOS OR PS4 OR PS5 OR Xbox OR Switch OR Swtich 2 OR PC)"</f>
        <v>#N/A</v>
      </c>
      <c r="S560" s="44" t="str">
        <f>"("""&amp;C560&amp;""") ("&amp;Vlookup(E560,DropDown!K:L,2,FALSE)&amp; " | ""Video Game"" | Playstation | iOS | PS4 | PS5 | Xbox | Switch | Switch 2 | PC)"</f>
        <v>#N/A</v>
      </c>
      <c r="T560" s="44"/>
      <c r="U560" s="44"/>
      <c r="V560" s="44"/>
      <c r="W560" s="44"/>
      <c r="X560" s="44"/>
      <c r="Z560" s="44"/>
    </row>
    <row r="561">
      <c r="A561" s="16"/>
      <c r="B561" s="16"/>
      <c r="E561" s="16"/>
      <c r="F561" s="16"/>
      <c r="G561" s="16"/>
      <c r="H561" s="16"/>
      <c r="I561" s="16"/>
      <c r="J561" s="16"/>
      <c r="K561" s="16"/>
      <c r="L561" s="16"/>
      <c r="M561" s="16"/>
      <c r="N561" s="5" t="s">
        <v>112</v>
      </c>
      <c r="O561" s="16" t="str">
        <f t="shared" si="1"/>
        <v>#</v>
      </c>
      <c r="P561" s="16" t="str">
        <f t="shared" si="2"/>
        <v>#videoGame</v>
      </c>
      <c r="R561" s="16" t="str">
        <f>"("""&amp;C561&amp;""") ("&amp;Vlookup(E561,DropDown!B:C,2,FALSE)&amp; " OR ""Video Game"" OR Playstation OR iOS OR PS4 OR PS5 OR Xbox OR Switch OR Swtich 2 OR PC)"</f>
        <v>#N/A</v>
      </c>
      <c r="S561" s="44" t="str">
        <f>"("""&amp;C561&amp;""") ("&amp;Vlookup(E561,DropDown!K:L,2,FALSE)&amp; " | ""Video Game"" | Playstation | iOS | PS4 | PS5 | Xbox | Switch | Switch 2 | PC)"</f>
        <v>#N/A</v>
      </c>
      <c r="T561" s="44"/>
      <c r="U561" s="44"/>
      <c r="V561" s="44"/>
      <c r="W561" s="44"/>
      <c r="X561" s="44"/>
      <c r="Z561" s="44"/>
    </row>
    <row r="562">
      <c r="A562" s="16"/>
      <c r="B562" s="16"/>
      <c r="E562" s="16"/>
      <c r="F562" s="16"/>
      <c r="G562" s="16"/>
      <c r="H562" s="16"/>
      <c r="I562" s="16"/>
      <c r="J562" s="16"/>
      <c r="K562" s="16"/>
      <c r="L562" s="16"/>
      <c r="M562" s="16"/>
      <c r="N562" s="5" t="s">
        <v>112</v>
      </c>
      <c r="O562" s="16" t="str">
        <f t="shared" si="1"/>
        <v>#</v>
      </c>
      <c r="P562" s="16" t="str">
        <f t="shared" si="2"/>
        <v>#videoGame</v>
      </c>
      <c r="R562" s="16" t="str">
        <f>"("""&amp;C562&amp;""") ("&amp;Vlookup(E562,DropDown!B:C,2,FALSE)&amp; " OR ""Video Game"" OR Playstation OR iOS OR PS4 OR PS5 OR Xbox OR Switch OR Swtich 2 OR PC)"</f>
        <v>#N/A</v>
      </c>
      <c r="S562" s="44" t="str">
        <f>"("""&amp;C562&amp;""") ("&amp;Vlookup(E562,DropDown!K:L,2,FALSE)&amp; " | ""Video Game"" | Playstation | iOS | PS4 | PS5 | Xbox | Switch | Switch 2 | PC)"</f>
        <v>#N/A</v>
      </c>
      <c r="T562" s="44"/>
      <c r="U562" s="44"/>
      <c r="V562" s="44"/>
      <c r="W562" s="44"/>
      <c r="X562" s="44"/>
      <c r="Z562" s="44"/>
    </row>
    <row r="563">
      <c r="A563" s="16"/>
      <c r="B563" s="16"/>
      <c r="E563" s="16"/>
      <c r="F563" s="16"/>
      <c r="G563" s="16"/>
      <c r="H563" s="16"/>
      <c r="I563" s="16"/>
      <c r="J563" s="16"/>
      <c r="K563" s="16"/>
      <c r="L563" s="16"/>
      <c r="M563" s="16"/>
      <c r="N563" s="5" t="s">
        <v>112</v>
      </c>
      <c r="O563" s="16" t="str">
        <f t="shared" si="1"/>
        <v>#</v>
      </c>
      <c r="P563" s="16" t="str">
        <f t="shared" si="2"/>
        <v>#videoGame</v>
      </c>
      <c r="R563" s="16" t="str">
        <f>"("""&amp;C563&amp;""") ("&amp;Vlookup(E563,DropDown!B:C,2,FALSE)&amp; " OR ""Video Game"" OR Playstation OR iOS OR PS4 OR PS5 OR Xbox OR Switch OR Swtich 2 OR PC)"</f>
        <v>#N/A</v>
      </c>
      <c r="S563" s="44" t="str">
        <f>"("""&amp;C563&amp;""") ("&amp;Vlookup(E563,DropDown!K:L,2,FALSE)&amp; " | ""Video Game"" | Playstation | iOS | PS4 | PS5 | Xbox | Switch | Switch 2 | PC)"</f>
        <v>#N/A</v>
      </c>
      <c r="T563" s="44"/>
      <c r="U563" s="44"/>
      <c r="V563" s="44"/>
      <c r="W563" s="44"/>
      <c r="X563" s="44"/>
      <c r="Z563" s="44"/>
    </row>
    <row r="564">
      <c r="A564" s="16"/>
      <c r="B564" s="16"/>
      <c r="E564" s="16"/>
      <c r="F564" s="16"/>
      <c r="G564" s="16"/>
      <c r="H564" s="16"/>
      <c r="I564" s="16"/>
      <c r="J564" s="16"/>
      <c r="K564" s="16"/>
      <c r="L564" s="16"/>
      <c r="M564" s="16"/>
      <c r="N564" s="5" t="s">
        <v>112</v>
      </c>
      <c r="O564" s="16" t="str">
        <f t="shared" si="1"/>
        <v>#</v>
      </c>
      <c r="P564" s="16" t="str">
        <f t="shared" si="2"/>
        <v>#videoGame</v>
      </c>
      <c r="R564" s="16" t="str">
        <f>"("""&amp;C564&amp;""") ("&amp;Vlookup(E564,DropDown!B:C,2,FALSE)&amp; " OR ""Video Game"" OR Playstation OR iOS OR PS4 OR PS5 OR Xbox OR Switch OR Swtich 2 OR PC)"</f>
        <v>#N/A</v>
      </c>
      <c r="S564" s="44" t="str">
        <f>"("""&amp;C564&amp;""") ("&amp;Vlookup(E564,DropDown!K:L,2,FALSE)&amp; " | ""Video Game"" | Playstation | iOS | PS4 | PS5 | Xbox | Switch | Switch 2 | PC)"</f>
        <v>#N/A</v>
      </c>
      <c r="T564" s="44"/>
      <c r="U564" s="44"/>
      <c r="V564" s="44"/>
      <c r="W564" s="44"/>
      <c r="X564" s="44"/>
      <c r="Z564" s="44"/>
    </row>
    <row r="565">
      <c r="A565" s="16"/>
      <c r="B565" s="16"/>
      <c r="E565" s="16"/>
      <c r="F565" s="16"/>
      <c r="G565" s="16"/>
      <c r="H565" s="16"/>
      <c r="I565" s="16"/>
      <c r="J565" s="16"/>
      <c r="K565" s="16"/>
      <c r="L565" s="16"/>
      <c r="M565" s="16"/>
      <c r="N565" s="5" t="s">
        <v>112</v>
      </c>
      <c r="O565" s="16" t="str">
        <f t="shared" si="1"/>
        <v>#</v>
      </c>
      <c r="P565" s="16" t="str">
        <f t="shared" si="2"/>
        <v>#videoGame</v>
      </c>
      <c r="R565" s="16" t="str">
        <f>"("""&amp;C565&amp;""") ("&amp;Vlookup(E565,DropDown!B:C,2,FALSE)&amp; " OR ""Video Game"" OR Playstation OR iOS OR PS4 OR PS5 OR Xbox OR Switch OR Swtich 2 OR PC)"</f>
        <v>#N/A</v>
      </c>
      <c r="S565" s="44" t="str">
        <f>"("""&amp;C565&amp;""") ("&amp;Vlookup(E565,DropDown!K:L,2,FALSE)&amp; " | ""Video Game"" | Playstation | iOS | PS4 | PS5 | Xbox | Switch | Switch 2 | PC)"</f>
        <v>#N/A</v>
      </c>
      <c r="T565" s="44"/>
      <c r="U565" s="44"/>
      <c r="V565" s="44"/>
      <c r="W565" s="44"/>
      <c r="X565" s="44"/>
      <c r="Z565" s="44"/>
    </row>
    <row r="566">
      <c r="A566" s="16"/>
      <c r="B566" s="16"/>
      <c r="E566" s="16"/>
      <c r="F566" s="16"/>
      <c r="G566" s="16"/>
      <c r="H566" s="16"/>
      <c r="I566" s="16"/>
      <c r="J566" s="16"/>
      <c r="K566" s="16"/>
      <c r="L566" s="16"/>
      <c r="M566" s="16"/>
      <c r="N566" s="5" t="s">
        <v>112</v>
      </c>
      <c r="O566" s="16" t="str">
        <f t="shared" si="1"/>
        <v>#</v>
      </c>
      <c r="P566" s="16" t="str">
        <f t="shared" si="2"/>
        <v>#videoGame</v>
      </c>
      <c r="R566" s="16" t="str">
        <f>"("""&amp;C566&amp;""") ("&amp;Vlookup(E566,DropDown!B:C,2,FALSE)&amp; " OR ""Video Game"" OR Playstation OR iOS OR PS4 OR PS5 OR Xbox OR Switch OR Swtich 2 OR PC)"</f>
        <v>#N/A</v>
      </c>
      <c r="S566" s="44" t="str">
        <f>"("""&amp;C566&amp;""") ("&amp;Vlookup(E566,DropDown!K:L,2,FALSE)&amp; " | ""Video Game"" | Playstation | iOS | PS4 | PS5 | Xbox | Switch | Switch 2 | PC)"</f>
        <v>#N/A</v>
      </c>
      <c r="T566" s="44"/>
      <c r="U566" s="44"/>
      <c r="V566" s="44"/>
      <c r="W566" s="44"/>
      <c r="X566" s="44"/>
      <c r="Z566" s="44"/>
    </row>
    <row r="567">
      <c r="A567" s="16"/>
      <c r="B567" s="16"/>
      <c r="E567" s="16"/>
      <c r="F567" s="16"/>
      <c r="G567" s="16"/>
      <c r="H567" s="16"/>
      <c r="I567" s="16"/>
      <c r="J567" s="16"/>
      <c r="K567" s="16"/>
      <c r="L567" s="16"/>
      <c r="M567" s="16"/>
      <c r="N567" s="5" t="s">
        <v>112</v>
      </c>
      <c r="O567" s="16" t="str">
        <f t="shared" si="1"/>
        <v>#</v>
      </c>
      <c r="P567" s="16" t="str">
        <f t="shared" si="2"/>
        <v>#videoGame</v>
      </c>
      <c r="R567" s="16" t="str">
        <f>"("""&amp;C567&amp;""") ("&amp;Vlookup(E567,DropDown!B:C,2,FALSE)&amp; " OR ""Video Game"" OR Playstation OR iOS OR PS4 OR PS5 OR Xbox OR Switch OR Swtich 2 OR PC)"</f>
        <v>#N/A</v>
      </c>
      <c r="S567" s="44" t="str">
        <f>"("""&amp;C567&amp;""") ("&amp;Vlookup(E567,DropDown!K:L,2,FALSE)&amp; " | ""Video Game"" | Playstation | iOS | PS4 | PS5 | Xbox | Switch | Switch 2 | PC)"</f>
        <v>#N/A</v>
      </c>
      <c r="T567" s="44"/>
      <c r="U567" s="44"/>
      <c r="V567" s="44"/>
      <c r="W567" s="44"/>
      <c r="X567" s="44"/>
      <c r="Z567" s="44"/>
    </row>
    <row r="568">
      <c r="A568" s="16"/>
      <c r="B568" s="16"/>
      <c r="E568" s="16"/>
      <c r="F568" s="16"/>
      <c r="G568" s="16"/>
      <c r="H568" s="16"/>
      <c r="I568" s="16"/>
      <c r="J568" s="16"/>
      <c r="K568" s="16"/>
      <c r="L568" s="16"/>
      <c r="M568" s="16"/>
      <c r="N568" s="5" t="s">
        <v>112</v>
      </c>
      <c r="O568" s="16" t="str">
        <f t="shared" si="1"/>
        <v>#</v>
      </c>
      <c r="P568" s="16" t="str">
        <f t="shared" si="2"/>
        <v>#videoGame</v>
      </c>
      <c r="R568" s="16" t="str">
        <f>"("""&amp;C568&amp;""") ("&amp;Vlookup(E568,DropDown!B:C,2,FALSE)&amp; " OR ""Video Game"" OR Playstation OR iOS OR PS4 OR PS5 OR Xbox OR Switch OR Swtich 2 OR PC)"</f>
        <v>#N/A</v>
      </c>
      <c r="S568" s="44" t="str">
        <f>"("""&amp;C568&amp;""") ("&amp;Vlookup(E568,DropDown!K:L,2,FALSE)&amp; " | ""Video Game"" | Playstation | iOS | PS4 | PS5 | Xbox | Switch | Switch 2 | PC)"</f>
        <v>#N/A</v>
      </c>
      <c r="T568" s="44"/>
      <c r="U568" s="44"/>
      <c r="V568" s="44"/>
      <c r="W568" s="44"/>
      <c r="X568" s="44"/>
      <c r="Z568" s="44"/>
    </row>
    <row r="569">
      <c r="A569" s="16"/>
      <c r="B569" s="16"/>
      <c r="E569" s="16"/>
      <c r="F569" s="16"/>
      <c r="G569" s="16"/>
      <c r="H569" s="16"/>
      <c r="I569" s="16"/>
      <c r="J569" s="16"/>
      <c r="K569" s="16"/>
      <c r="L569" s="16"/>
      <c r="M569" s="16"/>
      <c r="N569" s="5" t="s">
        <v>112</v>
      </c>
      <c r="O569" s="16" t="str">
        <f t="shared" si="1"/>
        <v>#</v>
      </c>
      <c r="P569" s="16" t="str">
        <f t="shared" si="2"/>
        <v>#videoGame</v>
      </c>
      <c r="R569" s="16" t="str">
        <f>"("""&amp;C569&amp;""") ("&amp;Vlookup(E569,DropDown!B:C,2,FALSE)&amp; " OR ""Video Game"" OR Playstation OR iOS OR PS4 OR PS5 OR Xbox OR Switch OR Swtich 2 OR PC)"</f>
        <v>#N/A</v>
      </c>
      <c r="S569" s="44" t="str">
        <f>"("""&amp;C569&amp;""") ("&amp;Vlookup(E569,DropDown!K:L,2,FALSE)&amp; " | ""Video Game"" | Playstation | iOS | PS4 | PS5 | Xbox | Switch | Switch 2 | PC)"</f>
        <v>#N/A</v>
      </c>
      <c r="T569" s="44"/>
      <c r="U569" s="44"/>
      <c r="V569" s="44"/>
      <c r="W569" s="44"/>
      <c r="X569" s="44"/>
      <c r="Z569" s="44"/>
    </row>
    <row r="570">
      <c r="A570" s="16"/>
      <c r="B570" s="16"/>
      <c r="E570" s="16"/>
      <c r="F570" s="16"/>
      <c r="G570" s="16"/>
      <c r="H570" s="16"/>
      <c r="I570" s="16"/>
      <c r="J570" s="16"/>
      <c r="K570" s="16"/>
      <c r="L570" s="16"/>
      <c r="M570" s="16"/>
      <c r="N570" s="5" t="s">
        <v>112</v>
      </c>
      <c r="O570" s="16" t="str">
        <f t="shared" si="1"/>
        <v>#</v>
      </c>
      <c r="P570" s="16" t="str">
        <f t="shared" si="2"/>
        <v>#videoGame</v>
      </c>
      <c r="R570" s="16" t="str">
        <f>"("""&amp;C570&amp;""") ("&amp;Vlookup(E570,DropDown!B:C,2,FALSE)&amp; " OR ""Video Game"" OR Playstation OR iOS OR PS4 OR PS5 OR Xbox OR Switch OR Swtich 2 OR PC)"</f>
        <v>#N/A</v>
      </c>
      <c r="S570" s="44" t="str">
        <f>"("""&amp;C570&amp;""") ("&amp;Vlookup(E570,DropDown!K:L,2,FALSE)&amp; " | ""Video Game"" | Playstation | iOS | PS4 | PS5 | Xbox | Switch | Switch 2 | PC)"</f>
        <v>#N/A</v>
      </c>
      <c r="T570" s="44"/>
      <c r="U570" s="44"/>
      <c r="V570" s="44"/>
      <c r="W570" s="44"/>
      <c r="X570" s="44"/>
      <c r="Z570" s="44"/>
    </row>
    <row r="571">
      <c r="A571" s="16"/>
      <c r="B571" s="16"/>
      <c r="E571" s="16"/>
      <c r="F571" s="16"/>
      <c r="G571" s="16"/>
      <c r="H571" s="16"/>
      <c r="I571" s="16"/>
      <c r="J571" s="16"/>
      <c r="K571" s="16"/>
      <c r="L571" s="16"/>
      <c r="M571" s="16"/>
      <c r="N571" s="5" t="s">
        <v>112</v>
      </c>
      <c r="O571" s="16" t="str">
        <f t="shared" si="1"/>
        <v>#</v>
      </c>
      <c r="P571" s="16" t="str">
        <f t="shared" si="2"/>
        <v>#videoGame</v>
      </c>
      <c r="R571" s="16" t="str">
        <f>"("""&amp;C571&amp;""") ("&amp;Vlookup(E571,DropDown!B:C,2,FALSE)&amp; " OR ""Video Game"" OR Playstation OR iOS OR PS4 OR PS5 OR Xbox OR Switch OR Swtich 2 OR PC)"</f>
        <v>#N/A</v>
      </c>
      <c r="S571" s="44" t="str">
        <f>"("""&amp;C571&amp;""") ("&amp;Vlookup(E571,DropDown!K:L,2,FALSE)&amp; " | ""Video Game"" | Playstation | iOS | PS4 | PS5 | Xbox | Switch | Switch 2 | PC)"</f>
        <v>#N/A</v>
      </c>
      <c r="T571" s="44"/>
      <c r="U571" s="44"/>
      <c r="V571" s="44"/>
      <c r="W571" s="44"/>
      <c r="X571" s="44"/>
      <c r="Z571" s="44"/>
    </row>
    <row r="572">
      <c r="A572" s="16"/>
      <c r="B572" s="16"/>
      <c r="E572" s="16"/>
      <c r="F572" s="16"/>
      <c r="G572" s="16"/>
      <c r="H572" s="16"/>
      <c r="I572" s="16"/>
      <c r="J572" s="16"/>
      <c r="K572" s="16"/>
      <c r="L572" s="16"/>
      <c r="M572" s="16"/>
      <c r="N572" s="5" t="s">
        <v>112</v>
      </c>
      <c r="O572" s="16" t="str">
        <f t="shared" si="1"/>
        <v>#</v>
      </c>
      <c r="P572" s="16" t="str">
        <f t="shared" si="2"/>
        <v>#videoGame</v>
      </c>
      <c r="R572" s="16" t="str">
        <f>"("""&amp;C572&amp;""") ("&amp;Vlookup(E572,DropDown!B:C,2,FALSE)&amp; " OR ""Video Game"" OR Playstation OR iOS OR PS4 OR PS5 OR Xbox OR Switch OR Swtich 2 OR PC)"</f>
        <v>#N/A</v>
      </c>
      <c r="S572" s="44" t="str">
        <f>"("""&amp;C572&amp;""") ("&amp;Vlookup(E572,DropDown!K:L,2,FALSE)&amp; " | ""Video Game"" | Playstation | iOS | PS4 | PS5 | Xbox | Switch | Switch 2 | PC)"</f>
        <v>#N/A</v>
      </c>
      <c r="T572" s="44"/>
      <c r="U572" s="44"/>
      <c r="V572" s="44"/>
      <c r="W572" s="44"/>
      <c r="X572" s="44"/>
      <c r="Z572" s="44"/>
    </row>
    <row r="573">
      <c r="A573" s="16"/>
      <c r="B573" s="16"/>
      <c r="E573" s="16"/>
      <c r="F573" s="16"/>
      <c r="G573" s="16"/>
      <c r="H573" s="16"/>
      <c r="I573" s="16"/>
      <c r="J573" s="16"/>
      <c r="K573" s="16"/>
      <c r="L573" s="16"/>
      <c r="M573" s="16"/>
      <c r="N573" s="5" t="s">
        <v>112</v>
      </c>
      <c r="O573" s="16" t="str">
        <f t="shared" si="1"/>
        <v>#</v>
      </c>
      <c r="P573" s="16" t="str">
        <f t="shared" si="2"/>
        <v>#videoGame</v>
      </c>
      <c r="R573" s="16" t="str">
        <f>"("""&amp;C573&amp;""") ("&amp;Vlookup(E573,DropDown!B:C,2,FALSE)&amp; " OR ""Video Game"" OR Playstation OR iOS OR PS4 OR PS5 OR Xbox OR Switch OR Swtich 2 OR PC)"</f>
        <v>#N/A</v>
      </c>
      <c r="S573" s="44" t="str">
        <f>"("""&amp;C573&amp;""") ("&amp;Vlookup(E573,DropDown!K:L,2,FALSE)&amp; " | ""Video Game"" | Playstation | iOS | PS4 | PS5 | Xbox | Switch | Switch 2 | PC)"</f>
        <v>#N/A</v>
      </c>
      <c r="T573" s="44"/>
      <c r="U573" s="44"/>
      <c r="V573" s="44"/>
      <c r="W573" s="44"/>
      <c r="X573" s="44"/>
      <c r="Z573" s="44"/>
    </row>
    <row r="574">
      <c r="A574" s="16"/>
      <c r="B574" s="16"/>
      <c r="E574" s="16"/>
      <c r="F574" s="16"/>
      <c r="G574" s="16"/>
      <c r="H574" s="16"/>
      <c r="I574" s="16"/>
      <c r="J574" s="16"/>
      <c r="K574" s="16"/>
      <c r="L574" s="16"/>
      <c r="M574" s="16"/>
      <c r="N574" s="5" t="s">
        <v>112</v>
      </c>
      <c r="O574" s="16" t="str">
        <f t="shared" si="1"/>
        <v>#</v>
      </c>
      <c r="P574" s="16" t="str">
        <f t="shared" si="2"/>
        <v>#videoGame</v>
      </c>
      <c r="R574" s="16" t="str">
        <f>"("""&amp;C574&amp;""") ("&amp;Vlookup(E574,DropDown!B:C,2,FALSE)&amp; " OR ""Video Game"" OR Playstation OR iOS OR PS4 OR PS5 OR Xbox OR Switch OR Swtich 2 OR PC)"</f>
        <v>#N/A</v>
      </c>
      <c r="S574" s="44" t="str">
        <f>"("""&amp;C574&amp;""") ("&amp;Vlookup(E574,DropDown!K:L,2,FALSE)&amp; " | ""Video Game"" | Playstation | iOS | PS4 | PS5 | Xbox | Switch | Switch 2 | PC)"</f>
        <v>#N/A</v>
      </c>
      <c r="T574" s="44"/>
      <c r="U574" s="44"/>
      <c r="V574" s="44"/>
      <c r="W574" s="44"/>
      <c r="X574" s="44"/>
      <c r="Z574" s="44"/>
    </row>
    <row r="575">
      <c r="A575" s="16"/>
      <c r="B575" s="16"/>
      <c r="E575" s="16"/>
      <c r="F575" s="16"/>
      <c r="G575" s="16"/>
      <c r="H575" s="16"/>
      <c r="I575" s="16"/>
      <c r="J575" s="16"/>
      <c r="K575" s="16"/>
      <c r="L575" s="16"/>
      <c r="M575" s="16"/>
      <c r="N575" s="5" t="s">
        <v>112</v>
      </c>
      <c r="O575" s="16" t="str">
        <f t="shared" si="1"/>
        <v>#</v>
      </c>
      <c r="P575" s="16" t="str">
        <f t="shared" si="2"/>
        <v>#videoGame</v>
      </c>
      <c r="R575" s="16" t="str">
        <f>"("""&amp;C575&amp;""") ("&amp;Vlookup(E575,DropDown!B:C,2,FALSE)&amp; " OR ""Video Game"" OR Playstation OR iOS OR PS4 OR PS5 OR Xbox OR Switch OR Swtich 2 OR PC)"</f>
        <v>#N/A</v>
      </c>
      <c r="S575" s="44" t="str">
        <f>"("""&amp;C575&amp;""") ("&amp;Vlookup(E575,DropDown!K:L,2,FALSE)&amp; " | ""Video Game"" | Playstation | iOS | PS4 | PS5 | Xbox | Switch | Switch 2 | PC)"</f>
        <v>#N/A</v>
      </c>
      <c r="T575" s="44"/>
      <c r="U575" s="44"/>
      <c r="V575" s="44"/>
      <c r="W575" s="44"/>
      <c r="X575" s="44"/>
      <c r="Z575" s="44"/>
    </row>
    <row r="576">
      <c r="A576" s="16"/>
      <c r="B576" s="16"/>
      <c r="E576" s="16"/>
      <c r="F576" s="16"/>
      <c r="G576" s="16"/>
      <c r="H576" s="16"/>
      <c r="I576" s="16"/>
      <c r="J576" s="16"/>
      <c r="K576" s="16"/>
      <c r="L576" s="16"/>
      <c r="M576" s="16"/>
      <c r="N576" s="5" t="s">
        <v>112</v>
      </c>
      <c r="O576" s="16" t="str">
        <f t="shared" si="1"/>
        <v>#</v>
      </c>
      <c r="P576" s="16" t="str">
        <f t="shared" si="2"/>
        <v>#videoGame</v>
      </c>
      <c r="R576" s="16" t="str">
        <f>"("""&amp;C576&amp;""") ("&amp;Vlookup(E576,DropDown!B:C,2,FALSE)&amp; " OR ""Video Game"" OR Playstation OR iOS OR PS4 OR PS5 OR Xbox OR Switch OR Swtich 2 OR PC)"</f>
        <v>#N/A</v>
      </c>
      <c r="S576" s="44" t="str">
        <f>"("""&amp;C576&amp;""") ("&amp;Vlookup(E576,DropDown!K:L,2,FALSE)&amp; " | ""Video Game"" | Playstation | iOS | PS4 | PS5 | Xbox | Switch | Switch 2 | PC)"</f>
        <v>#N/A</v>
      </c>
      <c r="T576" s="44"/>
      <c r="U576" s="44"/>
      <c r="V576" s="44"/>
      <c r="W576" s="44"/>
      <c r="X576" s="44"/>
      <c r="Z576" s="44"/>
    </row>
    <row r="577">
      <c r="A577" s="16"/>
      <c r="B577" s="16"/>
      <c r="E577" s="16"/>
      <c r="F577" s="16"/>
      <c r="G577" s="16"/>
      <c r="H577" s="16"/>
      <c r="I577" s="16"/>
      <c r="J577" s="16"/>
      <c r="K577" s="16"/>
      <c r="L577" s="16"/>
      <c r="M577" s="16"/>
      <c r="N577" s="5" t="s">
        <v>112</v>
      </c>
      <c r="O577" s="16" t="str">
        <f t="shared" si="1"/>
        <v>#</v>
      </c>
      <c r="P577" s="16" t="str">
        <f t="shared" si="2"/>
        <v>#videoGame</v>
      </c>
      <c r="R577" s="16" t="str">
        <f>"("""&amp;C577&amp;""") ("&amp;Vlookup(E577,DropDown!B:C,2,FALSE)&amp; " OR ""Video Game"" OR Playstation OR iOS OR PS4 OR PS5 OR Xbox OR Switch OR Swtich 2 OR PC)"</f>
        <v>#N/A</v>
      </c>
      <c r="S577" s="44" t="str">
        <f>"("""&amp;C577&amp;""") ("&amp;Vlookup(E577,DropDown!K:L,2,FALSE)&amp; " | ""Video Game"" | Playstation | iOS | PS4 | PS5 | Xbox | Switch | Switch 2 | PC)"</f>
        <v>#N/A</v>
      </c>
      <c r="T577" s="44"/>
      <c r="U577" s="44"/>
      <c r="V577" s="44"/>
      <c r="W577" s="44"/>
      <c r="X577" s="44"/>
      <c r="Z577" s="44"/>
    </row>
    <row r="578">
      <c r="A578" s="16"/>
      <c r="B578" s="16"/>
      <c r="E578" s="16"/>
      <c r="F578" s="16"/>
      <c r="G578" s="16"/>
      <c r="H578" s="16"/>
      <c r="I578" s="16"/>
      <c r="J578" s="16"/>
      <c r="K578" s="16"/>
      <c r="L578" s="16"/>
      <c r="M578" s="16"/>
      <c r="N578" s="5" t="s">
        <v>112</v>
      </c>
      <c r="O578" s="16" t="str">
        <f t="shared" si="1"/>
        <v>#</v>
      </c>
      <c r="P578" s="16" t="str">
        <f t="shared" si="2"/>
        <v>#videoGame</v>
      </c>
      <c r="R578" s="16" t="str">
        <f>"("""&amp;C578&amp;""") ("&amp;Vlookup(E578,DropDown!B:C,2,FALSE)&amp; " OR ""Video Game"" OR Playstation OR iOS OR PS4 OR PS5 OR Xbox OR Switch OR Swtich 2 OR PC)"</f>
        <v>#N/A</v>
      </c>
      <c r="S578" s="44" t="str">
        <f>"("""&amp;C578&amp;""") ("&amp;Vlookup(E578,DropDown!K:L,2,FALSE)&amp; " | ""Video Game"" | Playstation | iOS | PS4 | PS5 | Xbox | Switch | Switch 2 | PC)"</f>
        <v>#N/A</v>
      </c>
      <c r="T578" s="44"/>
      <c r="U578" s="44"/>
      <c r="V578" s="44"/>
      <c r="W578" s="44"/>
      <c r="X578" s="44"/>
      <c r="Z578" s="44"/>
    </row>
    <row r="579">
      <c r="A579" s="16"/>
      <c r="B579" s="16"/>
      <c r="E579" s="16"/>
      <c r="F579" s="16"/>
      <c r="G579" s="16"/>
      <c r="H579" s="16"/>
      <c r="I579" s="16"/>
      <c r="J579" s="16"/>
      <c r="K579" s="16"/>
      <c r="L579" s="16"/>
      <c r="M579" s="16"/>
      <c r="N579" s="5" t="s">
        <v>112</v>
      </c>
      <c r="O579" s="16" t="str">
        <f t="shared" si="1"/>
        <v>#</v>
      </c>
      <c r="P579" s="16" t="str">
        <f t="shared" si="2"/>
        <v>#videoGame</v>
      </c>
      <c r="R579" s="16" t="str">
        <f>"("""&amp;C579&amp;""") ("&amp;Vlookup(E579,DropDown!B:C,2,FALSE)&amp; " OR ""Video Game"" OR Playstation OR iOS OR PS4 OR PS5 OR Xbox OR Switch OR Swtich 2 OR PC)"</f>
        <v>#N/A</v>
      </c>
      <c r="S579" s="44" t="str">
        <f>"("""&amp;C579&amp;""") ("&amp;Vlookup(E579,DropDown!K:L,2,FALSE)&amp; " | ""Video Game"" | Playstation | iOS | PS4 | PS5 | Xbox | Switch | Switch 2 | PC)"</f>
        <v>#N/A</v>
      </c>
      <c r="T579" s="44"/>
      <c r="U579" s="44"/>
      <c r="V579" s="44"/>
      <c r="W579" s="44"/>
      <c r="X579" s="44"/>
      <c r="Z579" s="44"/>
    </row>
    <row r="580">
      <c r="A580" s="16"/>
      <c r="B580" s="16"/>
      <c r="E580" s="16"/>
      <c r="F580" s="16"/>
      <c r="G580" s="16"/>
      <c r="H580" s="16"/>
      <c r="I580" s="16"/>
      <c r="J580" s="16"/>
      <c r="K580" s="16"/>
      <c r="L580" s="16"/>
      <c r="M580" s="16"/>
      <c r="N580" s="5" t="s">
        <v>112</v>
      </c>
      <c r="O580" s="16" t="str">
        <f t="shared" si="1"/>
        <v>#</v>
      </c>
      <c r="P580" s="16" t="str">
        <f t="shared" si="2"/>
        <v>#videoGame</v>
      </c>
      <c r="R580" s="16" t="str">
        <f>"("""&amp;C580&amp;""") ("&amp;Vlookup(E580,DropDown!B:C,2,FALSE)&amp; " OR ""Video Game"" OR Playstation OR iOS OR PS4 OR PS5 OR Xbox OR Switch OR Swtich 2 OR PC)"</f>
        <v>#N/A</v>
      </c>
      <c r="S580" s="44" t="str">
        <f>"("""&amp;C580&amp;""") ("&amp;Vlookup(E580,DropDown!K:L,2,FALSE)&amp; " | ""Video Game"" | Playstation | iOS | PS4 | PS5 | Xbox | Switch | Switch 2 | PC)"</f>
        <v>#N/A</v>
      </c>
      <c r="T580" s="44"/>
      <c r="U580" s="44"/>
      <c r="V580" s="44"/>
      <c r="W580" s="44"/>
      <c r="X580" s="44"/>
      <c r="Z580" s="44"/>
    </row>
    <row r="581">
      <c r="A581" s="16"/>
      <c r="B581" s="16"/>
      <c r="E581" s="16"/>
      <c r="F581" s="16"/>
      <c r="G581" s="16"/>
      <c r="H581" s="16"/>
      <c r="I581" s="16"/>
      <c r="J581" s="16"/>
      <c r="K581" s="16"/>
      <c r="L581" s="16"/>
      <c r="M581" s="16"/>
      <c r="N581" s="5" t="s">
        <v>112</v>
      </c>
      <c r="O581" s="16" t="str">
        <f t="shared" si="1"/>
        <v>#</v>
      </c>
      <c r="P581" s="16" t="str">
        <f t="shared" si="2"/>
        <v>#videoGame</v>
      </c>
      <c r="R581" s="16" t="str">
        <f>"("""&amp;C581&amp;""") ("&amp;Vlookup(E581,DropDown!B:C,2,FALSE)&amp; " OR ""Video Game"" OR Playstation OR iOS OR PS4 OR PS5 OR Xbox OR Switch OR Swtich 2 OR PC)"</f>
        <v>#N/A</v>
      </c>
      <c r="S581" s="44" t="str">
        <f>"("""&amp;C581&amp;""") ("&amp;Vlookup(E581,DropDown!K:L,2,FALSE)&amp; " | ""Video Game"" | Playstation | iOS | PS4 | PS5 | Xbox | Switch | Switch 2 | PC)"</f>
        <v>#N/A</v>
      </c>
      <c r="T581" s="44"/>
      <c r="U581" s="44"/>
      <c r="V581" s="44"/>
      <c r="W581" s="44"/>
      <c r="X581" s="44"/>
      <c r="Z581" s="44"/>
    </row>
    <row r="582">
      <c r="A582" s="16"/>
      <c r="B582" s="16"/>
      <c r="E582" s="16"/>
      <c r="F582" s="16"/>
      <c r="G582" s="16"/>
      <c r="H582" s="16"/>
      <c r="I582" s="16"/>
      <c r="J582" s="16"/>
      <c r="K582" s="16"/>
      <c r="L582" s="16"/>
      <c r="M582" s="16"/>
      <c r="N582" s="5" t="s">
        <v>112</v>
      </c>
      <c r="O582" s="16" t="str">
        <f t="shared" si="1"/>
        <v>#</v>
      </c>
      <c r="P582" s="16" t="str">
        <f t="shared" si="2"/>
        <v>#videoGame</v>
      </c>
      <c r="R582" s="16" t="str">
        <f>"("""&amp;C582&amp;""") ("&amp;Vlookup(E582,DropDown!B:C,2,FALSE)&amp; " OR ""Video Game"" OR Playstation OR iOS OR PS4 OR PS5 OR Xbox OR Switch OR Swtich 2 OR PC)"</f>
        <v>#N/A</v>
      </c>
      <c r="S582" s="44" t="str">
        <f>"("""&amp;C582&amp;""") ("&amp;Vlookup(E582,DropDown!K:L,2,FALSE)&amp; " | ""Video Game"" | Playstation | iOS | PS4 | PS5 | Xbox | Switch | Switch 2 | PC)"</f>
        <v>#N/A</v>
      </c>
      <c r="T582" s="44"/>
      <c r="U582" s="44"/>
      <c r="V582" s="44"/>
      <c r="W582" s="44"/>
      <c r="X582" s="44"/>
      <c r="Z582" s="44"/>
    </row>
    <row r="583">
      <c r="A583" s="16"/>
      <c r="B583" s="16"/>
      <c r="E583" s="16"/>
      <c r="F583" s="16"/>
      <c r="G583" s="16"/>
      <c r="H583" s="16"/>
      <c r="I583" s="16"/>
      <c r="J583" s="16"/>
      <c r="K583" s="16"/>
      <c r="L583" s="16"/>
      <c r="M583" s="16"/>
      <c r="N583" s="5" t="s">
        <v>112</v>
      </c>
      <c r="O583" s="16" t="str">
        <f t="shared" si="1"/>
        <v>#</v>
      </c>
      <c r="P583" s="16" t="str">
        <f t="shared" si="2"/>
        <v>#videoGame</v>
      </c>
      <c r="R583" s="16" t="str">
        <f>"("""&amp;C583&amp;""") ("&amp;Vlookup(E583,DropDown!B:C,2,FALSE)&amp; " OR ""Video Game"" OR Playstation OR iOS OR PS4 OR PS5 OR Xbox OR Switch OR Swtich 2 OR PC)"</f>
        <v>#N/A</v>
      </c>
      <c r="S583" s="44" t="str">
        <f>"("""&amp;C583&amp;""") ("&amp;Vlookup(E583,DropDown!K:L,2,FALSE)&amp; " | ""Video Game"" | Playstation | iOS | PS4 | PS5 | Xbox | Switch | Switch 2 | PC)"</f>
        <v>#N/A</v>
      </c>
      <c r="T583" s="44"/>
      <c r="U583" s="44"/>
      <c r="V583" s="44"/>
      <c r="W583" s="44"/>
      <c r="X583" s="44"/>
      <c r="Z583" s="44"/>
    </row>
    <row r="584">
      <c r="A584" s="16"/>
      <c r="B584" s="16"/>
      <c r="E584" s="16"/>
      <c r="F584" s="16"/>
      <c r="G584" s="16"/>
      <c r="H584" s="16"/>
      <c r="I584" s="16"/>
      <c r="J584" s="16"/>
      <c r="K584" s="16"/>
      <c r="L584" s="16"/>
      <c r="M584" s="16"/>
      <c r="N584" s="5" t="s">
        <v>112</v>
      </c>
      <c r="O584" s="16" t="str">
        <f t="shared" si="1"/>
        <v>#</v>
      </c>
      <c r="P584" s="16" t="str">
        <f t="shared" si="2"/>
        <v>#videoGame</v>
      </c>
      <c r="R584" s="16" t="str">
        <f>"("""&amp;C584&amp;""") ("&amp;Vlookup(E584,DropDown!B:C,2,FALSE)&amp; " OR ""Video Game"" OR Playstation OR iOS OR PS4 OR PS5 OR Xbox OR Switch OR Swtich 2 OR PC)"</f>
        <v>#N/A</v>
      </c>
      <c r="S584" s="44" t="str">
        <f>"("""&amp;C584&amp;""") ("&amp;Vlookup(E584,DropDown!K:L,2,FALSE)&amp; " | ""Video Game"" | Playstation | iOS | PS4 | PS5 | Xbox | Switch | Switch 2 | PC)"</f>
        <v>#N/A</v>
      </c>
      <c r="T584" s="44"/>
      <c r="U584" s="44"/>
      <c r="V584" s="44"/>
      <c r="W584" s="44"/>
      <c r="X584" s="44"/>
      <c r="Z584" s="44"/>
    </row>
    <row r="585">
      <c r="A585" s="16"/>
      <c r="B585" s="16"/>
      <c r="E585" s="16"/>
      <c r="F585" s="16"/>
      <c r="G585" s="16"/>
      <c r="H585" s="16"/>
      <c r="I585" s="16"/>
      <c r="J585" s="16"/>
      <c r="K585" s="16"/>
      <c r="L585" s="16"/>
      <c r="M585" s="16"/>
      <c r="N585" s="5" t="s">
        <v>112</v>
      </c>
      <c r="O585" s="16" t="str">
        <f t="shared" si="1"/>
        <v>#</v>
      </c>
      <c r="P585" s="16" t="str">
        <f t="shared" si="2"/>
        <v>#videoGame</v>
      </c>
      <c r="R585" s="16" t="str">
        <f>"("""&amp;C585&amp;""") ("&amp;Vlookup(E585,DropDown!B:C,2,FALSE)&amp; " OR ""Video Game"" OR Playstation OR iOS OR PS4 OR PS5 OR Xbox OR Switch OR Swtich 2 OR PC)"</f>
        <v>#N/A</v>
      </c>
      <c r="S585" s="44" t="str">
        <f>"("""&amp;C585&amp;""") ("&amp;Vlookup(E585,DropDown!K:L,2,FALSE)&amp; " | ""Video Game"" | Playstation | iOS | PS4 | PS5 | Xbox | Switch | Switch 2 | PC)"</f>
        <v>#N/A</v>
      </c>
      <c r="T585" s="44"/>
      <c r="U585" s="44"/>
      <c r="V585" s="44"/>
      <c r="W585" s="44"/>
      <c r="X585" s="44"/>
      <c r="Z585" s="44"/>
    </row>
    <row r="586">
      <c r="A586" s="16"/>
      <c r="B586" s="16"/>
      <c r="E586" s="16"/>
      <c r="F586" s="16"/>
      <c r="G586" s="16"/>
      <c r="H586" s="16"/>
      <c r="I586" s="16"/>
      <c r="J586" s="16"/>
      <c r="K586" s="16"/>
      <c r="L586" s="16"/>
      <c r="M586" s="16"/>
      <c r="N586" s="5" t="s">
        <v>112</v>
      </c>
      <c r="O586" s="16" t="str">
        <f t="shared" si="1"/>
        <v>#</v>
      </c>
      <c r="P586" s="16" t="str">
        <f t="shared" si="2"/>
        <v>#videoGame</v>
      </c>
      <c r="R586" s="16" t="str">
        <f>"("""&amp;C586&amp;""") ("&amp;Vlookup(E586,DropDown!B:C,2,FALSE)&amp; " OR ""Video Game"" OR Playstation OR iOS OR PS4 OR PS5 OR Xbox OR Switch OR Swtich 2 OR PC)"</f>
        <v>#N/A</v>
      </c>
      <c r="S586" s="44" t="str">
        <f>"("""&amp;C586&amp;""") ("&amp;Vlookup(E586,DropDown!K:L,2,FALSE)&amp; " | ""Video Game"" | Playstation | iOS | PS4 | PS5 | Xbox | Switch | Switch 2 | PC)"</f>
        <v>#N/A</v>
      </c>
      <c r="T586" s="44"/>
      <c r="U586" s="44"/>
      <c r="V586" s="44"/>
      <c r="W586" s="44"/>
      <c r="X586" s="44"/>
      <c r="Z586" s="44"/>
    </row>
    <row r="587">
      <c r="A587" s="16"/>
      <c r="B587" s="16"/>
      <c r="E587" s="16"/>
      <c r="F587" s="16"/>
      <c r="G587" s="16"/>
      <c r="H587" s="16"/>
      <c r="I587" s="16"/>
      <c r="J587" s="16"/>
      <c r="K587" s="16"/>
      <c r="L587" s="16"/>
      <c r="M587" s="16"/>
      <c r="N587" s="5" t="s">
        <v>112</v>
      </c>
      <c r="O587" s="16" t="str">
        <f t="shared" si="1"/>
        <v>#</v>
      </c>
      <c r="P587" s="16" t="str">
        <f t="shared" si="2"/>
        <v>#videoGame</v>
      </c>
      <c r="R587" s="16" t="str">
        <f>"("""&amp;C587&amp;""") ("&amp;Vlookup(E587,DropDown!B:C,2,FALSE)&amp; " OR ""Video Game"" OR Playstation OR iOS OR PS4 OR PS5 OR Xbox OR Switch OR Swtich 2 OR PC)"</f>
        <v>#N/A</v>
      </c>
      <c r="S587" s="44" t="str">
        <f>"("""&amp;C587&amp;""") ("&amp;Vlookup(E587,DropDown!K:L,2,FALSE)&amp; " | ""Video Game"" | Playstation | iOS | PS4 | PS5 | Xbox | Switch | Switch 2 | PC)"</f>
        <v>#N/A</v>
      </c>
      <c r="T587" s="44"/>
      <c r="U587" s="44"/>
      <c r="V587" s="44"/>
      <c r="W587" s="44"/>
      <c r="X587" s="44"/>
      <c r="Z587" s="44"/>
    </row>
    <row r="588">
      <c r="A588" s="16"/>
      <c r="B588" s="16"/>
      <c r="E588" s="16"/>
      <c r="F588" s="16"/>
      <c r="G588" s="16"/>
      <c r="H588" s="16"/>
      <c r="I588" s="16"/>
      <c r="J588" s="16"/>
      <c r="K588" s="16"/>
      <c r="L588" s="16"/>
      <c r="M588" s="16"/>
      <c r="N588" s="5" t="s">
        <v>112</v>
      </c>
      <c r="O588" s="16" t="str">
        <f t="shared" si="1"/>
        <v>#</v>
      </c>
      <c r="P588" s="16" t="str">
        <f t="shared" si="2"/>
        <v>#videoGame</v>
      </c>
      <c r="R588" s="16" t="str">
        <f>"("""&amp;C588&amp;""") ("&amp;Vlookup(E588,DropDown!B:C,2,FALSE)&amp; " OR ""Video Game"" OR Playstation OR iOS OR PS4 OR PS5 OR Xbox OR Switch OR Swtich 2 OR PC)"</f>
        <v>#N/A</v>
      </c>
      <c r="S588" s="44" t="str">
        <f>"("""&amp;C588&amp;""") ("&amp;Vlookup(E588,DropDown!K:L,2,FALSE)&amp; " | ""Video Game"" | Playstation | iOS | PS4 | PS5 | Xbox | Switch | Switch 2 | PC)"</f>
        <v>#N/A</v>
      </c>
      <c r="T588" s="44"/>
      <c r="U588" s="44"/>
      <c r="V588" s="44"/>
      <c r="W588" s="44"/>
      <c r="X588" s="44"/>
      <c r="Z588" s="44"/>
    </row>
    <row r="589">
      <c r="A589" s="16"/>
      <c r="B589" s="16"/>
      <c r="E589" s="16"/>
      <c r="F589" s="16"/>
      <c r="G589" s="16"/>
      <c r="H589" s="16"/>
      <c r="I589" s="16"/>
      <c r="J589" s="16"/>
      <c r="K589" s="16"/>
      <c r="L589" s="16"/>
      <c r="M589" s="16"/>
      <c r="N589" s="5" t="s">
        <v>112</v>
      </c>
      <c r="O589" s="16" t="str">
        <f t="shared" si="1"/>
        <v>#</v>
      </c>
      <c r="P589" s="16" t="str">
        <f t="shared" si="2"/>
        <v>#videoGame</v>
      </c>
      <c r="R589" s="16" t="str">
        <f>"("""&amp;C589&amp;""") ("&amp;Vlookup(E589,DropDown!B:C,2,FALSE)&amp; " OR ""Video Game"" OR Playstation OR iOS OR PS4 OR PS5 OR Xbox OR Switch OR Swtich 2 OR PC)"</f>
        <v>#N/A</v>
      </c>
      <c r="S589" s="44" t="str">
        <f>"("""&amp;C589&amp;""") ("&amp;Vlookup(E589,DropDown!K:L,2,FALSE)&amp; " | ""Video Game"" | Playstation | iOS | PS4 | PS5 | Xbox | Switch | Switch 2 | PC)"</f>
        <v>#N/A</v>
      </c>
      <c r="T589" s="44"/>
      <c r="U589" s="44"/>
      <c r="V589" s="44"/>
      <c r="W589" s="44"/>
      <c r="X589" s="44"/>
      <c r="Z589" s="44"/>
    </row>
    <row r="590">
      <c r="A590" s="16"/>
      <c r="B590" s="16"/>
      <c r="E590" s="16"/>
      <c r="F590" s="16"/>
      <c r="G590" s="16"/>
      <c r="H590" s="16"/>
      <c r="I590" s="16"/>
      <c r="J590" s="16"/>
      <c r="K590" s="16"/>
      <c r="L590" s="16"/>
      <c r="M590" s="16"/>
      <c r="N590" s="5" t="s">
        <v>112</v>
      </c>
      <c r="O590" s="16" t="str">
        <f t="shared" si="1"/>
        <v>#</v>
      </c>
      <c r="P590" s="16" t="str">
        <f t="shared" si="2"/>
        <v>#videoGame</v>
      </c>
      <c r="R590" s="16" t="str">
        <f>"("""&amp;C590&amp;""") ("&amp;Vlookup(E590,DropDown!B:C,2,FALSE)&amp; " OR ""Video Game"" OR Playstation OR iOS OR PS4 OR PS5 OR Xbox OR Switch OR Swtich 2 OR PC)"</f>
        <v>#N/A</v>
      </c>
      <c r="S590" s="44" t="str">
        <f>"("""&amp;C590&amp;""") ("&amp;Vlookup(E590,DropDown!K:L,2,FALSE)&amp; " | ""Video Game"" | Playstation | iOS | PS4 | PS5 | Xbox | Switch | Switch 2 | PC)"</f>
        <v>#N/A</v>
      </c>
      <c r="T590" s="44"/>
      <c r="U590" s="44"/>
      <c r="V590" s="44"/>
      <c r="W590" s="44"/>
      <c r="X590" s="44"/>
      <c r="Z590" s="44"/>
    </row>
    <row r="591">
      <c r="A591" s="16"/>
      <c r="B591" s="16"/>
      <c r="E591" s="16"/>
      <c r="F591" s="16"/>
      <c r="G591" s="16"/>
      <c r="H591" s="16"/>
      <c r="I591" s="16"/>
      <c r="J591" s="16"/>
      <c r="K591" s="16"/>
      <c r="L591" s="16"/>
      <c r="M591" s="16"/>
      <c r="N591" s="5" t="s">
        <v>112</v>
      </c>
      <c r="O591" s="16" t="str">
        <f t="shared" si="1"/>
        <v>#</v>
      </c>
      <c r="P591" s="16" t="str">
        <f t="shared" si="2"/>
        <v>#videoGame</v>
      </c>
      <c r="R591" s="16" t="str">
        <f>"("""&amp;C591&amp;""") ("&amp;Vlookup(E591,DropDown!B:C,2,FALSE)&amp; " OR ""Video Game"" OR Playstation OR iOS OR PS4 OR PS5 OR Xbox OR Switch OR Swtich 2 OR PC)"</f>
        <v>#N/A</v>
      </c>
      <c r="S591" s="44" t="str">
        <f>"("""&amp;C591&amp;""") ("&amp;Vlookup(E591,DropDown!K:L,2,FALSE)&amp; " | ""Video Game"" | Playstation | iOS | PS4 | PS5 | Xbox | Switch | Switch 2 | PC)"</f>
        <v>#N/A</v>
      </c>
      <c r="T591" s="44"/>
      <c r="U591" s="44"/>
      <c r="V591" s="44"/>
      <c r="W591" s="44"/>
      <c r="X591" s="44"/>
      <c r="Z591" s="44"/>
    </row>
    <row r="592">
      <c r="A592" s="16"/>
      <c r="B592" s="16"/>
      <c r="E592" s="16"/>
      <c r="F592" s="16"/>
      <c r="G592" s="16"/>
      <c r="H592" s="16"/>
      <c r="I592" s="16"/>
      <c r="J592" s="16"/>
      <c r="K592" s="16"/>
      <c r="L592" s="16"/>
      <c r="M592" s="16"/>
      <c r="N592" s="5" t="s">
        <v>112</v>
      </c>
      <c r="O592" s="16" t="str">
        <f t="shared" si="1"/>
        <v>#</v>
      </c>
      <c r="P592" s="16" t="str">
        <f t="shared" si="2"/>
        <v>#videoGame</v>
      </c>
      <c r="R592" s="16" t="str">
        <f>"("""&amp;C592&amp;""") ("&amp;Vlookup(E592,DropDown!B:C,2,FALSE)&amp; " OR ""Video Game"" OR Playstation OR iOS OR PS4 OR PS5 OR Xbox OR Switch OR Swtich 2 OR PC)"</f>
        <v>#N/A</v>
      </c>
      <c r="S592" s="44" t="str">
        <f>"("""&amp;C592&amp;""") ("&amp;Vlookup(E592,DropDown!K:L,2,FALSE)&amp; " | ""Video Game"" | Playstation | iOS | PS4 | PS5 | Xbox | Switch | Switch 2 | PC)"</f>
        <v>#N/A</v>
      </c>
      <c r="T592" s="44"/>
      <c r="U592" s="44"/>
      <c r="V592" s="44"/>
      <c r="W592" s="44"/>
      <c r="X592" s="44"/>
      <c r="Z592" s="44"/>
    </row>
    <row r="593">
      <c r="A593" s="16"/>
      <c r="B593" s="16"/>
      <c r="E593" s="16"/>
      <c r="F593" s="16"/>
      <c r="G593" s="16"/>
      <c r="H593" s="16"/>
      <c r="I593" s="16"/>
      <c r="J593" s="16"/>
      <c r="K593" s="16"/>
      <c r="L593" s="16"/>
      <c r="M593" s="16"/>
      <c r="N593" s="5" t="s">
        <v>112</v>
      </c>
      <c r="O593" s="16" t="str">
        <f t="shared" si="1"/>
        <v>#</v>
      </c>
      <c r="P593" s="16" t="str">
        <f t="shared" si="2"/>
        <v>#videoGame</v>
      </c>
      <c r="R593" s="16" t="str">
        <f>"("""&amp;C593&amp;""") ("&amp;Vlookup(E593,DropDown!B:C,2,FALSE)&amp; " OR ""Video Game"" OR Playstation OR iOS OR PS4 OR PS5 OR Xbox OR Switch OR Swtich 2 OR PC)"</f>
        <v>#N/A</v>
      </c>
      <c r="S593" s="44" t="str">
        <f>"("""&amp;C593&amp;""") ("&amp;Vlookup(E593,DropDown!K:L,2,FALSE)&amp; " | ""Video Game"" | Playstation | iOS | PS4 | PS5 | Xbox | Switch | Switch 2 | PC)"</f>
        <v>#N/A</v>
      </c>
      <c r="T593" s="44"/>
      <c r="U593" s="44"/>
      <c r="V593" s="44"/>
      <c r="W593" s="44"/>
      <c r="X593" s="44"/>
      <c r="Z593" s="44"/>
    </row>
    <row r="594">
      <c r="A594" s="16"/>
      <c r="B594" s="16"/>
      <c r="E594" s="16"/>
      <c r="F594" s="16"/>
      <c r="G594" s="16"/>
      <c r="H594" s="16"/>
      <c r="I594" s="16"/>
      <c r="J594" s="16"/>
      <c r="K594" s="16"/>
      <c r="L594" s="16"/>
      <c r="M594" s="16"/>
      <c r="N594" s="5" t="s">
        <v>112</v>
      </c>
      <c r="O594" s="16" t="str">
        <f t="shared" si="1"/>
        <v>#</v>
      </c>
      <c r="P594" s="16" t="str">
        <f t="shared" si="2"/>
        <v>#videoGame</v>
      </c>
      <c r="R594" s="16" t="str">
        <f>"("""&amp;C594&amp;""") ("&amp;Vlookup(E594,DropDown!B:C,2,FALSE)&amp; " OR ""Video Game"" OR Playstation OR iOS OR PS4 OR PS5 OR Xbox OR Switch OR Swtich 2 OR PC)"</f>
        <v>#N/A</v>
      </c>
      <c r="S594" s="44" t="str">
        <f>"("""&amp;C594&amp;""") ("&amp;Vlookup(E594,DropDown!K:L,2,FALSE)&amp; " | ""Video Game"" | Playstation | iOS | PS4 | PS5 | Xbox | Switch | Switch 2 | PC)"</f>
        <v>#N/A</v>
      </c>
      <c r="T594" s="44"/>
      <c r="U594" s="44"/>
      <c r="V594" s="44"/>
      <c r="W594" s="44"/>
      <c r="X594" s="44"/>
      <c r="Z594" s="44"/>
    </row>
    <row r="595">
      <c r="A595" s="16"/>
      <c r="B595" s="16"/>
      <c r="E595" s="16"/>
      <c r="F595" s="16"/>
      <c r="G595" s="16"/>
      <c r="H595" s="16"/>
      <c r="I595" s="16"/>
      <c r="J595" s="16"/>
      <c r="K595" s="16"/>
      <c r="L595" s="16"/>
      <c r="M595" s="16"/>
      <c r="N595" s="5" t="s">
        <v>112</v>
      </c>
      <c r="O595" s="16" t="str">
        <f t="shared" si="1"/>
        <v>#</v>
      </c>
      <c r="P595" s="16" t="str">
        <f t="shared" si="2"/>
        <v>#videoGame</v>
      </c>
      <c r="R595" s="16" t="str">
        <f>"("""&amp;C595&amp;""") ("&amp;Vlookup(E595,DropDown!B:C,2,FALSE)&amp; " OR ""Video Game"" OR Playstation OR iOS OR PS4 OR PS5 OR Xbox OR Switch OR Swtich 2 OR PC)"</f>
        <v>#N/A</v>
      </c>
      <c r="S595" s="44" t="str">
        <f>"("""&amp;C595&amp;""") ("&amp;Vlookup(E595,DropDown!K:L,2,FALSE)&amp; " | ""Video Game"" | Playstation | iOS | PS4 | PS5 | Xbox | Switch | Switch 2 | PC)"</f>
        <v>#N/A</v>
      </c>
      <c r="T595" s="44"/>
      <c r="U595" s="44"/>
      <c r="V595" s="44"/>
      <c r="W595" s="44"/>
      <c r="X595" s="44"/>
      <c r="Z595" s="44"/>
    </row>
    <row r="596">
      <c r="A596" s="16"/>
      <c r="B596" s="16"/>
      <c r="E596" s="16"/>
      <c r="F596" s="16"/>
      <c r="G596" s="16"/>
      <c r="H596" s="16"/>
      <c r="I596" s="16"/>
      <c r="J596" s="16"/>
      <c r="K596" s="16"/>
      <c r="L596" s="16"/>
      <c r="M596" s="16"/>
      <c r="N596" s="5" t="s">
        <v>112</v>
      </c>
      <c r="O596" s="16" t="str">
        <f t="shared" si="1"/>
        <v>#</v>
      </c>
      <c r="P596" s="16" t="str">
        <f t="shared" si="2"/>
        <v>#videoGame</v>
      </c>
      <c r="R596" s="16" t="str">
        <f>"("""&amp;C596&amp;""") ("&amp;Vlookup(E596,DropDown!B:C,2,FALSE)&amp; " OR ""Video Game"" OR Playstation OR iOS OR PS4 OR PS5 OR Xbox OR Switch OR Swtich 2 OR PC)"</f>
        <v>#N/A</v>
      </c>
      <c r="S596" s="44" t="str">
        <f>"("""&amp;C596&amp;""") ("&amp;Vlookup(E596,DropDown!K:L,2,FALSE)&amp; " | ""Video Game"" | Playstation | iOS | PS4 | PS5 | Xbox | Switch | Switch 2 | PC)"</f>
        <v>#N/A</v>
      </c>
      <c r="T596" s="44"/>
      <c r="U596" s="44"/>
      <c r="V596" s="44"/>
      <c r="W596" s="44"/>
      <c r="X596" s="44"/>
      <c r="Z596" s="44"/>
    </row>
    <row r="597">
      <c r="A597" s="16"/>
      <c r="B597" s="16"/>
      <c r="E597" s="16"/>
      <c r="F597" s="16"/>
      <c r="G597" s="16"/>
      <c r="H597" s="16"/>
      <c r="I597" s="16"/>
      <c r="J597" s="16"/>
      <c r="K597" s="16"/>
      <c r="L597" s="16"/>
      <c r="M597" s="16"/>
      <c r="N597" s="5" t="s">
        <v>112</v>
      </c>
      <c r="O597" s="16" t="str">
        <f t="shared" si="1"/>
        <v>#</v>
      </c>
      <c r="P597" s="16" t="str">
        <f t="shared" si="2"/>
        <v>#videoGame</v>
      </c>
      <c r="R597" s="16" t="str">
        <f>"("""&amp;C597&amp;""") ("&amp;Vlookup(E597,DropDown!B:C,2,FALSE)&amp; " OR ""Video Game"" OR Playstation OR iOS OR PS4 OR PS5 OR Xbox OR Switch OR Swtich 2 OR PC)"</f>
        <v>#N/A</v>
      </c>
      <c r="S597" s="44" t="str">
        <f>"("""&amp;C597&amp;""") ("&amp;Vlookup(E597,DropDown!K:L,2,FALSE)&amp; " | ""Video Game"" | Playstation | iOS | PS4 | PS5 | Xbox | Switch | Switch 2 | PC)"</f>
        <v>#N/A</v>
      </c>
      <c r="T597" s="44"/>
      <c r="U597" s="44"/>
      <c r="V597" s="44"/>
      <c r="W597" s="44"/>
      <c r="X597" s="44"/>
      <c r="Z597" s="44"/>
    </row>
    <row r="598">
      <c r="A598" s="16"/>
      <c r="B598" s="16"/>
      <c r="E598" s="16"/>
      <c r="F598" s="16"/>
      <c r="G598" s="16"/>
      <c r="H598" s="16"/>
      <c r="I598" s="16"/>
      <c r="J598" s="16"/>
      <c r="K598" s="16"/>
      <c r="L598" s="16"/>
      <c r="M598" s="16"/>
      <c r="N598" s="5" t="s">
        <v>112</v>
      </c>
      <c r="O598" s="16" t="str">
        <f t="shared" si="1"/>
        <v>#</v>
      </c>
      <c r="P598" s="16" t="str">
        <f t="shared" si="2"/>
        <v>#videoGame</v>
      </c>
      <c r="R598" s="16" t="str">
        <f>"("""&amp;C598&amp;""") ("&amp;Vlookup(E598,DropDown!B:C,2,FALSE)&amp; " OR ""Video Game"" OR Playstation OR iOS OR PS4 OR PS5 OR Xbox OR Switch OR Swtich 2 OR PC)"</f>
        <v>#N/A</v>
      </c>
      <c r="S598" s="44" t="str">
        <f>"("""&amp;C598&amp;""") ("&amp;Vlookup(E598,DropDown!K:L,2,FALSE)&amp; " | ""Video Game"" | Playstation | iOS | PS4 | PS5 | Xbox | Switch | Switch 2 | PC)"</f>
        <v>#N/A</v>
      </c>
      <c r="T598" s="44"/>
      <c r="U598" s="44"/>
      <c r="V598" s="44"/>
      <c r="W598" s="44"/>
      <c r="X598" s="44"/>
      <c r="Z598" s="44"/>
    </row>
    <row r="599">
      <c r="A599" s="16"/>
      <c r="B599" s="16"/>
      <c r="E599" s="16"/>
      <c r="F599" s="16"/>
      <c r="G599" s="16"/>
      <c r="H599" s="16"/>
      <c r="I599" s="16"/>
      <c r="J599" s="16"/>
      <c r="K599" s="16"/>
      <c r="L599" s="16"/>
      <c r="M599" s="16"/>
      <c r="N599" s="5" t="s">
        <v>112</v>
      </c>
      <c r="O599" s="16" t="str">
        <f t="shared" si="1"/>
        <v>#</v>
      </c>
      <c r="P599" s="16" t="str">
        <f t="shared" si="2"/>
        <v>#videoGame</v>
      </c>
      <c r="R599" s="16" t="str">
        <f>"("""&amp;C599&amp;""") ("&amp;Vlookup(E599,DropDown!B:C,2,FALSE)&amp; " OR ""Video Game"" OR Playstation OR iOS OR PS4 OR PS5 OR Xbox OR Switch OR Swtich 2 OR PC)"</f>
        <v>#N/A</v>
      </c>
      <c r="S599" s="44" t="str">
        <f>"("""&amp;C599&amp;""") ("&amp;Vlookup(E599,DropDown!K:L,2,FALSE)&amp; " | ""Video Game"" | Playstation | iOS | PS4 | PS5 | Xbox | Switch | Switch 2 | PC)"</f>
        <v>#N/A</v>
      </c>
      <c r="T599" s="44"/>
      <c r="U599" s="44"/>
      <c r="V599" s="44"/>
      <c r="W599" s="44"/>
      <c r="X599" s="44"/>
      <c r="Z599" s="44"/>
    </row>
    <row r="600">
      <c r="A600" s="16"/>
      <c r="B600" s="16"/>
      <c r="E600" s="16"/>
      <c r="F600" s="16"/>
      <c r="G600" s="16"/>
      <c r="H600" s="16"/>
      <c r="I600" s="16"/>
      <c r="J600" s="16"/>
      <c r="K600" s="16"/>
      <c r="L600" s="16"/>
      <c r="M600" s="16"/>
      <c r="N600" s="5" t="s">
        <v>112</v>
      </c>
      <c r="O600" s="16" t="str">
        <f t="shared" si="1"/>
        <v>#</v>
      </c>
      <c r="P600" s="16" t="str">
        <f t="shared" si="2"/>
        <v>#videoGame</v>
      </c>
      <c r="R600" s="16" t="str">
        <f>"("""&amp;C600&amp;""") ("&amp;Vlookup(E600,DropDown!B:C,2,FALSE)&amp; " OR ""Video Game"" OR Playstation OR iOS OR PS4 OR PS5 OR Xbox OR Switch OR Swtich 2 OR PC)"</f>
        <v>#N/A</v>
      </c>
      <c r="S600" s="44" t="str">
        <f>"("""&amp;C600&amp;""") ("&amp;Vlookup(E600,DropDown!K:L,2,FALSE)&amp; " | ""Video Game"" | Playstation | iOS | PS4 | PS5 | Xbox | Switch | Switch 2 | PC)"</f>
        <v>#N/A</v>
      </c>
      <c r="T600" s="44"/>
      <c r="U600" s="44"/>
      <c r="V600" s="44"/>
      <c r="W600" s="44"/>
      <c r="X600" s="44"/>
      <c r="Z600" s="44"/>
    </row>
    <row r="601">
      <c r="A601" s="16"/>
      <c r="B601" s="16"/>
      <c r="E601" s="16"/>
      <c r="F601" s="16"/>
      <c r="G601" s="16"/>
      <c r="H601" s="16"/>
      <c r="I601" s="16"/>
      <c r="J601" s="16"/>
      <c r="K601" s="16"/>
      <c r="L601" s="16"/>
      <c r="M601" s="16"/>
      <c r="N601" s="5" t="s">
        <v>112</v>
      </c>
      <c r="O601" s="16" t="str">
        <f t="shared" si="1"/>
        <v>#</v>
      </c>
      <c r="P601" s="16" t="str">
        <f t="shared" si="2"/>
        <v>#videoGame</v>
      </c>
      <c r="R601" s="16" t="str">
        <f>"("""&amp;C601&amp;""") ("&amp;Vlookup(E601,DropDown!B:C,2,FALSE)&amp; " OR ""Video Game"" OR Playstation OR iOS OR PS4 OR PS5 OR Xbox OR Switch OR Swtich 2 OR PC)"</f>
        <v>#N/A</v>
      </c>
      <c r="S601" s="44" t="str">
        <f>"("""&amp;C601&amp;""") ("&amp;Vlookup(E601,DropDown!K:L,2,FALSE)&amp; " | ""Video Game"" | Playstation | iOS | PS4 | PS5 | Xbox | Switch | Switch 2 | PC)"</f>
        <v>#N/A</v>
      </c>
      <c r="T601" s="44"/>
      <c r="U601" s="44"/>
      <c r="V601" s="44"/>
      <c r="W601" s="44"/>
      <c r="X601" s="44"/>
      <c r="Z601" s="44"/>
    </row>
    <row r="602">
      <c r="A602" s="16"/>
      <c r="B602" s="16"/>
      <c r="E602" s="16"/>
      <c r="F602" s="16"/>
      <c r="G602" s="16"/>
      <c r="H602" s="16"/>
      <c r="I602" s="16"/>
      <c r="J602" s="16"/>
      <c r="K602" s="16"/>
      <c r="L602" s="16"/>
      <c r="M602" s="16"/>
      <c r="N602" s="5" t="s">
        <v>112</v>
      </c>
      <c r="O602" s="16" t="str">
        <f t="shared" si="1"/>
        <v>#</v>
      </c>
      <c r="P602" s="16" t="str">
        <f t="shared" si="2"/>
        <v>#videoGame</v>
      </c>
      <c r="R602" s="16" t="str">
        <f>"("""&amp;C602&amp;""") ("&amp;Vlookup(E602,DropDown!B:C,2,FALSE)&amp; " OR ""Video Game"" OR Playstation OR iOS OR PS4 OR PS5 OR Xbox OR Switch OR Swtich 2 OR PC)"</f>
        <v>#N/A</v>
      </c>
      <c r="S602" s="44" t="str">
        <f>"("""&amp;C602&amp;""") ("&amp;Vlookup(E602,DropDown!K:L,2,FALSE)&amp; " | ""Video Game"" | Playstation | iOS | PS4 | PS5 | Xbox | Switch | Switch 2 | PC)"</f>
        <v>#N/A</v>
      </c>
      <c r="T602" s="44"/>
      <c r="U602" s="44"/>
      <c r="V602" s="44"/>
      <c r="W602" s="44"/>
      <c r="X602" s="44"/>
      <c r="Z602" s="44"/>
    </row>
    <row r="603">
      <c r="A603" s="16"/>
      <c r="B603" s="16"/>
      <c r="E603" s="16"/>
      <c r="F603" s="16"/>
      <c r="G603" s="16"/>
      <c r="H603" s="16"/>
      <c r="I603" s="16"/>
      <c r="J603" s="16"/>
      <c r="K603" s="16"/>
      <c r="L603" s="16"/>
      <c r="M603" s="16"/>
      <c r="N603" s="5" t="s">
        <v>112</v>
      </c>
      <c r="O603" s="16" t="str">
        <f t="shared" si="1"/>
        <v>#</v>
      </c>
      <c r="P603" s="16" t="str">
        <f t="shared" si="2"/>
        <v>#videoGame</v>
      </c>
      <c r="R603" s="16" t="str">
        <f>"("""&amp;C603&amp;""") ("&amp;Vlookup(E603,DropDown!B:C,2,FALSE)&amp; " OR ""Video Game"" OR Playstation OR iOS OR PS4 OR PS5 OR Xbox OR Switch OR Swtich 2 OR PC)"</f>
        <v>#N/A</v>
      </c>
      <c r="S603" s="44" t="str">
        <f>"("""&amp;C603&amp;""") ("&amp;Vlookup(E603,DropDown!K:L,2,FALSE)&amp; " | ""Video Game"" | Playstation | iOS | PS4 | PS5 | Xbox | Switch | Switch 2 | PC)"</f>
        <v>#N/A</v>
      </c>
      <c r="T603" s="44"/>
      <c r="U603" s="44"/>
      <c r="V603" s="44"/>
      <c r="W603" s="44"/>
      <c r="X603" s="44"/>
      <c r="Z603" s="44"/>
    </row>
    <row r="604">
      <c r="A604" s="16"/>
      <c r="B604" s="16"/>
      <c r="E604" s="16"/>
      <c r="F604" s="16"/>
      <c r="G604" s="16"/>
      <c r="H604" s="16"/>
      <c r="I604" s="16"/>
      <c r="J604" s="16"/>
      <c r="K604" s="16"/>
      <c r="L604" s="16"/>
      <c r="M604" s="16"/>
      <c r="N604" s="5" t="s">
        <v>112</v>
      </c>
      <c r="O604" s="16" t="str">
        <f t="shared" si="1"/>
        <v>#</v>
      </c>
      <c r="P604" s="16" t="str">
        <f t="shared" si="2"/>
        <v>#videoGame</v>
      </c>
      <c r="R604" s="16" t="str">
        <f>"("""&amp;C604&amp;""") ("&amp;Vlookup(E604,DropDown!B:C,2,FALSE)&amp; " OR ""Video Game"" OR Playstation OR iOS OR PS4 OR PS5 OR Xbox OR Switch OR Swtich 2 OR PC)"</f>
        <v>#N/A</v>
      </c>
      <c r="S604" s="44" t="str">
        <f>"("""&amp;C604&amp;""") ("&amp;Vlookup(E604,DropDown!K:L,2,FALSE)&amp; " | ""Video Game"" | Playstation | iOS | PS4 | PS5 | Xbox | Switch | Switch 2 | PC)"</f>
        <v>#N/A</v>
      </c>
      <c r="T604" s="44"/>
      <c r="U604" s="44"/>
      <c r="V604" s="44"/>
      <c r="W604" s="44"/>
      <c r="X604" s="44"/>
      <c r="Z604" s="44"/>
    </row>
    <row r="605">
      <c r="A605" s="16"/>
      <c r="B605" s="16"/>
      <c r="E605" s="16"/>
      <c r="F605" s="16"/>
      <c r="G605" s="16"/>
      <c r="H605" s="16"/>
      <c r="I605" s="16"/>
      <c r="J605" s="16"/>
      <c r="K605" s="16"/>
      <c r="L605" s="16"/>
      <c r="M605" s="16"/>
      <c r="N605" s="5" t="s">
        <v>112</v>
      </c>
      <c r="O605" s="16" t="str">
        <f t="shared" si="1"/>
        <v>#</v>
      </c>
      <c r="P605" s="16" t="str">
        <f t="shared" si="2"/>
        <v>#videoGame</v>
      </c>
      <c r="R605" s="16" t="str">
        <f>"("""&amp;C605&amp;""") ("&amp;Vlookup(E605,DropDown!B:C,2,FALSE)&amp; " OR ""Video Game"" OR Playstation OR iOS OR PS4 OR PS5 OR Xbox OR Switch OR Swtich 2 OR PC)"</f>
        <v>#N/A</v>
      </c>
      <c r="S605" s="44" t="str">
        <f>"("""&amp;C605&amp;""") ("&amp;Vlookup(E605,DropDown!K:L,2,FALSE)&amp; " | ""Video Game"" | Playstation | iOS | PS4 | PS5 | Xbox | Switch | Switch 2 | PC)"</f>
        <v>#N/A</v>
      </c>
      <c r="T605" s="44"/>
      <c r="U605" s="44"/>
      <c r="V605" s="44"/>
      <c r="W605" s="44"/>
      <c r="X605" s="44"/>
      <c r="Z605" s="44"/>
    </row>
    <row r="606">
      <c r="A606" s="16"/>
      <c r="B606" s="16"/>
      <c r="E606" s="16"/>
      <c r="F606" s="16"/>
      <c r="G606" s="16"/>
      <c r="H606" s="16"/>
      <c r="I606" s="16"/>
      <c r="J606" s="16"/>
      <c r="K606" s="16"/>
      <c r="L606" s="16"/>
      <c r="M606" s="16"/>
      <c r="N606" s="5" t="s">
        <v>112</v>
      </c>
      <c r="O606" s="16" t="str">
        <f t="shared" si="1"/>
        <v>#</v>
      </c>
      <c r="P606" s="16" t="str">
        <f t="shared" si="2"/>
        <v>#videoGame</v>
      </c>
      <c r="R606" s="16" t="str">
        <f>"("""&amp;C606&amp;""") ("&amp;Vlookup(E606,DropDown!B:C,2,FALSE)&amp; " OR ""Video Game"" OR Playstation OR iOS OR PS4 OR PS5 OR Xbox OR Switch OR Swtich 2 OR PC)"</f>
        <v>#N/A</v>
      </c>
      <c r="S606" s="44" t="str">
        <f>"("""&amp;C606&amp;""") ("&amp;Vlookup(E606,DropDown!K:L,2,FALSE)&amp; " | ""Video Game"" | Playstation | iOS | PS4 | PS5 | Xbox | Switch | Switch 2 | PC)"</f>
        <v>#N/A</v>
      </c>
      <c r="T606" s="44"/>
      <c r="U606" s="44"/>
      <c r="V606" s="44"/>
      <c r="W606" s="44"/>
      <c r="X606" s="44"/>
      <c r="Z606" s="44"/>
    </row>
    <row r="607">
      <c r="A607" s="16"/>
      <c r="B607" s="16"/>
      <c r="E607" s="16"/>
      <c r="F607" s="16"/>
      <c r="G607" s="16"/>
      <c r="H607" s="16"/>
      <c r="I607" s="16"/>
      <c r="J607" s="16"/>
      <c r="K607" s="16"/>
      <c r="L607" s="16"/>
      <c r="M607" s="16"/>
      <c r="N607" s="5" t="s">
        <v>112</v>
      </c>
      <c r="O607" s="16" t="str">
        <f t="shared" si="1"/>
        <v>#</v>
      </c>
      <c r="P607" s="16" t="str">
        <f t="shared" si="2"/>
        <v>#videoGame</v>
      </c>
      <c r="R607" s="16" t="str">
        <f>"("""&amp;C607&amp;""") ("&amp;Vlookup(E607,DropDown!B:C,2,FALSE)&amp; " OR ""Video Game"" OR Playstation OR iOS OR PS4 OR PS5 OR Xbox OR Switch OR Swtich 2 OR PC)"</f>
        <v>#N/A</v>
      </c>
      <c r="S607" s="44" t="str">
        <f>"("""&amp;C607&amp;""") ("&amp;Vlookup(E607,DropDown!K:L,2,FALSE)&amp; " | ""Video Game"" | Playstation | iOS | PS4 | PS5 | Xbox | Switch | Switch 2 | PC)"</f>
        <v>#N/A</v>
      </c>
      <c r="T607" s="44"/>
      <c r="U607" s="44"/>
      <c r="V607" s="44"/>
      <c r="W607" s="44"/>
      <c r="X607" s="44"/>
      <c r="Z607" s="44"/>
    </row>
    <row r="608">
      <c r="A608" s="16"/>
      <c r="B608" s="16"/>
      <c r="E608" s="16"/>
      <c r="F608" s="16"/>
      <c r="G608" s="16"/>
      <c r="H608" s="16"/>
      <c r="I608" s="16"/>
      <c r="J608" s="16"/>
      <c r="K608" s="16"/>
      <c r="L608" s="16"/>
      <c r="M608" s="16"/>
      <c r="N608" s="5" t="s">
        <v>112</v>
      </c>
      <c r="O608" s="16" t="str">
        <f t="shared" si="1"/>
        <v>#</v>
      </c>
      <c r="P608" s="16" t="str">
        <f t="shared" si="2"/>
        <v>#videoGame</v>
      </c>
      <c r="R608" s="16" t="str">
        <f>"("""&amp;C608&amp;""") ("&amp;Vlookup(E608,DropDown!B:C,2,FALSE)&amp; " OR ""Video Game"" OR Playstation OR iOS OR PS4 OR PS5 OR Xbox OR Switch OR Swtich 2 OR PC)"</f>
        <v>#N/A</v>
      </c>
      <c r="S608" s="44" t="str">
        <f>"("""&amp;C608&amp;""") ("&amp;Vlookup(E608,DropDown!K:L,2,FALSE)&amp; " | ""Video Game"" | Playstation | iOS | PS4 | PS5 | Xbox | Switch | Switch 2 | PC)"</f>
        <v>#N/A</v>
      </c>
      <c r="T608" s="44"/>
      <c r="U608" s="44"/>
      <c r="V608" s="44"/>
      <c r="W608" s="44"/>
      <c r="X608" s="44"/>
      <c r="Z608" s="44"/>
    </row>
    <row r="609">
      <c r="A609" s="16"/>
      <c r="B609" s="16"/>
      <c r="E609" s="16"/>
      <c r="F609" s="16"/>
      <c r="G609" s="16"/>
      <c r="H609" s="16"/>
      <c r="I609" s="16"/>
      <c r="J609" s="16"/>
      <c r="K609" s="16"/>
      <c r="L609" s="16"/>
      <c r="M609" s="16"/>
      <c r="N609" s="5" t="s">
        <v>112</v>
      </c>
      <c r="O609" s="16" t="str">
        <f t="shared" si="1"/>
        <v>#</v>
      </c>
      <c r="P609" s="16" t="str">
        <f t="shared" si="2"/>
        <v>#videoGame</v>
      </c>
      <c r="R609" s="16" t="str">
        <f>"("""&amp;C609&amp;""") ("&amp;Vlookup(E609,DropDown!B:C,2,FALSE)&amp; " OR ""Video Game"" OR Playstation OR iOS OR PS4 OR PS5 OR Xbox OR Switch OR Swtich 2 OR PC)"</f>
        <v>#N/A</v>
      </c>
      <c r="S609" s="44" t="str">
        <f>"("""&amp;C609&amp;""") ("&amp;Vlookup(E609,DropDown!K:L,2,FALSE)&amp; " | ""Video Game"" | Playstation | iOS | PS4 | PS5 | Xbox | Switch | Switch 2 | PC)"</f>
        <v>#N/A</v>
      </c>
      <c r="T609" s="44"/>
      <c r="U609" s="44"/>
      <c r="V609" s="44"/>
      <c r="W609" s="44"/>
      <c r="X609" s="44"/>
      <c r="Z609" s="44"/>
    </row>
    <row r="610">
      <c r="A610" s="16"/>
      <c r="B610" s="16"/>
      <c r="E610" s="16"/>
      <c r="F610" s="16"/>
      <c r="G610" s="16"/>
      <c r="H610" s="16"/>
      <c r="I610" s="16"/>
      <c r="J610" s="16"/>
      <c r="K610" s="16"/>
      <c r="L610" s="16"/>
      <c r="M610" s="16"/>
      <c r="N610" s="5" t="s">
        <v>112</v>
      </c>
      <c r="O610" s="16" t="str">
        <f t="shared" si="1"/>
        <v>#</v>
      </c>
      <c r="P610" s="16" t="str">
        <f t="shared" si="2"/>
        <v>#videoGame</v>
      </c>
      <c r="R610" s="16" t="str">
        <f>"("""&amp;C610&amp;""") ("&amp;Vlookup(E610,DropDown!B:C,2,FALSE)&amp; " OR ""Video Game"" OR Playstation OR iOS OR PS4 OR PS5 OR Xbox OR Switch OR Swtich 2 OR PC)"</f>
        <v>#N/A</v>
      </c>
      <c r="S610" s="44" t="str">
        <f>"("""&amp;C610&amp;""") ("&amp;Vlookup(E610,DropDown!K:L,2,FALSE)&amp; " | ""Video Game"" | Playstation | iOS | PS4 | PS5 | Xbox | Switch | Switch 2 | PC)"</f>
        <v>#N/A</v>
      </c>
      <c r="T610" s="44"/>
      <c r="U610" s="44"/>
      <c r="V610" s="44"/>
      <c r="W610" s="44"/>
      <c r="X610" s="44"/>
      <c r="Z610" s="44"/>
    </row>
    <row r="611">
      <c r="A611" s="16"/>
      <c r="B611" s="16"/>
      <c r="E611" s="16"/>
      <c r="F611" s="16"/>
      <c r="G611" s="16"/>
      <c r="H611" s="16"/>
      <c r="I611" s="16"/>
      <c r="J611" s="16"/>
      <c r="K611" s="16"/>
      <c r="L611" s="16"/>
      <c r="M611" s="16"/>
      <c r="N611" s="5" t="s">
        <v>112</v>
      </c>
      <c r="O611" s="16" t="str">
        <f t="shared" si="1"/>
        <v>#</v>
      </c>
      <c r="P611" s="16" t="str">
        <f t="shared" si="2"/>
        <v>#videoGame</v>
      </c>
      <c r="R611" s="16" t="str">
        <f>"("""&amp;C611&amp;""") ("&amp;Vlookup(E611,DropDown!B:C,2,FALSE)&amp; " OR ""Video Game"" OR Playstation OR iOS OR PS4 OR PS5 OR Xbox OR Switch OR Swtich 2 OR PC)"</f>
        <v>#N/A</v>
      </c>
      <c r="S611" s="44" t="str">
        <f>"("""&amp;C611&amp;""") ("&amp;Vlookup(E611,DropDown!K:L,2,FALSE)&amp; " | ""Video Game"" | Playstation | iOS | PS4 | PS5 | Xbox | Switch | Switch 2 | PC)"</f>
        <v>#N/A</v>
      </c>
      <c r="T611" s="44"/>
      <c r="U611" s="44"/>
      <c r="V611" s="44"/>
      <c r="W611" s="44"/>
      <c r="X611" s="44"/>
      <c r="Z611" s="44"/>
    </row>
    <row r="612">
      <c r="A612" s="16"/>
      <c r="B612" s="16"/>
      <c r="E612" s="16"/>
      <c r="F612" s="16"/>
      <c r="G612" s="16"/>
      <c r="H612" s="16"/>
      <c r="I612" s="16"/>
      <c r="J612" s="16"/>
      <c r="K612" s="16"/>
      <c r="L612" s="16"/>
      <c r="M612" s="16"/>
      <c r="N612" s="5" t="s">
        <v>112</v>
      </c>
      <c r="O612" s="16" t="str">
        <f t="shared" si="1"/>
        <v>#</v>
      </c>
      <c r="P612" s="16" t="str">
        <f t="shared" si="2"/>
        <v>#videoGame</v>
      </c>
      <c r="R612" s="16" t="str">
        <f>"("""&amp;C612&amp;""") ("&amp;Vlookup(E612,DropDown!B:C,2,FALSE)&amp; " OR ""Video Game"" OR Playstation OR iOS OR PS4 OR PS5 OR Xbox OR Switch OR Swtich 2 OR PC)"</f>
        <v>#N/A</v>
      </c>
      <c r="S612" s="44" t="str">
        <f>"("""&amp;C612&amp;""") ("&amp;Vlookup(E612,DropDown!K:L,2,FALSE)&amp; " | ""Video Game"" | Playstation | iOS | PS4 | PS5 | Xbox | Switch | Switch 2 | PC)"</f>
        <v>#N/A</v>
      </c>
      <c r="T612" s="44"/>
      <c r="U612" s="44"/>
      <c r="V612" s="44"/>
      <c r="W612" s="44"/>
      <c r="X612" s="44"/>
      <c r="Z612" s="44"/>
    </row>
    <row r="613">
      <c r="A613" s="16"/>
      <c r="B613" s="16"/>
      <c r="E613" s="16"/>
      <c r="F613" s="16"/>
      <c r="G613" s="16"/>
      <c r="H613" s="16"/>
      <c r="I613" s="16"/>
      <c r="J613" s="16"/>
      <c r="K613" s="16"/>
      <c r="L613" s="16"/>
      <c r="M613" s="16"/>
      <c r="N613" s="5" t="s">
        <v>112</v>
      </c>
      <c r="O613" s="16" t="str">
        <f t="shared" si="1"/>
        <v>#</v>
      </c>
      <c r="P613" s="16" t="str">
        <f t="shared" si="2"/>
        <v>#videoGame</v>
      </c>
      <c r="R613" s="16" t="str">
        <f>"("""&amp;C613&amp;""") ("&amp;Vlookup(E613,DropDown!B:C,2,FALSE)&amp; " OR ""Video Game"" OR Playstation OR iOS OR PS4 OR PS5 OR Xbox OR Switch OR Swtich 2 OR PC)"</f>
        <v>#N/A</v>
      </c>
      <c r="S613" s="44" t="str">
        <f>"("""&amp;C613&amp;""") ("&amp;Vlookup(E613,DropDown!K:L,2,FALSE)&amp; " | ""Video Game"" | Playstation | iOS | PS4 | PS5 | Xbox | Switch | Switch 2 | PC)"</f>
        <v>#N/A</v>
      </c>
      <c r="T613" s="44"/>
      <c r="U613" s="44"/>
      <c r="V613" s="44"/>
      <c r="W613" s="44"/>
      <c r="X613" s="44"/>
      <c r="Z613" s="44"/>
    </row>
    <row r="614">
      <c r="A614" s="16"/>
      <c r="B614" s="16"/>
      <c r="E614" s="16"/>
      <c r="F614" s="16"/>
      <c r="G614" s="16"/>
      <c r="H614" s="16"/>
      <c r="I614" s="16"/>
      <c r="J614" s="16"/>
      <c r="K614" s="16"/>
      <c r="L614" s="16"/>
      <c r="M614" s="16"/>
      <c r="N614" s="5" t="s">
        <v>112</v>
      </c>
      <c r="O614" s="16" t="str">
        <f t="shared" si="1"/>
        <v>#</v>
      </c>
      <c r="P614" s="16" t="str">
        <f t="shared" si="2"/>
        <v>#videoGame</v>
      </c>
      <c r="R614" s="16" t="str">
        <f>"("""&amp;C614&amp;""") ("&amp;Vlookup(E614,DropDown!B:C,2,FALSE)&amp; " OR ""Video Game"" OR Playstation OR iOS OR PS4 OR PS5 OR Xbox OR Switch OR Swtich 2 OR PC)"</f>
        <v>#N/A</v>
      </c>
      <c r="S614" s="44" t="str">
        <f>"("""&amp;C614&amp;""") ("&amp;Vlookup(E614,DropDown!K:L,2,FALSE)&amp; " | ""Video Game"" | Playstation | iOS | PS4 | PS5 | Xbox | Switch | Switch 2 | PC)"</f>
        <v>#N/A</v>
      </c>
      <c r="T614" s="44"/>
      <c r="U614" s="44"/>
      <c r="V614" s="44"/>
      <c r="W614" s="44"/>
      <c r="X614" s="44"/>
      <c r="Z614" s="44"/>
    </row>
    <row r="615">
      <c r="A615" s="16"/>
      <c r="B615" s="16"/>
      <c r="E615" s="16"/>
      <c r="F615" s="16"/>
      <c r="G615" s="16"/>
      <c r="H615" s="16"/>
      <c r="I615" s="16"/>
      <c r="J615" s="16"/>
      <c r="K615" s="16"/>
      <c r="L615" s="16"/>
      <c r="M615" s="16"/>
      <c r="N615" s="5" t="s">
        <v>112</v>
      </c>
      <c r="O615" s="16" t="str">
        <f t="shared" si="1"/>
        <v>#</v>
      </c>
      <c r="P615" s="16" t="str">
        <f t="shared" si="2"/>
        <v>#videoGame</v>
      </c>
      <c r="R615" s="16" t="str">
        <f>"("""&amp;C615&amp;""") ("&amp;Vlookup(E615,DropDown!B:C,2,FALSE)&amp; " OR ""Video Game"" OR Playstation OR iOS OR PS4 OR PS5 OR Xbox OR Switch OR Swtich 2 OR PC)"</f>
        <v>#N/A</v>
      </c>
      <c r="S615" s="44" t="str">
        <f>"("""&amp;C615&amp;""") ("&amp;Vlookup(E615,DropDown!K:L,2,FALSE)&amp; " | ""Video Game"" | Playstation | iOS | PS4 | PS5 | Xbox | Switch | Switch 2 | PC)"</f>
        <v>#N/A</v>
      </c>
      <c r="T615" s="44"/>
      <c r="U615" s="44"/>
      <c r="V615" s="44"/>
      <c r="W615" s="44"/>
      <c r="X615" s="44"/>
      <c r="Z615" s="44"/>
    </row>
    <row r="616">
      <c r="A616" s="16"/>
      <c r="B616" s="16"/>
      <c r="E616" s="16"/>
      <c r="F616" s="16"/>
      <c r="G616" s="16"/>
      <c r="H616" s="16"/>
      <c r="I616" s="16"/>
      <c r="J616" s="16"/>
      <c r="K616" s="16"/>
      <c r="L616" s="16"/>
      <c r="M616" s="16"/>
      <c r="N616" s="5" t="s">
        <v>112</v>
      </c>
      <c r="O616" s="16" t="str">
        <f t="shared" si="1"/>
        <v>#</v>
      </c>
      <c r="P616" s="16" t="str">
        <f t="shared" si="2"/>
        <v>#videoGame</v>
      </c>
      <c r="R616" s="16" t="str">
        <f>"("""&amp;C616&amp;""") ("&amp;Vlookup(E616,DropDown!B:C,2,FALSE)&amp; " OR ""Video Game"" OR Playstation OR iOS OR PS4 OR PS5 OR Xbox OR Switch OR Swtich 2 OR PC)"</f>
        <v>#N/A</v>
      </c>
      <c r="S616" s="44" t="str">
        <f>"("""&amp;C616&amp;""") ("&amp;Vlookup(E616,DropDown!K:L,2,FALSE)&amp; " | ""Video Game"" | Playstation | iOS | PS4 | PS5 | Xbox | Switch | Switch 2 | PC)"</f>
        <v>#N/A</v>
      </c>
      <c r="T616" s="44"/>
      <c r="U616" s="44"/>
      <c r="V616" s="44"/>
      <c r="W616" s="44"/>
      <c r="X616" s="44"/>
      <c r="Z616" s="44"/>
    </row>
    <row r="617">
      <c r="A617" s="16"/>
      <c r="B617" s="16"/>
      <c r="E617" s="16"/>
      <c r="F617" s="16"/>
      <c r="G617" s="16"/>
      <c r="H617" s="16"/>
      <c r="I617" s="16"/>
      <c r="J617" s="16"/>
      <c r="K617" s="16"/>
      <c r="L617" s="16"/>
      <c r="M617" s="16"/>
      <c r="N617" s="5" t="s">
        <v>112</v>
      </c>
      <c r="O617" s="16" t="str">
        <f t="shared" si="1"/>
        <v>#</v>
      </c>
      <c r="P617" s="16" t="str">
        <f t="shared" si="2"/>
        <v>#videoGame</v>
      </c>
      <c r="R617" s="16" t="str">
        <f>"("""&amp;C617&amp;""") ("&amp;Vlookup(E617,DropDown!B:C,2,FALSE)&amp; " OR ""Video Game"" OR Playstation OR iOS OR PS4 OR PS5 OR Xbox OR Switch OR Swtich 2 OR PC)"</f>
        <v>#N/A</v>
      </c>
      <c r="S617" s="44" t="str">
        <f>"("""&amp;C617&amp;""") ("&amp;Vlookup(E617,DropDown!K:L,2,FALSE)&amp; " | ""Video Game"" | Playstation | iOS | PS4 | PS5 | Xbox | Switch | Switch 2 | PC)"</f>
        <v>#N/A</v>
      </c>
      <c r="T617" s="44"/>
      <c r="U617" s="44"/>
      <c r="V617" s="44"/>
      <c r="W617" s="44"/>
      <c r="X617" s="44"/>
      <c r="Z617" s="44"/>
    </row>
    <row r="618">
      <c r="A618" s="16"/>
      <c r="B618" s="16"/>
      <c r="E618" s="16"/>
      <c r="F618" s="16"/>
      <c r="G618" s="16"/>
      <c r="H618" s="16"/>
      <c r="I618" s="16"/>
      <c r="J618" s="16"/>
      <c r="K618" s="16"/>
      <c r="L618" s="16"/>
      <c r="M618" s="16"/>
      <c r="N618" s="5" t="s">
        <v>112</v>
      </c>
      <c r="O618" s="16" t="str">
        <f t="shared" si="1"/>
        <v>#</v>
      </c>
      <c r="P618" s="16" t="str">
        <f t="shared" si="2"/>
        <v>#videoGame</v>
      </c>
      <c r="R618" s="16" t="str">
        <f>"("""&amp;C618&amp;""") ("&amp;Vlookup(E618,DropDown!B:C,2,FALSE)&amp; " OR ""Video Game"" OR Playstation OR iOS OR PS4 OR PS5 OR Xbox OR Switch OR Swtich 2 OR PC)"</f>
        <v>#N/A</v>
      </c>
      <c r="S618" s="44" t="str">
        <f>"("""&amp;C618&amp;""") ("&amp;Vlookup(E618,DropDown!K:L,2,FALSE)&amp; " | ""Video Game"" | Playstation | iOS | PS4 | PS5 | Xbox | Switch | Switch 2 | PC)"</f>
        <v>#N/A</v>
      </c>
      <c r="T618" s="44"/>
      <c r="U618" s="44"/>
      <c r="V618" s="44"/>
      <c r="W618" s="44"/>
      <c r="X618" s="44"/>
      <c r="Z618" s="44"/>
    </row>
    <row r="619">
      <c r="A619" s="16"/>
      <c r="B619" s="16"/>
      <c r="E619" s="16"/>
      <c r="F619" s="16"/>
      <c r="G619" s="16"/>
      <c r="H619" s="16"/>
      <c r="I619" s="16"/>
      <c r="J619" s="16"/>
      <c r="K619" s="16"/>
      <c r="L619" s="16"/>
      <c r="M619" s="16"/>
      <c r="N619" s="5" t="s">
        <v>112</v>
      </c>
      <c r="O619" s="16" t="str">
        <f t="shared" si="1"/>
        <v>#</v>
      </c>
      <c r="P619" s="16" t="str">
        <f t="shared" si="2"/>
        <v>#videoGame</v>
      </c>
      <c r="R619" s="16" t="str">
        <f>"("""&amp;C619&amp;""") ("&amp;Vlookup(E619,DropDown!B:C,2,FALSE)&amp; " OR ""Video Game"" OR Playstation OR iOS OR PS4 OR PS5 OR Xbox OR Switch OR Swtich 2 OR PC)"</f>
        <v>#N/A</v>
      </c>
      <c r="S619" s="44" t="str">
        <f>"("""&amp;C619&amp;""") ("&amp;Vlookup(E619,DropDown!K:L,2,FALSE)&amp; " | ""Video Game"" | Playstation | iOS | PS4 | PS5 | Xbox | Switch | Switch 2 | PC)"</f>
        <v>#N/A</v>
      </c>
      <c r="T619" s="44"/>
      <c r="U619" s="44"/>
      <c r="V619" s="44"/>
      <c r="W619" s="44"/>
      <c r="X619" s="44"/>
      <c r="Z619" s="44"/>
    </row>
    <row r="620">
      <c r="A620" s="16"/>
      <c r="B620" s="16"/>
      <c r="E620" s="16"/>
      <c r="F620" s="16"/>
      <c r="G620" s="16"/>
      <c r="H620" s="16"/>
      <c r="I620" s="16"/>
      <c r="J620" s="16"/>
      <c r="K620" s="16"/>
      <c r="L620" s="16"/>
      <c r="M620" s="16"/>
      <c r="N620" s="5" t="s">
        <v>112</v>
      </c>
      <c r="O620" s="16" t="str">
        <f t="shared" si="1"/>
        <v>#</v>
      </c>
      <c r="P620" s="16" t="str">
        <f t="shared" si="2"/>
        <v>#videoGame</v>
      </c>
      <c r="R620" s="16" t="str">
        <f>"("""&amp;C620&amp;""") ("&amp;Vlookup(E620,DropDown!B:C,2,FALSE)&amp; " OR ""Video Game"" OR Playstation OR iOS OR PS4 OR PS5 OR Xbox OR Switch OR Swtich 2 OR PC)"</f>
        <v>#N/A</v>
      </c>
      <c r="S620" s="44" t="str">
        <f>"("""&amp;C620&amp;""") ("&amp;Vlookup(E620,DropDown!K:L,2,FALSE)&amp; " | ""Video Game"" | Playstation | iOS | PS4 | PS5 | Xbox | Switch | Switch 2 | PC)"</f>
        <v>#N/A</v>
      </c>
      <c r="T620" s="44"/>
      <c r="U620" s="44"/>
      <c r="V620" s="44"/>
      <c r="W620" s="44"/>
      <c r="X620" s="44"/>
      <c r="Z620" s="44"/>
    </row>
    <row r="621">
      <c r="A621" s="16"/>
      <c r="B621" s="16"/>
      <c r="E621" s="16"/>
      <c r="F621" s="16"/>
      <c r="G621" s="16"/>
      <c r="H621" s="16"/>
      <c r="I621" s="16"/>
      <c r="J621" s="16"/>
      <c r="K621" s="16"/>
      <c r="L621" s="16"/>
      <c r="M621" s="16"/>
      <c r="N621" s="5" t="s">
        <v>112</v>
      </c>
      <c r="O621" s="16" t="str">
        <f t="shared" si="1"/>
        <v>#</v>
      </c>
      <c r="P621" s="16" t="str">
        <f t="shared" si="2"/>
        <v>#videoGame</v>
      </c>
      <c r="R621" s="16" t="str">
        <f>"("""&amp;C621&amp;""") ("&amp;Vlookup(E621,DropDown!B:C,2,FALSE)&amp; " OR ""Video Game"" OR Playstation OR iOS OR PS4 OR PS5 OR Xbox OR Switch OR Swtich 2 OR PC)"</f>
        <v>#N/A</v>
      </c>
      <c r="S621" s="44" t="str">
        <f>"("""&amp;C621&amp;""") ("&amp;Vlookup(E621,DropDown!K:L,2,FALSE)&amp; " | ""Video Game"" | Playstation | iOS | PS4 | PS5 | Xbox | Switch | Switch 2 | PC)"</f>
        <v>#N/A</v>
      </c>
      <c r="T621" s="44"/>
      <c r="U621" s="44"/>
      <c r="V621" s="44"/>
      <c r="W621" s="44"/>
      <c r="X621" s="44"/>
      <c r="Z621" s="44"/>
    </row>
    <row r="622">
      <c r="A622" s="16"/>
      <c r="B622" s="16"/>
      <c r="E622" s="16"/>
      <c r="F622" s="16"/>
      <c r="G622" s="16"/>
      <c r="H622" s="16"/>
      <c r="I622" s="16"/>
      <c r="J622" s="16"/>
      <c r="K622" s="16"/>
      <c r="L622" s="16"/>
      <c r="M622" s="16"/>
      <c r="N622" s="5" t="s">
        <v>112</v>
      </c>
      <c r="O622" s="16" t="str">
        <f t="shared" si="1"/>
        <v>#</v>
      </c>
      <c r="P622" s="16" t="str">
        <f t="shared" si="2"/>
        <v>#videoGame</v>
      </c>
      <c r="R622" s="16" t="str">
        <f>"("""&amp;C622&amp;""") ("&amp;Vlookup(E622,DropDown!B:C,2,FALSE)&amp; " OR ""Video Game"" OR Playstation OR iOS OR PS4 OR PS5 OR Xbox OR Switch OR Swtich 2 OR PC)"</f>
        <v>#N/A</v>
      </c>
      <c r="S622" s="44" t="str">
        <f>"("""&amp;C622&amp;""") ("&amp;Vlookup(E622,DropDown!K:L,2,FALSE)&amp; " | ""Video Game"" | Playstation | iOS | PS4 | PS5 | Xbox | Switch | Switch 2 | PC)"</f>
        <v>#N/A</v>
      </c>
      <c r="T622" s="44"/>
      <c r="U622" s="44"/>
      <c r="V622" s="44"/>
      <c r="W622" s="44"/>
      <c r="X622" s="44"/>
      <c r="Z622" s="44"/>
    </row>
    <row r="623">
      <c r="A623" s="16"/>
      <c r="B623" s="16"/>
      <c r="E623" s="16"/>
      <c r="F623" s="16"/>
      <c r="G623" s="16"/>
      <c r="H623" s="16"/>
      <c r="I623" s="16"/>
      <c r="J623" s="16"/>
      <c r="K623" s="16"/>
      <c r="L623" s="16"/>
      <c r="M623" s="16"/>
      <c r="N623" s="5" t="s">
        <v>112</v>
      </c>
      <c r="O623" s="16" t="str">
        <f t="shared" si="1"/>
        <v>#</v>
      </c>
      <c r="P623" s="16" t="str">
        <f t="shared" si="2"/>
        <v>#videoGame</v>
      </c>
      <c r="R623" s="16" t="str">
        <f>"("""&amp;C623&amp;""") ("&amp;Vlookup(E623,DropDown!B:C,2,FALSE)&amp; " OR ""Video Game"" OR Playstation OR iOS OR PS4 OR PS5 OR Xbox OR Switch OR Swtich 2 OR PC)"</f>
        <v>#N/A</v>
      </c>
      <c r="S623" s="44" t="str">
        <f>"("""&amp;C623&amp;""") ("&amp;Vlookup(E623,DropDown!K:L,2,FALSE)&amp; " | ""Video Game"" | Playstation | iOS | PS4 | PS5 | Xbox | Switch | Switch 2 | PC)"</f>
        <v>#N/A</v>
      </c>
      <c r="T623" s="44"/>
      <c r="U623" s="44"/>
      <c r="V623" s="44"/>
      <c r="W623" s="44"/>
      <c r="X623" s="44"/>
      <c r="Z623" s="44"/>
    </row>
    <row r="624">
      <c r="A624" s="16"/>
      <c r="B624" s="16"/>
      <c r="E624" s="16"/>
      <c r="F624" s="16"/>
      <c r="G624" s="16"/>
      <c r="H624" s="16"/>
      <c r="I624" s="16"/>
      <c r="J624" s="16"/>
      <c r="K624" s="16"/>
      <c r="L624" s="16"/>
      <c r="M624" s="16"/>
      <c r="N624" s="5" t="s">
        <v>112</v>
      </c>
      <c r="O624" s="16" t="str">
        <f t="shared" si="1"/>
        <v>#</v>
      </c>
      <c r="P624" s="16" t="str">
        <f t="shared" si="2"/>
        <v>#videoGame</v>
      </c>
      <c r="R624" s="16" t="str">
        <f>"("""&amp;C624&amp;""") ("&amp;Vlookup(E624,DropDown!B:C,2,FALSE)&amp; " OR ""Video Game"" OR Playstation OR iOS OR PS4 OR PS5 OR Xbox OR Switch OR Swtich 2 OR PC)"</f>
        <v>#N/A</v>
      </c>
      <c r="S624" s="44" t="str">
        <f>"("""&amp;C624&amp;""") ("&amp;Vlookup(E624,DropDown!K:L,2,FALSE)&amp; " | ""Video Game"" | Playstation | iOS | PS4 | PS5 | Xbox | Switch | Switch 2 | PC)"</f>
        <v>#N/A</v>
      </c>
      <c r="T624" s="44"/>
      <c r="U624" s="44"/>
      <c r="V624" s="44"/>
      <c r="W624" s="44"/>
      <c r="X624" s="44"/>
      <c r="Z624" s="44"/>
    </row>
    <row r="625">
      <c r="A625" s="16"/>
      <c r="B625" s="16"/>
      <c r="E625" s="16"/>
      <c r="F625" s="16"/>
      <c r="G625" s="16"/>
      <c r="H625" s="16"/>
      <c r="I625" s="16"/>
      <c r="J625" s="16"/>
      <c r="K625" s="16"/>
      <c r="L625" s="16"/>
      <c r="M625" s="16"/>
      <c r="N625" s="5" t="s">
        <v>112</v>
      </c>
      <c r="O625" s="16" t="str">
        <f t="shared" si="1"/>
        <v>#</v>
      </c>
      <c r="P625" s="16" t="str">
        <f t="shared" si="2"/>
        <v>#videoGame</v>
      </c>
      <c r="R625" s="16" t="str">
        <f>"("""&amp;C625&amp;""") ("&amp;Vlookup(E625,DropDown!B:C,2,FALSE)&amp; " OR ""Video Game"" OR Playstation OR iOS OR PS4 OR PS5 OR Xbox OR Switch OR Swtich 2 OR PC)"</f>
        <v>#N/A</v>
      </c>
      <c r="S625" s="44" t="str">
        <f>"("""&amp;C625&amp;""") ("&amp;Vlookup(E625,DropDown!K:L,2,FALSE)&amp; " | ""Video Game"" | Playstation | iOS | PS4 | PS5 | Xbox | Switch | Switch 2 | PC)"</f>
        <v>#N/A</v>
      </c>
      <c r="T625" s="44"/>
      <c r="U625" s="44"/>
      <c r="V625" s="44"/>
      <c r="W625" s="44"/>
      <c r="X625" s="44"/>
      <c r="Z625" s="44"/>
    </row>
    <row r="626">
      <c r="A626" s="16"/>
      <c r="B626" s="16"/>
      <c r="E626" s="16"/>
      <c r="F626" s="16"/>
      <c r="G626" s="16"/>
      <c r="H626" s="16"/>
      <c r="I626" s="16"/>
      <c r="J626" s="16"/>
      <c r="K626" s="16"/>
      <c r="L626" s="16"/>
      <c r="M626" s="16"/>
      <c r="N626" s="5" t="s">
        <v>112</v>
      </c>
      <c r="O626" s="16" t="str">
        <f t="shared" si="1"/>
        <v>#</v>
      </c>
      <c r="P626" s="16" t="str">
        <f t="shared" si="2"/>
        <v>#videoGame</v>
      </c>
      <c r="R626" s="16" t="str">
        <f>"("""&amp;C626&amp;""") ("&amp;Vlookup(E626,DropDown!B:C,2,FALSE)&amp; " OR ""Video Game"" OR Playstation OR iOS OR PS4 OR PS5 OR Xbox OR Switch OR Swtich 2 OR PC)"</f>
        <v>#N/A</v>
      </c>
      <c r="S626" s="44" t="str">
        <f>"("""&amp;C626&amp;""") ("&amp;Vlookup(E626,DropDown!K:L,2,FALSE)&amp; " | ""Video Game"" | Playstation | iOS | PS4 | PS5 | Xbox | Switch | Switch 2 | PC)"</f>
        <v>#N/A</v>
      </c>
      <c r="T626" s="44"/>
      <c r="U626" s="44"/>
      <c r="V626" s="44"/>
      <c r="W626" s="44"/>
      <c r="X626" s="44"/>
      <c r="Z626" s="44"/>
    </row>
    <row r="627">
      <c r="A627" s="16"/>
      <c r="B627" s="16"/>
      <c r="E627" s="16"/>
      <c r="F627" s="16"/>
      <c r="G627" s="16"/>
      <c r="H627" s="16"/>
      <c r="I627" s="16"/>
      <c r="J627" s="16"/>
      <c r="K627" s="16"/>
      <c r="L627" s="16"/>
      <c r="M627" s="16"/>
      <c r="N627" s="5" t="s">
        <v>112</v>
      </c>
      <c r="O627" s="16" t="str">
        <f t="shared" si="1"/>
        <v>#</v>
      </c>
      <c r="P627" s="16" t="str">
        <f t="shared" si="2"/>
        <v>#videoGame</v>
      </c>
      <c r="R627" s="16" t="str">
        <f>"("""&amp;C627&amp;""") ("&amp;Vlookup(E627,DropDown!B:C,2,FALSE)&amp; " OR ""Video Game"" OR Playstation OR iOS OR PS4 OR PS5 OR Xbox OR Switch OR Swtich 2 OR PC)"</f>
        <v>#N/A</v>
      </c>
      <c r="S627" s="44" t="str">
        <f>"("""&amp;C627&amp;""") ("&amp;Vlookup(E627,DropDown!K:L,2,FALSE)&amp; " | ""Video Game"" | Playstation | iOS | PS4 | PS5 | Xbox | Switch | Switch 2 | PC)"</f>
        <v>#N/A</v>
      </c>
      <c r="T627" s="44"/>
      <c r="U627" s="44"/>
      <c r="V627" s="44"/>
      <c r="W627" s="44"/>
      <c r="X627" s="44"/>
      <c r="Z627" s="44"/>
    </row>
    <row r="628">
      <c r="A628" s="16"/>
      <c r="B628" s="16"/>
      <c r="E628" s="16"/>
      <c r="F628" s="16"/>
      <c r="G628" s="16"/>
      <c r="H628" s="16"/>
      <c r="I628" s="16"/>
      <c r="J628" s="16"/>
      <c r="K628" s="16"/>
      <c r="L628" s="16"/>
      <c r="M628" s="16"/>
      <c r="N628" s="5" t="s">
        <v>112</v>
      </c>
      <c r="O628" s="16" t="str">
        <f t="shared" si="1"/>
        <v>#</v>
      </c>
      <c r="P628" s="16" t="str">
        <f t="shared" si="2"/>
        <v>#videoGame</v>
      </c>
      <c r="R628" s="16" t="str">
        <f>"("""&amp;C628&amp;""") ("&amp;Vlookup(E628,DropDown!B:C,2,FALSE)&amp; " OR ""Video Game"" OR Playstation OR iOS OR PS4 OR PS5 OR Xbox OR Switch OR Swtich 2 OR PC)"</f>
        <v>#N/A</v>
      </c>
      <c r="S628" s="44" t="str">
        <f>"("""&amp;C628&amp;""") ("&amp;Vlookup(E628,DropDown!K:L,2,FALSE)&amp; " | ""Video Game"" | Playstation | iOS | PS4 | PS5 | Xbox | Switch | Switch 2 | PC)"</f>
        <v>#N/A</v>
      </c>
      <c r="T628" s="44"/>
      <c r="U628" s="44"/>
      <c r="V628" s="44"/>
      <c r="W628" s="44"/>
      <c r="X628" s="44"/>
      <c r="Z628" s="44"/>
    </row>
    <row r="629">
      <c r="A629" s="16"/>
      <c r="B629" s="16"/>
      <c r="E629" s="16"/>
      <c r="F629" s="16"/>
      <c r="G629" s="16"/>
      <c r="H629" s="16"/>
      <c r="I629" s="16"/>
      <c r="J629" s="16"/>
      <c r="K629" s="16"/>
      <c r="L629" s="16"/>
      <c r="M629" s="16"/>
      <c r="N629" s="5" t="s">
        <v>112</v>
      </c>
      <c r="O629" s="16" t="str">
        <f t="shared" si="1"/>
        <v>#</v>
      </c>
      <c r="P629" s="16" t="str">
        <f t="shared" si="2"/>
        <v>#videoGame</v>
      </c>
      <c r="R629" s="16" t="str">
        <f>"("""&amp;C629&amp;""") ("&amp;Vlookup(E629,DropDown!B:C,2,FALSE)&amp; " OR ""Video Game"" OR Playstation OR iOS OR PS4 OR PS5 OR Xbox OR Switch OR Swtich 2 OR PC)"</f>
        <v>#N/A</v>
      </c>
      <c r="S629" s="44" t="str">
        <f>"("""&amp;C629&amp;""") ("&amp;Vlookup(E629,DropDown!K:L,2,FALSE)&amp; " | ""Video Game"" | Playstation | iOS | PS4 | PS5 | Xbox | Switch | Switch 2 | PC)"</f>
        <v>#N/A</v>
      </c>
      <c r="T629" s="44"/>
      <c r="U629" s="44"/>
      <c r="V629" s="44"/>
      <c r="W629" s="44"/>
      <c r="X629" s="44"/>
      <c r="Z629" s="44"/>
    </row>
    <row r="630">
      <c r="A630" s="16"/>
      <c r="B630" s="16"/>
      <c r="E630" s="16"/>
      <c r="F630" s="16"/>
      <c r="G630" s="16"/>
      <c r="H630" s="16"/>
      <c r="I630" s="16"/>
      <c r="J630" s="16"/>
      <c r="K630" s="16"/>
      <c r="L630" s="16"/>
      <c r="M630" s="16"/>
      <c r="N630" s="5" t="s">
        <v>112</v>
      </c>
      <c r="O630" s="16" t="str">
        <f t="shared" si="1"/>
        <v>#</v>
      </c>
      <c r="P630" s="16" t="str">
        <f t="shared" si="2"/>
        <v>#videoGame</v>
      </c>
      <c r="R630" s="16" t="str">
        <f>"("""&amp;C630&amp;""") ("&amp;Vlookup(E630,DropDown!B:C,2,FALSE)&amp; " OR ""Video Game"" OR Playstation OR iOS OR PS4 OR PS5 OR Xbox OR Switch OR Swtich 2 OR PC)"</f>
        <v>#N/A</v>
      </c>
      <c r="S630" s="44" t="str">
        <f>"("""&amp;C630&amp;""") ("&amp;Vlookup(E630,DropDown!K:L,2,FALSE)&amp; " | ""Video Game"" | Playstation | iOS | PS4 | PS5 | Xbox | Switch | Switch 2 | PC)"</f>
        <v>#N/A</v>
      </c>
      <c r="T630" s="44"/>
      <c r="U630" s="44"/>
      <c r="V630" s="44"/>
      <c r="W630" s="44"/>
      <c r="X630" s="44"/>
      <c r="Z630" s="44"/>
    </row>
    <row r="631">
      <c r="A631" s="16"/>
      <c r="B631" s="16"/>
      <c r="E631" s="16"/>
      <c r="F631" s="16"/>
      <c r="G631" s="16"/>
      <c r="H631" s="16"/>
      <c r="I631" s="16"/>
      <c r="J631" s="16"/>
      <c r="K631" s="16"/>
      <c r="L631" s="16"/>
      <c r="M631" s="16"/>
      <c r="N631" s="5" t="s">
        <v>112</v>
      </c>
      <c r="O631" s="16" t="str">
        <f t="shared" si="1"/>
        <v>#</v>
      </c>
      <c r="P631" s="16" t="str">
        <f t="shared" si="2"/>
        <v>#videoGame</v>
      </c>
      <c r="R631" s="16" t="str">
        <f>"("""&amp;C631&amp;""") ("&amp;Vlookup(E631,DropDown!B:C,2,FALSE)&amp; " OR ""Video Game"" OR Playstation OR iOS OR PS4 OR PS5 OR Xbox OR Switch OR Swtich 2 OR PC)"</f>
        <v>#N/A</v>
      </c>
      <c r="S631" s="44" t="str">
        <f>"("""&amp;C631&amp;""") ("&amp;Vlookup(E631,DropDown!K:L,2,FALSE)&amp; " | ""Video Game"" | Playstation | iOS | PS4 | PS5 | Xbox | Switch | Switch 2 | PC)"</f>
        <v>#N/A</v>
      </c>
      <c r="T631" s="44"/>
      <c r="U631" s="44"/>
      <c r="V631" s="44"/>
      <c r="W631" s="44"/>
      <c r="X631" s="44"/>
      <c r="Z631" s="44"/>
    </row>
    <row r="632">
      <c r="A632" s="16"/>
      <c r="B632" s="16"/>
      <c r="E632" s="16"/>
      <c r="F632" s="16"/>
      <c r="G632" s="16"/>
      <c r="H632" s="16"/>
      <c r="I632" s="16"/>
      <c r="J632" s="16"/>
      <c r="K632" s="16"/>
      <c r="L632" s="16"/>
      <c r="M632" s="16"/>
      <c r="N632" s="5" t="s">
        <v>112</v>
      </c>
      <c r="O632" s="16" t="str">
        <f t="shared" si="1"/>
        <v>#</v>
      </c>
      <c r="P632" s="16" t="str">
        <f t="shared" si="2"/>
        <v>#videoGame</v>
      </c>
      <c r="R632" s="16" t="str">
        <f>"("""&amp;C632&amp;""") ("&amp;Vlookup(E632,DropDown!B:C,2,FALSE)&amp; " OR ""Video Game"" OR Playstation OR iOS OR PS4 OR PS5 OR Xbox OR Switch OR Swtich 2 OR PC)"</f>
        <v>#N/A</v>
      </c>
      <c r="S632" s="44" t="str">
        <f>"("""&amp;C632&amp;""") ("&amp;Vlookup(E632,DropDown!K:L,2,FALSE)&amp; " | ""Video Game"" | Playstation | iOS | PS4 | PS5 | Xbox | Switch | Switch 2 | PC)"</f>
        <v>#N/A</v>
      </c>
      <c r="T632" s="44"/>
      <c r="U632" s="44"/>
      <c r="V632" s="44"/>
      <c r="W632" s="44"/>
      <c r="X632" s="44"/>
      <c r="Z632" s="44"/>
    </row>
    <row r="633">
      <c r="A633" s="16"/>
      <c r="B633" s="16"/>
      <c r="E633" s="16"/>
      <c r="F633" s="16"/>
      <c r="G633" s="16"/>
      <c r="H633" s="16"/>
      <c r="I633" s="16"/>
      <c r="J633" s="16"/>
      <c r="K633" s="16"/>
      <c r="L633" s="16"/>
      <c r="M633" s="16"/>
      <c r="N633" s="5" t="s">
        <v>112</v>
      </c>
      <c r="O633" s="16" t="str">
        <f t="shared" si="1"/>
        <v>#</v>
      </c>
      <c r="P633" s="16" t="str">
        <f t="shared" si="2"/>
        <v>#videoGame</v>
      </c>
      <c r="R633" s="16" t="str">
        <f>"("""&amp;C633&amp;""") ("&amp;Vlookup(E633,DropDown!B:C,2,FALSE)&amp; " OR ""Video Game"" OR Playstation OR iOS OR PS4 OR PS5 OR Xbox OR Switch OR Swtich 2 OR PC)"</f>
        <v>#N/A</v>
      </c>
      <c r="S633" s="44" t="str">
        <f>"("""&amp;C633&amp;""") ("&amp;Vlookup(E633,DropDown!K:L,2,FALSE)&amp; " | ""Video Game"" | Playstation | iOS | PS4 | PS5 | Xbox | Switch | Switch 2 | PC)"</f>
        <v>#N/A</v>
      </c>
      <c r="T633" s="44"/>
      <c r="U633" s="44"/>
      <c r="V633" s="44"/>
      <c r="W633" s="44"/>
      <c r="X633" s="44"/>
      <c r="Z633" s="44"/>
    </row>
    <row r="634">
      <c r="A634" s="16"/>
      <c r="B634" s="16"/>
      <c r="E634" s="16"/>
      <c r="F634" s="16"/>
      <c r="G634" s="16"/>
      <c r="H634" s="16"/>
      <c r="I634" s="16"/>
      <c r="J634" s="16"/>
      <c r="K634" s="16"/>
      <c r="L634" s="16"/>
      <c r="M634" s="16"/>
      <c r="N634" s="5" t="s">
        <v>112</v>
      </c>
      <c r="O634" s="16" t="str">
        <f t="shared" si="1"/>
        <v>#</v>
      </c>
      <c r="P634" s="16" t="str">
        <f t="shared" si="2"/>
        <v>#videoGame</v>
      </c>
      <c r="R634" s="16" t="str">
        <f>"("""&amp;C634&amp;""") ("&amp;Vlookup(E634,DropDown!B:C,2,FALSE)&amp; " OR ""Video Game"" OR Playstation OR iOS OR PS4 OR PS5 OR Xbox OR Switch OR Swtich 2 OR PC)"</f>
        <v>#N/A</v>
      </c>
      <c r="S634" s="44" t="str">
        <f>"("""&amp;C634&amp;""") ("&amp;Vlookup(E634,DropDown!K:L,2,FALSE)&amp; " | ""Video Game"" | Playstation | iOS | PS4 | PS5 | Xbox | Switch | Switch 2 | PC)"</f>
        <v>#N/A</v>
      </c>
      <c r="T634" s="44"/>
      <c r="U634" s="44"/>
      <c r="V634" s="44"/>
      <c r="W634" s="44"/>
      <c r="X634" s="44"/>
      <c r="Z634" s="44"/>
    </row>
    <row r="635">
      <c r="A635" s="16"/>
      <c r="B635" s="16"/>
      <c r="E635" s="16"/>
      <c r="F635" s="16"/>
      <c r="G635" s="16"/>
      <c r="H635" s="16"/>
      <c r="I635" s="16"/>
      <c r="J635" s="16"/>
      <c r="K635" s="16"/>
      <c r="L635" s="16"/>
      <c r="M635" s="16"/>
      <c r="N635" s="5" t="s">
        <v>112</v>
      </c>
      <c r="O635" s="16" t="str">
        <f t="shared" si="1"/>
        <v>#</v>
      </c>
      <c r="P635" s="16" t="str">
        <f t="shared" si="2"/>
        <v>#videoGame</v>
      </c>
      <c r="R635" s="16" t="str">
        <f>"("""&amp;C635&amp;""") ("&amp;Vlookup(E635,DropDown!B:C,2,FALSE)&amp; " OR ""Video Game"" OR Playstation OR iOS OR PS4 OR PS5 OR Xbox OR Switch OR Swtich 2 OR PC)"</f>
        <v>#N/A</v>
      </c>
      <c r="S635" s="44" t="str">
        <f>"("""&amp;C635&amp;""") ("&amp;Vlookup(E635,DropDown!K:L,2,FALSE)&amp; " | ""Video Game"" | Playstation | iOS | PS4 | PS5 | Xbox | Switch | Switch 2 | PC)"</f>
        <v>#N/A</v>
      </c>
      <c r="T635" s="44"/>
      <c r="U635" s="44"/>
      <c r="V635" s="44"/>
      <c r="W635" s="44"/>
      <c r="X635" s="44"/>
      <c r="Z635" s="44"/>
    </row>
    <row r="636">
      <c r="A636" s="16"/>
      <c r="B636" s="16"/>
      <c r="E636" s="16"/>
      <c r="F636" s="16"/>
      <c r="G636" s="16"/>
      <c r="H636" s="16"/>
      <c r="I636" s="16"/>
      <c r="J636" s="16"/>
      <c r="K636" s="16"/>
      <c r="L636" s="16"/>
      <c r="M636" s="16"/>
      <c r="N636" s="5" t="s">
        <v>112</v>
      </c>
      <c r="O636" s="16" t="str">
        <f t="shared" si="1"/>
        <v>#</v>
      </c>
      <c r="P636" s="16" t="str">
        <f t="shared" si="2"/>
        <v>#videoGame</v>
      </c>
      <c r="R636" s="16" t="str">
        <f>"("""&amp;C636&amp;""") ("&amp;Vlookup(E636,DropDown!B:C,2,FALSE)&amp; " OR ""Video Game"" OR Playstation OR iOS OR PS4 OR PS5 OR Xbox OR Switch OR Swtich 2 OR PC)"</f>
        <v>#N/A</v>
      </c>
      <c r="S636" s="44" t="str">
        <f>"("""&amp;C636&amp;""") ("&amp;Vlookup(E636,DropDown!K:L,2,FALSE)&amp; " | ""Video Game"" | Playstation | iOS | PS4 | PS5 | Xbox | Switch | Switch 2 | PC)"</f>
        <v>#N/A</v>
      </c>
      <c r="T636" s="44"/>
      <c r="U636" s="44"/>
      <c r="V636" s="44"/>
      <c r="W636" s="44"/>
      <c r="X636" s="44"/>
      <c r="Z636" s="44"/>
    </row>
    <row r="637">
      <c r="A637" s="16"/>
      <c r="B637" s="16"/>
      <c r="E637" s="16"/>
      <c r="F637" s="16"/>
      <c r="G637" s="16"/>
      <c r="H637" s="16"/>
      <c r="I637" s="16"/>
      <c r="J637" s="16"/>
      <c r="K637" s="16"/>
      <c r="L637" s="16"/>
      <c r="M637" s="16"/>
      <c r="N637" s="5" t="s">
        <v>112</v>
      </c>
      <c r="O637" s="16" t="str">
        <f t="shared" si="1"/>
        <v>#</v>
      </c>
      <c r="P637" s="16" t="str">
        <f t="shared" si="2"/>
        <v>#videoGame</v>
      </c>
      <c r="R637" s="16" t="str">
        <f>"("""&amp;C637&amp;""") ("&amp;Vlookup(E637,DropDown!B:C,2,FALSE)&amp; " OR ""Video Game"" OR Playstation OR iOS OR PS4 OR PS5 OR Xbox OR Switch OR Swtich 2 OR PC)"</f>
        <v>#N/A</v>
      </c>
      <c r="S637" s="44" t="str">
        <f>"("""&amp;C637&amp;""") ("&amp;Vlookup(E637,DropDown!K:L,2,FALSE)&amp; " | ""Video Game"" | Playstation | iOS | PS4 | PS5 | Xbox | Switch | Switch 2 | PC)"</f>
        <v>#N/A</v>
      </c>
      <c r="T637" s="44"/>
      <c r="U637" s="44"/>
      <c r="V637" s="44"/>
      <c r="W637" s="44"/>
      <c r="X637" s="44"/>
      <c r="Z637" s="44"/>
    </row>
    <row r="638">
      <c r="A638" s="16"/>
      <c r="B638" s="16"/>
      <c r="E638" s="16"/>
      <c r="F638" s="16"/>
      <c r="G638" s="16"/>
      <c r="H638" s="16"/>
      <c r="I638" s="16"/>
      <c r="J638" s="16"/>
      <c r="K638" s="16"/>
      <c r="L638" s="16"/>
      <c r="M638" s="16"/>
      <c r="N638" s="5" t="s">
        <v>112</v>
      </c>
      <c r="O638" s="16" t="str">
        <f t="shared" si="1"/>
        <v>#</v>
      </c>
      <c r="P638" s="16" t="str">
        <f t="shared" si="2"/>
        <v>#videoGame</v>
      </c>
      <c r="R638" s="16" t="str">
        <f>"("""&amp;C638&amp;""") ("&amp;Vlookup(E638,DropDown!B:C,2,FALSE)&amp; " OR ""Video Game"" OR Playstation OR iOS OR PS4 OR PS5 OR Xbox OR Switch OR Swtich 2 OR PC)"</f>
        <v>#N/A</v>
      </c>
      <c r="S638" s="44" t="str">
        <f>"("""&amp;C638&amp;""") ("&amp;Vlookup(E638,DropDown!K:L,2,FALSE)&amp; " | ""Video Game"" | Playstation | iOS | PS4 | PS5 | Xbox | Switch | Switch 2 | PC)"</f>
        <v>#N/A</v>
      </c>
      <c r="T638" s="44"/>
      <c r="U638" s="44"/>
      <c r="V638" s="44"/>
      <c r="W638" s="44"/>
      <c r="X638" s="44"/>
      <c r="Z638" s="44"/>
    </row>
    <row r="639">
      <c r="A639" s="16"/>
      <c r="B639" s="16"/>
      <c r="E639" s="16"/>
      <c r="F639" s="16"/>
      <c r="G639" s="16"/>
      <c r="H639" s="16"/>
      <c r="I639" s="16"/>
      <c r="J639" s="16"/>
      <c r="K639" s="16"/>
      <c r="L639" s="16"/>
      <c r="M639" s="16"/>
      <c r="N639" s="5" t="s">
        <v>112</v>
      </c>
      <c r="O639" s="16" t="str">
        <f t="shared" si="1"/>
        <v>#</v>
      </c>
      <c r="P639" s="16" t="str">
        <f t="shared" si="2"/>
        <v>#videoGame</v>
      </c>
      <c r="R639" s="16" t="str">
        <f>"("""&amp;C639&amp;""") ("&amp;Vlookup(E639,DropDown!B:C,2,FALSE)&amp; " OR ""Video Game"" OR Playstation OR iOS OR PS4 OR PS5 OR Xbox OR Switch OR Swtich 2 OR PC)"</f>
        <v>#N/A</v>
      </c>
      <c r="S639" s="44" t="str">
        <f>"("""&amp;C639&amp;""") ("&amp;Vlookup(E639,DropDown!K:L,2,FALSE)&amp; " | ""Video Game"" | Playstation | iOS | PS4 | PS5 | Xbox | Switch | Switch 2 | PC)"</f>
        <v>#N/A</v>
      </c>
      <c r="T639" s="44"/>
      <c r="U639" s="44"/>
      <c r="V639" s="44"/>
      <c r="W639" s="44"/>
      <c r="X639" s="44"/>
      <c r="Z639" s="44"/>
    </row>
    <row r="640">
      <c r="A640" s="16"/>
      <c r="B640" s="16"/>
      <c r="E640" s="16"/>
      <c r="F640" s="16"/>
      <c r="G640" s="16"/>
      <c r="H640" s="16"/>
      <c r="I640" s="16"/>
      <c r="J640" s="16"/>
      <c r="K640" s="16"/>
      <c r="L640" s="16"/>
      <c r="M640" s="16"/>
      <c r="N640" s="5" t="s">
        <v>112</v>
      </c>
      <c r="O640" s="16" t="str">
        <f t="shared" si="1"/>
        <v>#</v>
      </c>
      <c r="P640" s="16" t="str">
        <f t="shared" si="2"/>
        <v>#videoGame</v>
      </c>
      <c r="R640" s="16" t="str">
        <f>"("""&amp;C640&amp;""") ("&amp;Vlookup(E640,DropDown!B:C,2,FALSE)&amp; " OR ""Video Game"" OR Playstation OR iOS OR PS4 OR PS5 OR Xbox OR Switch OR Swtich 2 OR PC)"</f>
        <v>#N/A</v>
      </c>
      <c r="S640" s="44" t="str">
        <f>"("""&amp;C640&amp;""") ("&amp;Vlookup(E640,DropDown!K:L,2,FALSE)&amp; " | ""Video Game"" | Playstation | iOS | PS4 | PS5 | Xbox | Switch | Switch 2 | PC)"</f>
        <v>#N/A</v>
      </c>
      <c r="T640" s="44"/>
      <c r="U640" s="44"/>
      <c r="V640" s="44"/>
      <c r="W640" s="44"/>
      <c r="X640" s="44"/>
      <c r="Z640" s="44"/>
    </row>
    <row r="641">
      <c r="A641" s="16"/>
      <c r="B641" s="16"/>
      <c r="E641" s="16"/>
      <c r="F641" s="16"/>
      <c r="G641" s="16"/>
      <c r="H641" s="16"/>
      <c r="I641" s="16"/>
      <c r="J641" s="16"/>
      <c r="K641" s="16"/>
      <c r="L641" s="16"/>
      <c r="M641" s="16"/>
      <c r="N641" s="5" t="s">
        <v>112</v>
      </c>
      <c r="O641" s="16" t="str">
        <f t="shared" si="1"/>
        <v>#</v>
      </c>
      <c r="P641" s="16" t="str">
        <f t="shared" si="2"/>
        <v>#videoGame</v>
      </c>
      <c r="R641" s="16" t="str">
        <f>"("""&amp;C641&amp;""") ("&amp;Vlookup(E641,DropDown!B:C,2,FALSE)&amp; " OR ""Video Game"" OR Playstation OR iOS OR PS4 OR PS5 OR Xbox OR Switch OR Swtich 2 OR PC)"</f>
        <v>#N/A</v>
      </c>
      <c r="S641" s="44" t="str">
        <f>"("""&amp;C641&amp;""") ("&amp;Vlookup(E641,DropDown!K:L,2,FALSE)&amp; " | ""Video Game"" | Playstation | iOS | PS4 | PS5 | Xbox | Switch | Switch 2 | PC)"</f>
        <v>#N/A</v>
      </c>
      <c r="T641" s="44"/>
      <c r="U641" s="44"/>
      <c r="V641" s="44"/>
      <c r="W641" s="44"/>
      <c r="X641" s="44"/>
      <c r="Z641" s="44"/>
    </row>
    <row r="642">
      <c r="A642" s="16"/>
      <c r="B642" s="16"/>
      <c r="E642" s="16"/>
      <c r="F642" s="16"/>
      <c r="G642" s="16"/>
      <c r="H642" s="16"/>
      <c r="I642" s="16"/>
      <c r="J642" s="16"/>
      <c r="K642" s="16"/>
      <c r="L642" s="16"/>
      <c r="M642" s="16"/>
      <c r="N642" s="5" t="s">
        <v>112</v>
      </c>
      <c r="O642" s="16" t="str">
        <f t="shared" si="1"/>
        <v>#</v>
      </c>
      <c r="P642" s="16" t="str">
        <f t="shared" si="2"/>
        <v>#videoGame</v>
      </c>
      <c r="R642" s="16" t="str">
        <f>"("""&amp;C642&amp;""") ("&amp;Vlookup(E642,DropDown!B:C,2,FALSE)&amp; " OR ""Video Game"" OR Playstation OR iOS OR PS4 OR PS5 OR Xbox OR Switch OR Swtich 2 OR PC)"</f>
        <v>#N/A</v>
      </c>
      <c r="S642" s="44" t="str">
        <f>"("""&amp;C642&amp;""") ("&amp;Vlookup(E642,DropDown!K:L,2,FALSE)&amp; " | ""Video Game"" | Playstation | iOS | PS4 | PS5 | Xbox | Switch | Switch 2 | PC)"</f>
        <v>#N/A</v>
      </c>
      <c r="T642" s="44"/>
      <c r="U642" s="44"/>
      <c r="V642" s="44"/>
      <c r="W642" s="44"/>
      <c r="X642" s="44"/>
      <c r="Z642" s="44"/>
    </row>
    <row r="643">
      <c r="A643" s="16"/>
      <c r="B643" s="16"/>
      <c r="E643" s="16"/>
      <c r="F643" s="16"/>
      <c r="G643" s="16"/>
      <c r="H643" s="16"/>
      <c r="I643" s="16"/>
      <c r="J643" s="16"/>
      <c r="K643" s="16"/>
      <c r="L643" s="16"/>
      <c r="M643" s="16"/>
      <c r="N643" s="5" t="s">
        <v>112</v>
      </c>
      <c r="O643" s="16" t="str">
        <f t="shared" si="1"/>
        <v>#</v>
      </c>
      <c r="P643" s="16" t="str">
        <f t="shared" si="2"/>
        <v>#videoGame</v>
      </c>
      <c r="R643" s="16" t="str">
        <f>"("""&amp;C643&amp;""") ("&amp;Vlookup(E643,DropDown!B:C,2,FALSE)&amp; " OR ""Video Game"" OR Playstation OR iOS OR PS4 OR PS5 OR Xbox OR Switch OR Swtich 2 OR PC)"</f>
        <v>#N/A</v>
      </c>
      <c r="S643" s="44" t="str">
        <f>"("""&amp;C643&amp;""") ("&amp;Vlookup(E643,DropDown!K:L,2,FALSE)&amp; " | ""Video Game"" | Playstation | iOS | PS4 | PS5 | Xbox | Switch | Switch 2 | PC)"</f>
        <v>#N/A</v>
      </c>
      <c r="T643" s="44"/>
      <c r="U643" s="44"/>
      <c r="V643" s="44"/>
      <c r="W643" s="44"/>
      <c r="X643" s="44"/>
      <c r="Z643" s="44"/>
    </row>
    <row r="644">
      <c r="A644" s="16"/>
      <c r="B644" s="16"/>
      <c r="E644" s="16"/>
      <c r="F644" s="16"/>
      <c r="G644" s="16"/>
      <c r="H644" s="16"/>
      <c r="I644" s="16"/>
      <c r="J644" s="16"/>
      <c r="K644" s="16"/>
      <c r="L644" s="16"/>
      <c r="M644" s="16"/>
      <c r="N644" s="5" t="s">
        <v>112</v>
      </c>
      <c r="O644" s="16" t="str">
        <f t="shared" si="1"/>
        <v>#</v>
      </c>
      <c r="P644" s="16" t="str">
        <f t="shared" si="2"/>
        <v>#videoGame</v>
      </c>
      <c r="R644" s="16" t="str">
        <f>"("""&amp;C644&amp;""") ("&amp;Vlookup(E644,DropDown!B:C,2,FALSE)&amp; " OR ""Video Game"" OR Playstation OR iOS OR PS4 OR PS5 OR Xbox OR Switch OR Swtich 2 OR PC)"</f>
        <v>#N/A</v>
      </c>
      <c r="S644" s="44" t="str">
        <f>"("""&amp;C644&amp;""") ("&amp;Vlookup(E644,DropDown!K:L,2,FALSE)&amp; " | ""Video Game"" | Playstation | iOS | PS4 | PS5 | Xbox | Switch | Switch 2 | PC)"</f>
        <v>#N/A</v>
      </c>
      <c r="T644" s="44"/>
      <c r="U644" s="44"/>
      <c r="V644" s="44"/>
      <c r="W644" s="44"/>
      <c r="X644" s="44"/>
      <c r="Z644" s="44"/>
    </row>
    <row r="645">
      <c r="A645" s="16"/>
      <c r="B645" s="16"/>
      <c r="E645" s="16"/>
      <c r="F645" s="16"/>
      <c r="G645" s="16"/>
      <c r="H645" s="16"/>
      <c r="I645" s="16"/>
      <c r="J645" s="16"/>
      <c r="K645" s="16"/>
      <c r="L645" s="16"/>
      <c r="M645" s="16"/>
      <c r="N645" s="5" t="s">
        <v>112</v>
      </c>
      <c r="O645" s="16" t="str">
        <f t="shared" si="1"/>
        <v>#</v>
      </c>
      <c r="P645" s="16" t="str">
        <f t="shared" si="2"/>
        <v>#videoGame</v>
      </c>
      <c r="R645" s="16" t="str">
        <f>"("""&amp;C645&amp;""") ("&amp;Vlookup(E645,DropDown!B:C,2,FALSE)&amp; " OR ""Video Game"" OR Playstation OR iOS OR PS4 OR PS5 OR Xbox OR Switch OR Swtich 2 OR PC)"</f>
        <v>#N/A</v>
      </c>
      <c r="S645" s="44" t="str">
        <f>"("""&amp;C645&amp;""") ("&amp;Vlookup(E645,DropDown!K:L,2,FALSE)&amp; " | ""Video Game"" | Playstation | iOS | PS4 | PS5 | Xbox | Switch | Switch 2 | PC)"</f>
        <v>#N/A</v>
      </c>
      <c r="T645" s="44"/>
      <c r="U645" s="44"/>
      <c r="V645" s="44"/>
      <c r="W645" s="44"/>
      <c r="X645" s="44"/>
      <c r="Z645" s="44"/>
    </row>
    <row r="646">
      <c r="A646" s="16"/>
      <c r="B646" s="16"/>
      <c r="E646" s="16"/>
      <c r="F646" s="16"/>
      <c r="G646" s="16"/>
      <c r="H646" s="16"/>
      <c r="I646" s="16"/>
      <c r="J646" s="16"/>
      <c r="K646" s="16"/>
      <c r="L646" s="16"/>
      <c r="M646" s="16"/>
      <c r="N646" s="5" t="s">
        <v>112</v>
      </c>
      <c r="O646" s="16" t="str">
        <f t="shared" si="1"/>
        <v>#</v>
      </c>
      <c r="P646" s="16" t="str">
        <f t="shared" si="2"/>
        <v>#videoGame</v>
      </c>
      <c r="R646" s="16" t="str">
        <f>"("""&amp;C646&amp;""") ("&amp;Vlookup(E646,DropDown!B:C,2,FALSE)&amp; " OR ""Video Game"" OR Playstation OR iOS OR PS4 OR PS5 OR Xbox OR Switch OR Swtich 2 OR PC)"</f>
        <v>#N/A</v>
      </c>
      <c r="S646" s="44" t="str">
        <f>"("""&amp;C646&amp;""") ("&amp;Vlookup(E646,DropDown!K:L,2,FALSE)&amp; " | ""Video Game"" | Playstation | iOS | PS4 | PS5 | Xbox | Switch | Switch 2 | PC)"</f>
        <v>#N/A</v>
      </c>
      <c r="T646" s="44"/>
      <c r="U646" s="44"/>
      <c r="V646" s="44"/>
      <c r="W646" s="44"/>
      <c r="X646" s="44"/>
      <c r="Z646" s="44"/>
    </row>
    <row r="647">
      <c r="A647" s="16"/>
      <c r="B647" s="16"/>
      <c r="E647" s="16"/>
      <c r="F647" s="16"/>
      <c r="G647" s="16"/>
      <c r="H647" s="16"/>
      <c r="I647" s="16"/>
      <c r="J647" s="16"/>
      <c r="K647" s="16"/>
      <c r="L647" s="16"/>
      <c r="M647" s="16"/>
      <c r="N647" s="5" t="s">
        <v>112</v>
      </c>
      <c r="O647" s="16" t="str">
        <f t="shared" si="1"/>
        <v>#</v>
      </c>
      <c r="P647" s="16" t="str">
        <f t="shared" si="2"/>
        <v>#videoGame</v>
      </c>
      <c r="R647" s="16" t="str">
        <f>"("""&amp;C647&amp;""") ("&amp;Vlookup(E647,DropDown!B:C,2,FALSE)&amp; " OR ""Video Game"" OR Playstation OR iOS OR PS4 OR PS5 OR Xbox OR Switch OR Swtich 2 OR PC)"</f>
        <v>#N/A</v>
      </c>
      <c r="S647" s="44" t="str">
        <f>"("""&amp;C647&amp;""") ("&amp;Vlookup(E647,DropDown!K:L,2,FALSE)&amp; " | ""Video Game"" | Playstation | iOS | PS4 | PS5 | Xbox | Switch | Switch 2 | PC)"</f>
        <v>#N/A</v>
      </c>
      <c r="T647" s="44"/>
      <c r="U647" s="44"/>
      <c r="V647" s="44"/>
      <c r="W647" s="44"/>
      <c r="X647" s="44"/>
      <c r="Z647" s="44"/>
    </row>
    <row r="648">
      <c r="A648" s="16"/>
      <c r="B648" s="16"/>
      <c r="E648" s="16"/>
      <c r="F648" s="16"/>
      <c r="G648" s="16"/>
      <c r="H648" s="16"/>
      <c r="I648" s="16"/>
      <c r="J648" s="16"/>
      <c r="K648" s="16"/>
      <c r="L648" s="16"/>
      <c r="M648" s="16"/>
      <c r="N648" s="5" t="s">
        <v>112</v>
      </c>
      <c r="O648" s="16" t="str">
        <f t="shared" si="1"/>
        <v>#</v>
      </c>
      <c r="P648" s="16" t="str">
        <f t="shared" si="2"/>
        <v>#videoGame</v>
      </c>
      <c r="R648" s="16" t="str">
        <f>"("""&amp;C648&amp;""") ("&amp;Vlookup(E648,DropDown!B:C,2,FALSE)&amp; " OR ""Video Game"" OR Playstation OR iOS OR PS4 OR PS5 OR Xbox OR Switch OR Swtich 2 OR PC)"</f>
        <v>#N/A</v>
      </c>
      <c r="S648" s="44" t="str">
        <f>"("""&amp;C648&amp;""") ("&amp;Vlookup(E648,DropDown!K:L,2,FALSE)&amp; " | ""Video Game"" | Playstation | iOS | PS4 | PS5 | Xbox | Switch | Switch 2 | PC)"</f>
        <v>#N/A</v>
      </c>
      <c r="T648" s="44"/>
      <c r="U648" s="44"/>
      <c r="V648" s="44"/>
      <c r="W648" s="44"/>
      <c r="X648" s="44"/>
      <c r="Z648" s="44"/>
    </row>
    <row r="649">
      <c r="A649" s="16"/>
      <c r="B649" s="16"/>
      <c r="E649" s="16"/>
      <c r="F649" s="16"/>
      <c r="G649" s="16"/>
      <c r="H649" s="16"/>
      <c r="I649" s="16"/>
      <c r="J649" s="16"/>
      <c r="K649" s="16"/>
      <c r="L649" s="16"/>
      <c r="M649" s="16"/>
      <c r="N649" s="5" t="s">
        <v>112</v>
      </c>
      <c r="O649" s="16" t="str">
        <f t="shared" si="1"/>
        <v>#</v>
      </c>
      <c r="P649" s="16" t="str">
        <f t="shared" si="2"/>
        <v>#videoGame</v>
      </c>
      <c r="R649" s="16" t="str">
        <f>"("""&amp;C649&amp;""") ("&amp;Vlookup(E649,DropDown!B:C,2,FALSE)&amp; " OR ""Video Game"" OR Playstation OR iOS OR PS4 OR PS5 OR Xbox OR Switch OR Swtich 2 OR PC)"</f>
        <v>#N/A</v>
      </c>
      <c r="S649" s="44" t="str">
        <f>"("""&amp;C649&amp;""") ("&amp;Vlookup(E649,DropDown!K:L,2,FALSE)&amp; " | ""Video Game"" | Playstation | iOS | PS4 | PS5 | Xbox | Switch | Switch 2 | PC)"</f>
        <v>#N/A</v>
      </c>
      <c r="T649" s="44"/>
      <c r="U649" s="44"/>
      <c r="V649" s="44"/>
      <c r="W649" s="44"/>
      <c r="X649" s="44"/>
      <c r="Z649" s="44"/>
    </row>
    <row r="650">
      <c r="A650" s="16"/>
      <c r="B650" s="16"/>
      <c r="E650" s="16"/>
      <c r="F650" s="16"/>
      <c r="G650" s="16"/>
      <c r="H650" s="16"/>
      <c r="I650" s="16"/>
      <c r="J650" s="16"/>
      <c r="K650" s="16"/>
      <c r="L650" s="16"/>
      <c r="M650" s="16"/>
      <c r="N650" s="5" t="s">
        <v>112</v>
      </c>
      <c r="O650" s="16" t="str">
        <f t="shared" si="1"/>
        <v>#</v>
      </c>
      <c r="P650" s="16" t="str">
        <f t="shared" si="2"/>
        <v>#videoGame</v>
      </c>
      <c r="R650" s="16" t="str">
        <f>"("""&amp;C650&amp;""") ("&amp;Vlookup(E650,DropDown!B:C,2,FALSE)&amp; " OR ""Video Game"" OR Playstation OR iOS OR PS4 OR PS5 OR Xbox OR Switch OR Swtich 2 OR PC)"</f>
        <v>#N/A</v>
      </c>
      <c r="S650" s="44" t="str">
        <f>"("""&amp;C650&amp;""") ("&amp;Vlookup(E650,DropDown!K:L,2,FALSE)&amp; " | ""Video Game"" | Playstation | iOS | PS4 | PS5 | Xbox | Switch | Switch 2 | PC)"</f>
        <v>#N/A</v>
      </c>
      <c r="T650" s="44"/>
      <c r="U650" s="44"/>
      <c r="V650" s="44"/>
      <c r="W650" s="44"/>
      <c r="X650" s="44"/>
      <c r="Z650" s="44"/>
    </row>
    <row r="651">
      <c r="A651" s="16"/>
      <c r="B651" s="16"/>
      <c r="E651" s="16"/>
      <c r="F651" s="16"/>
      <c r="G651" s="16"/>
      <c r="H651" s="16"/>
      <c r="I651" s="16"/>
      <c r="J651" s="16"/>
      <c r="K651" s="16"/>
      <c r="L651" s="16"/>
      <c r="M651" s="16"/>
      <c r="N651" s="5" t="s">
        <v>112</v>
      </c>
      <c r="O651" s="16" t="str">
        <f t="shared" si="1"/>
        <v>#</v>
      </c>
      <c r="P651" s="16" t="str">
        <f t="shared" si="2"/>
        <v>#videoGame</v>
      </c>
      <c r="R651" s="16" t="str">
        <f>"("""&amp;C651&amp;""") ("&amp;Vlookup(E651,DropDown!B:C,2,FALSE)&amp; " OR ""Video Game"" OR Playstation OR iOS OR PS4 OR PS5 OR Xbox OR Switch OR Swtich 2 OR PC)"</f>
        <v>#N/A</v>
      </c>
      <c r="S651" s="44" t="str">
        <f>"("""&amp;C651&amp;""") ("&amp;Vlookup(E651,DropDown!K:L,2,FALSE)&amp; " | ""Video Game"" | Playstation | iOS | PS4 | PS5 | Xbox | Switch | Switch 2 | PC)"</f>
        <v>#N/A</v>
      </c>
      <c r="T651" s="44"/>
      <c r="U651" s="44"/>
      <c r="V651" s="44"/>
      <c r="W651" s="44"/>
      <c r="X651" s="44"/>
      <c r="Z651" s="44"/>
    </row>
    <row r="652">
      <c r="A652" s="16"/>
      <c r="B652" s="16"/>
      <c r="E652" s="16"/>
      <c r="F652" s="16"/>
      <c r="G652" s="16"/>
      <c r="H652" s="16"/>
      <c r="I652" s="16"/>
      <c r="J652" s="16"/>
      <c r="K652" s="16"/>
      <c r="L652" s="16"/>
      <c r="M652" s="16"/>
      <c r="N652" s="5" t="s">
        <v>112</v>
      </c>
      <c r="O652" s="16" t="str">
        <f t="shared" si="1"/>
        <v>#</v>
      </c>
      <c r="P652" s="16" t="str">
        <f t="shared" si="2"/>
        <v>#videoGame</v>
      </c>
      <c r="R652" s="16" t="str">
        <f>"("""&amp;C652&amp;""") ("&amp;Vlookup(E652,DropDown!B:C,2,FALSE)&amp; " OR ""Video Game"" OR Playstation OR iOS OR PS4 OR PS5 OR Xbox OR Switch OR Swtich 2 OR PC)"</f>
        <v>#N/A</v>
      </c>
      <c r="S652" s="44" t="str">
        <f>"("""&amp;C652&amp;""") ("&amp;Vlookup(E652,DropDown!K:L,2,FALSE)&amp; " | ""Video Game"" | Playstation | iOS | PS4 | PS5 | Xbox | Switch | Switch 2 | PC)"</f>
        <v>#N/A</v>
      </c>
      <c r="T652" s="44"/>
      <c r="U652" s="44"/>
      <c r="V652" s="44"/>
      <c r="W652" s="44"/>
      <c r="X652" s="44"/>
      <c r="Z652" s="44"/>
    </row>
    <row r="653">
      <c r="A653" s="16"/>
      <c r="B653" s="16"/>
      <c r="E653" s="16"/>
      <c r="F653" s="16"/>
      <c r="G653" s="16"/>
      <c r="H653" s="16"/>
      <c r="I653" s="16"/>
      <c r="J653" s="16"/>
      <c r="K653" s="16"/>
      <c r="L653" s="16"/>
      <c r="M653" s="16"/>
      <c r="N653" s="5" t="s">
        <v>112</v>
      </c>
      <c r="O653" s="16" t="str">
        <f t="shared" si="1"/>
        <v>#</v>
      </c>
      <c r="P653" s="16" t="str">
        <f t="shared" si="2"/>
        <v>#videoGame</v>
      </c>
      <c r="R653" s="16" t="str">
        <f>"("""&amp;C653&amp;""") ("&amp;Vlookup(E653,DropDown!B:C,2,FALSE)&amp; " OR ""Video Game"" OR Playstation OR iOS OR PS4 OR PS5 OR Xbox OR Switch OR Swtich 2 OR PC)"</f>
        <v>#N/A</v>
      </c>
      <c r="S653" s="44" t="str">
        <f>"("""&amp;C653&amp;""") ("&amp;Vlookup(E653,DropDown!K:L,2,FALSE)&amp; " | ""Video Game"" | Playstation | iOS | PS4 | PS5 | Xbox | Switch | Switch 2 | PC)"</f>
        <v>#N/A</v>
      </c>
      <c r="T653" s="44"/>
      <c r="U653" s="44"/>
      <c r="V653" s="44"/>
      <c r="W653" s="44"/>
      <c r="X653" s="44"/>
      <c r="Z653" s="44"/>
    </row>
    <row r="654">
      <c r="A654" s="16"/>
      <c r="B654" s="16"/>
      <c r="E654" s="16"/>
      <c r="F654" s="16"/>
      <c r="G654" s="16"/>
      <c r="H654" s="16"/>
      <c r="I654" s="16"/>
      <c r="J654" s="16"/>
      <c r="K654" s="16"/>
      <c r="L654" s="16"/>
      <c r="M654" s="16"/>
      <c r="N654" s="5" t="s">
        <v>112</v>
      </c>
      <c r="O654" s="16" t="str">
        <f t="shared" si="1"/>
        <v>#</v>
      </c>
      <c r="P654" s="16" t="str">
        <f t="shared" si="2"/>
        <v>#videoGame</v>
      </c>
      <c r="R654" s="16" t="str">
        <f>"("""&amp;C654&amp;""") ("&amp;Vlookup(E654,DropDown!B:C,2,FALSE)&amp; " OR ""Video Game"" OR Playstation OR iOS OR PS4 OR PS5 OR Xbox OR Switch OR Swtich 2 OR PC)"</f>
        <v>#N/A</v>
      </c>
      <c r="S654" s="44" t="str">
        <f>"("""&amp;C654&amp;""") ("&amp;Vlookup(E654,DropDown!K:L,2,FALSE)&amp; " | ""Video Game"" | Playstation | iOS | PS4 | PS5 | Xbox | Switch | Switch 2 | PC)"</f>
        <v>#N/A</v>
      </c>
      <c r="T654" s="44"/>
      <c r="U654" s="44"/>
      <c r="V654" s="44"/>
      <c r="W654" s="44"/>
      <c r="X654" s="44"/>
      <c r="Z654" s="44"/>
    </row>
    <row r="655">
      <c r="A655" s="16"/>
      <c r="B655" s="16"/>
      <c r="E655" s="16"/>
      <c r="F655" s="16"/>
      <c r="G655" s="16"/>
      <c r="H655" s="16"/>
      <c r="I655" s="16"/>
      <c r="J655" s="16"/>
      <c r="K655" s="16"/>
      <c r="L655" s="16"/>
      <c r="M655" s="16"/>
      <c r="N655" s="5" t="s">
        <v>112</v>
      </c>
      <c r="O655" s="16" t="str">
        <f t="shared" si="1"/>
        <v>#</v>
      </c>
      <c r="P655" s="16" t="str">
        <f t="shared" si="2"/>
        <v>#videoGame</v>
      </c>
      <c r="R655" s="16" t="str">
        <f>"("""&amp;C655&amp;""") ("&amp;Vlookup(E655,DropDown!B:C,2,FALSE)&amp; " OR ""Video Game"" OR Playstation OR iOS OR PS4 OR PS5 OR Xbox OR Switch OR Swtich 2 OR PC)"</f>
        <v>#N/A</v>
      </c>
      <c r="S655" s="44" t="str">
        <f>"("""&amp;C655&amp;""") ("&amp;Vlookup(E655,DropDown!K:L,2,FALSE)&amp; " | ""Video Game"" | Playstation | iOS | PS4 | PS5 | Xbox | Switch | Switch 2 | PC)"</f>
        <v>#N/A</v>
      </c>
      <c r="T655" s="44"/>
      <c r="U655" s="44"/>
      <c r="V655" s="44"/>
      <c r="W655" s="44"/>
      <c r="X655" s="44"/>
      <c r="Z655" s="44"/>
    </row>
    <row r="656">
      <c r="A656" s="16"/>
      <c r="B656" s="16"/>
      <c r="E656" s="16"/>
      <c r="F656" s="16"/>
      <c r="G656" s="16"/>
      <c r="H656" s="16"/>
      <c r="I656" s="16"/>
      <c r="J656" s="16"/>
      <c r="K656" s="16"/>
      <c r="L656" s="16"/>
      <c r="M656" s="16"/>
      <c r="N656" s="5" t="s">
        <v>112</v>
      </c>
      <c r="O656" s="16" t="str">
        <f t="shared" si="1"/>
        <v>#</v>
      </c>
      <c r="P656" s="16" t="str">
        <f t="shared" si="2"/>
        <v>#videoGame</v>
      </c>
      <c r="R656" s="16" t="str">
        <f>"("""&amp;C656&amp;""") ("&amp;Vlookup(E656,DropDown!B:C,2,FALSE)&amp; " OR ""Video Game"" OR Playstation OR iOS OR PS4 OR PS5 OR Xbox OR Switch OR Swtich 2 OR PC)"</f>
        <v>#N/A</v>
      </c>
      <c r="S656" s="44" t="str">
        <f>"("""&amp;C656&amp;""") ("&amp;Vlookup(E656,DropDown!K:L,2,FALSE)&amp; " | ""Video Game"" | Playstation | iOS | PS4 | PS5 | Xbox | Switch | Switch 2 | PC)"</f>
        <v>#N/A</v>
      </c>
      <c r="T656" s="44"/>
      <c r="U656" s="44"/>
      <c r="V656" s="44"/>
      <c r="W656" s="44"/>
      <c r="X656" s="44"/>
      <c r="Z656" s="44"/>
    </row>
    <row r="657">
      <c r="A657" s="16"/>
      <c r="B657" s="16"/>
      <c r="E657" s="16"/>
      <c r="F657" s="16"/>
      <c r="G657" s="16"/>
      <c r="H657" s="16"/>
      <c r="I657" s="16"/>
      <c r="J657" s="16"/>
      <c r="K657" s="16"/>
      <c r="L657" s="16"/>
      <c r="M657" s="16"/>
      <c r="N657" s="5" t="s">
        <v>112</v>
      </c>
      <c r="O657" s="16" t="str">
        <f t="shared" si="1"/>
        <v>#</v>
      </c>
      <c r="P657" s="16" t="str">
        <f t="shared" si="2"/>
        <v>#videoGame</v>
      </c>
      <c r="R657" s="16" t="str">
        <f>"("""&amp;C657&amp;""") ("&amp;Vlookup(E657,DropDown!B:C,2,FALSE)&amp; " OR ""Video Game"" OR Playstation OR iOS OR PS4 OR PS5 OR Xbox OR Switch OR Swtich 2 OR PC)"</f>
        <v>#N/A</v>
      </c>
      <c r="S657" s="44" t="str">
        <f>"("""&amp;C657&amp;""") ("&amp;Vlookup(E657,DropDown!K:L,2,FALSE)&amp; " | ""Video Game"" | Playstation | iOS | PS4 | PS5 | Xbox | Switch | Switch 2 | PC)"</f>
        <v>#N/A</v>
      </c>
      <c r="T657" s="44"/>
      <c r="U657" s="44"/>
      <c r="V657" s="44"/>
      <c r="W657" s="44"/>
      <c r="X657" s="44"/>
      <c r="Z657" s="44"/>
    </row>
    <row r="658">
      <c r="A658" s="16"/>
      <c r="B658" s="16"/>
      <c r="E658" s="16"/>
      <c r="F658" s="16"/>
      <c r="G658" s="16"/>
      <c r="H658" s="16"/>
      <c r="I658" s="16"/>
      <c r="J658" s="16"/>
      <c r="K658" s="16"/>
      <c r="L658" s="16"/>
      <c r="M658" s="16"/>
      <c r="N658" s="5" t="s">
        <v>112</v>
      </c>
      <c r="O658" s="16" t="str">
        <f t="shared" si="1"/>
        <v>#</v>
      </c>
      <c r="P658" s="16" t="str">
        <f t="shared" si="2"/>
        <v>#videoGame</v>
      </c>
      <c r="R658" s="16" t="str">
        <f>"("""&amp;C658&amp;""") ("&amp;Vlookup(E658,DropDown!B:C,2,FALSE)&amp; " OR ""Video Game"" OR Playstation OR iOS OR PS4 OR PS5 OR Xbox OR Switch OR Swtich 2 OR PC)"</f>
        <v>#N/A</v>
      </c>
      <c r="S658" s="44" t="str">
        <f>"("""&amp;C658&amp;""") ("&amp;Vlookup(E658,DropDown!K:L,2,FALSE)&amp; " | ""Video Game"" | Playstation | iOS | PS4 | PS5 | Xbox | Switch | Switch 2 | PC)"</f>
        <v>#N/A</v>
      </c>
      <c r="T658" s="44"/>
      <c r="U658" s="44"/>
      <c r="V658" s="44"/>
      <c r="W658" s="44"/>
      <c r="X658" s="44"/>
      <c r="Z658" s="44"/>
    </row>
    <row r="659">
      <c r="A659" s="16"/>
      <c r="B659" s="16"/>
      <c r="E659" s="16"/>
      <c r="F659" s="16"/>
      <c r="G659" s="16"/>
      <c r="H659" s="16"/>
      <c r="I659" s="16"/>
      <c r="J659" s="16"/>
      <c r="K659" s="16"/>
      <c r="L659" s="16"/>
      <c r="M659" s="16"/>
      <c r="N659" s="5" t="s">
        <v>112</v>
      </c>
      <c r="O659" s="16" t="str">
        <f t="shared" si="1"/>
        <v>#</v>
      </c>
      <c r="P659" s="16" t="str">
        <f t="shared" si="2"/>
        <v>#videoGame</v>
      </c>
      <c r="R659" s="16" t="str">
        <f>"("""&amp;C659&amp;""") ("&amp;Vlookup(E659,DropDown!B:C,2,FALSE)&amp; " OR ""Video Game"" OR Playstation OR iOS OR PS4 OR PS5 OR Xbox OR Switch OR Swtich 2 OR PC)"</f>
        <v>#N/A</v>
      </c>
      <c r="S659" s="44" t="str">
        <f>"("""&amp;C659&amp;""") ("&amp;Vlookup(E659,DropDown!K:L,2,FALSE)&amp; " | ""Video Game"" | Playstation | iOS | PS4 | PS5 | Xbox | Switch | Switch 2 | PC)"</f>
        <v>#N/A</v>
      </c>
      <c r="T659" s="44"/>
      <c r="U659" s="44"/>
      <c r="V659" s="44"/>
      <c r="W659" s="44"/>
      <c r="X659" s="44"/>
      <c r="Z659" s="44"/>
    </row>
    <row r="660">
      <c r="A660" s="16"/>
      <c r="B660" s="16"/>
      <c r="E660" s="16"/>
      <c r="F660" s="16"/>
      <c r="G660" s="16"/>
      <c r="H660" s="16"/>
      <c r="I660" s="16"/>
      <c r="J660" s="16"/>
      <c r="K660" s="16"/>
      <c r="L660" s="16"/>
      <c r="M660" s="16"/>
      <c r="N660" s="5" t="s">
        <v>112</v>
      </c>
      <c r="O660" s="16" t="str">
        <f t="shared" si="1"/>
        <v>#</v>
      </c>
      <c r="P660" s="16" t="str">
        <f t="shared" si="2"/>
        <v>#videoGame</v>
      </c>
      <c r="R660" s="16" t="str">
        <f>"("""&amp;C660&amp;""") ("&amp;Vlookup(E660,DropDown!B:C,2,FALSE)&amp; " OR ""Video Game"" OR Playstation OR iOS OR PS4 OR PS5 OR Xbox OR Switch OR Swtich 2 OR PC)"</f>
        <v>#N/A</v>
      </c>
      <c r="S660" s="44" t="str">
        <f>"("""&amp;C660&amp;""") ("&amp;Vlookup(E660,DropDown!K:L,2,FALSE)&amp; " | ""Video Game"" | Playstation | iOS | PS4 | PS5 | Xbox | Switch | Switch 2 | PC)"</f>
        <v>#N/A</v>
      </c>
      <c r="T660" s="44"/>
      <c r="U660" s="44"/>
      <c r="V660" s="44"/>
      <c r="W660" s="44"/>
      <c r="X660" s="44"/>
      <c r="Z660" s="44"/>
    </row>
    <row r="661">
      <c r="A661" s="16"/>
      <c r="B661" s="16"/>
      <c r="E661" s="16"/>
      <c r="F661" s="16"/>
      <c r="G661" s="16"/>
      <c r="H661" s="16"/>
      <c r="I661" s="16"/>
      <c r="J661" s="16"/>
      <c r="K661" s="16"/>
      <c r="L661" s="16"/>
      <c r="M661" s="16"/>
      <c r="N661" s="5" t="s">
        <v>112</v>
      </c>
      <c r="O661" s="16" t="str">
        <f t="shared" si="1"/>
        <v>#</v>
      </c>
      <c r="P661" s="16" t="str">
        <f t="shared" si="2"/>
        <v>#videoGame</v>
      </c>
      <c r="R661" s="16" t="str">
        <f>"("""&amp;C661&amp;""") ("&amp;Vlookup(E661,DropDown!B:C,2,FALSE)&amp; " OR ""Video Game"" OR Playstation OR iOS OR PS4 OR PS5 OR Xbox OR Switch OR Swtich 2 OR PC)"</f>
        <v>#N/A</v>
      </c>
      <c r="S661" s="44" t="str">
        <f>"("""&amp;C661&amp;""") ("&amp;Vlookup(E661,DropDown!K:L,2,FALSE)&amp; " | ""Video Game"" | Playstation | iOS | PS4 | PS5 | Xbox | Switch | Switch 2 | PC)"</f>
        <v>#N/A</v>
      </c>
      <c r="T661" s="44"/>
      <c r="U661" s="44"/>
      <c r="V661" s="44"/>
      <c r="W661" s="44"/>
      <c r="X661" s="44"/>
      <c r="Z661" s="44"/>
    </row>
    <row r="662">
      <c r="A662" s="16"/>
      <c r="B662" s="16"/>
      <c r="E662" s="16"/>
      <c r="F662" s="16"/>
      <c r="G662" s="16"/>
      <c r="H662" s="16"/>
      <c r="I662" s="16"/>
      <c r="J662" s="16"/>
      <c r="K662" s="16"/>
      <c r="L662" s="16"/>
      <c r="M662" s="16"/>
      <c r="N662" s="5" t="s">
        <v>112</v>
      </c>
      <c r="O662" s="16" t="str">
        <f t="shared" si="1"/>
        <v>#</v>
      </c>
      <c r="P662" s="16" t="str">
        <f t="shared" si="2"/>
        <v>#videoGame</v>
      </c>
      <c r="R662" s="16" t="str">
        <f>"("""&amp;C662&amp;""") ("&amp;Vlookup(E662,DropDown!B:C,2,FALSE)&amp; " OR ""Video Game"" OR Playstation OR iOS OR PS4 OR PS5 OR Xbox OR Switch OR Swtich 2 OR PC)"</f>
        <v>#N/A</v>
      </c>
      <c r="S662" s="44" t="str">
        <f>"("""&amp;C662&amp;""") ("&amp;Vlookup(E662,DropDown!K:L,2,FALSE)&amp; " | ""Video Game"" | Playstation | iOS | PS4 | PS5 | Xbox | Switch | Switch 2 | PC)"</f>
        <v>#N/A</v>
      </c>
      <c r="T662" s="44"/>
      <c r="U662" s="44"/>
      <c r="V662" s="44"/>
      <c r="W662" s="44"/>
      <c r="X662" s="44"/>
      <c r="Z662" s="44"/>
    </row>
    <row r="663">
      <c r="A663" s="16"/>
      <c r="B663" s="16"/>
      <c r="E663" s="16"/>
      <c r="F663" s="16"/>
      <c r="G663" s="16"/>
      <c r="H663" s="16"/>
      <c r="I663" s="16"/>
      <c r="J663" s="16"/>
      <c r="K663" s="16"/>
      <c r="L663" s="16"/>
      <c r="M663" s="16"/>
      <c r="N663" s="5" t="s">
        <v>112</v>
      </c>
      <c r="O663" s="16" t="str">
        <f t="shared" si="1"/>
        <v>#</v>
      </c>
      <c r="P663" s="16" t="str">
        <f t="shared" si="2"/>
        <v>#videoGame</v>
      </c>
      <c r="R663" s="16" t="str">
        <f>"("""&amp;C663&amp;""") ("&amp;Vlookup(E663,DropDown!B:C,2,FALSE)&amp; " OR ""Video Game"" OR Playstation OR iOS OR PS4 OR PS5 OR Xbox OR Switch OR Swtich 2 OR PC)"</f>
        <v>#N/A</v>
      </c>
      <c r="S663" s="44" t="str">
        <f>"("""&amp;C663&amp;""") ("&amp;Vlookup(E663,DropDown!K:L,2,FALSE)&amp; " | ""Video Game"" | Playstation | iOS | PS4 | PS5 | Xbox | Switch | Switch 2 | PC)"</f>
        <v>#N/A</v>
      </c>
      <c r="T663" s="44"/>
      <c r="U663" s="44"/>
      <c r="V663" s="44"/>
      <c r="W663" s="44"/>
      <c r="X663" s="44"/>
      <c r="Z663" s="44"/>
    </row>
    <row r="664">
      <c r="A664" s="16"/>
      <c r="B664" s="16"/>
      <c r="E664" s="16"/>
      <c r="F664" s="16"/>
      <c r="G664" s="16"/>
      <c r="H664" s="16"/>
      <c r="I664" s="16"/>
      <c r="J664" s="16"/>
      <c r="K664" s="16"/>
      <c r="L664" s="16"/>
      <c r="M664" s="16"/>
      <c r="N664" s="5" t="s">
        <v>112</v>
      </c>
      <c r="O664" s="16" t="str">
        <f t="shared" si="1"/>
        <v>#</v>
      </c>
      <c r="P664" s="16" t="str">
        <f t="shared" si="2"/>
        <v>#videoGame</v>
      </c>
      <c r="R664" s="16" t="str">
        <f>"("""&amp;C664&amp;""") ("&amp;Vlookup(E664,DropDown!B:C,2,FALSE)&amp; " OR ""Video Game"" OR Playstation OR iOS OR PS4 OR PS5 OR Xbox OR Switch OR Swtich 2 OR PC)"</f>
        <v>#N/A</v>
      </c>
      <c r="S664" s="44" t="str">
        <f>"("""&amp;C664&amp;""") ("&amp;Vlookup(E664,DropDown!K:L,2,FALSE)&amp; " | ""Video Game"" | Playstation | iOS | PS4 | PS5 | Xbox | Switch | Switch 2 | PC)"</f>
        <v>#N/A</v>
      </c>
      <c r="T664" s="44"/>
      <c r="U664" s="44"/>
      <c r="V664" s="44"/>
      <c r="W664" s="44"/>
      <c r="X664" s="44"/>
      <c r="Z664" s="44"/>
    </row>
    <row r="665">
      <c r="A665" s="16"/>
      <c r="B665" s="16"/>
      <c r="E665" s="16"/>
      <c r="F665" s="16"/>
      <c r="G665" s="16"/>
      <c r="H665" s="16"/>
      <c r="I665" s="16"/>
      <c r="J665" s="16"/>
      <c r="K665" s="16"/>
      <c r="L665" s="16"/>
      <c r="M665" s="16"/>
      <c r="N665" s="5" t="s">
        <v>112</v>
      </c>
      <c r="O665" s="16" t="str">
        <f t="shared" si="1"/>
        <v>#</v>
      </c>
      <c r="P665" s="16" t="str">
        <f t="shared" si="2"/>
        <v>#videoGame</v>
      </c>
      <c r="R665" s="16" t="str">
        <f>"("""&amp;C665&amp;""") ("&amp;Vlookup(E665,DropDown!B:C,2,FALSE)&amp; " OR ""Video Game"" OR Playstation OR iOS OR PS4 OR PS5 OR Xbox OR Switch OR Swtich 2 OR PC)"</f>
        <v>#N/A</v>
      </c>
      <c r="S665" s="44" t="str">
        <f>"("""&amp;C665&amp;""") ("&amp;Vlookup(E665,DropDown!K:L,2,FALSE)&amp; " | ""Video Game"" | Playstation | iOS | PS4 | PS5 | Xbox | Switch | Switch 2 | PC)"</f>
        <v>#N/A</v>
      </c>
      <c r="T665" s="44"/>
      <c r="U665" s="44"/>
      <c r="V665" s="44"/>
      <c r="W665" s="44"/>
      <c r="X665" s="44"/>
      <c r="Z665" s="44"/>
    </row>
    <row r="666">
      <c r="A666" s="16"/>
      <c r="B666" s="16"/>
      <c r="E666" s="16"/>
      <c r="F666" s="16"/>
      <c r="G666" s="16"/>
      <c r="H666" s="16"/>
      <c r="I666" s="16"/>
      <c r="J666" s="16"/>
      <c r="K666" s="16"/>
      <c r="L666" s="16"/>
      <c r="M666" s="16"/>
      <c r="N666" s="5" t="s">
        <v>112</v>
      </c>
      <c r="O666" s="16" t="str">
        <f t="shared" si="1"/>
        <v>#</v>
      </c>
      <c r="P666" s="16" t="str">
        <f t="shared" si="2"/>
        <v>#videoGame</v>
      </c>
      <c r="R666" s="16" t="str">
        <f>"("""&amp;C666&amp;""") ("&amp;Vlookup(E666,DropDown!B:C,2,FALSE)&amp; " OR ""Video Game"" OR Playstation OR iOS OR PS4 OR PS5 OR Xbox OR Switch OR Swtich 2 OR PC)"</f>
        <v>#N/A</v>
      </c>
      <c r="S666" s="44" t="str">
        <f>"("""&amp;C666&amp;""") ("&amp;Vlookup(E666,DropDown!K:L,2,FALSE)&amp; " | ""Video Game"" | Playstation | iOS | PS4 | PS5 | Xbox | Switch | Switch 2 | PC)"</f>
        <v>#N/A</v>
      </c>
      <c r="T666" s="44"/>
      <c r="U666" s="44"/>
      <c r="V666" s="44"/>
      <c r="W666" s="44"/>
      <c r="X666" s="44"/>
      <c r="Z666" s="44"/>
    </row>
    <row r="667">
      <c r="A667" s="16"/>
      <c r="B667" s="16"/>
      <c r="E667" s="16"/>
      <c r="F667" s="16"/>
      <c r="G667" s="16"/>
      <c r="H667" s="16"/>
      <c r="I667" s="16"/>
      <c r="J667" s="16"/>
      <c r="K667" s="16"/>
      <c r="L667" s="16"/>
      <c r="M667" s="16"/>
      <c r="N667" s="5" t="s">
        <v>112</v>
      </c>
      <c r="O667" s="16" t="str">
        <f t="shared" si="1"/>
        <v>#</v>
      </c>
      <c r="P667" s="16" t="str">
        <f t="shared" si="2"/>
        <v>#videoGame</v>
      </c>
      <c r="R667" s="16" t="str">
        <f>"("""&amp;C667&amp;""") ("&amp;Vlookup(E667,DropDown!B:C,2,FALSE)&amp; " OR ""Video Game"" OR Playstation OR iOS OR PS4 OR PS5 OR Xbox OR Switch OR Swtich 2 OR PC)"</f>
        <v>#N/A</v>
      </c>
      <c r="S667" s="44" t="str">
        <f>"("""&amp;C667&amp;""") ("&amp;Vlookup(E667,DropDown!K:L,2,FALSE)&amp; " | ""Video Game"" | Playstation | iOS | PS4 | PS5 | Xbox | Switch | Switch 2 | PC)"</f>
        <v>#N/A</v>
      </c>
      <c r="T667" s="44"/>
      <c r="U667" s="44"/>
      <c r="V667" s="44"/>
      <c r="W667" s="44"/>
      <c r="X667" s="44"/>
      <c r="Z667" s="44"/>
    </row>
    <row r="668">
      <c r="A668" s="16"/>
      <c r="B668" s="16"/>
      <c r="E668" s="16"/>
      <c r="F668" s="16"/>
      <c r="G668" s="16"/>
      <c r="H668" s="16"/>
      <c r="I668" s="16"/>
      <c r="J668" s="16"/>
      <c r="K668" s="16"/>
      <c r="L668" s="16"/>
      <c r="M668" s="16"/>
      <c r="N668" s="5" t="s">
        <v>112</v>
      </c>
      <c r="O668" s="16" t="str">
        <f t="shared" si="1"/>
        <v>#</v>
      </c>
      <c r="P668" s="16" t="str">
        <f t="shared" si="2"/>
        <v>#videoGame</v>
      </c>
      <c r="R668" s="16" t="str">
        <f>"("""&amp;C668&amp;""") ("&amp;Vlookup(E668,DropDown!B:C,2,FALSE)&amp; " OR ""Video Game"" OR Playstation OR iOS OR PS4 OR PS5 OR Xbox OR Switch OR Swtich 2 OR PC)"</f>
        <v>#N/A</v>
      </c>
      <c r="S668" s="44" t="str">
        <f>"("""&amp;C668&amp;""") ("&amp;Vlookup(E668,DropDown!K:L,2,FALSE)&amp; " | ""Video Game"" | Playstation | iOS | PS4 | PS5 | Xbox | Switch | Switch 2 | PC)"</f>
        <v>#N/A</v>
      </c>
      <c r="T668" s="44"/>
      <c r="U668" s="44"/>
      <c r="V668" s="44"/>
      <c r="W668" s="44"/>
      <c r="X668" s="44"/>
      <c r="Z668" s="44"/>
    </row>
    <row r="669">
      <c r="A669" s="16"/>
      <c r="B669" s="16"/>
      <c r="E669" s="16"/>
      <c r="F669" s="16"/>
      <c r="G669" s="16"/>
      <c r="H669" s="16"/>
      <c r="I669" s="16"/>
      <c r="J669" s="16"/>
      <c r="K669" s="16"/>
      <c r="L669" s="16"/>
      <c r="M669" s="16"/>
      <c r="N669" s="5" t="s">
        <v>112</v>
      </c>
      <c r="O669" s="16" t="str">
        <f t="shared" si="1"/>
        <v>#</v>
      </c>
      <c r="P669" s="16" t="str">
        <f t="shared" si="2"/>
        <v>#videoGame</v>
      </c>
      <c r="R669" s="16" t="str">
        <f>"("""&amp;C669&amp;""") ("&amp;Vlookup(E669,DropDown!B:C,2,FALSE)&amp; " OR ""Video Game"" OR Playstation OR iOS OR PS4 OR PS5 OR Xbox OR Switch OR Swtich 2 OR PC)"</f>
        <v>#N/A</v>
      </c>
      <c r="S669" s="44" t="str">
        <f>"("""&amp;C669&amp;""") ("&amp;Vlookup(E669,DropDown!K:L,2,FALSE)&amp; " | ""Video Game"" | Playstation | iOS | PS4 | PS5 | Xbox | Switch | Switch 2 | PC)"</f>
        <v>#N/A</v>
      </c>
      <c r="T669" s="44"/>
      <c r="U669" s="44"/>
      <c r="V669" s="44"/>
      <c r="W669" s="44"/>
      <c r="X669" s="44"/>
      <c r="Z669" s="44"/>
    </row>
    <row r="670">
      <c r="A670" s="16"/>
      <c r="B670" s="16"/>
      <c r="E670" s="16"/>
      <c r="F670" s="16"/>
      <c r="G670" s="16"/>
      <c r="H670" s="16"/>
      <c r="I670" s="16"/>
      <c r="J670" s="16"/>
      <c r="K670" s="16"/>
      <c r="L670" s="16"/>
      <c r="M670" s="16"/>
      <c r="N670" s="5" t="s">
        <v>112</v>
      </c>
      <c r="O670" s="16" t="str">
        <f t="shared" si="1"/>
        <v>#</v>
      </c>
      <c r="P670" s="16" t="str">
        <f t="shared" si="2"/>
        <v>#videoGame</v>
      </c>
      <c r="R670" s="16" t="str">
        <f>"("""&amp;C670&amp;""") ("&amp;Vlookup(E670,DropDown!B:C,2,FALSE)&amp; " OR ""Video Game"" OR Playstation OR iOS OR PS4 OR PS5 OR Xbox OR Switch OR Swtich 2 OR PC)"</f>
        <v>#N/A</v>
      </c>
      <c r="S670" s="44" t="str">
        <f>"("""&amp;C670&amp;""") ("&amp;Vlookup(E670,DropDown!K:L,2,FALSE)&amp; " | ""Video Game"" | Playstation | iOS | PS4 | PS5 | Xbox | Switch | Switch 2 | PC)"</f>
        <v>#N/A</v>
      </c>
      <c r="T670" s="44"/>
      <c r="U670" s="44"/>
      <c r="V670" s="44"/>
      <c r="W670" s="44"/>
      <c r="X670" s="44"/>
      <c r="Z670" s="44"/>
    </row>
    <row r="671">
      <c r="A671" s="16"/>
      <c r="B671" s="16"/>
      <c r="E671" s="16"/>
      <c r="F671" s="16"/>
      <c r="G671" s="16"/>
      <c r="H671" s="16"/>
      <c r="I671" s="16"/>
      <c r="J671" s="16"/>
      <c r="K671" s="16"/>
      <c r="L671" s="16"/>
      <c r="M671" s="16"/>
      <c r="N671" s="5" t="s">
        <v>112</v>
      </c>
      <c r="O671" s="16" t="str">
        <f t="shared" si="1"/>
        <v>#</v>
      </c>
      <c r="P671" s="16" t="str">
        <f t="shared" si="2"/>
        <v>#videoGame</v>
      </c>
      <c r="R671" s="16" t="str">
        <f>"("""&amp;C671&amp;""") ("&amp;Vlookup(E671,DropDown!B:C,2,FALSE)&amp; " OR ""Video Game"" OR Playstation OR iOS OR PS4 OR PS5 OR Xbox OR Switch OR Swtich 2 OR PC)"</f>
        <v>#N/A</v>
      </c>
      <c r="S671" s="44" t="str">
        <f>"("""&amp;C671&amp;""") ("&amp;Vlookup(E671,DropDown!K:L,2,FALSE)&amp; " | ""Video Game"" | Playstation | iOS | PS4 | PS5 | Xbox | Switch | Switch 2 | PC)"</f>
        <v>#N/A</v>
      </c>
      <c r="T671" s="44"/>
      <c r="U671" s="44"/>
      <c r="V671" s="44"/>
      <c r="W671" s="44"/>
      <c r="X671" s="44"/>
      <c r="Z671" s="44"/>
    </row>
    <row r="672">
      <c r="A672" s="16"/>
      <c r="B672" s="16"/>
      <c r="E672" s="16"/>
      <c r="F672" s="16"/>
      <c r="G672" s="16"/>
      <c r="H672" s="16"/>
      <c r="I672" s="16"/>
      <c r="J672" s="16"/>
      <c r="K672" s="16"/>
      <c r="L672" s="16"/>
      <c r="M672" s="16"/>
      <c r="N672" s="5" t="s">
        <v>112</v>
      </c>
      <c r="O672" s="16" t="str">
        <f t="shared" si="1"/>
        <v>#</v>
      </c>
      <c r="P672" s="16" t="str">
        <f t="shared" si="2"/>
        <v>#videoGame</v>
      </c>
      <c r="R672" s="16" t="str">
        <f>"("""&amp;C672&amp;""") ("&amp;Vlookup(E672,DropDown!B:C,2,FALSE)&amp; " OR ""Video Game"" OR Playstation OR iOS OR PS4 OR PS5 OR Xbox OR Switch OR Swtich 2 OR PC)"</f>
        <v>#N/A</v>
      </c>
      <c r="S672" s="44" t="str">
        <f>"("""&amp;C672&amp;""") ("&amp;Vlookup(E672,DropDown!K:L,2,FALSE)&amp; " | ""Video Game"" | Playstation | iOS | PS4 | PS5 | Xbox | Switch | Switch 2 | PC)"</f>
        <v>#N/A</v>
      </c>
      <c r="T672" s="44"/>
      <c r="U672" s="44"/>
      <c r="V672" s="44"/>
      <c r="W672" s="44"/>
      <c r="X672" s="44"/>
      <c r="Z672" s="44"/>
    </row>
    <row r="673">
      <c r="A673" s="16"/>
      <c r="B673" s="16"/>
      <c r="E673" s="16"/>
      <c r="F673" s="16"/>
      <c r="G673" s="16"/>
      <c r="H673" s="16"/>
      <c r="I673" s="16"/>
      <c r="J673" s="16"/>
      <c r="K673" s="16"/>
      <c r="L673" s="16"/>
      <c r="M673" s="16"/>
      <c r="N673" s="5" t="s">
        <v>112</v>
      </c>
      <c r="O673" s="16" t="str">
        <f t="shared" si="1"/>
        <v>#</v>
      </c>
      <c r="P673" s="16" t="str">
        <f t="shared" si="2"/>
        <v>#videoGame</v>
      </c>
      <c r="R673" s="16" t="str">
        <f>"("""&amp;C673&amp;""") ("&amp;Vlookup(E673,DropDown!B:C,2,FALSE)&amp; " OR ""Video Game"" OR Playstation OR iOS OR PS4 OR PS5 OR Xbox OR Switch OR Swtich 2 OR PC)"</f>
        <v>#N/A</v>
      </c>
      <c r="S673" s="44" t="str">
        <f>"("""&amp;C673&amp;""") ("&amp;Vlookup(E673,DropDown!K:L,2,FALSE)&amp; " | ""Video Game"" | Playstation | iOS | PS4 | PS5 | Xbox | Switch | Switch 2 | PC)"</f>
        <v>#N/A</v>
      </c>
      <c r="T673" s="44"/>
      <c r="U673" s="44"/>
      <c r="V673" s="44"/>
      <c r="W673" s="44"/>
      <c r="X673" s="44"/>
      <c r="Z673" s="44"/>
    </row>
    <row r="674">
      <c r="A674" s="16"/>
      <c r="B674" s="16"/>
      <c r="E674" s="16"/>
      <c r="F674" s="16"/>
      <c r="G674" s="16"/>
      <c r="H674" s="16"/>
      <c r="I674" s="16"/>
      <c r="J674" s="16"/>
      <c r="K674" s="16"/>
      <c r="L674" s="16"/>
      <c r="M674" s="16"/>
      <c r="N674" s="5" t="s">
        <v>112</v>
      </c>
      <c r="O674" s="16" t="str">
        <f t="shared" si="1"/>
        <v>#</v>
      </c>
      <c r="P674" s="16" t="str">
        <f t="shared" si="2"/>
        <v>#videoGame</v>
      </c>
      <c r="R674" s="16" t="str">
        <f>"("""&amp;C674&amp;""") ("&amp;Vlookup(E674,DropDown!B:C,2,FALSE)&amp; " OR ""Video Game"" OR Playstation OR iOS OR PS4 OR PS5 OR Xbox OR Switch OR Swtich 2 OR PC)"</f>
        <v>#N/A</v>
      </c>
      <c r="S674" s="44" t="str">
        <f>"("""&amp;C674&amp;""") ("&amp;Vlookup(E674,DropDown!K:L,2,FALSE)&amp; " | ""Video Game"" | Playstation | iOS | PS4 | PS5 | Xbox | Switch | Switch 2 | PC)"</f>
        <v>#N/A</v>
      </c>
      <c r="T674" s="44"/>
      <c r="U674" s="44"/>
      <c r="V674" s="44"/>
      <c r="W674" s="44"/>
      <c r="X674" s="44"/>
      <c r="Z674" s="44"/>
    </row>
    <row r="675">
      <c r="A675" s="16"/>
      <c r="B675" s="16"/>
      <c r="E675" s="16"/>
      <c r="F675" s="16"/>
      <c r="G675" s="16"/>
      <c r="H675" s="16"/>
      <c r="I675" s="16"/>
      <c r="J675" s="16"/>
      <c r="K675" s="16"/>
      <c r="L675" s="16"/>
      <c r="M675" s="16"/>
      <c r="N675" s="5" t="s">
        <v>112</v>
      </c>
      <c r="O675" s="16" t="str">
        <f t="shared" si="1"/>
        <v>#</v>
      </c>
      <c r="P675" s="16" t="str">
        <f t="shared" si="2"/>
        <v>#videoGame</v>
      </c>
      <c r="R675" s="16" t="str">
        <f>"("""&amp;C675&amp;""") ("&amp;Vlookup(E675,DropDown!B:C,2,FALSE)&amp; " OR ""Video Game"" OR Playstation OR iOS OR PS4 OR PS5 OR Xbox OR Switch OR Swtich 2 OR PC)"</f>
        <v>#N/A</v>
      </c>
      <c r="S675" s="44" t="str">
        <f>"("""&amp;C675&amp;""") ("&amp;Vlookup(E675,DropDown!K:L,2,FALSE)&amp; " | ""Video Game"" | Playstation | iOS | PS4 | PS5 | Xbox | Switch | Switch 2 | PC)"</f>
        <v>#N/A</v>
      </c>
      <c r="T675" s="44"/>
      <c r="U675" s="44"/>
      <c r="V675" s="44"/>
      <c r="W675" s="44"/>
      <c r="X675" s="44"/>
      <c r="Z675" s="44"/>
    </row>
    <row r="676">
      <c r="A676" s="16"/>
      <c r="B676" s="16"/>
      <c r="E676" s="16"/>
      <c r="F676" s="16"/>
      <c r="G676" s="16"/>
      <c r="H676" s="16"/>
      <c r="I676" s="16"/>
      <c r="J676" s="16"/>
      <c r="K676" s="16"/>
      <c r="L676" s="16"/>
      <c r="M676" s="16"/>
      <c r="N676" s="5" t="s">
        <v>112</v>
      </c>
      <c r="O676" s="16" t="str">
        <f t="shared" si="1"/>
        <v>#</v>
      </c>
      <c r="P676" s="16" t="str">
        <f t="shared" si="2"/>
        <v>#videoGame</v>
      </c>
      <c r="R676" s="16" t="str">
        <f>"("""&amp;C676&amp;""") ("&amp;Vlookup(E676,DropDown!B:C,2,FALSE)&amp; " OR ""Video Game"" OR Playstation OR iOS OR PS4 OR PS5 OR Xbox OR Switch OR Swtich 2 OR PC)"</f>
        <v>#N/A</v>
      </c>
      <c r="S676" s="44" t="str">
        <f>"("""&amp;C676&amp;""") ("&amp;Vlookup(E676,DropDown!K:L,2,FALSE)&amp; " | ""Video Game"" | Playstation | iOS | PS4 | PS5 | Xbox | Switch | Switch 2 | PC)"</f>
        <v>#N/A</v>
      </c>
      <c r="T676" s="44"/>
      <c r="U676" s="44"/>
      <c r="V676" s="44"/>
      <c r="W676" s="44"/>
      <c r="X676" s="44"/>
      <c r="Z676" s="44"/>
    </row>
    <row r="677">
      <c r="A677" s="16"/>
      <c r="B677" s="16"/>
      <c r="E677" s="16"/>
      <c r="F677" s="16"/>
      <c r="G677" s="16"/>
      <c r="H677" s="16"/>
      <c r="I677" s="16"/>
      <c r="J677" s="16"/>
      <c r="K677" s="16"/>
      <c r="L677" s="16"/>
      <c r="M677" s="16"/>
      <c r="N677" s="5" t="s">
        <v>112</v>
      </c>
      <c r="O677" s="16" t="str">
        <f t="shared" si="1"/>
        <v>#</v>
      </c>
      <c r="P677" s="16" t="str">
        <f t="shared" si="2"/>
        <v>#videoGame</v>
      </c>
      <c r="R677" s="16" t="str">
        <f>"("""&amp;C677&amp;""") ("&amp;Vlookup(E677,DropDown!B:C,2,FALSE)&amp; " OR ""Video Game"" OR Playstation OR iOS OR PS4 OR PS5 OR Xbox OR Switch OR Swtich 2 OR PC)"</f>
        <v>#N/A</v>
      </c>
      <c r="S677" s="44" t="str">
        <f>"("""&amp;C677&amp;""") ("&amp;Vlookup(E677,DropDown!K:L,2,FALSE)&amp; " | ""Video Game"" | Playstation | iOS | PS4 | PS5 | Xbox | Switch | Switch 2 | PC)"</f>
        <v>#N/A</v>
      </c>
      <c r="T677" s="44"/>
      <c r="U677" s="44"/>
      <c r="V677" s="44"/>
      <c r="W677" s="44"/>
      <c r="X677" s="44"/>
      <c r="Z677" s="44"/>
    </row>
    <row r="678">
      <c r="A678" s="16"/>
      <c r="B678" s="16"/>
      <c r="E678" s="16"/>
      <c r="F678" s="16"/>
      <c r="G678" s="16"/>
      <c r="H678" s="16"/>
      <c r="I678" s="16"/>
      <c r="J678" s="16"/>
      <c r="K678" s="16"/>
      <c r="L678" s="16"/>
      <c r="M678" s="16"/>
      <c r="N678" s="5" t="s">
        <v>112</v>
      </c>
      <c r="O678" s="16" t="str">
        <f t="shared" si="1"/>
        <v>#</v>
      </c>
      <c r="P678" s="16" t="str">
        <f t="shared" si="2"/>
        <v>#videoGame</v>
      </c>
      <c r="R678" s="16" t="str">
        <f>"("""&amp;C678&amp;""") ("&amp;Vlookup(E678,DropDown!B:C,2,FALSE)&amp; " OR ""Video Game"" OR Playstation OR iOS OR PS4 OR PS5 OR Xbox OR Switch OR Swtich 2 OR PC)"</f>
        <v>#N/A</v>
      </c>
      <c r="S678" s="44" t="str">
        <f>"("""&amp;C678&amp;""") ("&amp;Vlookup(E678,DropDown!K:L,2,FALSE)&amp; " | ""Video Game"" | Playstation | iOS | PS4 | PS5 | Xbox | Switch | Switch 2 | PC)"</f>
        <v>#N/A</v>
      </c>
      <c r="T678" s="44"/>
      <c r="U678" s="44"/>
      <c r="V678" s="44"/>
      <c r="W678" s="44"/>
      <c r="X678" s="44"/>
      <c r="Z678" s="44"/>
    </row>
    <row r="679">
      <c r="A679" s="16"/>
      <c r="B679" s="16"/>
      <c r="E679" s="16"/>
      <c r="F679" s="16"/>
      <c r="G679" s="16"/>
      <c r="H679" s="16"/>
      <c r="I679" s="16"/>
      <c r="J679" s="16"/>
      <c r="K679" s="16"/>
      <c r="L679" s="16"/>
      <c r="M679" s="16"/>
      <c r="N679" s="5" t="s">
        <v>112</v>
      </c>
      <c r="O679" s="16" t="str">
        <f t="shared" si="1"/>
        <v>#</v>
      </c>
      <c r="P679" s="16" t="str">
        <f t="shared" si="2"/>
        <v>#videoGame</v>
      </c>
      <c r="R679" s="16" t="str">
        <f>"("""&amp;C679&amp;""") ("&amp;Vlookup(E679,DropDown!B:C,2,FALSE)&amp; " OR ""Video Game"" OR Playstation OR iOS OR PS4 OR PS5 OR Xbox OR Switch OR Swtich 2 OR PC)"</f>
        <v>#N/A</v>
      </c>
      <c r="S679" s="44" t="str">
        <f>"("""&amp;C679&amp;""") ("&amp;Vlookup(E679,DropDown!K:L,2,FALSE)&amp; " | ""Video Game"" | Playstation | iOS | PS4 | PS5 | Xbox | Switch | Switch 2 | PC)"</f>
        <v>#N/A</v>
      </c>
      <c r="T679" s="44"/>
      <c r="U679" s="44"/>
      <c r="V679" s="44"/>
      <c r="W679" s="44"/>
      <c r="X679" s="44"/>
      <c r="Z679" s="44"/>
    </row>
    <row r="680">
      <c r="A680" s="16"/>
      <c r="B680" s="16"/>
      <c r="E680" s="16"/>
      <c r="F680" s="16"/>
      <c r="G680" s="16"/>
      <c r="H680" s="16"/>
      <c r="I680" s="16"/>
      <c r="J680" s="16"/>
      <c r="K680" s="16"/>
      <c r="L680" s="16"/>
      <c r="M680" s="16"/>
      <c r="N680" s="5" t="s">
        <v>112</v>
      </c>
      <c r="O680" s="16" t="str">
        <f t="shared" si="1"/>
        <v>#</v>
      </c>
      <c r="P680" s="16" t="str">
        <f t="shared" si="2"/>
        <v>#videoGame</v>
      </c>
      <c r="R680" s="16" t="str">
        <f>"("""&amp;C680&amp;""") ("&amp;Vlookup(E680,DropDown!B:C,2,FALSE)&amp; " OR ""Video Game"" OR Playstation OR iOS OR PS4 OR PS5 OR Xbox OR Switch OR Swtich 2 OR PC)"</f>
        <v>#N/A</v>
      </c>
      <c r="S680" s="44" t="str">
        <f>"("""&amp;C680&amp;""") ("&amp;Vlookup(E680,DropDown!K:L,2,FALSE)&amp; " | ""Video Game"" | Playstation | iOS | PS4 | PS5 | Xbox | Switch | Switch 2 | PC)"</f>
        <v>#N/A</v>
      </c>
      <c r="T680" s="44"/>
      <c r="U680" s="44"/>
      <c r="V680" s="44"/>
      <c r="W680" s="44"/>
      <c r="X680" s="44"/>
      <c r="Z680" s="44"/>
    </row>
    <row r="681">
      <c r="A681" s="16"/>
      <c r="B681" s="16"/>
      <c r="E681" s="16"/>
      <c r="F681" s="16"/>
      <c r="G681" s="16"/>
      <c r="H681" s="16"/>
      <c r="I681" s="16"/>
      <c r="J681" s="16"/>
      <c r="K681" s="16"/>
      <c r="L681" s="16"/>
      <c r="M681" s="16"/>
      <c r="N681" s="5" t="s">
        <v>112</v>
      </c>
      <c r="O681" s="16" t="str">
        <f t="shared" si="1"/>
        <v>#</v>
      </c>
      <c r="P681" s="16" t="str">
        <f t="shared" si="2"/>
        <v>#videoGame</v>
      </c>
      <c r="R681" s="16" t="str">
        <f>"("""&amp;C681&amp;""") ("&amp;Vlookup(E681,DropDown!B:C,2,FALSE)&amp; " OR ""Video Game"" OR Playstation OR iOS OR PS4 OR PS5 OR Xbox OR Switch OR Swtich 2 OR PC)"</f>
        <v>#N/A</v>
      </c>
      <c r="S681" s="44" t="str">
        <f>"("""&amp;C681&amp;""") ("&amp;Vlookup(E681,DropDown!K:L,2,FALSE)&amp; " | ""Video Game"" | Playstation | iOS | PS4 | PS5 | Xbox | Switch | Switch 2 | PC)"</f>
        <v>#N/A</v>
      </c>
      <c r="T681" s="44"/>
      <c r="U681" s="44"/>
      <c r="V681" s="44"/>
      <c r="W681" s="44"/>
      <c r="X681" s="44"/>
      <c r="Z681" s="44"/>
    </row>
    <row r="682">
      <c r="A682" s="16"/>
      <c r="B682" s="16"/>
      <c r="E682" s="16"/>
      <c r="F682" s="16"/>
      <c r="G682" s="16"/>
      <c r="H682" s="16"/>
      <c r="I682" s="16"/>
      <c r="J682" s="16"/>
      <c r="K682" s="16"/>
      <c r="L682" s="16"/>
      <c r="M682" s="16"/>
      <c r="N682" s="5" t="s">
        <v>112</v>
      </c>
      <c r="O682" s="16" t="str">
        <f t="shared" si="1"/>
        <v>#</v>
      </c>
      <c r="P682" s="16" t="str">
        <f t="shared" si="2"/>
        <v>#videoGame</v>
      </c>
      <c r="R682" s="16" t="str">
        <f>"("""&amp;C682&amp;""") ("&amp;Vlookup(E682,DropDown!B:C,2,FALSE)&amp; " OR ""Video Game"" OR Playstation OR iOS OR PS4 OR PS5 OR Xbox OR Switch OR Swtich 2 OR PC)"</f>
        <v>#N/A</v>
      </c>
      <c r="S682" s="44" t="str">
        <f>"("""&amp;C682&amp;""") ("&amp;Vlookup(E682,DropDown!K:L,2,FALSE)&amp; " | ""Video Game"" | Playstation | iOS | PS4 | PS5 | Xbox | Switch | Switch 2 | PC)"</f>
        <v>#N/A</v>
      </c>
      <c r="T682" s="44"/>
      <c r="U682" s="44"/>
      <c r="V682" s="44"/>
      <c r="W682" s="44"/>
      <c r="X682" s="44"/>
      <c r="Z682" s="44"/>
    </row>
    <row r="683">
      <c r="A683" s="16"/>
      <c r="B683" s="16"/>
      <c r="E683" s="16"/>
      <c r="F683" s="16"/>
      <c r="G683" s="16"/>
      <c r="H683" s="16"/>
      <c r="I683" s="16"/>
      <c r="J683" s="16"/>
      <c r="K683" s="16"/>
      <c r="L683" s="16"/>
      <c r="M683" s="16"/>
      <c r="N683" s="5" t="s">
        <v>112</v>
      </c>
      <c r="O683" s="16" t="str">
        <f t="shared" si="1"/>
        <v>#</v>
      </c>
      <c r="P683" s="16" t="str">
        <f t="shared" si="2"/>
        <v>#videoGame</v>
      </c>
      <c r="R683" s="16" t="str">
        <f>"("""&amp;C683&amp;""") ("&amp;Vlookup(E683,DropDown!B:C,2,FALSE)&amp; " OR ""Video Game"" OR Playstation OR iOS OR PS4 OR PS5 OR Xbox OR Switch OR Swtich 2 OR PC)"</f>
        <v>#N/A</v>
      </c>
      <c r="S683" s="44" t="str">
        <f>"("""&amp;C683&amp;""") ("&amp;Vlookup(E683,DropDown!K:L,2,FALSE)&amp; " | ""Video Game"" | Playstation | iOS | PS4 | PS5 | Xbox | Switch | Switch 2 | PC)"</f>
        <v>#N/A</v>
      </c>
      <c r="T683" s="44"/>
      <c r="U683" s="44"/>
      <c r="V683" s="44"/>
      <c r="W683" s="44"/>
      <c r="X683" s="44"/>
      <c r="Z683" s="44"/>
    </row>
    <row r="684">
      <c r="A684" s="16"/>
      <c r="B684" s="16"/>
      <c r="E684" s="16"/>
      <c r="F684" s="16"/>
      <c r="G684" s="16"/>
      <c r="H684" s="16"/>
      <c r="I684" s="16"/>
      <c r="J684" s="16"/>
      <c r="K684" s="16"/>
      <c r="L684" s="16"/>
      <c r="M684" s="16"/>
      <c r="N684" s="5" t="s">
        <v>112</v>
      </c>
      <c r="O684" s="16" t="str">
        <f t="shared" si="1"/>
        <v>#</v>
      </c>
      <c r="P684" s="16" t="str">
        <f t="shared" si="2"/>
        <v>#videoGame</v>
      </c>
      <c r="R684" s="16" t="str">
        <f>"("""&amp;C684&amp;""") ("&amp;Vlookup(E684,DropDown!B:C,2,FALSE)&amp; " OR ""Video Game"" OR Playstation OR iOS OR PS4 OR PS5 OR Xbox OR Switch OR Swtich 2 OR PC)"</f>
        <v>#N/A</v>
      </c>
      <c r="S684" s="44" t="str">
        <f>"("""&amp;C684&amp;""") ("&amp;Vlookup(E684,DropDown!K:L,2,FALSE)&amp; " | ""Video Game"" | Playstation | iOS | PS4 | PS5 | Xbox | Switch | Switch 2 | PC)"</f>
        <v>#N/A</v>
      </c>
      <c r="T684" s="44"/>
      <c r="U684" s="44"/>
      <c r="V684" s="44"/>
      <c r="W684" s="44"/>
      <c r="X684" s="44"/>
      <c r="Z684" s="44"/>
    </row>
    <row r="685">
      <c r="A685" s="16"/>
      <c r="B685" s="16"/>
      <c r="E685" s="16"/>
      <c r="F685" s="16"/>
      <c r="G685" s="16"/>
      <c r="H685" s="16"/>
      <c r="I685" s="16"/>
      <c r="J685" s="16"/>
      <c r="K685" s="16"/>
      <c r="L685" s="16"/>
      <c r="M685" s="16"/>
      <c r="N685" s="5" t="s">
        <v>112</v>
      </c>
      <c r="O685" s="16" t="str">
        <f t="shared" si="1"/>
        <v>#</v>
      </c>
      <c r="P685" s="16" t="str">
        <f t="shared" si="2"/>
        <v>#videoGame</v>
      </c>
      <c r="R685" s="16" t="str">
        <f>"("""&amp;C685&amp;""") ("&amp;Vlookup(E685,DropDown!B:C,2,FALSE)&amp; " OR ""Video Game"" OR Playstation OR iOS OR PS4 OR PS5 OR Xbox OR Switch OR Swtich 2 OR PC)"</f>
        <v>#N/A</v>
      </c>
      <c r="S685" s="44" t="str">
        <f>"("""&amp;C685&amp;""") ("&amp;Vlookup(E685,DropDown!K:L,2,FALSE)&amp; " | ""Video Game"" | Playstation | iOS | PS4 | PS5 | Xbox | Switch | Switch 2 | PC)"</f>
        <v>#N/A</v>
      </c>
      <c r="T685" s="44"/>
      <c r="U685" s="44"/>
      <c r="V685" s="44"/>
      <c r="W685" s="44"/>
      <c r="X685" s="44"/>
      <c r="Z685" s="44"/>
    </row>
    <row r="686">
      <c r="A686" s="16"/>
      <c r="B686" s="16"/>
      <c r="E686" s="16"/>
      <c r="F686" s="16"/>
      <c r="G686" s="16"/>
      <c r="H686" s="16"/>
      <c r="I686" s="16"/>
      <c r="J686" s="16"/>
      <c r="K686" s="16"/>
      <c r="L686" s="16"/>
      <c r="M686" s="16"/>
      <c r="N686" s="5" t="s">
        <v>112</v>
      </c>
      <c r="O686" s="16" t="str">
        <f t="shared" si="1"/>
        <v>#</v>
      </c>
      <c r="P686" s="16" t="str">
        <f t="shared" si="2"/>
        <v>#videoGame</v>
      </c>
      <c r="R686" s="16" t="str">
        <f>"("""&amp;C686&amp;""") ("&amp;Vlookup(E686,DropDown!B:C,2,FALSE)&amp; " OR ""Video Game"" OR Playstation OR iOS OR PS4 OR PS5 OR Xbox OR Switch OR Swtich 2 OR PC)"</f>
        <v>#N/A</v>
      </c>
      <c r="S686" s="44" t="str">
        <f>"("""&amp;C686&amp;""") ("&amp;Vlookup(E686,DropDown!K:L,2,FALSE)&amp; " | ""Video Game"" | Playstation | iOS | PS4 | PS5 | Xbox | Switch | Switch 2 | PC)"</f>
        <v>#N/A</v>
      </c>
      <c r="T686" s="44"/>
      <c r="U686" s="44"/>
      <c r="V686" s="44"/>
      <c r="W686" s="44"/>
      <c r="X686" s="44"/>
      <c r="Z686" s="44"/>
    </row>
    <row r="687">
      <c r="A687" s="16"/>
      <c r="B687" s="16"/>
      <c r="E687" s="16"/>
      <c r="F687" s="16"/>
      <c r="G687" s="16"/>
      <c r="H687" s="16"/>
      <c r="I687" s="16"/>
      <c r="J687" s="16"/>
      <c r="K687" s="16"/>
      <c r="L687" s="16"/>
      <c r="M687" s="16"/>
      <c r="N687" s="5" t="s">
        <v>112</v>
      </c>
      <c r="O687" s="16" t="str">
        <f t="shared" si="1"/>
        <v>#</v>
      </c>
      <c r="P687" s="16" t="str">
        <f t="shared" si="2"/>
        <v>#videoGame</v>
      </c>
      <c r="R687" s="16" t="str">
        <f>"("""&amp;C687&amp;""") ("&amp;Vlookup(E687,DropDown!B:C,2,FALSE)&amp; " OR ""Video Game"" OR Playstation OR iOS OR PS4 OR PS5 OR Xbox OR Switch OR Swtich 2 OR PC)"</f>
        <v>#N/A</v>
      </c>
      <c r="S687" s="44" t="str">
        <f>"("""&amp;C687&amp;""") ("&amp;Vlookup(E687,DropDown!K:L,2,FALSE)&amp; " | ""Video Game"" | Playstation | iOS | PS4 | PS5 | Xbox | Switch | Switch 2 | PC)"</f>
        <v>#N/A</v>
      </c>
      <c r="T687" s="44"/>
      <c r="U687" s="44"/>
      <c r="V687" s="44"/>
      <c r="W687" s="44"/>
      <c r="X687" s="44"/>
      <c r="Z687" s="44"/>
    </row>
    <row r="688">
      <c r="A688" s="16"/>
      <c r="B688" s="16"/>
      <c r="E688" s="16"/>
      <c r="F688" s="16"/>
      <c r="G688" s="16"/>
      <c r="H688" s="16"/>
      <c r="I688" s="16"/>
      <c r="J688" s="16"/>
      <c r="K688" s="16"/>
      <c r="L688" s="16"/>
      <c r="M688" s="16"/>
      <c r="N688" s="5" t="s">
        <v>112</v>
      </c>
      <c r="O688" s="16" t="str">
        <f t="shared" si="1"/>
        <v>#</v>
      </c>
      <c r="P688" s="16" t="str">
        <f t="shared" si="2"/>
        <v>#videoGame</v>
      </c>
      <c r="R688" s="16" t="str">
        <f>"("""&amp;C688&amp;""") ("&amp;Vlookup(E688,DropDown!B:C,2,FALSE)&amp; " OR ""Video Game"" OR Playstation OR iOS OR PS4 OR PS5 OR Xbox OR Switch OR Swtich 2 OR PC)"</f>
        <v>#N/A</v>
      </c>
      <c r="S688" s="44" t="str">
        <f>"("""&amp;C688&amp;""") ("&amp;Vlookup(E688,DropDown!K:L,2,FALSE)&amp; " | ""Video Game"" | Playstation | iOS | PS4 | PS5 | Xbox | Switch | Switch 2 | PC)"</f>
        <v>#N/A</v>
      </c>
      <c r="T688" s="44"/>
      <c r="U688" s="44"/>
      <c r="V688" s="44"/>
      <c r="W688" s="44"/>
      <c r="X688" s="44"/>
      <c r="Z688" s="44"/>
    </row>
    <row r="689">
      <c r="A689" s="16"/>
      <c r="B689" s="16"/>
      <c r="E689" s="16"/>
      <c r="F689" s="16"/>
      <c r="G689" s="16"/>
      <c r="H689" s="16"/>
      <c r="I689" s="16"/>
      <c r="J689" s="16"/>
      <c r="K689" s="16"/>
      <c r="L689" s="16"/>
      <c r="M689" s="16"/>
      <c r="N689" s="5" t="s">
        <v>112</v>
      </c>
      <c r="O689" s="16" t="str">
        <f t="shared" si="1"/>
        <v>#</v>
      </c>
      <c r="P689" s="16" t="str">
        <f t="shared" si="2"/>
        <v>#videoGame</v>
      </c>
      <c r="R689" s="16" t="str">
        <f>"("""&amp;C689&amp;""") ("&amp;Vlookup(E689,DropDown!B:C,2,FALSE)&amp; " OR ""Video Game"" OR Playstation OR iOS OR PS4 OR PS5 OR Xbox OR Switch OR Swtich 2 OR PC)"</f>
        <v>#N/A</v>
      </c>
      <c r="S689" s="44" t="str">
        <f>"("""&amp;C689&amp;""") ("&amp;Vlookup(E689,DropDown!K:L,2,FALSE)&amp; " | ""Video Game"" | Playstation | iOS | PS4 | PS5 | Xbox | Switch | Switch 2 | PC)"</f>
        <v>#N/A</v>
      </c>
      <c r="T689" s="44"/>
      <c r="U689" s="44"/>
      <c r="V689" s="44"/>
      <c r="W689" s="44"/>
      <c r="X689" s="44"/>
      <c r="Z689" s="44"/>
    </row>
    <row r="690">
      <c r="A690" s="16"/>
      <c r="B690" s="16"/>
      <c r="E690" s="16"/>
      <c r="F690" s="16"/>
      <c r="G690" s="16"/>
      <c r="H690" s="16"/>
      <c r="I690" s="16"/>
      <c r="J690" s="16"/>
      <c r="K690" s="16"/>
      <c r="L690" s="16"/>
      <c r="M690" s="16"/>
      <c r="N690" s="5" t="s">
        <v>112</v>
      </c>
      <c r="O690" s="16" t="str">
        <f t="shared" si="1"/>
        <v>#</v>
      </c>
      <c r="P690" s="16" t="str">
        <f t="shared" si="2"/>
        <v>#videoGame</v>
      </c>
      <c r="R690" s="16" t="str">
        <f>"("""&amp;C690&amp;""") ("&amp;Vlookup(E690,DropDown!B:C,2,FALSE)&amp; " OR ""Video Game"" OR Playstation OR iOS OR PS4 OR PS5 OR Xbox OR Switch OR Swtich 2 OR PC)"</f>
        <v>#N/A</v>
      </c>
      <c r="S690" s="44" t="str">
        <f>"("""&amp;C690&amp;""") ("&amp;Vlookup(E690,DropDown!K:L,2,FALSE)&amp; " | ""Video Game"" | Playstation | iOS | PS4 | PS5 | Xbox | Switch | Switch 2 | PC)"</f>
        <v>#N/A</v>
      </c>
      <c r="T690" s="44"/>
      <c r="U690" s="44"/>
      <c r="V690" s="44"/>
      <c r="W690" s="44"/>
      <c r="X690" s="44"/>
      <c r="Z690" s="44"/>
    </row>
    <row r="691">
      <c r="A691" s="16"/>
      <c r="B691" s="16"/>
      <c r="E691" s="16"/>
      <c r="F691" s="16"/>
      <c r="G691" s="16"/>
      <c r="H691" s="16"/>
      <c r="I691" s="16"/>
      <c r="J691" s="16"/>
      <c r="K691" s="16"/>
      <c r="L691" s="16"/>
      <c r="M691" s="16"/>
      <c r="N691" s="5" t="s">
        <v>112</v>
      </c>
      <c r="O691" s="16" t="str">
        <f t="shared" si="1"/>
        <v>#</v>
      </c>
      <c r="P691" s="16" t="str">
        <f t="shared" si="2"/>
        <v>#videoGame</v>
      </c>
      <c r="R691" s="16" t="str">
        <f>"("""&amp;C691&amp;""") ("&amp;Vlookup(E691,DropDown!B:C,2,FALSE)&amp; " OR ""Video Game"" OR Playstation OR iOS OR PS4 OR PS5 OR Xbox OR Switch OR Swtich 2 OR PC)"</f>
        <v>#N/A</v>
      </c>
      <c r="S691" s="44" t="str">
        <f>"("""&amp;C691&amp;""") ("&amp;Vlookup(E691,DropDown!K:L,2,FALSE)&amp; " | ""Video Game"" | Playstation | iOS | PS4 | PS5 | Xbox | Switch | Switch 2 | PC)"</f>
        <v>#N/A</v>
      </c>
      <c r="T691" s="44"/>
      <c r="U691" s="44"/>
      <c r="V691" s="44"/>
      <c r="W691" s="44"/>
      <c r="X691" s="44"/>
      <c r="Z691" s="44"/>
    </row>
    <row r="692">
      <c r="A692" s="16"/>
      <c r="B692" s="16"/>
      <c r="E692" s="16"/>
      <c r="F692" s="16"/>
      <c r="G692" s="16"/>
      <c r="H692" s="16"/>
      <c r="I692" s="16"/>
      <c r="J692" s="16"/>
      <c r="K692" s="16"/>
      <c r="L692" s="16"/>
      <c r="M692" s="16"/>
      <c r="N692" s="5" t="s">
        <v>112</v>
      </c>
      <c r="O692" s="16" t="str">
        <f t="shared" si="1"/>
        <v>#</v>
      </c>
      <c r="P692" s="16" t="str">
        <f t="shared" si="2"/>
        <v>#videoGame</v>
      </c>
      <c r="R692" s="16" t="str">
        <f>"("""&amp;C692&amp;""") ("&amp;Vlookup(E692,DropDown!B:C,2,FALSE)&amp; " OR ""Video Game"" OR Playstation OR iOS OR PS4 OR PS5 OR Xbox OR Switch OR Swtich 2 OR PC)"</f>
        <v>#N/A</v>
      </c>
      <c r="S692" s="44" t="str">
        <f>"("""&amp;C692&amp;""") ("&amp;Vlookup(E692,DropDown!K:L,2,FALSE)&amp; " | ""Video Game"" | Playstation | iOS | PS4 | PS5 | Xbox | Switch | Switch 2 | PC)"</f>
        <v>#N/A</v>
      </c>
      <c r="T692" s="44"/>
      <c r="U692" s="44"/>
      <c r="V692" s="44"/>
      <c r="W692" s="44"/>
      <c r="X692" s="44"/>
      <c r="Z692" s="44"/>
    </row>
    <row r="693">
      <c r="A693" s="16"/>
      <c r="B693" s="16"/>
      <c r="E693" s="16"/>
      <c r="F693" s="16"/>
      <c r="G693" s="16"/>
      <c r="H693" s="16"/>
      <c r="I693" s="16"/>
      <c r="J693" s="16"/>
      <c r="K693" s="16"/>
      <c r="L693" s="16"/>
      <c r="M693" s="16"/>
      <c r="N693" s="5" t="s">
        <v>112</v>
      </c>
      <c r="O693" s="16" t="str">
        <f t="shared" si="1"/>
        <v>#</v>
      </c>
      <c r="P693" s="16" t="str">
        <f t="shared" si="2"/>
        <v>#videoGame</v>
      </c>
      <c r="R693" s="16" t="str">
        <f>"("""&amp;C693&amp;""") ("&amp;Vlookup(E693,DropDown!B:C,2,FALSE)&amp; " OR ""Video Game"" OR Playstation OR iOS OR PS4 OR PS5 OR Xbox OR Switch OR Swtich 2 OR PC)"</f>
        <v>#N/A</v>
      </c>
      <c r="S693" s="44" t="str">
        <f>"("""&amp;C693&amp;""") ("&amp;Vlookup(E693,DropDown!K:L,2,FALSE)&amp; " | ""Video Game"" | Playstation | iOS | PS4 | PS5 | Xbox | Switch | Switch 2 | PC)"</f>
        <v>#N/A</v>
      </c>
      <c r="T693" s="44"/>
      <c r="U693" s="44"/>
      <c r="V693" s="44"/>
      <c r="W693" s="44"/>
      <c r="X693" s="44"/>
      <c r="Z693" s="44"/>
    </row>
    <row r="694">
      <c r="A694" s="16"/>
      <c r="B694" s="16"/>
      <c r="E694" s="16"/>
      <c r="F694" s="16"/>
      <c r="G694" s="16"/>
      <c r="H694" s="16"/>
      <c r="I694" s="16"/>
      <c r="J694" s="16"/>
      <c r="K694" s="16"/>
      <c r="L694" s="16"/>
      <c r="M694" s="16"/>
      <c r="N694" s="5" t="s">
        <v>112</v>
      </c>
      <c r="O694" s="16" t="str">
        <f t="shared" si="1"/>
        <v>#</v>
      </c>
      <c r="P694" s="16" t="str">
        <f t="shared" si="2"/>
        <v>#videoGame</v>
      </c>
      <c r="R694" s="16" t="str">
        <f>"("""&amp;C694&amp;""") ("&amp;Vlookup(E694,DropDown!B:C,2,FALSE)&amp; " OR ""Video Game"" OR Playstation OR iOS OR PS4 OR PS5 OR Xbox OR Switch OR Swtich 2 OR PC)"</f>
        <v>#N/A</v>
      </c>
      <c r="S694" s="44" t="str">
        <f>"("""&amp;C694&amp;""") ("&amp;Vlookup(E694,DropDown!K:L,2,FALSE)&amp; " | ""Video Game"" | Playstation | iOS | PS4 | PS5 | Xbox | Switch | Switch 2 | PC)"</f>
        <v>#N/A</v>
      </c>
      <c r="T694" s="44"/>
      <c r="U694" s="44"/>
      <c r="V694" s="44"/>
      <c r="W694" s="44"/>
      <c r="X694" s="44"/>
      <c r="Z694" s="44"/>
    </row>
    <row r="695">
      <c r="A695" s="16"/>
      <c r="B695" s="16"/>
      <c r="E695" s="16"/>
      <c r="F695" s="16"/>
      <c r="G695" s="16"/>
      <c r="H695" s="16"/>
      <c r="I695" s="16"/>
      <c r="J695" s="16"/>
      <c r="K695" s="16"/>
      <c r="L695" s="16"/>
      <c r="M695" s="16"/>
      <c r="N695" s="5" t="s">
        <v>112</v>
      </c>
      <c r="O695" s="16" t="str">
        <f t="shared" si="1"/>
        <v>#</v>
      </c>
      <c r="P695" s="16" t="str">
        <f t="shared" si="2"/>
        <v>#videoGame</v>
      </c>
      <c r="R695" s="16" t="str">
        <f>"("""&amp;C695&amp;""") ("&amp;Vlookup(E695,DropDown!B:C,2,FALSE)&amp; " OR ""Video Game"" OR Playstation OR iOS OR PS4 OR PS5 OR Xbox OR Switch OR Swtich 2 OR PC)"</f>
        <v>#N/A</v>
      </c>
      <c r="S695" s="44" t="str">
        <f>"("""&amp;C695&amp;""") ("&amp;Vlookup(E695,DropDown!K:L,2,FALSE)&amp; " | ""Video Game"" | Playstation | iOS | PS4 | PS5 | Xbox | Switch | Switch 2 | PC)"</f>
        <v>#N/A</v>
      </c>
      <c r="T695" s="44"/>
      <c r="U695" s="44"/>
      <c r="V695" s="44"/>
      <c r="W695" s="44"/>
      <c r="X695" s="44"/>
      <c r="Z695" s="44"/>
    </row>
    <row r="696">
      <c r="A696" s="16"/>
      <c r="B696" s="16"/>
      <c r="E696" s="16"/>
      <c r="F696" s="16"/>
      <c r="G696" s="16"/>
      <c r="H696" s="16"/>
      <c r="I696" s="16"/>
      <c r="J696" s="16"/>
      <c r="K696" s="16"/>
      <c r="L696" s="16"/>
      <c r="M696" s="16"/>
      <c r="N696" s="5" t="s">
        <v>112</v>
      </c>
      <c r="O696" s="16" t="str">
        <f t="shared" si="1"/>
        <v>#</v>
      </c>
      <c r="P696" s="16" t="str">
        <f t="shared" si="2"/>
        <v>#videoGame</v>
      </c>
      <c r="R696" s="16" t="str">
        <f>"("""&amp;C696&amp;""") ("&amp;Vlookup(E696,DropDown!B:C,2,FALSE)&amp; " OR ""Video Game"" OR Playstation OR iOS OR PS4 OR PS5 OR Xbox OR Switch OR Swtich 2 OR PC)"</f>
        <v>#N/A</v>
      </c>
      <c r="S696" s="44" t="str">
        <f>"("""&amp;C696&amp;""") ("&amp;Vlookup(E696,DropDown!K:L,2,FALSE)&amp; " | ""Video Game"" | Playstation | iOS | PS4 | PS5 | Xbox | Switch | Switch 2 | PC)"</f>
        <v>#N/A</v>
      </c>
      <c r="T696" s="44"/>
      <c r="U696" s="44"/>
      <c r="V696" s="44"/>
      <c r="W696" s="44"/>
      <c r="X696" s="44"/>
      <c r="Z696" s="44"/>
    </row>
    <row r="697">
      <c r="A697" s="16"/>
      <c r="B697" s="16"/>
      <c r="E697" s="16"/>
      <c r="F697" s="16"/>
      <c r="G697" s="16"/>
      <c r="H697" s="16"/>
      <c r="I697" s="16"/>
      <c r="J697" s="16"/>
      <c r="K697" s="16"/>
      <c r="L697" s="16"/>
      <c r="M697" s="16"/>
      <c r="N697" s="5" t="s">
        <v>112</v>
      </c>
      <c r="O697" s="16" t="str">
        <f t="shared" si="1"/>
        <v>#</v>
      </c>
      <c r="P697" s="16" t="str">
        <f t="shared" si="2"/>
        <v>#videoGame</v>
      </c>
      <c r="R697" s="16" t="str">
        <f>"("""&amp;C697&amp;""") ("&amp;Vlookup(E697,DropDown!B:C,2,FALSE)&amp; " OR ""Video Game"" OR Playstation OR iOS OR PS4 OR PS5 OR Xbox OR Switch OR Swtich 2 OR PC)"</f>
        <v>#N/A</v>
      </c>
      <c r="S697" s="44" t="str">
        <f>"("""&amp;C697&amp;""") ("&amp;Vlookup(E697,DropDown!K:L,2,FALSE)&amp; " | ""Video Game"" | Playstation | iOS | PS4 | PS5 | Xbox | Switch | Switch 2 | PC)"</f>
        <v>#N/A</v>
      </c>
      <c r="T697" s="44"/>
      <c r="U697" s="44"/>
      <c r="V697" s="44"/>
      <c r="W697" s="44"/>
      <c r="X697" s="44"/>
      <c r="Z697" s="44"/>
    </row>
    <row r="698">
      <c r="A698" s="16"/>
      <c r="B698" s="16"/>
      <c r="E698" s="16"/>
      <c r="F698" s="16"/>
      <c r="G698" s="16"/>
      <c r="H698" s="16"/>
      <c r="I698" s="16"/>
      <c r="J698" s="16"/>
      <c r="K698" s="16"/>
      <c r="L698" s="16"/>
      <c r="M698" s="16"/>
      <c r="N698" s="5" t="s">
        <v>112</v>
      </c>
      <c r="O698" s="16" t="str">
        <f t="shared" si="1"/>
        <v>#</v>
      </c>
      <c r="P698" s="16" t="str">
        <f t="shared" si="2"/>
        <v>#videoGame</v>
      </c>
      <c r="R698" s="16" t="str">
        <f>"("""&amp;C698&amp;""") ("&amp;Vlookup(E698,DropDown!B:C,2,FALSE)&amp; " OR ""Video Game"" OR Playstation OR iOS OR PS4 OR PS5 OR Xbox OR Switch OR Swtich 2 OR PC)"</f>
        <v>#N/A</v>
      </c>
      <c r="S698" s="44" t="str">
        <f>"("""&amp;C698&amp;""") ("&amp;Vlookup(E698,DropDown!K:L,2,FALSE)&amp; " | ""Video Game"" | Playstation | iOS | PS4 | PS5 | Xbox | Switch | Switch 2 | PC)"</f>
        <v>#N/A</v>
      </c>
      <c r="T698" s="44"/>
      <c r="U698" s="44"/>
      <c r="V698" s="44"/>
      <c r="W698" s="44"/>
      <c r="X698" s="44"/>
      <c r="Z698" s="44"/>
    </row>
    <row r="699">
      <c r="A699" s="16"/>
      <c r="B699" s="16"/>
      <c r="E699" s="16"/>
      <c r="F699" s="16"/>
      <c r="G699" s="16"/>
      <c r="H699" s="16"/>
      <c r="I699" s="16"/>
      <c r="J699" s="16"/>
      <c r="K699" s="16"/>
      <c r="L699" s="16"/>
      <c r="M699" s="16"/>
      <c r="N699" s="5" t="s">
        <v>112</v>
      </c>
      <c r="O699" s="16" t="str">
        <f t="shared" si="1"/>
        <v>#</v>
      </c>
      <c r="P699" s="16" t="str">
        <f t="shared" si="2"/>
        <v>#videoGame</v>
      </c>
      <c r="R699" s="16" t="str">
        <f>"("""&amp;C699&amp;""") ("&amp;Vlookup(E699,DropDown!B:C,2,FALSE)&amp; " OR ""Video Game"" OR Playstation OR iOS OR PS4 OR PS5 OR Xbox OR Switch OR Swtich 2 OR PC)"</f>
        <v>#N/A</v>
      </c>
      <c r="S699" s="44" t="str">
        <f>"("""&amp;C699&amp;""") ("&amp;Vlookup(E699,DropDown!K:L,2,FALSE)&amp; " | ""Video Game"" | Playstation | iOS | PS4 | PS5 | Xbox | Switch | Switch 2 | PC)"</f>
        <v>#N/A</v>
      </c>
      <c r="T699" s="44"/>
      <c r="U699" s="44"/>
      <c r="V699" s="44"/>
      <c r="W699" s="44"/>
      <c r="X699" s="44"/>
      <c r="Z699" s="44"/>
    </row>
    <row r="700">
      <c r="A700" s="16"/>
      <c r="B700" s="16"/>
      <c r="E700" s="16"/>
      <c r="F700" s="16"/>
      <c r="G700" s="16"/>
      <c r="H700" s="16"/>
      <c r="I700" s="16"/>
      <c r="J700" s="16"/>
      <c r="K700" s="16"/>
      <c r="L700" s="16"/>
      <c r="M700" s="16"/>
      <c r="N700" s="5" t="s">
        <v>112</v>
      </c>
      <c r="O700" s="16" t="str">
        <f t="shared" si="1"/>
        <v>#</v>
      </c>
      <c r="P700" s="16" t="str">
        <f t="shared" si="2"/>
        <v>#videoGame</v>
      </c>
      <c r="R700" s="16" t="str">
        <f>"("""&amp;C700&amp;""") ("&amp;Vlookup(E700,DropDown!B:C,2,FALSE)&amp; " OR ""Video Game"" OR Playstation OR iOS OR PS4 OR PS5 OR Xbox OR Switch OR Swtich 2 OR PC)"</f>
        <v>#N/A</v>
      </c>
      <c r="S700" s="44" t="str">
        <f>"("""&amp;C700&amp;""") ("&amp;Vlookup(E700,DropDown!K:L,2,FALSE)&amp; " | ""Video Game"" | Playstation | iOS | PS4 | PS5 | Xbox | Switch | Switch 2 | PC)"</f>
        <v>#N/A</v>
      </c>
      <c r="T700" s="44"/>
      <c r="U700" s="44"/>
      <c r="V700" s="44"/>
      <c r="W700" s="44"/>
      <c r="X700" s="44"/>
      <c r="Z700" s="44"/>
    </row>
    <row r="701">
      <c r="A701" s="16"/>
      <c r="B701" s="16"/>
      <c r="E701" s="16"/>
      <c r="F701" s="16"/>
      <c r="G701" s="16"/>
      <c r="H701" s="16"/>
      <c r="I701" s="16"/>
      <c r="J701" s="16"/>
      <c r="K701" s="16"/>
      <c r="L701" s="16"/>
      <c r="M701" s="16"/>
      <c r="N701" s="5" t="s">
        <v>112</v>
      </c>
      <c r="O701" s="16" t="str">
        <f t="shared" si="1"/>
        <v>#</v>
      </c>
      <c r="P701" s="16" t="str">
        <f t="shared" si="2"/>
        <v>#videoGame</v>
      </c>
      <c r="R701" s="16" t="str">
        <f>"("""&amp;C701&amp;""") ("&amp;Vlookup(E701,DropDown!B:C,2,FALSE)&amp; " OR ""Video Game"" OR Playstation OR iOS OR PS4 OR PS5 OR Xbox OR Switch OR Swtich 2 OR PC)"</f>
        <v>#N/A</v>
      </c>
      <c r="S701" s="44" t="str">
        <f>"("""&amp;C701&amp;""") ("&amp;Vlookup(E701,DropDown!K:L,2,FALSE)&amp; " | ""Video Game"" | Playstation | iOS | PS4 | PS5 | Xbox | Switch | Switch 2 | PC)"</f>
        <v>#N/A</v>
      </c>
      <c r="T701" s="44"/>
      <c r="U701" s="44"/>
      <c r="V701" s="44"/>
      <c r="W701" s="44"/>
      <c r="X701" s="44"/>
      <c r="Z701" s="44"/>
    </row>
    <row r="702">
      <c r="A702" s="16"/>
      <c r="B702" s="16"/>
      <c r="E702" s="16"/>
      <c r="F702" s="16"/>
      <c r="G702" s="16"/>
      <c r="H702" s="16"/>
      <c r="I702" s="16"/>
      <c r="J702" s="16"/>
      <c r="K702" s="16"/>
      <c r="L702" s="16"/>
      <c r="M702" s="16"/>
      <c r="N702" s="5" t="s">
        <v>112</v>
      </c>
      <c r="O702" s="16" t="str">
        <f t="shared" si="1"/>
        <v>#</v>
      </c>
      <c r="P702" s="16" t="str">
        <f t="shared" si="2"/>
        <v>#videoGame</v>
      </c>
      <c r="R702" s="16" t="str">
        <f>"("""&amp;C702&amp;""") ("&amp;Vlookup(E702,DropDown!B:C,2,FALSE)&amp; " OR ""Video Game"" OR Playstation OR iOS OR PS4 OR PS5 OR Xbox OR Switch OR Swtich 2 OR PC)"</f>
        <v>#N/A</v>
      </c>
      <c r="S702" s="44" t="str">
        <f>"("""&amp;C702&amp;""") ("&amp;Vlookup(E702,DropDown!K:L,2,FALSE)&amp; " | ""Video Game"" | Playstation | iOS | PS4 | PS5 | Xbox | Switch | Switch 2 | PC)"</f>
        <v>#N/A</v>
      </c>
      <c r="T702" s="44"/>
      <c r="U702" s="44"/>
      <c r="V702" s="44"/>
      <c r="W702" s="44"/>
      <c r="X702" s="44"/>
      <c r="Z702" s="44"/>
    </row>
    <row r="703">
      <c r="A703" s="16"/>
      <c r="B703" s="16"/>
      <c r="E703" s="16"/>
      <c r="F703" s="16"/>
      <c r="G703" s="16"/>
      <c r="H703" s="16"/>
      <c r="I703" s="16"/>
      <c r="J703" s="16"/>
      <c r="K703" s="16"/>
      <c r="L703" s="16"/>
      <c r="M703" s="16"/>
      <c r="N703" s="5" t="s">
        <v>112</v>
      </c>
      <c r="O703" s="16" t="str">
        <f t="shared" si="1"/>
        <v>#</v>
      </c>
      <c r="P703" s="16" t="str">
        <f t="shared" si="2"/>
        <v>#videoGame</v>
      </c>
      <c r="R703" s="16" t="str">
        <f>"("""&amp;C703&amp;""") ("&amp;Vlookup(E703,DropDown!B:C,2,FALSE)&amp; " OR ""Video Game"" OR Playstation OR iOS OR PS4 OR PS5 OR Xbox OR Switch OR Swtich 2 OR PC)"</f>
        <v>#N/A</v>
      </c>
      <c r="S703" s="44" t="str">
        <f>"("""&amp;C703&amp;""") ("&amp;Vlookup(E703,DropDown!K:L,2,FALSE)&amp; " | ""Video Game"" | Playstation | iOS | PS4 | PS5 | Xbox | Switch | Switch 2 | PC)"</f>
        <v>#N/A</v>
      </c>
      <c r="T703" s="44"/>
      <c r="U703" s="44"/>
      <c r="V703" s="44"/>
      <c r="W703" s="44"/>
      <c r="X703" s="44"/>
      <c r="Z703" s="44"/>
    </row>
    <row r="704">
      <c r="A704" s="16"/>
      <c r="B704" s="16"/>
      <c r="E704" s="16"/>
      <c r="F704" s="16"/>
      <c r="G704" s="16"/>
      <c r="H704" s="16"/>
      <c r="I704" s="16"/>
      <c r="J704" s="16"/>
      <c r="K704" s="16"/>
      <c r="L704" s="16"/>
      <c r="M704" s="16"/>
      <c r="N704" s="5" t="s">
        <v>112</v>
      </c>
      <c r="O704" s="16" t="str">
        <f t="shared" si="1"/>
        <v>#</v>
      </c>
      <c r="P704" s="16" t="str">
        <f t="shared" si="2"/>
        <v>#videoGame</v>
      </c>
      <c r="R704" s="16" t="str">
        <f>"("""&amp;C704&amp;""") ("&amp;Vlookup(E704,DropDown!B:C,2,FALSE)&amp; " OR ""Video Game"" OR Playstation OR iOS OR PS4 OR PS5 OR Xbox OR Switch OR Swtich 2 OR PC)"</f>
        <v>#N/A</v>
      </c>
      <c r="S704" s="44" t="str">
        <f>"("""&amp;C704&amp;""") ("&amp;Vlookup(E704,DropDown!K:L,2,FALSE)&amp; " | ""Video Game"" | Playstation | iOS | PS4 | PS5 | Xbox | Switch | Switch 2 | PC)"</f>
        <v>#N/A</v>
      </c>
      <c r="T704" s="44"/>
      <c r="U704" s="44"/>
      <c r="V704" s="44"/>
      <c r="W704" s="44"/>
      <c r="X704" s="44"/>
      <c r="Z704" s="44"/>
    </row>
    <row r="705">
      <c r="A705" s="16"/>
      <c r="B705" s="16"/>
      <c r="E705" s="16"/>
      <c r="F705" s="16"/>
      <c r="G705" s="16"/>
      <c r="H705" s="16"/>
      <c r="I705" s="16"/>
      <c r="J705" s="16"/>
      <c r="K705" s="16"/>
      <c r="L705" s="16"/>
      <c r="M705" s="16"/>
      <c r="N705" s="5" t="s">
        <v>112</v>
      </c>
      <c r="O705" s="16" t="str">
        <f t="shared" si="1"/>
        <v>#</v>
      </c>
      <c r="P705" s="16" t="str">
        <f t="shared" si="2"/>
        <v>#videoGame</v>
      </c>
      <c r="R705" s="16" t="str">
        <f>"("""&amp;C705&amp;""") ("&amp;Vlookup(E705,DropDown!B:C,2,FALSE)&amp; " OR ""Video Game"" OR Playstation OR iOS OR PS4 OR PS5 OR Xbox OR Switch OR Swtich 2 OR PC)"</f>
        <v>#N/A</v>
      </c>
      <c r="S705" s="44" t="str">
        <f>"("""&amp;C705&amp;""") ("&amp;Vlookup(E705,DropDown!K:L,2,FALSE)&amp; " | ""Video Game"" | Playstation | iOS | PS4 | PS5 | Xbox | Switch | Switch 2 | PC)"</f>
        <v>#N/A</v>
      </c>
      <c r="T705" s="44"/>
      <c r="U705" s="44"/>
      <c r="V705" s="44"/>
      <c r="W705" s="44"/>
      <c r="X705" s="44"/>
      <c r="Z705" s="44"/>
    </row>
    <row r="706">
      <c r="A706" s="16"/>
      <c r="B706" s="16"/>
      <c r="E706" s="16"/>
      <c r="F706" s="16"/>
      <c r="G706" s="16"/>
      <c r="H706" s="16"/>
      <c r="I706" s="16"/>
      <c r="J706" s="16"/>
      <c r="K706" s="16"/>
      <c r="L706" s="16"/>
      <c r="M706" s="16"/>
      <c r="N706" s="5" t="s">
        <v>112</v>
      </c>
      <c r="O706" s="16" t="str">
        <f t="shared" si="1"/>
        <v>#</v>
      </c>
      <c r="P706" s="16" t="str">
        <f t="shared" si="2"/>
        <v>#videoGame</v>
      </c>
      <c r="R706" s="16" t="str">
        <f>"("""&amp;C706&amp;""") ("&amp;Vlookup(E706,DropDown!B:C,2,FALSE)&amp; " OR ""Video Game"" OR Playstation OR iOS OR PS4 OR PS5 OR Xbox OR Switch OR Swtich 2 OR PC)"</f>
        <v>#N/A</v>
      </c>
      <c r="S706" s="44" t="str">
        <f>"("""&amp;C706&amp;""") ("&amp;Vlookup(E706,DropDown!K:L,2,FALSE)&amp; " | ""Video Game"" | Playstation | iOS | PS4 | PS5 | Xbox | Switch | Switch 2 | PC)"</f>
        <v>#N/A</v>
      </c>
      <c r="T706" s="44"/>
      <c r="U706" s="44"/>
      <c r="V706" s="44"/>
      <c r="W706" s="44"/>
      <c r="X706" s="44"/>
      <c r="Z706" s="44"/>
    </row>
    <row r="707">
      <c r="A707" s="16"/>
      <c r="B707" s="16"/>
      <c r="E707" s="16"/>
      <c r="F707" s="16"/>
      <c r="G707" s="16"/>
      <c r="H707" s="16"/>
      <c r="I707" s="16"/>
      <c r="J707" s="16"/>
      <c r="K707" s="16"/>
      <c r="L707" s="16"/>
      <c r="M707" s="16"/>
      <c r="N707" s="5" t="s">
        <v>112</v>
      </c>
      <c r="O707" s="16" t="str">
        <f t="shared" si="1"/>
        <v>#</v>
      </c>
      <c r="P707" s="16" t="str">
        <f t="shared" si="2"/>
        <v>#videoGame</v>
      </c>
      <c r="R707" s="16" t="str">
        <f>"("""&amp;C707&amp;""") ("&amp;Vlookup(E707,DropDown!B:C,2,FALSE)&amp; " OR ""Video Game"" OR Playstation OR iOS OR PS4 OR PS5 OR Xbox OR Switch OR Swtich 2 OR PC)"</f>
        <v>#N/A</v>
      </c>
      <c r="S707" s="44" t="str">
        <f>"("""&amp;C707&amp;""") ("&amp;Vlookup(E707,DropDown!K:L,2,FALSE)&amp; " | ""Video Game"" | Playstation | iOS | PS4 | PS5 | Xbox | Switch | Switch 2 | PC)"</f>
        <v>#N/A</v>
      </c>
      <c r="T707" s="44"/>
      <c r="U707" s="44"/>
      <c r="V707" s="44"/>
      <c r="W707" s="44"/>
      <c r="X707" s="44"/>
      <c r="Z707" s="44"/>
    </row>
    <row r="708">
      <c r="A708" s="16"/>
      <c r="B708" s="16"/>
      <c r="E708" s="16"/>
      <c r="F708" s="16"/>
      <c r="G708" s="16"/>
      <c r="H708" s="16"/>
      <c r="I708" s="16"/>
      <c r="J708" s="16"/>
      <c r="K708" s="16"/>
      <c r="L708" s="16"/>
      <c r="M708" s="16"/>
      <c r="N708" s="5" t="s">
        <v>112</v>
      </c>
      <c r="O708" s="16" t="str">
        <f t="shared" si="1"/>
        <v>#</v>
      </c>
      <c r="P708" s="16" t="str">
        <f t="shared" si="2"/>
        <v>#videoGame</v>
      </c>
      <c r="R708" s="16" t="str">
        <f>"("""&amp;C708&amp;""") ("&amp;Vlookup(E708,DropDown!B:C,2,FALSE)&amp; " OR ""Video Game"" OR Playstation OR iOS OR PS4 OR PS5 OR Xbox OR Switch OR Swtich 2 OR PC)"</f>
        <v>#N/A</v>
      </c>
      <c r="S708" s="44" t="str">
        <f>"("""&amp;C708&amp;""") ("&amp;Vlookup(E708,DropDown!K:L,2,FALSE)&amp; " | ""Video Game"" | Playstation | iOS | PS4 | PS5 | Xbox | Switch | Switch 2 | PC)"</f>
        <v>#N/A</v>
      </c>
      <c r="T708" s="44"/>
      <c r="U708" s="44"/>
      <c r="V708" s="44"/>
      <c r="W708" s="44"/>
      <c r="X708" s="44"/>
      <c r="Z708" s="44"/>
    </row>
    <row r="709">
      <c r="A709" s="16"/>
      <c r="B709" s="16"/>
      <c r="E709" s="16"/>
      <c r="F709" s="16"/>
      <c r="G709" s="16"/>
      <c r="H709" s="16"/>
      <c r="I709" s="16"/>
      <c r="J709" s="16"/>
      <c r="K709" s="16"/>
      <c r="L709" s="16"/>
      <c r="M709" s="16"/>
      <c r="N709" s="5" t="s">
        <v>112</v>
      </c>
      <c r="O709" s="16" t="str">
        <f t="shared" si="1"/>
        <v>#</v>
      </c>
      <c r="P709" s="16" t="str">
        <f t="shared" si="2"/>
        <v>#videoGame</v>
      </c>
      <c r="R709" s="16" t="str">
        <f>"("""&amp;C709&amp;""") ("&amp;Vlookup(E709,DropDown!B:C,2,FALSE)&amp; " OR ""Video Game"" OR Playstation OR iOS OR PS4 OR PS5 OR Xbox OR Switch OR Swtich 2 OR PC)"</f>
        <v>#N/A</v>
      </c>
      <c r="S709" s="44" t="str">
        <f>"("""&amp;C709&amp;""") ("&amp;Vlookup(E709,DropDown!K:L,2,FALSE)&amp; " | ""Video Game"" | Playstation | iOS | PS4 | PS5 | Xbox | Switch | Switch 2 | PC)"</f>
        <v>#N/A</v>
      </c>
      <c r="T709" s="44"/>
      <c r="U709" s="44"/>
      <c r="V709" s="44"/>
      <c r="W709" s="44"/>
      <c r="X709" s="44"/>
      <c r="Z709" s="44"/>
    </row>
    <row r="710">
      <c r="A710" s="16"/>
      <c r="B710" s="16"/>
      <c r="E710" s="16"/>
      <c r="F710" s="16"/>
      <c r="G710" s="16"/>
      <c r="H710" s="16"/>
      <c r="I710" s="16"/>
      <c r="J710" s="16"/>
      <c r="K710" s="16"/>
      <c r="L710" s="16"/>
      <c r="M710" s="16"/>
      <c r="N710" s="5" t="s">
        <v>112</v>
      </c>
      <c r="O710" s="16" t="str">
        <f t="shared" si="1"/>
        <v>#</v>
      </c>
      <c r="P710" s="16" t="str">
        <f t="shared" si="2"/>
        <v>#videoGame</v>
      </c>
      <c r="R710" s="16" t="str">
        <f>"("""&amp;C710&amp;""") ("&amp;Vlookup(E710,DropDown!B:C,2,FALSE)&amp; " OR ""Video Game"" OR Playstation OR iOS OR PS4 OR PS5 OR Xbox OR Switch OR Swtich 2 OR PC)"</f>
        <v>#N/A</v>
      </c>
      <c r="S710" s="44" t="str">
        <f>"("""&amp;C710&amp;""") ("&amp;Vlookup(E710,DropDown!K:L,2,FALSE)&amp; " | ""Video Game"" | Playstation | iOS | PS4 | PS5 | Xbox | Switch | Switch 2 | PC)"</f>
        <v>#N/A</v>
      </c>
      <c r="T710" s="44"/>
      <c r="U710" s="44"/>
      <c r="V710" s="44"/>
      <c r="W710" s="44"/>
      <c r="X710" s="44"/>
      <c r="Z710" s="44"/>
    </row>
    <row r="711">
      <c r="A711" s="16"/>
      <c r="B711" s="16"/>
      <c r="E711" s="16"/>
      <c r="F711" s="16"/>
      <c r="G711" s="16"/>
      <c r="H711" s="16"/>
      <c r="I711" s="16"/>
      <c r="J711" s="16"/>
      <c r="K711" s="16"/>
      <c r="L711" s="16"/>
      <c r="M711" s="16"/>
      <c r="N711" s="5" t="s">
        <v>112</v>
      </c>
      <c r="O711" s="16" t="str">
        <f t="shared" si="1"/>
        <v>#</v>
      </c>
      <c r="P711" s="16" t="str">
        <f t="shared" si="2"/>
        <v>#videoGame</v>
      </c>
      <c r="R711" s="16" t="str">
        <f>"("""&amp;C711&amp;""") ("&amp;Vlookup(E711,DropDown!B:C,2,FALSE)&amp; " OR ""Video Game"" OR Playstation OR iOS OR PS4 OR PS5 OR Xbox OR Switch OR Swtich 2 OR PC)"</f>
        <v>#N/A</v>
      </c>
      <c r="S711" s="44" t="str">
        <f>"("""&amp;C711&amp;""") ("&amp;Vlookup(E711,DropDown!K:L,2,FALSE)&amp; " | ""Video Game"" | Playstation | iOS | PS4 | PS5 | Xbox | Switch | Switch 2 | PC)"</f>
        <v>#N/A</v>
      </c>
      <c r="T711" s="44"/>
      <c r="U711" s="44"/>
      <c r="V711" s="44"/>
      <c r="W711" s="44"/>
      <c r="X711" s="44"/>
      <c r="Z711" s="44"/>
    </row>
    <row r="712">
      <c r="A712" s="16"/>
      <c r="B712" s="16"/>
      <c r="E712" s="16"/>
      <c r="F712" s="16"/>
      <c r="G712" s="16"/>
      <c r="H712" s="16"/>
      <c r="I712" s="16"/>
      <c r="J712" s="16"/>
      <c r="K712" s="16"/>
      <c r="L712" s="16"/>
      <c r="M712" s="16"/>
      <c r="N712" s="5" t="s">
        <v>112</v>
      </c>
      <c r="O712" s="16" t="str">
        <f t="shared" si="1"/>
        <v>#</v>
      </c>
      <c r="P712" s="16" t="str">
        <f t="shared" si="2"/>
        <v>#videoGame</v>
      </c>
      <c r="R712" s="16" t="str">
        <f>"("""&amp;C712&amp;""") ("&amp;Vlookup(E712,DropDown!B:C,2,FALSE)&amp; " OR ""Video Game"" OR Playstation OR iOS OR PS4 OR PS5 OR Xbox OR Switch OR Swtich 2 OR PC)"</f>
        <v>#N/A</v>
      </c>
      <c r="S712" s="44" t="str">
        <f>"("""&amp;C712&amp;""") ("&amp;Vlookup(E712,DropDown!K:L,2,FALSE)&amp; " | ""Video Game"" | Playstation | iOS | PS4 | PS5 | Xbox | Switch | Switch 2 | PC)"</f>
        <v>#N/A</v>
      </c>
      <c r="T712" s="44"/>
      <c r="U712" s="44"/>
      <c r="V712" s="44"/>
      <c r="W712" s="44"/>
      <c r="X712" s="44"/>
      <c r="Z712" s="44"/>
    </row>
    <row r="713">
      <c r="A713" s="16"/>
      <c r="B713" s="16"/>
      <c r="E713" s="16"/>
      <c r="F713" s="16"/>
      <c r="G713" s="16"/>
      <c r="H713" s="16"/>
      <c r="I713" s="16"/>
      <c r="J713" s="16"/>
      <c r="K713" s="16"/>
      <c r="L713" s="16"/>
      <c r="M713" s="16"/>
      <c r="N713" s="5" t="s">
        <v>112</v>
      </c>
      <c r="O713" s="16" t="str">
        <f t="shared" si="1"/>
        <v>#</v>
      </c>
      <c r="P713" s="16" t="str">
        <f t="shared" si="2"/>
        <v>#videoGame</v>
      </c>
      <c r="R713" s="16" t="str">
        <f>"("""&amp;C713&amp;""") ("&amp;Vlookup(E713,DropDown!B:C,2,FALSE)&amp; " OR ""Video Game"" OR Playstation OR iOS OR PS4 OR PS5 OR Xbox OR Switch OR Swtich 2 OR PC)"</f>
        <v>#N/A</v>
      </c>
      <c r="S713" s="44" t="str">
        <f>"("""&amp;C713&amp;""") ("&amp;Vlookup(E713,DropDown!K:L,2,FALSE)&amp; " | ""Video Game"" | Playstation | iOS | PS4 | PS5 | Xbox | Switch | Switch 2 | PC)"</f>
        <v>#N/A</v>
      </c>
      <c r="T713" s="44"/>
      <c r="U713" s="44"/>
      <c r="V713" s="44"/>
      <c r="W713" s="44"/>
      <c r="X713" s="44"/>
      <c r="Z713" s="44"/>
    </row>
    <row r="714">
      <c r="A714" s="16"/>
      <c r="B714" s="16"/>
      <c r="E714" s="16"/>
      <c r="F714" s="16"/>
      <c r="G714" s="16"/>
      <c r="H714" s="16"/>
      <c r="I714" s="16"/>
      <c r="J714" s="16"/>
      <c r="K714" s="16"/>
      <c r="L714" s="16"/>
      <c r="M714" s="16"/>
      <c r="N714" s="5" t="s">
        <v>112</v>
      </c>
      <c r="O714" s="16" t="str">
        <f t="shared" si="1"/>
        <v>#</v>
      </c>
      <c r="P714" s="16" t="str">
        <f t="shared" si="2"/>
        <v>#videoGame</v>
      </c>
      <c r="R714" s="16" t="str">
        <f>"("""&amp;C714&amp;""") ("&amp;Vlookup(E714,DropDown!B:C,2,FALSE)&amp; " OR ""Video Game"" OR Playstation OR iOS OR PS4 OR PS5 OR Xbox OR Switch OR Swtich 2 OR PC)"</f>
        <v>#N/A</v>
      </c>
      <c r="S714" s="44" t="str">
        <f>"("""&amp;C714&amp;""") ("&amp;Vlookup(E714,DropDown!K:L,2,FALSE)&amp; " | ""Video Game"" | Playstation | iOS | PS4 | PS5 | Xbox | Switch | Switch 2 | PC)"</f>
        <v>#N/A</v>
      </c>
      <c r="T714" s="44"/>
      <c r="U714" s="44"/>
      <c r="V714" s="44"/>
      <c r="W714" s="44"/>
      <c r="X714" s="44"/>
      <c r="Z714" s="44"/>
    </row>
    <row r="715">
      <c r="A715" s="16"/>
      <c r="B715" s="16"/>
      <c r="E715" s="16"/>
      <c r="F715" s="16"/>
      <c r="G715" s="16"/>
      <c r="H715" s="16"/>
      <c r="I715" s="16"/>
      <c r="J715" s="16"/>
      <c r="K715" s="16"/>
      <c r="L715" s="16"/>
      <c r="M715" s="16"/>
      <c r="N715" s="5" t="s">
        <v>112</v>
      </c>
      <c r="O715" s="16" t="str">
        <f t="shared" si="1"/>
        <v>#</v>
      </c>
      <c r="P715" s="16" t="str">
        <f t="shared" si="2"/>
        <v>#videoGame</v>
      </c>
      <c r="R715" s="16" t="str">
        <f>"("""&amp;C715&amp;""") ("&amp;Vlookup(E715,DropDown!B:C,2,FALSE)&amp; " OR ""Video Game"" OR Playstation OR iOS OR PS4 OR PS5 OR Xbox OR Switch OR Swtich 2 OR PC)"</f>
        <v>#N/A</v>
      </c>
      <c r="S715" s="44" t="str">
        <f>"("""&amp;C715&amp;""") ("&amp;Vlookup(E715,DropDown!K:L,2,FALSE)&amp; " | ""Video Game"" | Playstation | iOS | PS4 | PS5 | Xbox | Switch | Switch 2 | PC)"</f>
        <v>#N/A</v>
      </c>
      <c r="T715" s="44"/>
      <c r="U715" s="44"/>
      <c r="V715" s="44"/>
      <c r="W715" s="44"/>
      <c r="X715" s="44"/>
      <c r="Z715" s="44"/>
    </row>
    <row r="716">
      <c r="A716" s="16"/>
      <c r="B716" s="16"/>
      <c r="E716" s="16"/>
      <c r="F716" s="16"/>
      <c r="G716" s="16"/>
      <c r="H716" s="16"/>
      <c r="I716" s="16"/>
      <c r="J716" s="16"/>
      <c r="K716" s="16"/>
      <c r="L716" s="16"/>
      <c r="M716" s="16"/>
      <c r="N716" s="5" t="s">
        <v>112</v>
      </c>
      <c r="O716" s="16" t="str">
        <f t="shared" si="1"/>
        <v>#</v>
      </c>
      <c r="P716" s="16" t="str">
        <f t="shared" si="2"/>
        <v>#videoGame</v>
      </c>
      <c r="R716" s="16" t="str">
        <f>"("""&amp;C716&amp;""") ("&amp;Vlookup(E716,DropDown!B:C,2,FALSE)&amp; " OR ""Video Game"" OR Playstation OR iOS OR PS4 OR PS5 OR Xbox OR Switch OR Swtich 2 OR PC)"</f>
        <v>#N/A</v>
      </c>
      <c r="S716" s="44" t="str">
        <f>"("""&amp;C716&amp;""") ("&amp;Vlookup(E716,DropDown!K:L,2,FALSE)&amp; " | ""Video Game"" | Playstation | iOS | PS4 | PS5 | Xbox | Switch | Switch 2 | PC)"</f>
        <v>#N/A</v>
      </c>
      <c r="T716" s="44"/>
      <c r="U716" s="44"/>
      <c r="V716" s="44"/>
      <c r="W716" s="44"/>
      <c r="X716" s="44"/>
      <c r="Z716" s="44"/>
    </row>
    <row r="717">
      <c r="A717" s="16"/>
      <c r="B717" s="16"/>
      <c r="E717" s="16"/>
      <c r="F717" s="16"/>
      <c r="G717" s="16"/>
      <c r="H717" s="16"/>
      <c r="I717" s="16"/>
      <c r="J717" s="16"/>
      <c r="K717" s="16"/>
      <c r="L717" s="16"/>
      <c r="M717" s="16"/>
      <c r="N717" s="5" t="s">
        <v>112</v>
      </c>
      <c r="O717" s="16" t="str">
        <f t="shared" si="1"/>
        <v>#</v>
      </c>
      <c r="P717" s="16" t="str">
        <f t="shared" si="2"/>
        <v>#videoGame</v>
      </c>
      <c r="R717" s="16" t="str">
        <f>"("""&amp;C717&amp;""") ("&amp;Vlookup(E717,DropDown!B:C,2,FALSE)&amp; " OR ""Video Game"" OR Playstation OR iOS OR PS4 OR PS5 OR Xbox OR Switch OR Swtich 2 OR PC)"</f>
        <v>#N/A</v>
      </c>
      <c r="S717" s="44" t="str">
        <f>"("""&amp;C717&amp;""") ("&amp;Vlookup(E717,DropDown!K:L,2,FALSE)&amp; " | ""Video Game"" | Playstation | iOS | PS4 | PS5 | Xbox | Switch | Switch 2 | PC)"</f>
        <v>#N/A</v>
      </c>
      <c r="T717" s="44"/>
      <c r="U717" s="44"/>
      <c r="V717" s="44"/>
      <c r="W717" s="44"/>
      <c r="X717" s="44"/>
      <c r="Z717" s="44"/>
    </row>
    <row r="718">
      <c r="A718" s="16"/>
      <c r="B718" s="16"/>
      <c r="E718" s="16"/>
      <c r="F718" s="16"/>
      <c r="G718" s="16"/>
      <c r="H718" s="16"/>
      <c r="I718" s="16"/>
      <c r="J718" s="16"/>
      <c r="K718" s="16"/>
      <c r="L718" s="16"/>
      <c r="M718" s="16"/>
      <c r="N718" s="5" t="s">
        <v>112</v>
      </c>
      <c r="O718" s="16" t="str">
        <f t="shared" si="1"/>
        <v>#</v>
      </c>
      <c r="P718" s="16" t="str">
        <f t="shared" si="2"/>
        <v>#videoGame</v>
      </c>
      <c r="R718" s="16" t="str">
        <f>"("""&amp;C718&amp;""") ("&amp;Vlookup(E718,DropDown!B:C,2,FALSE)&amp; " OR ""Video Game"" OR Playstation OR iOS OR PS4 OR PS5 OR Xbox OR Switch OR Swtich 2 OR PC)"</f>
        <v>#N/A</v>
      </c>
      <c r="S718" s="44" t="str">
        <f>"("""&amp;C718&amp;""") ("&amp;Vlookup(E718,DropDown!K:L,2,FALSE)&amp; " | ""Video Game"" | Playstation | iOS | PS4 | PS5 | Xbox | Switch | Switch 2 | PC)"</f>
        <v>#N/A</v>
      </c>
      <c r="T718" s="44"/>
      <c r="U718" s="44"/>
      <c r="V718" s="44"/>
      <c r="W718" s="44"/>
      <c r="X718" s="44"/>
      <c r="Z718" s="44"/>
    </row>
    <row r="719">
      <c r="A719" s="16"/>
      <c r="B719" s="16"/>
      <c r="E719" s="16"/>
      <c r="F719" s="16"/>
      <c r="G719" s="16"/>
      <c r="H719" s="16"/>
      <c r="I719" s="16"/>
      <c r="J719" s="16"/>
      <c r="K719" s="16"/>
      <c r="L719" s="16"/>
      <c r="M719" s="16"/>
      <c r="N719" s="5" t="s">
        <v>112</v>
      </c>
      <c r="O719" s="16" t="str">
        <f t="shared" si="1"/>
        <v>#</v>
      </c>
      <c r="P719" s="16" t="str">
        <f t="shared" si="2"/>
        <v>#videoGame</v>
      </c>
      <c r="R719" s="16" t="str">
        <f>"("""&amp;C719&amp;""") ("&amp;Vlookup(E719,DropDown!B:C,2,FALSE)&amp; " OR ""Video Game"" OR Playstation OR iOS OR PS4 OR PS5 OR Xbox OR Switch OR Swtich 2 OR PC)"</f>
        <v>#N/A</v>
      </c>
      <c r="S719" s="44" t="str">
        <f>"("""&amp;C719&amp;""") ("&amp;Vlookup(E719,DropDown!K:L,2,FALSE)&amp; " | ""Video Game"" | Playstation | iOS | PS4 | PS5 | Xbox | Switch | Switch 2 | PC)"</f>
        <v>#N/A</v>
      </c>
      <c r="T719" s="44"/>
      <c r="U719" s="44"/>
      <c r="V719" s="44"/>
      <c r="W719" s="44"/>
      <c r="X719" s="44"/>
      <c r="Z719" s="44"/>
    </row>
    <row r="720">
      <c r="A720" s="16"/>
      <c r="B720" s="16"/>
      <c r="E720" s="16"/>
      <c r="F720" s="16"/>
      <c r="G720" s="16"/>
      <c r="H720" s="16"/>
      <c r="I720" s="16"/>
      <c r="J720" s="16"/>
      <c r="K720" s="16"/>
      <c r="L720" s="16"/>
      <c r="M720" s="16"/>
      <c r="N720" s="5" t="s">
        <v>112</v>
      </c>
      <c r="O720" s="16" t="str">
        <f t="shared" si="1"/>
        <v>#</v>
      </c>
      <c r="P720" s="16" t="str">
        <f t="shared" si="2"/>
        <v>#videoGame</v>
      </c>
      <c r="R720" s="16" t="str">
        <f>"("""&amp;C720&amp;""") ("&amp;Vlookup(E720,DropDown!B:C,2,FALSE)&amp; " OR ""Video Game"" OR Playstation OR iOS OR PS4 OR PS5 OR Xbox OR Switch OR Swtich 2 OR PC)"</f>
        <v>#N/A</v>
      </c>
      <c r="S720" s="44" t="str">
        <f>"("""&amp;C720&amp;""") ("&amp;Vlookup(E720,DropDown!K:L,2,FALSE)&amp; " | ""Video Game"" | Playstation | iOS | PS4 | PS5 | Xbox | Switch | Switch 2 | PC)"</f>
        <v>#N/A</v>
      </c>
      <c r="T720" s="44"/>
      <c r="U720" s="44"/>
      <c r="V720" s="44"/>
      <c r="W720" s="44"/>
      <c r="X720" s="44"/>
      <c r="Z720" s="44"/>
    </row>
    <row r="721">
      <c r="A721" s="16"/>
      <c r="B721" s="16"/>
      <c r="E721" s="16"/>
      <c r="F721" s="16"/>
      <c r="G721" s="16"/>
      <c r="H721" s="16"/>
      <c r="I721" s="16"/>
      <c r="J721" s="16"/>
      <c r="K721" s="16"/>
      <c r="L721" s="16"/>
      <c r="M721" s="16"/>
      <c r="N721" s="5" t="s">
        <v>112</v>
      </c>
      <c r="O721" s="16" t="str">
        <f t="shared" si="1"/>
        <v>#</v>
      </c>
      <c r="P721" s="16" t="str">
        <f t="shared" si="2"/>
        <v>#videoGame</v>
      </c>
      <c r="R721" s="16" t="str">
        <f>"("""&amp;C721&amp;""") ("&amp;Vlookup(E721,DropDown!B:C,2,FALSE)&amp; " OR ""Video Game"" OR Playstation OR iOS OR PS4 OR PS5 OR Xbox OR Switch OR Swtich 2 OR PC)"</f>
        <v>#N/A</v>
      </c>
      <c r="S721" s="44" t="str">
        <f>"("""&amp;C721&amp;""") ("&amp;Vlookup(E721,DropDown!K:L,2,FALSE)&amp; " | ""Video Game"" | Playstation | iOS | PS4 | PS5 | Xbox | Switch | Switch 2 | PC)"</f>
        <v>#N/A</v>
      </c>
      <c r="T721" s="44"/>
      <c r="U721" s="44"/>
      <c r="V721" s="44"/>
      <c r="W721" s="44"/>
      <c r="X721" s="44"/>
      <c r="Z721" s="44"/>
    </row>
    <row r="722">
      <c r="A722" s="16"/>
      <c r="B722" s="16"/>
      <c r="E722" s="16"/>
      <c r="F722" s="16"/>
      <c r="G722" s="16"/>
      <c r="H722" s="16"/>
      <c r="I722" s="16"/>
      <c r="J722" s="16"/>
      <c r="K722" s="16"/>
      <c r="L722" s="16"/>
      <c r="M722" s="16"/>
      <c r="N722" s="5" t="s">
        <v>112</v>
      </c>
      <c r="O722" s="16" t="str">
        <f t="shared" si="1"/>
        <v>#</v>
      </c>
      <c r="P722" s="16" t="str">
        <f t="shared" si="2"/>
        <v>#videoGame</v>
      </c>
      <c r="R722" s="16" t="str">
        <f>"("""&amp;C722&amp;""") ("&amp;Vlookup(E722,DropDown!B:C,2,FALSE)&amp; " OR ""Video Game"" OR Playstation OR iOS OR PS4 OR PS5 OR Xbox OR Switch OR Swtich 2 OR PC)"</f>
        <v>#N/A</v>
      </c>
      <c r="S722" s="44" t="str">
        <f>"("""&amp;C722&amp;""") ("&amp;Vlookup(E722,DropDown!K:L,2,FALSE)&amp; " | ""Video Game"" | Playstation | iOS | PS4 | PS5 | Xbox | Switch | Switch 2 | PC)"</f>
        <v>#N/A</v>
      </c>
      <c r="T722" s="44"/>
      <c r="U722" s="44"/>
      <c r="V722" s="44"/>
      <c r="W722" s="44"/>
      <c r="X722" s="44"/>
      <c r="Z722" s="44"/>
    </row>
    <row r="723">
      <c r="A723" s="16"/>
      <c r="B723" s="16"/>
      <c r="E723" s="16"/>
      <c r="F723" s="16"/>
      <c r="G723" s="16"/>
      <c r="H723" s="16"/>
      <c r="I723" s="16"/>
      <c r="J723" s="16"/>
      <c r="K723" s="16"/>
      <c r="L723" s="16"/>
      <c r="M723" s="16"/>
      <c r="N723" s="5" t="s">
        <v>112</v>
      </c>
      <c r="O723" s="16" t="str">
        <f t="shared" si="1"/>
        <v>#</v>
      </c>
      <c r="P723" s="16" t="str">
        <f t="shared" si="2"/>
        <v>#videoGame</v>
      </c>
      <c r="R723" s="16" t="str">
        <f>"("""&amp;C723&amp;""") ("&amp;Vlookup(E723,DropDown!B:C,2,FALSE)&amp; " OR ""Video Game"" OR Playstation OR iOS OR PS4 OR PS5 OR Xbox OR Switch OR Swtich 2 OR PC)"</f>
        <v>#N/A</v>
      </c>
      <c r="S723" s="44" t="str">
        <f>"("""&amp;C723&amp;""") ("&amp;Vlookup(E723,DropDown!K:L,2,FALSE)&amp; " | ""Video Game"" | Playstation | iOS | PS4 | PS5 | Xbox | Switch | Switch 2 | PC)"</f>
        <v>#N/A</v>
      </c>
      <c r="T723" s="44"/>
      <c r="U723" s="44"/>
      <c r="V723" s="44"/>
      <c r="W723" s="44"/>
      <c r="X723" s="44"/>
      <c r="Z723" s="44"/>
    </row>
    <row r="724">
      <c r="A724" s="16"/>
      <c r="B724" s="16"/>
      <c r="E724" s="16"/>
      <c r="F724" s="16"/>
      <c r="G724" s="16"/>
      <c r="H724" s="16"/>
      <c r="I724" s="16"/>
      <c r="J724" s="16"/>
      <c r="K724" s="16"/>
      <c r="L724" s="16"/>
      <c r="M724" s="16"/>
      <c r="N724" s="5" t="s">
        <v>112</v>
      </c>
      <c r="O724" s="16" t="str">
        <f t="shared" si="1"/>
        <v>#</v>
      </c>
      <c r="P724" s="16" t="str">
        <f t="shared" si="2"/>
        <v>#videoGame</v>
      </c>
      <c r="R724" s="16" t="str">
        <f>"("""&amp;C724&amp;""") ("&amp;Vlookup(E724,DropDown!B:C,2,FALSE)&amp; " OR ""Video Game"" OR Playstation OR iOS OR PS4 OR PS5 OR Xbox OR Switch OR Swtich 2 OR PC)"</f>
        <v>#N/A</v>
      </c>
      <c r="S724" s="44" t="str">
        <f>"("""&amp;C724&amp;""") ("&amp;Vlookup(E724,DropDown!K:L,2,FALSE)&amp; " | ""Video Game"" | Playstation | iOS | PS4 | PS5 | Xbox | Switch | Switch 2 | PC)"</f>
        <v>#N/A</v>
      </c>
      <c r="T724" s="44"/>
      <c r="U724" s="44"/>
      <c r="V724" s="44"/>
      <c r="W724" s="44"/>
      <c r="X724" s="44"/>
      <c r="Z724" s="44"/>
    </row>
    <row r="725">
      <c r="A725" s="16"/>
      <c r="B725" s="16"/>
      <c r="E725" s="16"/>
      <c r="F725" s="16"/>
      <c r="G725" s="16"/>
      <c r="H725" s="16"/>
      <c r="I725" s="16"/>
      <c r="J725" s="16"/>
      <c r="K725" s="16"/>
      <c r="L725" s="16"/>
      <c r="M725" s="16"/>
      <c r="N725" s="5" t="s">
        <v>112</v>
      </c>
      <c r="O725" s="16" t="str">
        <f t="shared" si="1"/>
        <v>#</v>
      </c>
      <c r="P725" s="16" t="str">
        <f t="shared" si="2"/>
        <v>#videoGame</v>
      </c>
      <c r="R725" s="16" t="str">
        <f>"("""&amp;C725&amp;""") ("&amp;Vlookup(E725,DropDown!B:C,2,FALSE)&amp; " OR ""Video Game"" OR Playstation OR iOS OR PS4 OR PS5 OR Xbox OR Switch OR Swtich 2 OR PC)"</f>
        <v>#N/A</v>
      </c>
      <c r="S725" s="44" t="str">
        <f>"("""&amp;C725&amp;""") ("&amp;Vlookup(E725,DropDown!K:L,2,FALSE)&amp; " | ""Video Game"" | Playstation | iOS | PS4 | PS5 | Xbox | Switch | Switch 2 | PC)"</f>
        <v>#N/A</v>
      </c>
      <c r="T725" s="44"/>
      <c r="U725" s="44"/>
      <c r="V725" s="44"/>
      <c r="W725" s="44"/>
      <c r="X725" s="44"/>
      <c r="Z725" s="44"/>
    </row>
    <row r="726">
      <c r="A726" s="16"/>
      <c r="B726" s="16"/>
      <c r="E726" s="16"/>
      <c r="F726" s="16"/>
      <c r="G726" s="16"/>
      <c r="H726" s="16"/>
      <c r="I726" s="16"/>
      <c r="J726" s="16"/>
      <c r="K726" s="16"/>
      <c r="L726" s="16"/>
      <c r="M726" s="16"/>
      <c r="N726" s="5" t="s">
        <v>112</v>
      </c>
      <c r="O726" s="16" t="str">
        <f t="shared" si="1"/>
        <v>#</v>
      </c>
      <c r="P726" s="16" t="str">
        <f t="shared" si="2"/>
        <v>#videoGame</v>
      </c>
      <c r="R726" s="16" t="str">
        <f>"("""&amp;C726&amp;""") ("&amp;Vlookup(E726,DropDown!B:C,2,FALSE)&amp; " OR ""Video Game"" OR Playstation OR iOS OR PS4 OR PS5 OR Xbox OR Switch OR Swtich 2 OR PC)"</f>
        <v>#N/A</v>
      </c>
      <c r="S726" s="44" t="str">
        <f>"("""&amp;C726&amp;""") ("&amp;Vlookup(E726,DropDown!K:L,2,FALSE)&amp; " | ""Video Game"" | Playstation | iOS | PS4 | PS5 | Xbox | Switch | Switch 2 | PC)"</f>
        <v>#N/A</v>
      </c>
      <c r="T726" s="44"/>
      <c r="U726" s="44"/>
      <c r="V726" s="44"/>
      <c r="W726" s="44"/>
      <c r="X726" s="44"/>
      <c r="Z726" s="44"/>
    </row>
    <row r="727">
      <c r="A727" s="16"/>
      <c r="B727" s="16"/>
      <c r="E727" s="16"/>
      <c r="F727" s="16"/>
      <c r="G727" s="16"/>
      <c r="H727" s="16"/>
      <c r="I727" s="16"/>
      <c r="J727" s="16"/>
      <c r="K727" s="16"/>
      <c r="L727" s="16"/>
      <c r="M727" s="16"/>
      <c r="N727" s="5" t="s">
        <v>112</v>
      </c>
      <c r="O727" s="16" t="str">
        <f t="shared" si="1"/>
        <v>#</v>
      </c>
      <c r="P727" s="16" t="str">
        <f t="shared" si="2"/>
        <v>#videoGame</v>
      </c>
      <c r="R727" s="16" t="str">
        <f>"("""&amp;C727&amp;""") ("&amp;Vlookup(E727,DropDown!B:C,2,FALSE)&amp; " OR ""Video Game"" OR Playstation OR iOS OR PS4 OR PS5 OR Xbox OR Switch OR Swtich 2 OR PC)"</f>
        <v>#N/A</v>
      </c>
      <c r="S727" s="44" t="str">
        <f>"("""&amp;C727&amp;""") ("&amp;Vlookup(E727,DropDown!K:L,2,FALSE)&amp; " | ""Video Game"" | Playstation | iOS | PS4 | PS5 | Xbox | Switch | Switch 2 | PC)"</f>
        <v>#N/A</v>
      </c>
      <c r="T727" s="44"/>
      <c r="U727" s="44"/>
      <c r="V727" s="44"/>
      <c r="W727" s="44"/>
      <c r="X727" s="44"/>
      <c r="Z727" s="44"/>
    </row>
    <row r="728">
      <c r="A728" s="16"/>
      <c r="B728" s="16"/>
      <c r="E728" s="16"/>
      <c r="F728" s="16"/>
      <c r="G728" s="16"/>
      <c r="H728" s="16"/>
      <c r="I728" s="16"/>
      <c r="J728" s="16"/>
      <c r="K728" s="16"/>
      <c r="L728" s="16"/>
      <c r="M728" s="16"/>
      <c r="N728" s="5" t="s">
        <v>112</v>
      </c>
      <c r="O728" s="16" t="str">
        <f t="shared" si="1"/>
        <v>#</v>
      </c>
      <c r="P728" s="16" t="str">
        <f t="shared" si="2"/>
        <v>#videoGame</v>
      </c>
      <c r="R728" s="16" t="str">
        <f>"("""&amp;C728&amp;""") ("&amp;Vlookup(E728,DropDown!B:C,2,FALSE)&amp; " OR ""Video Game"" OR Playstation OR iOS OR PS4 OR PS5 OR Xbox OR Switch OR Swtich 2 OR PC)"</f>
        <v>#N/A</v>
      </c>
      <c r="S728" s="44" t="str">
        <f>"("""&amp;C728&amp;""") ("&amp;Vlookup(E728,DropDown!K:L,2,FALSE)&amp; " | ""Video Game"" | Playstation | iOS | PS4 | PS5 | Xbox | Switch | Switch 2 | PC)"</f>
        <v>#N/A</v>
      </c>
      <c r="T728" s="44"/>
      <c r="U728" s="44"/>
      <c r="V728" s="44"/>
      <c r="W728" s="44"/>
      <c r="X728" s="44"/>
      <c r="Z728" s="44"/>
    </row>
    <row r="729">
      <c r="A729" s="16"/>
      <c r="B729" s="16"/>
      <c r="E729" s="16"/>
      <c r="F729" s="16"/>
      <c r="G729" s="16"/>
      <c r="H729" s="16"/>
      <c r="I729" s="16"/>
      <c r="J729" s="16"/>
      <c r="K729" s="16"/>
      <c r="L729" s="16"/>
      <c r="M729" s="16"/>
      <c r="N729" s="5" t="s">
        <v>112</v>
      </c>
      <c r="O729" s="16" t="str">
        <f t="shared" si="1"/>
        <v>#</v>
      </c>
      <c r="P729" s="16" t="str">
        <f t="shared" si="2"/>
        <v>#videoGame</v>
      </c>
      <c r="R729" s="16" t="str">
        <f>"("""&amp;C729&amp;""") ("&amp;Vlookup(E729,DropDown!B:C,2,FALSE)&amp; " OR ""Video Game"" OR Playstation OR iOS OR PS4 OR PS5 OR Xbox OR Switch OR Swtich 2 OR PC)"</f>
        <v>#N/A</v>
      </c>
      <c r="S729" s="44" t="str">
        <f>"("""&amp;C729&amp;""") ("&amp;Vlookup(E729,DropDown!K:L,2,FALSE)&amp; " | ""Video Game"" | Playstation | iOS | PS4 | PS5 | Xbox | Switch | Switch 2 | PC)"</f>
        <v>#N/A</v>
      </c>
      <c r="T729" s="44"/>
      <c r="U729" s="44"/>
      <c r="V729" s="44"/>
      <c r="W729" s="44"/>
      <c r="X729" s="44"/>
      <c r="Z729" s="44"/>
    </row>
    <row r="730">
      <c r="A730" s="16"/>
      <c r="B730" s="16"/>
      <c r="E730" s="16"/>
      <c r="F730" s="16"/>
      <c r="G730" s="16"/>
      <c r="H730" s="16"/>
      <c r="I730" s="16"/>
      <c r="J730" s="16"/>
      <c r="K730" s="16"/>
      <c r="L730" s="16"/>
      <c r="M730" s="16"/>
      <c r="N730" s="5" t="s">
        <v>112</v>
      </c>
      <c r="O730" s="16" t="str">
        <f t="shared" si="1"/>
        <v>#</v>
      </c>
      <c r="P730" s="16" t="str">
        <f t="shared" si="2"/>
        <v>#videoGame</v>
      </c>
      <c r="R730" s="16" t="str">
        <f>"("""&amp;C730&amp;""") ("&amp;Vlookup(E730,DropDown!B:C,2,FALSE)&amp; " OR ""Video Game"" OR Playstation OR iOS OR PS4 OR PS5 OR Xbox OR Switch OR Swtich 2 OR PC)"</f>
        <v>#N/A</v>
      </c>
      <c r="S730" s="44" t="str">
        <f>"("""&amp;C730&amp;""") ("&amp;Vlookup(E730,DropDown!K:L,2,FALSE)&amp; " | ""Video Game"" | Playstation | iOS | PS4 | PS5 | Xbox | Switch | Switch 2 | PC)"</f>
        <v>#N/A</v>
      </c>
      <c r="T730" s="44"/>
      <c r="U730" s="44"/>
      <c r="V730" s="44"/>
      <c r="W730" s="44"/>
      <c r="X730" s="44"/>
      <c r="Z730" s="44"/>
    </row>
    <row r="731">
      <c r="A731" s="16"/>
      <c r="B731" s="16"/>
      <c r="E731" s="16"/>
      <c r="F731" s="16"/>
      <c r="G731" s="16"/>
      <c r="H731" s="16"/>
      <c r="I731" s="16"/>
      <c r="J731" s="16"/>
      <c r="K731" s="16"/>
      <c r="L731" s="16"/>
      <c r="M731" s="16"/>
      <c r="N731" s="5" t="s">
        <v>112</v>
      </c>
      <c r="O731" s="16" t="str">
        <f t="shared" si="1"/>
        <v>#</v>
      </c>
      <c r="P731" s="16" t="str">
        <f t="shared" si="2"/>
        <v>#videoGame</v>
      </c>
      <c r="R731" s="16" t="str">
        <f>"("""&amp;C731&amp;""") ("&amp;Vlookup(E731,DropDown!B:C,2,FALSE)&amp; " OR ""Video Game"" OR Playstation OR iOS OR PS4 OR PS5 OR Xbox OR Switch OR Swtich 2 OR PC)"</f>
        <v>#N/A</v>
      </c>
      <c r="S731" s="44" t="str">
        <f>"("""&amp;C731&amp;""") ("&amp;Vlookup(E731,DropDown!K:L,2,FALSE)&amp; " | ""Video Game"" | Playstation | iOS | PS4 | PS5 | Xbox | Switch | Switch 2 | PC)"</f>
        <v>#N/A</v>
      </c>
      <c r="T731" s="44"/>
      <c r="U731" s="44"/>
      <c r="V731" s="44"/>
      <c r="W731" s="44"/>
      <c r="X731" s="44"/>
      <c r="Z731" s="44"/>
    </row>
    <row r="732">
      <c r="A732" s="16"/>
      <c r="B732" s="16"/>
      <c r="E732" s="16"/>
      <c r="F732" s="16"/>
      <c r="G732" s="16"/>
      <c r="H732" s="16"/>
      <c r="I732" s="16"/>
      <c r="J732" s="16"/>
      <c r="K732" s="16"/>
      <c r="L732" s="16"/>
      <c r="M732" s="16"/>
      <c r="N732" s="5" t="s">
        <v>112</v>
      </c>
      <c r="O732" s="16" t="str">
        <f t="shared" si="1"/>
        <v>#</v>
      </c>
      <c r="P732" s="16" t="str">
        <f t="shared" si="2"/>
        <v>#videoGame</v>
      </c>
      <c r="R732" s="16" t="str">
        <f>"("""&amp;C732&amp;""") ("&amp;Vlookup(E732,DropDown!B:C,2,FALSE)&amp; " OR ""Video Game"" OR Playstation OR iOS OR PS4 OR PS5 OR Xbox OR Switch OR Swtich 2 OR PC)"</f>
        <v>#N/A</v>
      </c>
      <c r="S732" s="44" t="str">
        <f>"("""&amp;C732&amp;""") ("&amp;Vlookup(E732,DropDown!K:L,2,FALSE)&amp; " | ""Video Game"" | Playstation | iOS | PS4 | PS5 | Xbox | Switch | Switch 2 | PC)"</f>
        <v>#N/A</v>
      </c>
      <c r="T732" s="44"/>
      <c r="U732" s="44"/>
      <c r="V732" s="44"/>
      <c r="W732" s="44"/>
      <c r="X732" s="44"/>
      <c r="Z732" s="44"/>
    </row>
    <row r="733">
      <c r="A733" s="16"/>
      <c r="B733" s="16"/>
      <c r="E733" s="16"/>
      <c r="F733" s="16"/>
      <c r="G733" s="16"/>
      <c r="H733" s="16"/>
      <c r="I733" s="16"/>
      <c r="J733" s="16"/>
      <c r="K733" s="16"/>
      <c r="L733" s="16"/>
      <c r="M733" s="16"/>
      <c r="N733" s="5" t="s">
        <v>112</v>
      </c>
      <c r="O733" s="16" t="str">
        <f t="shared" si="1"/>
        <v>#</v>
      </c>
      <c r="P733" s="16" t="str">
        <f t="shared" si="2"/>
        <v>#videoGame</v>
      </c>
      <c r="R733" s="16" t="str">
        <f>"("""&amp;C733&amp;""") ("&amp;Vlookup(E733,DropDown!B:C,2,FALSE)&amp; " OR ""Video Game"" OR Playstation OR iOS OR PS4 OR PS5 OR Xbox OR Switch OR Swtich 2 OR PC)"</f>
        <v>#N/A</v>
      </c>
      <c r="S733" s="44" t="str">
        <f>"("""&amp;C733&amp;""") ("&amp;Vlookup(E733,DropDown!K:L,2,FALSE)&amp; " | ""Video Game"" | Playstation | iOS | PS4 | PS5 | Xbox | Switch | Switch 2 | PC)"</f>
        <v>#N/A</v>
      </c>
      <c r="T733" s="44"/>
      <c r="U733" s="44"/>
      <c r="V733" s="44"/>
      <c r="W733" s="44"/>
      <c r="X733" s="44"/>
      <c r="Z733" s="44"/>
    </row>
    <row r="734">
      <c r="A734" s="16"/>
      <c r="B734" s="16"/>
      <c r="E734" s="16"/>
      <c r="F734" s="16"/>
      <c r="G734" s="16"/>
      <c r="H734" s="16"/>
      <c r="I734" s="16"/>
      <c r="J734" s="16"/>
      <c r="K734" s="16"/>
      <c r="L734" s="16"/>
      <c r="M734" s="16"/>
      <c r="N734" s="5" t="s">
        <v>112</v>
      </c>
      <c r="O734" s="16" t="str">
        <f t="shared" si="1"/>
        <v>#</v>
      </c>
      <c r="P734" s="16" t="str">
        <f t="shared" si="2"/>
        <v>#videoGame</v>
      </c>
      <c r="R734" s="16" t="str">
        <f>"("""&amp;C734&amp;""") ("&amp;Vlookup(E734,DropDown!B:C,2,FALSE)&amp; " OR ""Video Game"" OR Playstation OR iOS OR PS4 OR PS5 OR Xbox OR Switch OR Swtich 2 OR PC)"</f>
        <v>#N/A</v>
      </c>
      <c r="S734" s="44" t="str">
        <f>"("""&amp;C734&amp;""") ("&amp;Vlookup(E734,DropDown!K:L,2,FALSE)&amp; " | ""Video Game"" | Playstation | iOS | PS4 | PS5 | Xbox | Switch | Switch 2 | PC)"</f>
        <v>#N/A</v>
      </c>
      <c r="T734" s="44"/>
      <c r="U734" s="44"/>
      <c r="V734" s="44"/>
      <c r="W734" s="44"/>
      <c r="X734" s="44"/>
      <c r="Z734" s="44"/>
    </row>
    <row r="735">
      <c r="A735" s="16"/>
      <c r="B735" s="16"/>
      <c r="E735" s="16"/>
      <c r="F735" s="16"/>
      <c r="G735" s="16"/>
      <c r="H735" s="16"/>
      <c r="I735" s="16"/>
      <c r="J735" s="16"/>
      <c r="K735" s="16"/>
      <c r="L735" s="16"/>
      <c r="M735" s="16"/>
      <c r="N735" s="5" t="s">
        <v>112</v>
      </c>
      <c r="O735" s="16" t="str">
        <f t="shared" si="1"/>
        <v>#</v>
      </c>
      <c r="P735" s="16" t="str">
        <f t="shared" si="2"/>
        <v>#videoGame</v>
      </c>
      <c r="R735" s="16" t="str">
        <f>"("""&amp;C735&amp;""") ("&amp;Vlookup(E735,DropDown!B:C,2,FALSE)&amp; " OR ""Video Game"" OR Playstation OR iOS OR PS4 OR PS5 OR Xbox OR Switch OR Swtich 2 OR PC)"</f>
        <v>#N/A</v>
      </c>
      <c r="S735" s="44" t="str">
        <f>"("""&amp;C735&amp;""") ("&amp;Vlookup(E735,DropDown!K:L,2,FALSE)&amp; " | ""Video Game"" | Playstation | iOS | PS4 | PS5 | Xbox | Switch | Switch 2 | PC)"</f>
        <v>#N/A</v>
      </c>
      <c r="T735" s="44"/>
      <c r="U735" s="44"/>
      <c r="V735" s="44"/>
      <c r="W735" s="44"/>
      <c r="X735" s="44"/>
      <c r="Z735" s="44"/>
    </row>
    <row r="736">
      <c r="A736" s="16"/>
      <c r="B736" s="16"/>
      <c r="E736" s="16"/>
      <c r="F736" s="16"/>
      <c r="G736" s="16"/>
      <c r="H736" s="16"/>
      <c r="I736" s="16"/>
      <c r="J736" s="16"/>
      <c r="K736" s="16"/>
      <c r="L736" s="16"/>
      <c r="M736" s="16"/>
      <c r="N736" s="5" t="s">
        <v>112</v>
      </c>
      <c r="O736" s="16" t="str">
        <f t="shared" si="1"/>
        <v>#</v>
      </c>
      <c r="P736" s="16" t="str">
        <f t="shared" si="2"/>
        <v>#videoGame</v>
      </c>
      <c r="R736" s="16" t="str">
        <f>"("""&amp;C736&amp;""") ("&amp;Vlookup(E736,DropDown!B:C,2,FALSE)&amp; " OR ""Video Game"" OR Playstation OR iOS OR PS4 OR PS5 OR Xbox OR Switch OR Swtich 2 OR PC)"</f>
        <v>#N/A</v>
      </c>
      <c r="S736" s="44" t="str">
        <f>"("""&amp;C736&amp;""") ("&amp;Vlookup(E736,DropDown!K:L,2,FALSE)&amp; " | ""Video Game"" | Playstation | iOS | PS4 | PS5 | Xbox | Switch | Switch 2 | PC)"</f>
        <v>#N/A</v>
      </c>
      <c r="T736" s="44"/>
      <c r="U736" s="44"/>
      <c r="V736" s="44"/>
      <c r="W736" s="44"/>
      <c r="X736" s="44"/>
      <c r="Z736" s="44"/>
    </row>
    <row r="737">
      <c r="A737" s="16"/>
      <c r="B737" s="16"/>
      <c r="E737" s="16"/>
      <c r="F737" s="16"/>
      <c r="G737" s="16"/>
      <c r="H737" s="16"/>
      <c r="I737" s="16"/>
      <c r="J737" s="16"/>
      <c r="K737" s="16"/>
      <c r="L737" s="16"/>
      <c r="M737" s="16"/>
      <c r="N737" s="5" t="s">
        <v>112</v>
      </c>
      <c r="O737" s="16" t="str">
        <f t="shared" si="1"/>
        <v>#</v>
      </c>
      <c r="P737" s="16" t="str">
        <f t="shared" si="2"/>
        <v>#videoGame</v>
      </c>
      <c r="R737" s="16" t="str">
        <f>"("""&amp;C737&amp;""") ("&amp;Vlookup(E737,DropDown!B:C,2,FALSE)&amp; " OR ""Video Game"" OR Playstation OR iOS OR PS4 OR PS5 OR Xbox OR Switch OR Swtich 2 OR PC)"</f>
        <v>#N/A</v>
      </c>
      <c r="S737" s="44" t="str">
        <f>"("""&amp;C737&amp;""") ("&amp;Vlookup(E737,DropDown!K:L,2,FALSE)&amp; " | ""Video Game"" | Playstation | iOS | PS4 | PS5 | Xbox | Switch | Switch 2 | PC)"</f>
        <v>#N/A</v>
      </c>
      <c r="T737" s="44"/>
      <c r="U737" s="44"/>
      <c r="V737" s="44"/>
      <c r="W737" s="44"/>
      <c r="X737" s="44"/>
      <c r="Z737" s="44"/>
    </row>
    <row r="738">
      <c r="A738" s="16"/>
      <c r="B738" s="16"/>
      <c r="E738" s="16"/>
      <c r="F738" s="16"/>
      <c r="G738" s="16"/>
      <c r="H738" s="16"/>
      <c r="I738" s="16"/>
      <c r="J738" s="16"/>
      <c r="K738" s="16"/>
      <c r="L738" s="16"/>
      <c r="M738" s="16"/>
      <c r="N738" s="5" t="s">
        <v>112</v>
      </c>
      <c r="O738" s="16" t="str">
        <f t="shared" si="1"/>
        <v>#</v>
      </c>
      <c r="P738" s="16" t="str">
        <f t="shared" si="2"/>
        <v>#videoGame</v>
      </c>
      <c r="R738" s="16" t="str">
        <f>"("""&amp;C738&amp;""") ("&amp;Vlookup(E738,DropDown!B:C,2,FALSE)&amp; " OR ""Video Game"" OR Playstation OR iOS OR PS4 OR PS5 OR Xbox OR Switch OR Swtich 2 OR PC)"</f>
        <v>#N/A</v>
      </c>
      <c r="S738" s="44" t="str">
        <f>"("""&amp;C738&amp;""") ("&amp;Vlookup(E738,DropDown!K:L,2,FALSE)&amp; " | ""Video Game"" | Playstation | iOS | PS4 | PS5 | Xbox | Switch | Switch 2 | PC)"</f>
        <v>#N/A</v>
      </c>
      <c r="T738" s="44"/>
      <c r="U738" s="44"/>
      <c r="V738" s="44"/>
      <c r="W738" s="44"/>
      <c r="X738" s="44"/>
      <c r="Z738" s="44"/>
    </row>
    <row r="739">
      <c r="A739" s="16"/>
      <c r="B739" s="16"/>
      <c r="E739" s="16"/>
      <c r="F739" s="16"/>
      <c r="G739" s="16"/>
      <c r="H739" s="16"/>
      <c r="I739" s="16"/>
      <c r="J739" s="16"/>
      <c r="K739" s="16"/>
      <c r="L739" s="16"/>
      <c r="M739" s="16"/>
      <c r="N739" s="5" t="s">
        <v>112</v>
      </c>
      <c r="O739" s="16" t="str">
        <f t="shared" si="1"/>
        <v>#</v>
      </c>
      <c r="P739" s="16" t="str">
        <f t="shared" si="2"/>
        <v>#videoGame</v>
      </c>
      <c r="R739" s="16" t="str">
        <f>"("""&amp;C739&amp;""") ("&amp;Vlookup(E739,DropDown!B:C,2,FALSE)&amp; " OR ""Video Game"" OR Playstation OR iOS OR PS4 OR PS5 OR Xbox OR Switch OR Swtich 2 OR PC)"</f>
        <v>#N/A</v>
      </c>
      <c r="S739" s="44" t="str">
        <f>"("""&amp;C739&amp;""") ("&amp;Vlookup(E739,DropDown!K:L,2,FALSE)&amp; " | ""Video Game"" | Playstation | iOS | PS4 | PS5 | Xbox | Switch | Switch 2 | PC)"</f>
        <v>#N/A</v>
      </c>
      <c r="T739" s="44"/>
      <c r="U739" s="44"/>
      <c r="V739" s="44"/>
      <c r="W739" s="44"/>
      <c r="X739" s="44"/>
      <c r="Z739" s="44"/>
    </row>
    <row r="740">
      <c r="A740" s="16"/>
      <c r="B740" s="16"/>
      <c r="E740" s="16"/>
      <c r="F740" s="16"/>
      <c r="G740" s="16"/>
      <c r="H740" s="16"/>
      <c r="I740" s="16"/>
      <c r="J740" s="16"/>
      <c r="K740" s="16"/>
      <c r="L740" s="16"/>
      <c r="M740" s="16"/>
      <c r="N740" s="5" t="s">
        <v>112</v>
      </c>
      <c r="O740" s="16" t="str">
        <f t="shared" si="1"/>
        <v>#</v>
      </c>
      <c r="P740" s="16" t="str">
        <f t="shared" si="2"/>
        <v>#videoGame</v>
      </c>
      <c r="R740" s="16" t="str">
        <f>"("""&amp;C740&amp;""") ("&amp;Vlookup(E740,DropDown!B:C,2,FALSE)&amp; " OR ""Video Game"" OR Playstation OR iOS OR PS4 OR PS5 OR Xbox OR Switch OR Swtich 2 OR PC)"</f>
        <v>#N/A</v>
      </c>
      <c r="S740" s="44" t="str">
        <f>"("""&amp;C740&amp;""") ("&amp;Vlookup(E740,DropDown!K:L,2,FALSE)&amp; " | ""Video Game"" | Playstation | iOS | PS4 | PS5 | Xbox | Switch | Switch 2 | PC)"</f>
        <v>#N/A</v>
      </c>
      <c r="T740" s="44"/>
      <c r="U740" s="44"/>
      <c r="V740" s="44"/>
      <c r="W740" s="44"/>
      <c r="X740" s="44"/>
      <c r="Z740" s="44"/>
    </row>
    <row r="741">
      <c r="A741" s="16"/>
      <c r="B741" s="16"/>
      <c r="E741" s="16"/>
      <c r="F741" s="16"/>
      <c r="G741" s="16"/>
      <c r="H741" s="16"/>
      <c r="I741" s="16"/>
      <c r="J741" s="16"/>
      <c r="K741" s="16"/>
      <c r="L741" s="16"/>
      <c r="M741" s="16"/>
      <c r="N741" s="5" t="s">
        <v>112</v>
      </c>
      <c r="O741" s="16" t="str">
        <f t="shared" si="1"/>
        <v>#</v>
      </c>
      <c r="P741" s="16" t="str">
        <f t="shared" si="2"/>
        <v>#videoGame</v>
      </c>
      <c r="R741" s="16" t="str">
        <f>"("""&amp;C741&amp;""") ("&amp;Vlookup(E741,DropDown!B:C,2,FALSE)&amp; " OR ""Video Game"" OR Playstation OR iOS OR PS4 OR PS5 OR Xbox OR Switch OR Swtich 2 OR PC)"</f>
        <v>#N/A</v>
      </c>
      <c r="S741" s="44" t="str">
        <f>"("""&amp;C741&amp;""") ("&amp;Vlookup(E741,DropDown!K:L,2,FALSE)&amp; " | ""Video Game"" | Playstation | iOS | PS4 | PS5 | Xbox | Switch | Switch 2 | PC)"</f>
        <v>#N/A</v>
      </c>
      <c r="T741" s="44"/>
      <c r="U741" s="44"/>
      <c r="V741" s="44"/>
      <c r="W741" s="44"/>
      <c r="X741" s="44"/>
      <c r="Z741" s="44"/>
    </row>
    <row r="742">
      <c r="A742" s="16"/>
      <c r="B742" s="16"/>
      <c r="E742" s="16"/>
      <c r="F742" s="16"/>
      <c r="G742" s="16"/>
      <c r="H742" s="16"/>
      <c r="I742" s="16"/>
      <c r="J742" s="16"/>
      <c r="K742" s="16"/>
      <c r="L742" s="16"/>
      <c r="M742" s="16"/>
      <c r="N742" s="5" t="s">
        <v>112</v>
      </c>
      <c r="O742" s="16" t="str">
        <f t="shared" si="1"/>
        <v>#</v>
      </c>
      <c r="P742" s="16" t="str">
        <f t="shared" si="2"/>
        <v>#videoGame</v>
      </c>
      <c r="R742" s="16" t="str">
        <f>"("""&amp;C742&amp;""") ("&amp;Vlookup(E742,DropDown!B:C,2,FALSE)&amp; " OR ""Video Game"" OR Playstation OR iOS OR PS4 OR PS5 OR Xbox OR Switch OR Swtich 2 OR PC)"</f>
        <v>#N/A</v>
      </c>
      <c r="S742" s="44" t="str">
        <f>"("""&amp;C742&amp;""") ("&amp;Vlookup(E742,DropDown!K:L,2,FALSE)&amp; " | ""Video Game"" | Playstation | iOS | PS4 | PS5 | Xbox | Switch | Switch 2 | PC)"</f>
        <v>#N/A</v>
      </c>
      <c r="T742" s="44"/>
      <c r="U742" s="44"/>
      <c r="V742" s="44"/>
      <c r="W742" s="44"/>
      <c r="X742" s="44"/>
      <c r="Z742" s="44"/>
    </row>
    <row r="743">
      <c r="A743" s="16"/>
      <c r="B743" s="16"/>
      <c r="E743" s="16"/>
      <c r="F743" s="16"/>
      <c r="G743" s="16"/>
      <c r="H743" s="16"/>
      <c r="I743" s="16"/>
      <c r="J743" s="16"/>
      <c r="K743" s="16"/>
      <c r="L743" s="16"/>
      <c r="M743" s="16"/>
      <c r="N743" s="5" t="s">
        <v>112</v>
      </c>
      <c r="O743" s="16" t="str">
        <f t="shared" si="1"/>
        <v>#</v>
      </c>
      <c r="P743" s="16" t="str">
        <f t="shared" si="2"/>
        <v>#videoGame</v>
      </c>
      <c r="R743" s="16" t="str">
        <f>"("""&amp;C743&amp;""") ("&amp;Vlookup(E743,DropDown!B:C,2,FALSE)&amp; " OR ""Video Game"" OR Playstation OR iOS OR PS4 OR PS5 OR Xbox OR Switch OR Swtich 2 OR PC)"</f>
        <v>#N/A</v>
      </c>
      <c r="S743" s="44" t="str">
        <f>"("""&amp;C743&amp;""") ("&amp;Vlookup(E743,DropDown!K:L,2,FALSE)&amp; " | ""Video Game"" | Playstation | iOS | PS4 | PS5 | Xbox | Switch | Switch 2 | PC)"</f>
        <v>#N/A</v>
      </c>
      <c r="T743" s="44"/>
      <c r="U743" s="44"/>
      <c r="V743" s="44"/>
      <c r="W743" s="44"/>
      <c r="X743" s="44"/>
      <c r="Z743" s="44"/>
    </row>
    <row r="744">
      <c r="A744" s="16"/>
      <c r="B744" s="16"/>
      <c r="E744" s="16"/>
      <c r="F744" s="16"/>
      <c r="G744" s="16"/>
      <c r="H744" s="16"/>
      <c r="I744" s="16"/>
      <c r="J744" s="16"/>
      <c r="K744" s="16"/>
      <c r="L744" s="16"/>
      <c r="M744" s="16"/>
      <c r="N744" s="5" t="s">
        <v>112</v>
      </c>
      <c r="O744" s="16" t="str">
        <f t="shared" si="1"/>
        <v>#</v>
      </c>
      <c r="P744" s="16" t="str">
        <f t="shared" si="2"/>
        <v>#videoGame</v>
      </c>
      <c r="R744" s="16" t="str">
        <f>"("""&amp;C744&amp;""") ("&amp;Vlookup(E744,DropDown!B:C,2,FALSE)&amp; " OR ""Video Game"" OR Playstation OR iOS OR PS4 OR PS5 OR Xbox OR Switch OR Swtich 2 OR PC)"</f>
        <v>#N/A</v>
      </c>
      <c r="S744" s="44" t="str">
        <f>"("""&amp;C744&amp;""") ("&amp;Vlookup(E744,DropDown!K:L,2,FALSE)&amp; " | ""Video Game"" | Playstation | iOS | PS4 | PS5 | Xbox | Switch | Switch 2 | PC)"</f>
        <v>#N/A</v>
      </c>
      <c r="T744" s="44"/>
      <c r="U744" s="44"/>
      <c r="V744" s="44"/>
      <c r="W744" s="44"/>
      <c r="X744" s="44"/>
      <c r="Z744" s="44"/>
    </row>
    <row r="745">
      <c r="A745" s="16"/>
      <c r="B745" s="16"/>
      <c r="E745" s="16"/>
      <c r="F745" s="16"/>
      <c r="G745" s="16"/>
      <c r="H745" s="16"/>
      <c r="I745" s="16"/>
      <c r="J745" s="16"/>
      <c r="K745" s="16"/>
      <c r="L745" s="16"/>
      <c r="M745" s="16"/>
      <c r="N745" s="5" t="s">
        <v>112</v>
      </c>
      <c r="O745" s="16" t="str">
        <f t="shared" si="1"/>
        <v>#</v>
      </c>
      <c r="P745" s="16" t="str">
        <f t="shared" si="2"/>
        <v>#videoGame</v>
      </c>
      <c r="R745" s="16" t="str">
        <f>"("""&amp;C745&amp;""") ("&amp;Vlookup(E745,DropDown!B:C,2,FALSE)&amp; " OR ""Video Game"" OR Playstation OR iOS OR PS4 OR PS5 OR Xbox OR Switch OR Swtich 2 OR PC)"</f>
        <v>#N/A</v>
      </c>
      <c r="S745" s="44" t="str">
        <f>"("""&amp;C745&amp;""") ("&amp;Vlookup(E745,DropDown!K:L,2,FALSE)&amp; " | ""Video Game"" | Playstation | iOS | PS4 | PS5 | Xbox | Switch | Switch 2 | PC)"</f>
        <v>#N/A</v>
      </c>
      <c r="T745" s="44"/>
      <c r="U745" s="44"/>
      <c r="V745" s="44"/>
      <c r="W745" s="44"/>
      <c r="X745" s="44"/>
      <c r="Z745" s="44"/>
    </row>
    <row r="746">
      <c r="A746" s="16"/>
      <c r="B746" s="16"/>
      <c r="E746" s="16"/>
      <c r="F746" s="16"/>
      <c r="G746" s="16"/>
      <c r="H746" s="16"/>
      <c r="I746" s="16"/>
      <c r="J746" s="16"/>
      <c r="K746" s="16"/>
      <c r="L746" s="16"/>
      <c r="M746" s="16"/>
      <c r="N746" s="5" t="s">
        <v>112</v>
      </c>
      <c r="O746" s="16" t="str">
        <f t="shared" si="1"/>
        <v>#</v>
      </c>
      <c r="P746" s="16" t="str">
        <f t="shared" si="2"/>
        <v>#videoGame</v>
      </c>
      <c r="R746" s="16" t="str">
        <f>"("""&amp;C746&amp;""") ("&amp;Vlookup(E746,DropDown!B:C,2,FALSE)&amp; " OR ""Video Game"" OR Playstation OR iOS OR PS4 OR PS5 OR Xbox OR Switch OR Swtich 2 OR PC)"</f>
        <v>#N/A</v>
      </c>
      <c r="S746" s="44" t="str">
        <f>"("""&amp;C746&amp;""") ("&amp;Vlookup(E746,DropDown!K:L,2,FALSE)&amp; " | ""Video Game"" | Playstation | iOS | PS4 | PS5 | Xbox | Switch | Switch 2 | PC)"</f>
        <v>#N/A</v>
      </c>
      <c r="T746" s="44"/>
      <c r="U746" s="44"/>
      <c r="V746" s="44"/>
      <c r="W746" s="44"/>
      <c r="X746" s="44"/>
      <c r="Z746" s="44"/>
    </row>
    <row r="747">
      <c r="A747" s="16"/>
      <c r="B747" s="16"/>
      <c r="E747" s="16"/>
      <c r="F747" s="16"/>
      <c r="G747" s="16"/>
      <c r="H747" s="16"/>
      <c r="I747" s="16"/>
      <c r="J747" s="16"/>
      <c r="K747" s="16"/>
      <c r="L747" s="16"/>
      <c r="M747" s="16"/>
      <c r="N747" s="5" t="s">
        <v>112</v>
      </c>
      <c r="O747" s="16" t="str">
        <f t="shared" si="1"/>
        <v>#</v>
      </c>
      <c r="P747" s="16" t="str">
        <f t="shared" si="2"/>
        <v>#videoGame</v>
      </c>
      <c r="R747" s="16" t="str">
        <f>"("""&amp;C747&amp;""") ("&amp;Vlookup(E747,DropDown!B:C,2,FALSE)&amp; " OR ""Video Game"" OR Playstation OR iOS OR PS4 OR PS5 OR Xbox OR Switch OR Swtich 2 OR PC)"</f>
        <v>#N/A</v>
      </c>
      <c r="S747" s="44" t="str">
        <f>"("""&amp;C747&amp;""") ("&amp;Vlookup(E747,DropDown!K:L,2,FALSE)&amp; " | ""Video Game"" | Playstation | iOS | PS4 | PS5 | Xbox | Switch | Switch 2 | PC)"</f>
        <v>#N/A</v>
      </c>
      <c r="T747" s="44"/>
      <c r="U747" s="44"/>
      <c r="V747" s="44"/>
      <c r="W747" s="44"/>
      <c r="X747" s="44"/>
      <c r="Z747" s="44"/>
    </row>
    <row r="748">
      <c r="A748" s="16"/>
      <c r="B748" s="16"/>
      <c r="E748" s="16"/>
      <c r="F748" s="16"/>
      <c r="G748" s="16"/>
      <c r="H748" s="16"/>
      <c r="I748" s="16"/>
      <c r="J748" s="16"/>
      <c r="K748" s="16"/>
      <c r="L748" s="16"/>
      <c r="M748" s="16"/>
      <c r="N748" s="5" t="s">
        <v>112</v>
      </c>
      <c r="O748" s="16" t="str">
        <f t="shared" si="1"/>
        <v>#</v>
      </c>
      <c r="P748" s="16" t="str">
        <f t="shared" si="2"/>
        <v>#videoGame</v>
      </c>
      <c r="R748" s="16" t="str">
        <f>"("""&amp;C748&amp;""") ("&amp;Vlookup(E748,DropDown!B:C,2,FALSE)&amp; " OR ""Video Game"" OR Playstation OR iOS OR PS4 OR PS5 OR Xbox OR Switch OR Swtich 2 OR PC)"</f>
        <v>#N/A</v>
      </c>
      <c r="S748" s="44" t="str">
        <f>"("""&amp;C748&amp;""") ("&amp;Vlookup(E748,DropDown!K:L,2,FALSE)&amp; " | ""Video Game"" | Playstation | iOS | PS4 | PS5 | Xbox | Switch | Switch 2 | PC)"</f>
        <v>#N/A</v>
      </c>
      <c r="T748" s="44"/>
      <c r="U748" s="44"/>
      <c r="V748" s="44"/>
      <c r="W748" s="44"/>
      <c r="X748" s="44"/>
      <c r="Z748" s="44"/>
    </row>
    <row r="749">
      <c r="A749" s="16"/>
      <c r="B749" s="16"/>
      <c r="E749" s="16"/>
      <c r="F749" s="16"/>
      <c r="G749" s="16"/>
      <c r="H749" s="16"/>
      <c r="I749" s="16"/>
      <c r="J749" s="16"/>
      <c r="K749" s="16"/>
      <c r="L749" s="16"/>
      <c r="M749" s="16"/>
      <c r="N749" s="5" t="s">
        <v>112</v>
      </c>
      <c r="O749" s="16" t="str">
        <f t="shared" si="1"/>
        <v>#</v>
      </c>
      <c r="P749" s="16" t="str">
        <f t="shared" si="2"/>
        <v>#videoGame</v>
      </c>
      <c r="R749" s="16" t="str">
        <f>"("""&amp;C749&amp;""") ("&amp;Vlookup(E749,DropDown!B:C,2,FALSE)&amp; " OR ""Video Game"" OR Playstation OR iOS OR PS4 OR PS5 OR Xbox OR Switch OR Swtich 2 OR PC)"</f>
        <v>#N/A</v>
      </c>
      <c r="S749" s="44" t="str">
        <f>"("""&amp;C749&amp;""") ("&amp;Vlookup(E749,DropDown!K:L,2,FALSE)&amp; " | ""Video Game"" | Playstation | iOS | PS4 | PS5 | Xbox | Switch | Switch 2 | PC)"</f>
        <v>#N/A</v>
      </c>
      <c r="T749" s="44"/>
      <c r="U749" s="44"/>
      <c r="V749" s="44"/>
      <c r="W749" s="44"/>
      <c r="X749" s="44"/>
      <c r="Z749" s="44"/>
    </row>
    <row r="750">
      <c r="A750" s="16"/>
      <c r="B750" s="16"/>
      <c r="E750" s="16"/>
      <c r="F750" s="16"/>
      <c r="G750" s="16"/>
      <c r="H750" s="16"/>
      <c r="I750" s="16"/>
      <c r="J750" s="16"/>
      <c r="K750" s="16"/>
      <c r="L750" s="16"/>
      <c r="M750" s="16"/>
      <c r="N750" s="5" t="s">
        <v>112</v>
      </c>
      <c r="O750" s="16" t="str">
        <f t="shared" si="1"/>
        <v>#</v>
      </c>
      <c r="P750" s="16" t="str">
        <f t="shared" si="2"/>
        <v>#videoGame</v>
      </c>
      <c r="R750" s="16" t="str">
        <f>"("""&amp;C750&amp;""") ("&amp;Vlookup(E750,DropDown!B:C,2,FALSE)&amp; " OR ""Video Game"" OR Playstation OR iOS OR PS4 OR PS5 OR Xbox OR Switch OR Swtich 2 OR PC)"</f>
        <v>#N/A</v>
      </c>
      <c r="S750" s="44" t="str">
        <f>"("""&amp;C750&amp;""") ("&amp;Vlookup(E750,DropDown!K:L,2,FALSE)&amp; " | ""Video Game"" | Playstation | iOS | PS4 | PS5 | Xbox | Switch | Switch 2 | PC)"</f>
        <v>#N/A</v>
      </c>
      <c r="T750" s="44"/>
      <c r="U750" s="44"/>
      <c r="V750" s="44"/>
      <c r="W750" s="44"/>
      <c r="X750" s="44"/>
      <c r="Z750" s="44"/>
    </row>
    <row r="751">
      <c r="A751" s="16"/>
      <c r="B751" s="16"/>
      <c r="E751" s="16"/>
      <c r="F751" s="16"/>
      <c r="G751" s="16"/>
      <c r="H751" s="16"/>
      <c r="I751" s="16"/>
      <c r="J751" s="16"/>
      <c r="K751" s="16"/>
      <c r="L751" s="16"/>
      <c r="M751" s="16"/>
      <c r="N751" s="5" t="s">
        <v>112</v>
      </c>
      <c r="O751" s="16" t="str">
        <f t="shared" si="1"/>
        <v>#</v>
      </c>
      <c r="P751" s="16" t="str">
        <f t="shared" si="2"/>
        <v>#videoGame</v>
      </c>
      <c r="R751" s="16" t="str">
        <f>"("""&amp;C751&amp;""") ("&amp;Vlookup(E751,DropDown!B:C,2,FALSE)&amp; " OR ""Video Game"" OR Playstation OR iOS OR PS4 OR PS5 OR Xbox OR Switch OR Swtich 2 OR PC)"</f>
        <v>#N/A</v>
      </c>
      <c r="S751" s="44" t="str">
        <f>"("""&amp;C751&amp;""") ("&amp;Vlookup(E751,DropDown!K:L,2,FALSE)&amp; " | ""Video Game"" | Playstation | iOS | PS4 | PS5 | Xbox | Switch | Switch 2 | PC)"</f>
        <v>#N/A</v>
      </c>
      <c r="T751" s="44"/>
      <c r="U751" s="44"/>
      <c r="V751" s="44"/>
      <c r="W751" s="44"/>
      <c r="X751" s="44"/>
      <c r="Z751" s="44"/>
    </row>
    <row r="752">
      <c r="A752" s="16"/>
      <c r="B752" s="16"/>
      <c r="E752" s="16"/>
      <c r="F752" s="16"/>
      <c r="G752" s="16"/>
      <c r="H752" s="16"/>
      <c r="I752" s="16"/>
      <c r="J752" s="16"/>
      <c r="K752" s="16"/>
      <c r="L752" s="16"/>
      <c r="M752" s="16"/>
      <c r="N752" s="5" t="s">
        <v>112</v>
      </c>
      <c r="O752" s="16" t="str">
        <f t="shared" si="1"/>
        <v>#</v>
      </c>
      <c r="P752" s="16" t="str">
        <f t="shared" si="2"/>
        <v>#videoGame</v>
      </c>
      <c r="R752" s="16" t="str">
        <f>"("""&amp;C752&amp;""") ("&amp;Vlookup(E752,DropDown!B:C,2,FALSE)&amp; " OR ""Video Game"" OR Playstation OR iOS OR PS4 OR PS5 OR Xbox OR Switch OR Swtich 2 OR PC)"</f>
        <v>#N/A</v>
      </c>
      <c r="S752" s="44" t="str">
        <f>"("""&amp;C752&amp;""") ("&amp;Vlookup(E752,DropDown!K:L,2,FALSE)&amp; " | ""Video Game"" | Playstation | iOS | PS4 | PS5 | Xbox | Switch | Switch 2 | PC)"</f>
        <v>#N/A</v>
      </c>
      <c r="T752" s="44"/>
      <c r="U752" s="44"/>
      <c r="V752" s="44"/>
      <c r="W752" s="44"/>
      <c r="X752" s="44"/>
      <c r="Z752" s="44"/>
    </row>
    <row r="753">
      <c r="A753" s="16"/>
      <c r="B753" s="16"/>
      <c r="E753" s="16"/>
      <c r="F753" s="16"/>
      <c r="G753" s="16"/>
      <c r="H753" s="16"/>
      <c r="I753" s="16"/>
      <c r="J753" s="16"/>
      <c r="K753" s="16"/>
      <c r="L753" s="16"/>
      <c r="M753" s="16"/>
      <c r="N753" s="5" t="s">
        <v>112</v>
      </c>
      <c r="O753" s="16" t="str">
        <f t="shared" si="1"/>
        <v>#</v>
      </c>
      <c r="P753" s="16" t="str">
        <f t="shared" si="2"/>
        <v>#videoGame</v>
      </c>
      <c r="R753" s="16" t="str">
        <f>"("""&amp;C753&amp;""") ("&amp;Vlookup(E753,DropDown!B:C,2,FALSE)&amp; " OR ""Video Game"" OR Playstation OR iOS OR PS4 OR PS5 OR Xbox OR Switch OR Swtich 2 OR PC)"</f>
        <v>#N/A</v>
      </c>
      <c r="S753" s="44" t="str">
        <f>"("""&amp;C753&amp;""") ("&amp;Vlookup(E753,DropDown!K:L,2,FALSE)&amp; " | ""Video Game"" | Playstation | iOS | PS4 | PS5 | Xbox | Switch | Switch 2 | PC)"</f>
        <v>#N/A</v>
      </c>
      <c r="T753" s="44"/>
      <c r="U753" s="44"/>
      <c r="V753" s="44"/>
      <c r="W753" s="44"/>
      <c r="X753" s="44"/>
      <c r="Z753" s="44"/>
    </row>
    <row r="754">
      <c r="A754" s="16"/>
      <c r="B754" s="16"/>
      <c r="E754" s="16"/>
      <c r="F754" s="16"/>
      <c r="G754" s="16"/>
      <c r="H754" s="16"/>
      <c r="I754" s="16"/>
      <c r="J754" s="16"/>
      <c r="K754" s="16"/>
      <c r="L754" s="16"/>
      <c r="M754" s="16"/>
      <c r="N754" s="5" t="s">
        <v>112</v>
      </c>
      <c r="O754" s="16" t="str">
        <f t="shared" si="1"/>
        <v>#</v>
      </c>
      <c r="P754" s="16" t="str">
        <f t="shared" si="2"/>
        <v>#videoGame</v>
      </c>
      <c r="R754" s="16" t="str">
        <f>"("""&amp;C754&amp;""") ("&amp;Vlookup(E754,DropDown!B:C,2,FALSE)&amp; " OR ""Video Game"" OR Playstation OR iOS OR PS4 OR PS5 OR Xbox OR Switch OR Swtich 2 OR PC)"</f>
        <v>#N/A</v>
      </c>
      <c r="S754" s="44" t="str">
        <f>"("""&amp;C754&amp;""") ("&amp;Vlookup(E754,DropDown!K:L,2,FALSE)&amp; " | ""Video Game"" | Playstation | iOS | PS4 | PS5 | Xbox | Switch | Switch 2 | PC)"</f>
        <v>#N/A</v>
      </c>
      <c r="T754" s="44"/>
      <c r="U754" s="44"/>
      <c r="V754" s="44"/>
      <c r="W754" s="44"/>
      <c r="X754" s="44"/>
      <c r="Z754" s="44"/>
    </row>
    <row r="755">
      <c r="A755" s="16"/>
      <c r="B755" s="16"/>
      <c r="E755" s="16"/>
      <c r="F755" s="16"/>
      <c r="G755" s="16"/>
      <c r="H755" s="16"/>
      <c r="I755" s="16"/>
      <c r="J755" s="16"/>
      <c r="K755" s="16"/>
      <c r="L755" s="16"/>
      <c r="M755" s="16"/>
      <c r="N755" s="5" t="s">
        <v>112</v>
      </c>
      <c r="O755" s="16" t="str">
        <f t="shared" si="1"/>
        <v>#</v>
      </c>
      <c r="P755" s="16" t="str">
        <f t="shared" si="2"/>
        <v>#videoGame</v>
      </c>
      <c r="R755" s="16" t="str">
        <f>"("""&amp;C755&amp;""") ("&amp;Vlookup(E755,DropDown!B:C,2,FALSE)&amp; " OR ""Video Game"" OR Playstation OR iOS OR PS4 OR PS5 OR Xbox OR Switch OR Swtich 2 OR PC)"</f>
        <v>#N/A</v>
      </c>
      <c r="S755" s="44" t="str">
        <f>"("""&amp;C755&amp;""") ("&amp;Vlookup(E755,DropDown!K:L,2,FALSE)&amp; " | ""Video Game"" | Playstation | iOS | PS4 | PS5 | Xbox | Switch | Switch 2 | PC)"</f>
        <v>#N/A</v>
      </c>
      <c r="T755" s="44"/>
      <c r="U755" s="44"/>
      <c r="V755" s="44"/>
      <c r="W755" s="44"/>
      <c r="X755" s="44"/>
      <c r="Z755" s="44"/>
    </row>
    <row r="756">
      <c r="A756" s="16"/>
      <c r="B756" s="16"/>
      <c r="E756" s="16"/>
      <c r="F756" s="16"/>
      <c r="G756" s="16"/>
      <c r="H756" s="16"/>
      <c r="I756" s="16"/>
      <c r="J756" s="16"/>
      <c r="K756" s="16"/>
      <c r="L756" s="16"/>
      <c r="M756" s="16"/>
      <c r="N756" s="5" t="s">
        <v>112</v>
      </c>
      <c r="O756" s="16" t="str">
        <f t="shared" si="1"/>
        <v>#</v>
      </c>
      <c r="P756" s="16" t="str">
        <f t="shared" si="2"/>
        <v>#videoGame</v>
      </c>
      <c r="R756" s="16" t="str">
        <f>"("""&amp;C756&amp;""") ("&amp;Vlookup(E756,DropDown!B:C,2,FALSE)&amp; " OR ""Video Game"" OR Playstation OR iOS OR PS4 OR PS5 OR Xbox OR Switch OR Swtich 2 OR PC)"</f>
        <v>#N/A</v>
      </c>
      <c r="S756" s="44" t="str">
        <f>"("""&amp;C756&amp;""") ("&amp;Vlookup(E756,DropDown!K:L,2,FALSE)&amp; " | ""Video Game"" | Playstation | iOS | PS4 | PS5 | Xbox | Switch | Switch 2 | PC)"</f>
        <v>#N/A</v>
      </c>
      <c r="T756" s="44"/>
      <c r="U756" s="44"/>
      <c r="V756" s="44"/>
      <c r="W756" s="44"/>
      <c r="X756" s="44"/>
      <c r="Z756" s="44"/>
    </row>
    <row r="757">
      <c r="A757" s="16"/>
      <c r="B757" s="16"/>
      <c r="E757" s="16"/>
      <c r="F757" s="16"/>
      <c r="G757" s="16"/>
      <c r="H757" s="16"/>
      <c r="I757" s="16"/>
      <c r="J757" s="16"/>
      <c r="K757" s="16"/>
      <c r="L757" s="16"/>
      <c r="M757" s="16"/>
      <c r="N757" s="5" t="s">
        <v>112</v>
      </c>
      <c r="O757" s="16" t="str">
        <f t="shared" si="1"/>
        <v>#</v>
      </c>
      <c r="P757" s="16" t="str">
        <f t="shared" si="2"/>
        <v>#videoGame</v>
      </c>
      <c r="R757" s="16" t="str">
        <f>"("""&amp;C757&amp;""") ("&amp;Vlookup(E757,DropDown!B:C,2,FALSE)&amp; " OR ""Video Game"" OR Playstation OR iOS OR PS4 OR PS5 OR Xbox OR Switch OR Swtich 2 OR PC)"</f>
        <v>#N/A</v>
      </c>
      <c r="S757" s="44" t="str">
        <f>"("""&amp;C757&amp;""") ("&amp;Vlookup(E757,DropDown!K:L,2,FALSE)&amp; " | ""Video Game"" | Playstation | iOS | PS4 | PS5 | Xbox | Switch | Switch 2 | PC)"</f>
        <v>#N/A</v>
      </c>
      <c r="T757" s="44"/>
      <c r="U757" s="44"/>
      <c r="V757" s="44"/>
      <c r="W757" s="44"/>
      <c r="X757" s="44"/>
      <c r="Z757" s="44"/>
    </row>
    <row r="758">
      <c r="A758" s="16"/>
      <c r="B758" s="16"/>
      <c r="E758" s="16"/>
      <c r="F758" s="16"/>
      <c r="G758" s="16"/>
      <c r="H758" s="16"/>
      <c r="I758" s="16"/>
      <c r="J758" s="16"/>
      <c r="K758" s="16"/>
      <c r="L758" s="16"/>
      <c r="M758" s="16"/>
      <c r="N758" s="5" t="s">
        <v>112</v>
      </c>
      <c r="O758" s="16" t="str">
        <f t="shared" si="1"/>
        <v>#</v>
      </c>
      <c r="P758" s="16" t="str">
        <f t="shared" si="2"/>
        <v>#videoGame</v>
      </c>
      <c r="R758" s="16" t="str">
        <f>"("""&amp;C758&amp;""") ("&amp;Vlookup(E758,DropDown!B:C,2,FALSE)&amp; " OR ""Video Game"" OR Playstation OR iOS OR PS4 OR PS5 OR Xbox OR Switch OR Swtich 2 OR PC)"</f>
        <v>#N/A</v>
      </c>
      <c r="S758" s="44" t="str">
        <f>"("""&amp;C758&amp;""") ("&amp;Vlookup(E758,DropDown!K:L,2,FALSE)&amp; " | ""Video Game"" | Playstation | iOS | PS4 | PS5 | Xbox | Switch | Switch 2 | PC)"</f>
        <v>#N/A</v>
      </c>
      <c r="T758" s="44"/>
      <c r="U758" s="44"/>
      <c r="V758" s="44"/>
      <c r="W758" s="44"/>
      <c r="X758" s="44"/>
      <c r="Z758" s="44"/>
    </row>
    <row r="759">
      <c r="A759" s="16"/>
      <c r="B759" s="16"/>
      <c r="E759" s="16"/>
      <c r="F759" s="16"/>
      <c r="G759" s="16"/>
      <c r="H759" s="16"/>
      <c r="I759" s="16"/>
      <c r="J759" s="16"/>
      <c r="K759" s="16"/>
      <c r="L759" s="16"/>
      <c r="M759" s="16"/>
      <c r="N759" s="5" t="s">
        <v>112</v>
      </c>
      <c r="O759" s="16" t="str">
        <f t="shared" si="1"/>
        <v>#</v>
      </c>
      <c r="P759" s="16" t="str">
        <f t="shared" si="2"/>
        <v>#videoGame</v>
      </c>
      <c r="R759" s="16" t="str">
        <f>"("""&amp;C759&amp;""") ("&amp;Vlookup(E759,DropDown!B:C,2,FALSE)&amp; " OR ""Video Game"" OR Playstation OR iOS OR PS4 OR PS5 OR Xbox OR Switch OR Swtich 2 OR PC)"</f>
        <v>#N/A</v>
      </c>
      <c r="S759" s="44" t="str">
        <f>"("""&amp;C759&amp;""") ("&amp;Vlookup(E759,DropDown!K:L,2,FALSE)&amp; " | ""Video Game"" | Playstation | iOS | PS4 | PS5 | Xbox | Switch | Switch 2 | PC)"</f>
        <v>#N/A</v>
      </c>
      <c r="T759" s="44"/>
      <c r="U759" s="44"/>
      <c r="V759" s="44"/>
      <c r="W759" s="44"/>
      <c r="X759" s="44"/>
      <c r="Z759" s="44"/>
    </row>
    <row r="760">
      <c r="A760" s="16"/>
      <c r="B760" s="16"/>
      <c r="E760" s="16"/>
      <c r="F760" s="16"/>
      <c r="G760" s="16"/>
      <c r="H760" s="16"/>
      <c r="I760" s="16"/>
      <c r="J760" s="16"/>
      <c r="K760" s="16"/>
      <c r="L760" s="16"/>
      <c r="M760" s="16"/>
      <c r="N760" s="5" t="s">
        <v>112</v>
      </c>
      <c r="O760" s="16" t="str">
        <f t="shared" si="1"/>
        <v>#</v>
      </c>
      <c r="P760" s="16" t="str">
        <f t="shared" si="2"/>
        <v>#videoGame</v>
      </c>
      <c r="R760" s="16" t="str">
        <f>"("""&amp;C760&amp;""") ("&amp;Vlookup(E760,DropDown!B:C,2,FALSE)&amp; " OR ""Video Game"" OR Playstation OR iOS OR PS4 OR PS5 OR Xbox OR Switch OR Swtich 2 OR PC)"</f>
        <v>#N/A</v>
      </c>
      <c r="S760" s="44" t="str">
        <f>"("""&amp;C760&amp;""") ("&amp;Vlookup(E760,DropDown!K:L,2,FALSE)&amp; " | ""Video Game"" | Playstation | iOS | PS4 | PS5 | Xbox | Switch | Switch 2 | PC)"</f>
        <v>#N/A</v>
      </c>
      <c r="T760" s="44"/>
      <c r="U760" s="44"/>
      <c r="V760" s="44"/>
      <c r="W760" s="44"/>
      <c r="X760" s="44"/>
      <c r="Z760" s="44"/>
    </row>
    <row r="761">
      <c r="A761" s="16"/>
      <c r="B761" s="16"/>
      <c r="E761" s="16"/>
      <c r="F761" s="16"/>
      <c r="G761" s="16"/>
      <c r="H761" s="16"/>
      <c r="I761" s="16"/>
      <c r="J761" s="16"/>
      <c r="K761" s="16"/>
      <c r="L761" s="16"/>
      <c r="M761" s="16"/>
      <c r="N761" s="5" t="s">
        <v>112</v>
      </c>
      <c r="O761" s="16" t="str">
        <f t="shared" si="1"/>
        <v>#</v>
      </c>
      <c r="P761" s="16" t="str">
        <f t="shared" si="2"/>
        <v>#videoGame</v>
      </c>
      <c r="R761" s="16" t="str">
        <f>"("""&amp;C761&amp;""") ("&amp;Vlookup(E761,DropDown!B:C,2,FALSE)&amp; " OR ""Video Game"" OR Playstation OR iOS OR PS4 OR PS5 OR Xbox OR Switch OR Swtich 2 OR PC)"</f>
        <v>#N/A</v>
      </c>
      <c r="S761" s="44" t="str">
        <f>"("""&amp;C761&amp;""") ("&amp;Vlookup(E761,DropDown!K:L,2,FALSE)&amp; " | ""Video Game"" | Playstation | iOS | PS4 | PS5 | Xbox | Switch | Switch 2 | PC)"</f>
        <v>#N/A</v>
      </c>
      <c r="T761" s="44"/>
      <c r="U761" s="44"/>
      <c r="V761" s="44"/>
      <c r="W761" s="44"/>
      <c r="X761" s="44"/>
      <c r="Z761" s="44"/>
    </row>
    <row r="762">
      <c r="A762" s="16"/>
      <c r="B762" s="16"/>
      <c r="E762" s="16"/>
      <c r="F762" s="16"/>
      <c r="G762" s="16"/>
      <c r="H762" s="16"/>
      <c r="I762" s="16"/>
      <c r="J762" s="16"/>
      <c r="K762" s="16"/>
      <c r="L762" s="16"/>
      <c r="M762" s="16"/>
      <c r="N762" s="5" t="s">
        <v>112</v>
      </c>
      <c r="O762" s="16" t="str">
        <f t="shared" si="1"/>
        <v>#</v>
      </c>
      <c r="P762" s="16" t="str">
        <f t="shared" si="2"/>
        <v>#videoGame</v>
      </c>
      <c r="R762" s="16" t="str">
        <f>"("""&amp;C762&amp;""") ("&amp;Vlookup(E762,DropDown!B:C,2,FALSE)&amp; " OR ""Video Game"" OR Playstation OR iOS OR PS4 OR PS5 OR Xbox OR Switch OR Swtich 2 OR PC)"</f>
        <v>#N/A</v>
      </c>
      <c r="S762" s="44" t="str">
        <f>"("""&amp;C762&amp;""") ("&amp;Vlookup(E762,DropDown!K:L,2,FALSE)&amp; " | ""Video Game"" | Playstation | iOS | PS4 | PS5 | Xbox | Switch | Switch 2 | PC)"</f>
        <v>#N/A</v>
      </c>
      <c r="T762" s="44"/>
      <c r="U762" s="44"/>
      <c r="V762" s="44"/>
      <c r="W762" s="44"/>
      <c r="X762" s="44"/>
      <c r="Z762" s="44"/>
    </row>
    <row r="763">
      <c r="A763" s="16"/>
      <c r="B763" s="16"/>
      <c r="E763" s="16"/>
      <c r="F763" s="16"/>
      <c r="G763" s="16"/>
      <c r="H763" s="16"/>
      <c r="I763" s="16"/>
      <c r="J763" s="16"/>
      <c r="K763" s="16"/>
      <c r="L763" s="16"/>
      <c r="M763" s="16"/>
      <c r="N763" s="5" t="s">
        <v>112</v>
      </c>
      <c r="O763" s="16" t="str">
        <f t="shared" si="1"/>
        <v>#</v>
      </c>
      <c r="P763" s="16" t="str">
        <f t="shared" si="2"/>
        <v>#videoGame</v>
      </c>
      <c r="R763" s="16" t="str">
        <f>"("""&amp;C763&amp;""") ("&amp;Vlookup(E763,DropDown!B:C,2,FALSE)&amp; " OR ""Video Game"" OR Playstation OR iOS OR PS4 OR PS5 OR Xbox OR Switch OR Swtich 2 OR PC)"</f>
        <v>#N/A</v>
      </c>
      <c r="S763" s="44" t="str">
        <f>"("""&amp;C763&amp;""") ("&amp;Vlookup(E763,DropDown!K:L,2,FALSE)&amp; " | ""Video Game"" | Playstation | iOS | PS4 | PS5 | Xbox | Switch | Switch 2 | PC)"</f>
        <v>#N/A</v>
      </c>
      <c r="T763" s="44"/>
      <c r="U763" s="44"/>
      <c r="V763" s="44"/>
      <c r="W763" s="44"/>
      <c r="X763" s="44"/>
      <c r="Z763" s="44"/>
    </row>
    <row r="764">
      <c r="A764" s="16"/>
      <c r="B764" s="16"/>
      <c r="E764" s="16"/>
      <c r="F764" s="16"/>
      <c r="G764" s="16"/>
      <c r="H764" s="16"/>
      <c r="I764" s="16"/>
      <c r="J764" s="16"/>
      <c r="K764" s="16"/>
      <c r="L764" s="16"/>
      <c r="M764" s="16"/>
      <c r="N764" s="5" t="s">
        <v>112</v>
      </c>
      <c r="O764" s="16" t="str">
        <f t="shared" si="1"/>
        <v>#</v>
      </c>
      <c r="P764" s="16" t="str">
        <f t="shared" si="2"/>
        <v>#videoGame</v>
      </c>
      <c r="R764" s="16" t="str">
        <f>"("""&amp;C764&amp;""") ("&amp;Vlookup(E764,DropDown!B:C,2,FALSE)&amp; " OR ""Video Game"" OR Playstation OR iOS OR PS4 OR PS5 OR Xbox OR Switch OR Swtich 2 OR PC)"</f>
        <v>#N/A</v>
      </c>
      <c r="S764" s="44" t="str">
        <f>"("""&amp;C764&amp;""") ("&amp;Vlookup(E764,DropDown!K:L,2,FALSE)&amp; " | ""Video Game"" | Playstation | iOS | PS4 | PS5 | Xbox | Switch | Switch 2 | PC)"</f>
        <v>#N/A</v>
      </c>
      <c r="T764" s="44"/>
      <c r="U764" s="44"/>
      <c r="V764" s="44"/>
      <c r="W764" s="44"/>
      <c r="X764" s="44"/>
      <c r="Z764" s="44"/>
    </row>
    <row r="765">
      <c r="A765" s="16"/>
      <c r="B765" s="16"/>
      <c r="E765" s="16"/>
      <c r="F765" s="16"/>
      <c r="G765" s="16"/>
      <c r="H765" s="16"/>
      <c r="I765" s="16"/>
      <c r="J765" s="16"/>
      <c r="K765" s="16"/>
      <c r="L765" s="16"/>
      <c r="M765" s="16"/>
      <c r="N765" s="5" t="s">
        <v>112</v>
      </c>
      <c r="O765" s="16" t="str">
        <f t="shared" si="1"/>
        <v>#</v>
      </c>
      <c r="P765" s="16" t="str">
        <f t="shared" si="2"/>
        <v>#videoGame</v>
      </c>
      <c r="R765" s="16" t="str">
        <f>"("""&amp;C765&amp;""") ("&amp;Vlookup(E765,DropDown!B:C,2,FALSE)&amp; " OR ""Video Game"" OR Playstation OR iOS OR PS4 OR PS5 OR Xbox OR Switch OR Swtich 2 OR PC)"</f>
        <v>#N/A</v>
      </c>
      <c r="S765" s="44" t="str">
        <f>"("""&amp;C765&amp;""") ("&amp;Vlookup(E765,DropDown!K:L,2,FALSE)&amp; " | ""Video Game"" | Playstation | iOS | PS4 | PS5 | Xbox | Switch | Switch 2 | PC)"</f>
        <v>#N/A</v>
      </c>
      <c r="T765" s="44"/>
      <c r="U765" s="44"/>
      <c r="V765" s="44"/>
      <c r="W765" s="44"/>
      <c r="X765" s="44"/>
      <c r="Z765" s="44"/>
    </row>
    <row r="766">
      <c r="A766" s="16"/>
      <c r="B766" s="16"/>
      <c r="E766" s="16"/>
      <c r="F766" s="16"/>
      <c r="G766" s="16"/>
      <c r="H766" s="16"/>
      <c r="I766" s="16"/>
      <c r="J766" s="16"/>
      <c r="K766" s="16"/>
      <c r="L766" s="16"/>
      <c r="M766" s="16"/>
      <c r="N766" s="5" t="s">
        <v>112</v>
      </c>
      <c r="O766" s="16" t="str">
        <f t="shared" si="1"/>
        <v>#</v>
      </c>
      <c r="P766" s="16" t="str">
        <f t="shared" si="2"/>
        <v>#videoGame</v>
      </c>
      <c r="R766" s="16" t="str">
        <f>"("""&amp;C766&amp;""") ("&amp;Vlookup(E766,DropDown!B:C,2,FALSE)&amp; " OR ""Video Game"" OR Playstation OR iOS OR PS4 OR PS5 OR Xbox OR Switch OR Swtich 2 OR PC)"</f>
        <v>#N/A</v>
      </c>
      <c r="S766" s="44" t="str">
        <f>"("""&amp;C766&amp;""") ("&amp;Vlookup(E766,DropDown!K:L,2,FALSE)&amp; " | ""Video Game"" | Playstation | iOS | PS4 | PS5 | Xbox | Switch | Switch 2 | PC)"</f>
        <v>#N/A</v>
      </c>
      <c r="T766" s="44"/>
      <c r="U766" s="44"/>
      <c r="V766" s="44"/>
      <c r="W766" s="44"/>
      <c r="X766" s="44"/>
      <c r="Z766" s="44"/>
    </row>
    <row r="767">
      <c r="A767" s="16"/>
      <c r="B767" s="16"/>
      <c r="E767" s="16"/>
      <c r="F767" s="16"/>
      <c r="G767" s="16"/>
      <c r="H767" s="16"/>
      <c r="I767" s="16"/>
      <c r="J767" s="16"/>
      <c r="K767" s="16"/>
      <c r="L767" s="16"/>
      <c r="M767" s="16"/>
      <c r="N767" s="5" t="s">
        <v>112</v>
      </c>
      <c r="O767" s="16" t="str">
        <f t="shared" si="1"/>
        <v>#</v>
      </c>
      <c r="P767" s="16" t="str">
        <f t="shared" si="2"/>
        <v>#videoGame</v>
      </c>
      <c r="R767" s="16" t="str">
        <f>"("""&amp;C767&amp;""") ("&amp;Vlookup(E767,DropDown!B:C,2,FALSE)&amp; " OR ""Video Game"" OR Playstation OR iOS OR PS4 OR PS5 OR Xbox OR Switch OR Swtich 2 OR PC)"</f>
        <v>#N/A</v>
      </c>
      <c r="S767" s="44" t="str">
        <f>"("""&amp;C767&amp;""") ("&amp;Vlookup(E767,DropDown!K:L,2,FALSE)&amp; " | ""Video Game"" | Playstation | iOS | PS4 | PS5 | Xbox | Switch | Switch 2 | PC)"</f>
        <v>#N/A</v>
      </c>
      <c r="T767" s="44"/>
      <c r="U767" s="44"/>
      <c r="V767" s="44"/>
      <c r="W767" s="44"/>
      <c r="X767" s="44"/>
      <c r="Z767" s="44"/>
    </row>
    <row r="768">
      <c r="A768" s="16"/>
      <c r="B768" s="16"/>
      <c r="E768" s="16"/>
      <c r="F768" s="16"/>
      <c r="G768" s="16"/>
      <c r="H768" s="16"/>
      <c r="I768" s="16"/>
      <c r="J768" s="16"/>
      <c r="K768" s="16"/>
      <c r="L768" s="16"/>
      <c r="M768" s="16"/>
      <c r="N768" s="5" t="s">
        <v>112</v>
      </c>
      <c r="O768" s="16" t="str">
        <f t="shared" si="1"/>
        <v>#</v>
      </c>
      <c r="P768" s="16" t="str">
        <f t="shared" si="2"/>
        <v>#videoGame</v>
      </c>
      <c r="R768" s="16" t="str">
        <f>"("""&amp;C768&amp;""") ("&amp;Vlookup(E768,DropDown!B:C,2,FALSE)&amp; " OR ""Video Game"" OR Playstation OR iOS OR PS4 OR PS5 OR Xbox OR Switch OR Swtich 2 OR PC)"</f>
        <v>#N/A</v>
      </c>
      <c r="S768" s="44" t="str">
        <f>"("""&amp;C768&amp;""") ("&amp;Vlookup(E768,DropDown!K:L,2,FALSE)&amp; " | ""Video Game"" | Playstation | iOS | PS4 | PS5 | Xbox | Switch | Switch 2 | PC)"</f>
        <v>#N/A</v>
      </c>
      <c r="T768" s="44"/>
      <c r="U768" s="44"/>
      <c r="V768" s="44"/>
      <c r="W768" s="44"/>
      <c r="X768" s="44"/>
      <c r="Z768" s="44"/>
    </row>
    <row r="769">
      <c r="A769" s="16"/>
      <c r="B769" s="16"/>
      <c r="E769" s="16"/>
      <c r="F769" s="16"/>
      <c r="G769" s="16"/>
      <c r="H769" s="16"/>
      <c r="I769" s="16"/>
      <c r="J769" s="16"/>
      <c r="K769" s="16"/>
      <c r="L769" s="16"/>
      <c r="M769" s="16"/>
      <c r="N769" s="5" t="s">
        <v>112</v>
      </c>
      <c r="O769" s="16" t="str">
        <f t="shared" si="1"/>
        <v>#</v>
      </c>
      <c r="P769" s="16" t="str">
        <f t="shared" si="2"/>
        <v>#videoGame</v>
      </c>
      <c r="R769" s="16" t="str">
        <f>"("""&amp;C769&amp;""") ("&amp;Vlookup(E769,DropDown!B:C,2,FALSE)&amp; " OR ""Video Game"" OR Playstation OR iOS OR PS4 OR PS5 OR Xbox OR Switch OR Swtich 2 OR PC)"</f>
        <v>#N/A</v>
      </c>
      <c r="S769" s="44" t="str">
        <f>"("""&amp;C769&amp;""") ("&amp;Vlookup(E769,DropDown!K:L,2,FALSE)&amp; " | ""Video Game"" | Playstation | iOS | PS4 | PS5 | Xbox | Switch | Switch 2 | PC)"</f>
        <v>#N/A</v>
      </c>
      <c r="T769" s="44"/>
      <c r="U769" s="44"/>
      <c r="V769" s="44"/>
      <c r="W769" s="44"/>
      <c r="X769" s="44"/>
      <c r="Z769" s="44"/>
    </row>
    <row r="770">
      <c r="A770" s="16"/>
      <c r="B770" s="16"/>
      <c r="E770" s="16"/>
      <c r="F770" s="16"/>
      <c r="G770" s="16"/>
      <c r="H770" s="16"/>
      <c r="I770" s="16"/>
      <c r="J770" s="16"/>
      <c r="K770" s="16"/>
      <c r="L770" s="16"/>
      <c r="M770" s="16"/>
      <c r="N770" s="5" t="s">
        <v>112</v>
      </c>
      <c r="O770" s="16" t="str">
        <f t="shared" si="1"/>
        <v>#</v>
      </c>
      <c r="P770" s="16" t="str">
        <f t="shared" si="2"/>
        <v>#videoGame</v>
      </c>
      <c r="R770" s="16" t="str">
        <f>"("""&amp;C770&amp;""") ("&amp;Vlookup(E770,DropDown!B:C,2,FALSE)&amp; " OR ""Video Game"" OR Playstation OR iOS OR PS4 OR PS5 OR Xbox OR Switch OR Swtich 2 OR PC)"</f>
        <v>#N/A</v>
      </c>
      <c r="S770" s="44" t="str">
        <f>"("""&amp;C770&amp;""") ("&amp;Vlookup(E770,DropDown!K:L,2,FALSE)&amp; " | ""Video Game"" | Playstation | iOS | PS4 | PS5 | Xbox | Switch | Switch 2 | PC)"</f>
        <v>#N/A</v>
      </c>
      <c r="T770" s="44"/>
      <c r="U770" s="44"/>
      <c r="V770" s="44"/>
      <c r="W770" s="44"/>
      <c r="X770" s="44"/>
      <c r="Z770" s="44"/>
    </row>
    <row r="771">
      <c r="A771" s="16"/>
      <c r="B771" s="16"/>
      <c r="E771" s="16"/>
      <c r="F771" s="16"/>
      <c r="G771" s="16"/>
      <c r="H771" s="16"/>
      <c r="I771" s="16"/>
      <c r="J771" s="16"/>
      <c r="K771" s="16"/>
      <c r="L771" s="16"/>
      <c r="M771" s="16"/>
      <c r="N771" s="5" t="s">
        <v>112</v>
      </c>
      <c r="O771" s="16" t="str">
        <f t="shared" si="1"/>
        <v>#</v>
      </c>
      <c r="P771" s="16" t="str">
        <f t="shared" si="2"/>
        <v>#videoGame</v>
      </c>
      <c r="R771" s="16" t="str">
        <f>"("""&amp;C771&amp;""") ("&amp;Vlookup(E771,DropDown!B:C,2,FALSE)&amp; " OR ""Video Game"" OR Playstation OR iOS OR PS4 OR PS5 OR Xbox OR Switch OR Swtich 2 OR PC)"</f>
        <v>#N/A</v>
      </c>
      <c r="S771" s="44" t="str">
        <f>"("""&amp;C771&amp;""") ("&amp;Vlookup(E771,DropDown!K:L,2,FALSE)&amp; " | ""Video Game"" | Playstation | iOS | PS4 | PS5 | Xbox | Switch | Switch 2 | PC)"</f>
        <v>#N/A</v>
      </c>
      <c r="T771" s="44"/>
      <c r="U771" s="44"/>
      <c r="V771" s="44"/>
      <c r="W771" s="44"/>
      <c r="X771" s="44"/>
      <c r="Z771" s="44"/>
    </row>
    <row r="772">
      <c r="A772" s="16"/>
      <c r="B772" s="16"/>
      <c r="E772" s="16"/>
      <c r="F772" s="16"/>
      <c r="G772" s="16"/>
      <c r="H772" s="16"/>
      <c r="I772" s="16"/>
      <c r="J772" s="16"/>
      <c r="K772" s="16"/>
      <c r="L772" s="16"/>
      <c r="M772" s="16"/>
      <c r="N772" s="5" t="s">
        <v>112</v>
      </c>
      <c r="O772" s="16" t="str">
        <f t="shared" si="1"/>
        <v>#</v>
      </c>
      <c r="P772" s="16" t="str">
        <f t="shared" si="2"/>
        <v>#videoGame</v>
      </c>
      <c r="R772" s="16" t="str">
        <f>"("""&amp;C772&amp;""") ("&amp;Vlookup(E772,DropDown!B:C,2,FALSE)&amp; " OR ""Video Game"" OR Playstation OR iOS OR PS4 OR PS5 OR Xbox OR Switch OR Swtich 2 OR PC)"</f>
        <v>#N/A</v>
      </c>
      <c r="S772" s="44" t="str">
        <f>"("""&amp;C772&amp;""") ("&amp;Vlookup(E772,DropDown!K:L,2,FALSE)&amp; " | ""Video Game"" | Playstation | iOS | PS4 | PS5 | Xbox | Switch | Switch 2 | PC)"</f>
        <v>#N/A</v>
      </c>
      <c r="T772" s="44"/>
      <c r="U772" s="44"/>
      <c r="V772" s="44"/>
      <c r="W772" s="44"/>
      <c r="X772" s="44"/>
      <c r="Z772" s="44"/>
    </row>
    <row r="773">
      <c r="A773" s="16"/>
      <c r="B773" s="16"/>
      <c r="E773" s="16"/>
      <c r="F773" s="16"/>
      <c r="G773" s="16"/>
      <c r="H773" s="16"/>
      <c r="I773" s="16"/>
      <c r="J773" s="16"/>
      <c r="K773" s="16"/>
      <c r="L773" s="16"/>
      <c r="M773" s="16"/>
      <c r="N773" s="5" t="s">
        <v>112</v>
      </c>
      <c r="O773" s="16" t="str">
        <f t="shared" si="1"/>
        <v>#</v>
      </c>
      <c r="P773" s="16" t="str">
        <f t="shared" si="2"/>
        <v>#videoGame</v>
      </c>
      <c r="R773" s="16" t="str">
        <f>"("""&amp;C773&amp;""") ("&amp;Vlookup(E773,DropDown!B:C,2,FALSE)&amp; " OR ""Video Game"" OR Playstation OR iOS OR PS4 OR PS5 OR Xbox OR Switch OR Swtich 2 OR PC)"</f>
        <v>#N/A</v>
      </c>
      <c r="S773" s="44" t="str">
        <f>"("""&amp;C773&amp;""") ("&amp;Vlookup(E773,DropDown!K:L,2,FALSE)&amp; " | ""Video Game"" | Playstation | iOS | PS4 | PS5 | Xbox | Switch | Switch 2 | PC)"</f>
        <v>#N/A</v>
      </c>
      <c r="T773" s="44"/>
      <c r="U773" s="44"/>
      <c r="V773" s="44"/>
      <c r="W773" s="44"/>
      <c r="X773" s="44"/>
      <c r="Z773" s="44"/>
    </row>
    <row r="774">
      <c r="A774" s="16"/>
      <c r="B774" s="16"/>
      <c r="E774" s="16"/>
      <c r="F774" s="16"/>
      <c r="G774" s="16"/>
      <c r="H774" s="16"/>
      <c r="I774" s="16"/>
      <c r="J774" s="16"/>
      <c r="K774" s="16"/>
      <c r="L774" s="16"/>
      <c r="M774" s="16"/>
      <c r="N774" s="5" t="s">
        <v>112</v>
      </c>
      <c r="O774" s="16" t="str">
        <f t="shared" si="1"/>
        <v>#</v>
      </c>
      <c r="P774" s="16" t="str">
        <f t="shared" si="2"/>
        <v>#videoGame</v>
      </c>
      <c r="R774" s="16" t="str">
        <f>"("""&amp;C774&amp;""") ("&amp;Vlookup(E774,DropDown!B:C,2,FALSE)&amp; " OR ""Video Game"" OR Playstation OR iOS OR PS4 OR PS5 OR Xbox OR Switch OR Swtich 2 OR PC)"</f>
        <v>#N/A</v>
      </c>
      <c r="S774" s="44" t="str">
        <f>"("""&amp;C774&amp;""") ("&amp;Vlookup(E774,DropDown!K:L,2,FALSE)&amp; " | ""Video Game"" | Playstation | iOS | PS4 | PS5 | Xbox | Switch | Switch 2 | PC)"</f>
        <v>#N/A</v>
      </c>
      <c r="T774" s="44"/>
      <c r="U774" s="44"/>
      <c r="V774" s="44"/>
      <c r="W774" s="44"/>
      <c r="X774" s="44"/>
      <c r="Z774" s="44"/>
    </row>
    <row r="775">
      <c r="A775" s="16"/>
      <c r="B775" s="16"/>
      <c r="E775" s="16"/>
      <c r="F775" s="16"/>
      <c r="G775" s="16"/>
      <c r="H775" s="16"/>
      <c r="I775" s="16"/>
      <c r="J775" s="16"/>
      <c r="K775" s="16"/>
      <c r="L775" s="16"/>
      <c r="M775" s="16"/>
      <c r="N775" s="5" t="s">
        <v>112</v>
      </c>
      <c r="O775" s="16" t="str">
        <f t="shared" si="1"/>
        <v>#</v>
      </c>
      <c r="P775" s="16" t="str">
        <f t="shared" si="2"/>
        <v>#videoGame</v>
      </c>
      <c r="R775" s="16" t="str">
        <f>"("""&amp;C775&amp;""") ("&amp;Vlookup(E775,DropDown!B:C,2,FALSE)&amp; " OR ""Video Game"" OR Playstation OR iOS OR PS4 OR PS5 OR Xbox OR Switch OR Swtich 2 OR PC)"</f>
        <v>#N/A</v>
      </c>
      <c r="S775" s="44" t="str">
        <f>"("""&amp;C775&amp;""") ("&amp;Vlookup(E775,DropDown!K:L,2,FALSE)&amp; " | ""Video Game"" | Playstation | iOS | PS4 | PS5 | Xbox | Switch | Switch 2 | PC)"</f>
        <v>#N/A</v>
      </c>
      <c r="T775" s="44"/>
      <c r="U775" s="44"/>
      <c r="V775" s="44"/>
      <c r="W775" s="44"/>
      <c r="X775" s="44"/>
      <c r="Z775" s="44"/>
    </row>
    <row r="776">
      <c r="A776" s="16"/>
      <c r="B776" s="16"/>
      <c r="E776" s="16"/>
      <c r="F776" s="16"/>
      <c r="G776" s="16"/>
      <c r="H776" s="16"/>
      <c r="I776" s="16"/>
      <c r="J776" s="16"/>
      <c r="K776" s="16"/>
      <c r="L776" s="16"/>
      <c r="M776" s="16"/>
      <c r="N776" s="5" t="s">
        <v>112</v>
      </c>
      <c r="O776" s="16" t="str">
        <f t="shared" si="1"/>
        <v>#</v>
      </c>
      <c r="P776" s="16" t="str">
        <f t="shared" si="2"/>
        <v>#videoGame</v>
      </c>
      <c r="R776" s="16" t="str">
        <f>"("""&amp;C776&amp;""") ("&amp;Vlookup(E776,DropDown!B:C,2,FALSE)&amp; " OR ""Video Game"" OR Playstation OR iOS OR PS4 OR PS5 OR Xbox OR Switch OR Swtich 2 OR PC)"</f>
        <v>#N/A</v>
      </c>
      <c r="S776" s="44" t="str">
        <f>"("""&amp;C776&amp;""") ("&amp;Vlookup(E776,DropDown!K:L,2,FALSE)&amp; " | ""Video Game"" | Playstation | iOS | PS4 | PS5 | Xbox | Switch | Switch 2 | PC)"</f>
        <v>#N/A</v>
      </c>
      <c r="T776" s="44"/>
      <c r="U776" s="44"/>
      <c r="V776" s="44"/>
      <c r="W776" s="44"/>
      <c r="X776" s="44"/>
      <c r="Z776" s="44"/>
    </row>
    <row r="777">
      <c r="A777" s="16"/>
      <c r="B777" s="16"/>
      <c r="E777" s="16"/>
      <c r="F777" s="16"/>
      <c r="G777" s="16"/>
      <c r="H777" s="16"/>
      <c r="I777" s="16"/>
      <c r="J777" s="16"/>
      <c r="K777" s="16"/>
      <c r="L777" s="16"/>
      <c r="M777" s="16"/>
      <c r="N777" s="5" t="s">
        <v>112</v>
      </c>
      <c r="O777" s="16" t="str">
        <f t="shared" si="1"/>
        <v>#</v>
      </c>
      <c r="P777" s="16" t="str">
        <f t="shared" si="2"/>
        <v>#videoGame</v>
      </c>
      <c r="R777" s="16" t="str">
        <f>"("""&amp;C777&amp;""") ("&amp;Vlookup(E777,DropDown!B:C,2,FALSE)&amp; " OR ""Video Game"" OR Playstation OR iOS OR PS4 OR PS5 OR Xbox OR Switch OR Swtich 2 OR PC)"</f>
        <v>#N/A</v>
      </c>
      <c r="S777" s="44" t="str">
        <f>"("""&amp;C777&amp;""") ("&amp;Vlookup(E777,DropDown!K:L,2,FALSE)&amp; " | ""Video Game"" | Playstation | iOS | PS4 | PS5 | Xbox | Switch | Switch 2 | PC)"</f>
        <v>#N/A</v>
      </c>
      <c r="T777" s="44"/>
      <c r="U777" s="44"/>
      <c r="V777" s="44"/>
      <c r="W777" s="44"/>
      <c r="X777" s="44"/>
      <c r="Z777" s="44"/>
    </row>
    <row r="778">
      <c r="A778" s="16"/>
      <c r="B778" s="16"/>
      <c r="E778" s="16"/>
      <c r="F778" s="16"/>
      <c r="G778" s="16"/>
      <c r="H778" s="16"/>
      <c r="I778" s="16"/>
      <c r="J778" s="16"/>
      <c r="K778" s="16"/>
      <c r="L778" s="16"/>
      <c r="M778" s="16"/>
      <c r="N778" s="5" t="s">
        <v>112</v>
      </c>
      <c r="O778" s="16" t="str">
        <f t="shared" si="1"/>
        <v>#</v>
      </c>
      <c r="P778" s="16" t="str">
        <f t="shared" si="2"/>
        <v>#videoGame</v>
      </c>
      <c r="R778" s="16" t="str">
        <f>"("""&amp;C778&amp;""") ("&amp;Vlookup(E778,DropDown!B:C,2,FALSE)&amp; " OR ""Video Game"" OR Playstation OR iOS OR PS4 OR PS5 OR Xbox OR Switch OR Swtich 2 OR PC)"</f>
        <v>#N/A</v>
      </c>
      <c r="S778" s="44" t="str">
        <f>"("""&amp;C778&amp;""") ("&amp;Vlookup(E778,DropDown!K:L,2,FALSE)&amp; " | ""Video Game"" | Playstation | iOS | PS4 | PS5 | Xbox | Switch | Switch 2 | PC)"</f>
        <v>#N/A</v>
      </c>
      <c r="T778" s="44"/>
      <c r="U778" s="44"/>
      <c r="V778" s="44"/>
      <c r="W778" s="44"/>
      <c r="X778" s="44"/>
      <c r="Z778" s="44"/>
    </row>
    <row r="779">
      <c r="A779" s="16"/>
      <c r="B779" s="16"/>
      <c r="E779" s="16"/>
      <c r="F779" s="16"/>
      <c r="G779" s="16"/>
      <c r="H779" s="16"/>
      <c r="I779" s="16"/>
      <c r="J779" s="16"/>
      <c r="K779" s="16"/>
      <c r="L779" s="16"/>
      <c r="M779" s="16"/>
      <c r="N779" s="5" t="s">
        <v>112</v>
      </c>
      <c r="O779" s="16" t="str">
        <f t="shared" si="1"/>
        <v>#</v>
      </c>
      <c r="P779" s="16" t="str">
        <f t="shared" si="2"/>
        <v>#videoGame</v>
      </c>
      <c r="R779" s="16" t="str">
        <f>"("""&amp;C779&amp;""") ("&amp;Vlookup(E779,DropDown!B:C,2,FALSE)&amp; " OR ""Video Game"" OR Playstation OR iOS OR PS4 OR PS5 OR Xbox OR Switch OR Swtich 2 OR PC)"</f>
        <v>#N/A</v>
      </c>
      <c r="S779" s="44" t="str">
        <f>"("""&amp;C779&amp;""") ("&amp;Vlookup(E779,DropDown!K:L,2,FALSE)&amp; " | ""Video Game"" | Playstation | iOS | PS4 | PS5 | Xbox | Switch | Switch 2 | PC)"</f>
        <v>#N/A</v>
      </c>
      <c r="T779" s="44"/>
      <c r="U779" s="44"/>
      <c r="V779" s="44"/>
      <c r="W779" s="44"/>
      <c r="X779" s="44"/>
      <c r="Z779" s="44"/>
    </row>
    <row r="780">
      <c r="A780" s="16"/>
      <c r="B780" s="16"/>
      <c r="E780" s="16"/>
      <c r="F780" s="16"/>
      <c r="G780" s="16"/>
      <c r="H780" s="16"/>
      <c r="I780" s="16"/>
      <c r="J780" s="16"/>
      <c r="K780" s="16"/>
      <c r="L780" s="16"/>
      <c r="M780" s="16"/>
      <c r="N780" s="5" t="s">
        <v>112</v>
      </c>
      <c r="O780" s="16" t="str">
        <f t="shared" si="1"/>
        <v>#</v>
      </c>
      <c r="P780" s="16" t="str">
        <f t="shared" si="2"/>
        <v>#videoGame</v>
      </c>
      <c r="R780" s="16" t="str">
        <f>"("""&amp;C780&amp;""") ("&amp;Vlookup(E780,DropDown!B:C,2,FALSE)&amp; " OR ""Video Game"" OR Playstation OR iOS OR PS4 OR PS5 OR Xbox OR Switch OR Swtich 2 OR PC)"</f>
        <v>#N/A</v>
      </c>
      <c r="S780" s="44" t="str">
        <f>"("""&amp;C780&amp;""") ("&amp;Vlookup(E780,DropDown!K:L,2,FALSE)&amp; " | ""Video Game"" | Playstation | iOS | PS4 | PS5 | Xbox | Switch | Switch 2 | PC)"</f>
        <v>#N/A</v>
      </c>
      <c r="T780" s="44"/>
      <c r="U780" s="44"/>
      <c r="V780" s="44"/>
      <c r="W780" s="44"/>
      <c r="X780" s="44"/>
      <c r="Z780" s="44"/>
    </row>
    <row r="781">
      <c r="A781" s="16"/>
      <c r="B781" s="16"/>
      <c r="E781" s="16"/>
      <c r="F781" s="16"/>
      <c r="G781" s="16"/>
      <c r="H781" s="16"/>
      <c r="I781" s="16"/>
      <c r="J781" s="16"/>
      <c r="K781" s="16"/>
      <c r="L781" s="16"/>
      <c r="M781" s="16"/>
      <c r="N781" s="5" t="s">
        <v>112</v>
      </c>
      <c r="O781" s="16" t="str">
        <f t="shared" si="1"/>
        <v>#</v>
      </c>
      <c r="P781" s="16" t="str">
        <f t="shared" si="2"/>
        <v>#videoGame</v>
      </c>
      <c r="R781" s="16" t="str">
        <f>"("""&amp;C781&amp;""") ("&amp;Vlookup(E781,DropDown!B:C,2,FALSE)&amp; " OR ""Video Game"" OR Playstation OR iOS OR PS4 OR PS5 OR Xbox OR Switch OR Swtich 2 OR PC)"</f>
        <v>#N/A</v>
      </c>
      <c r="S781" s="44" t="str">
        <f>"("""&amp;C781&amp;""") ("&amp;Vlookup(E781,DropDown!K:L,2,FALSE)&amp; " | ""Video Game"" | Playstation | iOS | PS4 | PS5 | Xbox | Switch | Switch 2 | PC)"</f>
        <v>#N/A</v>
      </c>
      <c r="T781" s="44"/>
      <c r="U781" s="44"/>
      <c r="V781" s="44"/>
      <c r="W781" s="44"/>
      <c r="X781" s="44"/>
      <c r="Z781" s="44"/>
    </row>
    <row r="782">
      <c r="A782" s="16"/>
      <c r="B782" s="16"/>
      <c r="E782" s="16"/>
      <c r="F782" s="16"/>
      <c r="G782" s="16"/>
      <c r="H782" s="16"/>
      <c r="I782" s="16"/>
      <c r="J782" s="16"/>
      <c r="K782" s="16"/>
      <c r="L782" s="16"/>
      <c r="M782" s="16"/>
      <c r="N782" s="5" t="s">
        <v>112</v>
      </c>
      <c r="O782" s="16" t="str">
        <f t="shared" si="1"/>
        <v>#</v>
      </c>
      <c r="P782" s="16" t="str">
        <f t="shared" si="2"/>
        <v>#videoGame</v>
      </c>
      <c r="R782" s="16" t="str">
        <f>"("""&amp;C782&amp;""") ("&amp;Vlookup(E782,DropDown!B:C,2,FALSE)&amp; " OR ""Video Game"" OR Playstation OR iOS OR PS4 OR PS5 OR Xbox OR Switch OR Swtich 2 OR PC)"</f>
        <v>#N/A</v>
      </c>
      <c r="S782" s="44" t="str">
        <f>"("""&amp;C782&amp;""") ("&amp;Vlookup(E782,DropDown!K:L,2,FALSE)&amp; " | ""Video Game"" | Playstation | iOS | PS4 | PS5 | Xbox | Switch | Switch 2 | PC)"</f>
        <v>#N/A</v>
      </c>
      <c r="T782" s="44"/>
      <c r="U782" s="44"/>
      <c r="V782" s="44"/>
      <c r="W782" s="44"/>
      <c r="X782" s="44"/>
      <c r="Z782" s="44"/>
    </row>
    <row r="783">
      <c r="A783" s="16"/>
      <c r="B783" s="16"/>
      <c r="E783" s="16"/>
      <c r="F783" s="16"/>
      <c r="G783" s="16"/>
      <c r="H783" s="16"/>
      <c r="I783" s="16"/>
      <c r="J783" s="16"/>
      <c r="K783" s="16"/>
      <c r="L783" s="16"/>
      <c r="M783" s="16"/>
      <c r="N783" s="5" t="s">
        <v>112</v>
      </c>
      <c r="O783" s="16" t="str">
        <f t="shared" si="1"/>
        <v>#</v>
      </c>
      <c r="P783" s="16" t="str">
        <f t="shared" si="2"/>
        <v>#videoGame</v>
      </c>
      <c r="R783" s="16" t="str">
        <f>"("""&amp;C783&amp;""") ("&amp;Vlookup(E783,DropDown!B:C,2,FALSE)&amp; " OR ""Video Game"" OR Playstation OR iOS OR PS4 OR PS5 OR Xbox OR Switch OR Swtich 2 OR PC)"</f>
        <v>#N/A</v>
      </c>
      <c r="S783" s="44" t="str">
        <f>"("""&amp;C783&amp;""") ("&amp;Vlookup(E783,DropDown!K:L,2,FALSE)&amp; " | ""Video Game"" | Playstation | iOS | PS4 | PS5 | Xbox | Switch | Switch 2 | PC)"</f>
        <v>#N/A</v>
      </c>
      <c r="T783" s="44"/>
      <c r="U783" s="44"/>
      <c r="V783" s="44"/>
      <c r="W783" s="44"/>
      <c r="X783" s="44"/>
      <c r="Z783" s="44"/>
    </row>
    <row r="784">
      <c r="A784" s="16"/>
      <c r="B784" s="16"/>
      <c r="E784" s="16"/>
      <c r="F784" s="16"/>
      <c r="G784" s="16"/>
      <c r="H784" s="16"/>
      <c r="I784" s="16"/>
      <c r="J784" s="16"/>
      <c r="K784" s="16"/>
      <c r="L784" s="16"/>
      <c r="M784" s="16"/>
      <c r="N784" s="5" t="s">
        <v>112</v>
      </c>
      <c r="O784" s="16" t="str">
        <f t="shared" si="1"/>
        <v>#</v>
      </c>
      <c r="P784" s="16" t="str">
        <f t="shared" si="2"/>
        <v>#videoGame</v>
      </c>
      <c r="R784" s="16" t="str">
        <f>"("""&amp;C784&amp;""") ("&amp;Vlookup(E784,DropDown!B:C,2,FALSE)&amp; " OR ""Video Game"" OR Playstation OR iOS OR PS4 OR PS5 OR Xbox OR Switch OR Swtich 2 OR PC)"</f>
        <v>#N/A</v>
      </c>
      <c r="S784" s="44" t="str">
        <f>"("""&amp;C784&amp;""") ("&amp;Vlookup(E784,DropDown!K:L,2,FALSE)&amp; " | ""Video Game"" | Playstation | iOS | PS4 | PS5 | Xbox | Switch | Switch 2 | PC)"</f>
        <v>#N/A</v>
      </c>
      <c r="T784" s="44"/>
      <c r="U784" s="44"/>
      <c r="V784" s="44"/>
      <c r="W784" s="44"/>
      <c r="X784" s="44"/>
      <c r="Z784" s="44"/>
    </row>
    <row r="785">
      <c r="A785" s="16"/>
      <c r="B785" s="16"/>
      <c r="E785" s="16"/>
      <c r="F785" s="16"/>
      <c r="G785" s="16"/>
      <c r="H785" s="16"/>
      <c r="I785" s="16"/>
      <c r="J785" s="16"/>
      <c r="K785" s="16"/>
      <c r="L785" s="16"/>
      <c r="M785" s="16"/>
      <c r="N785" s="5" t="s">
        <v>112</v>
      </c>
      <c r="O785" s="16" t="str">
        <f t="shared" si="1"/>
        <v>#</v>
      </c>
      <c r="P785" s="16" t="str">
        <f t="shared" si="2"/>
        <v>#videoGame</v>
      </c>
      <c r="R785" s="16" t="str">
        <f>"("""&amp;C785&amp;""") ("&amp;Vlookup(E785,DropDown!B:C,2,FALSE)&amp; " OR ""Video Game"" OR Playstation OR iOS OR PS4 OR PS5 OR Xbox OR Switch OR Swtich 2 OR PC)"</f>
        <v>#N/A</v>
      </c>
      <c r="S785" s="44" t="str">
        <f>"("""&amp;C785&amp;""") ("&amp;Vlookup(E785,DropDown!K:L,2,FALSE)&amp; " | ""Video Game"" | Playstation | iOS | PS4 | PS5 | Xbox | Switch | Switch 2 | PC)"</f>
        <v>#N/A</v>
      </c>
      <c r="T785" s="44"/>
      <c r="U785" s="44"/>
      <c r="V785" s="44"/>
      <c r="W785" s="44"/>
      <c r="X785" s="44"/>
      <c r="Z785" s="44"/>
    </row>
    <row r="786">
      <c r="A786" s="16"/>
      <c r="B786" s="16"/>
      <c r="E786" s="16"/>
      <c r="F786" s="16"/>
      <c r="G786" s="16"/>
      <c r="H786" s="16"/>
      <c r="I786" s="16"/>
      <c r="J786" s="16"/>
      <c r="K786" s="16"/>
      <c r="L786" s="16"/>
      <c r="M786" s="16"/>
      <c r="N786" s="5" t="s">
        <v>112</v>
      </c>
      <c r="O786" s="16" t="str">
        <f t="shared" si="1"/>
        <v>#</v>
      </c>
      <c r="P786" s="16" t="str">
        <f t="shared" si="2"/>
        <v>#videoGame</v>
      </c>
      <c r="R786" s="16" t="str">
        <f>"("""&amp;C786&amp;""") ("&amp;Vlookup(E786,DropDown!B:C,2,FALSE)&amp; " OR ""Video Game"" OR Playstation OR iOS OR PS4 OR PS5 OR Xbox OR Switch OR Swtich 2 OR PC)"</f>
        <v>#N/A</v>
      </c>
      <c r="S786" s="44" t="str">
        <f>"("""&amp;C786&amp;""") ("&amp;Vlookup(E786,DropDown!K:L,2,FALSE)&amp; " | ""Video Game"" | Playstation | iOS | PS4 | PS5 | Xbox | Switch | Switch 2 | PC)"</f>
        <v>#N/A</v>
      </c>
      <c r="T786" s="44"/>
      <c r="U786" s="44"/>
      <c r="V786" s="44"/>
      <c r="W786" s="44"/>
      <c r="X786" s="44"/>
      <c r="Z786" s="44"/>
    </row>
    <row r="787">
      <c r="A787" s="16"/>
      <c r="B787" s="16"/>
      <c r="E787" s="16"/>
      <c r="F787" s="16"/>
      <c r="G787" s="16"/>
      <c r="H787" s="16"/>
      <c r="I787" s="16"/>
      <c r="J787" s="16"/>
      <c r="K787" s="16"/>
      <c r="L787" s="16"/>
      <c r="M787" s="16"/>
      <c r="N787" s="5" t="s">
        <v>112</v>
      </c>
      <c r="O787" s="16" t="str">
        <f t="shared" si="1"/>
        <v>#</v>
      </c>
      <c r="P787" s="16" t="str">
        <f t="shared" si="2"/>
        <v>#videoGame</v>
      </c>
      <c r="R787" s="16" t="str">
        <f>"("""&amp;C787&amp;""") ("&amp;Vlookup(E787,DropDown!B:C,2,FALSE)&amp; " OR ""Video Game"" OR Playstation OR iOS OR PS4 OR PS5 OR Xbox OR Switch OR Swtich 2 OR PC)"</f>
        <v>#N/A</v>
      </c>
      <c r="S787" s="44" t="str">
        <f>"("""&amp;C787&amp;""") ("&amp;Vlookup(E787,DropDown!K:L,2,FALSE)&amp; " | ""Video Game"" | Playstation | iOS | PS4 | PS5 | Xbox | Switch | Switch 2 | PC)"</f>
        <v>#N/A</v>
      </c>
      <c r="T787" s="44"/>
      <c r="U787" s="44"/>
      <c r="V787" s="44"/>
      <c r="W787" s="44"/>
      <c r="X787" s="44"/>
      <c r="Z787" s="44"/>
    </row>
    <row r="788">
      <c r="A788" s="16"/>
      <c r="B788" s="16"/>
      <c r="E788" s="16"/>
      <c r="F788" s="16"/>
      <c r="G788" s="16"/>
      <c r="H788" s="16"/>
      <c r="I788" s="16"/>
      <c r="J788" s="16"/>
      <c r="K788" s="16"/>
      <c r="L788" s="16"/>
      <c r="M788" s="16"/>
      <c r="N788" s="5" t="s">
        <v>112</v>
      </c>
      <c r="O788" s="16" t="str">
        <f t="shared" si="1"/>
        <v>#</v>
      </c>
      <c r="P788" s="16" t="str">
        <f t="shared" si="2"/>
        <v>#videoGame</v>
      </c>
      <c r="R788" s="16" t="str">
        <f>"("""&amp;C788&amp;""") ("&amp;Vlookup(E788,DropDown!B:C,2,FALSE)&amp; " OR ""Video Game"" OR Playstation OR iOS OR PS4 OR PS5 OR Xbox OR Switch OR Swtich 2 OR PC)"</f>
        <v>#N/A</v>
      </c>
      <c r="S788" s="44" t="str">
        <f>"("""&amp;C788&amp;""") ("&amp;Vlookup(E788,DropDown!K:L,2,FALSE)&amp; " | ""Video Game"" | Playstation | iOS | PS4 | PS5 | Xbox | Switch | Switch 2 | PC)"</f>
        <v>#N/A</v>
      </c>
      <c r="T788" s="44"/>
      <c r="U788" s="44"/>
      <c r="V788" s="44"/>
      <c r="W788" s="44"/>
      <c r="X788" s="44"/>
      <c r="Z788" s="44"/>
    </row>
    <row r="789">
      <c r="A789" s="16"/>
      <c r="B789" s="16"/>
      <c r="E789" s="16"/>
      <c r="F789" s="16"/>
      <c r="G789" s="16"/>
      <c r="H789" s="16"/>
      <c r="I789" s="16"/>
      <c r="J789" s="16"/>
      <c r="K789" s="16"/>
      <c r="L789" s="16"/>
      <c r="M789" s="16"/>
      <c r="N789" s="5" t="s">
        <v>112</v>
      </c>
      <c r="O789" s="16" t="str">
        <f t="shared" si="1"/>
        <v>#</v>
      </c>
      <c r="P789" s="16" t="str">
        <f t="shared" si="2"/>
        <v>#videoGame</v>
      </c>
      <c r="R789" s="16" t="str">
        <f>"("""&amp;C789&amp;""") ("&amp;Vlookup(E789,DropDown!B:C,2,FALSE)&amp; " OR ""Video Game"" OR Playstation OR iOS OR PS4 OR PS5 OR Xbox OR Switch OR Swtich 2 OR PC)"</f>
        <v>#N/A</v>
      </c>
      <c r="S789" s="44" t="str">
        <f>"("""&amp;C789&amp;""") ("&amp;Vlookup(E789,DropDown!K:L,2,FALSE)&amp; " | ""Video Game"" | Playstation | iOS | PS4 | PS5 | Xbox | Switch | Switch 2 | PC)"</f>
        <v>#N/A</v>
      </c>
      <c r="T789" s="44"/>
      <c r="U789" s="44"/>
      <c r="V789" s="44"/>
      <c r="W789" s="44"/>
      <c r="X789" s="44"/>
      <c r="Z789" s="44"/>
    </row>
    <row r="790">
      <c r="A790" s="16"/>
      <c r="B790" s="16"/>
      <c r="E790" s="16"/>
      <c r="F790" s="16"/>
      <c r="G790" s="16"/>
      <c r="H790" s="16"/>
      <c r="I790" s="16"/>
      <c r="J790" s="16"/>
      <c r="K790" s="16"/>
      <c r="L790" s="16"/>
      <c r="M790" s="16"/>
      <c r="N790" s="5" t="s">
        <v>112</v>
      </c>
      <c r="O790" s="16" t="str">
        <f t="shared" si="1"/>
        <v>#</v>
      </c>
      <c r="P790" s="16" t="str">
        <f t="shared" si="2"/>
        <v>#videoGame</v>
      </c>
      <c r="R790" s="16" t="str">
        <f>"("""&amp;C790&amp;""") ("&amp;Vlookup(E790,DropDown!B:C,2,FALSE)&amp; " OR ""Video Game"" OR Playstation OR iOS OR PS4 OR PS5 OR Xbox OR Switch OR Swtich 2 OR PC)"</f>
        <v>#N/A</v>
      </c>
      <c r="S790" s="44" t="str">
        <f>"("""&amp;C790&amp;""") ("&amp;Vlookup(E790,DropDown!K:L,2,FALSE)&amp; " | ""Video Game"" | Playstation | iOS | PS4 | PS5 | Xbox | Switch | Switch 2 | PC)"</f>
        <v>#N/A</v>
      </c>
      <c r="T790" s="44"/>
      <c r="U790" s="44"/>
      <c r="V790" s="44"/>
      <c r="W790" s="44"/>
      <c r="X790" s="44"/>
      <c r="Z790" s="44"/>
    </row>
    <row r="791">
      <c r="A791" s="16"/>
      <c r="B791" s="16"/>
      <c r="E791" s="16"/>
      <c r="F791" s="16"/>
      <c r="G791" s="16"/>
      <c r="H791" s="16"/>
      <c r="I791" s="16"/>
      <c r="J791" s="16"/>
      <c r="K791" s="16"/>
      <c r="L791" s="16"/>
      <c r="M791" s="16"/>
      <c r="N791" s="5" t="s">
        <v>112</v>
      </c>
      <c r="O791" s="16" t="str">
        <f t="shared" si="1"/>
        <v>#</v>
      </c>
      <c r="P791" s="16" t="str">
        <f t="shared" si="2"/>
        <v>#videoGame</v>
      </c>
      <c r="R791" s="16" t="str">
        <f>"("""&amp;C791&amp;""") ("&amp;Vlookup(E791,DropDown!B:C,2,FALSE)&amp; " OR ""Video Game"" OR Playstation OR iOS OR PS4 OR PS5 OR Xbox OR Switch OR Swtich 2 OR PC)"</f>
        <v>#N/A</v>
      </c>
      <c r="S791" s="44" t="str">
        <f>"("""&amp;C791&amp;""") ("&amp;Vlookup(E791,DropDown!K:L,2,FALSE)&amp; " | ""Video Game"" | Playstation | iOS | PS4 | PS5 | Xbox | Switch | Switch 2 | PC)"</f>
        <v>#N/A</v>
      </c>
      <c r="T791" s="44"/>
      <c r="U791" s="44"/>
      <c r="V791" s="44"/>
      <c r="W791" s="44"/>
      <c r="X791" s="44"/>
      <c r="Z791" s="44"/>
    </row>
    <row r="792">
      <c r="A792" s="16"/>
      <c r="B792" s="16"/>
      <c r="E792" s="16"/>
      <c r="F792" s="16"/>
      <c r="G792" s="16"/>
      <c r="H792" s="16"/>
      <c r="I792" s="16"/>
      <c r="J792" s="16"/>
      <c r="K792" s="16"/>
      <c r="L792" s="16"/>
      <c r="M792" s="16"/>
      <c r="N792" s="5" t="s">
        <v>112</v>
      </c>
      <c r="O792" s="16" t="str">
        <f t="shared" si="1"/>
        <v>#</v>
      </c>
      <c r="P792" s="16" t="str">
        <f t="shared" si="2"/>
        <v>#videoGame</v>
      </c>
      <c r="R792" s="16" t="str">
        <f>"("""&amp;C792&amp;""") ("&amp;Vlookup(E792,DropDown!B:C,2,FALSE)&amp; " OR ""Video Game"" OR Playstation OR iOS OR PS4 OR PS5 OR Xbox OR Switch OR Swtich 2 OR PC)"</f>
        <v>#N/A</v>
      </c>
      <c r="S792" s="44" t="str">
        <f>"("""&amp;C792&amp;""") ("&amp;Vlookup(E792,DropDown!K:L,2,FALSE)&amp; " | ""Video Game"" | Playstation | iOS | PS4 | PS5 | Xbox | Switch | Switch 2 | PC)"</f>
        <v>#N/A</v>
      </c>
      <c r="T792" s="44"/>
      <c r="U792" s="44"/>
      <c r="V792" s="44"/>
      <c r="W792" s="44"/>
      <c r="X792" s="44"/>
      <c r="Z792" s="44"/>
    </row>
    <row r="793">
      <c r="A793" s="16"/>
      <c r="B793" s="16"/>
      <c r="E793" s="16"/>
      <c r="F793" s="16"/>
      <c r="G793" s="16"/>
      <c r="H793" s="16"/>
      <c r="I793" s="16"/>
      <c r="J793" s="16"/>
      <c r="K793" s="16"/>
      <c r="L793" s="16"/>
      <c r="M793" s="16"/>
      <c r="N793" s="5" t="s">
        <v>112</v>
      </c>
      <c r="O793" s="16" t="str">
        <f t="shared" si="1"/>
        <v>#</v>
      </c>
      <c r="P793" s="16" t="str">
        <f t="shared" si="2"/>
        <v>#videoGame</v>
      </c>
      <c r="R793" s="16" t="str">
        <f>"("""&amp;C793&amp;""") ("&amp;Vlookup(E793,DropDown!B:C,2,FALSE)&amp; " OR ""Video Game"" OR Playstation OR iOS OR PS4 OR PS5 OR Xbox OR Switch OR Swtich 2 OR PC)"</f>
        <v>#N/A</v>
      </c>
      <c r="S793" s="44" t="str">
        <f>"("""&amp;C793&amp;""") ("&amp;Vlookup(E793,DropDown!K:L,2,FALSE)&amp; " | ""Video Game"" | Playstation | iOS | PS4 | PS5 | Xbox | Switch | Switch 2 | PC)"</f>
        <v>#N/A</v>
      </c>
      <c r="T793" s="44"/>
      <c r="U793" s="44"/>
      <c r="V793" s="44"/>
      <c r="W793" s="44"/>
      <c r="X793" s="44"/>
      <c r="Z793" s="44"/>
    </row>
    <row r="794">
      <c r="A794" s="16"/>
      <c r="B794" s="16"/>
      <c r="E794" s="16"/>
      <c r="F794" s="16"/>
      <c r="G794" s="16"/>
      <c r="H794" s="16"/>
      <c r="I794" s="16"/>
      <c r="J794" s="16"/>
      <c r="K794" s="16"/>
      <c r="L794" s="16"/>
      <c r="M794" s="16"/>
      <c r="N794" s="5" t="s">
        <v>112</v>
      </c>
      <c r="O794" s="16" t="str">
        <f t="shared" si="1"/>
        <v>#</v>
      </c>
      <c r="P794" s="16" t="str">
        <f t="shared" si="2"/>
        <v>#videoGame</v>
      </c>
      <c r="R794" s="16" t="str">
        <f>"("""&amp;C794&amp;""") ("&amp;Vlookup(E794,DropDown!B:C,2,FALSE)&amp; " OR ""Video Game"" OR Playstation OR iOS OR PS4 OR PS5 OR Xbox OR Switch OR Swtich 2 OR PC)"</f>
        <v>#N/A</v>
      </c>
      <c r="S794" s="44" t="str">
        <f>"("""&amp;C794&amp;""") ("&amp;Vlookup(E794,DropDown!K:L,2,FALSE)&amp; " | ""Video Game"" | Playstation | iOS | PS4 | PS5 | Xbox | Switch | Switch 2 | PC)"</f>
        <v>#N/A</v>
      </c>
      <c r="T794" s="44"/>
      <c r="U794" s="44"/>
      <c r="V794" s="44"/>
      <c r="W794" s="44"/>
      <c r="X794" s="44"/>
      <c r="Z794" s="44"/>
    </row>
    <row r="795">
      <c r="A795" s="16"/>
      <c r="B795" s="16"/>
      <c r="E795" s="16"/>
      <c r="F795" s="16"/>
      <c r="G795" s="16"/>
      <c r="H795" s="16"/>
      <c r="I795" s="16"/>
      <c r="J795" s="16"/>
      <c r="K795" s="16"/>
      <c r="L795" s="16"/>
      <c r="M795" s="16"/>
      <c r="N795" s="5" t="s">
        <v>112</v>
      </c>
      <c r="O795" s="16" t="str">
        <f t="shared" si="1"/>
        <v>#</v>
      </c>
      <c r="P795" s="16" t="str">
        <f t="shared" si="2"/>
        <v>#videoGame</v>
      </c>
      <c r="R795" s="16" t="str">
        <f>"("""&amp;C795&amp;""") ("&amp;Vlookup(E795,DropDown!B:C,2,FALSE)&amp; " OR ""Video Game"" OR Playstation OR iOS OR PS4 OR PS5 OR Xbox OR Switch OR Swtich 2 OR PC)"</f>
        <v>#N/A</v>
      </c>
      <c r="S795" s="44" t="str">
        <f>"("""&amp;C795&amp;""") ("&amp;Vlookup(E795,DropDown!K:L,2,FALSE)&amp; " | ""Video Game"" | Playstation | iOS | PS4 | PS5 | Xbox | Switch | Switch 2 | PC)"</f>
        <v>#N/A</v>
      </c>
      <c r="T795" s="44"/>
      <c r="U795" s="44"/>
      <c r="V795" s="44"/>
      <c r="W795" s="44"/>
      <c r="X795" s="44"/>
      <c r="Z795" s="44"/>
    </row>
    <row r="796">
      <c r="A796" s="16"/>
      <c r="B796" s="16"/>
      <c r="E796" s="16"/>
      <c r="F796" s="16"/>
      <c r="G796" s="16"/>
      <c r="H796" s="16"/>
      <c r="I796" s="16"/>
      <c r="J796" s="16"/>
      <c r="K796" s="16"/>
      <c r="L796" s="16"/>
      <c r="M796" s="16"/>
      <c r="N796" s="5" t="s">
        <v>112</v>
      </c>
      <c r="O796" s="16" t="str">
        <f t="shared" si="1"/>
        <v>#</v>
      </c>
      <c r="P796" s="16" t="str">
        <f t="shared" si="2"/>
        <v>#videoGame</v>
      </c>
      <c r="R796" s="16" t="str">
        <f>"("""&amp;C796&amp;""") ("&amp;Vlookup(E796,DropDown!B:C,2,FALSE)&amp; " OR ""Video Game"" OR Playstation OR iOS OR PS4 OR PS5 OR Xbox OR Switch OR Swtich 2 OR PC)"</f>
        <v>#N/A</v>
      </c>
      <c r="S796" s="44" t="str">
        <f>"("""&amp;C796&amp;""") ("&amp;Vlookup(E796,DropDown!K:L,2,FALSE)&amp; " | ""Video Game"" | Playstation | iOS | PS4 | PS5 | Xbox | Switch | Switch 2 | PC)"</f>
        <v>#N/A</v>
      </c>
      <c r="T796" s="44"/>
      <c r="U796" s="44"/>
      <c r="V796" s="44"/>
      <c r="W796" s="44"/>
      <c r="X796" s="44"/>
      <c r="Z796" s="44"/>
    </row>
    <row r="797">
      <c r="A797" s="16"/>
      <c r="B797" s="16"/>
      <c r="E797" s="16"/>
      <c r="F797" s="16"/>
      <c r="G797" s="16"/>
      <c r="H797" s="16"/>
      <c r="I797" s="16"/>
      <c r="J797" s="16"/>
      <c r="K797" s="16"/>
      <c r="L797" s="16"/>
      <c r="M797" s="16"/>
      <c r="N797" s="5" t="s">
        <v>112</v>
      </c>
      <c r="O797" s="16" t="str">
        <f t="shared" si="1"/>
        <v>#</v>
      </c>
      <c r="P797" s="16" t="str">
        <f t="shared" si="2"/>
        <v>#videoGame</v>
      </c>
      <c r="R797" s="16" t="str">
        <f>"("""&amp;C797&amp;""") ("&amp;Vlookup(E797,DropDown!B:C,2,FALSE)&amp; " OR ""Video Game"" OR Playstation OR iOS OR PS4 OR PS5 OR Xbox OR Switch OR Swtich 2 OR PC)"</f>
        <v>#N/A</v>
      </c>
      <c r="S797" s="44" t="str">
        <f>"("""&amp;C797&amp;""") ("&amp;Vlookup(E797,DropDown!K:L,2,FALSE)&amp; " | ""Video Game"" | Playstation | iOS | PS4 | PS5 | Xbox | Switch | Switch 2 | PC)"</f>
        <v>#N/A</v>
      </c>
      <c r="T797" s="44"/>
      <c r="U797" s="44"/>
      <c r="V797" s="44"/>
      <c r="W797" s="44"/>
      <c r="X797" s="44"/>
      <c r="Z797" s="44"/>
    </row>
    <row r="798">
      <c r="A798" s="16"/>
      <c r="B798" s="16"/>
      <c r="E798" s="16"/>
      <c r="F798" s="16"/>
      <c r="G798" s="16"/>
      <c r="H798" s="16"/>
      <c r="I798" s="16"/>
      <c r="J798" s="16"/>
      <c r="K798" s="16"/>
      <c r="L798" s="16"/>
      <c r="M798" s="16"/>
      <c r="N798" s="5" t="s">
        <v>112</v>
      </c>
      <c r="O798" s="16" t="str">
        <f t="shared" si="1"/>
        <v>#</v>
      </c>
      <c r="P798" s="16" t="str">
        <f t="shared" si="2"/>
        <v>#videoGame</v>
      </c>
      <c r="R798" s="16" t="str">
        <f>"("""&amp;C798&amp;""") ("&amp;Vlookup(E798,DropDown!B:C,2,FALSE)&amp; " OR ""Video Game"" OR Playstation OR iOS OR PS4 OR PS5 OR Xbox OR Switch OR Swtich 2 OR PC)"</f>
        <v>#N/A</v>
      </c>
      <c r="S798" s="44" t="str">
        <f>"("""&amp;C798&amp;""") ("&amp;Vlookup(E798,DropDown!K:L,2,FALSE)&amp; " | ""Video Game"" | Playstation | iOS | PS4 | PS5 | Xbox | Switch | Switch 2 | PC)"</f>
        <v>#N/A</v>
      </c>
      <c r="T798" s="44"/>
      <c r="U798" s="44"/>
      <c r="V798" s="44"/>
      <c r="W798" s="44"/>
      <c r="X798" s="44"/>
      <c r="Z798" s="44"/>
    </row>
    <row r="799">
      <c r="A799" s="16"/>
      <c r="B799" s="16"/>
      <c r="E799" s="16"/>
      <c r="F799" s="16"/>
      <c r="G799" s="16"/>
      <c r="H799" s="16"/>
      <c r="I799" s="16"/>
      <c r="J799" s="16"/>
      <c r="K799" s="16"/>
      <c r="L799" s="16"/>
      <c r="M799" s="16"/>
      <c r="N799" s="5" t="s">
        <v>112</v>
      </c>
      <c r="O799" s="16" t="str">
        <f t="shared" si="1"/>
        <v>#</v>
      </c>
      <c r="P799" s="16" t="str">
        <f t="shared" si="2"/>
        <v>#videoGame</v>
      </c>
      <c r="R799" s="16" t="str">
        <f>"("""&amp;C799&amp;""") ("&amp;Vlookup(E799,DropDown!B:C,2,FALSE)&amp; " OR ""Video Game"" OR Playstation OR iOS OR PS4 OR PS5 OR Xbox OR Switch OR Swtich 2 OR PC)"</f>
        <v>#N/A</v>
      </c>
      <c r="S799" s="44" t="str">
        <f>"("""&amp;C799&amp;""") ("&amp;Vlookup(E799,DropDown!K:L,2,FALSE)&amp; " | ""Video Game"" | Playstation | iOS | PS4 | PS5 | Xbox | Switch | Switch 2 | PC)"</f>
        <v>#N/A</v>
      </c>
      <c r="T799" s="44"/>
      <c r="U799" s="44"/>
      <c r="V799" s="44"/>
      <c r="W799" s="44"/>
      <c r="X799" s="44"/>
      <c r="Z799" s="44"/>
    </row>
    <row r="800">
      <c r="A800" s="16"/>
      <c r="B800" s="16"/>
      <c r="E800" s="16"/>
      <c r="F800" s="16"/>
      <c r="G800" s="16"/>
      <c r="H800" s="16"/>
      <c r="I800" s="16"/>
      <c r="J800" s="16"/>
      <c r="K800" s="16"/>
      <c r="L800" s="16"/>
      <c r="M800" s="16"/>
      <c r="N800" s="5" t="s">
        <v>112</v>
      </c>
      <c r="O800" s="16" t="str">
        <f t="shared" si="1"/>
        <v>#</v>
      </c>
      <c r="P800" s="16" t="str">
        <f t="shared" si="2"/>
        <v>#videoGame</v>
      </c>
      <c r="R800" s="16" t="str">
        <f>"("""&amp;C800&amp;""") ("&amp;Vlookup(E800,DropDown!B:C,2,FALSE)&amp; " OR ""Video Game"" OR Playstation OR iOS OR PS4 OR PS5 OR Xbox OR Switch OR Swtich 2 OR PC)"</f>
        <v>#N/A</v>
      </c>
      <c r="S800" s="44" t="str">
        <f>"("""&amp;C800&amp;""") ("&amp;Vlookup(E800,DropDown!K:L,2,FALSE)&amp; " | ""Video Game"" | Playstation | iOS | PS4 | PS5 | Xbox | Switch | Switch 2 | PC)"</f>
        <v>#N/A</v>
      </c>
      <c r="T800" s="44"/>
      <c r="U800" s="44"/>
      <c r="V800" s="44"/>
      <c r="W800" s="44"/>
      <c r="X800" s="44"/>
      <c r="Z800" s="44"/>
    </row>
    <row r="801">
      <c r="A801" s="16"/>
      <c r="B801" s="16"/>
      <c r="E801" s="16"/>
      <c r="F801" s="16"/>
      <c r="G801" s="16"/>
      <c r="H801" s="16"/>
      <c r="I801" s="16"/>
      <c r="J801" s="16"/>
      <c r="K801" s="16"/>
      <c r="L801" s="16"/>
      <c r="M801" s="16"/>
      <c r="N801" s="5" t="s">
        <v>112</v>
      </c>
      <c r="O801" s="16" t="str">
        <f t="shared" si="1"/>
        <v>#</v>
      </c>
      <c r="P801" s="16" t="str">
        <f t="shared" si="2"/>
        <v>#videoGame</v>
      </c>
      <c r="R801" s="16" t="str">
        <f>"("""&amp;C801&amp;""") ("&amp;Vlookup(E801,DropDown!B:C,2,FALSE)&amp; " OR ""Video Game"" OR Playstation OR iOS OR PS4 OR PS5 OR Xbox OR Switch OR Swtich 2 OR PC)"</f>
        <v>#N/A</v>
      </c>
      <c r="S801" s="44" t="str">
        <f>"("""&amp;C801&amp;""") ("&amp;Vlookup(E801,DropDown!K:L,2,FALSE)&amp; " | ""Video Game"" | Playstation | iOS | PS4 | PS5 | Xbox | Switch | Switch 2 | PC)"</f>
        <v>#N/A</v>
      </c>
      <c r="T801" s="44"/>
      <c r="U801" s="44"/>
      <c r="V801" s="44"/>
      <c r="W801" s="44"/>
      <c r="X801" s="44"/>
      <c r="Z801" s="44"/>
    </row>
    <row r="802">
      <c r="A802" s="16"/>
      <c r="B802" s="16"/>
      <c r="E802" s="16"/>
      <c r="F802" s="16"/>
      <c r="G802" s="16"/>
      <c r="H802" s="16"/>
      <c r="I802" s="16"/>
      <c r="J802" s="16"/>
      <c r="K802" s="16"/>
      <c r="L802" s="16"/>
      <c r="M802" s="16"/>
      <c r="N802" s="5" t="s">
        <v>112</v>
      </c>
      <c r="O802" s="16" t="str">
        <f t="shared" si="1"/>
        <v>#</v>
      </c>
      <c r="P802" s="16" t="str">
        <f t="shared" si="2"/>
        <v>#videoGame</v>
      </c>
      <c r="R802" s="16" t="str">
        <f>"("""&amp;C802&amp;""") ("&amp;Vlookup(E802,DropDown!B:C,2,FALSE)&amp; " OR ""Video Game"" OR Playstation OR iOS OR PS4 OR PS5 OR Xbox OR Switch OR Swtich 2 OR PC)"</f>
        <v>#N/A</v>
      </c>
      <c r="S802" s="44" t="str">
        <f>"("""&amp;C802&amp;""") ("&amp;Vlookup(E802,DropDown!K:L,2,FALSE)&amp; " | ""Video Game"" | Playstation | iOS | PS4 | PS5 | Xbox | Switch | Switch 2 | PC)"</f>
        <v>#N/A</v>
      </c>
      <c r="T802" s="44"/>
      <c r="U802" s="44"/>
      <c r="V802" s="44"/>
      <c r="W802" s="44"/>
      <c r="X802" s="44"/>
      <c r="Z802" s="44"/>
    </row>
    <row r="803">
      <c r="A803" s="16"/>
      <c r="B803" s="16"/>
      <c r="E803" s="16"/>
      <c r="F803" s="16"/>
      <c r="G803" s="16"/>
      <c r="H803" s="16"/>
      <c r="I803" s="16"/>
      <c r="J803" s="16"/>
      <c r="K803" s="16"/>
      <c r="L803" s="16"/>
      <c r="M803" s="16"/>
      <c r="N803" s="5" t="s">
        <v>112</v>
      </c>
      <c r="O803" s="16" t="str">
        <f t="shared" si="1"/>
        <v>#</v>
      </c>
      <c r="P803" s="16" t="str">
        <f t="shared" si="2"/>
        <v>#videoGame</v>
      </c>
      <c r="R803" s="16" t="str">
        <f>"("""&amp;C803&amp;""") ("&amp;Vlookup(E803,DropDown!B:C,2,FALSE)&amp; " OR ""Video Game"" OR Playstation OR iOS OR PS4 OR PS5 OR Xbox OR Switch OR Swtich 2 OR PC)"</f>
        <v>#N/A</v>
      </c>
      <c r="S803" s="44" t="str">
        <f>"("""&amp;C803&amp;""") ("&amp;Vlookup(E803,DropDown!K:L,2,FALSE)&amp; " | ""Video Game"" | Playstation | iOS | PS4 | PS5 | Xbox | Switch | Switch 2 | PC)"</f>
        <v>#N/A</v>
      </c>
      <c r="T803" s="44"/>
      <c r="U803" s="44"/>
      <c r="V803" s="44"/>
      <c r="W803" s="44"/>
      <c r="X803" s="44"/>
      <c r="Z803" s="44"/>
    </row>
    <row r="804">
      <c r="A804" s="16"/>
      <c r="B804" s="16"/>
      <c r="E804" s="16"/>
      <c r="F804" s="16"/>
      <c r="G804" s="16"/>
      <c r="H804" s="16"/>
      <c r="I804" s="16"/>
      <c r="J804" s="16"/>
      <c r="K804" s="16"/>
      <c r="L804" s="16"/>
      <c r="M804" s="16"/>
      <c r="N804" s="5" t="s">
        <v>112</v>
      </c>
      <c r="O804" s="16" t="str">
        <f t="shared" si="1"/>
        <v>#</v>
      </c>
      <c r="P804" s="16" t="str">
        <f t="shared" si="2"/>
        <v>#videoGame</v>
      </c>
      <c r="R804" s="16" t="str">
        <f>"("""&amp;C804&amp;""") ("&amp;Vlookup(E804,DropDown!B:C,2,FALSE)&amp; " OR ""Video Game"" OR Playstation OR iOS OR PS4 OR PS5 OR Xbox OR Switch OR Swtich 2 OR PC)"</f>
        <v>#N/A</v>
      </c>
      <c r="S804" s="44" t="str">
        <f>"("""&amp;C804&amp;""") ("&amp;Vlookup(E804,DropDown!K:L,2,FALSE)&amp; " | ""Video Game"" | Playstation | iOS | PS4 | PS5 | Xbox | Switch | Switch 2 | PC)"</f>
        <v>#N/A</v>
      </c>
      <c r="T804" s="44"/>
      <c r="U804" s="44"/>
      <c r="V804" s="44"/>
      <c r="W804" s="44"/>
      <c r="X804" s="44"/>
      <c r="Z804" s="44"/>
    </row>
    <row r="805">
      <c r="A805" s="16"/>
      <c r="B805" s="16"/>
      <c r="E805" s="16"/>
      <c r="F805" s="16"/>
      <c r="G805" s="16"/>
      <c r="H805" s="16"/>
      <c r="I805" s="16"/>
      <c r="J805" s="16"/>
      <c r="K805" s="16"/>
      <c r="L805" s="16"/>
      <c r="M805" s="16"/>
      <c r="N805" s="5" t="s">
        <v>112</v>
      </c>
      <c r="O805" s="16" t="str">
        <f t="shared" si="1"/>
        <v>#</v>
      </c>
      <c r="P805" s="16" t="str">
        <f t="shared" si="2"/>
        <v>#videoGame</v>
      </c>
      <c r="R805" s="16" t="str">
        <f>"("""&amp;C805&amp;""") ("&amp;Vlookup(E805,DropDown!B:C,2,FALSE)&amp; " OR ""Video Game"" OR Playstation OR iOS OR PS4 OR PS5 OR Xbox OR Switch OR Swtich 2 OR PC)"</f>
        <v>#N/A</v>
      </c>
      <c r="S805" s="44" t="str">
        <f>"("""&amp;C805&amp;""") ("&amp;Vlookup(E805,DropDown!K:L,2,FALSE)&amp; " | ""Video Game"" | Playstation | iOS | PS4 | PS5 | Xbox | Switch | Switch 2 | PC)"</f>
        <v>#N/A</v>
      </c>
      <c r="T805" s="44"/>
      <c r="U805" s="44"/>
      <c r="V805" s="44"/>
      <c r="W805" s="44"/>
      <c r="X805" s="44"/>
      <c r="Z805" s="44"/>
    </row>
    <row r="806">
      <c r="A806" s="16"/>
      <c r="B806" s="16"/>
      <c r="E806" s="16"/>
      <c r="F806" s="16"/>
      <c r="G806" s="16"/>
      <c r="H806" s="16"/>
      <c r="I806" s="16"/>
      <c r="J806" s="16"/>
      <c r="K806" s="16"/>
      <c r="L806" s="16"/>
      <c r="M806" s="16"/>
      <c r="N806" s="5" t="s">
        <v>112</v>
      </c>
      <c r="O806" s="16" t="str">
        <f t="shared" si="1"/>
        <v>#</v>
      </c>
      <c r="P806" s="16" t="str">
        <f t="shared" si="2"/>
        <v>#videoGame</v>
      </c>
      <c r="R806" s="16" t="str">
        <f>"("""&amp;C806&amp;""") ("&amp;Vlookup(E806,DropDown!B:C,2,FALSE)&amp; " OR ""Video Game"" OR Playstation OR iOS OR PS4 OR PS5 OR Xbox OR Switch OR Swtich 2 OR PC)"</f>
        <v>#N/A</v>
      </c>
      <c r="S806" s="44" t="str">
        <f>"("""&amp;C806&amp;""") ("&amp;Vlookup(E806,DropDown!K:L,2,FALSE)&amp; " | ""Video Game"" | Playstation | iOS | PS4 | PS5 | Xbox | Switch | Switch 2 | PC)"</f>
        <v>#N/A</v>
      </c>
      <c r="T806" s="44"/>
      <c r="U806" s="44"/>
      <c r="V806" s="44"/>
      <c r="W806" s="44"/>
      <c r="X806" s="44"/>
      <c r="Z806" s="44"/>
    </row>
    <row r="807">
      <c r="A807" s="16"/>
      <c r="B807" s="16"/>
      <c r="E807" s="16"/>
      <c r="F807" s="16"/>
      <c r="G807" s="16"/>
      <c r="H807" s="16"/>
      <c r="I807" s="16"/>
      <c r="J807" s="16"/>
      <c r="K807" s="16"/>
      <c r="L807" s="16"/>
      <c r="M807" s="16"/>
      <c r="N807" s="5" t="s">
        <v>112</v>
      </c>
      <c r="O807" s="16" t="str">
        <f t="shared" si="1"/>
        <v>#</v>
      </c>
      <c r="P807" s="16" t="str">
        <f t="shared" si="2"/>
        <v>#videoGame</v>
      </c>
      <c r="R807" s="16" t="str">
        <f>"("""&amp;C807&amp;""") ("&amp;Vlookup(E807,DropDown!B:C,2,FALSE)&amp; " OR ""Video Game"" OR Playstation OR iOS OR PS4 OR PS5 OR Xbox OR Switch OR Swtich 2 OR PC)"</f>
        <v>#N/A</v>
      </c>
      <c r="S807" s="44" t="str">
        <f>"("""&amp;C807&amp;""") ("&amp;Vlookup(E807,DropDown!K:L,2,FALSE)&amp; " | ""Video Game"" | Playstation | iOS | PS4 | PS5 | Xbox | Switch | Switch 2 | PC)"</f>
        <v>#N/A</v>
      </c>
      <c r="T807" s="44"/>
      <c r="U807" s="44"/>
      <c r="V807" s="44"/>
      <c r="W807" s="44"/>
      <c r="X807" s="44"/>
      <c r="Z807" s="44"/>
    </row>
    <row r="808">
      <c r="A808" s="16"/>
      <c r="B808" s="16"/>
      <c r="E808" s="16"/>
      <c r="F808" s="16"/>
      <c r="G808" s="16"/>
      <c r="H808" s="16"/>
      <c r="I808" s="16"/>
      <c r="J808" s="16"/>
      <c r="K808" s="16"/>
      <c r="L808" s="16"/>
      <c r="M808" s="16"/>
      <c r="N808" s="5" t="s">
        <v>112</v>
      </c>
      <c r="O808" s="16" t="str">
        <f t="shared" si="1"/>
        <v>#</v>
      </c>
      <c r="P808" s="16" t="str">
        <f t="shared" si="2"/>
        <v>#videoGame</v>
      </c>
      <c r="R808" s="16" t="str">
        <f>"("""&amp;C808&amp;""") ("&amp;Vlookup(E808,DropDown!B:C,2,FALSE)&amp; " OR ""Video Game"" OR Playstation OR iOS OR PS4 OR PS5 OR Xbox OR Switch OR Swtich 2 OR PC)"</f>
        <v>#N/A</v>
      </c>
      <c r="S808" s="44" t="str">
        <f>"("""&amp;C808&amp;""") ("&amp;Vlookup(E808,DropDown!K:L,2,FALSE)&amp; " | ""Video Game"" | Playstation | iOS | PS4 | PS5 | Xbox | Switch | Switch 2 | PC)"</f>
        <v>#N/A</v>
      </c>
      <c r="T808" s="44"/>
      <c r="U808" s="44"/>
      <c r="V808" s="44"/>
      <c r="W808" s="44"/>
      <c r="X808" s="44"/>
      <c r="Z808" s="44"/>
    </row>
    <row r="809">
      <c r="A809" s="16"/>
      <c r="B809" s="16"/>
      <c r="E809" s="16"/>
      <c r="F809" s="16"/>
      <c r="G809" s="16"/>
      <c r="H809" s="16"/>
      <c r="I809" s="16"/>
      <c r="J809" s="16"/>
      <c r="K809" s="16"/>
      <c r="L809" s="16"/>
      <c r="M809" s="16"/>
      <c r="N809" s="5" t="s">
        <v>112</v>
      </c>
      <c r="O809" s="16" t="str">
        <f t="shared" si="1"/>
        <v>#</v>
      </c>
      <c r="P809" s="16" t="str">
        <f t="shared" si="2"/>
        <v>#videoGame</v>
      </c>
      <c r="R809" s="16" t="str">
        <f>"("""&amp;C809&amp;""") ("&amp;Vlookup(E809,DropDown!B:C,2,FALSE)&amp; " OR ""Video Game"" OR Playstation OR iOS OR PS4 OR PS5 OR Xbox OR Switch OR Swtich 2 OR PC)"</f>
        <v>#N/A</v>
      </c>
      <c r="S809" s="44" t="str">
        <f>"("""&amp;C809&amp;""") ("&amp;Vlookup(E809,DropDown!K:L,2,FALSE)&amp; " | ""Video Game"" | Playstation | iOS | PS4 | PS5 | Xbox | Switch | Switch 2 | PC)"</f>
        <v>#N/A</v>
      </c>
      <c r="T809" s="44"/>
      <c r="U809" s="44"/>
      <c r="V809" s="44"/>
      <c r="W809" s="44"/>
      <c r="X809" s="44"/>
      <c r="Z809" s="44"/>
    </row>
    <row r="810">
      <c r="A810" s="16"/>
      <c r="B810" s="16"/>
      <c r="E810" s="16"/>
      <c r="F810" s="16"/>
      <c r="G810" s="16"/>
      <c r="H810" s="16"/>
      <c r="I810" s="16"/>
      <c r="J810" s="16"/>
      <c r="K810" s="16"/>
      <c r="L810" s="16"/>
      <c r="M810" s="16"/>
      <c r="N810" s="5" t="s">
        <v>112</v>
      </c>
      <c r="O810" s="16" t="str">
        <f t="shared" si="1"/>
        <v>#</v>
      </c>
      <c r="P810" s="16" t="str">
        <f t="shared" si="2"/>
        <v>#videoGame</v>
      </c>
      <c r="R810" s="16" t="str">
        <f>"("""&amp;C810&amp;""") ("&amp;Vlookup(E810,DropDown!B:C,2,FALSE)&amp; " OR ""Video Game"" OR Playstation OR iOS OR PS4 OR PS5 OR Xbox OR Switch OR Swtich 2 OR PC)"</f>
        <v>#N/A</v>
      </c>
      <c r="S810" s="44" t="str">
        <f>"("""&amp;C810&amp;""") ("&amp;Vlookup(E810,DropDown!K:L,2,FALSE)&amp; " | ""Video Game"" | Playstation | iOS | PS4 | PS5 | Xbox | Switch | Switch 2 | PC)"</f>
        <v>#N/A</v>
      </c>
      <c r="T810" s="44"/>
      <c r="U810" s="44"/>
      <c r="V810" s="44"/>
      <c r="W810" s="44"/>
      <c r="X810" s="44"/>
      <c r="Z810" s="44"/>
    </row>
    <row r="811">
      <c r="A811" s="16"/>
      <c r="B811" s="16"/>
      <c r="E811" s="16"/>
      <c r="F811" s="16"/>
      <c r="G811" s="16"/>
      <c r="H811" s="16"/>
      <c r="I811" s="16"/>
      <c r="J811" s="16"/>
      <c r="K811" s="16"/>
      <c r="L811" s="16"/>
      <c r="M811" s="16"/>
      <c r="N811" s="5" t="s">
        <v>112</v>
      </c>
      <c r="O811" s="16" t="str">
        <f t="shared" si="1"/>
        <v>#</v>
      </c>
      <c r="P811" s="16" t="str">
        <f t="shared" si="2"/>
        <v>#videoGame</v>
      </c>
      <c r="R811" s="16" t="str">
        <f>"("""&amp;C811&amp;""") ("&amp;Vlookup(E811,DropDown!B:C,2,FALSE)&amp; " OR ""Video Game"" OR Playstation OR iOS OR PS4 OR PS5 OR Xbox OR Switch OR Swtich 2 OR PC)"</f>
        <v>#N/A</v>
      </c>
      <c r="S811" s="44" t="str">
        <f>"("""&amp;C811&amp;""") ("&amp;Vlookup(E811,DropDown!K:L,2,FALSE)&amp; " | ""Video Game"" | Playstation | iOS | PS4 | PS5 | Xbox | Switch | Switch 2 | PC)"</f>
        <v>#N/A</v>
      </c>
      <c r="T811" s="44"/>
      <c r="U811" s="44"/>
      <c r="V811" s="44"/>
      <c r="W811" s="44"/>
      <c r="X811" s="44"/>
      <c r="Z811" s="44"/>
    </row>
    <row r="812">
      <c r="A812" s="16"/>
      <c r="B812" s="16"/>
      <c r="E812" s="16"/>
      <c r="F812" s="16"/>
      <c r="G812" s="16"/>
      <c r="H812" s="16"/>
      <c r="I812" s="16"/>
      <c r="J812" s="16"/>
      <c r="K812" s="16"/>
      <c r="L812" s="16"/>
      <c r="M812" s="16"/>
      <c r="N812" s="5" t="s">
        <v>112</v>
      </c>
      <c r="O812" s="16" t="str">
        <f t="shared" si="1"/>
        <v>#</v>
      </c>
      <c r="P812" s="16" t="str">
        <f t="shared" si="2"/>
        <v>#videoGame</v>
      </c>
      <c r="R812" s="16" t="str">
        <f>"("""&amp;C812&amp;""") ("&amp;Vlookup(E812,DropDown!B:C,2,FALSE)&amp; " OR ""Video Game"" OR Playstation OR iOS OR PS4 OR PS5 OR Xbox OR Switch OR Swtich 2 OR PC)"</f>
        <v>#N/A</v>
      </c>
      <c r="S812" s="44" t="str">
        <f>"("""&amp;C812&amp;""") ("&amp;Vlookup(E812,DropDown!K:L,2,FALSE)&amp; " | ""Video Game"" | Playstation | iOS | PS4 | PS5 | Xbox | Switch | Switch 2 | PC)"</f>
        <v>#N/A</v>
      </c>
      <c r="T812" s="44"/>
      <c r="U812" s="44"/>
      <c r="V812" s="44"/>
      <c r="W812" s="44"/>
      <c r="X812" s="44"/>
      <c r="Z812" s="44"/>
    </row>
    <row r="813">
      <c r="A813" s="16"/>
      <c r="B813" s="16"/>
      <c r="E813" s="16"/>
      <c r="F813" s="16"/>
      <c r="G813" s="16"/>
      <c r="H813" s="16"/>
      <c r="I813" s="16"/>
      <c r="J813" s="16"/>
      <c r="K813" s="16"/>
      <c r="L813" s="16"/>
      <c r="M813" s="16"/>
      <c r="N813" s="5" t="s">
        <v>112</v>
      </c>
      <c r="O813" s="16" t="str">
        <f t="shared" si="1"/>
        <v>#</v>
      </c>
      <c r="P813" s="16" t="str">
        <f t="shared" si="2"/>
        <v>#videoGame</v>
      </c>
      <c r="R813" s="16" t="str">
        <f>"("""&amp;C813&amp;""") ("&amp;Vlookup(E813,DropDown!B:C,2,FALSE)&amp; " OR ""Video Game"" OR Playstation OR iOS OR PS4 OR PS5 OR Xbox OR Switch OR Swtich 2 OR PC)"</f>
        <v>#N/A</v>
      </c>
      <c r="S813" s="44" t="str">
        <f>"("""&amp;C813&amp;""") ("&amp;Vlookup(E813,DropDown!K:L,2,FALSE)&amp; " | ""Video Game"" | Playstation | iOS | PS4 | PS5 | Xbox | Switch | Switch 2 | PC)"</f>
        <v>#N/A</v>
      </c>
      <c r="T813" s="44"/>
      <c r="U813" s="44"/>
      <c r="V813" s="44"/>
      <c r="W813" s="44"/>
      <c r="X813" s="44"/>
      <c r="Z813" s="44"/>
    </row>
    <row r="814">
      <c r="A814" s="16"/>
      <c r="B814" s="16"/>
      <c r="E814" s="16"/>
      <c r="F814" s="16"/>
      <c r="G814" s="16"/>
      <c r="H814" s="16"/>
      <c r="I814" s="16"/>
      <c r="J814" s="16"/>
      <c r="K814" s="16"/>
      <c r="L814" s="16"/>
      <c r="M814" s="16"/>
      <c r="N814" s="5" t="s">
        <v>112</v>
      </c>
      <c r="O814" s="16" t="str">
        <f t="shared" si="1"/>
        <v>#</v>
      </c>
      <c r="P814" s="16" t="str">
        <f t="shared" si="2"/>
        <v>#videoGame</v>
      </c>
      <c r="R814" s="16" t="str">
        <f>"("""&amp;C814&amp;""") ("&amp;Vlookup(E814,DropDown!B:C,2,FALSE)&amp; " OR ""Video Game"" OR Playstation OR iOS OR PS4 OR PS5 OR Xbox OR Switch OR Swtich 2 OR PC)"</f>
        <v>#N/A</v>
      </c>
      <c r="S814" s="44" t="str">
        <f>"("""&amp;C814&amp;""") ("&amp;Vlookup(E814,DropDown!K:L,2,FALSE)&amp; " | ""Video Game"" | Playstation | iOS | PS4 | PS5 | Xbox | Switch | Switch 2 | PC)"</f>
        <v>#N/A</v>
      </c>
      <c r="T814" s="44"/>
      <c r="U814" s="44"/>
      <c r="V814" s="44"/>
      <c r="W814" s="44"/>
      <c r="X814" s="44"/>
      <c r="Z814" s="44"/>
    </row>
    <row r="815">
      <c r="A815" s="16"/>
      <c r="B815" s="16"/>
      <c r="E815" s="16"/>
      <c r="F815" s="16"/>
      <c r="G815" s="16"/>
      <c r="H815" s="16"/>
      <c r="I815" s="16"/>
      <c r="J815" s="16"/>
      <c r="K815" s="16"/>
      <c r="L815" s="16"/>
      <c r="M815" s="16"/>
      <c r="N815" s="5" t="s">
        <v>112</v>
      </c>
      <c r="O815" s="16" t="str">
        <f t="shared" si="1"/>
        <v>#</v>
      </c>
      <c r="P815" s="16" t="str">
        <f t="shared" si="2"/>
        <v>#videoGame</v>
      </c>
      <c r="R815" s="16" t="str">
        <f>"("""&amp;C815&amp;""") ("&amp;Vlookup(E815,DropDown!B:C,2,FALSE)&amp; " OR ""Video Game"" OR Playstation OR iOS OR PS4 OR PS5 OR Xbox OR Switch OR Swtich 2 OR PC)"</f>
        <v>#N/A</v>
      </c>
      <c r="S815" s="44" t="str">
        <f>"("""&amp;C815&amp;""") ("&amp;Vlookup(E815,DropDown!K:L,2,FALSE)&amp; " | ""Video Game"" | Playstation | iOS | PS4 | PS5 | Xbox | Switch | Switch 2 | PC)"</f>
        <v>#N/A</v>
      </c>
      <c r="T815" s="44"/>
      <c r="U815" s="44"/>
      <c r="V815" s="44"/>
      <c r="W815" s="44"/>
      <c r="X815" s="44"/>
      <c r="Z815" s="44"/>
    </row>
    <row r="816">
      <c r="A816" s="16"/>
      <c r="B816" s="16"/>
      <c r="E816" s="16"/>
      <c r="F816" s="16"/>
      <c r="G816" s="16"/>
      <c r="H816" s="16"/>
      <c r="I816" s="16"/>
      <c r="J816" s="16"/>
      <c r="K816" s="16"/>
      <c r="L816" s="16"/>
      <c r="M816" s="16"/>
      <c r="N816" s="5" t="s">
        <v>112</v>
      </c>
      <c r="O816" s="16" t="str">
        <f t="shared" si="1"/>
        <v>#</v>
      </c>
      <c r="P816" s="16" t="str">
        <f t="shared" si="2"/>
        <v>#videoGame</v>
      </c>
      <c r="R816" s="16" t="str">
        <f>"("""&amp;C816&amp;""") ("&amp;Vlookup(E816,DropDown!B:C,2,FALSE)&amp; " OR ""Video Game"" OR Playstation OR iOS OR PS4 OR PS5 OR Xbox OR Switch OR Swtich 2 OR PC)"</f>
        <v>#N/A</v>
      </c>
      <c r="S816" s="44" t="str">
        <f>"("""&amp;C816&amp;""") ("&amp;Vlookup(E816,DropDown!K:L,2,FALSE)&amp; " | ""Video Game"" | Playstation | iOS | PS4 | PS5 | Xbox | Switch | Switch 2 | PC)"</f>
        <v>#N/A</v>
      </c>
      <c r="T816" s="44"/>
      <c r="U816" s="44"/>
      <c r="V816" s="44"/>
      <c r="W816" s="44"/>
      <c r="X816" s="44"/>
      <c r="Z816" s="44"/>
    </row>
    <row r="817">
      <c r="A817" s="16"/>
      <c r="B817" s="16"/>
      <c r="E817" s="16"/>
      <c r="F817" s="16"/>
      <c r="G817" s="16"/>
      <c r="H817" s="16"/>
      <c r="I817" s="16"/>
      <c r="J817" s="16"/>
      <c r="K817" s="16"/>
      <c r="L817" s="16"/>
      <c r="M817" s="16"/>
      <c r="N817" s="5" t="s">
        <v>112</v>
      </c>
      <c r="O817" s="16" t="str">
        <f t="shared" si="1"/>
        <v>#</v>
      </c>
      <c r="P817" s="16" t="str">
        <f t="shared" si="2"/>
        <v>#videoGame</v>
      </c>
      <c r="R817" s="16" t="str">
        <f>"("""&amp;C817&amp;""") ("&amp;Vlookup(E817,DropDown!B:C,2,FALSE)&amp; " OR ""Video Game"" OR Playstation OR iOS OR PS4 OR PS5 OR Xbox OR Switch OR Swtich 2 OR PC)"</f>
        <v>#N/A</v>
      </c>
      <c r="S817" s="44" t="str">
        <f>"("""&amp;C817&amp;""") ("&amp;Vlookup(E817,DropDown!K:L,2,FALSE)&amp; " | ""Video Game"" | Playstation | iOS | PS4 | PS5 | Xbox | Switch | Switch 2 | PC)"</f>
        <v>#N/A</v>
      </c>
      <c r="T817" s="44"/>
      <c r="U817" s="44"/>
      <c r="V817" s="44"/>
      <c r="W817" s="44"/>
      <c r="X817" s="44"/>
      <c r="Z817" s="44"/>
    </row>
    <row r="818">
      <c r="A818" s="16"/>
      <c r="B818" s="16"/>
      <c r="E818" s="16"/>
      <c r="F818" s="16"/>
      <c r="G818" s="16"/>
      <c r="H818" s="16"/>
      <c r="I818" s="16"/>
      <c r="J818" s="16"/>
      <c r="K818" s="16"/>
      <c r="L818" s="16"/>
      <c r="M818" s="16"/>
      <c r="N818" s="5" t="s">
        <v>112</v>
      </c>
      <c r="O818" s="16" t="str">
        <f t="shared" si="1"/>
        <v>#</v>
      </c>
      <c r="P818" s="16" t="str">
        <f t="shared" si="2"/>
        <v>#videoGame</v>
      </c>
      <c r="R818" s="16" t="str">
        <f>"("""&amp;C818&amp;""") ("&amp;Vlookup(E818,DropDown!B:C,2,FALSE)&amp; " OR ""Video Game"" OR Playstation OR iOS OR PS4 OR PS5 OR Xbox OR Switch OR Swtich 2 OR PC)"</f>
        <v>#N/A</v>
      </c>
      <c r="S818" s="44" t="str">
        <f>"("""&amp;C818&amp;""") ("&amp;Vlookup(E818,DropDown!K:L,2,FALSE)&amp; " | ""Video Game"" | Playstation | iOS | PS4 | PS5 | Xbox | Switch | Switch 2 | PC)"</f>
        <v>#N/A</v>
      </c>
      <c r="T818" s="44"/>
      <c r="U818" s="44"/>
      <c r="V818" s="44"/>
      <c r="W818" s="44"/>
      <c r="X818" s="44"/>
      <c r="Z818" s="44"/>
    </row>
    <row r="819">
      <c r="A819" s="16"/>
      <c r="B819" s="16"/>
      <c r="E819" s="16"/>
      <c r="F819" s="16"/>
      <c r="G819" s="16"/>
      <c r="H819" s="16"/>
      <c r="I819" s="16"/>
      <c r="J819" s="16"/>
      <c r="K819" s="16"/>
      <c r="L819" s="16"/>
      <c r="M819" s="16"/>
      <c r="N819" s="5" t="s">
        <v>112</v>
      </c>
      <c r="O819" s="16" t="str">
        <f t="shared" si="1"/>
        <v>#</v>
      </c>
      <c r="P819" s="16" t="str">
        <f t="shared" si="2"/>
        <v>#videoGame</v>
      </c>
      <c r="R819" s="16" t="str">
        <f>"("""&amp;C819&amp;""") ("&amp;Vlookup(E819,DropDown!B:C,2,FALSE)&amp; " OR ""Video Game"" OR Playstation OR iOS OR PS4 OR PS5 OR Xbox OR Switch OR Swtich 2 OR PC)"</f>
        <v>#N/A</v>
      </c>
      <c r="S819" s="44" t="str">
        <f>"("""&amp;C819&amp;""") ("&amp;Vlookup(E819,DropDown!K:L,2,FALSE)&amp; " | ""Video Game"" | Playstation | iOS | PS4 | PS5 | Xbox | Switch | Switch 2 | PC)"</f>
        <v>#N/A</v>
      </c>
      <c r="T819" s="44"/>
      <c r="U819" s="44"/>
      <c r="V819" s="44"/>
      <c r="W819" s="44"/>
      <c r="X819" s="44"/>
      <c r="Z819" s="44"/>
    </row>
    <row r="820">
      <c r="A820" s="16"/>
      <c r="B820" s="16"/>
      <c r="E820" s="16"/>
      <c r="F820" s="16"/>
      <c r="G820" s="16"/>
      <c r="H820" s="16"/>
      <c r="I820" s="16"/>
      <c r="J820" s="16"/>
      <c r="K820" s="16"/>
      <c r="L820" s="16"/>
      <c r="M820" s="16"/>
      <c r="N820" s="5" t="s">
        <v>112</v>
      </c>
      <c r="O820" s="16" t="str">
        <f t="shared" si="1"/>
        <v>#</v>
      </c>
      <c r="P820" s="16" t="str">
        <f t="shared" si="2"/>
        <v>#videoGame</v>
      </c>
      <c r="R820" s="16" t="str">
        <f>"("""&amp;C820&amp;""") ("&amp;Vlookup(E820,DropDown!B:C,2,FALSE)&amp; " OR ""Video Game"" OR Playstation OR iOS OR PS4 OR PS5 OR Xbox OR Switch OR Swtich 2 OR PC)"</f>
        <v>#N/A</v>
      </c>
      <c r="S820" s="44" t="str">
        <f>"("""&amp;C820&amp;""") ("&amp;Vlookup(E820,DropDown!K:L,2,FALSE)&amp; " | ""Video Game"" | Playstation | iOS | PS4 | PS5 | Xbox | Switch | Switch 2 | PC)"</f>
        <v>#N/A</v>
      </c>
      <c r="T820" s="44"/>
      <c r="U820" s="44"/>
      <c r="V820" s="44"/>
      <c r="W820" s="44"/>
      <c r="X820" s="44"/>
      <c r="Z820" s="44"/>
    </row>
    <row r="821">
      <c r="A821" s="16"/>
      <c r="B821" s="16"/>
      <c r="E821" s="16"/>
      <c r="F821" s="16"/>
      <c r="G821" s="16"/>
      <c r="H821" s="16"/>
      <c r="I821" s="16"/>
      <c r="J821" s="16"/>
      <c r="K821" s="16"/>
      <c r="L821" s="16"/>
      <c r="M821" s="16"/>
      <c r="N821" s="5" t="s">
        <v>112</v>
      </c>
      <c r="O821" s="16" t="str">
        <f t="shared" si="1"/>
        <v>#</v>
      </c>
      <c r="P821" s="16" t="str">
        <f t="shared" si="2"/>
        <v>#videoGame</v>
      </c>
      <c r="R821" s="16" t="str">
        <f>"("""&amp;C821&amp;""") ("&amp;Vlookup(E821,DropDown!B:C,2,FALSE)&amp; " OR ""Video Game"" OR Playstation OR iOS OR PS4 OR PS5 OR Xbox OR Switch OR Swtich 2 OR PC)"</f>
        <v>#N/A</v>
      </c>
      <c r="S821" s="44" t="str">
        <f>"("""&amp;C821&amp;""") ("&amp;Vlookup(E821,DropDown!K:L,2,FALSE)&amp; " | ""Video Game"" | Playstation | iOS | PS4 | PS5 | Xbox | Switch | Switch 2 | PC)"</f>
        <v>#N/A</v>
      </c>
      <c r="T821" s="44"/>
      <c r="U821" s="44"/>
      <c r="V821" s="44"/>
      <c r="W821" s="44"/>
      <c r="X821" s="44"/>
      <c r="Z821" s="44"/>
    </row>
    <row r="822">
      <c r="A822" s="16"/>
      <c r="B822" s="16"/>
      <c r="E822" s="16"/>
      <c r="F822" s="16"/>
      <c r="G822" s="16"/>
      <c r="H822" s="16"/>
      <c r="I822" s="16"/>
      <c r="J822" s="16"/>
      <c r="K822" s="16"/>
      <c r="L822" s="16"/>
      <c r="M822" s="16"/>
      <c r="N822" s="5" t="s">
        <v>112</v>
      </c>
      <c r="O822" s="16" t="str">
        <f t="shared" si="1"/>
        <v>#</v>
      </c>
      <c r="P822" s="16" t="str">
        <f t="shared" si="2"/>
        <v>#videoGame</v>
      </c>
      <c r="R822" s="16" t="str">
        <f>"("""&amp;C822&amp;""") ("&amp;Vlookup(E822,DropDown!B:C,2,FALSE)&amp; " OR ""Video Game"" OR Playstation OR iOS OR PS4 OR PS5 OR Xbox OR Switch OR Swtich 2 OR PC)"</f>
        <v>#N/A</v>
      </c>
      <c r="S822" s="44" t="str">
        <f>"("""&amp;C822&amp;""") ("&amp;Vlookup(E822,DropDown!K:L,2,FALSE)&amp; " | ""Video Game"" | Playstation | iOS | PS4 | PS5 | Xbox | Switch | Switch 2 | PC)"</f>
        <v>#N/A</v>
      </c>
      <c r="T822" s="44"/>
      <c r="U822" s="44"/>
      <c r="V822" s="44"/>
      <c r="W822" s="44"/>
      <c r="X822" s="44"/>
      <c r="Z822" s="44"/>
    </row>
    <row r="823">
      <c r="A823" s="16"/>
      <c r="B823" s="16"/>
      <c r="E823" s="16"/>
      <c r="F823" s="16"/>
      <c r="G823" s="16"/>
      <c r="H823" s="16"/>
      <c r="I823" s="16"/>
      <c r="J823" s="16"/>
      <c r="K823" s="16"/>
      <c r="L823" s="16"/>
      <c r="M823" s="16"/>
      <c r="N823" s="5" t="s">
        <v>112</v>
      </c>
      <c r="O823" s="16" t="str">
        <f t="shared" si="1"/>
        <v>#</v>
      </c>
      <c r="P823" s="16" t="str">
        <f t="shared" si="2"/>
        <v>#videoGame</v>
      </c>
      <c r="R823" s="16" t="str">
        <f>"("""&amp;C823&amp;""") ("&amp;Vlookup(E823,DropDown!B:C,2,FALSE)&amp; " OR ""Video Game"" OR Playstation OR iOS OR PS4 OR PS5 OR Xbox OR Switch OR Swtich 2 OR PC)"</f>
        <v>#N/A</v>
      </c>
      <c r="S823" s="44" t="str">
        <f>"("""&amp;C823&amp;""") ("&amp;Vlookup(E823,DropDown!K:L,2,FALSE)&amp; " | ""Video Game"" | Playstation | iOS | PS4 | PS5 | Xbox | Switch | Switch 2 | PC)"</f>
        <v>#N/A</v>
      </c>
      <c r="T823" s="44"/>
      <c r="U823" s="44"/>
      <c r="V823" s="44"/>
      <c r="W823" s="44"/>
      <c r="X823" s="44"/>
      <c r="Z823" s="44"/>
    </row>
    <row r="824">
      <c r="A824" s="16"/>
      <c r="B824" s="16"/>
      <c r="E824" s="16"/>
      <c r="F824" s="16"/>
      <c r="G824" s="16"/>
      <c r="H824" s="16"/>
      <c r="I824" s="16"/>
      <c r="J824" s="16"/>
      <c r="K824" s="16"/>
      <c r="L824" s="16"/>
      <c r="M824" s="16"/>
      <c r="N824" s="5" t="s">
        <v>112</v>
      </c>
      <c r="O824" s="16" t="str">
        <f t="shared" si="1"/>
        <v>#</v>
      </c>
      <c r="P824" s="16" t="str">
        <f t="shared" si="2"/>
        <v>#videoGame</v>
      </c>
      <c r="R824" s="16" t="str">
        <f>"("""&amp;C824&amp;""") ("&amp;Vlookup(E824,DropDown!B:C,2,FALSE)&amp; " OR ""Video Game"" OR Playstation OR iOS OR PS4 OR PS5 OR Xbox OR Switch OR Swtich 2 OR PC)"</f>
        <v>#N/A</v>
      </c>
      <c r="S824" s="44" t="str">
        <f>"("""&amp;C824&amp;""") ("&amp;Vlookup(E824,DropDown!K:L,2,FALSE)&amp; " | ""Video Game"" | Playstation | iOS | PS4 | PS5 | Xbox | Switch | Switch 2 | PC)"</f>
        <v>#N/A</v>
      </c>
      <c r="T824" s="44"/>
      <c r="U824" s="44"/>
      <c r="V824" s="44"/>
      <c r="W824" s="44"/>
      <c r="X824" s="44"/>
      <c r="Z824" s="44"/>
    </row>
    <row r="825">
      <c r="A825" s="16"/>
      <c r="B825" s="16"/>
      <c r="E825" s="16"/>
      <c r="F825" s="16"/>
      <c r="G825" s="16"/>
      <c r="H825" s="16"/>
      <c r="I825" s="16"/>
      <c r="J825" s="16"/>
      <c r="K825" s="16"/>
      <c r="L825" s="16"/>
      <c r="M825" s="16"/>
      <c r="N825" s="5" t="s">
        <v>112</v>
      </c>
      <c r="O825" s="16" t="str">
        <f t="shared" si="1"/>
        <v>#</v>
      </c>
      <c r="P825" s="16" t="str">
        <f t="shared" si="2"/>
        <v>#videoGame</v>
      </c>
      <c r="R825" s="16" t="str">
        <f>"("""&amp;C825&amp;""") ("&amp;Vlookup(E825,DropDown!B:C,2,FALSE)&amp; " OR ""Video Game"" OR Playstation OR iOS OR PS4 OR PS5 OR Xbox OR Switch OR Swtich 2 OR PC)"</f>
        <v>#N/A</v>
      </c>
      <c r="S825" s="44" t="str">
        <f>"("""&amp;C825&amp;""") ("&amp;Vlookup(E825,DropDown!K:L,2,FALSE)&amp; " | ""Video Game"" | Playstation | iOS | PS4 | PS5 | Xbox | Switch | Switch 2 | PC)"</f>
        <v>#N/A</v>
      </c>
      <c r="T825" s="44"/>
      <c r="U825" s="44"/>
      <c r="V825" s="44"/>
      <c r="W825" s="44"/>
      <c r="X825" s="44"/>
      <c r="Z825" s="44"/>
    </row>
    <row r="826">
      <c r="A826" s="16"/>
      <c r="B826" s="16"/>
      <c r="E826" s="16"/>
      <c r="F826" s="16"/>
      <c r="G826" s="16"/>
      <c r="H826" s="16"/>
      <c r="I826" s="16"/>
      <c r="J826" s="16"/>
      <c r="K826" s="16"/>
      <c r="L826" s="16"/>
      <c r="M826" s="16"/>
      <c r="N826" s="5" t="s">
        <v>112</v>
      </c>
      <c r="O826" s="16" t="str">
        <f t="shared" si="1"/>
        <v>#</v>
      </c>
      <c r="P826" s="16" t="str">
        <f t="shared" si="2"/>
        <v>#videoGame</v>
      </c>
      <c r="R826" s="16" t="str">
        <f>"("""&amp;C826&amp;""") ("&amp;Vlookup(E826,DropDown!B:C,2,FALSE)&amp; " OR ""Video Game"" OR Playstation OR iOS OR PS4 OR PS5 OR Xbox OR Switch OR Swtich 2 OR PC)"</f>
        <v>#N/A</v>
      </c>
      <c r="S826" s="44" t="str">
        <f>"("""&amp;C826&amp;""") ("&amp;Vlookup(E826,DropDown!K:L,2,FALSE)&amp; " | ""Video Game"" | Playstation | iOS | PS4 | PS5 | Xbox | Switch | Switch 2 | PC)"</f>
        <v>#N/A</v>
      </c>
      <c r="T826" s="44"/>
      <c r="U826" s="44"/>
      <c r="V826" s="44"/>
      <c r="W826" s="44"/>
      <c r="X826" s="44"/>
      <c r="Z826" s="44"/>
    </row>
    <row r="827">
      <c r="A827" s="16"/>
      <c r="B827" s="16"/>
      <c r="E827" s="16"/>
      <c r="F827" s="16"/>
      <c r="G827" s="16"/>
      <c r="H827" s="16"/>
      <c r="I827" s="16"/>
      <c r="J827" s="16"/>
      <c r="K827" s="16"/>
      <c r="L827" s="16"/>
      <c r="M827" s="16"/>
      <c r="N827" s="5" t="s">
        <v>112</v>
      </c>
      <c r="O827" s="16" t="str">
        <f t="shared" si="1"/>
        <v>#</v>
      </c>
      <c r="P827" s="16" t="str">
        <f t="shared" si="2"/>
        <v>#videoGame</v>
      </c>
      <c r="R827" s="16" t="str">
        <f>"("""&amp;C827&amp;""") ("&amp;Vlookup(E827,DropDown!B:C,2,FALSE)&amp; " OR ""Video Game"" OR Playstation OR iOS OR PS4 OR PS5 OR Xbox OR Switch OR Swtich 2 OR PC)"</f>
        <v>#N/A</v>
      </c>
      <c r="S827" s="44" t="str">
        <f>"("""&amp;C827&amp;""") ("&amp;Vlookup(E827,DropDown!K:L,2,FALSE)&amp; " | ""Video Game"" | Playstation | iOS | PS4 | PS5 | Xbox | Switch | Switch 2 | PC)"</f>
        <v>#N/A</v>
      </c>
      <c r="T827" s="44"/>
      <c r="U827" s="44"/>
      <c r="V827" s="44"/>
      <c r="W827" s="44"/>
      <c r="X827" s="44"/>
      <c r="Z827" s="44"/>
    </row>
    <row r="828">
      <c r="A828" s="16"/>
      <c r="B828" s="16"/>
      <c r="E828" s="16"/>
      <c r="F828" s="16"/>
      <c r="G828" s="16"/>
      <c r="H828" s="16"/>
      <c r="I828" s="16"/>
      <c r="J828" s="16"/>
      <c r="K828" s="16"/>
      <c r="L828" s="16"/>
      <c r="M828" s="16"/>
      <c r="N828" s="5" t="s">
        <v>112</v>
      </c>
      <c r="O828" s="16" t="str">
        <f t="shared" si="1"/>
        <v>#</v>
      </c>
      <c r="P828" s="16" t="str">
        <f t="shared" si="2"/>
        <v>#videoGame</v>
      </c>
      <c r="R828" s="16" t="str">
        <f>"("""&amp;C828&amp;""") ("&amp;Vlookup(E828,DropDown!B:C,2,FALSE)&amp; " OR ""Video Game"" OR Playstation OR iOS OR PS4 OR PS5 OR Xbox OR Switch OR Swtich 2 OR PC)"</f>
        <v>#N/A</v>
      </c>
      <c r="S828" s="44" t="str">
        <f>"("""&amp;C828&amp;""") ("&amp;Vlookup(E828,DropDown!K:L,2,FALSE)&amp; " | ""Video Game"" | Playstation | iOS | PS4 | PS5 | Xbox | Switch | Switch 2 | PC)"</f>
        <v>#N/A</v>
      </c>
      <c r="T828" s="44"/>
      <c r="U828" s="44"/>
      <c r="V828" s="44"/>
      <c r="W828" s="44"/>
      <c r="X828" s="44"/>
      <c r="Z828" s="44"/>
    </row>
    <row r="829">
      <c r="A829" s="16"/>
      <c r="B829" s="16"/>
      <c r="E829" s="16"/>
      <c r="F829" s="16"/>
      <c r="G829" s="16"/>
      <c r="H829" s="16"/>
      <c r="I829" s="16"/>
      <c r="J829" s="16"/>
      <c r="K829" s="16"/>
      <c r="L829" s="16"/>
      <c r="M829" s="16"/>
      <c r="N829" s="5" t="s">
        <v>112</v>
      </c>
      <c r="O829" s="16" t="str">
        <f t="shared" si="1"/>
        <v>#</v>
      </c>
      <c r="P829" s="16" t="str">
        <f t="shared" si="2"/>
        <v>#videoGame</v>
      </c>
      <c r="R829" s="16" t="str">
        <f>"("""&amp;C829&amp;""") ("&amp;Vlookup(E829,DropDown!B:C,2,FALSE)&amp; " OR ""Video Game"" OR Playstation OR iOS OR PS4 OR PS5 OR Xbox OR Switch OR Swtich 2 OR PC)"</f>
        <v>#N/A</v>
      </c>
      <c r="S829" s="44" t="str">
        <f>"("""&amp;C829&amp;""") ("&amp;Vlookup(E829,DropDown!K:L,2,FALSE)&amp; " | ""Video Game"" | Playstation | iOS | PS4 | PS5 | Xbox | Switch | Switch 2 | PC)"</f>
        <v>#N/A</v>
      </c>
      <c r="T829" s="44"/>
      <c r="U829" s="44"/>
      <c r="V829" s="44"/>
      <c r="W829" s="44"/>
      <c r="X829" s="44"/>
      <c r="Z829" s="44"/>
    </row>
    <row r="830">
      <c r="A830" s="16"/>
      <c r="B830" s="16"/>
      <c r="E830" s="16"/>
      <c r="F830" s="16"/>
      <c r="G830" s="16"/>
      <c r="H830" s="16"/>
      <c r="I830" s="16"/>
      <c r="J830" s="16"/>
      <c r="K830" s="16"/>
      <c r="L830" s="16"/>
      <c r="M830" s="16"/>
      <c r="N830" s="5" t="s">
        <v>112</v>
      </c>
      <c r="O830" s="16" t="str">
        <f t="shared" si="1"/>
        <v>#</v>
      </c>
      <c r="P830" s="16" t="str">
        <f t="shared" si="2"/>
        <v>#videoGame</v>
      </c>
      <c r="R830" s="16" t="str">
        <f>"("""&amp;C830&amp;""") ("&amp;Vlookup(E830,DropDown!B:C,2,FALSE)&amp; " OR ""Video Game"" OR Playstation OR iOS OR PS4 OR PS5 OR Xbox OR Switch OR Swtich 2 OR PC)"</f>
        <v>#N/A</v>
      </c>
      <c r="S830" s="44" t="str">
        <f>"("""&amp;C830&amp;""") ("&amp;Vlookup(E830,DropDown!K:L,2,FALSE)&amp; " | ""Video Game"" | Playstation | iOS | PS4 | PS5 | Xbox | Switch | Switch 2 | PC)"</f>
        <v>#N/A</v>
      </c>
      <c r="T830" s="44"/>
      <c r="U830" s="44"/>
      <c r="V830" s="44"/>
      <c r="W830" s="44"/>
      <c r="X830" s="44"/>
      <c r="Z830" s="44"/>
    </row>
    <row r="831">
      <c r="A831" s="16"/>
      <c r="B831" s="16"/>
      <c r="E831" s="16"/>
      <c r="F831" s="16"/>
      <c r="G831" s="16"/>
      <c r="H831" s="16"/>
      <c r="I831" s="16"/>
      <c r="J831" s="16"/>
      <c r="K831" s="16"/>
      <c r="L831" s="16"/>
      <c r="M831" s="16"/>
      <c r="N831" s="5" t="s">
        <v>112</v>
      </c>
      <c r="O831" s="16" t="str">
        <f t="shared" si="1"/>
        <v>#</v>
      </c>
      <c r="P831" s="16" t="str">
        <f t="shared" si="2"/>
        <v>#videoGame</v>
      </c>
      <c r="R831" s="16" t="str">
        <f>"("""&amp;C831&amp;""") ("&amp;Vlookup(E831,DropDown!B:C,2,FALSE)&amp; " OR ""Video Game"" OR Playstation OR iOS OR PS4 OR PS5 OR Xbox OR Switch OR Swtich 2 OR PC)"</f>
        <v>#N/A</v>
      </c>
      <c r="S831" s="44" t="str">
        <f>"("""&amp;C831&amp;""") ("&amp;Vlookup(E831,DropDown!K:L,2,FALSE)&amp; " | ""Video Game"" | Playstation | iOS | PS4 | PS5 | Xbox | Switch | Switch 2 | PC)"</f>
        <v>#N/A</v>
      </c>
      <c r="T831" s="44"/>
      <c r="U831" s="44"/>
      <c r="V831" s="44"/>
      <c r="W831" s="44"/>
      <c r="X831" s="44"/>
      <c r="Z831" s="44"/>
    </row>
    <row r="832">
      <c r="A832" s="16"/>
      <c r="B832" s="16"/>
      <c r="E832" s="16"/>
      <c r="F832" s="16"/>
      <c r="G832" s="16"/>
      <c r="H832" s="16"/>
      <c r="I832" s="16"/>
      <c r="J832" s="16"/>
      <c r="K832" s="16"/>
      <c r="L832" s="16"/>
      <c r="M832" s="16"/>
      <c r="N832" s="5" t="s">
        <v>112</v>
      </c>
      <c r="O832" s="16" t="str">
        <f t="shared" si="1"/>
        <v>#</v>
      </c>
      <c r="P832" s="16" t="str">
        <f t="shared" si="2"/>
        <v>#videoGame</v>
      </c>
      <c r="R832" s="16" t="str">
        <f>"("""&amp;C832&amp;""") ("&amp;Vlookup(E832,DropDown!B:C,2,FALSE)&amp; " OR ""Video Game"" OR Playstation OR iOS OR PS4 OR PS5 OR Xbox OR Switch OR Swtich 2 OR PC)"</f>
        <v>#N/A</v>
      </c>
      <c r="S832" s="44" t="str">
        <f>"("""&amp;C832&amp;""") ("&amp;Vlookup(E832,DropDown!K:L,2,FALSE)&amp; " | ""Video Game"" | Playstation | iOS | PS4 | PS5 | Xbox | Switch | Switch 2 | PC)"</f>
        <v>#N/A</v>
      </c>
      <c r="T832" s="44"/>
      <c r="U832" s="44"/>
      <c r="V832" s="44"/>
      <c r="W832" s="44"/>
      <c r="X832" s="44"/>
      <c r="Z832" s="44"/>
    </row>
    <row r="833">
      <c r="A833" s="16"/>
      <c r="B833" s="16"/>
      <c r="E833" s="16"/>
      <c r="F833" s="16"/>
      <c r="G833" s="16"/>
      <c r="H833" s="16"/>
      <c r="I833" s="16"/>
      <c r="J833" s="16"/>
      <c r="K833" s="16"/>
      <c r="L833" s="16"/>
      <c r="M833" s="16"/>
      <c r="N833" s="5" t="s">
        <v>112</v>
      </c>
      <c r="O833" s="16" t="str">
        <f t="shared" si="1"/>
        <v>#</v>
      </c>
      <c r="P833" s="16" t="str">
        <f t="shared" si="2"/>
        <v>#videoGame</v>
      </c>
      <c r="R833" s="16" t="str">
        <f>"("""&amp;C833&amp;""") ("&amp;Vlookup(E833,DropDown!B:C,2,FALSE)&amp; " OR ""Video Game"" OR Playstation OR iOS OR PS4 OR PS5 OR Xbox OR Switch OR Swtich 2 OR PC)"</f>
        <v>#N/A</v>
      </c>
      <c r="S833" s="44" t="str">
        <f>"("""&amp;C833&amp;""") ("&amp;Vlookup(E833,DropDown!K:L,2,FALSE)&amp; " | ""Video Game"" | Playstation | iOS | PS4 | PS5 | Xbox | Switch | Switch 2 | PC)"</f>
        <v>#N/A</v>
      </c>
      <c r="T833" s="44"/>
      <c r="U833" s="44"/>
      <c r="V833" s="44"/>
      <c r="W833" s="44"/>
      <c r="X833" s="44"/>
      <c r="Z833" s="44"/>
    </row>
    <row r="834">
      <c r="A834" s="16"/>
      <c r="B834" s="16"/>
      <c r="E834" s="16"/>
      <c r="F834" s="16"/>
      <c r="G834" s="16"/>
      <c r="H834" s="16"/>
      <c r="I834" s="16"/>
      <c r="J834" s="16"/>
      <c r="K834" s="16"/>
      <c r="L834" s="16"/>
      <c r="M834" s="16"/>
      <c r="N834" s="5" t="s">
        <v>112</v>
      </c>
      <c r="O834" s="16" t="str">
        <f t="shared" si="1"/>
        <v>#</v>
      </c>
      <c r="P834" s="16" t="str">
        <f t="shared" si="2"/>
        <v>#videoGame</v>
      </c>
      <c r="R834" s="16" t="str">
        <f>"("""&amp;C834&amp;""") ("&amp;Vlookup(E834,DropDown!B:C,2,FALSE)&amp; " OR ""Video Game"" OR Playstation OR iOS OR PS4 OR PS5 OR Xbox OR Switch OR Swtich 2 OR PC)"</f>
        <v>#N/A</v>
      </c>
      <c r="S834" s="44" t="str">
        <f>"("""&amp;C834&amp;""") ("&amp;Vlookup(E834,DropDown!K:L,2,FALSE)&amp; " | ""Video Game"" | Playstation | iOS | PS4 | PS5 | Xbox | Switch | Switch 2 | PC)"</f>
        <v>#N/A</v>
      </c>
      <c r="T834" s="44"/>
      <c r="U834" s="44"/>
      <c r="V834" s="44"/>
      <c r="W834" s="44"/>
      <c r="X834" s="44"/>
      <c r="Z834" s="44"/>
    </row>
    <row r="835">
      <c r="A835" s="16"/>
      <c r="B835" s="16"/>
      <c r="E835" s="16"/>
      <c r="F835" s="16"/>
      <c r="G835" s="16"/>
      <c r="H835" s="16"/>
      <c r="I835" s="16"/>
      <c r="J835" s="16"/>
      <c r="K835" s="16"/>
      <c r="L835" s="16"/>
      <c r="M835" s="16"/>
      <c r="N835" s="5" t="s">
        <v>112</v>
      </c>
      <c r="O835" s="16" t="str">
        <f t="shared" si="1"/>
        <v>#</v>
      </c>
      <c r="P835" s="16" t="str">
        <f t="shared" si="2"/>
        <v>#videoGame</v>
      </c>
      <c r="R835" s="16" t="str">
        <f>"("""&amp;C835&amp;""") ("&amp;Vlookup(E835,DropDown!B:C,2,FALSE)&amp; " OR ""Video Game"" OR Playstation OR iOS OR PS4 OR PS5 OR Xbox OR Switch OR Swtich 2 OR PC)"</f>
        <v>#N/A</v>
      </c>
      <c r="S835" s="44" t="str">
        <f>"("""&amp;C835&amp;""") ("&amp;Vlookup(E835,DropDown!K:L,2,FALSE)&amp; " | ""Video Game"" | Playstation | iOS | PS4 | PS5 | Xbox | Switch | Switch 2 | PC)"</f>
        <v>#N/A</v>
      </c>
      <c r="T835" s="44"/>
      <c r="U835" s="44"/>
      <c r="V835" s="44"/>
      <c r="W835" s="44"/>
      <c r="X835" s="44"/>
      <c r="Z835" s="44"/>
    </row>
    <row r="836">
      <c r="A836" s="16"/>
      <c r="B836" s="16"/>
      <c r="E836" s="16"/>
      <c r="F836" s="16"/>
      <c r="G836" s="16"/>
      <c r="H836" s="16"/>
      <c r="I836" s="16"/>
      <c r="J836" s="16"/>
      <c r="K836" s="16"/>
      <c r="L836" s="16"/>
      <c r="M836" s="16"/>
      <c r="N836" s="5" t="s">
        <v>112</v>
      </c>
      <c r="O836" s="16" t="str">
        <f t="shared" si="1"/>
        <v>#</v>
      </c>
      <c r="P836" s="16" t="str">
        <f t="shared" si="2"/>
        <v>#videoGame</v>
      </c>
      <c r="R836" s="16" t="str">
        <f>"("""&amp;C836&amp;""") ("&amp;Vlookup(E836,DropDown!B:C,2,FALSE)&amp; " OR ""Video Game"" OR Playstation OR iOS OR PS4 OR PS5 OR Xbox OR Switch OR Swtich 2 OR PC)"</f>
        <v>#N/A</v>
      </c>
      <c r="S836" s="44" t="str">
        <f>"("""&amp;C836&amp;""") ("&amp;Vlookup(E836,DropDown!K:L,2,FALSE)&amp; " | ""Video Game"" | Playstation | iOS | PS4 | PS5 | Xbox | Switch | Switch 2 | PC)"</f>
        <v>#N/A</v>
      </c>
      <c r="T836" s="44"/>
      <c r="U836" s="44"/>
      <c r="V836" s="44"/>
      <c r="W836" s="44"/>
      <c r="X836" s="44"/>
      <c r="Z836" s="44"/>
    </row>
    <row r="837">
      <c r="A837" s="16"/>
      <c r="B837" s="16"/>
      <c r="E837" s="16"/>
      <c r="F837" s="16"/>
      <c r="G837" s="16"/>
      <c r="H837" s="16"/>
      <c r="I837" s="16"/>
      <c r="J837" s="16"/>
      <c r="K837" s="16"/>
      <c r="L837" s="16"/>
      <c r="M837" s="16"/>
      <c r="N837" s="5" t="s">
        <v>112</v>
      </c>
      <c r="O837" s="16" t="str">
        <f t="shared" si="1"/>
        <v>#</v>
      </c>
      <c r="P837" s="16" t="str">
        <f t="shared" si="2"/>
        <v>#videoGame</v>
      </c>
      <c r="R837" s="16" t="str">
        <f>"("""&amp;C837&amp;""") ("&amp;Vlookup(E837,DropDown!B:C,2,FALSE)&amp; " OR ""Video Game"" OR Playstation OR iOS OR PS4 OR PS5 OR Xbox OR Switch OR Swtich 2 OR PC)"</f>
        <v>#N/A</v>
      </c>
      <c r="S837" s="44" t="str">
        <f>"("""&amp;C837&amp;""") ("&amp;Vlookup(E837,DropDown!K:L,2,FALSE)&amp; " | ""Video Game"" | Playstation | iOS | PS4 | PS5 | Xbox | Switch | Switch 2 | PC)"</f>
        <v>#N/A</v>
      </c>
      <c r="T837" s="44"/>
      <c r="U837" s="44"/>
      <c r="V837" s="44"/>
      <c r="W837" s="44"/>
      <c r="X837" s="44"/>
      <c r="Z837" s="44"/>
    </row>
    <row r="838">
      <c r="A838" s="16"/>
      <c r="B838" s="16"/>
      <c r="E838" s="16"/>
      <c r="F838" s="16"/>
      <c r="G838" s="16"/>
      <c r="H838" s="16"/>
      <c r="I838" s="16"/>
      <c r="J838" s="16"/>
      <c r="K838" s="16"/>
      <c r="L838" s="16"/>
      <c r="M838" s="16"/>
      <c r="N838" s="5" t="s">
        <v>112</v>
      </c>
      <c r="O838" s="16" t="str">
        <f t="shared" si="1"/>
        <v>#</v>
      </c>
      <c r="P838" s="16" t="str">
        <f t="shared" si="2"/>
        <v>#videoGame</v>
      </c>
      <c r="R838" s="16" t="str">
        <f>"("""&amp;C838&amp;""") ("&amp;Vlookup(E838,DropDown!B:C,2,FALSE)&amp; " OR ""Video Game"" OR Playstation OR iOS OR PS4 OR PS5 OR Xbox OR Switch OR Swtich 2 OR PC)"</f>
        <v>#N/A</v>
      </c>
      <c r="S838" s="44" t="str">
        <f>"("""&amp;C838&amp;""") ("&amp;Vlookup(E838,DropDown!K:L,2,FALSE)&amp; " | ""Video Game"" | Playstation | iOS | PS4 | PS5 | Xbox | Switch | Switch 2 | PC)"</f>
        <v>#N/A</v>
      </c>
      <c r="T838" s="44"/>
      <c r="U838" s="44"/>
      <c r="V838" s="44"/>
      <c r="W838" s="44"/>
      <c r="X838" s="44"/>
      <c r="Z838" s="44"/>
    </row>
    <row r="839">
      <c r="A839" s="16"/>
      <c r="B839" s="16"/>
      <c r="E839" s="16"/>
      <c r="F839" s="16"/>
      <c r="G839" s="16"/>
      <c r="H839" s="16"/>
      <c r="I839" s="16"/>
      <c r="J839" s="16"/>
      <c r="K839" s="16"/>
      <c r="L839" s="16"/>
      <c r="M839" s="16"/>
      <c r="N839" s="5" t="s">
        <v>112</v>
      </c>
      <c r="O839" s="16" t="str">
        <f t="shared" si="1"/>
        <v>#</v>
      </c>
      <c r="P839" s="16" t="str">
        <f t="shared" si="2"/>
        <v>#videoGame</v>
      </c>
      <c r="R839" s="16" t="str">
        <f>"("""&amp;C839&amp;""") ("&amp;Vlookup(E839,DropDown!B:C,2,FALSE)&amp; " OR ""Video Game"" OR Playstation OR iOS OR PS4 OR PS5 OR Xbox OR Switch OR Swtich 2 OR PC)"</f>
        <v>#N/A</v>
      </c>
      <c r="S839" s="44" t="str">
        <f>"("""&amp;C839&amp;""") ("&amp;Vlookup(E839,DropDown!K:L,2,FALSE)&amp; " | ""Video Game"" | Playstation | iOS | PS4 | PS5 | Xbox | Switch | Switch 2 | PC)"</f>
        <v>#N/A</v>
      </c>
      <c r="T839" s="44"/>
      <c r="U839" s="44"/>
      <c r="V839" s="44"/>
      <c r="W839" s="44"/>
      <c r="X839" s="44"/>
      <c r="Z839" s="44"/>
    </row>
    <row r="840">
      <c r="A840" s="16"/>
      <c r="B840" s="16"/>
      <c r="E840" s="16"/>
      <c r="F840" s="16"/>
      <c r="G840" s="16"/>
      <c r="H840" s="16"/>
      <c r="I840" s="16"/>
      <c r="J840" s="16"/>
      <c r="K840" s="16"/>
      <c r="L840" s="16"/>
      <c r="M840" s="16"/>
      <c r="N840" s="5" t="s">
        <v>112</v>
      </c>
      <c r="O840" s="16" t="str">
        <f t="shared" si="1"/>
        <v>#</v>
      </c>
      <c r="P840" s="16" t="str">
        <f t="shared" si="2"/>
        <v>#videoGame</v>
      </c>
      <c r="R840" s="16" t="str">
        <f>"("""&amp;C840&amp;""") ("&amp;Vlookup(E840,DropDown!B:C,2,FALSE)&amp; " OR ""Video Game"" OR Playstation OR iOS OR PS4 OR PS5 OR Xbox OR Switch OR Swtich 2 OR PC)"</f>
        <v>#N/A</v>
      </c>
      <c r="S840" s="44" t="str">
        <f>"("""&amp;C840&amp;""") ("&amp;Vlookup(E840,DropDown!K:L,2,FALSE)&amp; " | ""Video Game"" | Playstation | iOS | PS4 | PS5 | Xbox | Switch | Switch 2 | PC)"</f>
        <v>#N/A</v>
      </c>
      <c r="T840" s="44"/>
      <c r="U840" s="44"/>
      <c r="V840" s="44"/>
      <c r="W840" s="44"/>
      <c r="X840" s="44"/>
      <c r="Z840" s="44"/>
    </row>
    <row r="841">
      <c r="A841" s="16"/>
      <c r="B841" s="16"/>
      <c r="E841" s="16"/>
      <c r="F841" s="16"/>
      <c r="G841" s="16"/>
      <c r="H841" s="16"/>
      <c r="I841" s="16"/>
      <c r="J841" s="16"/>
      <c r="K841" s="16"/>
      <c r="L841" s="16"/>
      <c r="M841" s="16"/>
      <c r="N841" s="5" t="s">
        <v>112</v>
      </c>
      <c r="O841" s="16" t="str">
        <f t="shared" si="1"/>
        <v>#</v>
      </c>
      <c r="P841" s="16" t="str">
        <f t="shared" si="2"/>
        <v>#videoGame</v>
      </c>
      <c r="R841" s="16" t="str">
        <f>"("""&amp;C841&amp;""") ("&amp;Vlookup(E841,DropDown!B:C,2,FALSE)&amp; " OR ""Video Game"" OR Playstation OR iOS OR PS4 OR PS5 OR Xbox OR Switch OR Swtich 2 OR PC)"</f>
        <v>#N/A</v>
      </c>
      <c r="S841" s="44" t="str">
        <f>"("""&amp;C841&amp;""") ("&amp;Vlookup(E841,DropDown!K:L,2,FALSE)&amp; " | ""Video Game"" | Playstation | iOS | PS4 | PS5 | Xbox | Switch | Switch 2 | PC)"</f>
        <v>#N/A</v>
      </c>
      <c r="T841" s="44"/>
      <c r="U841" s="44"/>
      <c r="V841" s="44"/>
      <c r="W841" s="44"/>
      <c r="X841" s="44"/>
      <c r="Z841" s="44"/>
    </row>
    <row r="842">
      <c r="A842" s="16"/>
      <c r="B842" s="16"/>
      <c r="E842" s="16"/>
      <c r="F842" s="16"/>
      <c r="G842" s="16"/>
      <c r="H842" s="16"/>
      <c r="I842" s="16"/>
      <c r="J842" s="16"/>
      <c r="K842" s="16"/>
      <c r="L842" s="16"/>
      <c r="M842" s="16"/>
      <c r="N842" s="5" t="s">
        <v>112</v>
      </c>
      <c r="O842" s="16" t="str">
        <f t="shared" si="1"/>
        <v>#</v>
      </c>
      <c r="P842" s="16" t="str">
        <f t="shared" si="2"/>
        <v>#videoGame</v>
      </c>
      <c r="R842" s="16" t="str">
        <f>"("""&amp;C842&amp;""") ("&amp;Vlookup(E842,DropDown!B:C,2,FALSE)&amp; " OR ""Video Game"" OR Playstation OR iOS OR PS4 OR PS5 OR Xbox OR Switch OR Swtich 2 OR PC)"</f>
        <v>#N/A</v>
      </c>
      <c r="S842" s="44" t="str">
        <f>"("""&amp;C842&amp;""") ("&amp;Vlookup(E842,DropDown!K:L,2,FALSE)&amp; " | ""Video Game"" | Playstation | iOS | PS4 | PS5 | Xbox | Switch | Switch 2 | PC)"</f>
        <v>#N/A</v>
      </c>
      <c r="T842" s="44"/>
      <c r="U842" s="44"/>
      <c r="V842" s="44"/>
      <c r="W842" s="44"/>
      <c r="X842" s="44"/>
      <c r="Z842" s="44"/>
    </row>
    <row r="843">
      <c r="A843" s="16"/>
      <c r="B843" s="16"/>
      <c r="E843" s="16"/>
      <c r="F843" s="16"/>
      <c r="G843" s="16"/>
      <c r="H843" s="16"/>
      <c r="I843" s="16"/>
      <c r="J843" s="16"/>
      <c r="K843" s="16"/>
      <c r="L843" s="16"/>
      <c r="M843" s="16"/>
      <c r="N843" s="5" t="s">
        <v>112</v>
      </c>
      <c r="O843" s="16" t="str">
        <f t="shared" si="1"/>
        <v>#</v>
      </c>
      <c r="P843" s="16" t="str">
        <f t="shared" si="2"/>
        <v>#videoGame</v>
      </c>
      <c r="R843" s="16" t="str">
        <f>"("""&amp;C843&amp;""") ("&amp;Vlookup(E843,DropDown!B:C,2,FALSE)&amp; " OR ""Video Game"" OR Playstation OR iOS OR PS4 OR PS5 OR Xbox OR Switch OR Swtich 2 OR PC)"</f>
        <v>#N/A</v>
      </c>
      <c r="S843" s="44" t="str">
        <f>"("""&amp;C843&amp;""") ("&amp;Vlookup(E843,DropDown!K:L,2,FALSE)&amp; " | ""Video Game"" | Playstation | iOS | PS4 | PS5 | Xbox | Switch | Switch 2 | PC)"</f>
        <v>#N/A</v>
      </c>
      <c r="T843" s="44"/>
      <c r="U843" s="44"/>
      <c r="V843" s="44"/>
      <c r="W843" s="44"/>
      <c r="X843" s="44"/>
      <c r="Z843" s="44"/>
    </row>
    <row r="844">
      <c r="A844" s="16"/>
      <c r="B844" s="16"/>
      <c r="E844" s="16"/>
      <c r="F844" s="16"/>
      <c r="G844" s="16"/>
      <c r="H844" s="16"/>
      <c r="I844" s="16"/>
      <c r="J844" s="16"/>
      <c r="K844" s="16"/>
      <c r="L844" s="16"/>
      <c r="M844" s="16"/>
      <c r="N844" s="5" t="s">
        <v>112</v>
      </c>
      <c r="O844" s="16" t="str">
        <f t="shared" si="1"/>
        <v>#</v>
      </c>
      <c r="P844" s="16" t="str">
        <f t="shared" si="2"/>
        <v>#videoGame</v>
      </c>
      <c r="R844" s="16" t="str">
        <f>"("""&amp;C844&amp;""") ("&amp;Vlookup(E844,DropDown!B:C,2,FALSE)&amp; " OR ""Video Game"" OR Playstation OR iOS OR PS4 OR PS5 OR Xbox OR Switch OR Swtich 2 OR PC)"</f>
        <v>#N/A</v>
      </c>
      <c r="S844" s="44" t="str">
        <f>"("""&amp;C844&amp;""") ("&amp;Vlookup(E844,DropDown!K:L,2,FALSE)&amp; " | ""Video Game"" | Playstation | iOS | PS4 | PS5 | Xbox | Switch | Switch 2 | PC)"</f>
        <v>#N/A</v>
      </c>
      <c r="T844" s="44"/>
      <c r="U844" s="44"/>
      <c r="V844" s="44"/>
      <c r="W844" s="44"/>
      <c r="X844" s="44"/>
      <c r="Z844" s="44"/>
    </row>
    <row r="845">
      <c r="A845" s="16"/>
      <c r="B845" s="16"/>
      <c r="E845" s="16"/>
      <c r="F845" s="16"/>
      <c r="G845" s="16"/>
      <c r="H845" s="16"/>
      <c r="I845" s="16"/>
      <c r="J845" s="16"/>
      <c r="K845" s="16"/>
      <c r="L845" s="16"/>
      <c r="M845" s="16"/>
      <c r="N845" s="5" t="s">
        <v>112</v>
      </c>
      <c r="O845" s="16" t="str">
        <f t="shared" si="1"/>
        <v>#</v>
      </c>
      <c r="P845" s="16" t="str">
        <f t="shared" si="2"/>
        <v>#videoGame</v>
      </c>
      <c r="R845" s="16" t="str">
        <f>"("""&amp;C845&amp;""") ("&amp;Vlookup(E845,DropDown!B:C,2,FALSE)&amp; " OR ""Video Game"" OR Playstation OR iOS OR PS4 OR PS5 OR Xbox OR Switch OR Swtich 2 OR PC)"</f>
        <v>#N/A</v>
      </c>
      <c r="S845" s="44" t="str">
        <f>"("""&amp;C845&amp;""") ("&amp;Vlookup(E845,DropDown!K:L,2,FALSE)&amp; " | ""Video Game"" | Playstation | iOS | PS4 | PS5 | Xbox | Switch | Switch 2 | PC)"</f>
        <v>#N/A</v>
      </c>
      <c r="T845" s="44"/>
      <c r="U845" s="44"/>
      <c r="V845" s="44"/>
      <c r="W845" s="44"/>
      <c r="X845" s="44"/>
      <c r="Z845" s="44"/>
    </row>
    <row r="846">
      <c r="A846" s="16"/>
      <c r="B846" s="16"/>
      <c r="E846" s="16"/>
      <c r="F846" s="16"/>
      <c r="G846" s="16"/>
      <c r="H846" s="16"/>
      <c r="I846" s="16"/>
      <c r="J846" s="16"/>
      <c r="K846" s="16"/>
      <c r="L846" s="16"/>
      <c r="M846" s="16"/>
      <c r="N846" s="5" t="s">
        <v>112</v>
      </c>
      <c r="O846" s="16" t="str">
        <f t="shared" si="1"/>
        <v>#</v>
      </c>
      <c r="P846" s="16" t="str">
        <f t="shared" si="2"/>
        <v>#videoGame</v>
      </c>
      <c r="R846" s="16" t="str">
        <f>"("""&amp;C846&amp;""") ("&amp;Vlookup(E846,DropDown!B:C,2,FALSE)&amp; " OR ""Video Game"" OR Playstation OR iOS OR PS4 OR PS5 OR Xbox OR Switch OR Swtich 2 OR PC)"</f>
        <v>#N/A</v>
      </c>
      <c r="S846" s="44" t="str">
        <f>"("""&amp;C846&amp;""") ("&amp;Vlookup(E846,DropDown!K:L,2,FALSE)&amp; " | ""Video Game"" | Playstation | iOS | PS4 | PS5 | Xbox | Switch | Switch 2 | PC)"</f>
        <v>#N/A</v>
      </c>
      <c r="T846" s="44"/>
      <c r="U846" s="44"/>
      <c r="V846" s="44"/>
      <c r="W846" s="44"/>
      <c r="X846" s="44"/>
      <c r="Z846" s="44"/>
    </row>
    <row r="847">
      <c r="A847" s="16"/>
      <c r="B847" s="16"/>
      <c r="E847" s="16"/>
      <c r="F847" s="16"/>
      <c r="G847" s="16"/>
      <c r="H847" s="16"/>
      <c r="I847" s="16"/>
      <c r="J847" s="16"/>
      <c r="K847" s="16"/>
      <c r="L847" s="16"/>
      <c r="M847" s="16"/>
      <c r="N847" s="5" t="s">
        <v>112</v>
      </c>
      <c r="O847" s="16" t="str">
        <f t="shared" si="1"/>
        <v>#</v>
      </c>
      <c r="P847" s="16" t="str">
        <f t="shared" si="2"/>
        <v>#videoGame</v>
      </c>
      <c r="R847" s="16" t="str">
        <f>"("""&amp;C847&amp;""") ("&amp;Vlookup(E847,DropDown!B:C,2,FALSE)&amp; " OR ""Video Game"" OR Playstation OR iOS OR PS4 OR PS5 OR Xbox OR Switch OR Swtich 2 OR PC)"</f>
        <v>#N/A</v>
      </c>
      <c r="S847" s="44" t="str">
        <f>"("""&amp;C847&amp;""") ("&amp;Vlookup(E847,DropDown!K:L,2,FALSE)&amp; " | ""Video Game"" | Playstation | iOS | PS4 | PS5 | Xbox | Switch | Switch 2 | PC)"</f>
        <v>#N/A</v>
      </c>
      <c r="T847" s="44"/>
      <c r="U847" s="44"/>
      <c r="V847" s="44"/>
      <c r="W847" s="44"/>
      <c r="X847" s="44"/>
      <c r="Z847" s="44"/>
    </row>
    <row r="848">
      <c r="A848" s="16"/>
      <c r="B848" s="16"/>
      <c r="E848" s="16"/>
      <c r="F848" s="16"/>
      <c r="G848" s="16"/>
      <c r="H848" s="16"/>
      <c r="I848" s="16"/>
      <c r="J848" s="16"/>
      <c r="K848" s="16"/>
      <c r="L848" s="16"/>
      <c r="M848" s="16"/>
      <c r="N848" s="5" t="s">
        <v>112</v>
      </c>
      <c r="O848" s="16" t="str">
        <f t="shared" si="1"/>
        <v>#</v>
      </c>
      <c r="P848" s="16" t="str">
        <f t="shared" si="2"/>
        <v>#videoGame</v>
      </c>
      <c r="R848" s="16" t="str">
        <f>"("""&amp;C848&amp;""") ("&amp;Vlookup(E848,DropDown!B:C,2,FALSE)&amp; " OR ""Video Game"" OR Playstation OR iOS OR PS4 OR PS5 OR Xbox OR Switch OR Swtich 2 OR PC)"</f>
        <v>#N/A</v>
      </c>
      <c r="S848" s="44" t="str">
        <f>"("""&amp;C848&amp;""") ("&amp;Vlookup(E848,DropDown!K:L,2,FALSE)&amp; " | ""Video Game"" | Playstation | iOS | PS4 | PS5 | Xbox | Switch | Switch 2 | PC)"</f>
        <v>#N/A</v>
      </c>
      <c r="T848" s="44"/>
      <c r="U848" s="44"/>
      <c r="V848" s="44"/>
      <c r="W848" s="44"/>
      <c r="X848" s="44"/>
      <c r="Z848" s="44"/>
    </row>
    <row r="849">
      <c r="A849" s="16"/>
      <c r="B849" s="16"/>
      <c r="E849" s="16"/>
      <c r="F849" s="16"/>
      <c r="G849" s="16"/>
      <c r="H849" s="16"/>
      <c r="I849" s="16"/>
      <c r="J849" s="16"/>
      <c r="K849" s="16"/>
      <c r="L849" s="16"/>
      <c r="M849" s="16"/>
      <c r="N849" s="5" t="s">
        <v>112</v>
      </c>
      <c r="O849" s="16" t="str">
        <f t="shared" si="1"/>
        <v>#</v>
      </c>
      <c r="P849" s="16" t="str">
        <f t="shared" si="2"/>
        <v>#videoGame</v>
      </c>
      <c r="R849" s="16" t="str">
        <f>"("""&amp;C849&amp;""") ("&amp;Vlookup(E849,DropDown!B:C,2,FALSE)&amp; " OR ""Video Game"" OR Playstation OR iOS OR PS4 OR PS5 OR Xbox OR Switch OR Swtich 2 OR PC)"</f>
        <v>#N/A</v>
      </c>
      <c r="S849" s="44" t="str">
        <f>"("""&amp;C849&amp;""") ("&amp;Vlookup(E849,DropDown!K:L,2,FALSE)&amp; " | ""Video Game"" | Playstation | iOS | PS4 | PS5 | Xbox | Switch | Switch 2 | PC)"</f>
        <v>#N/A</v>
      </c>
      <c r="T849" s="44"/>
      <c r="U849" s="44"/>
      <c r="V849" s="44"/>
      <c r="W849" s="44"/>
      <c r="X849" s="44"/>
      <c r="Z849" s="44"/>
    </row>
    <row r="850">
      <c r="A850" s="16"/>
      <c r="B850" s="16"/>
      <c r="E850" s="16"/>
      <c r="F850" s="16"/>
      <c r="G850" s="16"/>
      <c r="H850" s="16"/>
      <c r="I850" s="16"/>
      <c r="J850" s="16"/>
      <c r="K850" s="16"/>
      <c r="L850" s="16"/>
      <c r="M850" s="16"/>
      <c r="N850" s="5" t="s">
        <v>112</v>
      </c>
      <c r="O850" s="16" t="str">
        <f t="shared" si="1"/>
        <v>#</v>
      </c>
      <c r="P850" s="16" t="str">
        <f t="shared" si="2"/>
        <v>#videoGame</v>
      </c>
      <c r="R850" s="16" t="str">
        <f>"("""&amp;C850&amp;""") ("&amp;Vlookup(E850,DropDown!B:C,2,FALSE)&amp; " OR ""Video Game"" OR Playstation OR iOS OR PS4 OR PS5 OR Xbox OR Switch OR Swtich 2 OR PC)"</f>
        <v>#N/A</v>
      </c>
      <c r="S850" s="44" t="str">
        <f>"("""&amp;C850&amp;""") ("&amp;Vlookup(E850,DropDown!K:L,2,FALSE)&amp; " | ""Video Game"" | Playstation | iOS | PS4 | PS5 | Xbox | Switch | Switch 2 | PC)"</f>
        <v>#N/A</v>
      </c>
      <c r="T850" s="44"/>
      <c r="U850" s="44"/>
      <c r="V850" s="44"/>
      <c r="W850" s="44"/>
      <c r="X850" s="44"/>
      <c r="Z850" s="44"/>
    </row>
    <row r="851">
      <c r="A851" s="16"/>
      <c r="B851" s="16"/>
      <c r="E851" s="16"/>
      <c r="F851" s="16"/>
      <c r="G851" s="16"/>
      <c r="H851" s="16"/>
      <c r="I851" s="16"/>
      <c r="J851" s="16"/>
      <c r="K851" s="16"/>
      <c r="L851" s="16"/>
      <c r="M851" s="16"/>
      <c r="N851" s="5" t="s">
        <v>112</v>
      </c>
      <c r="O851" s="16" t="str">
        <f t="shared" si="1"/>
        <v>#</v>
      </c>
      <c r="P851" s="16" t="str">
        <f t="shared" si="2"/>
        <v>#videoGame</v>
      </c>
      <c r="R851" s="16" t="str">
        <f>"("""&amp;C851&amp;""") ("&amp;Vlookup(E851,DropDown!B:C,2,FALSE)&amp; " OR ""Video Game"" OR Playstation OR iOS OR PS4 OR PS5 OR Xbox OR Switch OR Swtich 2 OR PC)"</f>
        <v>#N/A</v>
      </c>
      <c r="S851" s="44" t="str">
        <f>"("""&amp;C851&amp;""") ("&amp;Vlookup(E851,DropDown!K:L,2,FALSE)&amp; " | ""Video Game"" | Playstation | iOS | PS4 | PS5 | Xbox | Switch | Switch 2 | PC)"</f>
        <v>#N/A</v>
      </c>
      <c r="T851" s="44"/>
      <c r="U851" s="44"/>
      <c r="V851" s="44"/>
      <c r="W851" s="44"/>
      <c r="X851" s="44"/>
      <c r="Z851" s="44"/>
    </row>
    <row r="852">
      <c r="A852" s="16"/>
      <c r="B852" s="16"/>
      <c r="E852" s="16"/>
      <c r="F852" s="16"/>
      <c r="G852" s="16"/>
      <c r="H852" s="16"/>
      <c r="I852" s="16"/>
      <c r="J852" s="16"/>
      <c r="K852" s="16"/>
      <c r="L852" s="16"/>
      <c r="M852" s="16"/>
      <c r="N852" s="5" t="s">
        <v>112</v>
      </c>
      <c r="O852" s="16" t="str">
        <f t="shared" si="1"/>
        <v>#</v>
      </c>
      <c r="P852" s="16" t="str">
        <f t="shared" si="2"/>
        <v>#videoGame</v>
      </c>
      <c r="R852" s="16" t="str">
        <f>"("""&amp;C852&amp;""") ("&amp;Vlookup(E852,DropDown!B:C,2,FALSE)&amp; " OR ""Video Game"" OR Playstation OR iOS OR PS4 OR PS5 OR Xbox OR Switch OR Swtich 2 OR PC)"</f>
        <v>#N/A</v>
      </c>
      <c r="S852" s="44" t="str">
        <f>"("""&amp;C852&amp;""") ("&amp;Vlookup(E852,DropDown!K:L,2,FALSE)&amp; " | ""Video Game"" | Playstation | iOS | PS4 | PS5 | Xbox | Switch | Switch 2 | PC)"</f>
        <v>#N/A</v>
      </c>
      <c r="T852" s="44"/>
      <c r="U852" s="44"/>
      <c r="V852" s="44"/>
      <c r="W852" s="44"/>
      <c r="X852" s="44"/>
      <c r="Z852" s="44"/>
    </row>
    <row r="853">
      <c r="A853" s="16"/>
      <c r="B853" s="16"/>
      <c r="E853" s="16"/>
      <c r="F853" s="16"/>
      <c r="G853" s="16"/>
      <c r="H853" s="16"/>
      <c r="I853" s="16"/>
      <c r="J853" s="16"/>
      <c r="K853" s="16"/>
      <c r="L853" s="16"/>
      <c r="M853" s="16"/>
      <c r="N853" s="5" t="s">
        <v>112</v>
      </c>
      <c r="O853" s="16" t="str">
        <f t="shared" si="1"/>
        <v>#</v>
      </c>
      <c r="P853" s="16" t="str">
        <f t="shared" si="2"/>
        <v>#videoGame</v>
      </c>
      <c r="R853" s="16" t="str">
        <f>"("""&amp;C853&amp;""") ("&amp;Vlookup(E853,DropDown!B:C,2,FALSE)&amp; " OR ""Video Game"" OR Playstation OR iOS OR PS4 OR PS5 OR Xbox OR Switch OR Swtich 2 OR PC)"</f>
        <v>#N/A</v>
      </c>
      <c r="S853" s="44" t="str">
        <f>"("""&amp;C853&amp;""") ("&amp;Vlookup(E853,DropDown!K:L,2,FALSE)&amp; " | ""Video Game"" | Playstation | iOS | PS4 | PS5 | Xbox | Switch | Switch 2 | PC)"</f>
        <v>#N/A</v>
      </c>
      <c r="T853" s="44"/>
      <c r="U853" s="44"/>
      <c r="V853" s="44"/>
      <c r="W853" s="44"/>
      <c r="X853" s="44"/>
      <c r="Z853" s="44"/>
    </row>
    <row r="854">
      <c r="A854" s="16"/>
      <c r="B854" s="16"/>
      <c r="E854" s="16"/>
      <c r="F854" s="16"/>
      <c r="G854" s="16"/>
      <c r="H854" s="16"/>
      <c r="I854" s="16"/>
      <c r="J854" s="16"/>
      <c r="K854" s="16"/>
      <c r="L854" s="16"/>
      <c r="M854" s="16"/>
      <c r="N854" s="5" t="s">
        <v>112</v>
      </c>
      <c r="O854" s="16" t="str">
        <f t="shared" si="1"/>
        <v>#</v>
      </c>
      <c r="P854" s="16" t="str">
        <f t="shared" si="2"/>
        <v>#videoGame</v>
      </c>
      <c r="R854" s="16" t="str">
        <f>"("""&amp;C854&amp;""") ("&amp;Vlookup(E854,DropDown!B:C,2,FALSE)&amp; " OR ""Video Game"" OR Playstation OR iOS OR PS4 OR PS5 OR Xbox OR Switch OR Swtich 2 OR PC)"</f>
        <v>#N/A</v>
      </c>
      <c r="S854" s="44" t="str">
        <f>"("""&amp;C854&amp;""") ("&amp;Vlookup(E854,DropDown!K:L,2,FALSE)&amp; " | ""Video Game"" | Playstation | iOS | PS4 | PS5 | Xbox | Switch | Switch 2 | PC)"</f>
        <v>#N/A</v>
      </c>
      <c r="T854" s="44"/>
      <c r="U854" s="44"/>
      <c r="V854" s="44"/>
      <c r="W854" s="44"/>
      <c r="X854" s="44"/>
      <c r="Z854" s="44"/>
    </row>
    <row r="855">
      <c r="A855" s="16"/>
      <c r="B855" s="16"/>
      <c r="E855" s="16"/>
      <c r="F855" s="16"/>
      <c r="G855" s="16"/>
      <c r="H855" s="16"/>
      <c r="I855" s="16"/>
      <c r="J855" s="16"/>
      <c r="K855" s="16"/>
      <c r="L855" s="16"/>
      <c r="M855" s="16"/>
      <c r="N855" s="5" t="s">
        <v>112</v>
      </c>
      <c r="O855" s="16" t="str">
        <f t="shared" si="1"/>
        <v>#</v>
      </c>
      <c r="P855" s="16" t="str">
        <f t="shared" si="2"/>
        <v>#videoGame</v>
      </c>
      <c r="R855" s="16" t="str">
        <f>"("""&amp;C855&amp;""") ("&amp;Vlookup(E855,DropDown!B:C,2,FALSE)&amp; " OR ""Video Game"" OR Playstation OR iOS OR PS4 OR PS5 OR Xbox OR Switch OR Swtich 2 OR PC)"</f>
        <v>#N/A</v>
      </c>
      <c r="S855" s="44" t="str">
        <f>"("""&amp;C855&amp;""") ("&amp;Vlookup(E855,DropDown!K:L,2,FALSE)&amp; " | ""Video Game"" | Playstation | iOS | PS4 | PS5 | Xbox | Switch | Switch 2 | PC)"</f>
        <v>#N/A</v>
      </c>
      <c r="T855" s="44"/>
      <c r="U855" s="44"/>
      <c r="V855" s="44"/>
      <c r="W855" s="44"/>
      <c r="X855" s="44"/>
      <c r="Z855" s="44"/>
    </row>
    <row r="856">
      <c r="A856" s="16"/>
      <c r="B856" s="16"/>
      <c r="E856" s="16"/>
      <c r="F856" s="16"/>
      <c r="G856" s="16"/>
      <c r="H856" s="16"/>
      <c r="I856" s="16"/>
      <c r="J856" s="16"/>
      <c r="K856" s="16"/>
      <c r="L856" s="16"/>
      <c r="M856" s="16"/>
      <c r="N856" s="5" t="s">
        <v>112</v>
      </c>
      <c r="O856" s="16" t="str">
        <f t="shared" si="1"/>
        <v>#</v>
      </c>
      <c r="P856" s="16" t="str">
        <f t="shared" si="2"/>
        <v>#videoGame</v>
      </c>
      <c r="R856" s="16" t="str">
        <f>"("""&amp;C856&amp;""") ("&amp;Vlookup(E856,DropDown!B:C,2,FALSE)&amp; " OR ""Video Game"" OR Playstation OR iOS OR PS4 OR PS5 OR Xbox OR Switch OR Swtich 2 OR PC)"</f>
        <v>#N/A</v>
      </c>
      <c r="S856" s="44" t="str">
        <f>"("""&amp;C856&amp;""") ("&amp;Vlookup(E856,DropDown!K:L,2,FALSE)&amp; " | ""Video Game"" | Playstation | iOS | PS4 | PS5 | Xbox | Switch | Switch 2 | PC)"</f>
        <v>#N/A</v>
      </c>
      <c r="T856" s="44"/>
      <c r="U856" s="44"/>
      <c r="V856" s="44"/>
      <c r="W856" s="44"/>
      <c r="X856" s="44"/>
      <c r="Z856" s="44"/>
    </row>
    <row r="857">
      <c r="A857" s="16"/>
      <c r="B857" s="16"/>
      <c r="E857" s="16"/>
      <c r="F857" s="16"/>
      <c r="G857" s="16"/>
      <c r="H857" s="16"/>
      <c r="I857" s="16"/>
      <c r="J857" s="16"/>
      <c r="K857" s="16"/>
      <c r="L857" s="16"/>
      <c r="M857" s="16"/>
      <c r="N857" s="5" t="s">
        <v>112</v>
      </c>
      <c r="O857" s="16" t="str">
        <f t="shared" si="1"/>
        <v>#</v>
      </c>
      <c r="P857" s="16" t="str">
        <f t="shared" si="2"/>
        <v>#videoGame</v>
      </c>
      <c r="R857" s="16" t="str">
        <f>"("""&amp;C857&amp;""") ("&amp;Vlookup(E857,DropDown!B:C,2,FALSE)&amp; " OR ""Video Game"" OR Playstation OR iOS OR PS4 OR PS5 OR Xbox OR Switch OR Swtich 2 OR PC)"</f>
        <v>#N/A</v>
      </c>
      <c r="S857" s="44" t="str">
        <f>"("""&amp;C857&amp;""") ("&amp;Vlookup(E857,DropDown!K:L,2,FALSE)&amp; " | ""Video Game"" | Playstation | iOS | PS4 | PS5 | Xbox | Switch | Switch 2 | PC)"</f>
        <v>#N/A</v>
      </c>
      <c r="T857" s="44"/>
      <c r="U857" s="44"/>
      <c r="V857" s="44"/>
      <c r="W857" s="44"/>
      <c r="X857" s="44"/>
      <c r="Z857" s="44"/>
    </row>
    <row r="858">
      <c r="A858" s="16"/>
      <c r="B858" s="16"/>
      <c r="E858" s="16"/>
      <c r="F858" s="16"/>
      <c r="G858" s="16"/>
      <c r="H858" s="16"/>
      <c r="I858" s="16"/>
      <c r="J858" s="16"/>
      <c r="K858" s="16"/>
      <c r="L858" s="16"/>
      <c r="M858" s="16"/>
      <c r="N858" s="5" t="s">
        <v>112</v>
      </c>
      <c r="O858" s="16" t="str">
        <f t="shared" si="1"/>
        <v>#</v>
      </c>
      <c r="P858" s="16" t="str">
        <f t="shared" si="2"/>
        <v>#videoGame</v>
      </c>
      <c r="R858" s="16" t="str">
        <f>"("""&amp;C858&amp;""") ("&amp;Vlookup(E858,DropDown!B:C,2,FALSE)&amp; " OR ""Video Game"" OR Playstation OR iOS OR PS4 OR PS5 OR Xbox OR Switch OR Swtich 2 OR PC)"</f>
        <v>#N/A</v>
      </c>
      <c r="S858" s="44" t="str">
        <f>"("""&amp;C858&amp;""") ("&amp;Vlookup(E858,DropDown!K:L,2,FALSE)&amp; " | ""Video Game"" | Playstation | iOS | PS4 | PS5 | Xbox | Switch | Switch 2 | PC)"</f>
        <v>#N/A</v>
      </c>
      <c r="T858" s="44"/>
      <c r="U858" s="44"/>
      <c r="V858" s="44"/>
      <c r="W858" s="44"/>
      <c r="X858" s="44"/>
      <c r="Z858" s="44"/>
    </row>
    <row r="859">
      <c r="A859" s="16"/>
      <c r="B859" s="16"/>
      <c r="E859" s="16"/>
      <c r="F859" s="16"/>
      <c r="G859" s="16"/>
      <c r="H859" s="16"/>
      <c r="I859" s="16"/>
      <c r="J859" s="16"/>
      <c r="K859" s="16"/>
      <c r="L859" s="16"/>
      <c r="M859" s="16"/>
      <c r="N859" s="5" t="s">
        <v>112</v>
      </c>
      <c r="O859" s="16" t="str">
        <f t="shared" si="1"/>
        <v>#</v>
      </c>
      <c r="P859" s="16" t="str">
        <f t="shared" si="2"/>
        <v>#videoGame</v>
      </c>
      <c r="R859" s="16" t="str">
        <f>"("""&amp;C859&amp;""") ("&amp;Vlookup(E859,DropDown!B:C,2,FALSE)&amp; " OR ""Video Game"" OR Playstation OR iOS OR PS4 OR PS5 OR Xbox OR Switch OR Swtich 2 OR PC)"</f>
        <v>#N/A</v>
      </c>
      <c r="S859" s="44" t="str">
        <f>"("""&amp;C859&amp;""") ("&amp;Vlookup(E859,DropDown!K:L,2,FALSE)&amp; " | ""Video Game"" | Playstation | iOS | PS4 | PS5 | Xbox | Switch | Switch 2 | PC)"</f>
        <v>#N/A</v>
      </c>
      <c r="T859" s="44"/>
      <c r="U859" s="44"/>
      <c r="V859" s="44"/>
      <c r="W859" s="44"/>
      <c r="X859" s="44"/>
      <c r="Z859" s="44"/>
    </row>
    <row r="860">
      <c r="A860" s="16"/>
      <c r="B860" s="16"/>
      <c r="E860" s="16"/>
      <c r="F860" s="16"/>
      <c r="G860" s="16"/>
      <c r="H860" s="16"/>
      <c r="I860" s="16"/>
      <c r="J860" s="16"/>
      <c r="K860" s="16"/>
      <c r="L860" s="16"/>
      <c r="M860" s="16"/>
      <c r="N860" s="5" t="s">
        <v>112</v>
      </c>
      <c r="O860" s="16" t="str">
        <f t="shared" si="1"/>
        <v>#</v>
      </c>
      <c r="P860" s="16" t="str">
        <f t="shared" si="2"/>
        <v>#videoGame</v>
      </c>
      <c r="R860" s="16" t="str">
        <f>"("""&amp;C860&amp;""") ("&amp;Vlookup(E860,DropDown!B:C,2,FALSE)&amp; " OR ""Video Game"" OR Playstation OR iOS OR PS4 OR PS5 OR Xbox OR Switch OR Swtich 2 OR PC)"</f>
        <v>#N/A</v>
      </c>
      <c r="S860" s="44" t="str">
        <f>"("""&amp;C860&amp;""") ("&amp;Vlookup(E860,DropDown!K:L,2,FALSE)&amp; " | ""Video Game"" | Playstation | iOS | PS4 | PS5 | Xbox | Switch | Switch 2 | PC)"</f>
        <v>#N/A</v>
      </c>
      <c r="T860" s="44"/>
      <c r="U860" s="44"/>
      <c r="V860" s="44"/>
      <c r="W860" s="44"/>
      <c r="X860" s="44"/>
      <c r="Z860" s="44"/>
    </row>
    <row r="861">
      <c r="A861" s="16"/>
      <c r="B861" s="16"/>
      <c r="E861" s="16"/>
      <c r="F861" s="16"/>
      <c r="G861" s="16"/>
      <c r="H861" s="16"/>
      <c r="I861" s="16"/>
      <c r="J861" s="16"/>
      <c r="K861" s="16"/>
      <c r="L861" s="16"/>
      <c r="M861" s="16"/>
      <c r="N861" s="5" t="s">
        <v>112</v>
      </c>
      <c r="O861" s="16" t="str">
        <f t="shared" si="1"/>
        <v>#</v>
      </c>
      <c r="P861" s="16" t="str">
        <f t="shared" si="2"/>
        <v>#videoGame</v>
      </c>
      <c r="R861" s="16" t="str">
        <f>"("""&amp;C861&amp;""") ("&amp;Vlookup(E861,DropDown!B:C,2,FALSE)&amp; " OR ""Video Game"" OR Playstation OR iOS OR PS4 OR PS5 OR Xbox OR Switch OR Swtich 2 OR PC)"</f>
        <v>#N/A</v>
      </c>
      <c r="S861" s="44" t="str">
        <f>"("""&amp;C861&amp;""") ("&amp;Vlookup(E861,DropDown!K:L,2,FALSE)&amp; " | ""Video Game"" | Playstation | iOS | PS4 | PS5 | Xbox | Switch | Switch 2 | PC)"</f>
        <v>#N/A</v>
      </c>
      <c r="T861" s="44"/>
      <c r="U861" s="44"/>
      <c r="V861" s="44"/>
      <c r="W861" s="44"/>
      <c r="X861" s="44"/>
      <c r="Z861" s="44"/>
    </row>
    <row r="862">
      <c r="A862" s="16"/>
      <c r="B862" s="16"/>
      <c r="E862" s="16"/>
      <c r="F862" s="16"/>
      <c r="G862" s="16"/>
      <c r="H862" s="16"/>
      <c r="I862" s="16"/>
      <c r="J862" s="16"/>
      <c r="K862" s="16"/>
      <c r="L862" s="16"/>
      <c r="M862" s="16"/>
      <c r="N862" s="5" t="s">
        <v>112</v>
      </c>
      <c r="O862" s="16" t="str">
        <f t="shared" si="1"/>
        <v>#</v>
      </c>
      <c r="P862" s="16" t="str">
        <f t="shared" si="2"/>
        <v>#videoGame</v>
      </c>
      <c r="R862" s="16" t="str">
        <f>"("""&amp;C862&amp;""") ("&amp;Vlookup(E862,DropDown!B:C,2,FALSE)&amp; " OR ""Video Game"" OR Playstation OR iOS OR PS4 OR PS5 OR Xbox OR Switch OR Swtich 2 OR PC)"</f>
        <v>#N/A</v>
      </c>
      <c r="S862" s="44" t="str">
        <f>"("""&amp;C862&amp;""") ("&amp;Vlookup(E862,DropDown!K:L,2,FALSE)&amp; " | ""Video Game"" | Playstation | iOS | PS4 | PS5 | Xbox | Switch | Switch 2 | PC)"</f>
        <v>#N/A</v>
      </c>
      <c r="T862" s="44"/>
      <c r="U862" s="44"/>
      <c r="V862" s="44"/>
      <c r="W862" s="44"/>
      <c r="X862" s="44"/>
      <c r="Z862" s="44"/>
    </row>
    <row r="863">
      <c r="A863" s="16"/>
      <c r="B863" s="16"/>
      <c r="E863" s="16"/>
      <c r="F863" s="16"/>
      <c r="G863" s="16"/>
      <c r="H863" s="16"/>
      <c r="I863" s="16"/>
      <c r="J863" s="16"/>
      <c r="K863" s="16"/>
      <c r="L863" s="16"/>
      <c r="M863" s="16"/>
      <c r="N863" s="5" t="s">
        <v>112</v>
      </c>
      <c r="O863" s="16" t="str">
        <f t="shared" si="1"/>
        <v>#</v>
      </c>
      <c r="P863" s="16" t="str">
        <f t="shared" si="2"/>
        <v>#videoGame</v>
      </c>
      <c r="R863" s="16" t="str">
        <f>"("""&amp;C863&amp;""") ("&amp;Vlookup(E863,DropDown!B:C,2,FALSE)&amp; " OR ""Video Game"" OR Playstation OR iOS OR PS4 OR PS5 OR Xbox OR Switch OR Swtich 2 OR PC)"</f>
        <v>#N/A</v>
      </c>
      <c r="S863" s="44" t="str">
        <f>"("""&amp;C863&amp;""") ("&amp;Vlookup(E863,DropDown!K:L,2,FALSE)&amp; " | ""Video Game"" | Playstation | iOS | PS4 | PS5 | Xbox | Switch | Switch 2 | PC)"</f>
        <v>#N/A</v>
      </c>
      <c r="T863" s="44"/>
      <c r="U863" s="44"/>
      <c r="V863" s="44"/>
      <c r="W863" s="44"/>
      <c r="X863" s="44"/>
      <c r="Z863" s="44"/>
    </row>
    <row r="864">
      <c r="A864" s="16"/>
      <c r="B864" s="16"/>
      <c r="E864" s="16"/>
      <c r="F864" s="16"/>
      <c r="G864" s="16"/>
      <c r="H864" s="16"/>
      <c r="I864" s="16"/>
      <c r="J864" s="16"/>
      <c r="K864" s="16"/>
      <c r="L864" s="16"/>
      <c r="M864" s="16"/>
      <c r="N864" s="5" t="s">
        <v>112</v>
      </c>
      <c r="O864" s="16" t="str">
        <f t="shared" si="1"/>
        <v>#</v>
      </c>
      <c r="P864" s="16" t="str">
        <f t="shared" si="2"/>
        <v>#videoGame</v>
      </c>
      <c r="R864" s="16" t="str">
        <f>"("""&amp;C864&amp;""") ("&amp;Vlookup(E864,DropDown!B:C,2,FALSE)&amp; " OR ""Video Game"" OR Playstation OR iOS OR PS4 OR PS5 OR Xbox OR Switch OR Swtich 2 OR PC)"</f>
        <v>#N/A</v>
      </c>
      <c r="S864" s="44" t="str">
        <f>"("""&amp;C864&amp;""") ("&amp;Vlookup(E864,DropDown!K:L,2,FALSE)&amp; " | ""Video Game"" | Playstation | iOS | PS4 | PS5 | Xbox | Switch | Switch 2 | PC)"</f>
        <v>#N/A</v>
      </c>
      <c r="T864" s="44"/>
      <c r="U864" s="44"/>
      <c r="V864" s="44"/>
      <c r="W864" s="44"/>
      <c r="X864" s="44"/>
      <c r="Z864" s="44"/>
    </row>
    <row r="865">
      <c r="A865" s="16"/>
      <c r="B865" s="16"/>
      <c r="E865" s="16"/>
      <c r="F865" s="16"/>
      <c r="G865" s="16"/>
      <c r="H865" s="16"/>
      <c r="I865" s="16"/>
      <c r="J865" s="16"/>
      <c r="K865" s="16"/>
      <c r="L865" s="16"/>
      <c r="M865" s="16"/>
      <c r="N865" s="5" t="s">
        <v>112</v>
      </c>
      <c r="O865" s="16" t="str">
        <f t="shared" si="1"/>
        <v>#</v>
      </c>
      <c r="P865" s="16" t="str">
        <f t="shared" si="2"/>
        <v>#videoGame</v>
      </c>
      <c r="R865" s="16" t="str">
        <f>"("""&amp;C865&amp;""") ("&amp;Vlookup(E865,DropDown!B:C,2,FALSE)&amp; " OR ""Video Game"" OR Playstation OR iOS OR PS4 OR PS5 OR Xbox OR Switch OR Swtich 2 OR PC)"</f>
        <v>#N/A</v>
      </c>
      <c r="S865" s="44" t="str">
        <f>"("""&amp;C865&amp;""") ("&amp;Vlookup(E865,DropDown!K:L,2,FALSE)&amp; " | ""Video Game"" | Playstation | iOS | PS4 | PS5 | Xbox | Switch | Switch 2 | PC)"</f>
        <v>#N/A</v>
      </c>
      <c r="T865" s="44"/>
      <c r="U865" s="44"/>
      <c r="V865" s="44"/>
      <c r="W865" s="44"/>
      <c r="X865" s="44"/>
      <c r="Z865" s="44"/>
    </row>
    <row r="866">
      <c r="A866" s="16"/>
      <c r="B866" s="16"/>
      <c r="E866" s="16"/>
      <c r="F866" s="16"/>
      <c r="G866" s="16"/>
      <c r="H866" s="16"/>
      <c r="I866" s="16"/>
      <c r="J866" s="16"/>
      <c r="K866" s="16"/>
      <c r="L866" s="16"/>
      <c r="M866" s="16"/>
      <c r="N866" s="5" t="s">
        <v>112</v>
      </c>
      <c r="O866" s="16" t="str">
        <f t="shared" si="1"/>
        <v>#</v>
      </c>
      <c r="P866" s="16" t="str">
        <f t="shared" si="2"/>
        <v>#videoGame</v>
      </c>
      <c r="R866" s="16" t="str">
        <f>"("""&amp;C866&amp;""") ("&amp;Vlookup(E866,DropDown!B:C,2,FALSE)&amp; " OR ""Video Game"" OR Playstation OR iOS OR PS4 OR PS5 OR Xbox OR Switch OR Swtich 2 OR PC)"</f>
        <v>#N/A</v>
      </c>
      <c r="S866" s="44" t="str">
        <f>"("""&amp;C866&amp;""") ("&amp;Vlookup(E866,DropDown!K:L,2,FALSE)&amp; " | ""Video Game"" | Playstation | iOS | PS4 | PS5 | Xbox | Switch | Switch 2 | PC)"</f>
        <v>#N/A</v>
      </c>
      <c r="T866" s="44"/>
      <c r="U866" s="44"/>
      <c r="V866" s="44"/>
      <c r="W866" s="44"/>
      <c r="X866" s="44"/>
      <c r="Z866" s="44"/>
    </row>
    <row r="867">
      <c r="A867" s="16"/>
      <c r="B867" s="16"/>
      <c r="E867" s="16"/>
      <c r="F867" s="16"/>
      <c r="G867" s="16"/>
      <c r="H867" s="16"/>
      <c r="I867" s="16"/>
      <c r="J867" s="16"/>
      <c r="K867" s="16"/>
      <c r="L867" s="16"/>
      <c r="M867" s="16"/>
      <c r="N867" s="5" t="s">
        <v>112</v>
      </c>
      <c r="O867" s="16" t="str">
        <f t="shared" si="1"/>
        <v>#</v>
      </c>
      <c r="P867" s="16" t="str">
        <f t="shared" si="2"/>
        <v>#videoGame</v>
      </c>
      <c r="R867" s="16" t="str">
        <f>"("""&amp;C867&amp;""") ("&amp;Vlookup(E867,DropDown!B:C,2,FALSE)&amp; " OR ""Video Game"" OR Playstation OR iOS OR PS4 OR PS5 OR Xbox OR Switch OR Swtich 2 OR PC)"</f>
        <v>#N/A</v>
      </c>
      <c r="S867" s="44" t="str">
        <f>"("""&amp;C867&amp;""") ("&amp;Vlookup(E867,DropDown!K:L,2,FALSE)&amp; " | ""Video Game"" | Playstation | iOS | PS4 | PS5 | Xbox | Switch | Switch 2 | PC)"</f>
        <v>#N/A</v>
      </c>
      <c r="T867" s="44"/>
      <c r="U867" s="44"/>
      <c r="V867" s="44"/>
      <c r="W867" s="44"/>
      <c r="X867" s="44"/>
      <c r="Z867" s="44"/>
    </row>
    <row r="868">
      <c r="A868" s="16"/>
      <c r="B868" s="16"/>
      <c r="E868" s="16"/>
      <c r="F868" s="16"/>
      <c r="G868" s="16"/>
      <c r="H868" s="16"/>
      <c r="I868" s="16"/>
      <c r="J868" s="16"/>
      <c r="K868" s="16"/>
      <c r="L868" s="16"/>
      <c r="M868" s="16"/>
      <c r="N868" s="5" t="s">
        <v>112</v>
      </c>
      <c r="O868" s="16" t="str">
        <f t="shared" si="1"/>
        <v>#</v>
      </c>
      <c r="P868" s="16" t="str">
        <f t="shared" si="2"/>
        <v>#videoGame</v>
      </c>
      <c r="R868" s="16" t="str">
        <f>"("""&amp;C868&amp;""") ("&amp;Vlookup(E868,DropDown!B:C,2,FALSE)&amp; " OR ""Video Game"" OR Playstation OR iOS OR PS4 OR PS5 OR Xbox OR Switch OR Swtich 2 OR PC)"</f>
        <v>#N/A</v>
      </c>
      <c r="S868" s="44" t="str">
        <f>"("""&amp;C868&amp;""") ("&amp;Vlookup(E868,DropDown!K:L,2,FALSE)&amp; " | ""Video Game"" | Playstation | iOS | PS4 | PS5 | Xbox | Switch | Switch 2 | PC)"</f>
        <v>#N/A</v>
      </c>
      <c r="T868" s="44"/>
      <c r="U868" s="44"/>
      <c r="V868" s="44"/>
      <c r="W868" s="44"/>
      <c r="X868" s="44"/>
      <c r="Z868" s="44"/>
    </row>
    <row r="869">
      <c r="A869" s="16"/>
      <c r="B869" s="16"/>
      <c r="E869" s="16"/>
      <c r="F869" s="16"/>
      <c r="G869" s="16"/>
      <c r="H869" s="16"/>
      <c r="I869" s="16"/>
      <c r="J869" s="16"/>
      <c r="K869" s="16"/>
      <c r="L869" s="16"/>
      <c r="M869" s="16"/>
      <c r="N869" s="5" t="s">
        <v>112</v>
      </c>
      <c r="O869" s="16" t="str">
        <f t="shared" si="1"/>
        <v>#</v>
      </c>
      <c r="P869" s="16" t="str">
        <f t="shared" si="2"/>
        <v>#videoGame</v>
      </c>
      <c r="R869" s="16" t="str">
        <f>"("""&amp;C869&amp;""") ("&amp;Vlookup(E869,DropDown!B:C,2,FALSE)&amp; " OR ""Video Game"" OR Playstation OR iOS OR PS4 OR PS5 OR Xbox OR Switch OR Swtich 2 OR PC)"</f>
        <v>#N/A</v>
      </c>
      <c r="S869" s="44" t="str">
        <f>"("""&amp;C869&amp;""") ("&amp;Vlookup(E869,DropDown!K:L,2,FALSE)&amp; " | ""Video Game"" | Playstation | iOS | PS4 | PS5 | Xbox | Switch | Switch 2 | PC)"</f>
        <v>#N/A</v>
      </c>
      <c r="T869" s="44"/>
      <c r="U869" s="44"/>
      <c r="V869" s="44"/>
      <c r="W869" s="44"/>
      <c r="X869" s="44"/>
      <c r="Z869" s="44"/>
    </row>
    <row r="870">
      <c r="A870" s="16"/>
      <c r="B870" s="16"/>
      <c r="E870" s="16"/>
      <c r="F870" s="16"/>
      <c r="G870" s="16"/>
      <c r="H870" s="16"/>
      <c r="I870" s="16"/>
      <c r="J870" s="16"/>
      <c r="K870" s="16"/>
      <c r="L870" s="16"/>
      <c r="M870" s="16"/>
      <c r="N870" s="5" t="s">
        <v>112</v>
      </c>
      <c r="O870" s="16" t="str">
        <f t="shared" si="1"/>
        <v>#</v>
      </c>
      <c r="P870" s="16" t="str">
        <f t="shared" si="2"/>
        <v>#videoGame</v>
      </c>
      <c r="R870" s="16" t="str">
        <f>"("""&amp;C870&amp;""") ("&amp;Vlookup(E870,DropDown!B:C,2,FALSE)&amp; " OR ""Video Game"" OR Playstation OR iOS OR PS4 OR PS5 OR Xbox OR Switch OR Swtich 2 OR PC)"</f>
        <v>#N/A</v>
      </c>
      <c r="S870" s="44" t="str">
        <f>"("""&amp;C870&amp;""") ("&amp;Vlookup(E870,DropDown!K:L,2,FALSE)&amp; " | ""Video Game"" | Playstation | iOS | PS4 | PS5 | Xbox | Switch | Switch 2 | PC)"</f>
        <v>#N/A</v>
      </c>
      <c r="T870" s="44"/>
      <c r="U870" s="44"/>
      <c r="V870" s="44"/>
      <c r="W870" s="44"/>
      <c r="X870" s="44"/>
      <c r="Z870" s="44"/>
    </row>
    <row r="871">
      <c r="A871" s="16"/>
      <c r="B871" s="16"/>
      <c r="E871" s="16"/>
      <c r="F871" s="16"/>
      <c r="G871" s="16"/>
      <c r="H871" s="16"/>
      <c r="I871" s="16"/>
      <c r="J871" s="16"/>
      <c r="K871" s="16"/>
      <c r="L871" s="16"/>
      <c r="M871" s="16"/>
      <c r="N871" s="5" t="s">
        <v>112</v>
      </c>
      <c r="O871" s="16" t="str">
        <f t="shared" si="1"/>
        <v>#</v>
      </c>
      <c r="P871" s="16" t="str">
        <f t="shared" si="2"/>
        <v>#videoGame</v>
      </c>
      <c r="R871" s="16" t="str">
        <f>"("""&amp;C871&amp;""") ("&amp;Vlookup(E871,DropDown!B:C,2,FALSE)&amp; " OR ""Video Game"" OR Playstation OR iOS OR PS4 OR PS5 OR Xbox OR Switch OR Swtich 2 OR PC)"</f>
        <v>#N/A</v>
      </c>
      <c r="S871" s="44" t="str">
        <f>"("""&amp;C871&amp;""") ("&amp;Vlookup(E871,DropDown!K:L,2,FALSE)&amp; " | ""Video Game"" | Playstation | iOS | PS4 | PS5 | Xbox | Switch | Switch 2 | PC)"</f>
        <v>#N/A</v>
      </c>
      <c r="T871" s="44"/>
      <c r="U871" s="44"/>
      <c r="V871" s="44"/>
      <c r="W871" s="44"/>
      <c r="X871" s="44"/>
      <c r="Z871" s="44"/>
    </row>
    <row r="872">
      <c r="A872" s="16"/>
      <c r="B872" s="16"/>
      <c r="E872" s="16"/>
      <c r="F872" s="16"/>
      <c r="G872" s="16"/>
      <c r="H872" s="16"/>
      <c r="I872" s="16"/>
      <c r="J872" s="16"/>
      <c r="K872" s="16"/>
      <c r="L872" s="16"/>
      <c r="M872" s="16"/>
      <c r="N872" s="5" t="s">
        <v>112</v>
      </c>
      <c r="O872" s="16" t="str">
        <f t="shared" si="1"/>
        <v>#</v>
      </c>
      <c r="P872" s="16" t="str">
        <f t="shared" si="2"/>
        <v>#videoGame</v>
      </c>
      <c r="R872" s="16" t="str">
        <f>"("""&amp;C872&amp;""") ("&amp;Vlookup(E872,DropDown!B:C,2,FALSE)&amp; " OR ""Video Game"" OR Playstation OR iOS OR PS4 OR PS5 OR Xbox OR Switch OR Swtich 2 OR PC)"</f>
        <v>#N/A</v>
      </c>
      <c r="S872" s="44" t="str">
        <f>"("""&amp;C872&amp;""") ("&amp;Vlookup(E872,DropDown!K:L,2,FALSE)&amp; " | ""Video Game"" | Playstation | iOS | PS4 | PS5 | Xbox | Switch | Switch 2 | PC)"</f>
        <v>#N/A</v>
      </c>
      <c r="T872" s="44"/>
      <c r="U872" s="44"/>
      <c r="V872" s="44"/>
      <c r="W872" s="44"/>
      <c r="X872" s="44"/>
      <c r="Z872" s="44"/>
    </row>
    <row r="873">
      <c r="A873" s="16"/>
      <c r="B873" s="16"/>
      <c r="E873" s="16"/>
      <c r="F873" s="16"/>
      <c r="G873" s="16"/>
      <c r="H873" s="16"/>
      <c r="I873" s="16"/>
      <c r="J873" s="16"/>
      <c r="K873" s="16"/>
      <c r="L873" s="16"/>
      <c r="M873" s="16"/>
      <c r="N873" s="5" t="s">
        <v>112</v>
      </c>
      <c r="O873" s="16" t="str">
        <f t="shared" si="1"/>
        <v>#</v>
      </c>
      <c r="P873" s="16" t="str">
        <f t="shared" si="2"/>
        <v>#videoGame</v>
      </c>
      <c r="R873" s="16" t="str">
        <f>"("""&amp;C873&amp;""") ("&amp;Vlookup(E873,DropDown!B:C,2,FALSE)&amp; " OR ""Video Game"" OR Playstation OR iOS OR PS4 OR PS5 OR Xbox OR Switch OR Swtich 2 OR PC)"</f>
        <v>#N/A</v>
      </c>
      <c r="S873" s="44" t="str">
        <f>"("""&amp;C873&amp;""") ("&amp;Vlookup(E873,DropDown!K:L,2,FALSE)&amp; " | ""Video Game"" | Playstation | iOS | PS4 | PS5 | Xbox | Switch | Switch 2 | PC)"</f>
        <v>#N/A</v>
      </c>
      <c r="T873" s="44"/>
      <c r="U873" s="44"/>
      <c r="V873" s="44"/>
      <c r="W873" s="44"/>
      <c r="X873" s="44"/>
      <c r="Z873" s="44"/>
    </row>
    <row r="874">
      <c r="A874" s="16"/>
      <c r="B874" s="16"/>
      <c r="E874" s="16"/>
      <c r="F874" s="16"/>
      <c r="G874" s="16"/>
      <c r="H874" s="16"/>
      <c r="I874" s="16"/>
      <c r="J874" s="16"/>
      <c r="K874" s="16"/>
      <c r="L874" s="16"/>
      <c r="M874" s="16"/>
      <c r="N874" s="5" t="s">
        <v>112</v>
      </c>
      <c r="O874" s="16" t="str">
        <f t="shared" si="1"/>
        <v>#</v>
      </c>
      <c r="P874" s="16" t="str">
        <f t="shared" si="2"/>
        <v>#videoGame</v>
      </c>
      <c r="R874" s="16" t="str">
        <f>"("""&amp;C874&amp;""") ("&amp;Vlookup(E874,DropDown!B:C,2,FALSE)&amp; " OR ""Video Game"" OR Playstation OR iOS OR PS4 OR PS5 OR Xbox OR Switch OR Swtich 2 OR PC)"</f>
        <v>#N/A</v>
      </c>
      <c r="S874" s="44" t="str">
        <f>"("""&amp;C874&amp;""") ("&amp;Vlookup(E874,DropDown!K:L,2,FALSE)&amp; " | ""Video Game"" | Playstation | iOS | PS4 | PS5 | Xbox | Switch | Switch 2 | PC)"</f>
        <v>#N/A</v>
      </c>
      <c r="T874" s="44"/>
      <c r="U874" s="44"/>
      <c r="V874" s="44"/>
      <c r="W874" s="44"/>
      <c r="X874" s="44"/>
      <c r="Z874" s="44"/>
    </row>
    <row r="875">
      <c r="A875" s="16"/>
      <c r="B875" s="16"/>
      <c r="E875" s="16"/>
      <c r="F875" s="16"/>
      <c r="G875" s="16"/>
      <c r="H875" s="16"/>
      <c r="I875" s="16"/>
      <c r="J875" s="16"/>
      <c r="K875" s="16"/>
      <c r="L875" s="16"/>
      <c r="M875" s="16"/>
      <c r="N875" s="5" t="s">
        <v>112</v>
      </c>
      <c r="O875" s="16" t="str">
        <f t="shared" si="1"/>
        <v>#</v>
      </c>
      <c r="P875" s="16" t="str">
        <f t="shared" si="2"/>
        <v>#videoGame</v>
      </c>
      <c r="R875" s="16" t="str">
        <f>"("""&amp;C875&amp;""") ("&amp;Vlookup(E875,DropDown!B:C,2,FALSE)&amp; " OR ""Video Game"" OR Playstation OR iOS OR PS4 OR PS5 OR Xbox OR Switch OR Swtich 2 OR PC)"</f>
        <v>#N/A</v>
      </c>
      <c r="S875" s="44" t="str">
        <f>"("""&amp;C875&amp;""") ("&amp;Vlookup(E875,DropDown!K:L,2,FALSE)&amp; " | ""Video Game"" | Playstation | iOS | PS4 | PS5 | Xbox | Switch | Switch 2 | PC)"</f>
        <v>#N/A</v>
      </c>
      <c r="T875" s="44"/>
      <c r="U875" s="44"/>
      <c r="V875" s="44"/>
      <c r="W875" s="44"/>
      <c r="X875" s="44"/>
      <c r="Z875" s="44"/>
    </row>
    <row r="876">
      <c r="A876" s="16"/>
      <c r="B876" s="16"/>
      <c r="E876" s="16"/>
      <c r="F876" s="16"/>
      <c r="G876" s="16"/>
      <c r="H876" s="16"/>
      <c r="I876" s="16"/>
      <c r="J876" s="16"/>
      <c r="K876" s="16"/>
      <c r="L876" s="16"/>
      <c r="M876" s="16"/>
      <c r="N876" s="5" t="s">
        <v>112</v>
      </c>
      <c r="O876" s="16" t="str">
        <f t="shared" si="1"/>
        <v>#</v>
      </c>
      <c r="P876" s="16" t="str">
        <f t="shared" si="2"/>
        <v>#videoGame</v>
      </c>
      <c r="R876" s="16" t="str">
        <f>"("""&amp;C876&amp;""") ("&amp;Vlookup(E876,DropDown!B:C,2,FALSE)&amp; " OR ""Video Game"" OR Playstation OR iOS OR PS4 OR PS5 OR Xbox OR Switch OR Swtich 2 OR PC)"</f>
        <v>#N/A</v>
      </c>
      <c r="S876" s="44" t="str">
        <f>"("""&amp;C876&amp;""") ("&amp;Vlookup(E876,DropDown!K:L,2,FALSE)&amp; " | ""Video Game"" | Playstation | iOS | PS4 | PS5 | Xbox | Switch | Switch 2 | PC)"</f>
        <v>#N/A</v>
      </c>
      <c r="T876" s="44"/>
      <c r="U876" s="44"/>
      <c r="V876" s="44"/>
      <c r="W876" s="44"/>
      <c r="X876" s="44"/>
      <c r="Z876" s="44"/>
    </row>
    <row r="877">
      <c r="A877" s="16"/>
      <c r="B877" s="16"/>
      <c r="E877" s="16"/>
      <c r="F877" s="16"/>
      <c r="G877" s="16"/>
      <c r="H877" s="16"/>
      <c r="I877" s="16"/>
      <c r="J877" s="16"/>
      <c r="K877" s="16"/>
      <c r="L877" s="16"/>
      <c r="M877" s="16"/>
      <c r="N877" s="5" t="s">
        <v>112</v>
      </c>
      <c r="O877" s="16" t="str">
        <f t="shared" si="1"/>
        <v>#</v>
      </c>
      <c r="P877" s="16" t="str">
        <f t="shared" si="2"/>
        <v>#videoGame</v>
      </c>
      <c r="R877" s="16" t="str">
        <f>"("""&amp;C877&amp;""") ("&amp;Vlookup(E877,DropDown!B:C,2,FALSE)&amp; " OR ""Video Game"" OR Playstation OR iOS OR PS4 OR PS5 OR Xbox OR Switch OR Swtich 2 OR PC)"</f>
        <v>#N/A</v>
      </c>
      <c r="S877" s="44" t="str">
        <f>"("""&amp;C877&amp;""") ("&amp;Vlookup(E877,DropDown!K:L,2,FALSE)&amp; " | ""Video Game"" | Playstation | iOS | PS4 | PS5 | Xbox | Switch | Switch 2 | PC)"</f>
        <v>#N/A</v>
      </c>
      <c r="T877" s="44"/>
      <c r="U877" s="44"/>
      <c r="V877" s="44"/>
      <c r="W877" s="44"/>
      <c r="X877" s="44"/>
      <c r="Z877" s="44"/>
    </row>
    <row r="878">
      <c r="A878" s="16"/>
      <c r="B878" s="16"/>
      <c r="E878" s="16"/>
      <c r="F878" s="16"/>
      <c r="G878" s="16"/>
      <c r="H878" s="16"/>
      <c r="I878" s="16"/>
      <c r="J878" s="16"/>
      <c r="K878" s="16"/>
      <c r="L878" s="16"/>
      <c r="M878" s="16"/>
      <c r="N878" s="5" t="s">
        <v>112</v>
      </c>
      <c r="O878" s="16" t="str">
        <f t="shared" si="1"/>
        <v>#</v>
      </c>
      <c r="P878" s="16" t="str">
        <f t="shared" si="2"/>
        <v>#videoGame</v>
      </c>
      <c r="R878" s="16" t="str">
        <f>"("""&amp;C878&amp;""") ("&amp;Vlookup(E878,DropDown!B:C,2,FALSE)&amp; " OR ""Video Game"" OR Playstation OR iOS OR PS4 OR PS5 OR Xbox OR Switch OR Swtich 2 OR PC)"</f>
        <v>#N/A</v>
      </c>
      <c r="S878" s="44" t="str">
        <f>"("""&amp;C878&amp;""") ("&amp;Vlookup(E878,DropDown!K:L,2,FALSE)&amp; " | ""Video Game"" | Playstation | iOS | PS4 | PS5 | Xbox | Switch | Switch 2 | PC)"</f>
        <v>#N/A</v>
      </c>
      <c r="T878" s="44"/>
      <c r="U878" s="44"/>
      <c r="V878" s="44"/>
      <c r="W878" s="44"/>
      <c r="X878" s="44"/>
      <c r="Z878" s="44"/>
    </row>
    <row r="879">
      <c r="A879" s="16"/>
      <c r="B879" s="16"/>
      <c r="E879" s="16"/>
      <c r="F879" s="16"/>
      <c r="G879" s="16"/>
      <c r="H879" s="16"/>
      <c r="I879" s="16"/>
      <c r="J879" s="16"/>
      <c r="K879" s="16"/>
      <c r="L879" s="16"/>
      <c r="M879" s="16"/>
      <c r="N879" s="5" t="s">
        <v>112</v>
      </c>
      <c r="O879" s="16" t="str">
        <f t="shared" si="1"/>
        <v>#</v>
      </c>
      <c r="P879" s="16" t="str">
        <f t="shared" si="2"/>
        <v>#videoGame</v>
      </c>
      <c r="R879" s="16" t="str">
        <f>"("""&amp;C879&amp;""") ("&amp;Vlookup(E879,DropDown!B:C,2,FALSE)&amp; " OR ""Video Game"" OR Playstation OR iOS OR PS4 OR PS5 OR Xbox OR Switch OR Swtich 2 OR PC)"</f>
        <v>#N/A</v>
      </c>
      <c r="S879" s="44" t="str">
        <f>"("""&amp;C879&amp;""") ("&amp;Vlookup(E879,DropDown!K:L,2,FALSE)&amp; " | ""Video Game"" | Playstation | iOS | PS4 | PS5 | Xbox | Switch | Switch 2 | PC)"</f>
        <v>#N/A</v>
      </c>
      <c r="T879" s="44"/>
      <c r="U879" s="44"/>
      <c r="V879" s="44"/>
      <c r="W879" s="44"/>
      <c r="X879" s="44"/>
      <c r="Z879" s="44"/>
    </row>
    <row r="880">
      <c r="A880" s="16"/>
      <c r="B880" s="16"/>
      <c r="E880" s="16"/>
      <c r="F880" s="16"/>
      <c r="G880" s="16"/>
      <c r="H880" s="16"/>
      <c r="I880" s="16"/>
      <c r="J880" s="16"/>
      <c r="K880" s="16"/>
      <c r="L880" s="16"/>
      <c r="M880" s="16"/>
      <c r="N880" s="5" t="s">
        <v>112</v>
      </c>
      <c r="O880" s="16" t="str">
        <f t="shared" si="1"/>
        <v>#</v>
      </c>
      <c r="P880" s="16" t="str">
        <f t="shared" si="2"/>
        <v>#videoGame</v>
      </c>
      <c r="R880" s="16" t="str">
        <f>"("""&amp;C880&amp;""") ("&amp;Vlookup(E880,DropDown!B:C,2,FALSE)&amp; " OR ""Video Game"" OR Playstation OR iOS OR PS4 OR PS5 OR Xbox OR Switch OR Swtich 2 OR PC)"</f>
        <v>#N/A</v>
      </c>
      <c r="S880" s="44" t="str">
        <f>"("""&amp;C880&amp;""") ("&amp;Vlookup(E880,DropDown!K:L,2,FALSE)&amp; " | ""Video Game"" | Playstation | iOS | PS4 | PS5 | Xbox | Switch | Switch 2 | PC)"</f>
        <v>#N/A</v>
      </c>
      <c r="T880" s="44"/>
      <c r="U880" s="44"/>
      <c r="V880" s="44"/>
      <c r="W880" s="44"/>
      <c r="X880" s="44"/>
      <c r="Z880" s="44"/>
    </row>
    <row r="881">
      <c r="A881" s="16"/>
      <c r="B881" s="16"/>
      <c r="E881" s="16"/>
      <c r="F881" s="16"/>
      <c r="G881" s="16"/>
      <c r="H881" s="16"/>
      <c r="I881" s="16"/>
      <c r="J881" s="16"/>
      <c r="K881" s="16"/>
      <c r="L881" s="16"/>
      <c r="M881" s="16"/>
      <c r="N881" s="5" t="s">
        <v>112</v>
      </c>
      <c r="O881" s="16" t="str">
        <f t="shared" si="1"/>
        <v>#</v>
      </c>
      <c r="P881" s="16" t="str">
        <f t="shared" si="2"/>
        <v>#videoGame</v>
      </c>
      <c r="R881" s="16" t="str">
        <f>"("""&amp;C881&amp;""") ("&amp;Vlookup(E881,DropDown!B:C,2,FALSE)&amp; " OR ""Video Game"" OR Playstation OR iOS OR PS4 OR PS5 OR Xbox OR Switch OR Swtich 2 OR PC)"</f>
        <v>#N/A</v>
      </c>
      <c r="S881" s="44" t="str">
        <f>"("""&amp;C881&amp;""") ("&amp;Vlookup(E881,DropDown!K:L,2,FALSE)&amp; " | ""Video Game"" | Playstation | iOS | PS4 | PS5 | Xbox | Switch | Switch 2 | PC)"</f>
        <v>#N/A</v>
      </c>
      <c r="T881" s="44"/>
      <c r="U881" s="44"/>
      <c r="V881" s="44"/>
      <c r="W881" s="44"/>
      <c r="X881" s="44"/>
      <c r="Z881" s="44"/>
    </row>
    <row r="882">
      <c r="A882" s="16"/>
      <c r="B882" s="16"/>
      <c r="E882" s="16"/>
      <c r="F882" s="16"/>
      <c r="G882" s="16"/>
      <c r="H882" s="16"/>
      <c r="I882" s="16"/>
      <c r="J882" s="16"/>
      <c r="K882" s="16"/>
      <c r="L882" s="16"/>
      <c r="M882" s="16"/>
      <c r="N882" s="5" t="s">
        <v>112</v>
      </c>
      <c r="O882" s="16" t="str">
        <f t="shared" si="1"/>
        <v>#</v>
      </c>
      <c r="P882" s="16" t="str">
        <f t="shared" si="2"/>
        <v>#videoGame</v>
      </c>
      <c r="R882" s="16" t="str">
        <f>"("""&amp;C882&amp;""") ("&amp;Vlookup(E882,DropDown!B:C,2,FALSE)&amp; " OR ""Video Game"" OR Playstation OR iOS OR PS4 OR PS5 OR Xbox OR Switch OR Swtich 2 OR PC)"</f>
        <v>#N/A</v>
      </c>
      <c r="S882" s="44" t="str">
        <f>"("""&amp;C882&amp;""") ("&amp;Vlookup(E882,DropDown!K:L,2,FALSE)&amp; " | ""Video Game"" | Playstation | iOS | PS4 | PS5 | Xbox | Switch | Switch 2 | PC)"</f>
        <v>#N/A</v>
      </c>
      <c r="T882" s="44"/>
      <c r="U882" s="44"/>
      <c r="V882" s="44"/>
      <c r="W882" s="44"/>
      <c r="X882" s="44"/>
      <c r="Z882" s="44"/>
    </row>
    <row r="883">
      <c r="A883" s="16"/>
      <c r="B883" s="16"/>
      <c r="E883" s="16"/>
      <c r="F883" s="16"/>
      <c r="G883" s="16"/>
      <c r="H883" s="16"/>
      <c r="I883" s="16"/>
      <c r="J883" s="16"/>
      <c r="K883" s="16"/>
      <c r="L883" s="16"/>
      <c r="M883" s="16"/>
      <c r="N883" s="5" t="s">
        <v>112</v>
      </c>
      <c r="O883" s="16" t="str">
        <f t="shared" si="1"/>
        <v>#</v>
      </c>
      <c r="P883" s="16" t="str">
        <f t="shared" si="2"/>
        <v>#videoGame</v>
      </c>
      <c r="R883" s="16" t="str">
        <f>"("""&amp;C883&amp;""") ("&amp;Vlookup(E883,DropDown!B:C,2,FALSE)&amp; " OR ""Video Game"" OR Playstation OR iOS OR PS4 OR PS5 OR Xbox OR Switch OR Swtich 2 OR PC)"</f>
        <v>#N/A</v>
      </c>
      <c r="S883" s="44" t="str">
        <f>"("""&amp;C883&amp;""") ("&amp;Vlookup(E883,DropDown!K:L,2,FALSE)&amp; " | ""Video Game"" | Playstation | iOS | PS4 | PS5 | Xbox | Switch | Switch 2 | PC)"</f>
        <v>#N/A</v>
      </c>
      <c r="T883" s="44"/>
      <c r="U883" s="44"/>
      <c r="V883" s="44"/>
      <c r="W883" s="44"/>
      <c r="X883" s="44"/>
      <c r="Z883" s="44"/>
    </row>
    <row r="884">
      <c r="A884" s="16"/>
      <c r="B884" s="16"/>
      <c r="E884" s="16"/>
      <c r="F884" s="16"/>
      <c r="G884" s="16"/>
      <c r="H884" s="16"/>
      <c r="I884" s="16"/>
      <c r="J884" s="16"/>
      <c r="K884" s="16"/>
      <c r="L884" s="16"/>
      <c r="M884" s="16"/>
      <c r="N884" s="5" t="s">
        <v>112</v>
      </c>
      <c r="O884" s="16" t="str">
        <f t="shared" si="1"/>
        <v>#</v>
      </c>
      <c r="P884" s="16" t="str">
        <f t="shared" si="2"/>
        <v>#videoGame</v>
      </c>
      <c r="R884" s="16" t="str">
        <f>"("""&amp;C884&amp;""") ("&amp;Vlookup(E884,DropDown!B:C,2,FALSE)&amp; " OR ""Video Game"" OR Playstation OR iOS OR PS4 OR PS5 OR Xbox OR Switch OR Swtich 2 OR PC)"</f>
        <v>#N/A</v>
      </c>
      <c r="S884" s="44" t="str">
        <f>"("""&amp;C884&amp;""") ("&amp;Vlookup(E884,DropDown!K:L,2,FALSE)&amp; " | ""Video Game"" | Playstation | iOS | PS4 | PS5 | Xbox | Switch | Switch 2 | PC)"</f>
        <v>#N/A</v>
      </c>
      <c r="T884" s="44"/>
      <c r="U884" s="44"/>
      <c r="V884" s="44"/>
      <c r="W884" s="44"/>
      <c r="X884" s="44"/>
      <c r="Z884" s="44"/>
    </row>
    <row r="885">
      <c r="A885" s="16"/>
      <c r="B885" s="16"/>
      <c r="E885" s="16"/>
      <c r="F885" s="16"/>
      <c r="G885" s="16"/>
      <c r="H885" s="16"/>
      <c r="I885" s="16"/>
      <c r="J885" s="16"/>
      <c r="K885" s="16"/>
      <c r="L885" s="16"/>
      <c r="M885" s="16"/>
      <c r="N885" s="5" t="s">
        <v>112</v>
      </c>
      <c r="O885" s="16" t="str">
        <f t="shared" si="1"/>
        <v>#</v>
      </c>
      <c r="P885" s="16" t="str">
        <f t="shared" si="2"/>
        <v>#videoGame</v>
      </c>
      <c r="R885" s="16" t="str">
        <f>"("""&amp;C885&amp;""") ("&amp;Vlookup(E885,DropDown!B:C,2,FALSE)&amp; " OR ""Video Game"" OR Playstation OR iOS OR PS4 OR PS5 OR Xbox OR Switch OR Swtich 2 OR PC)"</f>
        <v>#N/A</v>
      </c>
      <c r="S885" s="44" t="str">
        <f>"("""&amp;C885&amp;""") ("&amp;Vlookup(E885,DropDown!K:L,2,FALSE)&amp; " | ""Video Game"" | Playstation | iOS | PS4 | PS5 | Xbox | Switch | Switch 2 | PC)"</f>
        <v>#N/A</v>
      </c>
      <c r="T885" s="44"/>
      <c r="U885" s="44"/>
      <c r="V885" s="44"/>
      <c r="W885" s="44"/>
      <c r="X885" s="44"/>
      <c r="Z885" s="44"/>
    </row>
    <row r="886">
      <c r="A886" s="16"/>
      <c r="B886" s="16"/>
      <c r="E886" s="16"/>
      <c r="F886" s="16"/>
      <c r="G886" s="16"/>
      <c r="H886" s="16"/>
      <c r="I886" s="16"/>
      <c r="J886" s="16"/>
      <c r="K886" s="16"/>
      <c r="L886" s="16"/>
      <c r="M886" s="16"/>
      <c r="N886" s="5" t="s">
        <v>112</v>
      </c>
      <c r="O886" s="16" t="str">
        <f t="shared" si="1"/>
        <v>#</v>
      </c>
      <c r="P886" s="16" t="str">
        <f t="shared" si="2"/>
        <v>#videoGame</v>
      </c>
      <c r="R886" s="16" t="str">
        <f>"("""&amp;C886&amp;""") ("&amp;Vlookup(E886,DropDown!B:C,2,FALSE)&amp; " OR ""Video Game"" OR Playstation OR iOS OR PS4 OR PS5 OR Xbox OR Switch OR Swtich 2 OR PC)"</f>
        <v>#N/A</v>
      </c>
      <c r="S886" s="44" t="str">
        <f>"("""&amp;C886&amp;""") ("&amp;Vlookup(E886,DropDown!K:L,2,FALSE)&amp; " | ""Video Game"" | Playstation | iOS | PS4 | PS5 | Xbox | Switch | Switch 2 | PC)"</f>
        <v>#N/A</v>
      </c>
      <c r="T886" s="44"/>
      <c r="U886" s="44"/>
      <c r="V886" s="44"/>
      <c r="W886" s="44"/>
      <c r="X886" s="44"/>
      <c r="Z886" s="44"/>
    </row>
    <row r="887">
      <c r="A887" s="16"/>
      <c r="B887" s="16"/>
      <c r="E887" s="16"/>
      <c r="F887" s="16"/>
      <c r="G887" s="16"/>
      <c r="H887" s="16"/>
      <c r="I887" s="16"/>
      <c r="J887" s="16"/>
      <c r="K887" s="16"/>
      <c r="L887" s="16"/>
      <c r="M887" s="16"/>
      <c r="N887" s="5" t="s">
        <v>112</v>
      </c>
      <c r="O887" s="16" t="str">
        <f t="shared" si="1"/>
        <v>#</v>
      </c>
      <c r="P887" s="16" t="str">
        <f t="shared" si="2"/>
        <v>#videoGame</v>
      </c>
      <c r="R887" s="16" t="str">
        <f>"("""&amp;C887&amp;""") ("&amp;Vlookup(E887,DropDown!B:C,2,FALSE)&amp; " OR ""Video Game"" OR Playstation OR iOS OR PS4 OR PS5 OR Xbox OR Switch OR Swtich 2 OR PC)"</f>
        <v>#N/A</v>
      </c>
      <c r="S887" s="44" t="str">
        <f>"("""&amp;C887&amp;""") ("&amp;Vlookup(E887,DropDown!K:L,2,FALSE)&amp; " | ""Video Game"" | Playstation | iOS | PS4 | PS5 | Xbox | Switch | Switch 2 | PC)"</f>
        <v>#N/A</v>
      </c>
      <c r="T887" s="44"/>
      <c r="U887" s="44"/>
      <c r="V887" s="44"/>
      <c r="W887" s="44"/>
      <c r="X887" s="44"/>
      <c r="Z887" s="44"/>
    </row>
    <row r="888">
      <c r="A888" s="16"/>
      <c r="B888" s="16"/>
      <c r="E888" s="16"/>
      <c r="F888" s="16"/>
      <c r="G888" s="16"/>
      <c r="H888" s="16"/>
      <c r="I888" s="16"/>
      <c r="J888" s="16"/>
      <c r="K888" s="16"/>
      <c r="L888" s="16"/>
      <c r="M888" s="16"/>
      <c r="N888" s="5" t="s">
        <v>112</v>
      </c>
      <c r="O888" s="16" t="str">
        <f t="shared" si="1"/>
        <v>#</v>
      </c>
      <c r="P888" s="16" t="str">
        <f t="shared" si="2"/>
        <v>#videoGame</v>
      </c>
      <c r="R888" s="16" t="str">
        <f>"("""&amp;C888&amp;""") ("&amp;Vlookup(E888,DropDown!B:C,2,FALSE)&amp; " OR ""Video Game"" OR Playstation OR iOS OR PS4 OR PS5 OR Xbox OR Switch OR Swtich 2 OR PC)"</f>
        <v>#N/A</v>
      </c>
      <c r="S888" s="44" t="str">
        <f>"("""&amp;C888&amp;""") ("&amp;Vlookup(E888,DropDown!K:L,2,FALSE)&amp; " | ""Video Game"" | Playstation | iOS | PS4 | PS5 | Xbox | Switch | Switch 2 | PC)"</f>
        <v>#N/A</v>
      </c>
      <c r="T888" s="44"/>
      <c r="U888" s="44"/>
      <c r="V888" s="44"/>
      <c r="W888" s="44"/>
      <c r="X888" s="44"/>
      <c r="Z888" s="44"/>
    </row>
    <row r="889">
      <c r="A889" s="16"/>
      <c r="B889" s="16"/>
      <c r="E889" s="16"/>
      <c r="F889" s="16"/>
      <c r="G889" s="16"/>
      <c r="H889" s="16"/>
      <c r="I889" s="16"/>
      <c r="J889" s="16"/>
      <c r="K889" s="16"/>
      <c r="L889" s="16"/>
      <c r="M889" s="16"/>
      <c r="N889" s="5" t="s">
        <v>112</v>
      </c>
      <c r="O889" s="16" t="str">
        <f t="shared" si="1"/>
        <v>#</v>
      </c>
      <c r="P889" s="16" t="str">
        <f t="shared" si="2"/>
        <v>#videoGame</v>
      </c>
      <c r="R889" s="16" t="str">
        <f>"("""&amp;C889&amp;""") ("&amp;Vlookup(E889,DropDown!B:C,2,FALSE)&amp; " OR ""Video Game"" OR Playstation OR iOS OR PS4 OR PS5 OR Xbox OR Switch OR Swtich 2 OR PC)"</f>
        <v>#N/A</v>
      </c>
      <c r="S889" s="44" t="str">
        <f>"("""&amp;C889&amp;""") ("&amp;Vlookup(E889,DropDown!K:L,2,FALSE)&amp; " | ""Video Game"" | Playstation | iOS | PS4 | PS5 | Xbox | Switch | Switch 2 | PC)"</f>
        <v>#N/A</v>
      </c>
      <c r="T889" s="44"/>
      <c r="U889" s="44"/>
      <c r="V889" s="44"/>
      <c r="W889" s="44"/>
      <c r="X889" s="44"/>
      <c r="Z889" s="44"/>
    </row>
    <row r="890">
      <c r="A890" s="16"/>
      <c r="B890" s="16"/>
      <c r="E890" s="16"/>
      <c r="F890" s="16"/>
      <c r="G890" s="16"/>
      <c r="H890" s="16"/>
      <c r="I890" s="16"/>
      <c r="J890" s="16"/>
      <c r="K890" s="16"/>
      <c r="L890" s="16"/>
      <c r="M890" s="16"/>
      <c r="N890" s="5" t="s">
        <v>112</v>
      </c>
      <c r="O890" s="16" t="str">
        <f t="shared" si="1"/>
        <v>#</v>
      </c>
      <c r="P890" s="16" t="str">
        <f t="shared" si="2"/>
        <v>#videoGame</v>
      </c>
      <c r="R890" s="16" t="str">
        <f>"("""&amp;C890&amp;""") ("&amp;Vlookup(E890,DropDown!B:C,2,FALSE)&amp; " OR ""Video Game"" OR Playstation OR iOS OR PS4 OR PS5 OR Xbox OR Switch OR Swtich 2 OR PC)"</f>
        <v>#N/A</v>
      </c>
      <c r="S890" s="44" t="str">
        <f>"("""&amp;C890&amp;""") ("&amp;Vlookup(E890,DropDown!K:L,2,FALSE)&amp; " | ""Video Game"" | Playstation | iOS | PS4 | PS5 | Xbox | Switch | Switch 2 | PC)"</f>
        <v>#N/A</v>
      </c>
      <c r="T890" s="44"/>
      <c r="U890" s="44"/>
      <c r="V890" s="44"/>
      <c r="W890" s="44"/>
      <c r="X890" s="44"/>
      <c r="Z890" s="44"/>
    </row>
    <row r="891">
      <c r="A891" s="16"/>
      <c r="B891" s="16"/>
      <c r="E891" s="16"/>
      <c r="F891" s="16"/>
      <c r="G891" s="16"/>
      <c r="H891" s="16"/>
      <c r="I891" s="16"/>
      <c r="J891" s="16"/>
      <c r="K891" s="16"/>
      <c r="L891" s="16"/>
      <c r="M891" s="16"/>
      <c r="N891" s="5" t="s">
        <v>112</v>
      </c>
      <c r="O891" s="16" t="str">
        <f t="shared" si="1"/>
        <v>#</v>
      </c>
      <c r="P891" s="16" t="str">
        <f t="shared" si="2"/>
        <v>#videoGame</v>
      </c>
      <c r="R891" s="16" t="str">
        <f>"("""&amp;C891&amp;""") ("&amp;Vlookup(E891,DropDown!B:C,2,FALSE)&amp; " OR ""Video Game"" OR Playstation OR iOS OR PS4 OR PS5 OR Xbox OR Switch OR Swtich 2 OR PC)"</f>
        <v>#N/A</v>
      </c>
      <c r="S891" s="44" t="str">
        <f>"("""&amp;C891&amp;""") ("&amp;Vlookup(E891,DropDown!K:L,2,FALSE)&amp; " | ""Video Game"" | Playstation | iOS | PS4 | PS5 | Xbox | Switch | Switch 2 | PC)"</f>
        <v>#N/A</v>
      </c>
      <c r="T891" s="44"/>
      <c r="U891" s="44"/>
      <c r="V891" s="44"/>
      <c r="W891" s="44"/>
      <c r="X891" s="44"/>
      <c r="Z891" s="44"/>
    </row>
    <row r="892">
      <c r="A892" s="16"/>
      <c r="B892" s="16"/>
      <c r="E892" s="16"/>
      <c r="F892" s="16"/>
      <c r="G892" s="16"/>
      <c r="H892" s="16"/>
      <c r="I892" s="16"/>
      <c r="J892" s="16"/>
      <c r="K892" s="16"/>
      <c r="L892" s="16"/>
      <c r="M892" s="16"/>
      <c r="N892" s="5" t="s">
        <v>112</v>
      </c>
      <c r="O892" s="16" t="str">
        <f t="shared" si="1"/>
        <v>#</v>
      </c>
      <c r="P892" s="16" t="str">
        <f t="shared" si="2"/>
        <v>#videoGame</v>
      </c>
      <c r="R892" s="16" t="str">
        <f>"("""&amp;C892&amp;""") ("&amp;Vlookup(E892,DropDown!B:C,2,FALSE)&amp; " OR ""Video Game"" OR Playstation OR iOS OR PS4 OR PS5 OR Xbox OR Switch OR Swtich 2 OR PC)"</f>
        <v>#N/A</v>
      </c>
      <c r="S892" s="44" t="str">
        <f>"("""&amp;C892&amp;""") ("&amp;Vlookup(E892,DropDown!K:L,2,FALSE)&amp; " | ""Video Game"" | Playstation | iOS | PS4 | PS5 | Xbox | Switch | Switch 2 | PC)"</f>
        <v>#N/A</v>
      </c>
      <c r="T892" s="44"/>
      <c r="U892" s="44"/>
      <c r="V892" s="44"/>
      <c r="W892" s="44"/>
      <c r="X892" s="44"/>
      <c r="Z892" s="44"/>
    </row>
    <row r="893">
      <c r="A893" s="16"/>
      <c r="B893" s="16"/>
      <c r="E893" s="16"/>
      <c r="F893" s="16"/>
      <c r="G893" s="16"/>
      <c r="H893" s="16"/>
      <c r="I893" s="16"/>
      <c r="J893" s="16"/>
      <c r="K893" s="16"/>
      <c r="L893" s="16"/>
      <c r="M893" s="16"/>
      <c r="N893" s="5" t="s">
        <v>112</v>
      </c>
      <c r="O893" s="16" t="str">
        <f t="shared" si="1"/>
        <v>#</v>
      </c>
      <c r="P893" s="16" t="str">
        <f t="shared" si="2"/>
        <v>#videoGame</v>
      </c>
      <c r="R893" s="16" t="str">
        <f>"("""&amp;C893&amp;""") ("&amp;Vlookup(E893,DropDown!B:C,2,FALSE)&amp; " OR ""Video Game"" OR Playstation OR iOS OR PS4 OR PS5 OR Xbox OR Switch OR Swtich 2 OR PC)"</f>
        <v>#N/A</v>
      </c>
      <c r="S893" s="44" t="str">
        <f>"("""&amp;C893&amp;""") ("&amp;Vlookup(E893,DropDown!K:L,2,FALSE)&amp; " | ""Video Game"" | Playstation | iOS | PS4 | PS5 | Xbox | Switch | Switch 2 | PC)"</f>
        <v>#N/A</v>
      </c>
      <c r="T893" s="44"/>
      <c r="U893" s="44"/>
      <c r="V893" s="44"/>
      <c r="W893" s="44"/>
      <c r="X893" s="44"/>
      <c r="Z893" s="44"/>
    </row>
    <row r="894">
      <c r="A894" s="16"/>
      <c r="B894" s="16"/>
      <c r="E894" s="16"/>
      <c r="F894" s="16"/>
      <c r="G894" s="16"/>
      <c r="H894" s="16"/>
      <c r="I894" s="16"/>
      <c r="J894" s="16"/>
      <c r="K894" s="16"/>
      <c r="L894" s="16"/>
      <c r="M894" s="16"/>
      <c r="N894" s="5" t="s">
        <v>112</v>
      </c>
      <c r="O894" s="16" t="str">
        <f t="shared" si="1"/>
        <v>#</v>
      </c>
      <c r="P894" s="16" t="str">
        <f t="shared" si="2"/>
        <v>#videoGame</v>
      </c>
      <c r="R894" s="16" t="str">
        <f>"("""&amp;C894&amp;""") ("&amp;Vlookup(E894,DropDown!B:C,2,FALSE)&amp; " OR ""Video Game"" OR Playstation OR iOS OR PS4 OR PS5 OR Xbox OR Switch OR Swtich 2 OR PC)"</f>
        <v>#N/A</v>
      </c>
      <c r="S894" s="44" t="str">
        <f>"("""&amp;C894&amp;""") ("&amp;Vlookup(E894,DropDown!K:L,2,FALSE)&amp; " | ""Video Game"" | Playstation | iOS | PS4 | PS5 | Xbox | Switch | Switch 2 | PC)"</f>
        <v>#N/A</v>
      </c>
      <c r="T894" s="44"/>
      <c r="U894" s="44"/>
      <c r="V894" s="44"/>
      <c r="W894" s="44"/>
      <c r="X894" s="44"/>
      <c r="Z894" s="44"/>
    </row>
    <row r="895">
      <c r="A895" s="16"/>
      <c r="B895" s="16"/>
      <c r="E895" s="16"/>
      <c r="F895" s="16"/>
      <c r="G895" s="16"/>
      <c r="H895" s="16"/>
      <c r="I895" s="16"/>
      <c r="J895" s="16"/>
      <c r="K895" s="16"/>
      <c r="L895" s="16"/>
      <c r="M895" s="16"/>
      <c r="N895" s="5" t="s">
        <v>112</v>
      </c>
      <c r="O895" s="16" t="str">
        <f t="shared" si="1"/>
        <v>#</v>
      </c>
      <c r="P895" s="16" t="str">
        <f t="shared" si="2"/>
        <v>#videoGame</v>
      </c>
      <c r="R895" s="16" t="str">
        <f>"("""&amp;C895&amp;""") ("&amp;Vlookup(E895,DropDown!B:C,2,FALSE)&amp; " OR ""Video Game"" OR Playstation OR iOS OR PS4 OR PS5 OR Xbox OR Switch OR Swtich 2 OR PC)"</f>
        <v>#N/A</v>
      </c>
      <c r="S895" s="44" t="str">
        <f>"("""&amp;C895&amp;""") ("&amp;Vlookup(E895,DropDown!K:L,2,FALSE)&amp; " | ""Video Game"" | Playstation | iOS | PS4 | PS5 | Xbox | Switch | Switch 2 | PC)"</f>
        <v>#N/A</v>
      </c>
      <c r="T895" s="44"/>
      <c r="U895" s="44"/>
      <c r="V895" s="44"/>
      <c r="W895" s="44"/>
      <c r="X895" s="44"/>
      <c r="Z895" s="44"/>
    </row>
    <row r="896">
      <c r="A896" s="16"/>
      <c r="B896" s="16"/>
      <c r="E896" s="16"/>
      <c r="F896" s="16"/>
      <c r="G896" s="16"/>
      <c r="H896" s="16"/>
      <c r="I896" s="16"/>
      <c r="J896" s="16"/>
      <c r="K896" s="16"/>
      <c r="L896" s="16"/>
      <c r="M896" s="16"/>
      <c r="N896" s="5" t="s">
        <v>112</v>
      </c>
      <c r="O896" s="16" t="str">
        <f t="shared" si="1"/>
        <v>#</v>
      </c>
      <c r="P896" s="16" t="str">
        <f t="shared" si="2"/>
        <v>#videoGame</v>
      </c>
      <c r="R896" s="16" t="str">
        <f>"("""&amp;C896&amp;""") ("&amp;Vlookup(E896,DropDown!B:C,2,FALSE)&amp; " OR ""Video Game"" OR Playstation OR iOS OR PS4 OR PS5 OR Xbox OR Switch OR Swtich 2 OR PC)"</f>
        <v>#N/A</v>
      </c>
      <c r="S896" s="44" t="str">
        <f>"("""&amp;C896&amp;""") ("&amp;Vlookup(E896,DropDown!K:L,2,FALSE)&amp; " | ""Video Game"" | Playstation | iOS | PS4 | PS5 | Xbox | Switch | Switch 2 | PC)"</f>
        <v>#N/A</v>
      </c>
      <c r="T896" s="44"/>
      <c r="U896" s="44"/>
      <c r="V896" s="44"/>
      <c r="W896" s="44"/>
      <c r="X896" s="44"/>
      <c r="Z896" s="44"/>
    </row>
    <row r="897">
      <c r="A897" s="16"/>
      <c r="B897" s="16"/>
      <c r="E897" s="16"/>
      <c r="F897" s="16"/>
      <c r="G897" s="16"/>
      <c r="H897" s="16"/>
      <c r="I897" s="16"/>
      <c r="J897" s="16"/>
      <c r="K897" s="16"/>
      <c r="L897" s="16"/>
      <c r="M897" s="16"/>
      <c r="N897" s="5" t="s">
        <v>112</v>
      </c>
      <c r="O897" s="16" t="str">
        <f t="shared" si="1"/>
        <v>#</v>
      </c>
      <c r="P897" s="16" t="str">
        <f t="shared" si="2"/>
        <v>#videoGame</v>
      </c>
      <c r="R897" s="16" t="str">
        <f>"("""&amp;C897&amp;""") ("&amp;Vlookup(E897,DropDown!B:C,2,FALSE)&amp; " OR ""Video Game"" OR Playstation OR iOS OR PS4 OR PS5 OR Xbox OR Switch OR Swtich 2 OR PC)"</f>
        <v>#N/A</v>
      </c>
      <c r="S897" s="44" t="str">
        <f>"("""&amp;C897&amp;""") ("&amp;Vlookup(E897,DropDown!K:L,2,FALSE)&amp; " | ""Video Game"" | Playstation | iOS | PS4 | PS5 | Xbox | Switch | Switch 2 | PC)"</f>
        <v>#N/A</v>
      </c>
      <c r="T897" s="44"/>
      <c r="U897" s="44"/>
      <c r="V897" s="44"/>
      <c r="W897" s="44"/>
      <c r="X897" s="44"/>
      <c r="Z897" s="44"/>
    </row>
    <row r="898">
      <c r="A898" s="16"/>
      <c r="B898" s="16"/>
      <c r="E898" s="16"/>
      <c r="F898" s="16"/>
      <c r="G898" s="16"/>
      <c r="H898" s="16"/>
      <c r="I898" s="16"/>
      <c r="J898" s="16"/>
      <c r="K898" s="16"/>
      <c r="L898" s="16"/>
      <c r="M898" s="16"/>
      <c r="N898" s="5" t="s">
        <v>112</v>
      </c>
      <c r="O898" s="16" t="str">
        <f t="shared" si="1"/>
        <v>#</v>
      </c>
      <c r="P898" s="16" t="str">
        <f t="shared" si="2"/>
        <v>#videoGame</v>
      </c>
      <c r="R898" s="16" t="str">
        <f>"("""&amp;C898&amp;""") ("&amp;Vlookup(E898,DropDown!B:C,2,FALSE)&amp; " OR ""Video Game"" OR Playstation OR iOS OR PS4 OR PS5 OR Xbox OR Switch OR Swtich 2 OR PC)"</f>
        <v>#N/A</v>
      </c>
      <c r="S898" s="44" t="str">
        <f>"("""&amp;C898&amp;""") ("&amp;Vlookup(E898,DropDown!K:L,2,FALSE)&amp; " | ""Video Game"" | Playstation | iOS | PS4 | PS5 | Xbox | Switch | Switch 2 | PC)"</f>
        <v>#N/A</v>
      </c>
      <c r="T898" s="44"/>
      <c r="U898" s="44"/>
      <c r="V898" s="44"/>
      <c r="W898" s="44"/>
      <c r="X898" s="44"/>
      <c r="Z898" s="44"/>
    </row>
    <row r="899">
      <c r="A899" s="16"/>
      <c r="B899" s="16"/>
      <c r="E899" s="16"/>
      <c r="F899" s="16"/>
      <c r="G899" s="16"/>
      <c r="H899" s="16"/>
      <c r="I899" s="16"/>
      <c r="J899" s="16"/>
      <c r="K899" s="16"/>
      <c r="L899" s="16"/>
      <c r="M899" s="16"/>
      <c r="N899" s="5" t="s">
        <v>112</v>
      </c>
      <c r="O899" s="16" t="str">
        <f t="shared" si="1"/>
        <v>#</v>
      </c>
      <c r="P899" s="16" t="str">
        <f t="shared" si="2"/>
        <v>#videoGame</v>
      </c>
      <c r="R899" s="16" t="str">
        <f>"("""&amp;C899&amp;""") ("&amp;Vlookup(E899,DropDown!B:C,2,FALSE)&amp; " OR ""Video Game"" OR Playstation OR iOS OR PS4 OR PS5 OR Xbox OR Switch OR Swtich 2 OR PC)"</f>
        <v>#N/A</v>
      </c>
      <c r="S899" s="44" t="str">
        <f>"("""&amp;C899&amp;""") ("&amp;Vlookup(E899,DropDown!K:L,2,FALSE)&amp; " | ""Video Game"" | Playstation | iOS | PS4 | PS5 | Xbox | Switch | Switch 2 | PC)"</f>
        <v>#N/A</v>
      </c>
      <c r="T899" s="44"/>
      <c r="U899" s="44"/>
      <c r="V899" s="44"/>
      <c r="W899" s="44"/>
      <c r="X899" s="44"/>
      <c r="Z899" s="44"/>
    </row>
    <row r="900">
      <c r="A900" s="16"/>
      <c r="B900" s="16"/>
      <c r="E900" s="16"/>
      <c r="F900" s="16"/>
      <c r="G900" s="16"/>
      <c r="H900" s="16"/>
      <c r="I900" s="16"/>
      <c r="J900" s="16"/>
      <c r="K900" s="16"/>
      <c r="L900" s="16"/>
      <c r="M900" s="16"/>
      <c r="N900" s="5" t="s">
        <v>112</v>
      </c>
      <c r="O900" s="16" t="str">
        <f t="shared" si="1"/>
        <v>#</v>
      </c>
      <c r="P900" s="16" t="str">
        <f t="shared" si="2"/>
        <v>#videoGame</v>
      </c>
      <c r="R900" s="16" t="str">
        <f>"("""&amp;C900&amp;""") ("&amp;Vlookup(E900,DropDown!B:C,2,FALSE)&amp; " OR ""Video Game"" OR Playstation OR iOS OR PS4 OR PS5 OR Xbox OR Switch OR Swtich 2 OR PC)"</f>
        <v>#N/A</v>
      </c>
      <c r="S900" s="44" t="str">
        <f>"("""&amp;C900&amp;""") ("&amp;Vlookup(E900,DropDown!K:L,2,FALSE)&amp; " | ""Video Game"" | Playstation | iOS | PS4 | PS5 | Xbox | Switch | Switch 2 | PC)"</f>
        <v>#N/A</v>
      </c>
      <c r="T900" s="44"/>
      <c r="U900" s="44"/>
      <c r="V900" s="44"/>
      <c r="W900" s="44"/>
      <c r="X900" s="44"/>
      <c r="Z900" s="44"/>
    </row>
    <row r="901">
      <c r="A901" s="16"/>
      <c r="B901" s="16"/>
      <c r="E901" s="16"/>
      <c r="F901" s="16"/>
      <c r="G901" s="16"/>
      <c r="H901" s="16"/>
      <c r="I901" s="16"/>
      <c r="J901" s="16"/>
      <c r="K901" s="16"/>
      <c r="L901" s="16"/>
      <c r="M901" s="16"/>
      <c r="N901" s="5" t="s">
        <v>112</v>
      </c>
      <c r="O901" s="16" t="str">
        <f t="shared" si="1"/>
        <v>#</v>
      </c>
      <c r="P901" s="16" t="str">
        <f t="shared" si="2"/>
        <v>#videoGame</v>
      </c>
      <c r="R901" s="16" t="str">
        <f>"("""&amp;C901&amp;""") ("&amp;Vlookup(E901,DropDown!B:C,2,FALSE)&amp; " OR ""Video Game"" OR Playstation OR iOS OR PS4 OR PS5 OR Xbox OR Switch OR Swtich 2 OR PC)"</f>
        <v>#N/A</v>
      </c>
      <c r="S901" s="44" t="str">
        <f>"("""&amp;C901&amp;""") ("&amp;Vlookup(E901,DropDown!K:L,2,FALSE)&amp; " | ""Video Game"" | Playstation | iOS | PS4 | PS5 | Xbox | Switch | Switch 2 | PC)"</f>
        <v>#N/A</v>
      </c>
      <c r="T901" s="44"/>
      <c r="U901" s="44"/>
      <c r="V901" s="44"/>
      <c r="W901" s="44"/>
      <c r="X901" s="44"/>
      <c r="Z901" s="44"/>
    </row>
    <row r="902">
      <c r="A902" s="16"/>
      <c r="B902" s="16"/>
      <c r="E902" s="16"/>
      <c r="F902" s="16"/>
      <c r="G902" s="16"/>
      <c r="H902" s="16"/>
      <c r="I902" s="16"/>
      <c r="J902" s="16"/>
      <c r="K902" s="16"/>
      <c r="L902" s="16"/>
      <c r="M902" s="16"/>
      <c r="N902" s="5" t="s">
        <v>112</v>
      </c>
      <c r="O902" s="16" t="str">
        <f t="shared" si="1"/>
        <v>#</v>
      </c>
      <c r="P902" s="16" t="str">
        <f t="shared" si="2"/>
        <v>#videoGame</v>
      </c>
      <c r="R902" s="16" t="str">
        <f>"("""&amp;C902&amp;""") ("&amp;Vlookup(E902,DropDown!B:C,2,FALSE)&amp; " OR ""Video Game"" OR Playstation OR iOS OR PS4 OR PS5 OR Xbox OR Switch OR Swtich 2 OR PC)"</f>
        <v>#N/A</v>
      </c>
      <c r="S902" s="44" t="str">
        <f>"("""&amp;C902&amp;""") ("&amp;Vlookup(E902,DropDown!K:L,2,FALSE)&amp; " | ""Video Game"" | Playstation | iOS | PS4 | PS5 | Xbox | Switch | Switch 2 | PC)"</f>
        <v>#N/A</v>
      </c>
      <c r="T902" s="44"/>
      <c r="U902" s="44"/>
      <c r="V902" s="44"/>
      <c r="W902" s="44"/>
      <c r="X902" s="44"/>
      <c r="Z902" s="44"/>
    </row>
    <row r="903">
      <c r="A903" s="16"/>
      <c r="B903" s="16"/>
      <c r="E903" s="16"/>
      <c r="F903" s="16"/>
      <c r="G903" s="16"/>
      <c r="H903" s="16"/>
      <c r="I903" s="16"/>
      <c r="J903" s="16"/>
      <c r="K903" s="16"/>
      <c r="L903" s="16"/>
      <c r="M903" s="16"/>
      <c r="N903" s="5" t="s">
        <v>112</v>
      </c>
      <c r="O903" s="16" t="str">
        <f t="shared" si="1"/>
        <v>#</v>
      </c>
      <c r="P903" s="16" t="str">
        <f t="shared" si="2"/>
        <v>#videoGame</v>
      </c>
      <c r="R903" s="16" t="str">
        <f>"("""&amp;C903&amp;""") ("&amp;Vlookup(E903,DropDown!B:C,2,FALSE)&amp; " OR ""Video Game"" OR Playstation OR iOS OR PS4 OR PS5 OR Xbox OR Switch OR Swtich 2 OR PC)"</f>
        <v>#N/A</v>
      </c>
      <c r="S903" s="44" t="str">
        <f>"("""&amp;C903&amp;""") ("&amp;Vlookup(E903,DropDown!K:L,2,FALSE)&amp; " | ""Video Game"" | Playstation | iOS | PS4 | PS5 | Xbox | Switch | Switch 2 | PC)"</f>
        <v>#N/A</v>
      </c>
      <c r="T903" s="44"/>
      <c r="U903" s="44"/>
      <c r="V903" s="44"/>
      <c r="W903" s="44"/>
      <c r="X903" s="44"/>
      <c r="Z903" s="44"/>
    </row>
    <row r="904">
      <c r="A904" s="16"/>
      <c r="B904" s="16"/>
      <c r="E904" s="16"/>
      <c r="F904" s="16"/>
      <c r="G904" s="16"/>
      <c r="H904" s="16"/>
      <c r="I904" s="16"/>
      <c r="J904" s="16"/>
      <c r="K904" s="16"/>
      <c r="L904" s="16"/>
      <c r="M904" s="16"/>
      <c r="N904" s="5" t="s">
        <v>112</v>
      </c>
      <c r="O904" s="16" t="str">
        <f t="shared" si="1"/>
        <v>#</v>
      </c>
      <c r="P904" s="16" t="str">
        <f t="shared" si="2"/>
        <v>#videoGame</v>
      </c>
      <c r="R904" s="16" t="str">
        <f>"("""&amp;C904&amp;""") ("&amp;Vlookup(E904,DropDown!B:C,2,FALSE)&amp; " OR ""Video Game"" OR Playstation OR iOS OR PS4 OR PS5 OR Xbox OR Switch OR Swtich 2 OR PC)"</f>
        <v>#N/A</v>
      </c>
      <c r="S904" s="44" t="str">
        <f>"("""&amp;C904&amp;""") ("&amp;Vlookup(E904,DropDown!K:L,2,FALSE)&amp; " | ""Video Game"" | Playstation | iOS | PS4 | PS5 | Xbox | Switch | Switch 2 | PC)"</f>
        <v>#N/A</v>
      </c>
      <c r="T904" s="44"/>
      <c r="U904" s="44"/>
      <c r="V904" s="44"/>
      <c r="W904" s="44"/>
      <c r="X904" s="44"/>
      <c r="Z904" s="44"/>
    </row>
    <row r="905">
      <c r="A905" s="16"/>
      <c r="B905" s="16"/>
      <c r="E905" s="16"/>
      <c r="F905" s="16"/>
      <c r="G905" s="16"/>
      <c r="H905" s="16"/>
      <c r="I905" s="16"/>
      <c r="J905" s="16"/>
      <c r="K905" s="16"/>
      <c r="L905" s="16"/>
      <c r="M905" s="16"/>
      <c r="N905" s="5" t="s">
        <v>112</v>
      </c>
      <c r="O905" s="16" t="str">
        <f t="shared" si="1"/>
        <v>#</v>
      </c>
      <c r="P905" s="16" t="str">
        <f t="shared" si="2"/>
        <v>#videoGame</v>
      </c>
      <c r="R905" s="16" t="str">
        <f>"("""&amp;C905&amp;""") ("&amp;Vlookup(E905,DropDown!B:C,2,FALSE)&amp; " OR ""Video Game"" OR Playstation OR iOS OR PS4 OR PS5 OR Xbox OR Switch OR Swtich 2 OR PC)"</f>
        <v>#N/A</v>
      </c>
      <c r="S905" s="44" t="str">
        <f>"("""&amp;C905&amp;""") ("&amp;Vlookup(E905,DropDown!K:L,2,FALSE)&amp; " | ""Video Game"" | Playstation | iOS | PS4 | PS5 | Xbox | Switch | Switch 2 | PC)"</f>
        <v>#N/A</v>
      </c>
      <c r="T905" s="44"/>
      <c r="U905" s="44"/>
      <c r="V905" s="44"/>
      <c r="W905" s="44"/>
      <c r="X905" s="44"/>
      <c r="Z905" s="44"/>
    </row>
    <row r="906">
      <c r="A906" s="16"/>
      <c r="B906" s="16"/>
      <c r="E906" s="16"/>
      <c r="F906" s="16"/>
      <c r="G906" s="16"/>
      <c r="H906" s="16"/>
      <c r="I906" s="16"/>
      <c r="J906" s="16"/>
      <c r="K906" s="16"/>
      <c r="L906" s="16"/>
      <c r="M906" s="16"/>
      <c r="N906" s="5" t="s">
        <v>112</v>
      </c>
      <c r="O906" s="16" t="str">
        <f t="shared" si="1"/>
        <v>#</v>
      </c>
      <c r="P906" s="16" t="str">
        <f t="shared" si="2"/>
        <v>#videoGame</v>
      </c>
      <c r="R906" s="16" t="str">
        <f>"("""&amp;C906&amp;""") ("&amp;Vlookup(E906,DropDown!B:C,2,FALSE)&amp; " OR ""Video Game"" OR Playstation OR iOS OR PS4 OR PS5 OR Xbox OR Switch OR Swtich 2 OR PC)"</f>
        <v>#N/A</v>
      </c>
      <c r="S906" s="44" t="str">
        <f>"("""&amp;C906&amp;""") ("&amp;Vlookup(E906,DropDown!K:L,2,FALSE)&amp; " | ""Video Game"" | Playstation | iOS | PS4 | PS5 | Xbox | Switch | Switch 2 | PC)"</f>
        <v>#N/A</v>
      </c>
      <c r="T906" s="44"/>
      <c r="U906" s="44"/>
      <c r="V906" s="44"/>
      <c r="W906" s="44"/>
      <c r="X906" s="44"/>
      <c r="Z906" s="44"/>
    </row>
    <row r="907">
      <c r="A907" s="16"/>
      <c r="B907" s="16"/>
      <c r="E907" s="16"/>
      <c r="F907" s="16"/>
      <c r="G907" s="16"/>
      <c r="H907" s="16"/>
      <c r="I907" s="16"/>
      <c r="J907" s="16"/>
      <c r="K907" s="16"/>
      <c r="L907" s="16"/>
      <c r="M907" s="16"/>
      <c r="N907" s="5" t="s">
        <v>112</v>
      </c>
      <c r="O907" s="16" t="str">
        <f t="shared" si="1"/>
        <v>#</v>
      </c>
      <c r="P907" s="16" t="str">
        <f t="shared" si="2"/>
        <v>#videoGame</v>
      </c>
      <c r="R907" s="16" t="str">
        <f>"("""&amp;C907&amp;""") ("&amp;Vlookup(E907,DropDown!B:C,2,FALSE)&amp; " OR ""Video Game"" OR Playstation OR iOS OR PS4 OR PS5 OR Xbox OR Switch OR Swtich 2 OR PC)"</f>
        <v>#N/A</v>
      </c>
      <c r="S907" s="44" t="str">
        <f>"("""&amp;C907&amp;""") ("&amp;Vlookup(E907,DropDown!K:L,2,FALSE)&amp; " | ""Video Game"" | Playstation | iOS | PS4 | PS5 | Xbox | Switch | Switch 2 | PC)"</f>
        <v>#N/A</v>
      </c>
      <c r="T907" s="44"/>
      <c r="U907" s="44"/>
      <c r="V907" s="44"/>
      <c r="W907" s="44"/>
      <c r="X907" s="44"/>
      <c r="Z907" s="44"/>
    </row>
    <row r="908">
      <c r="A908" s="16"/>
      <c r="B908" s="16"/>
      <c r="E908" s="16"/>
      <c r="F908" s="16"/>
      <c r="G908" s="16"/>
      <c r="H908" s="16"/>
      <c r="I908" s="16"/>
      <c r="J908" s="16"/>
      <c r="K908" s="16"/>
      <c r="L908" s="16"/>
      <c r="M908" s="16"/>
      <c r="N908" s="5" t="s">
        <v>112</v>
      </c>
      <c r="O908" s="16" t="str">
        <f t="shared" si="1"/>
        <v>#</v>
      </c>
      <c r="P908" s="16" t="str">
        <f t="shared" si="2"/>
        <v>#videoGame</v>
      </c>
      <c r="R908" s="16" t="str">
        <f>"("""&amp;C908&amp;""") ("&amp;Vlookup(E908,DropDown!B:C,2,FALSE)&amp; " OR ""Video Game"" OR Playstation OR iOS OR PS4 OR PS5 OR Xbox OR Switch OR Swtich 2 OR PC)"</f>
        <v>#N/A</v>
      </c>
      <c r="S908" s="44" t="str">
        <f>"("""&amp;C908&amp;""") ("&amp;Vlookup(E908,DropDown!K:L,2,FALSE)&amp; " | ""Video Game"" | Playstation | iOS | PS4 | PS5 | Xbox | Switch | Switch 2 | PC)"</f>
        <v>#N/A</v>
      </c>
      <c r="T908" s="44"/>
      <c r="U908" s="44"/>
      <c r="V908" s="44"/>
      <c r="W908" s="44"/>
      <c r="X908" s="44"/>
      <c r="Z908" s="44"/>
    </row>
    <row r="909">
      <c r="A909" s="16"/>
      <c r="B909" s="16"/>
      <c r="E909" s="16"/>
      <c r="F909" s="16"/>
      <c r="G909" s="16"/>
      <c r="H909" s="16"/>
      <c r="I909" s="16"/>
      <c r="J909" s="16"/>
      <c r="K909" s="16"/>
      <c r="L909" s="16"/>
      <c r="M909" s="16"/>
      <c r="N909" s="5" t="s">
        <v>112</v>
      </c>
      <c r="O909" s="16" t="str">
        <f t="shared" si="1"/>
        <v>#</v>
      </c>
      <c r="P909" s="16" t="str">
        <f t="shared" si="2"/>
        <v>#videoGame</v>
      </c>
      <c r="R909" s="16" t="str">
        <f>"("""&amp;C909&amp;""") ("&amp;Vlookup(E909,DropDown!B:C,2,FALSE)&amp; " OR ""Video Game"" OR Playstation OR iOS OR PS4 OR PS5 OR Xbox OR Switch OR Swtich 2 OR PC)"</f>
        <v>#N/A</v>
      </c>
      <c r="S909" s="44" t="str">
        <f>"("""&amp;C909&amp;""") ("&amp;Vlookup(E909,DropDown!K:L,2,FALSE)&amp; " | ""Video Game"" | Playstation | iOS | PS4 | PS5 | Xbox | Switch | Switch 2 | PC)"</f>
        <v>#N/A</v>
      </c>
      <c r="T909" s="44"/>
      <c r="U909" s="44"/>
      <c r="V909" s="44"/>
      <c r="W909" s="44"/>
      <c r="X909" s="44"/>
      <c r="Z909" s="44"/>
    </row>
    <row r="910">
      <c r="A910" s="16"/>
      <c r="B910" s="16"/>
      <c r="E910" s="16"/>
      <c r="F910" s="16"/>
      <c r="G910" s="16"/>
      <c r="H910" s="16"/>
      <c r="I910" s="16"/>
      <c r="J910" s="16"/>
      <c r="K910" s="16"/>
      <c r="L910" s="16"/>
      <c r="M910" s="16"/>
      <c r="N910" s="5" t="s">
        <v>112</v>
      </c>
      <c r="O910" s="16" t="str">
        <f t="shared" si="1"/>
        <v>#</v>
      </c>
      <c r="P910" s="16" t="str">
        <f t="shared" si="2"/>
        <v>#videoGame</v>
      </c>
      <c r="R910" s="16" t="str">
        <f>"("""&amp;C910&amp;""") ("&amp;Vlookup(E910,DropDown!B:C,2,FALSE)&amp; " OR ""Video Game"" OR Playstation OR iOS OR PS4 OR PS5 OR Xbox OR Switch OR Swtich 2 OR PC)"</f>
        <v>#N/A</v>
      </c>
      <c r="S910" s="44" t="str">
        <f>"("""&amp;C910&amp;""") ("&amp;Vlookup(E910,DropDown!K:L,2,FALSE)&amp; " | ""Video Game"" | Playstation | iOS | PS4 | PS5 | Xbox | Switch | Switch 2 | PC)"</f>
        <v>#N/A</v>
      </c>
      <c r="T910" s="44"/>
      <c r="U910" s="44"/>
      <c r="V910" s="44"/>
      <c r="W910" s="44"/>
      <c r="X910" s="44"/>
      <c r="Z910" s="44"/>
    </row>
    <row r="911">
      <c r="A911" s="16"/>
      <c r="B911" s="16"/>
      <c r="E911" s="16"/>
      <c r="F911" s="16"/>
      <c r="G911" s="16"/>
      <c r="H911" s="16"/>
      <c r="I911" s="16"/>
      <c r="J911" s="16"/>
      <c r="K911" s="16"/>
      <c r="L911" s="16"/>
      <c r="M911" s="16"/>
      <c r="N911" s="5" t="s">
        <v>112</v>
      </c>
      <c r="O911" s="16" t="str">
        <f t="shared" si="1"/>
        <v>#</v>
      </c>
      <c r="P911" s="16" t="str">
        <f t="shared" si="2"/>
        <v>#videoGame</v>
      </c>
      <c r="R911" s="16" t="str">
        <f>"("""&amp;C911&amp;""") ("&amp;Vlookup(E911,DropDown!B:C,2,FALSE)&amp; " OR ""Video Game"" OR Playstation OR iOS OR PS4 OR PS5 OR Xbox OR Switch OR Swtich 2 OR PC)"</f>
        <v>#N/A</v>
      </c>
      <c r="S911" s="44" t="str">
        <f>"("""&amp;C911&amp;""") ("&amp;Vlookup(E911,DropDown!K:L,2,FALSE)&amp; " | ""Video Game"" | Playstation | iOS | PS4 | PS5 | Xbox | Switch | Switch 2 | PC)"</f>
        <v>#N/A</v>
      </c>
      <c r="T911" s="44"/>
      <c r="U911" s="44"/>
      <c r="V911" s="44"/>
      <c r="W911" s="44"/>
      <c r="X911" s="44"/>
      <c r="Z911" s="44"/>
    </row>
    <row r="912">
      <c r="A912" s="16"/>
      <c r="B912" s="16"/>
      <c r="E912" s="16"/>
      <c r="F912" s="16"/>
      <c r="G912" s="16"/>
      <c r="H912" s="16"/>
      <c r="I912" s="16"/>
      <c r="J912" s="16"/>
      <c r="K912" s="16"/>
      <c r="L912" s="16"/>
      <c r="M912" s="16"/>
      <c r="N912" s="5" t="s">
        <v>112</v>
      </c>
      <c r="O912" s="16" t="str">
        <f t="shared" si="1"/>
        <v>#</v>
      </c>
      <c r="P912" s="16" t="str">
        <f t="shared" si="2"/>
        <v>#videoGame</v>
      </c>
      <c r="R912" s="16" t="str">
        <f>"("""&amp;C912&amp;""") ("&amp;Vlookup(E912,DropDown!B:C,2,FALSE)&amp; " OR ""Video Game"" OR Playstation OR iOS OR PS4 OR PS5 OR Xbox OR Switch OR Swtich 2 OR PC)"</f>
        <v>#N/A</v>
      </c>
      <c r="S912" s="44" t="str">
        <f>"("""&amp;C912&amp;""") ("&amp;Vlookup(E912,DropDown!K:L,2,FALSE)&amp; " | ""Video Game"" | Playstation | iOS | PS4 | PS5 | Xbox | Switch | Switch 2 | PC)"</f>
        <v>#N/A</v>
      </c>
      <c r="T912" s="44"/>
      <c r="U912" s="44"/>
      <c r="V912" s="44"/>
      <c r="W912" s="44"/>
      <c r="X912" s="44"/>
      <c r="Z912" s="44"/>
    </row>
    <row r="913">
      <c r="A913" s="16"/>
      <c r="B913" s="16"/>
      <c r="E913" s="16"/>
      <c r="F913" s="16"/>
      <c r="G913" s="16"/>
      <c r="H913" s="16"/>
      <c r="I913" s="16"/>
      <c r="J913" s="16"/>
      <c r="K913" s="16"/>
      <c r="L913" s="16"/>
      <c r="M913" s="16"/>
      <c r="N913" s="5" t="s">
        <v>112</v>
      </c>
      <c r="O913" s="16" t="str">
        <f t="shared" si="1"/>
        <v>#</v>
      </c>
      <c r="P913" s="16" t="str">
        <f t="shared" si="2"/>
        <v>#videoGame</v>
      </c>
      <c r="R913" s="16" t="str">
        <f>"("""&amp;C913&amp;""") ("&amp;Vlookup(E913,DropDown!B:C,2,FALSE)&amp; " OR ""Video Game"" OR Playstation OR iOS OR PS4 OR PS5 OR Xbox OR Switch OR Swtich 2 OR PC)"</f>
        <v>#N/A</v>
      </c>
      <c r="S913" s="44" t="str">
        <f>"("""&amp;C913&amp;""") ("&amp;Vlookup(E913,DropDown!K:L,2,FALSE)&amp; " | ""Video Game"" | Playstation | iOS | PS4 | PS5 | Xbox | Switch | Switch 2 | PC)"</f>
        <v>#N/A</v>
      </c>
      <c r="T913" s="44"/>
      <c r="U913" s="44"/>
      <c r="V913" s="44"/>
      <c r="W913" s="44"/>
      <c r="X913" s="44"/>
      <c r="Z913" s="44"/>
    </row>
    <row r="914">
      <c r="A914" s="16"/>
      <c r="B914" s="16"/>
      <c r="E914" s="16"/>
      <c r="F914" s="16"/>
      <c r="G914" s="16"/>
      <c r="H914" s="16"/>
      <c r="I914" s="16"/>
      <c r="J914" s="16"/>
      <c r="K914" s="16"/>
      <c r="L914" s="16"/>
      <c r="M914" s="16"/>
      <c r="N914" s="5" t="s">
        <v>112</v>
      </c>
      <c r="O914" s="16" t="str">
        <f t="shared" si="1"/>
        <v>#</v>
      </c>
      <c r="P914" s="16" t="str">
        <f t="shared" si="2"/>
        <v>#videoGame</v>
      </c>
      <c r="R914" s="16" t="str">
        <f>"("""&amp;C914&amp;""") ("&amp;Vlookup(E914,DropDown!B:C,2,FALSE)&amp; " OR ""Video Game"" OR Playstation OR iOS OR PS4 OR PS5 OR Xbox OR Switch OR Swtich 2 OR PC)"</f>
        <v>#N/A</v>
      </c>
      <c r="S914" s="44" t="str">
        <f>"("""&amp;C914&amp;""") ("&amp;Vlookup(E914,DropDown!K:L,2,FALSE)&amp; " | ""Video Game"" | Playstation | iOS | PS4 | PS5 | Xbox | Switch | Switch 2 | PC)"</f>
        <v>#N/A</v>
      </c>
      <c r="T914" s="44"/>
      <c r="U914" s="44"/>
      <c r="V914" s="44"/>
      <c r="W914" s="44"/>
      <c r="X914" s="44"/>
      <c r="Z914" s="44"/>
    </row>
    <row r="915">
      <c r="A915" s="16"/>
      <c r="B915" s="16"/>
      <c r="E915" s="16"/>
      <c r="F915" s="16"/>
      <c r="G915" s="16"/>
      <c r="H915" s="16"/>
      <c r="I915" s="16"/>
      <c r="J915" s="16"/>
      <c r="K915" s="16"/>
      <c r="L915" s="16"/>
      <c r="M915" s="16"/>
      <c r="N915" s="5" t="s">
        <v>112</v>
      </c>
      <c r="O915" s="16" t="str">
        <f t="shared" si="1"/>
        <v>#</v>
      </c>
      <c r="P915" s="16" t="str">
        <f t="shared" si="2"/>
        <v>#videoGame</v>
      </c>
      <c r="R915" s="16" t="str">
        <f>"("""&amp;C915&amp;""") ("&amp;Vlookup(E915,DropDown!B:C,2,FALSE)&amp; " OR ""Video Game"" OR Playstation OR iOS OR PS4 OR PS5 OR Xbox OR Switch OR Swtich 2 OR PC)"</f>
        <v>#N/A</v>
      </c>
      <c r="S915" s="44" t="str">
        <f>"("""&amp;C915&amp;""") ("&amp;Vlookup(E915,DropDown!K:L,2,FALSE)&amp; " | ""Video Game"" | Playstation | iOS | PS4 | PS5 | Xbox | Switch | Switch 2 | PC)"</f>
        <v>#N/A</v>
      </c>
      <c r="T915" s="44"/>
      <c r="U915" s="44"/>
      <c r="V915" s="44"/>
      <c r="W915" s="44"/>
      <c r="X915" s="44"/>
      <c r="Z915" s="44"/>
    </row>
    <row r="916">
      <c r="A916" s="16"/>
      <c r="B916" s="16"/>
      <c r="E916" s="16"/>
      <c r="F916" s="16"/>
      <c r="G916" s="16"/>
      <c r="H916" s="16"/>
      <c r="I916" s="16"/>
      <c r="J916" s="16"/>
      <c r="K916" s="16"/>
      <c r="L916" s="16"/>
      <c r="M916" s="16"/>
      <c r="N916" s="5" t="s">
        <v>112</v>
      </c>
      <c r="O916" s="16" t="str">
        <f t="shared" si="1"/>
        <v>#</v>
      </c>
      <c r="P916" s="16" t="str">
        <f t="shared" si="2"/>
        <v>#videoGame</v>
      </c>
      <c r="R916" s="16" t="str">
        <f>"("""&amp;C916&amp;""") ("&amp;Vlookup(E916,DropDown!B:C,2,FALSE)&amp; " OR ""Video Game"" OR Playstation OR iOS OR PS4 OR PS5 OR Xbox OR Switch OR Swtich 2 OR PC)"</f>
        <v>#N/A</v>
      </c>
      <c r="S916" s="44" t="str">
        <f>"("""&amp;C916&amp;""") ("&amp;Vlookup(E916,DropDown!K:L,2,FALSE)&amp; " | ""Video Game"" | Playstation | iOS | PS4 | PS5 | Xbox | Switch | Switch 2 | PC)"</f>
        <v>#N/A</v>
      </c>
      <c r="T916" s="44"/>
      <c r="U916" s="44"/>
      <c r="V916" s="44"/>
      <c r="W916" s="44"/>
      <c r="X916" s="44"/>
      <c r="Z916" s="44"/>
    </row>
    <row r="917">
      <c r="A917" s="16"/>
      <c r="B917" s="16"/>
      <c r="E917" s="16"/>
      <c r="F917" s="16"/>
      <c r="G917" s="16"/>
      <c r="H917" s="16"/>
      <c r="I917" s="16"/>
      <c r="J917" s="16"/>
      <c r="K917" s="16"/>
      <c r="L917" s="16"/>
      <c r="M917" s="16"/>
      <c r="N917" s="5" t="s">
        <v>112</v>
      </c>
      <c r="O917" s="16" t="str">
        <f t="shared" si="1"/>
        <v>#</v>
      </c>
      <c r="P917" s="16" t="str">
        <f t="shared" si="2"/>
        <v>#videoGame</v>
      </c>
      <c r="R917" s="16" t="str">
        <f>"("""&amp;C917&amp;""") ("&amp;Vlookup(E917,DropDown!B:C,2,FALSE)&amp; " OR ""Video Game"" OR Playstation OR iOS OR PS4 OR PS5 OR Xbox OR Switch OR Swtich 2 OR PC)"</f>
        <v>#N/A</v>
      </c>
      <c r="S917" s="44" t="str">
        <f>"("""&amp;C917&amp;""") ("&amp;Vlookup(E917,DropDown!K:L,2,FALSE)&amp; " | ""Video Game"" | Playstation | iOS | PS4 | PS5 | Xbox | Switch | Switch 2 | PC)"</f>
        <v>#N/A</v>
      </c>
      <c r="T917" s="44"/>
      <c r="U917" s="44"/>
      <c r="V917" s="44"/>
      <c r="W917" s="44"/>
      <c r="X917" s="44"/>
      <c r="Z917" s="44"/>
    </row>
    <row r="918">
      <c r="A918" s="16"/>
      <c r="B918" s="16"/>
      <c r="E918" s="16"/>
      <c r="F918" s="16"/>
      <c r="G918" s="16"/>
      <c r="H918" s="16"/>
      <c r="I918" s="16"/>
      <c r="J918" s="16"/>
      <c r="K918" s="16"/>
      <c r="L918" s="16"/>
      <c r="M918" s="16"/>
      <c r="N918" s="5" t="s">
        <v>112</v>
      </c>
      <c r="O918" s="16" t="str">
        <f t="shared" si="1"/>
        <v>#</v>
      </c>
      <c r="P918" s="16" t="str">
        <f t="shared" si="2"/>
        <v>#videoGame</v>
      </c>
      <c r="R918" s="16" t="str">
        <f>"("""&amp;C918&amp;""") ("&amp;Vlookup(E918,DropDown!B:C,2,FALSE)&amp; " OR ""Video Game"" OR Playstation OR iOS OR PS4 OR PS5 OR Xbox OR Switch OR Swtich 2 OR PC)"</f>
        <v>#N/A</v>
      </c>
      <c r="S918" s="44" t="str">
        <f>"("""&amp;C918&amp;""") ("&amp;Vlookup(E918,DropDown!K:L,2,FALSE)&amp; " | ""Video Game"" | Playstation | iOS | PS4 | PS5 | Xbox | Switch | Switch 2 | PC)"</f>
        <v>#N/A</v>
      </c>
      <c r="T918" s="44"/>
      <c r="U918" s="44"/>
      <c r="V918" s="44"/>
      <c r="W918" s="44"/>
      <c r="X918" s="44"/>
      <c r="Z918" s="44"/>
    </row>
    <row r="919">
      <c r="A919" s="16"/>
      <c r="B919" s="16"/>
      <c r="E919" s="16"/>
      <c r="F919" s="16"/>
      <c r="G919" s="16"/>
      <c r="H919" s="16"/>
      <c r="I919" s="16"/>
      <c r="J919" s="16"/>
      <c r="K919" s="16"/>
      <c r="L919" s="16"/>
      <c r="M919" s="16"/>
      <c r="N919" s="5" t="s">
        <v>112</v>
      </c>
      <c r="O919" s="16" t="str">
        <f t="shared" si="1"/>
        <v>#</v>
      </c>
      <c r="P919" s="16" t="str">
        <f t="shared" si="2"/>
        <v>#videoGame</v>
      </c>
      <c r="R919" s="16" t="str">
        <f>"("""&amp;C919&amp;""") ("&amp;Vlookup(E919,DropDown!B:C,2,FALSE)&amp; " OR ""Video Game"" OR Playstation OR iOS OR PS4 OR PS5 OR Xbox OR Switch OR Swtich 2 OR PC)"</f>
        <v>#N/A</v>
      </c>
      <c r="S919" s="44" t="str">
        <f>"("""&amp;C919&amp;""") ("&amp;Vlookup(E919,DropDown!K:L,2,FALSE)&amp; " | ""Video Game"" | Playstation | iOS | PS4 | PS5 | Xbox | Switch | Switch 2 | PC)"</f>
        <v>#N/A</v>
      </c>
      <c r="T919" s="44"/>
      <c r="U919" s="44"/>
      <c r="V919" s="44"/>
      <c r="W919" s="44"/>
      <c r="X919" s="44"/>
      <c r="Z919" s="44"/>
    </row>
    <row r="920">
      <c r="A920" s="16"/>
      <c r="B920" s="16"/>
      <c r="E920" s="16"/>
      <c r="F920" s="16"/>
      <c r="G920" s="16"/>
      <c r="H920" s="16"/>
      <c r="I920" s="16"/>
      <c r="J920" s="16"/>
      <c r="K920" s="16"/>
      <c r="L920" s="16"/>
      <c r="M920" s="16"/>
      <c r="N920" s="5" t="s">
        <v>112</v>
      </c>
      <c r="O920" s="16" t="str">
        <f t="shared" si="1"/>
        <v>#</v>
      </c>
      <c r="P920" s="16" t="str">
        <f t="shared" si="2"/>
        <v>#videoGame</v>
      </c>
      <c r="R920" s="16" t="str">
        <f>"("""&amp;C920&amp;""") ("&amp;Vlookup(E920,DropDown!B:C,2,FALSE)&amp; " OR ""Video Game"" OR Playstation OR iOS OR PS4 OR PS5 OR Xbox OR Switch OR Swtich 2 OR PC)"</f>
        <v>#N/A</v>
      </c>
      <c r="S920" s="44" t="str">
        <f>"("""&amp;C920&amp;""") ("&amp;Vlookup(E920,DropDown!K:L,2,FALSE)&amp; " | ""Video Game"" | Playstation | iOS | PS4 | PS5 | Xbox | Switch | Switch 2 | PC)"</f>
        <v>#N/A</v>
      </c>
      <c r="T920" s="44"/>
      <c r="U920" s="44"/>
      <c r="V920" s="44"/>
      <c r="W920" s="44"/>
      <c r="X920" s="44"/>
      <c r="Z920" s="44"/>
    </row>
    <row r="921">
      <c r="A921" s="16"/>
      <c r="B921" s="16"/>
      <c r="E921" s="16"/>
      <c r="F921" s="16"/>
      <c r="G921" s="16"/>
      <c r="H921" s="16"/>
      <c r="I921" s="16"/>
      <c r="J921" s="16"/>
      <c r="K921" s="16"/>
      <c r="L921" s="16"/>
      <c r="M921" s="16"/>
      <c r="N921" s="5" t="s">
        <v>112</v>
      </c>
      <c r="O921" s="16" t="str">
        <f t="shared" si="1"/>
        <v>#</v>
      </c>
      <c r="P921" s="16" t="str">
        <f t="shared" si="2"/>
        <v>#videoGame</v>
      </c>
      <c r="R921" s="16" t="str">
        <f>"("""&amp;C921&amp;""") ("&amp;Vlookup(E921,DropDown!B:C,2,FALSE)&amp; " OR ""Video Game"" OR Playstation OR iOS OR PS4 OR PS5 OR Xbox OR Switch OR Swtich 2 OR PC)"</f>
        <v>#N/A</v>
      </c>
      <c r="S921" s="44" t="str">
        <f>"("""&amp;C921&amp;""") ("&amp;Vlookup(E921,DropDown!K:L,2,FALSE)&amp; " | ""Video Game"" | Playstation | iOS | PS4 | PS5 | Xbox | Switch | Switch 2 | PC)"</f>
        <v>#N/A</v>
      </c>
      <c r="T921" s="44"/>
      <c r="U921" s="44"/>
      <c r="V921" s="44"/>
      <c r="W921" s="44"/>
      <c r="X921" s="44"/>
      <c r="Z921" s="44"/>
    </row>
    <row r="922">
      <c r="A922" s="16"/>
      <c r="B922" s="16"/>
      <c r="E922" s="16"/>
      <c r="F922" s="16"/>
      <c r="G922" s="16"/>
      <c r="H922" s="16"/>
      <c r="I922" s="16"/>
      <c r="J922" s="16"/>
      <c r="K922" s="16"/>
      <c r="L922" s="16"/>
      <c r="M922" s="16"/>
      <c r="N922" s="5" t="s">
        <v>112</v>
      </c>
      <c r="O922" s="16" t="str">
        <f t="shared" si="1"/>
        <v>#</v>
      </c>
      <c r="P922" s="16" t="str">
        <f t="shared" si="2"/>
        <v>#videoGame</v>
      </c>
      <c r="R922" s="16" t="str">
        <f>"("""&amp;C922&amp;""") ("&amp;Vlookup(E922,DropDown!B:C,2,FALSE)&amp; " OR ""Video Game"" OR Playstation OR iOS OR PS4 OR PS5 OR Xbox OR Switch OR Swtich 2 OR PC)"</f>
        <v>#N/A</v>
      </c>
      <c r="S922" s="44" t="str">
        <f>"("""&amp;C922&amp;""") ("&amp;Vlookup(E922,DropDown!K:L,2,FALSE)&amp; " | ""Video Game"" | Playstation | iOS | PS4 | PS5 | Xbox | Switch | Switch 2 | PC)"</f>
        <v>#N/A</v>
      </c>
      <c r="T922" s="44"/>
      <c r="U922" s="44"/>
      <c r="V922" s="44"/>
      <c r="W922" s="44"/>
      <c r="X922" s="44"/>
      <c r="Z922" s="44"/>
    </row>
    <row r="923">
      <c r="A923" s="16"/>
      <c r="B923" s="16"/>
      <c r="E923" s="16"/>
      <c r="F923" s="16"/>
      <c r="G923" s="16"/>
      <c r="H923" s="16"/>
      <c r="I923" s="16"/>
      <c r="J923" s="16"/>
      <c r="K923" s="16"/>
      <c r="L923" s="16"/>
      <c r="M923" s="16"/>
      <c r="N923" s="5" t="s">
        <v>112</v>
      </c>
      <c r="O923" s="16" t="str">
        <f t="shared" si="1"/>
        <v>#</v>
      </c>
      <c r="P923" s="16" t="str">
        <f t="shared" si="2"/>
        <v>#videoGame</v>
      </c>
      <c r="R923" s="16" t="str">
        <f>"("""&amp;C923&amp;""") ("&amp;Vlookup(E923,DropDown!B:C,2,FALSE)&amp; " OR ""Video Game"" OR Playstation OR iOS OR PS4 OR PS5 OR Xbox OR Switch OR Swtich 2 OR PC)"</f>
        <v>#N/A</v>
      </c>
      <c r="S923" s="44" t="str">
        <f>"("""&amp;C923&amp;""") ("&amp;Vlookup(E923,DropDown!K:L,2,FALSE)&amp; " | ""Video Game"" | Playstation | iOS | PS4 | PS5 | Xbox | Switch | Switch 2 | PC)"</f>
        <v>#N/A</v>
      </c>
      <c r="T923" s="44"/>
      <c r="U923" s="44"/>
      <c r="V923" s="44"/>
      <c r="W923" s="44"/>
      <c r="X923" s="44"/>
      <c r="Z923" s="44"/>
    </row>
    <row r="924">
      <c r="A924" s="16"/>
      <c r="B924" s="16"/>
      <c r="E924" s="16"/>
      <c r="F924" s="16"/>
      <c r="G924" s="16"/>
      <c r="H924" s="16"/>
      <c r="I924" s="16"/>
      <c r="J924" s="16"/>
      <c r="K924" s="16"/>
      <c r="L924" s="16"/>
      <c r="M924" s="16"/>
      <c r="N924" s="5" t="s">
        <v>112</v>
      </c>
      <c r="O924" s="16" t="str">
        <f t="shared" si="1"/>
        <v>#</v>
      </c>
      <c r="P924" s="16" t="str">
        <f t="shared" si="2"/>
        <v>#videoGame</v>
      </c>
      <c r="R924" s="16" t="str">
        <f>"("""&amp;C924&amp;""") ("&amp;Vlookup(E924,DropDown!B:C,2,FALSE)&amp; " OR ""Video Game"" OR Playstation OR iOS OR PS4 OR PS5 OR Xbox OR Switch OR Swtich 2 OR PC)"</f>
        <v>#N/A</v>
      </c>
      <c r="S924" s="44" t="str">
        <f>"("""&amp;C924&amp;""") ("&amp;Vlookup(E924,DropDown!K:L,2,FALSE)&amp; " | ""Video Game"" | Playstation | iOS | PS4 | PS5 | Xbox | Switch | Switch 2 | PC)"</f>
        <v>#N/A</v>
      </c>
      <c r="T924" s="44"/>
      <c r="U924" s="44"/>
      <c r="V924" s="44"/>
      <c r="W924" s="44"/>
      <c r="X924" s="44"/>
      <c r="Z924" s="44"/>
    </row>
    <row r="925">
      <c r="A925" s="16"/>
      <c r="B925" s="16"/>
      <c r="E925" s="16"/>
      <c r="F925" s="16"/>
      <c r="G925" s="16"/>
      <c r="H925" s="16"/>
      <c r="I925" s="16"/>
      <c r="J925" s="16"/>
      <c r="K925" s="16"/>
      <c r="L925" s="16"/>
      <c r="M925" s="16"/>
      <c r="N925" s="5" t="s">
        <v>112</v>
      </c>
      <c r="O925" s="16" t="str">
        <f t="shared" si="1"/>
        <v>#</v>
      </c>
      <c r="P925" s="16" t="str">
        <f t="shared" si="2"/>
        <v>#videoGame</v>
      </c>
      <c r="R925" s="16" t="str">
        <f>"("""&amp;C925&amp;""") ("&amp;Vlookup(E925,DropDown!B:C,2,FALSE)&amp; " OR ""Video Game"" OR Playstation OR iOS OR PS4 OR PS5 OR Xbox OR Switch OR Swtich 2 OR PC)"</f>
        <v>#N/A</v>
      </c>
      <c r="S925" s="44" t="str">
        <f>"("""&amp;C925&amp;""") ("&amp;Vlookup(E925,DropDown!K:L,2,FALSE)&amp; " | ""Video Game"" | Playstation | iOS | PS4 | PS5 | Xbox | Switch | Switch 2 | PC)"</f>
        <v>#N/A</v>
      </c>
      <c r="T925" s="44"/>
      <c r="U925" s="44"/>
      <c r="V925" s="44"/>
      <c r="W925" s="44"/>
      <c r="X925" s="44"/>
      <c r="Z925" s="44"/>
    </row>
    <row r="926">
      <c r="A926" s="16"/>
      <c r="B926" s="16"/>
      <c r="E926" s="16"/>
      <c r="F926" s="16"/>
      <c r="G926" s="16"/>
      <c r="H926" s="16"/>
      <c r="I926" s="16"/>
      <c r="J926" s="16"/>
      <c r="K926" s="16"/>
      <c r="L926" s="16"/>
      <c r="M926" s="16"/>
      <c r="N926" s="5" t="s">
        <v>112</v>
      </c>
      <c r="O926" s="16" t="str">
        <f t="shared" si="1"/>
        <v>#</v>
      </c>
      <c r="P926" s="16" t="str">
        <f t="shared" si="2"/>
        <v>#videoGame</v>
      </c>
      <c r="R926" s="16" t="str">
        <f>"("""&amp;C926&amp;""") ("&amp;Vlookup(E926,DropDown!B:C,2,FALSE)&amp; " OR ""Video Game"" OR Playstation OR iOS OR PS4 OR PS5 OR Xbox OR Switch OR Swtich 2 OR PC)"</f>
        <v>#N/A</v>
      </c>
      <c r="S926" s="44" t="str">
        <f>"("""&amp;C926&amp;""") ("&amp;Vlookup(E926,DropDown!K:L,2,FALSE)&amp; " | ""Video Game"" | Playstation | iOS | PS4 | PS5 | Xbox | Switch | Switch 2 | PC)"</f>
        <v>#N/A</v>
      </c>
      <c r="T926" s="44"/>
      <c r="U926" s="44"/>
      <c r="V926" s="44"/>
      <c r="W926" s="44"/>
      <c r="X926" s="44"/>
      <c r="Z926" s="44"/>
    </row>
    <row r="927">
      <c r="A927" s="16"/>
      <c r="B927" s="16"/>
      <c r="E927" s="16"/>
      <c r="F927" s="16"/>
      <c r="G927" s="16"/>
      <c r="H927" s="16"/>
      <c r="I927" s="16"/>
      <c r="J927" s="16"/>
      <c r="K927" s="16"/>
      <c r="L927" s="16"/>
      <c r="M927" s="16"/>
      <c r="N927" s="5" t="s">
        <v>112</v>
      </c>
      <c r="O927" s="16" t="str">
        <f t="shared" si="1"/>
        <v>#</v>
      </c>
      <c r="P927" s="16" t="str">
        <f t="shared" si="2"/>
        <v>#videoGame</v>
      </c>
      <c r="R927" s="16" t="str">
        <f>"("""&amp;C927&amp;""") ("&amp;Vlookup(E927,DropDown!B:C,2,FALSE)&amp; " OR ""Video Game"" OR Playstation OR iOS OR PS4 OR PS5 OR Xbox OR Switch OR Swtich 2 OR PC)"</f>
        <v>#N/A</v>
      </c>
      <c r="S927" s="44" t="str">
        <f>"("""&amp;C927&amp;""") ("&amp;Vlookup(E927,DropDown!K:L,2,FALSE)&amp; " | ""Video Game"" | Playstation | iOS | PS4 | PS5 | Xbox | Switch | Switch 2 | PC)"</f>
        <v>#N/A</v>
      </c>
      <c r="T927" s="44"/>
      <c r="U927" s="44"/>
      <c r="V927" s="44"/>
      <c r="W927" s="44"/>
      <c r="X927" s="44"/>
      <c r="Z927" s="44"/>
    </row>
    <row r="928">
      <c r="A928" s="16"/>
      <c r="B928" s="16"/>
      <c r="E928" s="16"/>
      <c r="F928" s="16"/>
      <c r="G928" s="16"/>
      <c r="H928" s="16"/>
      <c r="I928" s="16"/>
      <c r="J928" s="16"/>
      <c r="K928" s="16"/>
      <c r="L928" s="16"/>
      <c r="M928" s="16"/>
      <c r="N928" s="5" t="s">
        <v>112</v>
      </c>
      <c r="O928" s="16" t="str">
        <f t="shared" si="1"/>
        <v>#</v>
      </c>
      <c r="P928" s="16" t="str">
        <f t="shared" si="2"/>
        <v>#videoGame</v>
      </c>
      <c r="R928" s="16" t="str">
        <f>"("""&amp;C928&amp;""") ("&amp;Vlookup(E928,DropDown!B:C,2,FALSE)&amp; " OR ""Video Game"" OR Playstation OR iOS OR PS4 OR PS5 OR Xbox OR Switch OR Swtich 2 OR PC)"</f>
        <v>#N/A</v>
      </c>
      <c r="S928" s="44" t="str">
        <f>"("""&amp;C928&amp;""") ("&amp;Vlookup(E928,DropDown!K:L,2,FALSE)&amp; " | ""Video Game"" | Playstation | iOS | PS4 | PS5 | Xbox | Switch | Switch 2 | PC)"</f>
        <v>#N/A</v>
      </c>
      <c r="T928" s="44"/>
      <c r="U928" s="44"/>
      <c r="V928" s="44"/>
      <c r="W928" s="44"/>
      <c r="X928" s="44"/>
      <c r="Z928" s="44"/>
    </row>
    <row r="929">
      <c r="A929" s="16"/>
      <c r="B929" s="16"/>
      <c r="E929" s="16"/>
      <c r="F929" s="16"/>
      <c r="G929" s="16"/>
      <c r="H929" s="16"/>
      <c r="I929" s="16"/>
      <c r="J929" s="16"/>
      <c r="K929" s="16"/>
      <c r="L929" s="16"/>
      <c r="M929" s="16"/>
      <c r="N929" s="5" t="s">
        <v>112</v>
      </c>
      <c r="O929" s="16" t="str">
        <f t="shared" si="1"/>
        <v>#</v>
      </c>
      <c r="P929" s="16" t="str">
        <f t="shared" si="2"/>
        <v>#videoGame</v>
      </c>
      <c r="R929" s="16" t="str">
        <f>"("""&amp;C929&amp;""") ("&amp;Vlookup(E929,DropDown!B:C,2,FALSE)&amp; " OR ""Video Game"" OR Playstation OR iOS OR PS4 OR PS5 OR Xbox OR Switch OR Swtich 2 OR PC)"</f>
        <v>#N/A</v>
      </c>
      <c r="S929" s="44" t="str">
        <f>"("""&amp;C929&amp;""") ("&amp;Vlookup(E929,DropDown!K:L,2,FALSE)&amp; " | ""Video Game"" | Playstation | iOS | PS4 | PS5 | Xbox | Switch | Switch 2 | PC)"</f>
        <v>#N/A</v>
      </c>
      <c r="T929" s="44"/>
      <c r="U929" s="44"/>
      <c r="V929" s="44"/>
      <c r="W929" s="44"/>
      <c r="X929" s="44"/>
      <c r="Z929" s="44"/>
    </row>
    <row r="930">
      <c r="A930" s="16"/>
      <c r="B930" s="16"/>
      <c r="E930" s="16"/>
      <c r="F930" s="16"/>
      <c r="G930" s="16"/>
      <c r="H930" s="16"/>
      <c r="I930" s="16"/>
      <c r="J930" s="16"/>
      <c r="K930" s="16"/>
      <c r="L930" s="16"/>
      <c r="M930" s="16"/>
      <c r="N930" s="5" t="s">
        <v>112</v>
      </c>
      <c r="O930" s="16" t="str">
        <f t="shared" si="1"/>
        <v>#</v>
      </c>
      <c r="P930" s="16" t="str">
        <f t="shared" si="2"/>
        <v>#videoGame</v>
      </c>
      <c r="R930" s="16" t="str">
        <f>"("""&amp;C930&amp;""") ("&amp;Vlookup(E930,DropDown!B:C,2,FALSE)&amp; " OR ""Video Game"" OR Playstation OR iOS OR PS4 OR PS5 OR Xbox OR Switch OR Swtich 2 OR PC)"</f>
        <v>#N/A</v>
      </c>
      <c r="S930" s="44" t="str">
        <f>"("""&amp;C930&amp;""") ("&amp;Vlookup(E930,DropDown!K:L,2,FALSE)&amp; " | ""Video Game"" | Playstation | iOS | PS4 | PS5 | Xbox | Switch | Switch 2 | PC)"</f>
        <v>#N/A</v>
      </c>
      <c r="T930" s="44"/>
      <c r="U930" s="44"/>
      <c r="V930" s="44"/>
      <c r="W930" s="44"/>
      <c r="X930" s="44"/>
      <c r="Z930" s="44"/>
    </row>
    <row r="931">
      <c r="A931" s="16"/>
      <c r="B931" s="16"/>
      <c r="E931" s="16"/>
      <c r="F931" s="16"/>
      <c r="G931" s="16"/>
      <c r="H931" s="16"/>
      <c r="I931" s="16"/>
      <c r="J931" s="16"/>
      <c r="K931" s="16"/>
      <c r="L931" s="16"/>
      <c r="M931" s="16"/>
      <c r="N931" s="5" t="s">
        <v>112</v>
      </c>
      <c r="O931" s="16" t="str">
        <f t="shared" si="1"/>
        <v>#</v>
      </c>
      <c r="P931" s="16" t="str">
        <f t="shared" si="2"/>
        <v>#videoGame</v>
      </c>
      <c r="R931" s="16" t="str">
        <f>"("""&amp;C931&amp;""") ("&amp;Vlookup(E931,DropDown!B:C,2,FALSE)&amp; " OR ""Video Game"" OR Playstation OR iOS OR PS4 OR PS5 OR Xbox OR Switch OR Swtich 2 OR PC)"</f>
        <v>#N/A</v>
      </c>
      <c r="S931" s="44" t="str">
        <f>"("""&amp;C931&amp;""") ("&amp;Vlookup(E931,DropDown!K:L,2,FALSE)&amp; " | ""Video Game"" | Playstation | iOS | PS4 | PS5 | Xbox | Switch | Switch 2 | PC)"</f>
        <v>#N/A</v>
      </c>
      <c r="T931" s="44"/>
      <c r="U931" s="44"/>
      <c r="V931" s="44"/>
      <c r="W931" s="44"/>
      <c r="X931" s="44"/>
      <c r="Z931" s="44"/>
    </row>
    <row r="932">
      <c r="A932" s="16"/>
      <c r="B932" s="16"/>
      <c r="E932" s="16"/>
      <c r="F932" s="16"/>
      <c r="G932" s="16"/>
      <c r="H932" s="16"/>
      <c r="I932" s="16"/>
      <c r="J932" s="16"/>
      <c r="K932" s="16"/>
      <c r="L932" s="16"/>
      <c r="M932" s="16"/>
      <c r="N932" s="5" t="s">
        <v>112</v>
      </c>
      <c r="O932" s="16" t="str">
        <f t="shared" si="1"/>
        <v>#</v>
      </c>
      <c r="P932" s="16" t="str">
        <f t="shared" si="2"/>
        <v>#videoGame</v>
      </c>
      <c r="R932" s="16" t="str">
        <f>"("""&amp;C932&amp;""") ("&amp;Vlookup(E932,DropDown!B:C,2,FALSE)&amp; " OR ""Video Game"" OR Playstation OR iOS OR PS4 OR PS5 OR Xbox OR Switch OR Swtich 2 OR PC)"</f>
        <v>#N/A</v>
      </c>
      <c r="S932" s="44" t="str">
        <f>"("""&amp;C932&amp;""") ("&amp;Vlookup(E932,DropDown!K:L,2,FALSE)&amp; " | ""Video Game"" | Playstation | iOS | PS4 | PS5 | Xbox | Switch | Switch 2 | PC)"</f>
        <v>#N/A</v>
      </c>
      <c r="T932" s="44"/>
      <c r="U932" s="44"/>
      <c r="V932" s="44"/>
      <c r="W932" s="44"/>
      <c r="X932" s="44"/>
      <c r="Z932" s="44"/>
    </row>
    <row r="933">
      <c r="A933" s="16"/>
      <c r="B933" s="16"/>
      <c r="E933" s="16"/>
      <c r="F933" s="16"/>
      <c r="G933" s="16"/>
      <c r="H933" s="16"/>
      <c r="I933" s="16"/>
      <c r="J933" s="16"/>
      <c r="K933" s="16"/>
      <c r="L933" s="16"/>
      <c r="M933" s="16"/>
      <c r="N933" s="5" t="s">
        <v>112</v>
      </c>
      <c r="O933" s="16" t="str">
        <f t="shared" si="1"/>
        <v>#</v>
      </c>
      <c r="P933" s="16" t="str">
        <f t="shared" si="2"/>
        <v>#videoGame</v>
      </c>
      <c r="R933" s="16" t="str">
        <f>"("""&amp;C933&amp;""") ("&amp;Vlookup(E933,DropDown!B:C,2,FALSE)&amp; " OR ""Video Game"" OR Playstation OR iOS OR PS4 OR PS5 OR Xbox OR Switch OR Swtich 2 OR PC)"</f>
        <v>#N/A</v>
      </c>
      <c r="S933" s="44" t="str">
        <f>"("""&amp;C933&amp;""") ("&amp;Vlookup(E933,DropDown!K:L,2,FALSE)&amp; " | ""Video Game"" | Playstation | iOS | PS4 | PS5 | Xbox | Switch | Switch 2 | PC)"</f>
        <v>#N/A</v>
      </c>
      <c r="T933" s="44"/>
      <c r="U933" s="44"/>
      <c r="V933" s="44"/>
      <c r="W933" s="44"/>
      <c r="X933" s="44"/>
      <c r="Z933" s="44"/>
    </row>
    <row r="934">
      <c r="A934" s="16"/>
      <c r="B934" s="16"/>
      <c r="E934" s="16"/>
      <c r="F934" s="16"/>
      <c r="G934" s="16"/>
      <c r="H934" s="16"/>
      <c r="I934" s="16"/>
      <c r="J934" s="16"/>
      <c r="K934" s="16"/>
      <c r="L934" s="16"/>
      <c r="M934" s="16"/>
      <c r="N934" s="5" t="s">
        <v>112</v>
      </c>
      <c r="O934" s="16" t="str">
        <f t="shared" si="1"/>
        <v>#</v>
      </c>
      <c r="P934" s="16" t="str">
        <f t="shared" si="2"/>
        <v>#videoGame</v>
      </c>
      <c r="R934" s="16" t="str">
        <f>"("""&amp;C934&amp;""") ("&amp;Vlookup(E934,DropDown!B:C,2,FALSE)&amp; " OR ""Video Game"" OR Playstation OR iOS OR PS4 OR PS5 OR Xbox OR Switch OR Swtich 2 OR PC)"</f>
        <v>#N/A</v>
      </c>
      <c r="S934" s="44" t="str">
        <f>"("""&amp;C934&amp;""") ("&amp;Vlookup(E934,DropDown!K:L,2,FALSE)&amp; " | ""Video Game"" | Playstation | iOS | PS4 | PS5 | Xbox | Switch | Switch 2 | PC)"</f>
        <v>#N/A</v>
      </c>
      <c r="T934" s="44"/>
      <c r="U934" s="44"/>
      <c r="V934" s="44"/>
      <c r="W934" s="44"/>
      <c r="X934" s="44"/>
      <c r="Z934" s="44"/>
    </row>
    <row r="935">
      <c r="A935" s="16"/>
      <c r="B935" s="16"/>
      <c r="E935" s="16"/>
      <c r="F935" s="16"/>
      <c r="G935" s="16"/>
      <c r="H935" s="16"/>
      <c r="I935" s="16"/>
      <c r="J935" s="16"/>
      <c r="K935" s="16"/>
      <c r="L935" s="16"/>
      <c r="M935" s="16"/>
      <c r="N935" s="5" t="s">
        <v>112</v>
      </c>
      <c r="O935" s="16" t="str">
        <f t="shared" si="1"/>
        <v>#</v>
      </c>
      <c r="P935" s="16" t="str">
        <f t="shared" si="2"/>
        <v>#videoGame</v>
      </c>
      <c r="R935" s="16" t="str">
        <f>"("""&amp;C935&amp;""") ("&amp;Vlookup(E935,DropDown!B:C,2,FALSE)&amp; " OR ""Video Game"" OR Playstation OR iOS OR PS4 OR PS5 OR Xbox OR Switch OR Swtich 2 OR PC)"</f>
        <v>#N/A</v>
      </c>
      <c r="S935" s="44" t="str">
        <f>"("""&amp;C935&amp;""") ("&amp;Vlookup(E935,DropDown!K:L,2,FALSE)&amp; " | ""Video Game"" | Playstation | iOS | PS4 | PS5 | Xbox | Switch | Switch 2 | PC)"</f>
        <v>#N/A</v>
      </c>
      <c r="T935" s="44"/>
      <c r="U935" s="44"/>
      <c r="V935" s="44"/>
      <c r="W935" s="44"/>
      <c r="X935" s="44"/>
      <c r="Z935" s="44"/>
    </row>
    <row r="936">
      <c r="A936" s="16"/>
      <c r="B936" s="16"/>
      <c r="E936" s="16"/>
      <c r="F936" s="16"/>
      <c r="G936" s="16"/>
      <c r="H936" s="16"/>
      <c r="I936" s="16"/>
      <c r="J936" s="16"/>
      <c r="K936" s="16"/>
      <c r="L936" s="16"/>
      <c r="M936" s="16"/>
      <c r="N936" s="5" t="s">
        <v>112</v>
      </c>
      <c r="O936" s="16" t="str">
        <f t="shared" si="1"/>
        <v>#</v>
      </c>
      <c r="P936" s="16" t="str">
        <f t="shared" si="2"/>
        <v>#videoGame</v>
      </c>
      <c r="R936" s="16" t="str">
        <f>"("""&amp;C936&amp;""") ("&amp;Vlookup(E936,DropDown!B:C,2,FALSE)&amp; " OR ""Video Game"" OR Playstation OR iOS OR PS4 OR PS5 OR Xbox OR Switch OR Swtich 2 OR PC)"</f>
        <v>#N/A</v>
      </c>
      <c r="S936" s="44" t="str">
        <f>"("""&amp;C936&amp;""") ("&amp;Vlookup(E936,DropDown!K:L,2,FALSE)&amp; " | ""Video Game"" | Playstation | iOS | PS4 | PS5 | Xbox | Switch | Switch 2 | PC)"</f>
        <v>#N/A</v>
      </c>
      <c r="T936" s="44"/>
      <c r="U936" s="44"/>
      <c r="V936" s="44"/>
      <c r="W936" s="44"/>
      <c r="X936" s="44"/>
      <c r="Z936" s="44"/>
    </row>
    <row r="937">
      <c r="A937" s="16"/>
      <c r="B937" s="16"/>
      <c r="E937" s="16"/>
      <c r="F937" s="16"/>
      <c r="G937" s="16"/>
      <c r="H937" s="16"/>
      <c r="I937" s="16"/>
      <c r="J937" s="16"/>
      <c r="K937" s="16"/>
      <c r="L937" s="16"/>
      <c r="M937" s="16"/>
      <c r="N937" s="5" t="s">
        <v>112</v>
      </c>
      <c r="O937" s="16" t="str">
        <f t="shared" si="1"/>
        <v>#</v>
      </c>
      <c r="P937" s="16" t="str">
        <f t="shared" si="2"/>
        <v>#videoGame</v>
      </c>
      <c r="R937" s="16" t="str">
        <f>"("""&amp;C937&amp;""") ("&amp;Vlookup(E937,DropDown!B:C,2,FALSE)&amp; " OR ""Video Game"" OR Playstation OR iOS OR PS4 OR PS5 OR Xbox OR Switch OR Swtich 2 OR PC)"</f>
        <v>#N/A</v>
      </c>
      <c r="S937" s="44" t="str">
        <f>"("""&amp;C937&amp;""") ("&amp;Vlookup(E937,DropDown!K:L,2,FALSE)&amp; " | ""Video Game"" | Playstation | iOS | PS4 | PS5 | Xbox | Switch | Switch 2 | PC)"</f>
        <v>#N/A</v>
      </c>
      <c r="T937" s="44"/>
      <c r="U937" s="44"/>
      <c r="V937" s="44"/>
      <c r="W937" s="44"/>
      <c r="X937" s="44"/>
      <c r="Z937" s="44"/>
    </row>
    <row r="938">
      <c r="A938" s="16"/>
      <c r="B938" s="16"/>
      <c r="E938" s="16"/>
      <c r="F938" s="16"/>
      <c r="G938" s="16"/>
      <c r="H938" s="16"/>
      <c r="I938" s="16"/>
      <c r="J938" s="16"/>
      <c r="K938" s="16"/>
      <c r="L938" s="16"/>
      <c r="M938" s="16"/>
      <c r="N938" s="5" t="s">
        <v>112</v>
      </c>
      <c r="O938" s="16" t="str">
        <f t="shared" si="1"/>
        <v>#</v>
      </c>
      <c r="P938" s="16" t="str">
        <f t="shared" si="2"/>
        <v>#videoGame</v>
      </c>
      <c r="R938" s="16" t="str">
        <f>"("""&amp;C938&amp;""") ("&amp;Vlookup(E938,DropDown!B:C,2,FALSE)&amp; " OR ""Video Game"" OR Playstation OR iOS OR PS4 OR PS5 OR Xbox OR Switch OR Swtich 2 OR PC)"</f>
        <v>#N/A</v>
      </c>
      <c r="S938" s="44" t="str">
        <f>"("""&amp;C938&amp;""") ("&amp;Vlookup(E938,DropDown!K:L,2,FALSE)&amp; " | ""Video Game"" | Playstation | iOS | PS4 | PS5 | Xbox | Switch | Switch 2 | PC)"</f>
        <v>#N/A</v>
      </c>
      <c r="T938" s="44"/>
      <c r="U938" s="44"/>
      <c r="V938" s="44"/>
      <c r="W938" s="44"/>
      <c r="X938" s="44"/>
      <c r="Z938" s="44"/>
    </row>
    <row r="939">
      <c r="A939" s="16"/>
      <c r="B939" s="16"/>
      <c r="E939" s="16"/>
      <c r="F939" s="16"/>
      <c r="G939" s="16"/>
      <c r="H939" s="16"/>
      <c r="I939" s="16"/>
      <c r="J939" s="16"/>
      <c r="K939" s="16"/>
      <c r="L939" s="16"/>
      <c r="M939" s="16"/>
      <c r="N939" s="5" t="s">
        <v>112</v>
      </c>
      <c r="O939" s="16" t="str">
        <f t="shared" si="1"/>
        <v>#</v>
      </c>
      <c r="P939" s="16" t="str">
        <f t="shared" si="2"/>
        <v>#videoGame</v>
      </c>
      <c r="R939" s="16" t="str">
        <f>"("""&amp;C939&amp;""") ("&amp;Vlookup(E939,DropDown!B:C,2,FALSE)&amp; " OR ""Video Game"" OR Playstation OR iOS OR PS4 OR PS5 OR Xbox OR Switch OR Swtich 2 OR PC)"</f>
        <v>#N/A</v>
      </c>
      <c r="S939" s="44" t="str">
        <f>"("""&amp;C939&amp;""") ("&amp;Vlookup(E939,DropDown!K:L,2,FALSE)&amp; " | ""Video Game"" | Playstation | iOS | PS4 | PS5 | Xbox | Switch | Switch 2 | PC)"</f>
        <v>#N/A</v>
      </c>
      <c r="T939" s="44"/>
      <c r="U939" s="44"/>
      <c r="V939" s="44"/>
      <c r="W939" s="44"/>
      <c r="X939" s="44"/>
      <c r="Z939" s="44"/>
    </row>
    <row r="940">
      <c r="A940" s="16"/>
      <c r="B940" s="16"/>
      <c r="E940" s="16"/>
      <c r="F940" s="16"/>
      <c r="G940" s="16"/>
      <c r="H940" s="16"/>
      <c r="I940" s="16"/>
      <c r="J940" s="16"/>
      <c r="K940" s="16"/>
      <c r="L940" s="16"/>
      <c r="M940" s="16"/>
      <c r="N940" s="5" t="s">
        <v>112</v>
      </c>
      <c r="O940" s="16" t="str">
        <f t="shared" si="1"/>
        <v>#</v>
      </c>
      <c r="P940" s="16" t="str">
        <f t="shared" si="2"/>
        <v>#videoGame</v>
      </c>
      <c r="R940" s="16" t="str">
        <f>"("""&amp;C940&amp;""") ("&amp;Vlookup(E940,DropDown!B:C,2,FALSE)&amp; " OR ""Video Game"" OR Playstation OR iOS OR PS4 OR PS5 OR Xbox OR Switch OR Swtich 2 OR PC)"</f>
        <v>#N/A</v>
      </c>
      <c r="S940" s="44" t="str">
        <f>"("""&amp;C940&amp;""") ("&amp;Vlookup(E940,DropDown!K:L,2,FALSE)&amp; " | ""Video Game"" | Playstation | iOS | PS4 | PS5 | Xbox | Switch | Switch 2 | PC)"</f>
        <v>#N/A</v>
      </c>
      <c r="T940" s="44"/>
      <c r="U940" s="44"/>
      <c r="V940" s="44"/>
      <c r="W940" s="44"/>
      <c r="X940" s="44"/>
      <c r="Z940" s="44"/>
    </row>
    <row r="941">
      <c r="A941" s="16"/>
      <c r="B941" s="16"/>
      <c r="E941" s="16"/>
      <c r="F941" s="16"/>
      <c r="G941" s="16"/>
      <c r="H941" s="16"/>
      <c r="I941" s="16"/>
      <c r="J941" s="16"/>
      <c r="K941" s="16"/>
      <c r="L941" s="16"/>
      <c r="M941" s="16"/>
      <c r="N941" s="5" t="s">
        <v>112</v>
      </c>
      <c r="O941" s="16" t="str">
        <f t="shared" si="1"/>
        <v>#</v>
      </c>
      <c r="P941" s="16" t="str">
        <f t="shared" si="2"/>
        <v>#videoGame</v>
      </c>
      <c r="R941" s="16" t="str">
        <f>"("""&amp;C941&amp;""") ("&amp;Vlookup(E941,DropDown!B:C,2,FALSE)&amp; " OR ""Video Game"" OR Playstation OR iOS OR PS4 OR PS5 OR Xbox OR Switch OR Swtich 2 OR PC)"</f>
        <v>#N/A</v>
      </c>
      <c r="S941" s="44" t="str">
        <f>"("""&amp;C941&amp;""") ("&amp;Vlookup(E941,DropDown!K:L,2,FALSE)&amp; " | ""Video Game"" | Playstation | iOS | PS4 | PS5 | Xbox | Switch | Switch 2 | PC)"</f>
        <v>#N/A</v>
      </c>
      <c r="T941" s="44"/>
      <c r="U941" s="44"/>
      <c r="V941" s="44"/>
      <c r="W941" s="44"/>
      <c r="X941" s="44"/>
      <c r="Z941" s="44"/>
    </row>
    <row r="942">
      <c r="A942" s="16"/>
      <c r="B942" s="16"/>
      <c r="E942" s="16"/>
      <c r="F942" s="16"/>
      <c r="G942" s="16"/>
      <c r="H942" s="16"/>
      <c r="I942" s="16"/>
      <c r="J942" s="16"/>
      <c r="K942" s="16"/>
      <c r="L942" s="16"/>
      <c r="M942" s="16"/>
      <c r="N942" s="5" t="s">
        <v>112</v>
      </c>
      <c r="O942" s="16" t="str">
        <f t="shared" si="1"/>
        <v>#</v>
      </c>
      <c r="P942" s="16" t="str">
        <f t="shared" si="2"/>
        <v>#videoGame</v>
      </c>
      <c r="R942" s="16" t="str">
        <f>"("""&amp;C942&amp;""") ("&amp;Vlookup(E942,DropDown!B:C,2,FALSE)&amp; " OR ""Video Game"" OR Playstation OR iOS OR PS4 OR PS5 OR Xbox OR Switch OR Swtich 2 OR PC)"</f>
        <v>#N/A</v>
      </c>
      <c r="S942" s="44" t="str">
        <f>"("""&amp;C942&amp;""") ("&amp;Vlookup(E942,DropDown!K:L,2,FALSE)&amp; " | ""Video Game"" | Playstation | iOS | PS4 | PS5 | Xbox | Switch | Switch 2 | PC)"</f>
        <v>#N/A</v>
      </c>
      <c r="T942" s="44"/>
      <c r="U942" s="44"/>
      <c r="V942" s="44"/>
      <c r="W942" s="44"/>
      <c r="X942" s="44"/>
      <c r="Z942" s="44"/>
    </row>
    <row r="943">
      <c r="A943" s="16"/>
      <c r="B943" s="16"/>
      <c r="E943" s="16"/>
      <c r="F943" s="16"/>
      <c r="G943" s="16"/>
      <c r="H943" s="16"/>
      <c r="I943" s="16"/>
      <c r="J943" s="16"/>
      <c r="K943" s="16"/>
      <c r="L943" s="16"/>
      <c r="M943" s="16"/>
      <c r="N943" s="5" t="s">
        <v>112</v>
      </c>
      <c r="O943" s="16" t="str">
        <f t="shared" si="1"/>
        <v>#</v>
      </c>
      <c r="P943" s="16" t="str">
        <f t="shared" si="2"/>
        <v>#videoGame</v>
      </c>
      <c r="R943" s="16" t="str">
        <f>"("""&amp;C943&amp;""") ("&amp;Vlookup(E943,DropDown!B:C,2,FALSE)&amp; " OR ""Video Game"" OR Playstation OR iOS OR PS4 OR PS5 OR Xbox OR Switch OR Swtich 2 OR PC)"</f>
        <v>#N/A</v>
      </c>
      <c r="S943" s="44" t="str">
        <f>"("""&amp;C943&amp;""") ("&amp;Vlookup(E943,DropDown!K:L,2,FALSE)&amp; " | ""Video Game"" | Playstation | iOS | PS4 | PS5 | Xbox | Switch | Switch 2 | PC)"</f>
        <v>#N/A</v>
      </c>
      <c r="T943" s="44"/>
      <c r="U943" s="44"/>
      <c r="V943" s="44"/>
      <c r="W943" s="44"/>
      <c r="X943" s="44"/>
      <c r="Z943" s="44"/>
    </row>
    <row r="944">
      <c r="A944" s="16"/>
      <c r="B944" s="16"/>
      <c r="E944" s="16"/>
      <c r="F944" s="16"/>
      <c r="G944" s="16"/>
      <c r="H944" s="16"/>
      <c r="I944" s="16"/>
      <c r="J944" s="16"/>
      <c r="K944" s="16"/>
      <c r="L944" s="16"/>
      <c r="M944" s="16"/>
      <c r="N944" s="5" t="s">
        <v>112</v>
      </c>
      <c r="O944" s="16" t="str">
        <f t="shared" si="1"/>
        <v>#</v>
      </c>
      <c r="P944" s="16" t="str">
        <f t="shared" si="2"/>
        <v>#videoGame</v>
      </c>
      <c r="R944" s="16" t="str">
        <f>"("""&amp;C944&amp;""") ("&amp;Vlookup(E944,DropDown!B:C,2,FALSE)&amp; " OR ""Video Game"" OR Playstation OR iOS OR PS4 OR PS5 OR Xbox OR Switch OR Swtich 2 OR PC)"</f>
        <v>#N/A</v>
      </c>
      <c r="S944" s="44" t="str">
        <f>"("""&amp;C944&amp;""") ("&amp;Vlookup(E944,DropDown!K:L,2,FALSE)&amp; " | ""Video Game"" | Playstation | iOS | PS4 | PS5 | Xbox | Switch | Switch 2 | PC)"</f>
        <v>#N/A</v>
      </c>
      <c r="T944" s="44"/>
      <c r="U944" s="44"/>
      <c r="V944" s="44"/>
      <c r="W944" s="44"/>
      <c r="X944" s="44"/>
      <c r="Z944" s="44"/>
    </row>
    <row r="945">
      <c r="A945" s="16"/>
      <c r="B945" s="16"/>
      <c r="E945" s="16"/>
      <c r="F945" s="16"/>
      <c r="G945" s="16"/>
      <c r="H945" s="16"/>
      <c r="I945" s="16"/>
      <c r="J945" s="16"/>
      <c r="K945" s="16"/>
      <c r="L945" s="16"/>
      <c r="M945" s="16"/>
      <c r="N945" s="5" t="s">
        <v>112</v>
      </c>
      <c r="O945" s="16" t="str">
        <f t="shared" si="1"/>
        <v>#</v>
      </c>
      <c r="P945" s="16" t="str">
        <f t="shared" si="2"/>
        <v>#videoGame</v>
      </c>
      <c r="R945" s="16" t="str">
        <f>"("""&amp;C945&amp;""") ("&amp;Vlookup(E945,DropDown!B:C,2,FALSE)&amp; " OR ""Video Game"" OR Playstation OR iOS OR PS4 OR PS5 OR Xbox OR Switch OR Swtich 2 OR PC)"</f>
        <v>#N/A</v>
      </c>
      <c r="S945" s="44" t="str">
        <f>"("""&amp;C945&amp;""") ("&amp;Vlookup(E945,DropDown!K:L,2,FALSE)&amp; " | ""Video Game"" | Playstation | iOS | PS4 | PS5 | Xbox | Switch | Switch 2 | PC)"</f>
        <v>#N/A</v>
      </c>
      <c r="T945" s="44"/>
      <c r="U945" s="44"/>
      <c r="V945" s="44"/>
      <c r="W945" s="44"/>
      <c r="X945" s="44"/>
      <c r="Z945" s="44"/>
    </row>
    <row r="946">
      <c r="A946" s="16"/>
      <c r="B946" s="16"/>
      <c r="E946" s="16"/>
      <c r="F946" s="16"/>
      <c r="G946" s="16"/>
      <c r="H946" s="16"/>
      <c r="I946" s="16"/>
      <c r="J946" s="16"/>
      <c r="K946" s="16"/>
      <c r="L946" s="16"/>
      <c r="M946" s="16"/>
      <c r="N946" s="5" t="s">
        <v>112</v>
      </c>
      <c r="O946" s="16" t="str">
        <f t="shared" si="1"/>
        <v>#</v>
      </c>
      <c r="P946" s="16" t="str">
        <f t="shared" si="2"/>
        <v>#videoGame</v>
      </c>
      <c r="R946" s="16" t="str">
        <f>"("""&amp;C946&amp;""") ("&amp;Vlookup(E946,DropDown!B:C,2,FALSE)&amp; " OR ""Video Game"" OR Playstation OR iOS OR PS4 OR PS5 OR Xbox OR Switch OR Swtich 2 OR PC)"</f>
        <v>#N/A</v>
      </c>
      <c r="S946" s="44" t="str">
        <f>"("""&amp;C946&amp;""") ("&amp;Vlookup(E946,DropDown!K:L,2,FALSE)&amp; " | ""Video Game"" | Playstation | iOS | PS4 | PS5 | Xbox | Switch | Switch 2 | PC)"</f>
        <v>#N/A</v>
      </c>
      <c r="T946" s="44"/>
      <c r="U946" s="44"/>
      <c r="V946" s="44"/>
      <c r="W946" s="44"/>
      <c r="X946" s="44"/>
      <c r="Z946" s="44"/>
    </row>
    <row r="947">
      <c r="A947" s="16"/>
      <c r="B947" s="16"/>
      <c r="E947" s="16"/>
      <c r="F947" s="16"/>
      <c r="G947" s="16"/>
      <c r="H947" s="16"/>
      <c r="I947" s="16"/>
      <c r="J947" s="16"/>
      <c r="K947" s="16"/>
      <c r="L947" s="16"/>
      <c r="M947" s="16"/>
      <c r="N947" s="5" t="s">
        <v>112</v>
      </c>
      <c r="O947" s="16" t="str">
        <f t="shared" si="1"/>
        <v>#</v>
      </c>
      <c r="P947" s="16" t="str">
        <f t="shared" si="2"/>
        <v>#videoGame</v>
      </c>
      <c r="R947" s="16" t="str">
        <f>"("""&amp;C947&amp;""") ("&amp;Vlookup(E947,DropDown!B:C,2,FALSE)&amp; " OR ""Video Game"" OR Playstation OR iOS OR PS4 OR PS5 OR Xbox OR Switch OR Swtich 2 OR PC)"</f>
        <v>#N/A</v>
      </c>
      <c r="S947" s="44" t="str">
        <f>"("""&amp;C947&amp;""") ("&amp;Vlookup(E947,DropDown!K:L,2,FALSE)&amp; " | ""Video Game"" | Playstation | iOS | PS4 | PS5 | Xbox | Switch | Switch 2 | PC)"</f>
        <v>#N/A</v>
      </c>
      <c r="T947" s="44"/>
      <c r="U947" s="44"/>
      <c r="V947" s="44"/>
      <c r="W947" s="44"/>
      <c r="X947" s="44"/>
      <c r="Z947" s="44"/>
    </row>
    <row r="948">
      <c r="A948" s="16"/>
      <c r="B948" s="16"/>
      <c r="E948" s="16"/>
      <c r="F948" s="16"/>
      <c r="G948" s="16"/>
      <c r="H948" s="16"/>
      <c r="I948" s="16"/>
      <c r="J948" s="16"/>
      <c r="K948" s="16"/>
      <c r="L948" s="16"/>
      <c r="M948" s="16"/>
      <c r="N948" s="5" t="s">
        <v>112</v>
      </c>
      <c r="O948" s="16" t="str">
        <f t="shared" si="1"/>
        <v>#</v>
      </c>
      <c r="P948" s="16" t="str">
        <f t="shared" si="2"/>
        <v>#videoGame</v>
      </c>
      <c r="R948" s="16" t="str">
        <f>"("""&amp;C948&amp;""") ("&amp;Vlookup(E948,DropDown!B:C,2,FALSE)&amp; " OR ""Video Game"" OR Playstation OR iOS OR PS4 OR PS5 OR Xbox OR Switch OR Swtich 2 OR PC)"</f>
        <v>#N/A</v>
      </c>
      <c r="S948" s="44" t="str">
        <f>"("""&amp;C948&amp;""") ("&amp;Vlookup(E948,DropDown!K:L,2,FALSE)&amp; " | ""Video Game"" | Playstation | iOS | PS4 | PS5 | Xbox | Switch | Switch 2 | PC)"</f>
        <v>#N/A</v>
      </c>
      <c r="T948" s="44"/>
      <c r="U948" s="44"/>
      <c r="V948" s="44"/>
      <c r="W948" s="44"/>
      <c r="X948" s="44"/>
      <c r="Z948" s="44"/>
    </row>
    <row r="949">
      <c r="A949" s="16"/>
      <c r="B949" s="16"/>
      <c r="E949" s="16"/>
      <c r="F949" s="16"/>
      <c r="G949" s="16"/>
      <c r="H949" s="16"/>
      <c r="I949" s="16"/>
      <c r="J949" s="16"/>
      <c r="K949" s="16"/>
      <c r="L949" s="16"/>
      <c r="M949" s="16"/>
      <c r="N949" s="5" t="s">
        <v>112</v>
      </c>
      <c r="O949" s="16" t="str">
        <f t="shared" si="1"/>
        <v>#</v>
      </c>
      <c r="P949" s="16" t="str">
        <f t="shared" si="2"/>
        <v>#videoGame</v>
      </c>
      <c r="R949" s="16" t="str">
        <f>"("""&amp;C949&amp;""") ("&amp;Vlookup(E949,DropDown!B:C,2,FALSE)&amp; " OR ""Video Game"" OR Playstation OR iOS OR PS4 OR PS5 OR Xbox OR Switch OR Swtich 2 OR PC)"</f>
        <v>#N/A</v>
      </c>
      <c r="S949" s="44" t="str">
        <f>"("""&amp;C949&amp;""") ("&amp;Vlookup(E949,DropDown!K:L,2,FALSE)&amp; " | ""Video Game"" | Playstation | iOS | PS4 | PS5 | Xbox | Switch | Switch 2 | PC)"</f>
        <v>#N/A</v>
      </c>
      <c r="T949" s="44"/>
      <c r="U949" s="44"/>
      <c r="V949" s="44"/>
      <c r="W949" s="44"/>
      <c r="X949" s="44"/>
      <c r="Z949" s="44"/>
    </row>
    <row r="950">
      <c r="A950" s="16"/>
      <c r="B950" s="16"/>
      <c r="E950" s="16"/>
      <c r="F950" s="16"/>
      <c r="G950" s="16"/>
      <c r="H950" s="16"/>
      <c r="I950" s="16"/>
      <c r="J950" s="16"/>
      <c r="K950" s="16"/>
      <c r="L950" s="16"/>
      <c r="M950" s="16"/>
      <c r="N950" s="5" t="s">
        <v>112</v>
      </c>
      <c r="O950" s="16" t="str">
        <f t="shared" si="1"/>
        <v>#</v>
      </c>
      <c r="P950" s="16" t="str">
        <f t="shared" si="2"/>
        <v>#videoGame</v>
      </c>
      <c r="R950" s="16" t="str">
        <f>"("""&amp;C950&amp;""") ("&amp;Vlookup(E950,DropDown!B:C,2,FALSE)&amp; " OR ""Video Game"" OR Playstation OR iOS OR PS4 OR PS5 OR Xbox OR Switch OR Swtich 2 OR PC)"</f>
        <v>#N/A</v>
      </c>
      <c r="S950" s="44" t="str">
        <f>"("""&amp;C950&amp;""") ("&amp;Vlookup(E950,DropDown!K:L,2,FALSE)&amp; " | ""Video Game"" | Playstation | iOS | PS4 | PS5 | Xbox | Switch | Switch 2 | PC)"</f>
        <v>#N/A</v>
      </c>
      <c r="T950" s="44"/>
      <c r="U950" s="44"/>
      <c r="V950" s="44"/>
      <c r="W950" s="44"/>
      <c r="X950" s="44"/>
      <c r="Z950" s="44"/>
    </row>
    <row r="951">
      <c r="A951" s="16"/>
      <c r="B951" s="16"/>
      <c r="E951" s="16"/>
      <c r="F951" s="16"/>
      <c r="G951" s="16"/>
      <c r="H951" s="16"/>
      <c r="I951" s="16"/>
      <c r="J951" s="16"/>
      <c r="K951" s="16"/>
      <c r="L951" s="16"/>
      <c r="M951" s="16"/>
      <c r="N951" s="5" t="s">
        <v>112</v>
      </c>
      <c r="O951" s="16" t="str">
        <f t="shared" si="1"/>
        <v>#</v>
      </c>
      <c r="P951" s="16" t="str">
        <f t="shared" si="2"/>
        <v>#videoGame</v>
      </c>
      <c r="R951" s="16" t="str">
        <f>"("""&amp;C951&amp;""") ("&amp;Vlookup(E951,DropDown!B:C,2,FALSE)&amp; " OR ""Video Game"" OR Playstation OR iOS OR PS4 OR PS5 OR Xbox OR Switch OR Swtich 2 OR PC)"</f>
        <v>#N/A</v>
      </c>
      <c r="S951" s="44" t="str">
        <f>"("""&amp;C951&amp;""") ("&amp;Vlookup(E951,DropDown!K:L,2,FALSE)&amp; " | ""Video Game"" | Playstation | iOS | PS4 | PS5 | Xbox | Switch | Switch 2 | PC)"</f>
        <v>#N/A</v>
      </c>
      <c r="T951" s="44"/>
      <c r="U951" s="44"/>
      <c r="V951" s="44"/>
      <c r="W951" s="44"/>
      <c r="X951" s="44"/>
      <c r="Z951" s="44"/>
    </row>
    <row r="952">
      <c r="A952" s="16"/>
      <c r="B952" s="16"/>
      <c r="E952" s="16"/>
      <c r="F952" s="16"/>
      <c r="G952" s="16"/>
      <c r="H952" s="16"/>
      <c r="I952" s="16"/>
      <c r="J952" s="16"/>
      <c r="K952" s="16"/>
      <c r="L952" s="16"/>
      <c r="M952" s="16"/>
      <c r="N952" s="5" t="s">
        <v>112</v>
      </c>
      <c r="O952" s="16" t="str">
        <f t="shared" si="1"/>
        <v>#</v>
      </c>
      <c r="P952" s="16" t="str">
        <f t="shared" si="2"/>
        <v>#videoGame</v>
      </c>
      <c r="R952" s="16" t="str">
        <f>"("""&amp;C952&amp;""") ("&amp;Vlookup(E952,DropDown!B:C,2,FALSE)&amp; " OR ""Video Game"" OR Playstation OR iOS OR PS4 OR PS5 OR Xbox OR Switch OR Swtich 2 OR PC)"</f>
        <v>#N/A</v>
      </c>
      <c r="S952" s="44" t="str">
        <f>"("""&amp;C952&amp;""") ("&amp;Vlookup(E952,DropDown!K:L,2,FALSE)&amp; " | ""Video Game"" | Playstation | iOS | PS4 | PS5 | Xbox | Switch | Switch 2 | PC)"</f>
        <v>#N/A</v>
      </c>
      <c r="T952" s="44"/>
      <c r="U952" s="44"/>
      <c r="V952" s="44"/>
      <c r="W952" s="44"/>
      <c r="X952" s="44"/>
      <c r="Z952" s="44"/>
    </row>
    <row r="953">
      <c r="A953" s="16"/>
      <c r="B953" s="16"/>
      <c r="E953" s="16"/>
      <c r="F953" s="16"/>
      <c r="G953" s="16"/>
      <c r="H953" s="16"/>
      <c r="I953" s="16"/>
      <c r="J953" s="16"/>
      <c r="K953" s="16"/>
      <c r="L953" s="16"/>
      <c r="M953" s="16"/>
      <c r="N953" s="5" t="s">
        <v>112</v>
      </c>
      <c r="O953" s="16" t="str">
        <f t="shared" si="1"/>
        <v>#</v>
      </c>
      <c r="P953" s="16" t="str">
        <f t="shared" si="2"/>
        <v>#videoGame</v>
      </c>
      <c r="R953" s="16" t="str">
        <f>"("""&amp;C953&amp;""") ("&amp;Vlookup(E953,DropDown!B:C,2,FALSE)&amp; " OR ""Video Game"" OR Playstation OR iOS OR PS4 OR PS5 OR Xbox OR Switch OR Swtich 2 OR PC)"</f>
        <v>#N/A</v>
      </c>
      <c r="S953" s="44" t="str">
        <f>"("""&amp;C953&amp;""") ("&amp;Vlookup(E953,DropDown!K:L,2,FALSE)&amp; " | ""Video Game"" | Playstation | iOS | PS4 | PS5 | Xbox | Switch | Switch 2 | PC)"</f>
        <v>#N/A</v>
      </c>
      <c r="T953" s="44"/>
      <c r="U953" s="44"/>
      <c r="V953" s="44"/>
      <c r="W953" s="44"/>
      <c r="X953" s="44"/>
      <c r="Z953" s="44"/>
    </row>
    <row r="954">
      <c r="A954" s="16"/>
      <c r="B954" s="16"/>
      <c r="E954" s="16"/>
      <c r="F954" s="16"/>
      <c r="G954" s="16"/>
      <c r="H954" s="16"/>
      <c r="I954" s="16"/>
      <c r="J954" s="16"/>
      <c r="K954" s="16"/>
      <c r="L954" s="16"/>
      <c r="M954" s="16"/>
      <c r="N954" s="5" t="s">
        <v>112</v>
      </c>
      <c r="O954" s="16" t="str">
        <f t="shared" si="1"/>
        <v>#</v>
      </c>
      <c r="P954" s="16" t="str">
        <f t="shared" si="2"/>
        <v>#videoGame</v>
      </c>
      <c r="R954" s="16" t="str">
        <f>"("""&amp;C954&amp;""") ("&amp;Vlookup(E954,DropDown!B:C,2,FALSE)&amp; " OR ""Video Game"" OR Playstation OR iOS OR PS4 OR PS5 OR Xbox OR Switch OR Swtich 2 OR PC)"</f>
        <v>#N/A</v>
      </c>
      <c r="S954" s="44" t="str">
        <f>"("""&amp;C954&amp;""") ("&amp;Vlookup(E954,DropDown!K:L,2,FALSE)&amp; " | ""Video Game"" | Playstation | iOS | PS4 | PS5 | Xbox | Switch | Switch 2 | PC)"</f>
        <v>#N/A</v>
      </c>
      <c r="T954" s="44"/>
      <c r="U954" s="44"/>
      <c r="V954" s="44"/>
      <c r="W954" s="44"/>
      <c r="X954" s="44"/>
      <c r="Z954" s="44"/>
    </row>
    <row r="955">
      <c r="A955" s="16"/>
      <c r="B955" s="16"/>
      <c r="E955" s="16"/>
      <c r="F955" s="16"/>
      <c r="G955" s="16"/>
      <c r="H955" s="16"/>
      <c r="I955" s="16"/>
      <c r="J955" s="16"/>
      <c r="K955" s="16"/>
      <c r="L955" s="16"/>
      <c r="M955" s="16"/>
      <c r="N955" s="5" t="s">
        <v>112</v>
      </c>
      <c r="O955" s="16" t="str">
        <f t="shared" si="1"/>
        <v>#</v>
      </c>
      <c r="P955" s="16" t="str">
        <f t="shared" si="2"/>
        <v>#videoGame</v>
      </c>
      <c r="R955" s="16" t="str">
        <f>"("""&amp;C955&amp;""") ("&amp;Vlookup(E955,DropDown!B:C,2,FALSE)&amp; " OR ""Video Game"" OR Playstation OR iOS OR PS4 OR PS5 OR Xbox OR Switch OR Swtich 2 OR PC)"</f>
        <v>#N/A</v>
      </c>
      <c r="S955" s="44" t="str">
        <f>"("""&amp;C955&amp;""") ("&amp;Vlookup(E955,DropDown!K:L,2,FALSE)&amp; " | ""Video Game"" | Playstation | iOS | PS4 | PS5 | Xbox | Switch | Switch 2 | PC)"</f>
        <v>#N/A</v>
      </c>
      <c r="T955" s="44"/>
      <c r="U955" s="44"/>
      <c r="V955" s="44"/>
      <c r="W955" s="44"/>
      <c r="X955" s="44"/>
      <c r="Z955" s="44"/>
    </row>
    <row r="956">
      <c r="A956" s="16"/>
      <c r="B956" s="16"/>
      <c r="E956" s="16"/>
      <c r="F956" s="16"/>
      <c r="G956" s="16"/>
      <c r="H956" s="16"/>
      <c r="I956" s="16"/>
      <c r="J956" s="16"/>
      <c r="K956" s="16"/>
      <c r="L956" s="16"/>
      <c r="M956" s="16"/>
      <c r="N956" s="5" t="s">
        <v>112</v>
      </c>
      <c r="O956" s="16" t="str">
        <f t="shared" si="1"/>
        <v>#</v>
      </c>
      <c r="P956" s="16" t="str">
        <f t="shared" si="2"/>
        <v>#videoGame</v>
      </c>
      <c r="R956" s="16" t="str">
        <f>"("""&amp;C956&amp;""") ("&amp;Vlookup(E956,DropDown!B:C,2,FALSE)&amp; " OR ""Video Game"" OR Playstation OR iOS OR PS4 OR PS5 OR Xbox OR Switch OR Swtich 2 OR PC)"</f>
        <v>#N/A</v>
      </c>
      <c r="S956" s="44" t="str">
        <f>"("""&amp;C956&amp;""") ("&amp;Vlookup(E956,DropDown!K:L,2,FALSE)&amp; " | ""Video Game"" | Playstation | iOS | PS4 | PS5 | Xbox | Switch | Switch 2 | PC)"</f>
        <v>#N/A</v>
      </c>
      <c r="T956" s="44"/>
      <c r="U956" s="44"/>
      <c r="V956" s="44"/>
      <c r="W956" s="44"/>
      <c r="X956" s="44"/>
      <c r="Z956" s="44"/>
    </row>
    <row r="957">
      <c r="A957" s="16"/>
      <c r="B957" s="16"/>
      <c r="E957" s="16"/>
      <c r="F957" s="16"/>
      <c r="G957" s="16"/>
      <c r="H957" s="16"/>
      <c r="I957" s="16"/>
      <c r="J957" s="16"/>
      <c r="K957" s="16"/>
      <c r="L957" s="16"/>
      <c r="M957" s="16"/>
      <c r="N957" s="5" t="s">
        <v>112</v>
      </c>
      <c r="O957" s="16" t="str">
        <f t="shared" si="1"/>
        <v>#</v>
      </c>
      <c r="P957" s="16" t="str">
        <f t="shared" si="2"/>
        <v>#videoGame</v>
      </c>
      <c r="R957" s="16" t="str">
        <f>"("""&amp;C957&amp;""") ("&amp;Vlookup(E957,DropDown!B:C,2,FALSE)&amp; " OR ""Video Game"" OR Playstation OR iOS OR PS4 OR PS5 OR Xbox OR Switch OR Swtich 2 OR PC)"</f>
        <v>#N/A</v>
      </c>
      <c r="S957" s="44" t="str">
        <f>"("""&amp;C957&amp;""") ("&amp;Vlookup(E957,DropDown!K:L,2,FALSE)&amp; " | ""Video Game"" | Playstation | iOS | PS4 | PS5 | Xbox | Switch | Switch 2 | PC)"</f>
        <v>#N/A</v>
      </c>
      <c r="T957" s="44"/>
      <c r="U957" s="44"/>
      <c r="V957" s="44"/>
      <c r="W957" s="44"/>
      <c r="X957" s="44"/>
      <c r="Z957" s="44"/>
    </row>
    <row r="958">
      <c r="A958" s="16"/>
      <c r="B958" s="16"/>
      <c r="E958" s="16"/>
      <c r="F958" s="16"/>
      <c r="G958" s="16"/>
      <c r="H958" s="16"/>
      <c r="I958" s="16"/>
      <c r="J958" s="16"/>
      <c r="K958" s="16"/>
      <c r="L958" s="16"/>
      <c r="M958" s="16"/>
      <c r="N958" s="5" t="s">
        <v>112</v>
      </c>
      <c r="O958" s="16" t="str">
        <f t="shared" si="1"/>
        <v>#</v>
      </c>
      <c r="P958" s="16" t="str">
        <f t="shared" si="2"/>
        <v>#videoGame</v>
      </c>
      <c r="R958" s="16" t="str">
        <f>"("""&amp;C958&amp;""") ("&amp;Vlookup(E958,DropDown!B:C,2,FALSE)&amp; " OR ""Video Game"" OR Playstation OR iOS OR PS4 OR PS5 OR Xbox OR Switch OR Swtich 2 OR PC)"</f>
        <v>#N/A</v>
      </c>
      <c r="S958" s="44" t="str">
        <f>"("""&amp;C958&amp;""") ("&amp;Vlookup(E958,DropDown!K:L,2,FALSE)&amp; " | ""Video Game"" | Playstation | iOS | PS4 | PS5 | Xbox | Switch | Switch 2 | PC)"</f>
        <v>#N/A</v>
      </c>
      <c r="T958" s="44"/>
      <c r="U958" s="44"/>
      <c r="V958" s="44"/>
      <c r="W958" s="44"/>
      <c r="X958" s="44"/>
      <c r="Z958" s="44"/>
    </row>
    <row r="959">
      <c r="A959" s="16"/>
      <c r="B959" s="16"/>
      <c r="E959" s="16"/>
      <c r="F959" s="16"/>
      <c r="G959" s="16"/>
      <c r="H959" s="16"/>
      <c r="I959" s="16"/>
      <c r="J959" s="16"/>
      <c r="K959" s="16"/>
      <c r="L959" s="16"/>
      <c r="M959" s="16"/>
      <c r="N959" s="5" t="s">
        <v>112</v>
      </c>
      <c r="O959" s="16" t="str">
        <f t="shared" si="1"/>
        <v>#</v>
      </c>
      <c r="P959" s="16" t="str">
        <f t="shared" si="2"/>
        <v>#videoGame</v>
      </c>
      <c r="R959" s="16" t="str">
        <f>"("""&amp;C959&amp;""") ("&amp;Vlookup(E959,DropDown!B:C,2,FALSE)&amp; " OR ""Video Game"" OR Playstation OR iOS OR PS4 OR PS5 OR Xbox OR Switch OR Swtich 2 OR PC)"</f>
        <v>#N/A</v>
      </c>
      <c r="S959" s="44" t="str">
        <f>"("""&amp;C959&amp;""") ("&amp;Vlookup(E959,DropDown!K:L,2,FALSE)&amp; " | ""Video Game"" | Playstation | iOS | PS4 | PS5 | Xbox | Switch | Switch 2 | PC)"</f>
        <v>#N/A</v>
      </c>
      <c r="T959" s="44"/>
      <c r="U959" s="44"/>
      <c r="V959" s="44"/>
      <c r="W959" s="44"/>
      <c r="X959" s="44"/>
      <c r="Z959" s="44"/>
    </row>
    <row r="960">
      <c r="A960" s="16"/>
      <c r="B960" s="16"/>
      <c r="E960" s="16"/>
      <c r="F960" s="16"/>
      <c r="G960" s="16"/>
      <c r="H960" s="16"/>
      <c r="I960" s="16"/>
      <c r="J960" s="16"/>
      <c r="K960" s="16"/>
      <c r="L960" s="16"/>
      <c r="M960" s="16"/>
      <c r="N960" s="5" t="s">
        <v>112</v>
      </c>
      <c r="O960" s="16" t="str">
        <f t="shared" si="1"/>
        <v>#</v>
      </c>
      <c r="P960" s="16" t="str">
        <f t="shared" si="2"/>
        <v>#videoGame</v>
      </c>
      <c r="R960" s="16" t="str">
        <f>"("""&amp;C960&amp;""") ("&amp;Vlookup(E960,DropDown!B:C,2,FALSE)&amp; " OR ""Video Game"" OR Playstation OR iOS OR PS4 OR PS5 OR Xbox OR Switch OR Swtich 2 OR PC)"</f>
        <v>#N/A</v>
      </c>
      <c r="S960" s="44" t="str">
        <f>"("""&amp;C960&amp;""") ("&amp;Vlookup(E960,DropDown!K:L,2,FALSE)&amp; " | ""Video Game"" | Playstation | iOS | PS4 | PS5 | Xbox | Switch | Switch 2 | PC)"</f>
        <v>#N/A</v>
      </c>
      <c r="T960" s="44"/>
      <c r="U960" s="44"/>
      <c r="V960" s="44"/>
      <c r="W960" s="44"/>
      <c r="X960" s="44"/>
      <c r="Z960" s="44"/>
    </row>
    <row r="961">
      <c r="A961" s="16"/>
      <c r="B961" s="16"/>
      <c r="E961" s="16"/>
      <c r="F961" s="16"/>
      <c r="G961" s="16"/>
      <c r="H961" s="16"/>
      <c r="I961" s="16"/>
      <c r="J961" s="16"/>
      <c r="K961" s="16"/>
      <c r="L961" s="16"/>
      <c r="M961" s="16"/>
      <c r="N961" s="5" t="s">
        <v>112</v>
      </c>
      <c r="O961" s="16" t="str">
        <f t="shared" si="1"/>
        <v>#</v>
      </c>
      <c r="P961" s="16" t="str">
        <f t="shared" si="2"/>
        <v>#videoGame</v>
      </c>
      <c r="R961" s="16" t="str">
        <f>"("""&amp;C961&amp;""") ("&amp;Vlookup(E961,DropDown!B:C,2,FALSE)&amp; " OR ""Video Game"" OR Playstation OR iOS OR PS4 OR PS5 OR Xbox OR Switch OR Swtich 2 OR PC)"</f>
        <v>#N/A</v>
      </c>
      <c r="S961" s="44" t="str">
        <f>"("""&amp;C961&amp;""") ("&amp;Vlookup(E961,DropDown!K:L,2,FALSE)&amp; " | ""Video Game"" | Playstation | iOS | PS4 | PS5 | Xbox | Switch | Switch 2 | PC)"</f>
        <v>#N/A</v>
      </c>
      <c r="T961" s="44"/>
      <c r="U961" s="44"/>
      <c r="V961" s="44"/>
      <c r="W961" s="44"/>
      <c r="X961" s="44"/>
      <c r="Z961" s="44"/>
    </row>
    <row r="962">
      <c r="A962" s="16"/>
      <c r="B962" s="16"/>
      <c r="E962" s="16"/>
      <c r="F962" s="16"/>
      <c r="G962" s="16"/>
      <c r="H962" s="16"/>
      <c r="I962" s="16"/>
      <c r="J962" s="16"/>
      <c r="K962" s="16"/>
      <c r="L962" s="16"/>
      <c r="M962" s="16"/>
      <c r="N962" s="5" t="s">
        <v>112</v>
      </c>
      <c r="O962" s="16" t="str">
        <f t="shared" si="1"/>
        <v>#</v>
      </c>
      <c r="P962" s="16" t="str">
        <f t="shared" si="2"/>
        <v>#videoGame</v>
      </c>
      <c r="R962" s="16" t="str">
        <f>"("""&amp;C962&amp;""") ("&amp;Vlookup(E962,DropDown!B:C,2,FALSE)&amp; " OR ""Video Game"" OR Playstation OR iOS OR PS4 OR PS5 OR Xbox OR Switch OR Swtich 2 OR PC)"</f>
        <v>#N/A</v>
      </c>
      <c r="S962" s="44" t="str">
        <f>"("""&amp;C962&amp;""") ("&amp;Vlookup(E962,DropDown!K:L,2,FALSE)&amp; " | ""Video Game"" | Playstation | iOS | PS4 | PS5 | Xbox | Switch | Switch 2 | PC)"</f>
        <v>#N/A</v>
      </c>
      <c r="T962" s="44"/>
      <c r="U962" s="44"/>
      <c r="V962" s="44"/>
      <c r="W962" s="44"/>
      <c r="X962" s="44"/>
      <c r="Z962" s="44"/>
    </row>
    <row r="963">
      <c r="A963" s="16"/>
      <c r="B963" s="16"/>
      <c r="E963" s="16"/>
      <c r="F963" s="16"/>
      <c r="G963" s="16"/>
      <c r="H963" s="16"/>
      <c r="I963" s="16"/>
      <c r="J963" s="16"/>
      <c r="K963" s="16"/>
      <c r="L963" s="16"/>
      <c r="M963" s="16"/>
      <c r="N963" s="5" t="s">
        <v>112</v>
      </c>
      <c r="O963" s="16" t="str">
        <f t="shared" si="1"/>
        <v>#</v>
      </c>
      <c r="P963" s="16" t="str">
        <f t="shared" si="2"/>
        <v>#videoGame</v>
      </c>
      <c r="R963" s="16" t="str">
        <f>"("""&amp;C963&amp;""") ("&amp;Vlookup(E963,DropDown!B:C,2,FALSE)&amp; " OR ""Video Game"" OR Playstation OR iOS OR PS4 OR PS5 OR Xbox OR Switch OR Swtich 2 OR PC)"</f>
        <v>#N/A</v>
      </c>
      <c r="S963" s="44" t="str">
        <f>"("""&amp;C963&amp;""") ("&amp;Vlookup(E963,DropDown!K:L,2,FALSE)&amp; " | ""Video Game"" | Playstation | iOS | PS4 | PS5 | Xbox | Switch | Switch 2 | PC)"</f>
        <v>#N/A</v>
      </c>
      <c r="T963" s="44"/>
      <c r="U963" s="44"/>
      <c r="V963" s="44"/>
      <c r="W963" s="44"/>
      <c r="X963" s="44"/>
      <c r="Z963" s="44"/>
    </row>
    <row r="964">
      <c r="A964" s="16"/>
      <c r="B964" s="16"/>
      <c r="E964" s="16"/>
      <c r="F964" s="16"/>
      <c r="G964" s="16"/>
      <c r="H964" s="16"/>
      <c r="I964" s="16"/>
      <c r="J964" s="16"/>
      <c r="K964" s="16"/>
      <c r="L964" s="16"/>
      <c r="M964" s="16"/>
      <c r="N964" s="5" t="s">
        <v>112</v>
      </c>
      <c r="O964" s="16" t="str">
        <f t="shared" si="1"/>
        <v>#</v>
      </c>
      <c r="P964" s="16" t="str">
        <f t="shared" si="2"/>
        <v>#videoGame</v>
      </c>
      <c r="R964" s="16" t="str">
        <f>"("""&amp;C964&amp;""") ("&amp;Vlookup(E964,DropDown!B:C,2,FALSE)&amp; " OR ""Video Game"" OR Playstation OR iOS OR PS4 OR PS5 OR Xbox OR Switch OR Swtich 2 OR PC)"</f>
        <v>#N/A</v>
      </c>
      <c r="S964" s="44" t="str">
        <f>"("""&amp;C964&amp;""") ("&amp;Vlookup(E964,DropDown!K:L,2,FALSE)&amp; " | ""Video Game"" | Playstation | iOS | PS4 | PS5 | Xbox | Switch | Switch 2 | PC)"</f>
        <v>#N/A</v>
      </c>
      <c r="T964" s="44"/>
      <c r="U964" s="44"/>
      <c r="V964" s="44"/>
      <c r="W964" s="44"/>
      <c r="X964" s="44"/>
      <c r="Z964" s="44"/>
    </row>
    <row r="965">
      <c r="A965" s="16"/>
      <c r="B965" s="16"/>
      <c r="E965" s="16"/>
      <c r="F965" s="16"/>
      <c r="G965" s="16"/>
      <c r="H965" s="16"/>
      <c r="I965" s="16"/>
      <c r="J965" s="16"/>
      <c r="K965" s="16"/>
      <c r="L965" s="16"/>
      <c r="M965" s="16"/>
      <c r="N965" s="5" t="s">
        <v>112</v>
      </c>
      <c r="O965" s="16" t="str">
        <f t="shared" si="1"/>
        <v>#</v>
      </c>
      <c r="P965" s="16" t="str">
        <f t="shared" si="2"/>
        <v>#videoGame</v>
      </c>
      <c r="R965" s="16" t="str">
        <f>"("""&amp;C965&amp;""") ("&amp;Vlookup(E965,DropDown!B:C,2,FALSE)&amp; " OR ""Video Game"" OR Playstation OR iOS OR PS4 OR PS5 OR Xbox OR Switch OR Swtich 2 OR PC)"</f>
        <v>#N/A</v>
      </c>
      <c r="S965" s="44" t="str">
        <f>"("""&amp;C965&amp;""") ("&amp;Vlookup(E965,DropDown!K:L,2,FALSE)&amp; " | ""Video Game"" | Playstation | iOS | PS4 | PS5 | Xbox | Switch | Switch 2 | PC)"</f>
        <v>#N/A</v>
      </c>
      <c r="T965" s="44"/>
      <c r="U965" s="44"/>
      <c r="V965" s="44"/>
      <c r="W965" s="44"/>
      <c r="X965" s="44"/>
      <c r="Z965" s="44"/>
    </row>
    <row r="966">
      <c r="A966" s="16"/>
      <c r="B966" s="16"/>
      <c r="E966" s="16"/>
      <c r="F966" s="16"/>
      <c r="G966" s="16"/>
      <c r="H966" s="16"/>
      <c r="I966" s="16"/>
      <c r="J966" s="16"/>
      <c r="K966" s="16"/>
      <c r="L966" s="16"/>
      <c r="M966" s="16"/>
      <c r="N966" s="5" t="s">
        <v>112</v>
      </c>
      <c r="O966" s="16" t="str">
        <f t="shared" si="1"/>
        <v>#</v>
      </c>
      <c r="P966" s="16" t="str">
        <f t="shared" si="2"/>
        <v>#videoGame</v>
      </c>
      <c r="R966" s="16" t="str">
        <f>"("""&amp;C966&amp;""") ("&amp;Vlookup(E966,DropDown!B:C,2,FALSE)&amp; " OR ""Video Game"" OR Playstation OR iOS OR PS4 OR PS5 OR Xbox OR Switch OR Swtich 2 OR PC)"</f>
        <v>#N/A</v>
      </c>
      <c r="S966" s="44" t="str">
        <f>"("""&amp;C966&amp;""") ("&amp;Vlookup(E966,DropDown!K:L,2,FALSE)&amp; " | ""Video Game"" | Playstation | iOS | PS4 | PS5 | Xbox | Switch | Switch 2 | PC)"</f>
        <v>#N/A</v>
      </c>
      <c r="T966" s="44"/>
      <c r="U966" s="44"/>
      <c r="V966" s="44"/>
      <c r="W966" s="44"/>
      <c r="X966" s="44"/>
      <c r="Z966" s="44"/>
    </row>
    <row r="967">
      <c r="A967" s="16"/>
      <c r="B967" s="16"/>
      <c r="E967" s="16"/>
      <c r="F967" s="16"/>
      <c r="G967" s="16"/>
      <c r="H967" s="16"/>
      <c r="I967" s="16"/>
      <c r="J967" s="16"/>
      <c r="K967" s="16"/>
      <c r="L967" s="16"/>
      <c r="M967" s="16"/>
      <c r="N967" s="5" t="s">
        <v>112</v>
      </c>
      <c r="O967" s="16" t="str">
        <f t="shared" si="1"/>
        <v>#</v>
      </c>
      <c r="P967" s="16" t="str">
        <f t="shared" si="2"/>
        <v>#videoGame</v>
      </c>
      <c r="R967" s="16" t="str">
        <f>"("""&amp;C967&amp;""") ("&amp;Vlookup(E967,DropDown!B:C,2,FALSE)&amp; " OR ""Video Game"" OR Playstation OR iOS OR PS4 OR PS5 OR Xbox OR Switch OR Swtich 2 OR PC)"</f>
        <v>#N/A</v>
      </c>
      <c r="S967" s="44" t="str">
        <f>"("""&amp;C967&amp;""") ("&amp;Vlookup(E967,DropDown!K:L,2,FALSE)&amp; " | ""Video Game"" | Playstation | iOS | PS4 | PS5 | Xbox | Switch | Switch 2 | PC)"</f>
        <v>#N/A</v>
      </c>
      <c r="T967" s="44"/>
      <c r="U967" s="44"/>
      <c r="V967" s="44"/>
      <c r="W967" s="44"/>
      <c r="X967" s="44"/>
      <c r="Z967" s="44"/>
    </row>
    <row r="968">
      <c r="A968" s="16"/>
      <c r="B968" s="16"/>
      <c r="E968" s="16"/>
      <c r="F968" s="16"/>
      <c r="G968" s="16"/>
      <c r="H968" s="16"/>
      <c r="I968" s="16"/>
      <c r="J968" s="16"/>
      <c r="K968" s="16"/>
      <c r="L968" s="16"/>
      <c r="M968" s="16"/>
      <c r="N968" s="5" t="s">
        <v>112</v>
      </c>
      <c r="O968" s="16" t="str">
        <f t="shared" si="1"/>
        <v>#</v>
      </c>
      <c r="P968" s="16" t="str">
        <f t="shared" si="2"/>
        <v>#videoGame</v>
      </c>
      <c r="R968" s="16" t="str">
        <f>"("""&amp;C968&amp;""") ("&amp;Vlookup(E968,DropDown!B:C,2,FALSE)&amp; " OR ""Video Game"" OR Playstation OR iOS OR PS4 OR PS5 OR Xbox OR Switch OR Swtich 2 OR PC)"</f>
        <v>#N/A</v>
      </c>
      <c r="S968" s="44" t="str">
        <f>"("""&amp;C968&amp;""") ("&amp;Vlookup(E968,DropDown!K:L,2,FALSE)&amp; " | ""Video Game"" | Playstation | iOS | PS4 | PS5 | Xbox | Switch | Switch 2 | PC)"</f>
        <v>#N/A</v>
      </c>
      <c r="T968" s="44"/>
      <c r="U968" s="44"/>
      <c r="V968" s="44"/>
      <c r="W968" s="44"/>
      <c r="X968" s="44"/>
      <c r="Z968" s="44"/>
    </row>
    <row r="969">
      <c r="A969" s="16"/>
      <c r="B969" s="16"/>
      <c r="E969" s="16"/>
      <c r="F969" s="16"/>
      <c r="G969" s="16"/>
      <c r="H969" s="16"/>
      <c r="I969" s="16"/>
      <c r="J969" s="16"/>
      <c r="K969" s="16"/>
      <c r="L969" s="16"/>
      <c r="M969" s="16"/>
      <c r="N969" s="5" t="s">
        <v>112</v>
      </c>
      <c r="O969" s="16" t="str">
        <f t="shared" si="1"/>
        <v>#</v>
      </c>
      <c r="P969" s="16" t="str">
        <f t="shared" si="2"/>
        <v>#videoGame</v>
      </c>
      <c r="R969" s="16" t="str">
        <f>"("""&amp;C969&amp;""") ("&amp;Vlookup(E969,DropDown!B:C,2,FALSE)&amp; " OR ""Video Game"" OR Playstation OR iOS OR PS4 OR PS5 OR Xbox OR Switch OR Swtich 2 OR PC)"</f>
        <v>#N/A</v>
      </c>
      <c r="S969" s="44" t="str">
        <f>"("""&amp;C969&amp;""") ("&amp;Vlookup(E969,DropDown!K:L,2,FALSE)&amp; " | ""Video Game"" | Playstation | iOS | PS4 | PS5 | Xbox | Switch | Switch 2 | PC)"</f>
        <v>#N/A</v>
      </c>
      <c r="T969" s="44"/>
      <c r="U969" s="44"/>
      <c r="V969" s="44"/>
      <c r="W969" s="44"/>
      <c r="X969" s="44"/>
      <c r="Z969" s="44"/>
    </row>
    <row r="970">
      <c r="A970" s="16"/>
      <c r="B970" s="16"/>
      <c r="E970" s="16"/>
      <c r="F970" s="16"/>
      <c r="G970" s="16"/>
      <c r="H970" s="16"/>
      <c r="I970" s="16"/>
      <c r="J970" s="16"/>
      <c r="K970" s="16"/>
      <c r="L970" s="16"/>
      <c r="M970" s="16"/>
      <c r="N970" s="5" t="s">
        <v>112</v>
      </c>
      <c r="O970" s="16" t="str">
        <f t="shared" si="1"/>
        <v>#</v>
      </c>
      <c r="P970" s="16" t="str">
        <f t="shared" si="2"/>
        <v>#videoGame</v>
      </c>
      <c r="R970" s="16" t="str">
        <f>"("""&amp;C970&amp;""") ("&amp;Vlookup(E970,DropDown!B:C,2,FALSE)&amp; " OR ""Video Game"" OR Playstation OR iOS OR PS4 OR PS5 OR Xbox OR Switch OR Swtich 2 OR PC)"</f>
        <v>#N/A</v>
      </c>
      <c r="S970" s="44" t="str">
        <f>"("""&amp;C970&amp;""") ("&amp;Vlookup(E970,DropDown!K:L,2,FALSE)&amp; " | ""Video Game"" | Playstation | iOS | PS4 | PS5 | Xbox | Switch | Switch 2 | PC)"</f>
        <v>#N/A</v>
      </c>
      <c r="T970" s="44"/>
      <c r="U970" s="44"/>
      <c r="V970" s="44"/>
      <c r="W970" s="44"/>
      <c r="X970" s="44"/>
      <c r="Z970" s="44"/>
    </row>
    <row r="971">
      <c r="A971" s="16"/>
      <c r="B971" s="16"/>
      <c r="E971" s="16"/>
      <c r="F971" s="16"/>
      <c r="G971" s="16"/>
      <c r="H971" s="16"/>
      <c r="I971" s="16"/>
      <c r="J971" s="16"/>
      <c r="K971" s="16"/>
      <c r="L971" s="16"/>
      <c r="M971" s="16"/>
      <c r="N971" s="5" t="s">
        <v>112</v>
      </c>
      <c r="O971" s="16" t="str">
        <f t="shared" si="1"/>
        <v>#</v>
      </c>
      <c r="P971" s="16" t="str">
        <f t="shared" si="2"/>
        <v>#videoGame</v>
      </c>
      <c r="R971" s="16" t="str">
        <f>"("""&amp;C971&amp;""") ("&amp;Vlookup(E971,DropDown!B:C,2,FALSE)&amp; " OR ""Video Game"" OR Playstation OR iOS OR PS4 OR PS5 OR Xbox OR Switch OR Swtich 2 OR PC)"</f>
        <v>#N/A</v>
      </c>
      <c r="S971" s="44" t="str">
        <f>"("""&amp;C971&amp;""") ("&amp;Vlookup(E971,DropDown!K:L,2,FALSE)&amp; " | ""Video Game"" | Playstation | iOS | PS4 | PS5 | Xbox | Switch | Switch 2 | PC)"</f>
        <v>#N/A</v>
      </c>
      <c r="T971" s="44"/>
      <c r="U971" s="44"/>
      <c r="V971" s="44"/>
      <c r="W971" s="44"/>
      <c r="X971" s="44"/>
      <c r="Z971" s="44"/>
    </row>
    <row r="972">
      <c r="A972" s="16"/>
      <c r="B972" s="16"/>
      <c r="E972" s="16"/>
      <c r="F972" s="16"/>
      <c r="G972" s="16"/>
      <c r="H972" s="16"/>
      <c r="I972" s="16"/>
      <c r="J972" s="16"/>
      <c r="K972" s="16"/>
      <c r="L972" s="16"/>
      <c r="M972" s="16"/>
      <c r="N972" s="5" t="s">
        <v>112</v>
      </c>
      <c r="O972" s="16" t="str">
        <f t="shared" si="1"/>
        <v>#</v>
      </c>
      <c r="P972" s="16" t="str">
        <f t="shared" si="2"/>
        <v>#videoGame</v>
      </c>
      <c r="R972" s="16" t="str">
        <f>"("""&amp;C972&amp;""") ("&amp;Vlookup(E972,DropDown!B:C,2,FALSE)&amp; " OR ""Video Game"" OR Playstation OR iOS OR PS4 OR PS5 OR Xbox OR Switch OR Swtich 2 OR PC)"</f>
        <v>#N/A</v>
      </c>
      <c r="S972" s="44" t="str">
        <f>"("""&amp;C972&amp;""") ("&amp;Vlookup(E972,DropDown!K:L,2,FALSE)&amp; " | ""Video Game"" | Playstation | iOS | PS4 | PS5 | Xbox | Switch | Switch 2 | PC)"</f>
        <v>#N/A</v>
      </c>
      <c r="T972" s="44"/>
      <c r="U972" s="44"/>
      <c r="V972" s="44"/>
      <c r="W972" s="44"/>
      <c r="X972" s="44"/>
      <c r="Z972" s="44"/>
    </row>
    <row r="973">
      <c r="A973" s="16"/>
      <c r="B973" s="16"/>
      <c r="E973" s="16"/>
      <c r="F973" s="16"/>
      <c r="G973" s="16"/>
      <c r="H973" s="16"/>
      <c r="I973" s="16"/>
      <c r="J973" s="16"/>
      <c r="K973" s="16"/>
      <c r="L973" s="16"/>
      <c r="M973" s="16"/>
      <c r="N973" s="5" t="s">
        <v>112</v>
      </c>
      <c r="O973" s="16" t="str">
        <f t="shared" si="1"/>
        <v>#</v>
      </c>
      <c r="P973" s="16" t="str">
        <f t="shared" si="2"/>
        <v>#videoGame</v>
      </c>
      <c r="R973" s="16" t="str">
        <f>"("""&amp;C973&amp;""") ("&amp;Vlookup(E973,DropDown!B:C,2,FALSE)&amp; " OR ""Video Game"" OR Playstation OR iOS OR PS4 OR PS5 OR Xbox OR Switch OR Swtich 2 OR PC)"</f>
        <v>#N/A</v>
      </c>
      <c r="S973" s="44" t="str">
        <f>"("""&amp;C973&amp;""") ("&amp;Vlookup(E973,DropDown!K:L,2,FALSE)&amp; " | ""Video Game"" | Playstation | iOS | PS4 | PS5 | Xbox | Switch | Switch 2 | PC)"</f>
        <v>#N/A</v>
      </c>
      <c r="T973" s="44"/>
      <c r="U973" s="44"/>
      <c r="V973" s="44"/>
      <c r="W973" s="44"/>
      <c r="X973" s="44"/>
      <c r="Z973" s="44"/>
    </row>
    <row r="974">
      <c r="A974" s="16"/>
      <c r="B974" s="16"/>
      <c r="E974" s="16"/>
      <c r="F974" s="16"/>
      <c r="G974" s="16"/>
      <c r="H974" s="16"/>
      <c r="I974" s="16"/>
      <c r="J974" s="16"/>
      <c r="K974" s="16"/>
      <c r="L974" s="16"/>
      <c r="M974" s="16"/>
      <c r="N974" s="5" t="s">
        <v>112</v>
      </c>
      <c r="O974" s="16" t="str">
        <f t="shared" si="1"/>
        <v>#</v>
      </c>
      <c r="P974" s="16" t="str">
        <f t="shared" si="2"/>
        <v>#videoGame</v>
      </c>
      <c r="R974" s="16" t="str">
        <f>"("""&amp;C974&amp;""") ("&amp;Vlookup(E974,DropDown!B:C,2,FALSE)&amp; " OR ""Video Game"" OR Playstation OR iOS OR PS4 OR PS5 OR Xbox OR Switch OR Swtich 2 OR PC)"</f>
        <v>#N/A</v>
      </c>
      <c r="S974" s="44" t="str">
        <f>"("""&amp;C974&amp;""") ("&amp;Vlookup(E974,DropDown!K:L,2,FALSE)&amp; " | ""Video Game"" | Playstation | iOS | PS4 | PS5 | Xbox | Switch | Switch 2 | PC)"</f>
        <v>#N/A</v>
      </c>
      <c r="T974" s="44"/>
      <c r="U974" s="44"/>
      <c r="V974" s="44"/>
      <c r="W974" s="44"/>
      <c r="X974" s="44"/>
      <c r="Z974" s="44"/>
    </row>
    <row r="975">
      <c r="A975" s="16"/>
      <c r="B975" s="16"/>
      <c r="E975" s="16"/>
      <c r="F975" s="16"/>
      <c r="G975" s="16"/>
      <c r="H975" s="16"/>
      <c r="I975" s="16"/>
      <c r="J975" s="16"/>
      <c r="K975" s="16"/>
      <c r="L975" s="16"/>
      <c r="M975" s="16"/>
      <c r="N975" s="5" t="s">
        <v>112</v>
      </c>
      <c r="O975" s="16" t="str">
        <f t="shared" si="1"/>
        <v>#</v>
      </c>
      <c r="P975" s="16" t="str">
        <f t="shared" si="2"/>
        <v>#videoGame</v>
      </c>
      <c r="R975" s="16" t="str">
        <f>"("""&amp;C975&amp;""") ("&amp;Vlookup(E975,DropDown!B:C,2,FALSE)&amp; " OR ""Video Game"" OR Playstation OR iOS OR PS4 OR PS5 OR Xbox OR Switch OR Swtich 2 OR PC)"</f>
        <v>#N/A</v>
      </c>
      <c r="S975" s="44" t="str">
        <f>"("""&amp;C975&amp;""") ("&amp;Vlookup(E975,DropDown!K:L,2,FALSE)&amp; " | ""Video Game"" | Playstation | iOS | PS4 | PS5 | Xbox | Switch | Switch 2 | PC)"</f>
        <v>#N/A</v>
      </c>
      <c r="T975" s="44"/>
      <c r="U975" s="44"/>
      <c r="V975" s="44"/>
      <c r="W975" s="44"/>
      <c r="X975" s="44"/>
      <c r="Z975" s="44"/>
    </row>
    <row r="976">
      <c r="A976" s="16"/>
      <c r="B976" s="16"/>
      <c r="E976" s="16"/>
      <c r="F976" s="16"/>
      <c r="G976" s="16"/>
      <c r="H976" s="16"/>
      <c r="I976" s="16"/>
      <c r="J976" s="16"/>
      <c r="K976" s="16"/>
      <c r="L976" s="16"/>
      <c r="M976" s="16"/>
      <c r="N976" s="5" t="s">
        <v>112</v>
      </c>
      <c r="O976" s="16" t="str">
        <f t="shared" si="1"/>
        <v>#</v>
      </c>
      <c r="P976" s="16" t="str">
        <f t="shared" si="2"/>
        <v>#videoGame</v>
      </c>
      <c r="R976" s="16" t="str">
        <f>"("""&amp;C976&amp;""") ("&amp;Vlookup(E976,DropDown!B:C,2,FALSE)&amp; " OR ""Video Game"" OR Playstation OR iOS OR PS4 OR PS5 OR Xbox OR Switch OR Swtich 2 OR PC)"</f>
        <v>#N/A</v>
      </c>
      <c r="S976" s="44" t="str">
        <f>"("""&amp;C976&amp;""") ("&amp;Vlookup(E976,DropDown!K:L,2,FALSE)&amp; " | ""Video Game"" | Playstation | iOS | PS4 | PS5 | Xbox | Switch | Switch 2 | PC)"</f>
        <v>#N/A</v>
      </c>
      <c r="T976" s="44"/>
      <c r="U976" s="44"/>
      <c r="V976" s="44"/>
      <c r="W976" s="44"/>
      <c r="X976" s="44"/>
      <c r="Z976" s="44"/>
    </row>
    <row r="977">
      <c r="A977" s="16"/>
      <c r="B977" s="16"/>
      <c r="E977" s="16"/>
      <c r="F977" s="16"/>
      <c r="G977" s="16"/>
      <c r="H977" s="16"/>
      <c r="I977" s="16"/>
      <c r="J977" s="16"/>
      <c r="K977" s="16"/>
      <c r="L977" s="16"/>
      <c r="M977" s="16"/>
      <c r="N977" s="5" t="s">
        <v>112</v>
      </c>
      <c r="O977" s="16" t="str">
        <f t="shared" si="1"/>
        <v>#</v>
      </c>
      <c r="P977" s="16" t="str">
        <f t="shared" si="2"/>
        <v>#videoGame</v>
      </c>
      <c r="R977" s="16" t="str">
        <f>"("""&amp;C977&amp;""") ("&amp;Vlookup(E977,DropDown!B:C,2,FALSE)&amp; " OR ""Video Game"" OR Playstation OR iOS OR PS4 OR PS5 OR Xbox OR Switch OR Swtich 2 OR PC)"</f>
        <v>#N/A</v>
      </c>
      <c r="S977" s="44" t="str">
        <f>"("""&amp;C977&amp;""") ("&amp;Vlookup(E977,DropDown!K:L,2,FALSE)&amp; " | ""Video Game"" | Playstation | iOS | PS4 | PS5 | Xbox | Switch | Switch 2 | PC)"</f>
        <v>#N/A</v>
      </c>
      <c r="T977" s="44"/>
      <c r="U977" s="44"/>
      <c r="V977" s="44"/>
      <c r="W977" s="44"/>
      <c r="X977" s="44"/>
      <c r="Z977" s="44"/>
    </row>
    <row r="978">
      <c r="A978" s="16"/>
      <c r="B978" s="16"/>
      <c r="E978" s="16"/>
      <c r="F978" s="16"/>
      <c r="G978" s="16"/>
      <c r="H978" s="16"/>
      <c r="I978" s="16"/>
      <c r="J978" s="16"/>
      <c r="K978" s="16"/>
      <c r="L978" s="16"/>
      <c r="M978" s="16"/>
      <c r="N978" s="5" t="s">
        <v>112</v>
      </c>
      <c r="O978" s="16" t="str">
        <f t="shared" si="1"/>
        <v>#</v>
      </c>
      <c r="P978" s="16" t="str">
        <f t="shared" si="2"/>
        <v>#videoGame</v>
      </c>
      <c r="R978" s="16" t="str">
        <f>"("""&amp;C978&amp;""") ("&amp;Vlookup(E978,DropDown!B:C,2,FALSE)&amp; " OR ""Video Game"" OR Playstation OR iOS OR PS4 OR PS5 OR Xbox OR Switch OR Swtich 2 OR PC)"</f>
        <v>#N/A</v>
      </c>
      <c r="S978" s="44" t="str">
        <f>"("""&amp;C978&amp;""") ("&amp;Vlookup(E978,DropDown!K:L,2,FALSE)&amp; " | ""Video Game"" | Playstation | iOS | PS4 | PS5 | Xbox | Switch | Switch 2 | PC)"</f>
        <v>#N/A</v>
      </c>
      <c r="T978" s="44"/>
      <c r="U978" s="44"/>
      <c r="V978" s="44"/>
      <c r="W978" s="44"/>
      <c r="X978" s="44"/>
      <c r="Z978" s="44"/>
    </row>
    <row r="979">
      <c r="A979" s="16"/>
      <c r="B979" s="16"/>
      <c r="E979" s="16"/>
      <c r="F979" s="16"/>
      <c r="G979" s="16"/>
      <c r="H979" s="16"/>
      <c r="I979" s="16"/>
      <c r="J979" s="16"/>
      <c r="K979" s="16"/>
      <c r="L979" s="16"/>
      <c r="M979" s="16"/>
      <c r="N979" s="5" t="s">
        <v>112</v>
      </c>
      <c r="O979" s="16" t="str">
        <f t="shared" si="1"/>
        <v>#</v>
      </c>
      <c r="P979" s="16" t="str">
        <f t="shared" si="2"/>
        <v>#videoGame</v>
      </c>
      <c r="R979" s="16" t="str">
        <f>"("""&amp;C979&amp;""") ("&amp;Vlookup(E979,DropDown!B:C,2,FALSE)&amp; " OR ""Video Game"" OR Playstation OR iOS OR PS4 OR PS5 OR Xbox OR Switch OR Swtich 2 OR PC)"</f>
        <v>#N/A</v>
      </c>
      <c r="S979" s="44" t="str">
        <f>"("""&amp;C979&amp;""") ("&amp;Vlookup(E979,DropDown!K:L,2,FALSE)&amp; " | ""Video Game"" | Playstation | iOS | PS4 | PS5 | Xbox | Switch | Switch 2 | PC)"</f>
        <v>#N/A</v>
      </c>
      <c r="T979" s="44"/>
      <c r="U979" s="44"/>
      <c r="V979" s="44"/>
      <c r="W979" s="44"/>
      <c r="X979" s="44"/>
      <c r="Z979" s="44"/>
    </row>
    <row r="980">
      <c r="A980" s="16"/>
      <c r="B980" s="16"/>
      <c r="E980" s="16"/>
      <c r="F980" s="16"/>
      <c r="G980" s="16"/>
      <c r="H980" s="16"/>
      <c r="I980" s="16"/>
      <c r="J980" s="16"/>
      <c r="K980" s="16"/>
      <c r="L980" s="16"/>
      <c r="M980" s="16"/>
      <c r="N980" s="5" t="s">
        <v>112</v>
      </c>
      <c r="O980" s="16" t="str">
        <f t="shared" si="1"/>
        <v>#</v>
      </c>
      <c r="P980" s="16" t="str">
        <f t="shared" si="2"/>
        <v>#videoGame</v>
      </c>
      <c r="R980" s="16" t="str">
        <f>"("""&amp;C980&amp;""") ("&amp;Vlookup(E980,DropDown!B:C,2,FALSE)&amp; " OR ""Video Game"" OR Playstation OR iOS OR PS4 OR PS5 OR Xbox OR Switch OR Swtich 2 OR PC)"</f>
        <v>#N/A</v>
      </c>
      <c r="S980" s="44" t="str">
        <f>"("""&amp;C980&amp;""") ("&amp;Vlookup(E980,DropDown!K:L,2,FALSE)&amp; " | ""Video Game"" | Playstation | iOS | PS4 | PS5 | Xbox | Switch | Switch 2 | PC)"</f>
        <v>#N/A</v>
      </c>
      <c r="T980" s="44"/>
      <c r="U980" s="44"/>
      <c r="V980" s="44"/>
      <c r="W980" s="44"/>
      <c r="X980" s="44"/>
      <c r="Z980" s="44"/>
    </row>
    <row r="981">
      <c r="A981" s="16"/>
      <c r="B981" s="16"/>
      <c r="E981" s="16"/>
      <c r="F981" s="16"/>
      <c r="G981" s="16"/>
      <c r="H981" s="16"/>
      <c r="I981" s="16"/>
      <c r="J981" s="16"/>
      <c r="K981" s="16"/>
      <c r="L981" s="16"/>
      <c r="M981" s="16"/>
      <c r="N981" s="5" t="s">
        <v>112</v>
      </c>
      <c r="O981" s="16" t="str">
        <f t="shared" si="1"/>
        <v>#</v>
      </c>
      <c r="P981" s="16" t="str">
        <f t="shared" si="2"/>
        <v>#videoGame</v>
      </c>
      <c r="R981" s="16" t="str">
        <f>"("""&amp;C981&amp;""") ("&amp;Vlookup(E981,DropDown!B:C,2,FALSE)&amp; " OR ""Video Game"" OR Playstation OR iOS OR PS4 OR PS5 OR Xbox OR Switch OR Swtich 2 OR PC)"</f>
        <v>#N/A</v>
      </c>
      <c r="S981" s="44" t="str">
        <f>"("""&amp;C981&amp;""") ("&amp;Vlookup(E981,DropDown!K:L,2,FALSE)&amp; " | ""Video Game"" | Playstation | iOS | PS4 | PS5 | Xbox | Switch | Switch 2 | PC)"</f>
        <v>#N/A</v>
      </c>
      <c r="T981" s="44"/>
      <c r="U981" s="44"/>
      <c r="V981" s="44"/>
      <c r="W981" s="44"/>
      <c r="X981" s="44"/>
      <c r="Z981" s="44"/>
    </row>
    <row r="982">
      <c r="A982" s="16"/>
      <c r="B982" s="16"/>
      <c r="E982" s="16"/>
      <c r="F982" s="16"/>
      <c r="G982" s="16"/>
      <c r="H982" s="16"/>
      <c r="I982" s="16"/>
      <c r="J982" s="16"/>
      <c r="K982" s="16"/>
      <c r="L982" s="16"/>
      <c r="M982" s="16"/>
      <c r="N982" s="5" t="s">
        <v>112</v>
      </c>
      <c r="O982" s="16" t="str">
        <f t="shared" si="1"/>
        <v>#</v>
      </c>
      <c r="P982" s="16" t="str">
        <f t="shared" si="2"/>
        <v>#videoGame</v>
      </c>
      <c r="R982" s="16" t="str">
        <f>"("""&amp;C982&amp;""") ("&amp;Vlookup(E982,DropDown!B:C,2,FALSE)&amp; " OR ""Video Game"" OR Playstation OR iOS OR PS4 OR PS5 OR Xbox OR Switch OR Swtich 2 OR PC)"</f>
        <v>#N/A</v>
      </c>
      <c r="S982" s="44" t="str">
        <f>"("""&amp;C982&amp;""") ("&amp;Vlookup(E982,DropDown!K:L,2,FALSE)&amp; " | ""Video Game"" | Playstation | iOS | PS4 | PS5 | Xbox | Switch | Switch 2 | PC)"</f>
        <v>#N/A</v>
      </c>
      <c r="T982" s="44"/>
      <c r="U982" s="44"/>
      <c r="V982" s="44"/>
      <c r="W982" s="44"/>
      <c r="X982" s="44"/>
      <c r="Z982" s="44"/>
    </row>
    <row r="983">
      <c r="A983" s="16"/>
      <c r="B983" s="16"/>
      <c r="E983" s="16"/>
      <c r="F983" s="16"/>
      <c r="G983" s="16"/>
      <c r="H983" s="16"/>
      <c r="I983" s="16"/>
      <c r="J983" s="16"/>
      <c r="K983" s="16"/>
      <c r="L983" s="16"/>
      <c r="M983" s="16"/>
      <c r="N983" s="5" t="s">
        <v>112</v>
      </c>
      <c r="O983" s="16" t="str">
        <f t="shared" si="1"/>
        <v>#</v>
      </c>
      <c r="P983" s="16" t="str">
        <f t="shared" si="2"/>
        <v>#videoGame</v>
      </c>
      <c r="R983" s="16" t="str">
        <f>"("""&amp;C983&amp;""") ("&amp;Vlookup(E983,DropDown!B:C,2,FALSE)&amp; " OR ""Video Game"" OR Playstation OR iOS OR PS4 OR PS5 OR Xbox OR Switch OR Swtich 2 OR PC)"</f>
        <v>#N/A</v>
      </c>
      <c r="S983" s="44" t="str">
        <f>"("""&amp;C983&amp;""") ("&amp;Vlookup(E983,DropDown!K:L,2,FALSE)&amp; " | ""Video Game"" | Playstation | iOS | PS4 | PS5 | Xbox | Switch | Switch 2 | PC)"</f>
        <v>#N/A</v>
      </c>
      <c r="T983" s="44"/>
      <c r="U983" s="44"/>
      <c r="V983" s="44"/>
      <c r="W983" s="44"/>
      <c r="X983" s="44"/>
      <c r="Z983" s="44"/>
    </row>
    <row r="984">
      <c r="A984" s="16"/>
      <c r="B984" s="16"/>
      <c r="E984" s="16"/>
      <c r="F984" s="16"/>
      <c r="G984" s="16"/>
      <c r="H984" s="16"/>
      <c r="I984" s="16"/>
      <c r="J984" s="16"/>
      <c r="K984" s="16"/>
      <c r="L984" s="16"/>
      <c r="M984" s="16"/>
      <c r="N984" s="5" t="s">
        <v>112</v>
      </c>
      <c r="O984" s="16" t="str">
        <f t="shared" si="1"/>
        <v>#</v>
      </c>
      <c r="P984" s="16" t="str">
        <f t="shared" si="2"/>
        <v>#videoGame</v>
      </c>
      <c r="R984" s="16" t="str">
        <f>"("""&amp;C984&amp;""") ("&amp;Vlookup(E984,DropDown!B:C,2,FALSE)&amp; " OR ""Video Game"" OR Playstation OR iOS OR PS4 OR PS5 OR Xbox OR Switch OR Swtich 2 OR PC)"</f>
        <v>#N/A</v>
      </c>
      <c r="S984" s="44" t="str">
        <f>"("""&amp;C984&amp;""") ("&amp;Vlookup(E984,DropDown!K:L,2,FALSE)&amp; " | ""Video Game"" | Playstation | iOS | PS4 | PS5 | Xbox | Switch | Switch 2 | PC)"</f>
        <v>#N/A</v>
      </c>
      <c r="T984" s="44"/>
      <c r="U984" s="44"/>
      <c r="V984" s="44"/>
      <c r="W984" s="44"/>
      <c r="X984" s="44"/>
      <c r="Z984" s="44"/>
    </row>
    <row r="985">
      <c r="A985" s="16"/>
      <c r="B985" s="16"/>
      <c r="E985" s="16"/>
      <c r="F985" s="16"/>
      <c r="G985" s="16"/>
      <c r="H985" s="16"/>
      <c r="I985" s="16"/>
      <c r="J985" s="16"/>
      <c r="K985" s="16"/>
      <c r="L985" s="16"/>
      <c r="M985" s="16"/>
      <c r="N985" s="5" t="s">
        <v>112</v>
      </c>
      <c r="O985" s="16" t="str">
        <f t="shared" si="1"/>
        <v>#</v>
      </c>
      <c r="P985" s="16" t="str">
        <f t="shared" si="2"/>
        <v>#videoGame</v>
      </c>
      <c r="R985" s="16" t="str">
        <f>"("""&amp;C985&amp;""") ("&amp;Vlookup(E985,DropDown!B:C,2,FALSE)&amp; " OR ""Video Game"" OR Playstation OR iOS OR PS4 OR PS5 OR Xbox OR Switch OR Swtich 2 OR PC)"</f>
        <v>#N/A</v>
      </c>
      <c r="S985" s="44" t="str">
        <f>"("""&amp;C985&amp;""") ("&amp;Vlookup(E985,DropDown!K:L,2,FALSE)&amp; " | ""Video Game"" | Playstation | iOS | PS4 | PS5 | Xbox | Switch | Switch 2 | PC)"</f>
        <v>#N/A</v>
      </c>
      <c r="T985" s="44"/>
      <c r="U985" s="44"/>
      <c r="V985" s="44"/>
      <c r="W985" s="44"/>
      <c r="X985" s="44"/>
      <c r="Z985" s="44"/>
    </row>
    <row r="986">
      <c r="A986" s="16"/>
      <c r="B986" s="16"/>
      <c r="E986" s="16"/>
      <c r="F986" s="16"/>
      <c r="G986" s="16"/>
      <c r="H986" s="16"/>
      <c r="I986" s="16"/>
      <c r="J986" s="16"/>
      <c r="K986" s="16"/>
      <c r="L986" s="16"/>
      <c r="M986" s="16"/>
      <c r="N986" s="5" t="s">
        <v>112</v>
      </c>
      <c r="O986" s="16" t="str">
        <f t="shared" si="1"/>
        <v>#</v>
      </c>
      <c r="P986" s="16" t="str">
        <f t="shared" si="2"/>
        <v>#videoGame</v>
      </c>
      <c r="R986" s="16" t="str">
        <f>"("""&amp;C986&amp;""") ("&amp;Vlookup(E986,DropDown!B:C,2,FALSE)&amp; " OR ""Video Game"" OR Playstation OR iOS OR PS4 OR PS5 OR Xbox OR Switch OR Swtich 2 OR PC)"</f>
        <v>#N/A</v>
      </c>
      <c r="S986" s="44" t="str">
        <f>"("""&amp;C986&amp;""") ("&amp;Vlookup(E986,DropDown!K:L,2,FALSE)&amp; " | ""Video Game"" | Playstation | iOS | PS4 | PS5 | Xbox | Switch | Switch 2 | PC)"</f>
        <v>#N/A</v>
      </c>
      <c r="T986" s="44"/>
      <c r="U986" s="44"/>
      <c r="V986" s="44"/>
      <c r="W986" s="44"/>
      <c r="X986" s="44"/>
      <c r="Z986" s="44"/>
    </row>
    <row r="987">
      <c r="A987" s="16"/>
      <c r="B987" s="16"/>
      <c r="E987" s="16"/>
      <c r="F987" s="16"/>
      <c r="G987" s="16"/>
      <c r="H987" s="16"/>
      <c r="I987" s="16"/>
      <c r="J987" s="16"/>
      <c r="K987" s="16"/>
      <c r="L987" s="16"/>
      <c r="M987" s="16"/>
      <c r="N987" s="5" t="s">
        <v>112</v>
      </c>
      <c r="O987" s="16" t="str">
        <f t="shared" si="1"/>
        <v>#</v>
      </c>
      <c r="P987" s="16" t="str">
        <f t="shared" si="2"/>
        <v>#videoGame</v>
      </c>
      <c r="R987" s="16" t="str">
        <f>"("""&amp;C987&amp;""") ("&amp;Vlookup(E987,DropDown!B:C,2,FALSE)&amp; " OR ""Video Game"" OR Playstation OR iOS OR PS4 OR PS5 OR Xbox OR Switch OR Swtich 2 OR PC)"</f>
        <v>#N/A</v>
      </c>
      <c r="S987" s="44" t="str">
        <f>"("""&amp;C987&amp;""") ("&amp;Vlookup(E987,DropDown!K:L,2,FALSE)&amp; " | ""Video Game"" | Playstation | iOS | PS4 | PS5 | Xbox | Switch | Switch 2 | PC)"</f>
        <v>#N/A</v>
      </c>
      <c r="T987" s="44"/>
      <c r="U987" s="44"/>
      <c r="V987" s="44"/>
      <c r="W987" s="44"/>
      <c r="X987" s="44"/>
      <c r="Z987" s="44"/>
    </row>
    <row r="988">
      <c r="A988" s="16"/>
      <c r="B988" s="16"/>
      <c r="E988" s="16"/>
      <c r="F988" s="16"/>
      <c r="G988" s="16"/>
      <c r="H988" s="16"/>
      <c r="I988" s="16"/>
      <c r="J988" s="16"/>
      <c r="K988" s="16"/>
      <c r="L988" s="16"/>
      <c r="M988" s="16"/>
      <c r="N988" s="5" t="s">
        <v>112</v>
      </c>
      <c r="O988" s="16" t="str">
        <f t="shared" si="1"/>
        <v>#</v>
      </c>
      <c r="P988" s="16" t="str">
        <f t="shared" si="2"/>
        <v>#videoGame</v>
      </c>
      <c r="R988" s="16" t="str">
        <f>"("""&amp;C988&amp;""") ("&amp;Vlookup(E988,DropDown!B:C,2,FALSE)&amp; " OR ""Video Game"" OR Playstation OR iOS OR PS4 OR PS5 OR Xbox OR Switch OR Swtich 2 OR PC)"</f>
        <v>#N/A</v>
      </c>
      <c r="S988" s="44" t="str">
        <f>"("""&amp;C988&amp;""") ("&amp;Vlookup(E988,DropDown!K:L,2,FALSE)&amp; " | ""Video Game"" | Playstation | iOS | PS4 | PS5 | Xbox | Switch | Switch 2 | PC)"</f>
        <v>#N/A</v>
      </c>
      <c r="T988" s="44"/>
      <c r="U988" s="44"/>
      <c r="V988" s="44"/>
      <c r="W988" s="44"/>
      <c r="X988" s="44"/>
      <c r="Z988" s="44"/>
    </row>
    <row r="989">
      <c r="A989" s="16"/>
      <c r="B989" s="16"/>
      <c r="E989" s="16"/>
      <c r="F989" s="16"/>
      <c r="G989" s="16"/>
      <c r="H989" s="16"/>
      <c r="I989" s="16"/>
      <c r="J989" s="16"/>
      <c r="K989" s="16"/>
      <c r="L989" s="16"/>
      <c r="M989" s="16"/>
      <c r="N989" s="5" t="s">
        <v>112</v>
      </c>
      <c r="O989" s="16" t="str">
        <f t="shared" si="1"/>
        <v>#</v>
      </c>
      <c r="P989" s="16" t="str">
        <f t="shared" si="2"/>
        <v>#videoGame</v>
      </c>
      <c r="R989" s="16" t="str">
        <f>"("""&amp;C989&amp;""") ("&amp;Vlookup(E989,DropDown!B:C,2,FALSE)&amp; " OR ""Video Game"" OR Playstation OR iOS OR PS4 OR PS5 OR Xbox OR Switch OR Swtich 2 OR PC)"</f>
        <v>#N/A</v>
      </c>
      <c r="S989" s="44" t="str">
        <f>"("""&amp;C989&amp;""") ("&amp;Vlookup(E989,DropDown!K:L,2,FALSE)&amp; " | ""Video Game"" | Playstation | iOS | PS4 | PS5 | Xbox | Switch | Switch 2 | PC)"</f>
        <v>#N/A</v>
      </c>
      <c r="T989" s="44"/>
      <c r="U989" s="44"/>
      <c r="V989" s="44"/>
      <c r="W989" s="44"/>
      <c r="X989" s="44"/>
      <c r="Z989" s="44"/>
    </row>
    <row r="990">
      <c r="A990" s="16"/>
      <c r="B990" s="16"/>
      <c r="E990" s="16"/>
      <c r="F990" s="16"/>
      <c r="G990" s="16"/>
      <c r="H990" s="16"/>
      <c r="I990" s="16"/>
      <c r="J990" s="16"/>
      <c r="K990" s="16"/>
      <c r="L990" s="16"/>
      <c r="M990" s="16"/>
      <c r="N990" s="5" t="s">
        <v>112</v>
      </c>
      <c r="O990" s="16" t="str">
        <f t="shared" si="1"/>
        <v>#</v>
      </c>
      <c r="P990" s="16" t="str">
        <f t="shared" si="2"/>
        <v>#videoGame</v>
      </c>
      <c r="R990" s="16" t="str">
        <f>"("""&amp;C990&amp;""") ("&amp;Vlookup(E990,DropDown!B:C,2,FALSE)&amp; " OR ""Video Game"" OR Playstation OR iOS OR PS4 OR PS5 OR Xbox OR Switch OR Swtich 2 OR PC)"</f>
        <v>#N/A</v>
      </c>
      <c r="S990" s="44" t="str">
        <f>"("""&amp;C990&amp;""") ("&amp;Vlookup(E990,DropDown!K:L,2,FALSE)&amp; " | ""Video Game"" | Playstation | iOS | PS4 | PS5 | Xbox | Switch | Switch 2 | PC)"</f>
        <v>#N/A</v>
      </c>
      <c r="T990" s="44"/>
      <c r="U990" s="44"/>
      <c r="V990" s="44"/>
      <c r="W990" s="44"/>
      <c r="X990" s="44"/>
      <c r="Z990" s="44"/>
    </row>
    <row r="991">
      <c r="A991" s="16"/>
      <c r="B991" s="16"/>
      <c r="E991" s="16"/>
      <c r="F991" s="16"/>
      <c r="G991" s="16"/>
      <c r="H991" s="16"/>
      <c r="I991" s="16"/>
      <c r="J991" s="16"/>
      <c r="K991" s="16"/>
      <c r="L991" s="16"/>
      <c r="M991" s="16"/>
      <c r="N991" s="5" t="s">
        <v>112</v>
      </c>
      <c r="O991" s="16" t="str">
        <f t="shared" si="1"/>
        <v>#</v>
      </c>
      <c r="P991" s="16" t="str">
        <f t="shared" si="2"/>
        <v>#videoGame</v>
      </c>
      <c r="R991" s="16" t="str">
        <f>"("""&amp;C991&amp;""") ("&amp;Vlookup(E991,DropDown!B:C,2,FALSE)&amp; " OR ""Video Game"" OR Playstation OR iOS OR PS4 OR PS5 OR Xbox OR Switch OR Swtich 2 OR PC)"</f>
        <v>#N/A</v>
      </c>
      <c r="S991" s="44" t="str">
        <f>"("""&amp;C991&amp;""") ("&amp;Vlookup(E991,DropDown!K:L,2,FALSE)&amp; " | ""Video Game"" | Playstation | iOS | PS4 | PS5 | Xbox | Switch | Switch 2 | PC)"</f>
        <v>#N/A</v>
      </c>
      <c r="T991" s="44"/>
      <c r="U991" s="44"/>
      <c r="V991" s="44"/>
      <c r="W991" s="44"/>
      <c r="X991" s="44"/>
      <c r="Z991" s="44"/>
    </row>
    <row r="992">
      <c r="A992" s="16"/>
      <c r="B992" s="16"/>
      <c r="E992" s="16"/>
      <c r="F992" s="16"/>
      <c r="G992" s="16"/>
      <c r="H992" s="16"/>
      <c r="I992" s="16"/>
      <c r="J992" s="16"/>
      <c r="K992" s="16"/>
      <c r="L992" s="16"/>
      <c r="M992" s="16"/>
      <c r="N992" s="5" t="s">
        <v>112</v>
      </c>
      <c r="O992" s="16" t="str">
        <f t="shared" si="1"/>
        <v>#</v>
      </c>
      <c r="P992" s="16" t="str">
        <f t="shared" si="2"/>
        <v>#videoGame</v>
      </c>
      <c r="R992" s="16" t="str">
        <f>"("""&amp;C992&amp;""") ("&amp;Vlookup(E992,DropDown!B:C,2,FALSE)&amp; " OR ""Video Game"" OR Playstation OR iOS OR PS4 OR PS5 OR Xbox OR Switch OR Swtich 2 OR PC)"</f>
        <v>#N/A</v>
      </c>
      <c r="S992" s="44" t="str">
        <f>"("""&amp;C992&amp;""") ("&amp;Vlookup(E992,DropDown!K:L,2,FALSE)&amp; " | ""Video Game"" | Playstation | iOS | PS4 | PS5 | Xbox | Switch | Switch 2 | PC)"</f>
        <v>#N/A</v>
      </c>
      <c r="T992" s="44"/>
      <c r="U992" s="44"/>
      <c r="V992" s="44"/>
      <c r="W992" s="44"/>
      <c r="X992" s="44"/>
      <c r="Z992" s="44"/>
    </row>
    <row r="993">
      <c r="A993" s="16"/>
      <c r="B993" s="16"/>
      <c r="E993" s="16"/>
      <c r="F993" s="16"/>
      <c r="G993" s="16"/>
      <c r="H993" s="16"/>
      <c r="I993" s="16"/>
      <c r="J993" s="16"/>
      <c r="K993" s="16"/>
      <c r="L993" s="16"/>
      <c r="M993" s="16"/>
      <c r="N993" s="5" t="s">
        <v>112</v>
      </c>
      <c r="O993" s="16" t="str">
        <f t="shared" si="1"/>
        <v>#</v>
      </c>
      <c r="P993" s="16" t="str">
        <f t="shared" si="2"/>
        <v>#videoGame</v>
      </c>
      <c r="R993" s="16" t="str">
        <f>"("""&amp;C993&amp;""") ("&amp;Vlookup(E993,DropDown!B:C,2,FALSE)&amp; " OR ""Video Game"" OR Playstation OR iOS OR PS4 OR PS5 OR Xbox OR Switch OR Swtich 2 OR PC)"</f>
        <v>#N/A</v>
      </c>
      <c r="S993" s="44" t="str">
        <f>"("""&amp;C993&amp;""") ("&amp;Vlookup(E993,DropDown!K:L,2,FALSE)&amp; " | ""Video Game"" | Playstation | iOS | PS4 | PS5 | Xbox | Switch | Switch 2 | PC)"</f>
        <v>#N/A</v>
      </c>
      <c r="T993" s="44"/>
      <c r="U993" s="44"/>
      <c r="V993" s="44"/>
      <c r="W993" s="44"/>
      <c r="X993" s="44"/>
      <c r="Z993" s="44"/>
    </row>
    <row r="994">
      <c r="A994" s="16"/>
      <c r="B994" s="16"/>
      <c r="E994" s="16"/>
      <c r="F994" s="16"/>
      <c r="G994" s="16"/>
      <c r="H994" s="16"/>
      <c r="I994" s="16"/>
      <c r="J994" s="16"/>
      <c r="K994" s="16"/>
      <c r="L994" s="16"/>
      <c r="M994" s="16"/>
      <c r="N994" s="5" t="s">
        <v>112</v>
      </c>
      <c r="O994" s="16" t="str">
        <f t="shared" si="1"/>
        <v>#</v>
      </c>
      <c r="P994" s="16" t="str">
        <f t="shared" si="2"/>
        <v>#videoGame</v>
      </c>
      <c r="R994" s="16" t="str">
        <f>"("""&amp;C994&amp;""") ("&amp;Vlookup(E994,DropDown!B:C,2,FALSE)&amp; " OR ""Video Game"" OR Playstation OR iOS OR PS4 OR PS5 OR Xbox OR Switch OR Swtich 2 OR PC)"</f>
        <v>#N/A</v>
      </c>
      <c r="S994" s="44" t="str">
        <f>"("""&amp;C994&amp;""") ("&amp;Vlookup(E994,DropDown!K:L,2,FALSE)&amp; " | ""Video Game"" | Playstation | iOS | PS4 | PS5 | Xbox | Switch | Switch 2 | PC)"</f>
        <v>#N/A</v>
      </c>
      <c r="T994" s="44"/>
      <c r="U994" s="44"/>
      <c r="V994" s="44"/>
      <c r="W994" s="44"/>
      <c r="X994" s="44"/>
      <c r="Z994" s="44"/>
    </row>
    <row r="995">
      <c r="A995" s="16"/>
      <c r="B995" s="16"/>
      <c r="E995" s="16"/>
      <c r="F995" s="16"/>
      <c r="G995" s="16"/>
      <c r="H995" s="16"/>
      <c r="I995" s="16"/>
      <c r="J995" s="16"/>
      <c r="K995" s="16"/>
      <c r="L995" s="16"/>
      <c r="M995" s="16"/>
      <c r="N995" s="5" t="s">
        <v>112</v>
      </c>
      <c r="O995" s="16" t="str">
        <f t="shared" si="1"/>
        <v>#</v>
      </c>
      <c r="P995" s="16" t="str">
        <f t="shared" si="2"/>
        <v>#videoGame</v>
      </c>
      <c r="R995" s="16" t="str">
        <f>"("""&amp;C995&amp;""") ("&amp;Vlookup(E995,DropDown!B:C,2,FALSE)&amp; " OR ""Video Game"" OR Playstation OR iOS OR PS4 OR PS5 OR Xbox OR Switch OR Swtich 2 OR PC)"</f>
        <v>#N/A</v>
      </c>
      <c r="S995" s="44" t="str">
        <f>"("""&amp;C995&amp;""") ("&amp;Vlookup(E995,DropDown!K:L,2,FALSE)&amp; " | ""Video Game"" | Playstation | iOS | PS4 | PS5 | Xbox | Switch | Switch 2 | PC)"</f>
        <v>#N/A</v>
      </c>
      <c r="T995" s="44"/>
      <c r="U995" s="44"/>
      <c r="V995" s="44"/>
      <c r="W995" s="44"/>
      <c r="X995" s="44"/>
      <c r="Z995" s="44"/>
    </row>
    <row r="996">
      <c r="A996" s="16"/>
      <c r="B996" s="16"/>
      <c r="E996" s="16"/>
      <c r="F996" s="16"/>
      <c r="G996" s="16"/>
      <c r="H996" s="16"/>
      <c r="I996" s="16"/>
      <c r="J996" s="16"/>
      <c r="K996" s="16"/>
      <c r="L996" s="16"/>
      <c r="M996" s="16"/>
      <c r="N996" s="5" t="s">
        <v>112</v>
      </c>
      <c r="O996" s="16" t="str">
        <f t="shared" si="1"/>
        <v>#</v>
      </c>
      <c r="P996" s="16" t="str">
        <f t="shared" si="2"/>
        <v>#videoGame</v>
      </c>
      <c r="R996" s="16" t="str">
        <f>"("""&amp;C996&amp;""") ("&amp;Vlookup(E996,DropDown!B:C,2,FALSE)&amp; " OR ""Video Game"" OR Playstation OR iOS OR PS4 OR PS5 OR Xbox OR Switch OR Swtich 2 OR PC)"</f>
        <v>#N/A</v>
      </c>
      <c r="S996" s="44" t="str">
        <f>"("""&amp;C996&amp;""") ("&amp;Vlookup(E996,DropDown!K:L,2,FALSE)&amp; " | ""Video Game"" | Playstation | iOS | PS4 | PS5 | Xbox | Switch | Switch 2 | PC)"</f>
        <v>#N/A</v>
      </c>
      <c r="T996" s="44"/>
      <c r="U996" s="44"/>
      <c r="V996" s="44"/>
      <c r="W996" s="44"/>
      <c r="X996" s="44"/>
      <c r="Z996" s="44"/>
    </row>
    <row r="997">
      <c r="A997" s="16"/>
      <c r="B997" s="16"/>
      <c r="E997" s="16"/>
      <c r="F997" s="16"/>
      <c r="G997" s="16"/>
      <c r="H997" s="16"/>
      <c r="I997" s="16"/>
      <c r="J997" s="16"/>
      <c r="K997" s="16"/>
      <c r="L997" s="16"/>
      <c r="M997" s="16"/>
      <c r="N997" s="5" t="s">
        <v>112</v>
      </c>
      <c r="O997" s="16" t="str">
        <f t="shared" si="1"/>
        <v>#</v>
      </c>
      <c r="P997" s="16" t="str">
        <f t="shared" si="2"/>
        <v>#videoGame</v>
      </c>
      <c r="R997" s="16" t="str">
        <f>"("""&amp;C997&amp;""") ("&amp;Vlookup(E997,DropDown!B:C,2,FALSE)&amp; " OR ""Video Game"" OR Playstation OR iOS OR PS4 OR PS5 OR Xbox OR Switch OR Swtich 2 OR PC)"</f>
        <v>#N/A</v>
      </c>
      <c r="S997" s="44" t="str">
        <f>"("""&amp;C997&amp;""") ("&amp;Vlookup(E997,DropDown!K:L,2,FALSE)&amp; " | ""Video Game"" | Playstation | iOS | PS4 | PS5 | Xbox | Switch | Switch 2 | PC)"</f>
        <v>#N/A</v>
      </c>
      <c r="T997" s="44"/>
      <c r="U997" s="44"/>
      <c r="V997" s="44"/>
      <c r="W997" s="44"/>
      <c r="X997" s="44"/>
      <c r="Z997" s="44"/>
    </row>
    <row r="998">
      <c r="A998" s="16"/>
      <c r="B998" s="16"/>
      <c r="E998" s="16"/>
      <c r="F998" s="16"/>
      <c r="G998" s="16"/>
      <c r="H998" s="16"/>
      <c r="I998" s="16"/>
      <c r="J998" s="16"/>
      <c r="K998" s="16"/>
      <c r="L998" s="16"/>
      <c r="M998" s="16"/>
      <c r="N998" s="5" t="s">
        <v>112</v>
      </c>
      <c r="O998" s="16" t="str">
        <f t="shared" si="1"/>
        <v>#</v>
      </c>
      <c r="P998" s="16" t="str">
        <f t="shared" si="2"/>
        <v>#videoGame</v>
      </c>
      <c r="R998" s="16" t="str">
        <f>"("""&amp;C998&amp;""") ("&amp;Vlookup(E998,DropDown!B:C,2,FALSE)&amp; " OR ""Video Game"" OR Playstation OR iOS OR PS4 OR PS5 OR Xbox OR Switch OR Swtich 2 OR PC)"</f>
        <v>#N/A</v>
      </c>
      <c r="S998" s="44" t="str">
        <f>"("""&amp;C998&amp;""") ("&amp;Vlookup(E998,DropDown!K:L,2,FALSE)&amp; " | ""Video Game"" | Playstation | iOS | PS4 | PS5 | Xbox | Switch | Switch 2 | PC)"</f>
        <v>#N/A</v>
      </c>
      <c r="T998" s="44"/>
      <c r="U998" s="44"/>
      <c r="V998" s="44"/>
      <c r="W998" s="44"/>
      <c r="X998" s="44"/>
      <c r="Z998" s="44"/>
    </row>
    <row r="999">
      <c r="A999" s="16"/>
      <c r="B999" s="16"/>
      <c r="E999" s="16"/>
      <c r="F999" s="16"/>
      <c r="G999" s="16"/>
      <c r="H999" s="16"/>
      <c r="I999" s="16"/>
      <c r="J999" s="16"/>
      <c r="K999" s="16"/>
      <c r="L999" s="16"/>
      <c r="M999" s="16"/>
      <c r="N999" s="5" t="s">
        <v>112</v>
      </c>
      <c r="O999" s="16" t="str">
        <f t="shared" si="1"/>
        <v>#</v>
      </c>
      <c r="P999" s="16" t="str">
        <f t="shared" si="2"/>
        <v>#videoGame</v>
      </c>
      <c r="R999" s="16" t="str">
        <f>"("""&amp;C999&amp;""") ("&amp;Vlookup(E999,DropDown!B:C,2,FALSE)&amp; " OR ""Video Game"" OR Playstation OR iOS OR PS4 OR PS5 OR Xbox OR Switch OR Swtich 2 OR PC)"</f>
        <v>#N/A</v>
      </c>
      <c r="S999" s="44" t="str">
        <f>"("""&amp;C999&amp;""") ("&amp;Vlookup(E999,DropDown!K:L,2,FALSE)&amp; " | ""Video Game"" | Playstation | iOS | PS4 | PS5 | Xbox | Switch | Switch 2 | PC)"</f>
        <v>#N/A</v>
      </c>
      <c r="T999" s="44"/>
      <c r="U999" s="44"/>
      <c r="V999" s="44"/>
      <c r="W999" s="44"/>
      <c r="X999" s="44"/>
      <c r="Z999" s="44"/>
    </row>
  </sheetData>
  <dataValidations>
    <dataValidation type="list" allowBlank="1" sqref="F2:F999">
      <formula1>DropDown!$D$2:$D$3489</formula1>
    </dataValidation>
    <dataValidation type="list" allowBlank="1" sqref="G2:L999">
      <formula1>DropDown!$H$2:$H$3500</formula1>
    </dataValidation>
    <dataValidation type="list" allowBlank="1" showErrorMessage="1" sqref="B2:B999">
      <formula1>"Pristine Brand"</formula1>
    </dataValidation>
    <dataValidation type="list" allowBlank="1" sqref="E2:E999">
      <formula1>DropDown!$B$2:$B$3500</formula1>
    </dataValidation>
    <dataValidation type="list" allowBlank="1" showErrorMessage="1" sqref="M2:M999">
      <formula1>DropDown!$I$2:$I$100</formula1>
    </dataValidation>
    <dataValidation type="list" allowBlank="1" sqref="A2:A999">
      <formula1>DropDown!$A$2:$A$3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</cols>
  <sheetData>
    <row r="1">
      <c r="A1" s="3" t="s">
        <v>2</v>
      </c>
    </row>
    <row r="2">
      <c r="A2" s="5" t="s">
        <v>9</v>
      </c>
      <c r="B2" s="7" t="s">
        <v>12</v>
      </c>
    </row>
    <row r="3">
      <c r="A3" s="5" t="s">
        <v>16</v>
      </c>
      <c r="B3" s="7" t="s">
        <v>19</v>
      </c>
    </row>
    <row r="4">
      <c r="A4" s="5" t="s">
        <v>20</v>
      </c>
      <c r="B4" s="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48.25"/>
    <col customWidth="1" min="4" max="4" width="36.75"/>
    <col customWidth="1" min="5" max="5" width="58.38"/>
    <col customWidth="1" min="6" max="6" width="38.75"/>
    <col customWidth="1" hidden="1" min="8" max="8" width="20.75"/>
    <col customWidth="1" hidden="1" min="9" max="10" width="22.13"/>
    <col customWidth="1" min="11" max="11" width="31.38"/>
    <col customWidth="1" min="12" max="12" width="48.25"/>
    <col customWidth="1" min="14" max="14" width="31.38"/>
    <col customWidth="1" min="15" max="15" width="62.75"/>
    <col customWidth="1" min="16" max="16" width="51.38"/>
  </cols>
  <sheetData>
    <row r="1">
      <c r="A1" s="8" t="s">
        <v>0</v>
      </c>
      <c r="B1" s="10" t="s">
        <v>10</v>
      </c>
      <c r="C1" s="11" t="s">
        <v>33</v>
      </c>
      <c r="D1" s="12" t="s">
        <v>15</v>
      </c>
      <c r="E1" s="14" t="s">
        <v>45</v>
      </c>
      <c r="F1" s="15" t="s">
        <v>51</v>
      </c>
      <c r="H1" s="16" t="s">
        <v>55</v>
      </c>
      <c r="I1" s="18" t="s">
        <v>60</v>
      </c>
      <c r="J1" s="18" t="s">
        <v>65</v>
      </c>
      <c r="K1" s="20" t="s">
        <v>10</v>
      </c>
      <c r="L1" s="22" t="s">
        <v>71</v>
      </c>
      <c r="N1" s="20" t="s">
        <v>10</v>
      </c>
      <c r="O1" s="26" t="s">
        <v>76</v>
      </c>
    </row>
    <row r="2">
      <c r="A2" s="27" t="s">
        <v>82</v>
      </c>
      <c r="B2" s="28" t="s">
        <v>83</v>
      </c>
      <c r="C2" s="28" t="s">
        <v>84</v>
      </c>
      <c r="D2" s="29" t="s">
        <v>85</v>
      </c>
      <c r="E2" s="30" t="s">
        <v>86</v>
      </c>
      <c r="F2" s="28" t="s">
        <v>87</v>
      </c>
      <c r="H2" s="5" t="s">
        <v>88</v>
      </c>
      <c r="I2" s="31" t="s">
        <v>89</v>
      </c>
      <c r="J2" s="32" t="s">
        <v>90</v>
      </c>
      <c r="K2" s="33" t="s">
        <v>83</v>
      </c>
      <c r="L2" s="33" t="s">
        <v>91</v>
      </c>
      <c r="N2" s="33" t="s">
        <v>83</v>
      </c>
      <c r="O2" s="35" t="s">
        <v>93</v>
      </c>
    </row>
    <row r="3">
      <c r="A3" s="27" t="s">
        <v>94</v>
      </c>
      <c r="B3" s="28" t="s">
        <v>95</v>
      </c>
      <c r="C3" s="28" t="s">
        <v>96</v>
      </c>
      <c r="D3" s="29" t="s">
        <v>97</v>
      </c>
      <c r="E3" s="30" t="s">
        <v>98</v>
      </c>
      <c r="F3" s="28" t="s">
        <v>99</v>
      </c>
      <c r="H3" s="5" t="s">
        <v>100</v>
      </c>
      <c r="I3" s="32" t="s">
        <v>101</v>
      </c>
      <c r="J3" s="32" t="s">
        <v>101</v>
      </c>
      <c r="K3" s="33" t="s">
        <v>95</v>
      </c>
      <c r="L3" s="33" t="s">
        <v>102</v>
      </c>
      <c r="N3" s="33" t="s">
        <v>95</v>
      </c>
      <c r="O3" s="35" t="s">
        <v>103</v>
      </c>
    </row>
    <row r="4">
      <c r="A4" s="38"/>
      <c r="B4" s="28" t="s">
        <v>104</v>
      </c>
      <c r="C4" s="28" t="s">
        <v>105</v>
      </c>
      <c r="D4" s="29" t="s">
        <v>106</v>
      </c>
      <c r="E4" s="30" t="s">
        <v>107</v>
      </c>
      <c r="F4" s="28" t="s">
        <v>108</v>
      </c>
      <c r="H4" s="5" t="s">
        <v>109</v>
      </c>
      <c r="I4" s="31" t="s">
        <v>110</v>
      </c>
      <c r="J4" s="39" t="s">
        <v>111</v>
      </c>
      <c r="K4" s="33" t="s">
        <v>104</v>
      </c>
      <c r="L4" s="33" t="s">
        <v>113</v>
      </c>
      <c r="N4" s="33" t="s">
        <v>104</v>
      </c>
      <c r="O4" s="35" t="s">
        <v>114</v>
      </c>
    </row>
    <row r="5">
      <c r="A5" s="38"/>
      <c r="B5" s="28" t="s">
        <v>115</v>
      </c>
      <c r="C5" s="28" t="s">
        <v>116</v>
      </c>
      <c r="D5" s="29" t="s">
        <v>117</v>
      </c>
      <c r="E5" s="30"/>
      <c r="F5" s="28" t="s">
        <v>118</v>
      </c>
      <c r="H5" s="5" t="s">
        <v>119</v>
      </c>
      <c r="I5" s="32" t="s">
        <v>120</v>
      </c>
      <c r="J5" s="32" t="s">
        <v>120</v>
      </c>
      <c r="K5" s="33" t="s">
        <v>115</v>
      </c>
      <c r="L5" s="33" t="s">
        <v>121</v>
      </c>
      <c r="N5" s="33" t="s">
        <v>115</v>
      </c>
      <c r="O5" s="35" t="s">
        <v>122</v>
      </c>
    </row>
    <row r="6">
      <c r="A6" s="38"/>
      <c r="B6" s="28" t="s">
        <v>123</v>
      </c>
      <c r="C6" s="28" t="s">
        <v>124</v>
      </c>
      <c r="D6" s="29" t="s">
        <v>125</v>
      </c>
      <c r="E6" s="30" t="s">
        <v>126</v>
      </c>
      <c r="F6" s="28" t="s">
        <v>127</v>
      </c>
      <c r="H6" s="5" t="s">
        <v>128</v>
      </c>
      <c r="I6" s="39" t="s">
        <v>129</v>
      </c>
      <c r="J6" s="39" t="s">
        <v>130</v>
      </c>
      <c r="K6" s="33" t="s">
        <v>123</v>
      </c>
      <c r="L6" s="33" t="s">
        <v>131</v>
      </c>
      <c r="N6" s="33" t="s">
        <v>123</v>
      </c>
      <c r="O6" s="35" t="s">
        <v>132</v>
      </c>
    </row>
    <row r="7">
      <c r="A7" s="38"/>
      <c r="B7" s="28" t="s">
        <v>133</v>
      </c>
      <c r="C7" s="28" t="s">
        <v>134</v>
      </c>
      <c r="D7" s="29" t="s">
        <v>135</v>
      </c>
      <c r="E7" s="30" t="s">
        <v>136</v>
      </c>
      <c r="F7" s="28" t="s">
        <v>137</v>
      </c>
      <c r="H7" s="5" t="s">
        <v>138</v>
      </c>
      <c r="I7" s="31" t="s">
        <v>139</v>
      </c>
      <c r="J7" s="31" t="s">
        <v>140</v>
      </c>
      <c r="K7" s="33" t="s">
        <v>133</v>
      </c>
      <c r="L7" s="33" t="s">
        <v>141</v>
      </c>
      <c r="N7" s="33" t="s">
        <v>133</v>
      </c>
      <c r="O7" s="35"/>
    </row>
    <row r="8">
      <c r="A8" s="38"/>
      <c r="B8" s="28" t="s">
        <v>142</v>
      </c>
      <c r="C8" s="28" t="s">
        <v>143</v>
      </c>
      <c r="D8" s="29" t="s">
        <v>144</v>
      </c>
      <c r="E8" s="30" t="s">
        <v>136</v>
      </c>
      <c r="F8" s="28" t="s">
        <v>146</v>
      </c>
      <c r="H8" s="5" t="s">
        <v>147</v>
      </c>
      <c r="I8" s="31" t="s">
        <v>148</v>
      </c>
      <c r="J8" s="32" t="s">
        <v>101</v>
      </c>
      <c r="K8" s="33" t="s">
        <v>142</v>
      </c>
      <c r="L8" s="33" t="s">
        <v>149</v>
      </c>
      <c r="N8" s="33" t="s">
        <v>142</v>
      </c>
      <c r="O8" s="35" t="s">
        <v>150</v>
      </c>
    </row>
    <row r="9">
      <c r="A9" s="38"/>
      <c r="B9" s="28" t="s">
        <v>151</v>
      </c>
      <c r="C9" s="28" t="s">
        <v>152</v>
      </c>
      <c r="D9" s="29" t="s">
        <v>153</v>
      </c>
      <c r="E9" s="30" t="s">
        <v>154</v>
      </c>
      <c r="F9" s="28" t="s">
        <v>155</v>
      </c>
      <c r="H9" s="5" t="s">
        <v>156</v>
      </c>
      <c r="I9" s="31" t="s">
        <v>157</v>
      </c>
      <c r="J9" s="39" t="s">
        <v>130</v>
      </c>
      <c r="K9" s="33" t="s">
        <v>151</v>
      </c>
      <c r="L9" s="33" t="s">
        <v>158</v>
      </c>
      <c r="N9" s="33" t="s">
        <v>151</v>
      </c>
      <c r="O9" s="35" t="s">
        <v>159</v>
      </c>
    </row>
    <row r="10">
      <c r="A10" s="38"/>
      <c r="B10" s="28" t="s">
        <v>161</v>
      </c>
      <c r="C10" s="28" t="s">
        <v>162</v>
      </c>
      <c r="D10" s="29" t="s">
        <v>163</v>
      </c>
      <c r="E10" s="30" t="s">
        <v>164</v>
      </c>
      <c r="F10" s="28" t="s">
        <v>165</v>
      </c>
      <c r="H10" s="5" t="s">
        <v>166</v>
      </c>
      <c r="I10" s="39" t="s">
        <v>167</v>
      </c>
      <c r="J10" s="39" t="s">
        <v>130</v>
      </c>
      <c r="K10" s="33" t="s">
        <v>161</v>
      </c>
      <c r="L10" s="33" t="s">
        <v>168</v>
      </c>
      <c r="N10" s="33" t="s">
        <v>161</v>
      </c>
      <c r="O10" s="35" t="s">
        <v>169</v>
      </c>
    </row>
    <row r="11">
      <c r="A11" s="38"/>
      <c r="B11" s="28" t="s">
        <v>170</v>
      </c>
      <c r="C11" s="28" t="s">
        <v>171</v>
      </c>
      <c r="D11" s="29" t="s">
        <v>172</v>
      </c>
      <c r="E11" s="30" t="s">
        <v>173</v>
      </c>
      <c r="F11" s="28" t="s">
        <v>174</v>
      </c>
      <c r="H11" s="5" t="s">
        <v>175</v>
      </c>
      <c r="I11" s="31" t="s">
        <v>176</v>
      </c>
      <c r="J11" s="32" t="s">
        <v>177</v>
      </c>
      <c r="K11" s="33" t="s">
        <v>170</v>
      </c>
      <c r="L11" s="33" t="s">
        <v>178</v>
      </c>
      <c r="N11" s="33" t="s">
        <v>170</v>
      </c>
      <c r="O11" s="35"/>
    </row>
    <row r="12">
      <c r="A12" s="38"/>
      <c r="B12" s="28" t="s">
        <v>179</v>
      </c>
      <c r="C12" s="28" t="s">
        <v>180</v>
      </c>
      <c r="D12" s="29" t="s">
        <v>181</v>
      </c>
      <c r="E12" s="30" t="s">
        <v>182</v>
      </c>
      <c r="F12" s="28" t="s">
        <v>183</v>
      </c>
      <c r="H12" s="5" t="s">
        <v>184</v>
      </c>
      <c r="I12" s="31" t="s">
        <v>185</v>
      </c>
      <c r="J12" s="39" t="s">
        <v>111</v>
      </c>
      <c r="K12" s="33" t="s">
        <v>179</v>
      </c>
      <c r="L12" s="33" t="s">
        <v>186</v>
      </c>
      <c r="N12" s="33" t="s">
        <v>179</v>
      </c>
      <c r="O12" s="35"/>
    </row>
    <row r="13">
      <c r="A13" s="38"/>
      <c r="B13" s="28" t="s">
        <v>187</v>
      </c>
      <c r="C13" s="28" t="s">
        <v>188</v>
      </c>
      <c r="D13" s="29" t="s">
        <v>189</v>
      </c>
      <c r="E13" s="30"/>
      <c r="F13" s="28" t="s">
        <v>190</v>
      </c>
      <c r="I13" s="31" t="s">
        <v>191</v>
      </c>
      <c r="J13" s="32" t="s">
        <v>177</v>
      </c>
      <c r="K13" s="33" t="s">
        <v>187</v>
      </c>
      <c r="L13" s="33" t="s">
        <v>192</v>
      </c>
      <c r="N13" s="33" t="s">
        <v>187</v>
      </c>
      <c r="O13" s="35" t="s">
        <v>193</v>
      </c>
    </row>
    <row r="14">
      <c r="A14" s="38"/>
      <c r="B14" s="28" t="s">
        <v>194</v>
      </c>
      <c r="C14" s="28" t="s">
        <v>195</v>
      </c>
      <c r="D14" s="29" t="s">
        <v>196</v>
      </c>
      <c r="E14" s="30" t="s">
        <v>197</v>
      </c>
      <c r="F14" s="28" t="s">
        <v>198</v>
      </c>
      <c r="I14" s="39" t="s">
        <v>199</v>
      </c>
      <c r="J14" s="39" t="s">
        <v>130</v>
      </c>
      <c r="K14" s="33" t="s">
        <v>194</v>
      </c>
      <c r="L14" s="33" t="s">
        <v>200</v>
      </c>
      <c r="N14" s="33" t="s">
        <v>194</v>
      </c>
      <c r="O14" s="35" t="s">
        <v>201</v>
      </c>
    </row>
    <row r="15">
      <c r="A15" s="38"/>
      <c r="B15" s="28" t="s">
        <v>202</v>
      </c>
      <c r="C15" s="28" t="s">
        <v>203</v>
      </c>
      <c r="D15" s="29" t="s">
        <v>204</v>
      </c>
      <c r="E15" s="30"/>
      <c r="F15" s="28" t="s">
        <v>205</v>
      </c>
      <c r="I15" s="31" t="s">
        <v>206</v>
      </c>
      <c r="J15" s="31" t="s">
        <v>207</v>
      </c>
      <c r="K15" s="33" t="s">
        <v>202</v>
      </c>
      <c r="L15" s="33" t="s">
        <v>208</v>
      </c>
      <c r="N15" s="33" t="s">
        <v>202</v>
      </c>
      <c r="O15" s="35" t="s">
        <v>209</v>
      </c>
    </row>
    <row r="16">
      <c r="A16" s="38"/>
      <c r="B16" s="28" t="s">
        <v>210</v>
      </c>
      <c r="C16" s="28" t="s">
        <v>211</v>
      </c>
      <c r="D16" s="29" t="s">
        <v>212</v>
      </c>
      <c r="E16" s="30" t="s">
        <v>213</v>
      </c>
      <c r="F16" s="28" t="s">
        <v>214</v>
      </c>
      <c r="I16" s="31" t="s">
        <v>215</v>
      </c>
      <c r="J16" s="32" t="s">
        <v>216</v>
      </c>
      <c r="K16" s="33" t="s">
        <v>210</v>
      </c>
      <c r="L16" s="33" t="s">
        <v>217</v>
      </c>
      <c r="N16" s="33" t="s">
        <v>210</v>
      </c>
      <c r="O16" s="47" t="s">
        <v>218</v>
      </c>
    </row>
    <row r="17">
      <c r="A17" s="38"/>
      <c r="B17" s="28" t="s">
        <v>219</v>
      </c>
      <c r="C17" s="28" t="s">
        <v>220</v>
      </c>
      <c r="D17" s="29" t="s">
        <v>221</v>
      </c>
      <c r="E17" s="30" t="s">
        <v>222</v>
      </c>
      <c r="F17" s="28" t="s">
        <v>223</v>
      </c>
      <c r="I17" s="31" t="s">
        <v>224</v>
      </c>
      <c r="J17" s="32" t="s">
        <v>177</v>
      </c>
      <c r="K17" s="33" t="s">
        <v>219</v>
      </c>
      <c r="L17" s="33" t="s">
        <v>225</v>
      </c>
      <c r="N17" s="33" t="s">
        <v>219</v>
      </c>
      <c r="O17" s="35" t="s">
        <v>226</v>
      </c>
    </row>
    <row r="18">
      <c r="A18" s="38"/>
      <c r="B18" s="28" t="s">
        <v>227</v>
      </c>
      <c r="C18" s="28" t="s">
        <v>228</v>
      </c>
      <c r="D18" s="29" t="s">
        <v>229</v>
      </c>
      <c r="E18" s="30" t="s">
        <v>230</v>
      </c>
      <c r="F18" s="28" t="s">
        <v>231</v>
      </c>
      <c r="I18" s="31" t="s">
        <v>232</v>
      </c>
      <c r="J18" s="32" t="s">
        <v>101</v>
      </c>
      <c r="K18" s="33" t="s">
        <v>227</v>
      </c>
      <c r="L18" s="33" t="s">
        <v>233</v>
      </c>
      <c r="N18" s="33" t="s">
        <v>227</v>
      </c>
      <c r="O18" s="35"/>
    </row>
    <row r="19">
      <c r="A19" s="38"/>
      <c r="B19" s="28" t="s">
        <v>234</v>
      </c>
      <c r="C19" s="28" t="s">
        <v>235</v>
      </c>
      <c r="D19" s="29" t="s">
        <v>236</v>
      </c>
      <c r="E19" s="30" t="s">
        <v>237</v>
      </c>
      <c r="F19" s="28" t="s">
        <v>238</v>
      </c>
      <c r="I19" s="31" t="s">
        <v>239</v>
      </c>
      <c r="J19" s="31" t="s">
        <v>140</v>
      </c>
      <c r="K19" s="33" t="s">
        <v>234</v>
      </c>
      <c r="L19" s="33" t="s">
        <v>240</v>
      </c>
      <c r="N19" s="33" t="s">
        <v>234</v>
      </c>
      <c r="O19" s="35" t="s">
        <v>241</v>
      </c>
    </row>
    <row r="20">
      <c r="A20" s="38"/>
      <c r="B20" s="28" t="s">
        <v>242</v>
      </c>
      <c r="C20" s="28" t="s">
        <v>243</v>
      </c>
      <c r="D20" s="29" t="s">
        <v>244</v>
      </c>
      <c r="E20" s="30" t="s">
        <v>245</v>
      </c>
      <c r="F20" s="28" t="s">
        <v>246</v>
      </c>
      <c r="I20" s="31" t="s">
        <v>247</v>
      </c>
      <c r="J20" s="32" t="s">
        <v>90</v>
      </c>
      <c r="K20" s="33" t="s">
        <v>242</v>
      </c>
      <c r="L20" s="33" t="s">
        <v>248</v>
      </c>
      <c r="N20" s="33" t="s">
        <v>242</v>
      </c>
      <c r="O20" s="35"/>
    </row>
    <row r="21">
      <c r="A21" s="38"/>
      <c r="B21" s="28" t="s">
        <v>249</v>
      </c>
      <c r="C21" s="28" t="s">
        <v>250</v>
      </c>
      <c r="D21" s="29" t="s">
        <v>251</v>
      </c>
      <c r="E21" s="30"/>
      <c r="F21" s="28" t="s">
        <v>252</v>
      </c>
      <c r="I21" s="31" t="s">
        <v>253</v>
      </c>
      <c r="J21" s="32" t="s">
        <v>120</v>
      </c>
      <c r="K21" s="33" t="s">
        <v>249</v>
      </c>
      <c r="L21" s="33" t="s">
        <v>254</v>
      </c>
      <c r="N21" s="33" t="s">
        <v>249</v>
      </c>
      <c r="O21" s="35" t="s">
        <v>255</v>
      </c>
    </row>
    <row r="22">
      <c r="A22" s="38"/>
      <c r="B22" s="28" t="s">
        <v>256</v>
      </c>
      <c r="C22" s="28" t="s">
        <v>257</v>
      </c>
      <c r="D22" s="29" t="s">
        <v>258</v>
      </c>
      <c r="E22" s="30" t="s">
        <v>259</v>
      </c>
      <c r="F22" s="28" t="s">
        <v>260</v>
      </c>
      <c r="I22" s="31" t="s">
        <v>261</v>
      </c>
      <c r="J22" s="32" t="s">
        <v>101</v>
      </c>
      <c r="K22" s="33" t="s">
        <v>256</v>
      </c>
      <c r="L22" s="33" t="s">
        <v>262</v>
      </c>
      <c r="N22" s="33" t="s">
        <v>256</v>
      </c>
      <c r="O22" s="35"/>
    </row>
    <row r="23">
      <c r="A23" s="38"/>
      <c r="B23" s="28" t="s">
        <v>263</v>
      </c>
      <c r="C23" s="28" t="s">
        <v>264</v>
      </c>
      <c r="D23" s="29" t="s">
        <v>265</v>
      </c>
      <c r="E23" s="30" t="s">
        <v>266</v>
      </c>
      <c r="F23" s="28" t="s">
        <v>267</v>
      </c>
      <c r="I23" s="31" t="s">
        <v>268</v>
      </c>
      <c r="J23" s="31" t="s">
        <v>140</v>
      </c>
      <c r="K23" s="33" t="s">
        <v>263</v>
      </c>
      <c r="L23" s="33" t="s">
        <v>269</v>
      </c>
      <c r="N23" s="33" t="s">
        <v>263</v>
      </c>
      <c r="O23" s="35"/>
    </row>
    <row r="24">
      <c r="A24" s="38"/>
      <c r="B24" s="28" t="s">
        <v>270</v>
      </c>
      <c r="C24" s="28" t="s">
        <v>271</v>
      </c>
      <c r="D24" s="29" t="s">
        <v>272</v>
      </c>
      <c r="E24" s="30" t="s">
        <v>273</v>
      </c>
      <c r="F24" s="28" t="s">
        <v>274</v>
      </c>
      <c r="I24" s="31" t="s">
        <v>275</v>
      </c>
      <c r="J24" s="39" t="s">
        <v>130</v>
      </c>
      <c r="K24" s="33" t="s">
        <v>270</v>
      </c>
      <c r="L24" s="33" t="s">
        <v>276</v>
      </c>
      <c r="N24" s="33" t="s">
        <v>270</v>
      </c>
      <c r="O24" s="35" t="s">
        <v>277</v>
      </c>
    </row>
    <row r="25">
      <c r="A25" s="38"/>
      <c r="B25" s="28" t="s">
        <v>278</v>
      </c>
      <c r="C25" s="28" t="s">
        <v>279</v>
      </c>
      <c r="D25" s="29" t="s">
        <v>280</v>
      </c>
      <c r="E25" s="30"/>
      <c r="F25" s="28" t="s">
        <v>281</v>
      </c>
      <c r="I25" s="31" t="s">
        <v>282</v>
      </c>
      <c r="J25" s="39" t="s">
        <v>111</v>
      </c>
      <c r="K25" s="33" t="s">
        <v>278</v>
      </c>
      <c r="L25" s="33" t="s">
        <v>283</v>
      </c>
      <c r="N25" s="33" t="s">
        <v>278</v>
      </c>
      <c r="O25" s="35" t="s">
        <v>284</v>
      </c>
    </row>
    <row r="26">
      <c r="A26" s="38"/>
      <c r="B26" s="28" t="s">
        <v>285</v>
      </c>
      <c r="C26" s="28" t="s">
        <v>286</v>
      </c>
      <c r="D26" s="29" t="s">
        <v>287</v>
      </c>
      <c r="E26" s="30" t="s">
        <v>288</v>
      </c>
      <c r="F26" s="28" t="s">
        <v>289</v>
      </c>
      <c r="I26" s="31" t="s">
        <v>290</v>
      </c>
      <c r="J26" s="32" t="s">
        <v>177</v>
      </c>
      <c r="K26" s="33" t="s">
        <v>285</v>
      </c>
      <c r="L26" s="33" t="s">
        <v>291</v>
      </c>
      <c r="N26" s="33" t="s">
        <v>285</v>
      </c>
      <c r="O26" s="35" t="s">
        <v>292</v>
      </c>
    </row>
    <row r="27">
      <c r="A27" s="38"/>
      <c r="B27" s="28" t="s">
        <v>293</v>
      </c>
      <c r="C27" s="28" t="s">
        <v>281</v>
      </c>
      <c r="D27" s="29">
        <v>38.0</v>
      </c>
      <c r="E27" s="30"/>
      <c r="F27" s="28" t="s">
        <v>294</v>
      </c>
      <c r="I27" s="31" t="s">
        <v>295</v>
      </c>
      <c r="J27" s="32" t="s">
        <v>296</v>
      </c>
      <c r="K27" s="33" t="s">
        <v>293</v>
      </c>
      <c r="L27" s="33" t="s">
        <v>297</v>
      </c>
      <c r="N27" s="33" t="s">
        <v>293</v>
      </c>
      <c r="O27" s="35"/>
    </row>
    <row r="28">
      <c r="A28" s="38"/>
      <c r="B28" s="28" t="s">
        <v>298</v>
      </c>
      <c r="C28" s="28" t="s">
        <v>299</v>
      </c>
      <c r="D28" s="29">
        <v>3909.0</v>
      </c>
      <c r="E28" s="30"/>
      <c r="F28" s="28" t="s">
        <v>300</v>
      </c>
      <c r="I28" s="31" t="s">
        <v>301</v>
      </c>
      <c r="J28" s="39" t="s">
        <v>111</v>
      </c>
      <c r="K28" s="33" t="s">
        <v>298</v>
      </c>
      <c r="L28" s="33" t="s">
        <v>302</v>
      </c>
      <c r="N28" s="33" t="s">
        <v>298</v>
      </c>
      <c r="O28" s="35" t="s">
        <v>303</v>
      </c>
    </row>
    <row r="29">
      <c r="A29" s="38"/>
      <c r="B29" s="28" t="s">
        <v>304</v>
      </c>
      <c r="C29" s="28" t="s">
        <v>305</v>
      </c>
      <c r="D29" s="29" t="s">
        <v>306</v>
      </c>
      <c r="E29" s="30"/>
      <c r="F29" s="28" t="s">
        <v>307</v>
      </c>
      <c r="I29" s="31" t="s">
        <v>308</v>
      </c>
      <c r="J29" s="32" t="s">
        <v>90</v>
      </c>
      <c r="K29" s="33" t="s">
        <v>304</v>
      </c>
      <c r="L29" s="33" t="s">
        <v>309</v>
      </c>
      <c r="N29" s="33" t="s">
        <v>304</v>
      </c>
      <c r="O29" s="47" t="s">
        <v>310</v>
      </c>
    </row>
    <row r="30">
      <c r="A30" s="38"/>
      <c r="B30" s="28" t="s">
        <v>311</v>
      </c>
      <c r="C30" s="28" t="s">
        <v>312</v>
      </c>
      <c r="D30" s="29" t="s">
        <v>313</v>
      </c>
      <c r="E30" s="30" t="s">
        <v>314</v>
      </c>
      <c r="F30" s="28" t="s">
        <v>315</v>
      </c>
      <c r="I30" s="31" t="s">
        <v>316</v>
      </c>
      <c r="J30" s="39" t="s">
        <v>111</v>
      </c>
      <c r="K30" s="33" t="s">
        <v>311</v>
      </c>
      <c r="L30" s="33" t="s">
        <v>317</v>
      </c>
      <c r="N30" s="33" t="s">
        <v>311</v>
      </c>
      <c r="O30" s="35"/>
    </row>
    <row r="31">
      <c r="A31" s="38"/>
      <c r="B31" s="28" t="s">
        <v>318</v>
      </c>
      <c r="C31" s="28" t="s">
        <v>319</v>
      </c>
      <c r="D31" s="29" t="s">
        <v>320</v>
      </c>
      <c r="E31" s="30" t="s">
        <v>321</v>
      </c>
      <c r="F31" s="28" t="s">
        <v>322</v>
      </c>
      <c r="I31" s="39" t="s">
        <v>130</v>
      </c>
      <c r="J31" s="39" t="s">
        <v>130</v>
      </c>
      <c r="K31" s="33" t="s">
        <v>318</v>
      </c>
      <c r="L31" s="33" t="s">
        <v>323</v>
      </c>
      <c r="N31" s="33" t="s">
        <v>318</v>
      </c>
      <c r="O31" s="35" t="s">
        <v>324</v>
      </c>
    </row>
    <row r="32">
      <c r="A32" s="38"/>
      <c r="B32" s="28" t="s">
        <v>325</v>
      </c>
      <c r="C32" s="28" t="s">
        <v>326</v>
      </c>
      <c r="D32" s="29" t="s">
        <v>327</v>
      </c>
      <c r="E32" s="30"/>
      <c r="F32" s="28" t="s">
        <v>328</v>
      </c>
      <c r="I32" s="31" t="s">
        <v>329</v>
      </c>
      <c r="J32" s="39" t="s">
        <v>130</v>
      </c>
      <c r="K32" s="33" t="s">
        <v>325</v>
      </c>
      <c r="L32" s="33" t="s">
        <v>330</v>
      </c>
      <c r="N32" s="33" t="s">
        <v>325</v>
      </c>
      <c r="O32" s="35"/>
    </row>
    <row r="33">
      <c r="A33" s="38"/>
      <c r="B33" s="28" t="s">
        <v>331</v>
      </c>
      <c r="C33" s="28" t="s">
        <v>332</v>
      </c>
      <c r="D33" s="29" t="s">
        <v>333</v>
      </c>
      <c r="E33" s="30"/>
      <c r="F33" s="28" t="s">
        <v>334</v>
      </c>
      <c r="I33" s="32" t="s">
        <v>296</v>
      </c>
      <c r="J33" s="32" t="s">
        <v>296</v>
      </c>
      <c r="K33" s="33" t="s">
        <v>331</v>
      </c>
      <c r="L33" s="33" t="s">
        <v>335</v>
      </c>
      <c r="N33" s="33" t="s">
        <v>331</v>
      </c>
      <c r="O33" s="35" t="s">
        <v>336</v>
      </c>
    </row>
    <row r="34">
      <c r="A34" s="38"/>
      <c r="B34" s="28" t="s">
        <v>337</v>
      </c>
      <c r="C34" s="28" t="s">
        <v>338</v>
      </c>
      <c r="D34" s="29" t="s">
        <v>339</v>
      </c>
      <c r="E34" s="30" t="s">
        <v>340</v>
      </c>
      <c r="F34" s="28" t="s">
        <v>341</v>
      </c>
      <c r="I34" s="31" t="s">
        <v>342</v>
      </c>
      <c r="J34" s="52" t="s">
        <v>343</v>
      </c>
      <c r="K34" s="33" t="s">
        <v>337</v>
      </c>
      <c r="L34" s="33" t="s">
        <v>344</v>
      </c>
      <c r="N34" s="33" t="s">
        <v>337</v>
      </c>
      <c r="O34" s="35" t="s">
        <v>345</v>
      </c>
    </row>
    <row r="35">
      <c r="A35" s="38"/>
      <c r="B35" s="28" t="s">
        <v>346</v>
      </c>
      <c r="C35" s="28" t="s">
        <v>347</v>
      </c>
      <c r="D35" s="29" t="s">
        <v>348</v>
      </c>
      <c r="E35" s="30" t="s">
        <v>349</v>
      </c>
      <c r="F35" s="28" t="s">
        <v>350</v>
      </c>
      <c r="I35" s="31" t="s">
        <v>343</v>
      </c>
      <c r="J35" s="52" t="s">
        <v>343</v>
      </c>
      <c r="K35" s="33" t="s">
        <v>346</v>
      </c>
      <c r="L35" s="33" t="s">
        <v>351</v>
      </c>
      <c r="N35" s="33" t="s">
        <v>346</v>
      </c>
      <c r="O35" s="35" t="s">
        <v>352</v>
      </c>
    </row>
    <row r="36">
      <c r="A36" s="38"/>
      <c r="B36" s="28" t="s">
        <v>353</v>
      </c>
      <c r="C36" s="28" t="s">
        <v>354</v>
      </c>
      <c r="D36" s="29" t="s">
        <v>355</v>
      </c>
      <c r="E36" s="30"/>
      <c r="F36" s="28" t="s">
        <v>356</v>
      </c>
      <c r="I36" s="31" t="s">
        <v>357</v>
      </c>
      <c r="J36" s="52" t="s">
        <v>343</v>
      </c>
      <c r="K36" s="33" t="s">
        <v>353</v>
      </c>
      <c r="L36" s="33" t="s">
        <v>358</v>
      </c>
      <c r="N36" s="33" t="s">
        <v>353</v>
      </c>
      <c r="O36" s="35" t="s">
        <v>359</v>
      </c>
    </row>
    <row r="37">
      <c r="A37" s="38"/>
      <c r="B37" s="28" t="s">
        <v>360</v>
      </c>
      <c r="C37" s="28" t="s">
        <v>361</v>
      </c>
      <c r="D37" s="29" t="s">
        <v>362</v>
      </c>
      <c r="E37" s="30"/>
      <c r="F37" s="28" t="s">
        <v>363</v>
      </c>
      <c r="I37" s="31" t="s">
        <v>364</v>
      </c>
      <c r="J37" s="32" t="s">
        <v>216</v>
      </c>
      <c r="K37" s="33" t="s">
        <v>360</v>
      </c>
      <c r="L37" s="33" t="s">
        <v>365</v>
      </c>
      <c r="N37" s="33" t="s">
        <v>360</v>
      </c>
      <c r="O37" s="35" t="s">
        <v>366</v>
      </c>
    </row>
    <row r="38">
      <c r="A38" s="38"/>
      <c r="B38" s="28" t="s">
        <v>367</v>
      </c>
      <c r="C38" s="28" t="s">
        <v>368</v>
      </c>
      <c r="D38" s="29" t="s">
        <v>369</v>
      </c>
      <c r="E38" s="30" t="s">
        <v>370</v>
      </c>
      <c r="F38" s="28" t="s">
        <v>371</v>
      </c>
      <c r="I38" s="31" t="s">
        <v>372</v>
      </c>
      <c r="J38" s="32" t="s">
        <v>101</v>
      </c>
      <c r="K38" s="33" t="s">
        <v>367</v>
      </c>
      <c r="L38" s="33" t="s">
        <v>373</v>
      </c>
      <c r="N38" s="33" t="s">
        <v>367</v>
      </c>
      <c r="O38" s="35"/>
    </row>
    <row r="39">
      <c r="A39" s="38"/>
      <c r="B39" s="28" t="s">
        <v>374</v>
      </c>
      <c r="C39" s="28" t="s">
        <v>375</v>
      </c>
      <c r="D39" s="29" t="s">
        <v>376</v>
      </c>
      <c r="E39" s="30" t="s">
        <v>377</v>
      </c>
      <c r="F39" s="28" t="s">
        <v>378</v>
      </c>
      <c r="I39" s="31" t="s">
        <v>379</v>
      </c>
      <c r="J39" s="32" t="s">
        <v>120</v>
      </c>
      <c r="K39" s="33" t="s">
        <v>374</v>
      </c>
      <c r="L39" s="33" t="s">
        <v>380</v>
      </c>
      <c r="N39" s="33" t="s">
        <v>374</v>
      </c>
      <c r="O39" s="35" t="s">
        <v>381</v>
      </c>
    </row>
    <row r="40">
      <c r="A40" s="38"/>
      <c r="B40" s="28" t="s">
        <v>382</v>
      </c>
      <c r="C40" s="28" t="s">
        <v>383</v>
      </c>
      <c r="D40" s="29" t="s">
        <v>384</v>
      </c>
      <c r="E40" s="30" t="s">
        <v>385</v>
      </c>
      <c r="F40" s="28" t="s">
        <v>386</v>
      </c>
      <c r="I40" s="31" t="s">
        <v>111</v>
      </c>
      <c r="J40" s="39" t="s">
        <v>111</v>
      </c>
      <c r="K40" s="33" t="s">
        <v>382</v>
      </c>
      <c r="L40" s="33" t="s">
        <v>387</v>
      </c>
      <c r="N40" s="33" t="s">
        <v>382</v>
      </c>
      <c r="O40" s="35" t="s">
        <v>388</v>
      </c>
    </row>
    <row r="41">
      <c r="A41" s="38"/>
      <c r="B41" s="28" t="s">
        <v>389</v>
      </c>
      <c r="C41" s="28" t="s">
        <v>390</v>
      </c>
      <c r="D41" s="29" t="s">
        <v>391</v>
      </c>
      <c r="E41" s="30"/>
      <c r="F41" s="28" t="s">
        <v>392</v>
      </c>
      <c r="I41" s="31" t="s">
        <v>393</v>
      </c>
      <c r="J41" s="32" t="s">
        <v>90</v>
      </c>
      <c r="K41" s="33" t="s">
        <v>389</v>
      </c>
      <c r="L41" s="33" t="s">
        <v>394</v>
      </c>
      <c r="N41" s="33" t="s">
        <v>389</v>
      </c>
      <c r="O41" s="35" t="s">
        <v>395</v>
      </c>
    </row>
    <row r="42">
      <c r="A42" s="38"/>
      <c r="B42" s="28" t="s">
        <v>396</v>
      </c>
      <c r="C42" s="28" t="s">
        <v>397</v>
      </c>
      <c r="D42" s="29" t="s">
        <v>398</v>
      </c>
      <c r="E42" s="30" t="s">
        <v>399</v>
      </c>
      <c r="F42" s="28" t="s">
        <v>400</v>
      </c>
      <c r="I42" s="31" t="s">
        <v>401</v>
      </c>
      <c r="J42" s="32" t="s">
        <v>101</v>
      </c>
      <c r="K42" s="33" t="s">
        <v>396</v>
      </c>
      <c r="L42" s="33" t="s">
        <v>402</v>
      </c>
      <c r="N42" s="33" t="s">
        <v>396</v>
      </c>
      <c r="O42" s="35" t="s">
        <v>403</v>
      </c>
    </row>
    <row r="43">
      <c r="A43" s="38"/>
      <c r="B43" s="28" t="s">
        <v>404</v>
      </c>
      <c r="C43" s="28" t="s">
        <v>405</v>
      </c>
      <c r="D43" s="29" t="s">
        <v>406</v>
      </c>
      <c r="E43" s="54" t="s">
        <v>407</v>
      </c>
      <c r="F43" s="28" t="s">
        <v>408</v>
      </c>
      <c r="I43" s="31" t="s">
        <v>207</v>
      </c>
      <c r="J43" s="31" t="s">
        <v>207</v>
      </c>
      <c r="K43" s="33" t="s">
        <v>404</v>
      </c>
      <c r="L43" s="33" t="s">
        <v>409</v>
      </c>
      <c r="N43" s="33" t="s">
        <v>404</v>
      </c>
      <c r="O43" s="35"/>
    </row>
    <row r="44">
      <c r="A44" s="38"/>
      <c r="B44" s="28" t="s">
        <v>410</v>
      </c>
      <c r="C44" s="28" t="s">
        <v>411</v>
      </c>
      <c r="D44" s="29" t="s">
        <v>412</v>
      </c>
      <c r="E44" s="30" t="s">
        <v>413</v>
      </c>
      <c r="F44" s="28" t="s">
        <v>414</v>
      </c>
      <c r="I44" s="31" t="s">
        <v>415</v>
      </c>
      <c r="J44" s="31" t="s">
        <v>207</v>
      </c>
      <c r="K44" s="33" t="s">
        <v>410</v>
      </c>
      <c r="L44" s="33" t="s">
        <v>416</v>
      </c>
      <c r="N44" s="33" t="s">
        <v>410</v>
      </c>
      <c r="O44" s="35" t="s">
        <v>417</v>
      </c>
    </row>
    <row r="45">
      <c r="A45" s="38"/>
      <c r="B45" s="28" t="s">
        <v>418</v>
      </c>
      <c r="C45" s="28" t="s">
        <v>419</v>
      </c>
      <c r="D45" s="29" t="s">
        <v>420</v>
      </c>
      <c r="E45" s="54" t="s">
        <v>421</v>
      </c>
      <c r="F45" s="28" t="s">
        <v>422</v>
      </c>
      <c r="I45" s="31" t="s">
        <v>423</v>
      </c>
      <c r="J45" s="31" t="s">
        <v>140</v>
      </c>
      <c r="K45" s="33" t="s">
        <v>418</v>
      </c>
      <c r="L45" s="33" t="s">
        <v>424</v>
      </c>
      <c r="N45" s="33" t="s">
        <v>418</v>
      </c>
      <c r="O45" s="35" t="s">
        <v>425</v>
      </c>
    </row>
    <row r="46">
      <c r="A46" s="38"/>
      <c r="B46" s="28" t="s">
        <v>426</v>
      </c>
      <c r="C46" s="28" t="s">
        <v>427</v>
      </c>
      <c r="D46" s="29" t="s">
        <v>428</v>
      </c>
      <c r="E46" s="30" t="s">
        <v>429</v>
      </c>
      <c r="F46" s="28" t="s">
        <v>430</v>
      </c>
      <c r="I46" s="31" t="s">
        <v>140</v>
      </c>
      <c r="J46" s="55" t="s">
        <v>101</v>
      </c>
      <c r="K46" s="33" t="s">
        <v>426</v>
      </c>
      <c r="L46" s="33" t="s">
        <v>431</v>
      </c>
      <c r="N46" s="33" t="s">
        <v>426</v>
      </c>
      <c r="O46" s="35" t="s">
        <v>432</v>
      </c>
    </row>
    <row r="47">
      <c r="A47" s="38"/>
      <c r="B47" s="28" t="s">
        <v>433</v>
      </c>
      <c r="C47" s="28" t="s">
        <v>434</v>
      </c>
      <c r="D47" s="29" t="s">
        <v>435</v>
      </c>
      <c r="E47" s="30" t="s">
        <v>436</v>
      </c>
      <c r="F47" s="28" t="s">
        <v>437</v>
      </c>
      <c r="I47" s="32" t="s">
        <v>177</v>
      </c>
      <c r="J47" s="31" t="s">
        <v>207</v>
      </c>
      <c r="K47" s="33" t="s">
        <v>433</v>
      </c>
      <c r="L47" s="33" t="s">
        <v>438</v>
      </c>
      <c r="N47" s="33" t="s">
        <v>433</v>
      </c>
      <c r="O47" s="35" t="s">
        <v>439</v>
      </c>
    </row>
    <row r="48">
      <c r="A48" s="38"/>
      <c r="B48" s="28" t="s">
        <v>440</v>
      </c>
      <c r="C48" s="28" t="s">
        <v>441</v>
      </c>
      <c r="D48" s="29" t="s">
        <v>442</v>
      </c>
      <c r="E48" s="30" t="s">
        <v>443</v>
      </c>
      <c r="F48" s="28" t="s">
        <v>444</v>
      </c>
      <c r="I48" s="31" t="s">
        <v>445</v>
      </c>
      <c r="J48" s="32" t="s">
        <v>120</v>
      </c>
      <c r="K48" s="33" t="s">
        <v>440</v>
      </c>
      <c r="L48" s="33" t="s">
        <v>446</v>
      </c>
      <c r="N48" s="33" t="s">
        <v>440</v>
      </c>
      <c r="O48" s="35" t="s">
        <v>447</v>
      </c>
    </row>
    <row r="49">
      <c r="A49" s="38"/>
      <c r="B49" s="28" t="s">
        <v>448</v>
      </c>
      <c r="C49" s="28" t="s">
        <v>294</v>
      </c>
      <c r="D49" s="29" t="s">
        <v>449</v>
      </c>
      <c r="E49" s="30" t="s">
        <v>450</v>
      </c>
      <c r="F49" s="28" t="s">
        <v>451</v>
      </c>
      <c r="I49" s="32" t="s">
        <v>216</v>
      </c>
      <c r="J49" s="32" t="s">
        <v>216</v>
      </c>
      <c r="K49" s="33" t="s">
        <v>448</v>
      </c>
      <c r="L49" s="33" t="s">
        <v>452</v>
      </c>
      <c r="N49" s="33" t="s">
        <v>448</v>
      </c>
      <c r="O49" s="35"/>
    </row>
    <row r="50">
      <c r="A50" s="38"/>
      <c r="B50" s="28" t="s">
        <v>453</v>
      </c>
      <c r="C50" s="28" t="s">
        <v>454</v>
      </c>
      <c r="D50" s="29" t="s">
        <v>455</v>
      </c>
      <c r="E50" s="30" t="s">
        <v>456</v>
      </c>
      <c r="F50" s="28" t="s">
        <v>457</v>
      </c>
      <c r="I50" s="31" t="s">
        <v>458</v>
      </c>
      <c r="J50" s="32" t="s">
        <v>90</v>
      </c>
      <c r="K50" s="33" t="s">
        <v>453</v>
      </c>
      <c r="L50" s="33" t="s">
        <v>459</v>
      </c>
      <c r="N50" s="33" t="s">
        <v>453</v>
      </c>
      <c r="O50" s="35" t="s">
        <v>460</v>
      </c>
    </row>
    <row r="51">
      <c r="A51" s="38"/>
      <c r="B51" s="28" t="s">
        <v>461</v>
      </c>
      <c r="C51" s="28" t="s">
        <v>462</v>
      </c>
      <c r="D51" s="29">
        <v>44777.0</v>
      </c>
      <c r="E51" s="30"/>
      <c r="F51" s="28" t="s">
        <v>463</v>
      </c>
      <c r="I51" s="31" t="s">
        <v>464</v>
      </c>
      <c r="J51" s="32" t="s">
        <v>101</v>
      </c>
      <c r="K51" s="33" t="s">
        <v>461</v>
      </c>
      <c r="L51" s="33" t="s">
        <v>465</v>
      </c>
      <c r="N51" s="33" t="s">
        <v>461</v>
      </c>
      <c r="O51" s="35" t="s">
        <v>466</v>
      </c>
    </row>
    <row r="52">
      <c r="A52" s="38"/>
      <c r="B52" s="28" t="s">
        <v>467</v>
      </c>
      <c r="C52" s="28" t="s">
        <v>468</v>
      </c>
      <c r="D52" s="29" t="s">
        <v>469</v>
      </c>
      <c r="E52" s="30" t="s">
        <v>470</v>
      </c>
      <c r="F52" s="28" t="s">
        <v>471</v>
      </c>
      <c r="I52" s="32" t="s">
        <v>90</v>
      </c>
      <c r="J52" s="32" t="s">
        <v>90</v>
      </c>
      <c r="K52" s="33" t="s">
        <v>467</v>
      </c>
      <c r="L52" s="33" t="s">
        <v>472</v>
      </c>
      <c r="N52" s="33" t="s">
        <v>467</v>
      </c>
      <c r="O52" s="35"/>
    </row>
    <row r="53">
      <c r="A53" s="38"/>
      <c r="B53" s="28" t="s">
        <v>473</v>
      </c>
      <c r="C53" s="28" t="s">
        <v>474</v>
      </c>
      <c r="D53" s="29" t="s">
        <v>475</v>
      </c>
      <c r="E53" s="30" t="s">
        <v>476</v>
      </c>
      <c r="F53" s="28" t="s">
        <v>477</v>
      </c>
      <c r="I53" s="31" t="s">
        <v>478</v>
      </c>
      <c r="J53" s="55" t="s">
        <v>120</v>
      </c>
      <c r="K53" s="33" t="s">
        <v>473</v>
      </c>
      <c r="L53" s="33" t="s">
        <v>479</v>
      </c>
      <c r="N53" s="33" t="s">
        <v>473</v>
      </c>
      <c r="O53" s="35"/>
    </row>
    <row r="54">
      <c r="A54" s="38"/>
      <c r="B54" s="28" t="s">
        <v>480</v>
      </c>
      <c r="C54" s="28" t="s">
        <v>481</v>
      </c>
      <c r="D54" s="29" t="s">
        <v>482</v>
      </c>
      <c r="E54" s="30"/>
      <c r="F54" s="28" t="s">
        <v>483</v>
      </c>
      <c r="I54" s="31" t="s">
        <v>484</v>
      </c>
      <c r="J54" s="32" t="s">
        <v>120</v>
      </c>
      <c r="K54" s="33" t="s">
        <v>480</v>
      </c>
      <c r="L54" s="33" t="s">
        <v>485</v>
      </c>
      <c r="N54" s="33" t="s">
        <v>480</v>
      </c>
      <c r="O54" s="35" t="s">
        <v>486</v>
      </c>
    </row>
    <row r="55">
      <c r="A55" s="38"/>
      <c r="B55" s="28" t="s">
        <v>487</v>
      </c>
      <c r="C55" s="28" t="s">
        <v>488</v>
      </c>
      <c r="D55" s="29" t="s">
        <v>489</v>
      </c>
      <c r="E55" s="54" t="s">
        <v>490</v>
      </c>
      <c r="F55" s="28" t="s">
        <v>491</v>
      </c>
      <c r="I55" s="31" t="s">
        <v>492</v>
      </c>
      <c r="J55" s="39" t="s">
        <v>111</v>
      </c>
      <c r="K55" s="33" t="s">
        <v>487</v>
      </c>
      <c r="L55" s="33" t="s">
        <v>493</v>
      </c>
      <c r="N55" s="33" t="s">
        <v>487</v>
      </c>
      <c r="O55" s="47" t="s">
        <v>494</v>
      </c>
    </row>
    <row r="56">
      <c r="A56" s="38"/>
      <c r="B56" s="28" t="s">
        <v>495</v>
      </c>
      <c r="C56" s="28" t="s">
        <v>496</v>
      </c>
      <c r="D56" s="29" t="s">
        <v>497</v>
      </c>
      <c r="E56" s="30" t="s">
        <v>498</v>
      </c>
      <c r="F56" s="28" t="s">
        <v>499</v>
      </c>
      <c r="I56" s="31" t="s">
        <v>500</v>
      </c>
      <c r="J56" s="31" t="s">
        <v>140</v>
      </c>
      <c r="K56" s="33" t="s">
        <v>495</v>
      </c>
      <c r="L56" s="33" t="s">
        <v>501</v>
      </c>
      <c r="N56" s="33" t="s">
        <v>495</v>
      </c>
      <c r="O56" s="35" t="s">
        <v>502</v>
      </c>
    </row>
    <row r="57">
      <c r="A57" s="38"/>
      <c r="B57" s="28" t="s">
        <v>503</v>
      </c>
      <c r="C57" s="28" t="s">
        <v>504</v>
      </c>
      <c r="D57" s="29" t="s">
        <v>505</v>
      </c>
      <c r="E57" s="30"/>
      <c r="F57" s="28" t="s">
        <v>506</v>
      </c>
      <c r="I57" s="31" t="s">
        <v>507</v>
      </c>
      <c r="J57" s="32" t="s">
        <v>90</v>
      </c>
      <c r="K57" s="33" t="s">
        <v>503</v>
      </c>
      <c r="L57" s="33" t="s">
        <v>508</v>
      </c>
      <c r="N57" s="33" t="s">
        <v>503</v>
      </c>
      <c r="O57" s="35" t="s">
        <v>509</v>
      </c>
    </row>
    <row r="58">
      <c r="A58" s="38"/>
      <c r="B58" s="28" t="s">
        <v>510</v>
      </c>
      <c r="C58" s="28" t="s">
        <v>511</v>
      </c>
      <c r="D58" s="29" t="s">
        <v>512</v>
      </c>
      <c r="E58" s="30"/>
      <c r="F58" s="28" t="s">
        <v>513</v>
      </c>
      <c r="I58" s="31" t="s">
        <v>514</v>
      </c>
      <c r="J58" s="32" t="s">
        <v>120</v>
      </c>
      <c r="K58" s="33" t="s">
        <v>510</v>
      </c>
      <c r="L58" s="33" t="s">
        <v>515</v>
      </c>
      <c r="N58" s="33" t="s">
        <v>510</v>
      </c>
      <c r="O58" s="35" t="s">
        <v>516</v>
      </c>
    </row>
    <row r="59">
      <c r="A59" s="38"/>
      <c r="B59" s="28" t="s">
        <v>517</v>
      </c>
      <c r="C59" s="28" t="s">
        <v>518</v>
      </c>
      <c r="D59" s="29" t="s">
        <v>519</v>
      </c>
      <c r="E59" s="30"/>
      <c r="F59" s="28" t="s">
        <v>520</v>
      </c>
      <c r="I59" s="31" t="s">
        <v>521</v>
      </c>
      <c r="J59" s="32" t="s">
        <v>90</v>
      </c>
      <c r="K59" s="33" t="s">
        <v>517</v>
      </c>
      <c r="L59" s="33" t="s">
        <v>522</v>
      </c>
      <c r="N59" s="33" t="s">
        <v>517</v>
      </c>
      <c r="O59" s="35" t="s">
        <v>523</v>
      </c>
    </row>
    <row r="60">
      <c r="A60" s="38"/>
      <c r="B60" s="28" t="s">
        <v>524</v>
      </c>
      <c r="C60" s="28" t="s">
        <v>525</v>
      </c>
      <c r="D60" s="29" t="s">
        <v>526</v>
      </c>
      <c r="E60" s="30"/>
      <c r="F60" s="28" t="s">
        <v>527</v>
      </c>
      <c r="I60" s="31" t="s">
        <v>528</v>
      </c>
      <c r="J60" s="31" t="s">
        <v>140</v>
      </c>
      <c r="K60" s="33" t="s">
        <v>524</v>
      </c>
      <c r="L60" s="33" t="s">
        <v>529</v>
      </c>
      <c r="N60" s="33" t="s">
        <v>524</v>
      </c>
      <c r="O60" s="35" t="s">
        <v>530</v>
      </c>
    </row>
    <row r="61">
      <c r="A61" s="38"/>
      <c r="B61" s="28" t="s">
        <v>531</v>
      </c>
      <c r="C61" s="28" t="s">
        <v>532</v>
      </c>
      <c r="D61" s="29" t="s">
        <v>533</v>
      </c>
      <c r="E61" s="30"/>
      <c r="F61" s="28" t="s">
        <v>534</v>
      </c>
      <c r="I61" s="31" t="s">
        <v>535</v>
      </c>
      <c r="J61" s="39" t="s">
        <v>130</v>
      </c>
      <c r="K61" s="33" t="s">
        <v>531</v>
      </c>
      <c r="L61" s="33" t="s">
        <v>536</v>
      </c>
      <c r="N61" s="33" t="s">
        <v>531</v>
      </c>
      <c r="O61" s="35"/>
    </row>
    <row r="62">
      <c r="A62" s="38"/>
      <c r="B62" s="28" t="s">
        <v>537</v>
      </c>
      <c r="C62" s="28" t="s">
        <v>538</v>
      </c>
      <c r="D62" s="29" t="s">
        <v>539</v>
      </c>
      <c r="E62" s="30" t="s">
        <v>540</v>
      </c>
      <c r="F62" s="28" t="s">
        <v>541</v>
      </c>
      <c r="I62" s="31" t="s">
        <v>542</v>
      </c>
      <c r="J62" s="32" t="s">
        <v>120</v>
      </c>
      <c r="K62" s="33" t="s">
        <v>537</v>
      </c>
      <c r="L62" s="33" t="s">
        <v>543</v>
      </c>
      <c r="N62" s="33" t="s">
        <v>537</v>
      </c>
      <c r="O62" s="35" t="s">
        <v>544</v>
      </c>
    </row>
    <row r="63">
      <c r="A63" s="38"/>
      <c r="B63" s="28" t="s">
        <v>545</v>
      </c>
      <c r="C63" s="28" t="s">
        <v>546</v>
      </c>
      <c r="D63" s="29" t="s">
        <v>547</v>
      </c>
      <c r="E63" s="30" t="s">
        <v>548</v>
      </c>
      <c r="F63" s="28" t="s">
        <v>549</v>
      </c>
      <c r="I63" s="31" t="s">
        <v>550</v>
      </c>
      <c r="J63" s="32" t="s">
        <v>120</v>
      </c>
      <c r="K63" s="33" t="s">
        <v>545</v>
      </c>
      <c r="L63" s="33" t="s">
        <v>551</v>
      </c>
      <c r="N63" s="33" t="s">
        <v>545</v>
      </c>
      <c r="O63" s="35"/>
    </row>
    <row r="64">
      <c r="A64" s="38"/>
      <c r="B64" s="28" t="s">
        <v>552</v>
      </c>
      <c r="C64" s="28" t="s">
        <v>553</v>
      </c>
      <c r="D64" s="29" t="s">
        <v>554</v>
      </c>
      <c r="E64" s="30" t="s">
        <v>555</v>
      </c>
      <c r="F64" s="28" t="s">
        <v>556</v>
      </c>
      <c r="I64" s="32"/>
      <c r="J64" s="32"/>
      <c r="K64" s="33" t="s">
        <v>552</v>
      </c>
      <c r="L64" s="33" t="s">
        <v>557</v>
      </c>
      <c r="N64" s="33" t="s">
        <v>552</v>
      </c>
      <c r="O64" s="35" t="s">
        <v>558</v>
      </c>
    </row>
    <row r="65">
      <c r="A65" s="38"/>
      <c r="B65" s="28" t="s">
        <v>559</v>
      </c>
      <c r="C65" s="28" t="s">
        <v>560</v>
      </c>
      <c r="D65" s="29" t="s">
        <v>561</v>
      </c>
      <c r="E65" s="30"/>
      <c r="F65" s="28" t="s">
        <v>562</v>
      </c>
      <c r="I65" s="32"/>
      <c r="J65" s="32"/>
      <c r="K65" s="33" t="s">
        <v>559</v>
      </c>
      <c r="L65" s="33" t="s">
        <v>563</v>
      </c>
      <c r="N65" s="33" t="s">
        <v>559</v>
      </c>
      <c r="O65" s="35" t="s">
        <v>564</v>
      </c>
    </row>
    <row r="66">
      <c r="A66" s="38"/>
      <c r="B66" s="28" t="s">
        <v>565</v>
      </c>
      <c r="C66" s="28" t="s">
        <v>566</v>
      </c>
      <c r="D66" s="29" t="s">
        <v>567</v>
      </c>
      <c r="E66" s="30" t="s">
        <v>568</v>
      </c>
      <c r="F66" s="28" t="s">
        <v>569</v>
      </c>
      <c r="I66" s="32"/>
      <c r="J66" s="32"/>
      <c r="K66" s="33" t="s">
        <v>565</v>
      </c>
      <c r="L66" s="33" t="s">
        <v>570</v>
      </c>
      <c r="N66" s="33" t="s">
        <v>565</v>
      </c>
      <c r="O66" s="35"/>
    </row>
    <row r="67">
      <c r="A67" s="38"/>
      <c r="B67" s="28" t="s">
        <v>571</v>
      </c>
      <c r="C67" s="28" t="s">
        <v>572</v>
      </c>
      <c r="D67" s="29" t="s">
        <v>573</v>
      </c>
      <c r="E67" s="30" t="s">
        <v>574</v>
      </c>
      <c r="F67" s="28" t="s">
        <v>575</v>
      </c>
      <c r="I67" s="32"/>
      <c r="J67" s="32"/>
      <c r="K67" s="33" t="s">
        <v>571</v>
      </c>
      <c r="L67" s="33" t="s">
        <v>576</v>
      </c>
      <c r="N67" s="33" t="s">
        <v>571</v>
      </c>
      <c r="O67" s="35" t="s">
        <v>577</v>
      </c>
    </row>
    <row r="68">
      <c r="A68" s="38"/>
      <c r="B68" s="28" t="s">
        <v>578</v>
      </c>
      <c r="C68" s="28" t="s">
        <v>579</v>
      </c>
      <c r="D68" s="29" t="s">
        <v>580</v>
      </c>
      <c r="E68" s="30" t="s">
        <v>581</v>
      </c>
      <c r="F68" s="28" t="s">
        <v>582</v>
      </c>
      <c r="I68" s="32"/>
      <c r="J68" s="32"/>
      <c r="K68" s="33" t="s">
        <v>578</v>
      </c>
      <c r="L68" s="33" t="s">
        <v>583</v>
      </c>
      <c r="N68" s="33" t="s">
        <v>578</v>
      </c>
      <c r="O68" s="35" t="s">
        <v>584</v>
      </c>
    </row>
    <row r="69">
      <c r="A69" s="38"/>
      <c r="B69" s="28" t="s">
        <v>585</v>
      </c>
      <c r="C69" s="28" t="s">
        <v>586</v>
      </c>
      <c r="D69" s="29" t="s">
        <v>587</v>
      </c>
      <c r="E69" s="30" t="s">
        <v>588</v>
      </c>
      <c r="F69" s="28" t="s">
        <v>589</v>
      </c>
      <c r="I69" s="32"/>
      <c r="J69" s="32"/>
      <c r="K69" s="33" t="s">
        <v>585</v>
      </c>
      <c r="L69" s="33" t="s">
        <v>590</v>
      </c>
      <c r="N69" s="33" t="s">
        <v>585</v>
      </c>
      <c r="O69" s="35" t="s">
        <v>591</v>
      </c>
    </row>
    <row r="70">
      <c r="A70" s="38"/>
      <c r="B70" s="28" t="s">
        <v>592</v>
      </c>
      <c r="C70" s="28" t="s">
        <v>593</v>
      </c>
      <c r="D70" s="29" t="s">
        <v>594</v>
      </c>
      <c r="E70" s="54" t="s">
        <v>595</v>
      </c>
      <c r="F70" s="28" t="s">
        <v>596</v>
      </c>
      <c r="I70" s="32"/>
      <c r="J70" s="32"/>
      <c r="K70" s="33" t="s">
        <v>592</v>
      </c>
      <c r="L70" s="33" t="s">
        <v>597</v>
      </c>
      <c r="N70" s="33" t="s">
        <v>592</v>
      </c>
      <c r="O70" s="35" t="s">
        <v>598</v>
      </c>
    </row>
    <row r="71">
      <c r="A71" s="38"/>
      <c r="B71" s="28" t="s">
        <v>599</v>
      </c>
      <c r="C71" s="28" t="s">
        <v>600</v>
      </c>
      <c r="D71" s="29" t="s">
        <v>601</v>
      </c>
      <c r="E71" s="30" t="s">
        <v>602</v>
      </c>
      <c r="F71" s="28" t="s">
        <v>603</v>
      </c>
      <c r="I71" s="32"/>
      <c r="J71" s="32"/>
      <c r="K71" s="33" t="s">
        <v>599</v>
      </c>
      <c r="L71" s="33" t="s">
        <v>604</v>
      </c>
      <c r="N71" s="33" t="s">
        <v>599</v>
      </c>
      <c r="O71" s="35"/>
    </row>
    <row r="72">
      <c r="A72" s="38"/>
      <c r="B72" s="28" t="s">
        <v>605</v>
      </c>
      <c r="C72" s="28" t="s">
        <v>606</v>
      </c>
      <c r="D72" s="29" t="s">
        <v>607</v>
      </c>
      <c r="E72" s="30" t="s">
        <v>608</v>
      </c>
      <c r="F72" s="28" t="s">
        <v>609</v>
      </c>
      <c r="I72" s="32"/>
      <c r="J72" s="32"/>
      <c r="K72" s="33" t="s">
        <v>605</v>
      </c>
      <c r="L72" s="33" t="s">
        <v>610</v>
      </c>
      <c r="N72" s="33" t="s">
        <v>605</v>
      </c>
      <c r="O72" s="35" t="s">
        <v>611</v>
      </c>
    </row>
    <row r="73">
      <c r="A73" s="38"/>
      <c r="B73" s="28" t="s">
        <v>612</v>
      </c>
      <c r="C73" s="28" t="s">
        <v>613</v>
      </c>
      <c r="D73" s="29" t="s">
        <v>614</v>
      </c>
      <c r="E73" s="30" t="s">
        <v>615</v>
      </c>
      <c r="F73" s="28" t="s">
        <v>616</v>
      </c>
      <c r="I73" s="32"/>
      <c r="J73" s="32"/>
      <c r="K73" s="33" t="s">
        <v>612</v>
      </c>
      <c r="L73" s="33" t="s">
        <v>617</v>
      </c>
      <c r="N73" s="33" t="s">
        <v>612</v>
      </c>
      <c r="O73" s="35" t="s">
        <v>618</v>
      </c>
    </row>
    <row r="74">
      <c r="A74" s="38"/>
      <c r="B74" s="28" t="s">
        <v>619</v>
      </c>
      <c r="C74" s="28" t="s">
        <v>620</v>
      </c>
      <c r="D74" s="29" t="s">
        <v>621</v>
      </c>
      <c r="E74" s="30" t="s">
        <v>622</v>
      </c>
      <c r="F74" s="28" t="s">
        <v>623</v>
      </c>
      <c r="I74" s="32"/>
      <c r="J74" s="32"/>
      <c r="K74" s="33" t="s">
        <v>619</v>
      </c>
      <c r="L74" s="33" t="s">
        <v>624</v>
      </c>
      <c r="N74" s="33" t="s">
        <v>619</v>
      </c>
      <c r="O74" s="35"/>
    </row>
    <row r="75">
      <c r="A75" s="38"/>
      <c r="B75" s="28" t="s">
        <v>625</v>
      </c>
      <c r="C75" s="28" t="s">
        <v>626</v>
      </c>
      <c r="D75" s="29" t="s">
        <v>627</v>
      </c>
      <c r="E75" s="30"/>
      <c r="F75" s="28" t="s">
        <v>628</v>
      </c>
      <c r="I75" s="32"/>
      <c r="J75" s="32"/>
      <c r="K75" s="33" t="s">
        <v>625</v>
      </c>
      <c r="L75" s="33" t="s">
        <v>629</v>
      </c>
      <c r="N75" s="33" t="s">
        <v>625</v>
      </c>
      <c r="O75" s="35"/>
    </row>
    <row r="76">
      <c r="A76" s="38"/>
      <c r="B76" s="28" t="s">
        <v>630</v>
      </c>
      <c r="C76" s="28" t="s">
        <v>631</v>
      </c>
      <c r="D76" s="29" t="s">
        <v>632</v>
      </c>
      <c r="E76" s="30"/>
      <c r="F76" s="28" t="s">
        <v>633</v>
      </c>
      <c r="I76" s="32"/>
      <c r="J76" s="32"/>
      <c r="K76" s="33" t="s">
        <v>630</v>
      </c>
      <c r="L76" s="33" t="s">
        <v>634</v>
      </c>
      <c r="N76" s="33" t="s">
        <v>630</v>
      </c>
      <c r="O76" s="35" t="s">
        <v>635</v>
      </c>
    </row>
    <row r="77">
      <c r="A77" s="38"/>
      <c r="B77" s="28" t="s">
        <v>636</v>
      </c>
      <c r="C77" s="28" t="s">
        <v>637</v>
      </c>
      <c r="D77" s="29" t="s">
        <v>638</v>
      </c>
      <c r="E77" s="30" t="s">
        <v>639</v>
      </c>
      <c r="F77" s="28" t="s">
        <v>640</v>
      </c>
      <c r="I77" s="32"/>
      <c r="J77" s="32"/>
      <c r="K77" s="33" t="s">
        <v>636</v>
      </c>
      <c r="L77" s="33" t="s">
        <v>641</v>
      </c>
      <c r="N77" s="33" t="s">
        <v>636</v>
      </c>
      <c r="O77" s="35"/>
    </row>
    <row r="78">
      <c r="A78" s="38"/>
      <c r="B78" s="28" t="s">
        <v>642</v>
      </c>
      <c r="C78" s="28" t="s">
        <v>643</v>
      </c>
      <c r="D78" s="29" t="s">
        <v>644</v>
      </c>
      <c r="E78" s="30" t="s">
        <v>645</v>
      </c>
      <c r="F78" s="28" t="s">
        <v>646</v>
      </c>
      <c r="I78" s="32"/>
      <c r="J78" s="32"/>
      <c r="K78" s="33" t="s">
        <v>642</v>
      </c>
      <c r="L78" s="33" t="s">
        <v>647</v>
      </c>
      <c r="N78" s="33" t="s">
        <v>642</v>
      </c>
      <c r="O78" s="35" t="s">
        <v>648</v>
      </c>
    </row>
    <row r="79">
      <c r="A79" s="38"/>
      <c r="B79" s="28" t="s">
        <v>649</v>
      </c>
      <c r="C79" s="28" t="s">
        <v>650</v>
      </c>
      <c r="D79" s="29" t="s">
        <v>651</v>
      </c>
      <c r="E79" s="30"/>
      <c r="F79" s="28" t="s">
        <v>652</v>
      </c>
      <c r="I79" s="32"/>
      <c r="J79" s="32"/>
      <c r="K79" s="33" t="s">
        <v>649</v>
      </c>
      <c r="L79" s="33" t="s">
        <v>653</v>
      </c>
      <c r="N79" s="33" t="s">
        <v>649</v>
      </c>
      <c r="O79" s="35" t="s">
        <v>654</v>
      </c>
    </row>
    <row r="80">
      <c r="A80" s="38"/>
      <c r="B80" s="28" t="s">
        <v>655</v>
      </c>
      <c r="C80" s="28" t="s">
        <v>656</v>
      </c>
      <c r="D80" s="29" t="s">
        <v>657</v>
      </c>
      <c r="E80" s="30"/>
      <c r="F80" s="28" t="s">
        <v>658</v>
      </c>
      <c r="I80" s="32"/>
      <c r="J80" s="32"/>
      <c r="K80" s="33" t="s">
        <v>655</v>
      </c>
      <c r="L80" s="33" t="s">
        <v>659</v>
      </c>
      <c r="N80" s="33" t="s">
        <v>655</v>
      </c>
      <c r="O80" s="35" t="s">
        <v>660</v>
      </c>
    </row>
    <row r="81">
      <c r="A81" s="38"/>
      <c r="B81" s="28" t="s">
        <v>661</v>
      </c>
      <c r="C81" s="28" t="s">
        <v>662</v>
      </c>
      <c r="D81" s="29" t="s">
        <v>663</v>
      </c>
      <c r="E81" s="30" t="s">
        <v>664</v>
      </c>
      <c r="F81" s="28" t="s">
        <v>665</v>
      </c>
      <c r="I81" s="32"/>
      <c r="J81" s="32"/>
      <c r="K81" s="33" t="s">
        <v>661</v>
      </c>
      <c r="L81" s="33" t="s">
        <v>666</v>
      </c>
      <c r="N81" s="33" t="s">
        <v>661</v>
      </c>
      <c r="O81" s="47" t="s">
        <v>667</v>
      </c>
    </row>
    <row r="82">
      <c r="A82" s="38"/>
      <c r="B82" s="28" t="s">
        <v>668</v>
      </c>
      <c r="C82" s="28" t="s">
        <v>669</v>
      </c>
      <c r="D82" s="29" t="s">
        <v>670</v>
      </c>
      <c r="E82" s="30"/>
      <c r="F82" s="28" t="s">
        <v>671</v>
      </c>
      <c r="I82" s="32"/>
      <c r="J82" s="32"/>
      <c r="K82" s="33" t="s">
        <v>668</v>
      </c>
      <c r="L82" s="33" t="s">
        <v>672</v>
      </c>
      <c r="N82" s="33" t="s">
        <v>668</v>
      </c>
      <c r="O82" s="35"/>
    </row>
    <row r="83">
      <c r="A83" s="38"/>
      <c r="B83" s="28" t="s">
        <v>673</v>
      </c>
      <c r="C83" s="28" t="s">
        <v>674</v>
      </c>
      <c r="D83" s="29" t="s">
        <v>675</v>
      </c>
      <c r="E83" s="30" t="s">
        <v>676</v>
      </c>
      <c r="F83" s="28" t="s">
        <v>677</v>
      </c>
      <c r="I83" s="32"/>
      <c r="J83" s="32"/>
      <c r="K83" s="33" t="s">
        <v>673</v>
      </c>
      <c r="L83" s="33" t="s">
        <v>678</v>
      </c>
      <c r="N83" s="33" t="s">
        <v>673</v>
      </c>
      <c r="O83" s="35"/>
    </row>
    <row r="84">
      <c r="A84" s="38"/>
      <c r="B84" s="28" t="s">
        <v>679</v>
      </c>
      <c r="C84" s="28" t="s">
        <v>680</v>
      </c>
      <c r="D84" s="29" t="s">
        <v>681</v>
      </c>
      <c r="E84" s="30" t="s">
        <v>682</v>
      </c>
      <c r="F84" s="28" t="s">
        <v>683</v>
      </c>
      <c r="I84" s="32"/>
      <c r="J84" s="32"/>
      <c r="K84" s="33" t="s">
        <v>679</v>
      </c>
      <c r="L84" s="33" t="s">
        <v>684</v>
      </c>
      <c r="N84" s="33" t="s">
        <v>679</v>
      </c>
      <c r="O84" s="35" t="s">
        <v>685</v>
      </c>
    </row>
    <row r="85">
      <c r="A85" s="38"/>
      <c r="B85" s="28" t="s">
        <v>686</v>
      </c>
      <c r="C85" s="28" t="s">
        <v>687</v>
      </c>
      <c r="D85" s="29" t="s">
        <v>688</v>
      </c>
      <c r="E85" s="30" t="s">
        <v>689</v>
      </c>
      <c r="F85" s="28" t="s">
        <v>690</v>
      </c>
      <c r="I85" s="32"/>
      <c r="J85" s="32"/>
      <c r="K85" s="33" t="s">
        <v>686</v>
      </c>
      <c r="L85" s="33" t="s">
        <v>691</v>
      </c>
      <c r="N85" s="33" t="s">
        <v>686</v>
      </c>
      <c r="O85" s="35" t="s">
        <v>692</v>
      </c>
    </row>
    <row r="86">
      <c r="A86" s="38"/>
      <c r="B86" s="28" t="s">
        <v>693</v>
      </c>
      <c r="C86" s="28" t="s">
        <v>694</v>
      </c>
      <c r="D86" s="29" t="s">
        <v>695</v>
      </c>
      <c r="E86" s="54" t="s">
        <v>696</v>
      </c>
      <c r="F86" s="28" t="s">
        <v>697</v>
      </c>
      <c r="I86" s="32"/>
      <c r="J86" s="32"/>
      <c r="K86" s="33" t="s">
        <v>693</v>
      </c>
      <c r="L86" s="33" t="s">
        <v>698</v>
      </c>
      <c r="N86" s="33" t="s">
        <v>693</v>
      </c>
      <c r="O86" s="47" t="s">
        <v>699</v>
      </c>
    </row>
    <row r="87">
      <c r="A87" s="38"/>
      <c r="B87" s="28" t="s">
        <v>700</v>
      </c>
      <c r="C87" s="28" t="s">
        <v>701</v>
      </c>
      <c r="D87" s="29" t="s">
        <v>702</v>
      </c>
      <c r="E87" s="30" t="s">
        <v>703</v>
      </c>
      <c r="F87" s="28" t="s">
        <v>704</v>
      </c>
      <c r="I87" s="32"/>
      <c r="J87" s="32"/>
      <c r="K87" s="33" t="s">
        <v>700</v>
      </c>
      <c r="L87" s="33" t="s">
        <v>705</v>
      </c>
      <c r="N87" s="33" t="s">
        <v>700</v>
      </c>
      <c r="O87" s="35" t="s">
        <v>706</v>
      </c>
    </row>
    <row r="88">
      <c r="A88" s="38"/>
      <c r="B88" s="28" t="s">
        <v>707</v>
      </c>
      <c r="C88" s="28" t="s">
        <v>708</v>
      </c>
      <c r="D88" s="29" t="s">
        <v>709</v>
      </c>
      <c r="E88" s="30"/>
      <c r="F88" s="28" t="s">
        <v>710</v>
      </c>
      <c r="I88" s="32"/>
      <c r="J88" s="32"/>
      <c r="K88" s="33" t="s">
        <v>707</v>
      </c>
      <c r="L88" s="33" t="s">
        <v>711</v>
      </c>
      <c r="N88" s="33" t="s">
        <v>707</v>
      </c>
      <c r="O88" s="47" t="s">
        <v>712</v>
      </c>
    </row>
    <row r="89">
      <c r="A89" s="38"/>
      <c r="B89" s="28" t="s">
        <v>713</v>
      </c>
      <c r="C89" s="28" t="s">
        <v>714</v>
      </c>
      <c r="D89" s="29" t="s">
        <v>715</v>
      </c>
      <c r="E89" s="30"/>
      <c r="F89" s="28" t="s">
        <v>716</v>
      </c>
      <c r="I89" s="32"/>
      <c r="J89" s="32"/>
      <c r="K89" s="33" t="s">
        <v>713</v>
      </c>
      <c r="L89" s="33" t="s">
        <v>717</v>
      </c>
      <c r="N89" s="33" t="s">
        <v>713</v>
      </c>
      <c r="O89" s="35" t="s">
        <v>718</v>
      </c>
    </row>
    <row r="90">
      <c r="A90" s="38"/>
      <c r="B90" s="28" t="s">
        <v>719</v>
      </c>
      <c r="C90" s="28" t="s">
        <v>720</v>
      </c>
      <c r="D90" s="29" t="s">
        <v>721</v>
      </c>
      <c r="E90" s="58"/>
      <c r="F90" s="28" t="s">
        <v>722</v>
      </c>
      <c r="I90" s="32"/>
      <c r="J90" s="32"/>
      <c r="K90" s="33" t="s">
        <v>719</v>
      </c>
      <c r="L90" s="33" t="s">
        <v>723</v>
      </c>
      <c r="N90" s="33" t="s">
        <v>719</v>
      </c>
      <c r="O90" s="35"/>
    </row>
    <row r="91">
      <c r="A91" s="38"/>
      <c r="B91" s="28" t="s">
        <v>724</v>
      </c>
      <c r="C91" s="28" t="s">
        <v>725</v>
      </c>
      <c r="D91" s="29" t="s">
        <v>726</v>
      </c>
      <c r="E91" s="54" t="s">
        <v>727</v>
      </c>
      <c r="F91" s="28" t="s">
        <v>728</v>
      </c>
      <c r="I91" s="32"/>
      <c r="J91" s="32"/>
      <c r="K91" s="33" t="s">
        <v>724</v>
      </c>
      <c r="L91" s="33" t="s">
        <v>729</v>
      </c>
      <c r="N91" s="33" t="s">
        <v>724</v>
      </c>
      <c r="O91" s="35"/>
    </row>
    <row r="92">
      <c r="A92" s="38"/>
      <c r="B92" s="28" t="s">
        <v>730</v>
      </c>
      <c r="C92" s="28" t="s">
        <v>731</v>
      </c>
      <c r="D92" s="29" t="s">
        <v>732</v>
      </c>
      <c r="E92" s="30"/>
      <c r="F92" s="28" t="s">
        <v>733</v>
      </c>
      <c r="I92" s="32"/>
      <c r="J92" s="32"/>
      <c r="K92" s="33" t="s">
        <v>730</v>
      </c>
      <c r="L92" s="33" t="s">
        <v>734</v>
      </c>
      <c r="N92" s="33" t="s">
        <v>730</v>
      </c>
      <c r="O92" s="35" t="s">
        <v>735</v>
      </c>
    </row>
    <row r="93">
      <c r="A93" s="38"/>
      <c r="B93" s="28" t="s">
        <v>736</v>
      </c>
      <c r="C93" s="28" t="s">
        <v>737</v>
      </c>
      <c r="D93" s="29" t="s">
        <v>738</v>
      </c>
      <c r="E93" s="30"/>
      <c r="F93" s="28" t="s">
        <v>739</v>
      </c>
      <c r="I93" s="32"/>
      <c r="J93" s="32"/>
      <c r="K93" s="33" t="s">
        <v>736</v>
      </c>
      <c r="L93" s="33" t="s">
        <v>740</v>
      </c>
      <c r="N93" s="33" t="s">
        <v>736</v>
      </c>
      <c r="O93" s="35"/>
    </row>
    <row r="94">
      <c r="A94" s="38"/>
      <c r="B94" s="28" t="s">
        <v>741</v>
      </c>
      <c r="C94" s="28" t="s">
        <v>742</v>
      </c>
      <c r="D94" s="29" t="s">
        <v>743</v>
      </c>
      <c r="E94" s="30" t="s">
        <v>744</v>
      </c>
      <c r="F94" s="28" t="s">
        <v>745</v>
      </c>
      <c r="I94" s="32"/>
      <c r="J94" s="32"/>
      <c r="K94" s="33" t="s">
        <v>741</v>
      </c>
      <c r="L94" s="33" t="s">
        <v>746</v>
      </c>
      <c r="N94" s="33" t="s">
        <v>741</v>
      </c>
      <c r="O94" s="35"/>
    </row>
    <row r="95">
      <c r="A95" s="38"/>
      <c r="B95" s="28" t="s">
        <v>747</v>
      </c>
      <c r="C95" s="28" t="s">
        <v>748</v>
      </c>
      <c r="D95" s="29" t="s">
        <v>749</v>
      </c>
      <c r="E95" s="30" t="s">
        <v>750</v>
      </c>
      <c r="F95" s="28" t="s">
        <v>751</v>
      </c>
      <c r="I95" s="32"/>
      <c r="J95" s="32"/>
      <c r="K95" s="33" t="s">
        <v>747</v>
      </c>
      <c r="L95" s="33" t="s">
        <v>752</v>
      </c>
      <c r="N95" s="33" t="s">
        <v>747</v>
      </c>
      <c r="O95" s="35"/>
    </row>
    <row r="96">
      <c r="A96" s="38"/>
      <c r="B96" s="28" t="s">
        <v>753</v>
      </c>
      <c r="C96" s="28" t="s">
        <v>754</v>
      </c>
      <c r="D96" s="29" t="s">
        <v>755</v>
      </c>
      <c r="E96" s="54" t="s">
        <v>756</v>
      </c>
      <c r="F96" s="28" t="s">
        <v>757</v>
      </c>
      <c r="I96" s="32"/>
      <c r="J96" s="32"/>
      <c r="K96" s="33" t="s">
        <v>753</v>
      </c>
      <c r="L96" s="33" t="s">
        <v>758</v>
      </c>
      <c r="N96" s="33" t="s">
        <v>753</v>
      </c>
      <c r="O96" s="35" t="s">
        <v>759</v>
      </c>
    </row>
    <row r="97">
      <c r="A97" s="38"/>
      <c r="B97" s="28" t="s">
        <v>760</v>
      </c>
      <c r="C97" s="28" t="s">
        <v>761</v>
      </c>
      <c r="D97" s="29" t="s">
        <v>762</v>
      </c>
      <c r="E97" s="30" t="s">
        <v>763</v>
      </c>
      <c r="F97" s="28" t="s">
        <v>764</v>
      </c>
      <c r="I97" s="32"/>
      <c r="J97" s="32"/>
      <c r="K97" s="33" t="s">
        <v>760</v>
      </c>
      <c r="L97" s="33" t="s">
        <v>765</v>
      </c>
      <c r="N97" s="33" t="s">
        <v>760</v>
      </c>
      <c r="O97" s="47" t="s">
        <v>766</v>
      </c>
    </row>
    <row r="98">
      <c r="A98" s="38"/>
      <c r="B98" s="28" t="s">
        <v>767</v>
      </c>
      <c r="C98" s="28" t="s">
        <v>768</v>
      </c>
      <c r="D98" s="29" t="s">
        <v>769</v>
      </c>
      <c r="E98" s="54" t="s">
        <v>770</v>
      </c>
      <c r="F98" s="28" t="s">
        <v>771</v>
      </c>
      <c r="I98" s="32"/>
      <c r="J98" s="32"/>
      <c r="K98" s="33" t="s">
        <v>767</v>
      </c>
      <c r="L98" s="33" t="s">
        <v>772</v>
      </c>
      <c r="N98" s="33" t="s">
        <v>767</v>
      </c>
      <c r="O98" s="47" t="s">
        <v>773</v>
      </c>
    </row>
    <row r="99">
      <c r="A99" s="38"/>
      <c r="B99" s="28" t="s">
        <v>774</v>
      </c>
      <c r="C99" s="28" t="s">
        <v>623</v>
      </c>
      <c r="D99" s="29" t="s">
        <v>775</v>
      </c>
      <c r="E99" s="30"/>
      <c r="F99" s="28" t="s">
        <v>776</v>
      </c>
      <c r="I99" s="32"/>
      <c r="J99" s="32"/>
      <c r="K99" s="33" t="s">
        <v>774</v>
      </c>
      <c r="L99" s="33" t="s">
        <v>777</v>
      </c>
      <c r="N99" s="33" t="s">
        <v>774</v>
      </c>
      <c r="O99" s="35" t="s">
        <v>622</v>
      </c>
    </row>
    <row r="100">
      <c r="A100" s="38"/>
      <c r="B100" s="28" t="s">
        <v>778</v>
      </c>
      <c r="C100" s="28" t="s">
        <v>779</v>
      </c>
      <c r="D100" s="29" t="s">
        <v>780</v>
      </c>
      <c r="E100" s="30" t="s">
        <v>781</v>
      </c>
      <c r="F100" s="28" t="s">
        <v>782</v>
      </c>
      <c r="I100" s="32"/>
      <c r="J100" s="32"/>
      <c r="K100" s="33" t="s">
        <v>778</v>
      </c>
      <c r="L100" s="33" t="s">
        <v>783</v>
      </c>
      <c r="N100" s="33" t="s">
        <v>778</v>
      </c>
      <c r="O100" s="35" t="s">
        <v>784</v>
      </c>
    </row>
    <row r="101">
      <c r="A101" s="38"/>
      <c r="B101" s="28" t="s">
        <v>785</v>
      </c>
      <c r="C101" s="28" t="s">
        <v>786</v>
      </c>
      <c r="D101" s="29" t="s">
        <v>787</v>
      </c>
      <c r="E101" s="30"/>
      <c r="F101" s="28" t="s">
        <v>788</v>
      </c>
      <c r="I101" s="32"/>
      <c r="J101" s="32"/>
      <c r="K101" s="33" t="s">
        <v>785</v>
      </c>
      <c r="L101" s="33" t="s">
        <v>789</v>
      </c>
      <c r="N101" s="33" t="s">
        <v>785</v>
      </c>
      <c r="O101" s="35" t="s">
        <v>790</v>
      </c>
    </row>
    <row r="102">
      <c r="A102" s="38"/>
      <c r="B102" s="28" t="s">
        <v>791</v>
      </c>
      <c r="C102" s="28" t="s">
        <v>792</v>
      </c>
      <c r="D102" s="29" t="s">
        <v>793</v>
      </c>
      <c r="E102" s="30" t="s">
        <v>794</v>
      </c>
      <c r="F102" s="28" t="s">
        <v>795</v>
      </c>
      <c r="I102" s="32"/>
      <c r="J102" s="32"/>
      <c r="K102" s="33" t="s">
        <v>791</v>
      </c>
      <c r="L102" s="33" t="s">
        <v>796</v>
      </c>
      <c r="N102" s="33" t="s">
        <v>791</v>
      </c>
      <c r="O102" s="35"/>
    </row>
    <row r="103">
      <c r="A103" s="38"/>
      <c r="B103" s="28" t="s">
        <v>797</v>
      </c>
      <c r="C103" s="28" t="s">
        <v>798</v>
      </c>
      <c r="D103" s="29" t="s">
        <v>799</v>
      </c>
      <c r="E103" s="30" t="s">
        <v>800</v>
      </c>
      <c r="F103" s="28" t="s">
        <v>801</v>
      </c>
      <c r="I103" s="32"/>
      <c r="J103" s="32"/>
      <c r="K103" s="33" t="s">
        <v>797</v>
      </c>
      <c r="L103" s="33" t="s">
        <v>802</v>
      </c>
      <c r="N103" s="33" t="s">
        <v>797</v>
      </c>
      <c r="O103" s="35"/>
    </row>
    <row r="104">
      <c r="A104" s="38"/>
      <c r="B104" s="28" t="s">
        <v>803</v>
      </c>
      <c r="C104" s="28" t="s">
        <v>108</v>
      </c>
      <c r="D104" s="29" t="s">
        <v>804</v>
      </c>
      <c r="E104" s="30"/>
      <c r="F104" s="28" t="s">
        <v>805</v>
      </c>
      <c r="I104" s="32"/>
      <c r="J104" s="32"/>
      <c r="K104" s="33" t="s">
        <v>803</v>
      </c>
      <c r="L104" s="33" t="s">
        <v>806</v>
      </c>
      <c r="N104" s="33" t="s">
        <v>803</v>
      </c>
      <c r="O104" s="35" t="s">
        <v>107</v>
      </c>
    </row>
    <row r="105">
      <c r="A105" s="38"/>
      <c r="B105" s="28" t="s">
        <v>807</v>
      </c>
      <c r="C105" s="28" t="s">
        <v>808</v>
      </c>
      <c r="D105" s="29" t="s">
        <v>809</v>
      </c>
      <c r="E105" s="30" t="s">
        <v>810</v>
      </c>
      <c r="F105" s="28" t="s">
        <v>811</v>
      </c>
      <c r="I105" s="32"/>
      <c r="J105" s="32"/>
      <c r="K105" s="33" t="s">
        <v>807</v>
      </c>
      <c r="L105" s="33" t="s">
        <v>812</v>
      </c>
      <c r="N105" s="33" t="s">
        <v>807</v>
      </c>
      <c r="O105" s="35"/>
    </row>
    <row r="106">
      <c r="A106" s="38"/>
      <c r="B106" s="28" t="s">
        <v>813</v>
      </c>
      <c r="C106" s="28" t="s">
        <v>127</v>
      </c>
      <c r="D106" s="29" t="s">
        <v>814</v>
      </c>
      <c r="E106" s="30"/>
      <c r="F106" s="28" t="s">
        <v>815</v>
      </c>
      <c r="I106" s="32"/>
      <c r="J106" s="32"/>
      <c r="K106" s="33" t="s">
        <v>813</v>
      </c>
      <c r="L106" s="33" t="s">
        <v>816</v>
      </c>
      <c r="N106" s="33" t="s">
        <v>813</v>
      </c>
      <c r="O106" s="35" t="s">
        <v>126</v>
      </c>
    </row>
    <row r="107">
      <c r="A107" s="38"/>
      <c r="B107" s="28" t="s">
        <v>817</v>
      </c>
      <c r="C107" s="28" t="s">
        <v>137</v>
      </c>
      <c r="D107" s="29" t="s">
        <v>818</v>
      </c>
      <c r="E107" s="30" t="s">
        <v>819</v>
      </c>
      <c r="F107" s="28" t="s">
        <v>820</v>
      </c>
      <c r="I107" s="32"/>
      <c r="J107" s="32"/>
      <c r="K107" s="33" t="s">
        <v>817</v>
      </c>
      <c r="L107" s="33" t="s">
        <v>821</v>
      </c>
      <c r="N107" s="33" t="s">
        <v>817</v>
      </c>
      <c r="O107" s="35" t="s">
        <v>136</v>
      </c>
    </row>
    <row r="108">
      <c r="A108" s="38"/>
      <c r="B108" s="28" t="s">
        <v>822</v>
      </c>
      <c r="C108" s="28" t="s">
        <v>146</v>
      </c>
      <c r="D108" s="29" t="s">
        <v>823</v>
      </c>
      <c r="E108" s="30"/>
      <c r="F108" s="28" t="s">
        <v>824</v>
      </c>
      <c r="I108" s="32"/>
      <c r="J108" s="32"/>
      <c r="K108" s="33" t="s">
        <v>822</v>
      </c>
      <c r="L108" s="33" t="s">
        <v>825</v>
      </c>
      <c r="N108" s="33" t="s">
        <v>822</v>
      </c>
      <c r="O108" s="35" t="s">
        <v>136</v>
      </c>
    </row>
    <row r="109">
      <c r="A109" s="38"/>
      <c r="B109" s="28" t="s">
        <v>826</v>
      </c>
      <c r="C109" s="28" t="s">
        <v>155</v>
      </c>
      <c r="D109" s="29" t="s">
        <v>827</v>
      </c>
      <c r="E109" s="30" t="s">
        <v>828</v>
      </c>
      <c r="F109" s="28" t="s">
        <v>829</v>
      </c>
      <c r="I109" s="32"/>
      <c r="J109" s="32"/>
      <c r="K109" s="33" t="s">
        <v>826</v>
      </c>
      <c r="L109" s="33" t="s">
        <v>830</v>
      </c>
      <c r="N109" s="33" t="s">
        <v>826</v>
      </c>
      <c r="O109" s="35" t="s">
        <v>154</v>
      </c>
    </row>
    <row r="110">
      <c r="A110" s="38"/>
      <c r="B110" s="28" t="s">
        <v>831</v>
      </c>
      <c r="C110" s="28" t="s">
        <v>832</v>
      </c>
      <c r="D110" s="29" t="s">
        <v>833</v>
      </c>
      <c r="E110" s="30" t="s">
        <v>834</v>
      </c>
      <c r="F110" s="28" t="s">
        <v>835</v>
      </c>
      <c r="I110" s="32"/>
      <c r="J110" s="32"/>
      <c r="K110" s="33" t="s">
        <v>831</v>
      </c>
      <c r="L110" s="33" t="s">
        <v>836</v>
      </c>
      <c r="N110" s="33" t="s">
        <v>831</v>
      </c>
      <c r="O110" s="35" t="s">
        <v>164</v>
      </c>
    </row>
    <row r="111">
      <c r="A111" s="38"/>
      <c r="B111" s="28" t="s">
        <v>837</v>
      </c>
      <c r="C111" s="28" t="s">
        <v>838</v>
      </c>
      <c r="D111" s="29" t="s">
        <v>839</v>
      </c>
      <c r="E111" s="30" t="s">
        <v>840</v>
      </c>
      <c r="F111" s="28" t="s">
        <v>841</v>
      </c>
      <c r="I111" s="32"/>
      <c r="J111" s="32"/>
      <c r="K111" s="33" t="s">
        <v>837</v>
      </c>
      <c r="L111" s="33" t="s">
        <v>842</v>
      </c>
      <c r="N111" s="33" t="s">
        <v>837</v>
      </c>
      <c r="O111" s="35"/>
    </row>
    <row r="112">
      <c r="A112" s="38"/>
      <c r="B112" s="28" t="s">
        <v>843</v>
      </c>
      <c r="C112" s="28" t="s">
        <v>174</v>
      </c>
      <c r="D112" s="29" t="s">
        <v>844</v>
      </c>
      <c r="E112" s="30" t="s">
        <v>845</v>
      </c>
      <c r="F112" s="28" t="s">
        <v>846</v>
      </c>
      <c r="I112" s="32"/>
      <c r="J112" s="32"/>
      <c r="K112" s="33" t="s">
        <v>843</v>
      </c>
      <c r="L112" s="33" t="s">
        <v>847</v>
      </c>
      <c r="N112" s="33" t="s">
        <v>843</v>
      </c>
      <c r="O112" s="35" t="s">
        <v>173</v>
      </c>
    </row>
    <row r="113">
      <c r="A113" s="38"/>
      <c r="B113" s="28" t="s">
        <v>848</v>
      </c>
      <c r="C113" s="28" t="s">
        <v>190</v>
      </c>
      <c r="D113" s="29" t="s">
        <v>849</v>
      </c>
      <c r="E113" s="30"/>
      <c r="F113" s="28" t="s">
        <v>850</v>
      </c>
      <c r="I113" s="32"/>
      <c r="J113" s="32"/>
      <c r="K113" s="33" t="s">
        <v>848</v>
      </c>
      <c r="L113" s="33" t="s">
        <v>851</v>
      </c>
      <c r="N113" s="33" t="s">
        <v>848</v>
      </c>
      <c r="O113" s="35"/>
    </row>
    <row r="114">
      <c r="A114" s="38"/>
      <c r="B114" s="28" t="s">
        <v>852</v>
      </c>
      <c r="C114" s="28" t="s">
        <v>198</v>
      </c>
      <c r="D114" s="29" t="s">
        <v>853</v>
      </c>
      <c r="E114" s="30" t="s">
        <v>854</v>
      </c>
      <c r="F114" s="28" t="s">
        <v>855</v>
      </c>
      <c r="I114" s="32"/>
      <c r="J114" s="32"/>
      <c r="K114" s="33" t="s">
        <v>852</v>
      </c>
      <c r="L114" s="33" t="s">
        <v>856</v>
      </c>
      <c r="N114" s="33" t="s">
        <v>852</v>
      </c>
      <c r="O114" s="35" t="s">
        <v>197</v>
      </c>
    </row>
    <row r="115">
      <c r="A115" s="38"/>
      <c r="B115" s="28" t="s">
        <v>857</v>
      </c>
      <c r="C115" s="28" t="s">
        <v>858</v>
      </c>
      <c r="D115" s="29" t="s">
        <v>859</v>
      </c>
      <c r="E115" s="30"/>
      <c r="F115" s="28" t="s">
        <v>860</v>
      </c>
      <c r="I115" s="32"/>
      <c r="J115" s="32"/>
      <c r="K115" s="33" t="s">
        <v>857</v>
      </c>
      <c r="L115" s="33" t="s">
        <v>861</v>
      </c>
      <c r="N115" s="33" t="s">
        <v>857</v>
      </c>
      <c r="O115" s="35" t="s">
        <v>862</v>
      </c>
    </row>
    <row r="116">
      <c r="A116" s="38"/>
      <c r="B116" s="28" t="s">
        <v>863</v>
      </c>
      <c r="C116" s="28" t="s">
        <v>864</v>
      </c>
      <c r="D116" s="29" t="s">
        <v>865</v>
      </c>
      <c r="E116" s="30"/>
      <c r="F116" s="28" t="s">
        <v>866</v>
      </c>
      <c r="I116" s="32"/>
      <c r="J116" s="32"/>
      <c r="K116" s="33" t="s">
        <v>863</v>
      </c>
      <c r="L116" s="33" t="s">
        <v>867</v>
      </c>
      <c r="N116" s="33" t="s">
        <v>863</v>
      </c>
      <c r="O116" s="35" t="s">
        <v>868</v>
      </c>
    </row>
    <row r="117">
      <c r="A117" s="38"/>
      <c r="B117" s="28" t="s">
        <v>869</v>
      </c>
      <c r="C117" s="28" t="s">
        <v>870</v>
      </c>
      <c r="D117" s="29" t="s">
        <v>871</v>
      </c>
      <c r="E117" s="30"/>
      <c r="F117" s="28" t="s">
        <v>872</v>
      </c>
      <c r="I117" s="32"/>
      <c r="J117" s="32"/>
      <c r="K117" s="33" t="s">
        <v>869</v>
      </c>
      <c r="L117" s="33" t="s">
        <v>873</v>
      </c>
      <c r="N117" s="33" t="s">
        <v>869</v>
      </c>
      <c r="O117" s="35" t="s">
        <v>874</v>
      </c>
    </row>
    <row r="118">
      <c r="A118" s="38"/>
      <c r="B118" s="28" t="s">
        <v>875</v>
      </c>
      <c r="C118" s="28" t="s">
        <v>223</v>
      </c>
      <c r="D118" s="29" t="s">
        <v>876</v>
      </c>
      <c r="E118" s="54" t="s">
        <v>877</v>
      </c>
      <c r="F118" s="28" t="s">
        <v>878</v>
      </c>
      <c r="I118" s="32"/>
      <c r="J118" s="32"/>
      <c r="K118" s="33" t="s">
        <v>875</v>
      </c>
      <c r="L118" s="33" t="s">
        <v>879</v>
      </c>
      <c r="N118" s="33" t="s">
        <v>875</v>
      </c>
      <c r="O118" s="35" t="s">
        <v>222</v>
      </c>
    </row>
    <row r="119">
      <c r="A119" s="38"/>
      <c r="B119" s="28" t="s">
        <v>880</v>
      </c>
      <c r="C119" s="28" t="s">
        <v>238</v>
      </c>
      <c r="D119" s="29" t="s">
        <v>881</v>
      </c>
      <c r="E119" s="30"/>
      <c r="F119" s="28" t="s">
        <v>882</v>
      </c>
      <c r="I119" s="32"/>
      <c r="J119" s="32"/>
      <c r="K119" s="33" t="s">
        <v>880</v>
      </c>
      <c r="L119" s="33" t="s">
        <v>883</v>
      </c>
      <c r="N119" s="33" t="s">
        <v>880</v>
      </c>
      <c r="O119" s="35" t="s">
        <v>237</v>
      </c>
    </row>
    <row r="120">
      <c r="A120" s="38"/>
      <c r="B120" s="28" t="s">
        <v>884</v>
      </c>
      <c r="C120" s="28" t="s">
        <v>246</v>
      </c>
      <c r="D120" s="29" t="s">
        <v>885</v>
      </c>
      <c r="E120" s="30"/>
      <c r="F120" s="28" t="s">
        <v>886</v>
      </c>
      <c r="I120" s="32"/>
      <c r="J120" s="32"/>
      <c r="K120" s="33" t="s">
        <v>884</v>
      </c>
      <c r="L120" s="33" t="s">
        <v>887</v>
      </c>
      <c r="N120" s="33" t="s">
        <v>884</v>
      </c>
      <c r="O120" s="35" t="s">
        <v>245</v>
      </c>
    </row>
    <row r="121">
      <c r="A121" s="38"/>
      <c r="B121" s="28" t="s">
        <v>888</v>
      </c>
      <c r="C121" s="28" t="s">
        <v>260</v>
      </c>
      <c r="D121" s="29" t="s">
        <v>889</v>
      </c>
      <c r="E121" s="30"/>
      <c r="F121" s="28" t="s">
        <v>890</v>
      </c>
      <c r="I121" s="32"/>
      <c r="J121" s="32"/>
      <c r="K121" s="33" t="s">
        <v>888</v>
      </c>
      <c r="L121" s="33" t="s">
        <v>891</v>
      </c>
      <c r="N121" s="33" t="s">
        <v>888</v>
      </c>
      <c r="O121" s="35" t="s">
        <v>259</v>
      </c>
    </row>
    <row r="122">
      <c r="A122" s="38"/>
      <c r="B122" s="28" t="s">
        <v>892</v>
      </c>
      <c r="C122" s="28" t="s">
        <v>893</v>
      </c>
      <c r="D122" s="29" t="s">
        <v>894</v>
      </c>
      <c r="E122" s="30" t="s">
        <v>895</v>
      </c>
      <c r="F122" s="28" t="s">
        <v>896</v>
      </c>
      <c r="I122" s="32"/>
      <c r="J122" s="32"/>
      <c r="K122" s="33" t="s">
        <v>892</v>
      </c>
      <c r="L122" s="33" t="s">
        <v>897</v>
      </c>
      <c r="N122" s="33" t="s">
        <v>892</v>
      </c>
      <c r="O122" s="35" t="s">
        <v>898</v>
      </c>
    </row>
    <row r="123">
      <c r="A123" s="38"/>
      <c r="B123" s="28" t="s">
        <v>899</v>
      </c>
      <c r="C123" s="28" t="s">
        <v>274</v>
      </c>
      <c r="D123" s="29" t="s">
        <v>900</v>
      </c>
      <c r="E123" s="30"/>
      <c r="F123" s="28" t="s">
        <v>901</v>
      </c>
      <c r="I123" s="32"/>
      <c r="J123" s="32"/>
      <c r="K123" s="33" t="s">
        <v>899</v>
      </c>
      <c r="L123" s="33" t="s">
        <v>902</v>
      </c>
      <c r="N123" s="33" t="s">
        <v>899</v>
      </c>
      <c r="O123" s="35" t="s">
        <v>273</v>
      </c>
    </row>
    <row r="124">
      <c r="A124" s="38"/>
      <c r="B124" s="28" t="s">
        <v>903</v>
      </c>
      <c r="C124" s="28" t="s">
        <v>904</v>
      </c>
      <c r="D124" s="29" t="s">
        <v>905</v>
      </c>
      <c r="E124" s="30" t="s">
        <v>201</v>
      </c>
      <c r="F124" s="28" t="s">
        <v>195</v>
      </c>
      <c r="I124" s="32"/>
      <c r="J124" s="32"/>
      <c r="K124" s="33" t="s">
        <v>903</v>
      </c>
      <c r="L124" s="33" t="s">
        <v>906</v>
      </c>
      <c r="N124" s="33" t="s">
        <v>903</v>
      </c>
      <c r="O124" s="47" t="s">
        <v>907</v>
      </c>
    </row>
    <row r="125">
      <c r="A125" s="38"/>
      <c r="B125" s="28" t="s">
        <v>908</v>
      </c>
      <c r="C125" s="28" t="s">
        <v>289</v>
      </c>
      <c r="D125" s="29" t="s">
        <v>909</v>
      </c>
      <c r="E125" s="30" t="s">
        <v>910</v>
      </c>
      <c r="F125" s="28" t="s">
        <v>911</v>
      </c>
      <c r="I125" s="32"/>
      <c r="J125" s="32"/>
      <c r="K125" s="33" t="s">
        <v>908</v>
      </c>
      <c r="L125" s="33" t="s">
        <v>912</v>
      </c>
      <c r="N125" s="33" t="s">
        <v>908</v>
      </c>
      <c r="O125" s="35" t="s">
        <v>288</v>
      </c>
    </row>
    <row r="126">
      <c r="A126" s="38"/>
      <c r="B126" s="28" t="s">
        <v>913</v>
      </c>
      <c r="C126" s="28" t="s">
        <v>914</v>
      </c>
      <c r="D126" s="29" t="s">
        <v>915</v>
      </c>
      <c r="E126" s="30"/>
      <c r="F126" s="28" t="s">
        <v>916</v>
      </c>
      <c r="I126" s="32"/>
      <c r="J126" s="32"/>
      <c r="K126" s="33" t="s">
        <v>913</v>
      </c>
      <c r="L126" s="33" t="s">
        <v>917</v>
      </c>
      <c r="N126" s="33" t="s">
        <v>913</v>
      </c>
      <c r="O126" s="35" t="s">
        <v>918</v>
      </c>
    </row>
    <row r="127">
      <c r="A127" s="38"/>
      <c r="B127" s="28" t="s">
        <v>919</v>
      </c>
      <c r="C127" s="28" t="s">
        <v>920</v>
      </c>
      <c r="D127" s="29" t="s">
        <v>921</v>
      </c>
      <c r="E127" s="30" t="s">
        <v>922</v>
      </c>
      <c r="F127" s="28" t="s">
        <v>923</v>
      </c>
      <c r="I127" s="32"/>
      <c r="J127" s="32"/>
      <c r="K127" s="33" t="s">
        <v>919</v>
      </c>
      <c r="L127" s="33" t="s">
        <v>924</v>
      </c>
      <c r="N127" s="33" t="s">
        <v>919</v>
      </c>
      <c r="O127" s="35" t="s">
        <v>314</v>
      </c>
    </row>
    <row r="128">
      <c r="A128" s="38"/>
      <c r="B128" s="28" t="s">
        <v>925</v>
      </c>
      <c r="C128" s="28" t="s">
        <v>926</v>
      </c>
      <c r="D128" s="29" t="s">
        <v>927</v>
      </c>
      <c r="E128" s="30" t="s">
        <v>928</v>
      </c>
      <c r="F128" s="28" t="s">
        <v>929</v>
      </c>
      <c r="I128" s="32"/>
      <c r="J128" s="32"/>
      <c r="K128" s="33" t="s">
        <v>925</v>
      </c>
      <c r="L128" s="33" t="s">
        <v>930</v>
      </c>
      <c r="N128" s="33" t="s">
        <v>925</v>
      </c>
      <c r="O128" s="35" t="s">
        <v>931</v>
      </c>
    </row>
    <row r="129">
      <c r="A129" s="38"/>
      <c r="B129" s="28" t="s">
        <v>932</v>
      </c>
      <c r="C129" s="28" t="s">
        <v>315</v>
      </c>
      <c r="D129" s="29" t="s">
        <v>933</v>
      </c>
      <c r="E129" s="30" t="s">
        <v>928</v>
      </c>
      <c r="F129" s="28" t="s">
        <v>934</v>
      </c>
      <c r="I129" s="32"/>
      <c r="J129" s="32"/>
      <c r="K129" s="33" t="s">
        <v>932</v>
      </c>
      <c r="L129" s="33" t="s">
        <v>935</v>
      </c>
      <c r="N129" s="33" t="s">
        <v>932</v>
      </c>
      <c r="O129" s="35" t="s">
        <v>314</v>
      </c>
    </row>
    <row r="130">
      <c r="A130" s="38"/>
      <c r="B130" s="28" t="s">
        <v>936</v>
      </c>
      <c r="C130" s="28" t="s">
        <v>937</v>
      </c>
      <c r="D130" s="29" t="s">
        <v>938</v>
      </c>
      <c r="E130" s="30"/>
      <c r="F130" s="28" t="s">
        <v>939</v>
      </c>
      <c r="I130" s="32"/>
      <c r="J130" s="32"/>
      <c r="K130" s="33" t="s">
        <v>936</v>
      </c>
      <c r="L130" s="33" t="s">
        <v>940</v>
      </c>
      <c r="N130" s="33" t="s">
        <v>936</v>
      </c>
      <c r="O130" s="35" t="s">
        <v>314</v>
      </c>
    </row>
    <row r="131">
      <c r="A131" s="38"/>
      <c r="B131" s="28" t="s">
        <v>941</v>
      </c>
      <c r="C131" s="28" t="s">
        <v>322</v>
      </c>
      <c r="D131" s="29" t="s">
        <v>942</v>
      </c>
      <c r="E131" s="30"/>
      <c r="F131" s="28" t="s">
        <v>943</v>
      </c>
      <c r="I131" s="32"/>
      <c r="J131" s="32"/>
      <c r="K131" s="33" t="s">
        <v>941</v>
      </c>
      <c r="L131" s="33" t="s">
        <v>944</v>
      </c>
      <c r="N131" s="33" t="s">
        <v>941</v>
      </c>
      <c r="O131" s="35" t="s">
        <v>321</v>
      </c>
    </row>
    <row r="132">
      <c r="A132" s="38"/>
      <c r="B132" s="28" t="s">
        <v>945</v>
      </c>
      <c r="C132" s="28" t="s">
        <v>946</v>
      </c>
      <c r="D132" s="29" t="s">
        <v>947</v>
      </c>
      <c r="E132" s="30"/>
      <c r="F132" s="28" t="s">
        <v>948</v>
      </c>
      <c r="I132" s="32"/>
      <c r="J132" s="32"/>
      <c r="K132" s="33" t="s">
        <v>945</v>
      </c>
      <c r="L132" s="33" t="s">
        <v>949</v>
      </c>
      <c r="N132" s="33" t="s">
        <v>945</v>
      </c>
      <c r="O132" s="35"/>
    </row>
    <row r="133">
      <c r="A133" s="38"/>
      <c r="B133" s="28" t="s">
        <v>950</v>
      </c>
      <c r="C133" s="28" t="s">
        <v>341</v>
      </c>
      <c r="D133" s="29" t="s">
        <v>951</v>
      </c>
      <c r="E133" s="30" t="s">
        <v>952</v>
      </c>
      <c r="F133" s="28" t="s">
        <v>953</v>
      </c>
      <c r="I133" s="32"/>
      <c r="J133" s="32"/>
      <c r="K133" s="33" t="s">
        <v>950</v>
      </c>
      <c r="L133" s="33" t="s">
        <v>954</v>
      </c>
      <c r="N133" s="33" t="s">
        <v>950</v>
      </c>
      <c r="O133" s="35" t="s">
        <v>340</v>
      </c>
    </row>
    <row r="134">
      <c r="A134" s="38"/>
      <c r="B134" s="28" t="s">
        <v>955</v>
      </c>
      <c r="C134" s="28" t="s">
        <v>956</v>
      </c>
      <c r="D134" s="29" t="s">
        <v>957</v>
      </c>
      <c r="E134" s="30"/>
      <c r="F134" s="28" t="s">
        <v>958</v>
      </c>
      <c r="I134" s="32"/>
      <c r="J134" s="32"/>
      <c r="K134" s="33" t="s">
        <v>955</v>
      </c>
      <c r="L134" s="33" t="s">
        <v>959</v>
      </c>
      <c r="N134" s="33" t="s">
        <v>955</v>
      </c>
      <c r="O134" s="35" t="s">
        <v>960</v>
      </c>
    </row>
    <row r="135">
      <c r="A135" s="38"/>
      <c r="B135" s="28" t="s">
        <v>961</v>
      </c>
      <c r="C135" s="28" t="s">
        <v>962</v>
      </c>
      <c r="D135" s="29" t="s">
        <v>963</v>
      </c>
      <c r="E135" s="30" t="s">
        <v>964</v>
      </c>
      <c r="F135" s="28" t="s">
        <v>965</v>
      </c>
      <c r="I135" s="32"/>
      <c r="J135" s="32"/>
      <c r="K135" s="33" t="s">
        <v>961</v>
      </c>
      <c r="L135" s="33" t="s">
        <v>966</v>
      </c>
      <c r="N135" s="33" t="s">
        <v>961</v>
      </c>
      <c r="O135" s="35" t="s">
        <v>967</v>
      </c>
    </row>
    <row r="136">
      <c r="A136" s="38"/>
      <c r="B136" s="28" t="s">
        <v>968</v>
      </c>
      <c r="C136" s="28" t="s">
        <v>350</v>
      </c>
      <c r="D136" s="29" t="s">
        <v>969</v>
      </c>
      <c r="E136" s="54" t="s">
        <v>970</v>
      </c>
      <c r="F136" s="28" t="s">
        <v>971</v>
      </c>
      <c r="I136" s="32"/>
      <c r="J136" s="32"/>
      <c r="K136" s="33" t="s">
        <v>968</v>
      </c>
      <c r="L136" s="33" t="s">
        <v>972</v>
      </c>
      <c r="N136" s="33" t="s">
        <v>968</v>
      </c>
      <c r="O136" s="35" t="s">
        <v>349</v>
      </c>
    </row>
    <row r="137">
      <c r="A137" s="38"/>
      <c r="B137" s="28" t="s">
        <v>973</v>
      </c>
      <c r="C137" s="28" t="s">
        <v>356</v>
      </c>
      <c r="D137" s="29" t="s">
        <v>974</v>
      </c>
      <c r="E137" s="30" t="s">
        <v>975</v>
      </c>
      <c r="F137" s="28" t="s">
        <v>976</v>
      </c>
      <c r="I137" s="32"/>
      <c r="J137" s="32"/>
      <c r="K137" s="33" t="s">
        <v>973</v>
      </c>
      <c r="L137" s="33" t="s">
        <v>977</v>
      </c>
      <c r="N137" s="33" t="s">
        <v>973</v>
      </c>
      <c r="O137" s="35"/>
    </row>
    <row r="138">
      <c r="A138" s="38"/>
      <c r="B138" s="28" t="s">
        <v>978</v>
      </c>
      <c r="C138" s="28" t="s">
        <v>979</v>
      </c>
      <c r="D138" s="29" t="s">
        <v>980</v>
      </c>
      <c r="E138" s="30"/>
      <c r="F138" s="28" t="s">
        <v>981</v>
      </c>
      <c r="I138" s="32"/>
      <c r="J138" s="32"/>
      <c r="K138" s="33" t="s">
        <v>978</v>
      </c>
      <c r="L138" s="33" t="s">
        <v>982</v>
      </c>
      <c r="N138" s="33" t="s">
        <v>978</v>
      </c>
      <c r="O138" s="35" t="s">
        <v>983</v>
      </c>
    </row>
    <row r="139">
      <c r="A139" s="38"/>
      <c r="B139" s="28" t="s">
        <v>984</v>
      </c>
      <c r="C139" s="28" t="s">
        <v>371</v>
      </c>
      <c r="D139" s="29" t="s">
        <v>985</v>
      </c>
      <c r="E139" s="30" t="s">
        <v>986</v>
      </c>
      <c r="F139" s="28" t="s">
        <v>987</v>
      </c>
      <c r="I139" s="32"/>
      <c r="J139" s="32"/>
      <c r="K139" s="33" t="s">
        <v>984</v>
      </c>
      <c r="L139" s="33" t="s">
        <v>988</v>
      </c>
      <c r="N139" s="33" t="s">
        <v>984</v>
      </c>
      <c r="O139" s="35" t="s">
        <v>370</v>
      </c>
    </row>
    <row r="140">
      <c r="A140" s="38"/>
      <c r="B140" s="28" t="s">
        <v>989</v>
      </c>
      <c r="C140" s="28" t="s">
        <v>378</v>
      </c>
      <c r="D140" s="29" t="s">
        <v>990</v>
      </c>
      <c r="E140" s="30" t="s">
        <v>991</v>
      </c>
      <c r="F140" s="28" t="s">
        <v>992</v>
      </c>
      <c r="I140" s="32"/>
      <c r="J140" s="32"/>
      <c r="K140" s="33" t="s">
        <v>989</v>
      </c>
      <c r="L140" s="33" t="s">
        <v>993</v>
      </c>
      <c r="N140" s="33" t="s">
        <v>989</v>
      </c>
      <c r="O140" s="35" t="s">
        <v>377</v>
      </c>
    </row>
    <row r="141">
      <c r="A141" s="38"/>
      <c r="B141" s="28" t="s">
        <v>994</v>
      </c>
      <c r="C141" s="28" t="s">
        <v>386</v>
      </c>
      <c r="D141" s="29" t="s">
        <v>995</v>
      </c>
      <c r="E141" s="30" t="s">
        <v>996</v>
      </c>
      <c r="F141" s="28" t="s">
        <v>997</v>
      </c>
      <c r="I141" s="32"/>
      <c r="J141" s="32"/>
      <c r="K141" s="33" t="s">
        <v>994</v>
      </c>
      <c r="L141" s="33" t="s">
        <v>998</v>
      </c>
      <c r="N141" s="33" t="s">
        <v>994</v>
      </c>
      <c r="O141" s="35" t="s">
        <v>385</v>
      </c>
    </row>
    <row r="142">
      <c r="A142" s="38"/>
      <c r="B142" s="28" t="s">
        <v>999</v>
      </c>
      <c r="C142" s="28" t="s">
        <v>1000</v>
      </c>
      <c r="D142" s="29" t="s">
        <v>1001</v>
      </c>
      <c r="E142" s="54" t="s">
        <v>1002</v>
      </c>
      <c r="F142" s="28" t="s">
        <v>1003</v>
      </c>
      <c r="I142" s="32"/>
      <c r="J142" s="32"/>
      <c r="K142" s="33" t="s">
        <v>999</v>
      </c>
      <c r="L142" s="33" t="s">
        <v>1004</v>
      </c>
      <c r="N142" s="33" t="s">
        <v>999</v>
      </c>
      <c r="O142" s="35" t="s">
        <v>1005</v>
      </c>
    </row>
    <row r="143">
      <c r="A143" s="38"/>
      <c r="B143" s="28" t="s">
        <v>1006</v>
      </c>
      <c r="C143" s="28" t="s">
        <v>1007</v>
      </c>
      <c r="D143" s="29" t="s">
        <v>1008</v>
      </c>
      <c r="E143" s="30" t="s">
        <v>1009</v>
      </c>
      <c r="F143" s="28" t="s">
        <v>1010</v>
      </c>
      <c r="I143" s="32"/>
      <c r="J143" s="32"/>
      <c r="K143" s="33" t="s">
        <v>1006</v>
      </c>
      <c r="L143" s="33" t="s">
        <v>1011</v>
      </c>
      <c r="N143" s="33" t="s">
        <v>1006</v>
      </c>
      <c r="O143" s="35"/>
    </row>
    <row r="144">
      <c r="A144" s="38"/>
      <c r="B144" s="28" t="s">
        <v>1012</v>
      </c>
      <c r="C144" s="28" t="s">
        <v>408</v>
      </c>
      <c r="D144" s="29" t="s">
        <v>1013</v>
      </c>
      <c r="E144" s="30" t="s">
        <v>1014</v>
      </c>
      <c r="F144" s="28" t="s">
        <v>1015</v>
      </c>
      <c r="I144" s="32"/>
      <c r="J144" s="32"/>
      <c r="K144" s="33" t="s">
        <v>1012</v>
      </c>
      <c r="L144" s="33" t="s">
        <v>1016</v>
      </c>
      <c r="N144" s="33" t="s">
        <v>1012</v>
      </c>
      <c r="O144" s="47" t="s">
        <v>1017</v>
      </c>
    </row>
    <row r="145">
      <c r="A145" s="38"/>
      <c r="B145" s="28" t="s">
        <v>1018</v>
      </c>
      <c r="C145" s="28" t="s">
        <v>414</v>
      </c>
      <c r="D145" s="29" t="s">
        <v>1019</v>
      </c>
      <c r="E145" s="30" t="s">
        <v>1020</v>
      </c>
      <c r="F145" s="28" t="s">
        <v>1021</v>
      </c>
      <c r="I145" s="32"/>
      <c r="J145" s="32"/>
      <c r="K145" s="33" t="s">
        <v>1018</v>
      </c>
      <c r="L145" s="33" t="s">
        <v>1022</v>
      </c>
      <c r="N145" s="33" t="s">
        <v>1018</v>
      </c>
      <c r="O145" s="35" t="s">
        <v>413</v>
      </c>
    </row>
    <row r="146">
      <c r="A146" s="38"/>
      <c r="B146" s="28" t="s">
        <v>1023</v>
      </c>
      <c r="C146" s="28" t="s">
        <v>430</v>
      </c>
      <c r="D146" s="29" t="s">
        <v>1024</v>
      </c>
      <c r="E146" s="30" t="s">
        <v>1025</v>
      </c>
      <c r="F146" s="28" t="s">
        <v>1026</v>
      </c>
      <c r="I146" s="32"/>
      <c r="J146" s="32"/>
      <c r="K146" s="33" t="s">
        <v>1023</v>
      </c>
      <c r="L146" s="33" t="s">
        <v>1027</v>
      </c>
      <c r="N146" s="33" t="s">
        <v>1023</v>
      </c>
      <c r="O146" s="35" t="s">
        <v>429</v>
      </c>
    </row>
    <row r="147">
      <c r="A147" s="38"/>
      <c r="B147" s="28" t="s">
        <v>1028</v>
      </c>
      <c r="C147" s="28" t="s">
        <v>437</v>
      </c>
      <c r="D147" s="29" t="s">
        <v>1029</v>
      </c>
      <c r="E147" s="30" t="s">
        <v>1030</v>
      </c>
      <c r="F147" s="28" t="s">
        <v>1031</v>
      </c>
      <c r="I147" s="32"/>
      <c r="J147" s="32"/>
      <c r="K147" s="33" t="s">
        <v>1028</v>
      </c>
      <c r="L147" s="33" t="s">
        <v>1032</v>
      </c>
      <c r="N147" s="33" t="s">
        <v>1028</v>
      </c>
      <c r="O147" s="35" t="s">
        <v>436</v>
      </c>
    </row>
    <row r="148">
      <c r="A148" s="38"/>
      <c r="B148" s="28" t="s">
        <v>1033</v>
      </c>
      <c r="C148" s="28" t="s">
        <v>1034</v>
      </c>
      <c r="D148" s="29" t="s">
        <v>1035</v>
      </c>
      <c r="E148" s="30" t="s">
        <v>1036</v>
      </c>
      <c r="F148" s="28" t="s">
        <v>1037</v>
      </c>
      <c r="I148" s="32"/>
      <c r="J148" s="32"/>
      <c r="K148" s="33" t="s">
        <v>1033</v>
      </c>
      <c r="L148" s="33" t="s">
        <v>1038</v>
      </c>
      <c r="N148" s="33" t="s">
        <v>1033</v>
      </c>
      <c r="O148" s="35" t="s">
        <v>443</v>
      </c>
    </row>
    <row r="149">
      <c r="A149" s="38"/>
      <c r="B149" s="28" t="s">
        <v>1039</v>
      </c>
      <c r="C149" s="28" t="s">
        <v>457</v>
      </c>
      <c r="D149" s="29" t="s">
        <v>1040</v>
      </c>
      <c r="E149" s="54" t="s">
        <v>1041</v>
      </c>
      <c r="F149" s="28" t="s">
        <v>1042</v>
      </c>
      <c r="I149" s="32"/>
      <c r="J149" s="32"/>
      <c r="K149" s="33" t="s">
        <v>1039</v>
      </c>
      <c r="L149" s="33" t="s">
        <v>1043</v>
      </c>
      <c r="N149" s="33" t="s">
        <v>1039</v>
      </c>
      <c r="O149" s="35" t="s">
        <v>456</v>
      </c>
    </row>
    <row r="150">
      <c r="A150" s="38"/>
      <c r="B150" s="28" t="s">
        <v>1044</v>
      </c>
      <c r="C150" s="28" t="s">
        <v>471</v>
      </c>
      <c r="D150" s="29" t="s">
        <v>1045</v>
      </c>
      <c r="E150" s="30" t="s">
        <v>1046</v>
      </c>
      <c r="F150" s="28" t="s">
        <v>1047</v>
      </c>
      <c r="I150" s="32"/>
      <c r="J150" s="32"/>
      <c r="K150" s="33" t="s">
        <v>1044</v>
      </c>
      <c r="L150" s="33" t="s">
        <v>1048</v>
      </c>
      <c r="N150" s="33" t="s">
        <v>1044</v>
      </c>
      <c r="O150" s="35" t="s">
        <v>470</v>
      </c>
    </row>
    <row r="151">
      <c r="A151" s="38"/>
      <c r="B151" s="28" t="s">
        <v>1049</v>
      </c>
      <c r="C151" s="28" t="s">
        <v>477</v>
      </c>
      <c r="D151" s="29" t="s">
        <v>1050</v>
      </c>
      <c r="E151" s="30"/>
      <c r="F151" s="28" t="s">
        <v>1051</v>
      </c>
      <c r="I151" s="32"/>
      <c r="J151" s="32"/>
      <c r="K151" s="33" t="s">
        <v>1049</v>
      </c>
      <c r="L151" s="33" t="s">
        <v>1052</v>
      </c>
      <c r="N151" s="33" t="s">
        <v>1049</v>
      </c>
      <c r="O151" s="35" t="s">
        <v>476</v>
      </c>
    </row>
    <row r="152">
      <c r="A152" s="38"/>
      <c r="B152" s="28" t="s">
        <v>1053</v>
      </c>
      <c r="C152" s="28" t="s">
        <v>506</v>
      </c>
      <c r="D152" s="29" t="s">
        <v>1054</v>
      </c>
      <c r="E152" s="30" t="s">
        <v>1055</v>
      </c>
      <c r="F152" s="28" t="s">
        <v>1056</v>
      </c>
      <c r="I152" s="32"/>
      <c r="J152" s="32"/>
      <c r="K152" s="33" t="s">
        <v>1053</v>
      </c>
      <c r="L152" s="33" t="s">
        <v>1057</v>
      </c>
      <c r="N152" s="33" t="s">
        <v>1053</v>
      </c>
      <c r="O152" s="35"/>
    </row>
    <row r="153">
      <c r="A153" s="38"/>
      <c r="B153" s="28" t="s">
        <v>1058</v>
      </c>
      <c r="C153" s="28" t="s">
        <v>513</v>
      </c>
      <c r="D153" s="29" t="s">
        <v>1059</v>
      </c>
      <c r="E153" s="30" t="s">
        <v>1060</v>
      </c>
      <c r="F153" s="28" t="s">
        <v>1061</v>
      </c>
      <c r="I153" s="32"/>
      <c r="J153" s="32"/>
      <c r="K153" s="33" t="s">
        <v>1058</v>
      </c>
      <c r="L153" s="33" t="s">
        <v>1062</v>
      </c>
      <c r="N153" s="33" t="s">
        <v>1058</v>
      </c>
      <c r="O153" s="35"/>
    </row>
    <row r="154">
      <c r="A154" s="38"/>
      <c r="B154" s="28" t="s">
        <v>1063</v>
      </c>
      <c r="C154" s="28" t="s">
        <v>527</v>
      </c>
      <c r="D154" s="29" t="s">
        <v>1064</v>
      </c>
      <c r="E154" s="54" t="s">
        <v>1065</v>
      </c>
      <c r="F154" s="28" t="s">
        <v>1066</v>
      </c>
      <c r="I154" s="32"/>
      <c r="J154" s="32"/>
      <c r="K154" s="33" t="s">
        <v>1063</v>
      </c>
      <c r="L154" s="33" t="s">
        <v>1067</v>
      </c>
      <c r="N154" s="33" t="s">
        <v>1063</v>
      </c>
      <c r="O154" s="35"/>
    </row>
    <row r="155">
      <c r="A155" s="38"/>
      <c r="B155" s="28" t="s">
        <v>1068</v>
      </c>
      <c r="C155" s="28" t="s">
        <v>1069</v>
      </c>
      <c r="D155" s="29" t="s">
        <v>1070</v>
      </c>
      <c r="E155" s="30" t="s">
        <v>1071</v>
      </c>
      <c r="F155" s="28" t="s">
        <v>1072</v>
      </c>
      <c r="I155" s="32"/>
      <c r="J155" s="32"/>
      <c r="K155" s="33" t="s">
        <v>1068</v>
      </c>
      <c r="L155" s="33" t="s">
        <v>1073</v>
      </c>
      <c r="N155" s="33" t="s">
        <v>1068</v>
      </c>
      <c r="O155" s="47" t="s">
        <v>1074</v>
      </c>
    </row>
    <row r="156">
      <c r="A156" s="38"/>
      <c r="B156" s="28" t="s">
        <v>1075</v>
      </c>
      <c r="C156" s="28" t="s">
        <v>534</v>
      </c>
      <c r="D156" s="29" t="s">
        <v>1076</v>
      </c>
      <c r="E156" s="30" t="s">
        <v>1077</v>
      </c>
      <c r="F156" s="28" t="s">
        <v>1078</v>
      </c>
      <c r="I156" s="32"/>
      <c r="J156" s="32"/>
      <c r="K156" s="33" t="s">
        <v>1075</v>
      </c>
      <c r="L156" s="33" t="s">
        <v>1079</v>
      </c>
      <c r="N156" s="33" t="s">
        <v>1075</v>
      </c>
      <c r="O156" s="35"/>
    </row>
    <row r="157">
      <c r="A157" s="38"/>
      <c r="B157" s="28" t="s">
        <v>1080</v>
      </c>
      <c r="C157" s="28" t="s">
        <v>1081</v>
      </c>
      <c r="D157" s="29" t="s">
        <v>1082</v>
      </c>
      <c r="E157" s="30"/>
      <c r="F157" s="28" t="s">
        <v>1083</v>
      </c>
      <c r="I157" s="32"/>
      <c r="J157" s="32"/>
      <c r="K157" s="33" t="s">
        <v>1080</v>
      </c>
      <c r="L157" s="33" t="s">
        <v>1084</v>
      </c>
      <c r="N157" s="33" t="s">
        <v>1080</v>
      </c>
      <c r="O157" s="35"/>
    </row>
    <row r="158">
      <c r="A158" s="38"/>
      <c r="B158" s="28" t="s">
        <v>1085</v>
      </c>
      <c r="C158" s="28" t="s">
        <v>541</v>
      </c>
      <c r="D158" s="29" t="s">
        <v>1086</v>
      </c>
      <c r="E158" s="30" t="s">
        <v>1087</v>
      </c>
      <c r="F158" s="28" t="s">
        <v>1088</v>
      </c>
      <c r="I158" s="32"/>
      <c r="J158" s="32"/>
      <c r="K158" s="33" t="s">
        <v>1085</v>
      </c>
      <c r="L158" s="33" t="s">
        <v>1089</v>
      </c>
      <c r="N158" s="33" t="s">
        <v>1085</v>
      </c>
      <c r="O158" s="35" t="s">
        <v>540</v>
      </c>
    </row>
    <row r="159">
      <c r="A159" s="38"/>
      <c r="B159" s="28" t="s">
        <v>1090</v>
      </c>
      <c r="C159" s="28" t="s">
        <v>1091</v>
      </c>
      <c r="D159" s="29" t="s">
        <v>1092</v>
      </c>
      <c r="E159" s="30" t="s">
        <v>1093</v>
      </c>
      <c r="F159" s="28" t="s">
        <v>1094</v>
      </c>
      <c r="I159" s="32"/>
      <c r="J159" s="32"/>
      <c r="K159" s="33" t="s">
        <v>1090</v>
      </c>
      <c r="L159" s="33" t="s">
        <v>1095</v>
      </c>
      <c r="N159" s="33" t="s">
        <v>1090</v>
      </c>
      <c r="O159" s="35"/>
    </row>
    <row r="160">
      <c r="A160" s="38"/>
      <c r="B160" s="28" t="s">
        <v>1096</v>
      </c>
      <c r="C160" s="28" t="s">
        <v>556</v>
      </c>
      <c r="D160" s="29" t="s">
        <v>1097</v>
      </c>
      <c r="E160" s="30"/>
      <c r="F160" s="28" t="s">
        <v>1098</v>
      </c>
      <c r="I160" s="32"/>
      <c r="J160" s="32"/>
      <c r="K160" s="33" t="s">
        <v>1096</v>
      </c>
      <c r="L160" s="33" t="s">
        <v>1099</v>
      </c>
      <c r="N160" s="33" t="s">
        <v>1096</v>
      </c>
      <c r="O160" s="35" t="s">
        <v>555</v>
      </c>
    </row>
    <row r="161">
      <c r="A161" s="38"/>
      <c r="B161" s="28" t="s">
        <v>1100</v>
      </c>
      <c r="C161" s="28" t="s">
        <v>562</v>
      </c>
      <c r="D161" s="29" t="s">
        <v>1101</v>
      </c>
      <c r="E161" s="54" t="s">
        <v>1102</v>
      </c>
      <c r="F161" s="28" t="s">
        <v>1103</v>
      </c>
      <c r="I161" s="32"/>
      <c r="J161" s="32"/>
      <c r="K161" s="33" t="s">
        <v>1100</v>
      </c>
      <c r="L161" s="33" t="s">
        <v>1104</v>
      </c>
      <c r="N161" s="33" t="s">
        <v>1100</v>
      </c>
      <c r="O161" s="35"/>
    </row>
    <row r="162">
      <c r="A162" s="38"/>
      <c r="B162" s="28" t="s">
        <v>1105</v>
      </c>
      <c r="C162" s="28" t="s">
        <v>575</v>
      </c>
      <c r="D162" s="29" t="s">
        <v>1106</v>
      </c>
      <c r="E162" s="30" t="s">
        <v>1107</v>
      </c>
      <c r="F162" s="28" t="s">
        <v>1108</v>
      </c>
      <c r="I162" s="32"/>
      <c r="J162" s="32"/>
      <c r="K162" s="33" t="s">
        <v>1105</v>
      </c>
      <c r="L162" s="33" t="s">
        <v>1109</v>
      </c>
      <c r="N162" s="33" t="s">
        <v>1105</v>
      </c>
      <c r="O162" s="35" t="s">
        <v>574</v>
      </c>
    </row>
    <row r="163">
      <c r="A163" s="38"/>
      <c r="B163" s="28" t="s">
        <v>1110</v>
      </c>
      <c r="C163" s="28" t="s">
        <v>582</v>
      </c>
      <c r="D163" s="29" t="s">
        <v>1111</v>
      </c>
      <c r="E163" s="30" t="s">
        <v>1112</v>
      </c>
      <c r="F163" s="28" t="s">
        <v>1113</v>
      </c>
      <c r="I163" s="32"/>
      <c r="J163" s="32"/>
      <c r="K163" s="33" t="s">
        <v>1110</v>
      </c>
      <c r="L163" s="33" t="s">
        <v>1114</v>
      </c>
      <c r="N163" s="33" t="s">
        <v>1110</v>
      </c>
      <c r="O163" s="35" t="s">
        <v>581</v>
      </c>
    </row>
    <row r="164">
      <c r="A164" s="38"/>
      <c r="B164" s="28" t="s">
        <v>1115</v>
      </c>
      <c r="C164" s="28" t="s">
        <v>1116</v>
      </c>
      <c r="D164" s="29" t="s">
        <v>1117</v>
      </c>
      <c r="E164" s="54" t="s">
        <v>1118</v>
      </c>
      <c r="F164" s="28" t="s">
        <v>1119</v>
      </c>
      <c r="I164" s="32"/>
      <c r="J164" s="32"/>
      <c r="K164" s="33" t="s">
        <v>1115</v>
      </c>
      <c r="L164" s="33" t="s">
        <v>1120</v>
      </c>
      <c r="N164" s="33" t="s">
        <v>1115</v>
      </c>
      <c r="O164" s="35"/>
    </row>
    <row r="165">
      <c r="A165" s="38"/>
      <c r="B165" s="28" t="s">
        <v>1121</v>
      </c>
      <c r="C165" s="28" t="s">
        <v>603</v>
      </c>
      <c r="D165" s="29" t="s">
        <v>1122</v>
      </c>
      <c r="E165" s="30" t="s">
        <v>1123</v>
      </c>
      <c r="F165" s="28" t="s">
        <v>1124</v>
      </c>
      <c r="I165" s="32"/>
      <c r="J165" s="32"/>
      <c r="K165" s="33" t="s">
        <v>1121</v>
      </c>
      <c r="L165" s="33" t="s">
        <v>1125</v>
      </c>
      <c r="N165" s="33" t="s">
        <v>1121</v>
      </c>
      <c r="O165" s="35" t="s">
        <v>602</v>
      </c>
    </row>
    <row r="166">
      <c r="A166" s="38"/>
      <c r="B166" s="28" t="s">
        <v>1126</v>
      </c>
      <c r="C166" s="28" t="s">
        <v>1127</v>
      </c>
      <c r="D166" s="29" t="s">
        <v>1128</v>
      </c>
      <c r="E166" s="30" t="s">
        <v>1129</v>
      </c>
      <c r="F166" s="28" t="s">
        <v>1130</v>
      </c>
      <c r="I166" s="32"/>
      <c r="J166" s="32"/>
      <c r="K166" s="33" t="s">
        <v>1126</v>
      </c>
      <c r="L166" s="33" t="s">
        <v>1131</v>
      </c>
      <c r="N166" s="33" t="s">
        <v>1126</v>
      </c>
      <c r="O166" s="35" t="s">
        <v>1132</v>
      </c>
    </row>
    <row r="167">
      <c r="A167" s="38"/>
      <c r="B167" s="28" t="s">
        <v>1133</v>
      </c>
      <c r="C167" s="28" t="s">
        <v>1134</v>
      </c>
      <c r="D167" s="29" t="s">
        <v>1135</v>
      </c>
      <c r="E167" s="30" t="s">
        <v>1136</v>
      </c>
      <c r="F167" s="28" t="s">
        <v>1137</v>
      </c>
      <c r="I167" s="32"/>
      <c r="J167" s="32"/>
      <c r="K167" s="33" t="s">
        <v>1133</v>
      </c>
      <c r="L167" s="33" t="s">
        <v>1138</v>
      </c>
      <c r="N167" s="33" t="s">
        <v>1133</v>
      </c>
      <c r="O167" s="47" t="s">
        <v>1139</v>
      </c>
    </row>
    <row r="168">
      <c r="A168" s="38"/>
      <c r="B168" s="28" t="s">
        <v>1140</v>
      </c>
      <c r="C168" s="28" t="s">
        <v>1141</v>
      </c>
      <c r="D168" s="29" t="s">
        <v>1142</v>
      </c>
      <c r="E168" s="30" t="s">
        <v>1143</v>
      </c>
      <c r="F168" s="28" t="s">
        <v>1144</v>
      </c>
      <c r="I168" s="32"/>
      <c r="J168" s="32"/>
      <c r="K168" s="33" t="s">
        <v>1140</v>
      </c>
      <c r="L168" s="33" t="s">
        <v>1145</v>
      </c>
      <c r="N168" s="33" t="s">
        <v>1140</v>
      </c>
      <c r="O168" s="35" t="s">
        <v>1146</v>
      </c>
    </row>
    <row r="169">
      <c r="A169" s="38"/>
      <c r="B169" s="28" t="s">
        <v>1147</v>
      </c>
      <c r="C169" s="28" t="s">
        <v>1148</v>
      </c>
      <c r="D169" s="29" t="s">
        <v>1149</v>
      </c>
      <c r="E169" s="30" t="s">
        <v>1150</v>
      </c>
      <c r="F169" s="28" t="s">
        <v>1151</v>
      </c>
      <c r="I169" s="32"/>
      <c r="J169" s="32"/>
      <c r="K169" s="33" t="s">
        <v>1147</v>
      </c>
      <c r="L169" s="33" t="s">
        <v>1152</v>
      </c>
      <c r="N169" s="33" t="s">
        <v>1147</v>
      </c>
      <c r="O169" s="35" t="s">
        <v>1153</v>
      </c>
    </row>
    <row r="170">
      <c r="A170" s="38"/>
      <c r="B170" s="28" t="s">
        <v>1154</v>
      </c>
      <c r="C170" s="28" t="s">
        <v>616</v>
      </c>
      <c r="D170" s="29" t="s">
        <v>1155</v>
      </c>
      <c r="E170" s="30"/>
      <c r="F170" s="28" t="s">
        <v>1156</v>
      </c>
      <c r="I170" s="32"/>
      <c r="J170" s="32"/>
      <c r="K170" s="33" t="s">
        <v>1154</v>
      </c>
      <c r="L170" s="33" t="s">
        <v>1157</v>
      </c>
      <c r="N170" s="33" t="s">
        <v>1154</v>
      </c>
      <c r="O170" s="35" t="s">
        <v>615</v>
      </c>
    </row>
    <row r="171">
      <c r="A171" s="38"/>
      <c r="B171" s="28" t="s">
        <v>1158</v>
      </c>
      <c r="C171" s="28" t="s">
        <v>1159</v>
      </c>
      <c r="D171" s="29" t="s">
        <v>1160</v>
      </c>
      <c r="E171" s="30" t="s">
        <v>1161</v>
      </c>
      <c r="F171" s="28" t="s">
        <v>1162</v>
      </c>
      <c r="I171" s="32"/>
      <c r="J171" s="32"/>
      <c r="K171" s="33" t="s">
        <v>1158</v>
      </c>
      <c r="L171" s="33" t="s">
        <v>1163</v>
      </c>
      <c r="N171" s="33" t="s">
        <v>1158</v>
      </c>
      <c r="O171" s="47" t="s">
        <v>1164</v>
      </c>
    </row>
    <row r="172">
      <c r="A172" s="38"/>
      <c r="B172" s="28" t="s">
        <v>1165</v>
      </c>
      <c r="C172" s="28" t="s">
        <v>640</v>
      </c>
      <c r="D172" s="29" t="s">
        <v>1166</v>
      </c>
      <c r="E172" s="30" t="s">
        <v>1167</v>
      </c>
      <c r="F172" s="28" t="s">
        <v>1168</v>
      </c>
      <c r="I172" s="32"/>
      <c r="J172" s="32"/>
      <c r="K172" s="33" t="s">
        <v>1165</v>
      </c>
      <c r="L172" s="33" t="s">
        <v>1169</v>
      </c>
      <c r="N172" s="33" t="s">
        <v>1165</v>
      </c>
      <c r="O172" s="35" t="s">
        <v>639</v>
      </c>
    </row>
    <row r="173">
      <c r="A173" s="38"/>
      <c r="B173" s="28" t="s">
        <v>1170</v>
      </c>
      <c r="C173" s="28" t="s">
        <v>658</v>
      </c>
      <c r="D173" s="29" t="s">
        <v>1171</v>
      </c>
      <c r="E173" s="30" t="s">
        <v>1172</v>
      </c>
      <c r="F173" s="28" t="s">
        <v>1173</v>
      </c>
      <c r="I173" s="32"/>
      <c r="J173" s="32"/>
      <c r="K173" s="33" t="s">
        <v>1170</v>
      </c>
      <c r="L173" s="33" t="s">
        <v>1174</v>
      </c>
      <c r="N173" s="33" t="s">
        <v>1170</v>
      </c>
      <c r="O173" s="35"/>
    </row>
    <row r="174">
      <c r="A174" s="38"/>
      <c r="B174" s="28" t="s">
        <v>1175</v>
      </c>
      <c r="C174" s="28" t="s">
        <v>1176</v>
      </c>
      <c r="D174" s="29" t="s">
        <v>1177</v>
      </c>
      <c r="E174" s="30"/>
      <c r="F174" s="28" t="s">
        <v>1178</v>
      </c>
      <c r="I174" s="32"/>
      <c r="J174" s="32"/>
      <c r="K174" s="33" t="s">
        <v>1175</v>
      </c>
      <c r="L174" s="33" t="s">
        <v>1179</v>
      </c>
      <c r="N174" s="33" t="s">
        <v>1175</v>
      </c>
      <c r="O174" s="47" t="s">
        <v>1180</v>
      </c>
    </row>
    <row r="175">
      <c r="A175" s="38"/>
      <c r="B175" s="28" t="s">
        <v>1181</v>
      </c>
      <c r="C175" s="28" t="s">
        <v>1182</v>
      </c>
      <c r="D175" s="29" t="s">
        <v>1183</v>
      </c>
      <c r="E175" s="30"/>
      <c r="F175" s="28" t="s">
        <v>1184</v>
      </c>
      <c r="I175" s="32"/>
      <c r="J175" s="32"/>
      <c r="K175" s="33" t="s">
        <v>1181</v>
      </c>
      <c r="L175" s="33" t="s">
        <v>1185</v>
      </c>
      <c r="N175" s="33" t="s">
        <v>1181</v>
      </c>
      <c r="O175" s="35" t="s">
        <v>1186</v>
      </c>
    </row>
    <row r="176">
      <c r="A176" s="38"/>
      <c r="B176" s="28" t="s">
        <v>1187</v>
      </c>
      <c r="C176" s="28" t="s">
        <v>1188</v>
      </c>
      <c r="D176" s="29" t="s">
        <v>1189</v>
      </c>
      <c r="E176" s="30"/>
      <c r="F176" s="28" t="s">
        <v>1190</v>
      </c>
      <c r="I176" s="32"/>
      <c r="J176" s="32"/>
      <c r="K176" s="33" t="s">
        <v>1187</v>
      </c>
      <c r="L176" s="33" t="s">
        <v>1191</v>
      </c>
      <c r="N176" s="33" t="s">
        <v>1187</v>
      </c>
      <c r="O176" s="35" t="s">
        <v>1192</v>
      </c>
    </row>
    <row r="177">
      <c r="A177" s="38"/>
      <c r="B177" s="28" t="s">
        <v>1193</v>
      </c>
      <c r="C177" s="28" t="s">
        <v>1194</v>
      </c>
      <c r="D177" s="29" t="s">
        <v>1195</v>
      </c>
      <c r="E177" s="30" t="s">
        <v>1196</v>
      </c>
      <c r="F177" s="28" t="s">
        <v>1197</v>
      </c>
      <c r="I177" s="32"/>
      <c r="J177" s="32"/>
      <c r="K177" s="33" t="s">
        <v>1193</v>
      </c>
      <c r="L177" s="33" t="s">
        <v>1198</v>
      </c>
      <c r="N177" s="33" t="s">
        <v>1193</v>
      </c>
      <c r="O177" s="35"/>
    </row>
    <row r="178">
      <c r="A178" s="38"/>
      <c r="B178" s="28" t="s">
        <v>1199</v>
      </c>
      <c r="C178" s="28" t="s">
        <v>1200</v>
      </c>
      <c r="D178" s="29" t="s">
        <v>1201</v>
      </c>
      <c r="E178" s="30"/>
      <c r="F178" s="28" t="s">
        <v>1202</v>
      </c>
      <c r="I178" s="32"/>
      <c r="J178" s="32"/>
      <c r="K178" s="33" t="s">
        <v>1199</v>
      </c>
      <c r="L178" s="33" t="s">
        <v>1203</v>
      </c>
      <c r="N178" s="33" t="s">
        <v>1199</v>
      </c>
      <c r="O178" s="35" t="s">
        <v>1204</v>
      </c>
    </row>
    <row r="179">
      <c r="A179" s="38"/>
      <c r="B179" s="28" t="s">
        <v>1205</v>
      </c>
      <c r="C179" s="28" t="s">
        <v>665</v>
      </c>
      <c r="D179" s="29" t="s">
        <v>1206</v>
      </c>
      <c r="E179" s="30" t="s">
        <v>1207</v>
      </c>
      <c r="F179" s="28" t="s">
        <v>1208</v>
      </c>
      <c r="I179" s="32"/>
      <c r="J179" s="32"/>
      <c r="K179" s="33" t="s">
        <v>1205</v>
      </c>
      <c r="L179" s="33" t="s">
        <v>1209</v>
      </c>
      <c r="N179" s="33" t="s">
        <v>1205</v>
      </c>
      <c r="O179" s="35" t="s">
        <v>664</v>
      </c>
    </row>
    <row r="180">
      <c r="A180" s="38"/>
      <c r="B180" s="28" t="s">
        <v>1210</v>
      </c>
      <c r="C180" s="28" t="s">
        <v>1211</v>
      </c>
      <c r="D180" s="29" t="s">
        <v>1212</v>
      </c>
      <c r="E180" s="30" t="s">
        <v>1213</v>
      </c>
      <c r="F180" s="28" t="s">
        <v>1214</v>
      </c>
      <c r="I180" s="32"/>
      <c r="J180" s="32"/>
      <c r="K180" s="33" t="s">
        <v>1210</v>
      </c>
      <c r="L180" s="33" t="s">
        <v>1215</v>
      </c>
      <c r="N180" s="33" t="s">
        <v>1210</v>
      </c>
      <c r="O180" s="35"/>
    </row>
    <row r="181">
      <c r="A181" s="38"/>
      <c r="B181" s="28" t="s">
        <v>1216</v>
      </c>
      <c r="C181" s="28" t="s">
        <v>690</v>
      </c>
      <c r="D181" s="29" t="s">
        <v>1217</v>
      </c>
      <c r="E181" s="54" t="s">
        <v>1218</v>
      </c>
      <c r="F181" s="28" t="s">
        <v>1219</v>
      </c>
      <c r="I181" s="32"/>
      <c r="J181" s="32"/>
      <c r="K181" s="33" t="s">
        <v>1216</v>
      </c>
      <c r="L181" s="33" t="s">
        <v>1220</v>
      </c>
      <c r="N181" s="33" t="s">
        <v>1216</v>
      </c>
      <c r="O181" s="35" t="s">
        <v>689</v>
      </c>
    </row>
    <row r="182">
      <c r="A182" s="38"/>
      <c r="B182" s="28" t="s">
        <v>1221</v>
      </c>
      <c r="C182" s="28" t="s">
        <v>697</v>
      </c>
      <c r="D182" s="29" t="s">
        <v>1222</v>
      </c>
      <c r="E182" s="30"/>
      <c r="F182" s="28" t="s">
        <v>1223</v>
      </c>
      <c r="I182" s="32"/>
      <c r="J182" s="32"/>
      <c r="K182" s="33" t="s">
        <v>1221</v>
      </c>
      <c r="L182" s="33" t="s">
        <v>1224</v>
      </c>
      <c r="N182" s="33" t="s">
        <v>1221</v>
      </c>
      <c r="O182" s="47" t="s">
        <v>1225</v>
      </c>
    </row>
    <row r="183">
      <c r="A183" s="38"/>
      <c r="B183" s="28" t="s">
        <v>1226</v>
      </c>
      <c r="C183" s="28" t="s">
        <v>1227</v>
      </c>
      <c r="D183" s="29" t="s">
        <v>1228</v>
      </c>
      <c r="E183" s="30" t="s">
        <v>1229</v>
      </c>
      <c r="F183" s="28" t="s">
        <v>1230</v>
      </c>
      <c r="I183" s="32"/>
      <c r="J183" s="32"/>
      <c r="K183" s="33" t="s">
        <v>1226</v>
      </c>
      <c r="L183" s="33" t="s">
        <v>1231</v>
      </c>
      <c r="N183" s="33" t="s">
        <v>1226</v>
      </c>
      <c r="O183" s="35" t="s">
        <v>1232</v>
      </c>
    </row>
    <row r="184">
      <c r="A184" s="38"/>
      <c r="B184" s="28" t="s">
        <v>1233</v>
      </c>
      <c r="C184" s="28" t="s">
        <v>710</v>
      </c>
      <c r="D184" s="29" t="s">
        <v>1234</v>
      </c>
      <c r="E184" s="30" t="s">
        <v>1235</v>
      </c>
      <c r="F184" s="28" t="s">
        <v>1236</v>
      </c>
      <c r="I184" s="32"/>
      <c r="J184" s="32"/>
      <c r="K184" s="33" t="s">
        <v>1233</v>
      </c>
      <c r="L184" s="33" t="s">
        <v>1237</v>
      </c>
      <c r="N184" s="33" t="s">
        <v>1233</v>
      </c>
      <c r="O184" s="35"/>
    </row>
    <row r="185">
      <c r="A185" s="38"/>
      <c r="B185" s="28" t="s">
        <v>1238</v>
      </c>
      <c r="C185" s="28" t="s">
        <v>716</v>
      </c>
      <c r="D185" s="29" t="s">
        <v>1239</v>
      </c>
      <c r="E185" s="30" t="s">
        <v>1240</v>
      </c>
      <c r="F185" s="28" t="s">
        <v>1241</v>
      </c>
      <c r="I185" s="32"/>
      <c r="J185" s="32"/>
      <c r="K185" s="33" t="s">
        <v>1238</v>
      </c>
      <c r="L185" s="33" t="s">
        <v>1242</v>
      </c>
      <c r="N185" s="33" t="s">
        <v>1238</v>
      </c>
      <c r="O185" s="35"/>
    </row>
    <row r="186">
      <c r="A186" s="38"/>
      <c r="B186" s="28" t="s">
        <v>1243</v>
      </c>
      <c r="C186" s="28" t="s">
        <v>1244</v>
      </c>
      <c r="D186" s="29" t="s">
        <v>1245</v>
      </c>
      <c r="E186" s="30"/>
      <c r="F186" s="28" t="s">
        <v>1246</v>
      </c>
      <c r="I186" s="32"/>
      <c r="J186" s="32"/>
      <c r="K186" s="33" t="s">
        <v>1243</v>
      </c>
      <c r="L186" s="33" t="s">
        <v>1247</v>
      </c>
      <c r="N186" s="33" t="s">
        <v>1243</v>
      </c>
      <c r="O186" s="35" t="s">
        <v>1248</v>
      </c>
    </row>
    <row r="187">
      <c r="A187" s="38"/>
      <c r="B187" s="28" t="s">
        <v>1249</v>
      </c>
      <c r="C187" s="28" t="s">
        <v>1250</v>
      </c>
      <c r="D187" s="29" t="s">
        <v>1251</v>
      </c>
      <c r="E187" s="30"/>
      <c r="F187" s="28" t="s">
        <v>1252</v>
      </c>
      <c r="I187" s="32"/>
      <c r="J187" s="32"/>
      <c r="K187" s="33" t="s">
        <v>1249</v>
      </c>
      <c r="L187" s="33" t="s">
        <v>1253</v>
      </c>
      <c r="N187" s="33" t="s">
        <v>1249</v>
      </c>
      <c r="O187" s="35" t="s">
        <v>1254</v>
      </c>
    </row>
    <row r="188">
      <c r="A188" s="38"/>
      <c r="B188" s="28" t="s">
        <v>1255</v>
      </c>
      <c r="C188" s="28" t="s">
        <v>733</v>
      </c>
      <c r="D188" s="29" t="s">
        <v>1256</v>
      </c>
      <c r="E188" s="30" t="s">
        <v>1257</v>
      </c>
      <c r="F188" s="28" t="s">
        <v>1258</v>
      </c>
      <c r="I188" s="32"/>
      <c r="J188" s="32"/>
      <c r="K188" s="33" t="s">
        <v>1255</v>
      </c>
      <c r="L188" s="33" t="s">
        <v>1259</v>
      </c>
      <c r="N188" s="33" t="s">
        <v>1255</v>
      </c>
      <c r="O188" s="35"/>
    </row>
    <row r="189">
      <c r="A189" s="38"/>
      <c r="B189" s="28" t="s">
        <v>1260</v>
      </c>
      <c r="C189" s="28" t="s">
        <v>1261</v>
      </c>
      <c r="D189" s="29" t="s">
        <v>1262</v>
      </c>
      <c r="E189" s="30" t="s">
        <v>1263</v>
      </c>
      <c r="F189" s="28" t="s">
        <v>1264</v>
      </c>
      <c r="I189" s="32"/>
      <c r="J189" s="32"/>
      <c r="K189" s="33" t="s">
        <v>1260</v>
      </c>
      <c r="L189" s="33" t="s">
        <v>1265</v>
      </c>
      <c r="N189" s="33" t="s">
        <v>1260</v>
      </c>
      <c r="O189" s="35"/>
    </row>
    <row r="190">
      <c r="A190" s="38"/>
      <c r="B190" s="28" t="s">
        <v>1266</v>
      </c>
      <c r="C190" s="28" t="s">
        <v>1267</v>
      </c>
      <c r="D190" s="29" t="s">
        <v>1268</v>
      </c>
      <c r="E190" s="30" t="s">
        <v>1269</v>
      </c>
      <c r="F190" s="28" t="s">
        <v>1270</v>
      </c>
      <c r="I190" s="32"/>
      <c r="J190" s="32"/>
      <c r="K190" s="33" t="s">
        <v>1266</v>
      </c>
      <c r="L190" s="33" t="s">
        <v>1271</v>
      </c>
      <c r="N190" s="33" t="s">
        <v>1266</v>
      </c>
      <c r="O190" s="35" t="s">
        <v>1272</v>
      </c>
    </row>
    <row r="191">
      <c r="A191" s="38"/>
      <c r="B191" s="28" t="s">
        <v>1273</v>
      </c>
      <c r="C191" s="28" t="s">
        <v>1274</v>
      </c>
      <c r="D191" s="29" t="s">
        <v>1275</v>
      </c>
      <c r="E191" s="30" t="s">
        <v>1276</v>
      </c>
      <c r="F191" s="28" t="s">
        <v>1277</v>
      </c>
      <c r="I191" s="32"/>
      <c r="J191" s="32"/>
      <c r="K191" s="33" t="s">
        <v>1273</v>
      </c>
      <c r="L191" s="33" t="s">
        <v>1278</v>
      </c>
      <c r="N191" s="33" t="s">
        <v>1273</v>
      </c>
      <c r="O191" s="47" t="s">
        <v>1279</v>
      </c>
    </row>
    <row r="192">
      <c r="A192" s="38"/>
      <c r="B192" s="28" t="s">
        <v>1280</v>
      </c>
      <c r="C192" s="28" t="s">
        <v>1281</v>
      </c>
      <c r="D192" s="29" t="s">
        <v>1282</v>
      </c>
      <c r="E192" s="30" t="s">
        <v>1283</v>
      </c>
      <c r="F192" s="28" t="s">
        <v>1284</v>
      </c>
      <c r="I192" s="32"/>
      <c r="J192" s="32"/>
      <c r="K192" s="33" t="s">
        <v>1280</v>
      </c>
      <c r="L192" s="33" t="s">
        <v>1285</v>
      </c>
      <c r="N192" s="33" t="s">
        <v>1280</v>
      </c>
      <c r="O192" s="35" t="s">
        <v>1286</v>
      </c>
    </row>
    <row r="193">
      <c r="A193" s="38"/>
      <c r="B193" s="28" t="s">
        <v>1287</v>
      </c>
      <c r="C193" s="28" t="s">
        <v>1288</v>
      </c>
      <c r="D193" s="29" t="s">
        <v>1289</v>
      </c>
      <c r="E193" s="30" t="s">
        <v>1283</v>
      </c>
      <c r="F193" s="28" t="s">
        <v>1290</v>
      </c>
      <c r="I193" s="32"/>
      <c r="J193" s="32"/>
      <c r="K193" s="33" t="s">
        <v>1287</v>
      </c>
      <c r="L193" s="33" t="s">
        <v>1291</v>
      </c>
      <c r="N193" s="33" t="s">
        <v>1287</v>
      </c>
      <c r="O193" s="35"/>
    </row>
    <row r="194">
      <c r="A194" s="38"/>
      <c r="B194" s="28" t="s">
        <v>1292</v>
      </c>
      <c r="C194" s="28" t="s">
        <v>751</v>
      </c>
      <c r="D194" s="29" t="s">
        <v>1293</v>
      </c>
      <c r="E194" s="30" t="s">
        <v>1294</v>
      </c>
      <c r="F194" s="28" t="s">
        <v>1295</v>
      </c>
      <c r="I194" s="32"/>
      <c r="J194" s="32"/>
      <c r="K194" s="33" t="s">
        <v>1292</v>
      </c>
      <c r="L194" s="33" t="s">
        <v>1296</v>
      </c>
      <c r="N194" s="33" t="s">
        <v>1292</v>
      </c>
      <c r="O194" s="35" t="s">
        <v>750</v>
      </c>
    </row>
    <row r="195">
      <c r="A195" s="38"/>
      <c r="B195" s="28" t="s">
        <v>1297</v>
      </c>
      <c r="C195" s="28" t="s">
        <v>1298</v>
      </c>
      <c r="D195" s="29" t="s">
        <v>1299</v>
      </c>
      <c r="E195" s="30" t="s">
        <v>1300</v>
      </c>
      <c r="F195" s="28" t="s">
        <v>1301</v>
      </c>
      <c r="I195" s="32"/>
      <c r="J195" s="32"/>
      <c r="K195" s="33" t="s">
        <v>1297</v>
      </c>
      <c r="L195" s="33" t="s">
        <v>1302</v>
      </c>
      <c r="N195" s="33" t="s">
        <v>1297</v>
      </c>
      <c r="O195" s="35"/>
    </row>
    <row r="196">
      <c r="A196" s="38"/>
      <c r="B196" s="28" t="s">
        <v>1303</v>
      </c>
      <c r="C196" s="28" t="s">
        <v>782</v>
      </c>
      <c r="D196" s="29" t="s">
        <v>1304</v>
      </c>
      <c r="E196" s="30"/>
      <c r="F196" s="28" t="s">
        <v>1305</v>
      </c>
      <c r="I196" s="32"/>
      <c r="J196" s="32"/>
      <c r="K196" s="33" t="s">
        <v>1303</v>
      </c>
      <c r="L196" s="33" t="s">
        <v>1306</v>
      </c>
      <c r="N196" s="33" t="s">
        <v>1303</v>
      </c>
      <c r="O196" s="35" t="s">
        <v>781</v>
      </c>
    </row>
    <row r="197">
      <c r="A197" s="38"/>
      <c r="B197" s="28" t="s">
        <v>1307</v>
      </c>
      <c r="C197" s="28" t="s">
        <v>1308</v>
      </c>
      <c r="D197" s="29" t="s">
        <v>1309</v>
      </c>
      <c r="E197" s="30" t="s">
        <v>1310</v>
      </c>
      <c r="F197" s="28" t="s">
        <v>1311</v>
      </c>
      <c r="I197" s="32"/>
      <c r="J197" s="32"/>
      <c r="K197" s="33" t="s">
        <v>1307</v>
      </c>
      <c r="L197" s="33" t="s">
        <v>1312</v>
      </c>
      <c r="N197" s="33" t="s">
        <v>1307</v>
      </c>
      <c r="O197" s="47" t="s">
        <v>1313</v>
      </c>
    </row>
    <row r="198">
      <c r="A198" s="38"/>
      <c r="B198" s="28" t="s">
        <v>1314</v>
      </c>
      <c r="C198" s="28" t="s">
        <v>801</v>
      </c>
      <c r="D198" s="29" t="s">
        <v>1315</v>
      </c>
      <c r="E198" s="54" t="s">
        <v>1316</v>
      </c>
      <c r="F198" s="28" t="s">
        <v>1317</v>
      </c>
      <c r="I198" s="32"/>
      <c r="J198" s="32"/>
      <c r="K198" s="33" t="s">
        <v>1314</v>
      </c>
      <c r="L198" s="33" t="s">
        <v>1318</v>
      </c>
      <c r="N198" s="33" t="s">
        <v>1314</v>
      </c>
      <c r="O198" s="35" t="s">
        <v>800</v>
      </c>
    </row>
    <row r="199">
      <c r="A199" s="38"/>
      <c r="B199" s="28" t="s">
        <v>1319</v>
      </c>
      <c r="C199" s="28" t="s">
        <v>1320</v>
      </c>
      <c r="D199" s="29" t="s">
        <v>1321</v>
      </c>
      <c r="E199" s="30" t="s">
        <v>1322</v>
      </c>
      <c r="F199" s="28" t="s">
        <v>1323</v>
      </c>
      <c r="I199" s="32"/>
      <c r="J199" s="32"/>
      <c r="K199" s="33" t="s">
        <v>1319</v>
      </c>
      <c r="L199" s="33" t="s">
        <v>1324</v>
      </c>
      <c r="N199" s="33" t="s">
        <v>1319</v>
      </c>
      <c r="O199" s="35"/>
    </row>
    <row r="200">
      <c r="A200" s="38"/>
      <c r="B200" s="28" t="s">
        <v>1325</v>
      </c>
      <c r="C200" s="28" t="s">
        <v>1326</v>
      </c>
      <c r="D200" s="29" t="s">
        <v>1327</v>
      </c>
      <c r="E200" s="30" t="s">
        <v>486</v>
      </c>
      <c r="F200" s="28" t="s">
        <v>1328</v>
      </c>
      <c r="I200" s="32"/>
      <c r="J200" s="32"/>
      <c r="K200" s="33" t="s">
        <v>1325</v>
      </c>
      <c r="L200" s="33" t="s">
        <v>1329</v>
      </c>
      <c r="N200" s="33" t="s">
        <v>1325</v>
      </c>
      <c r="O200" s="35" t="s">
        <v>1330</v>
      </c>
    </row>
    <row r="201">
      <c r="A201" s="38"/>
      <c r="B201" s="28" t="s">
        <v>1331</v>
      </c>
      <c r="C201" s="28" t="s">
        <v>805</v>
      </c>
      <c r="D201" s="29" t="s">
        <v>1332</v>
      </c>
      <c r="E201" s="30" t="s">
        <v>486</v>
      </c>
      <c r="F201" s="28" t="s">
        <v>1333</v>
      </c>
      <c r="I201" s="32"/>
      <c r="J201" s="32"/>
      <c r="K201" s="33" t="s">
        <v>1331</v>
      </c>
      <c r="L201" s="33" t="s">
        <v>1334</v>
      </c>
      <c r="N201" s="33" t="s">
        <v>1331</v>
      </c>
      <c r="O201" s="35"/>
    </row>
    <row r="202">
      <c r="A202" s="38"/>
      <c r="B202" s="28" t="s">
        <v>1335</v>
      </c>
      <c r="C202" s="28" t="s">
        <v>1336</v>
      </c>
      <c r="D202" s="29" t="s">
        <v>1337</v>
      </c>
      <c r="E202" s="30" t="s">
        <v>1338</v>
      </c>
      <c r="F202" s="28" t="s">
        <v>1339</v>
      </c>
      <c r="I202" s="32"/>
      <c r="J202" s="32"/>
      <c r="K202" s="33" t="s">
        <v>1335</v>
      </c>
      <c r="L202" s="33" t="s">
        <v>1340</v>
      </c>
      <c r="N202" s="33" t="s">
        <v>1335</v>
      </c>
      <c r="O202" s="47" t="s">
        <v>1341</v>
      </c>
    </row>
    <row r="203">
      <c r="A203" s="38"/>
      <c r="B203" s="28" t="s">
        <v>1342</v>
      </c>
      <c r="C203" s="28" t="s">
        <v>811</v>
      </c>
      <c r="D203" s="29" t="s">
        <v>1343</v>
      </c>
      <c r="E203" s="30"/>
      <c r="F203" s="28" t="s">
        <v>1344</v>
      </c>
      <c r="I203" s="32"/>
      <c r="J203" s="32"/>
      <c r="K203" s="33" t="s">
        <v>1342</v>
      </c>
      <c r="L203" s="33" t="s">
        <v>1345</v>
      </c>
      <c r="N203" s="33" t="s">
        <v>1342</v>
      </c>
      <c r="O203" s="35" t="s">
        <v>810</v>
      </c>
    </row>
    <row r="204">
      <c r="A204" s="38"/>
      <c r="B204" s="28" t="s">
        <v>1346</v>
      </c>
      <c r="C204" s="28" t="s">
        <v>815</v>
      </c>
      <c r="D204" s="29" t="s">
        <v>1347</v>
      </c>
      <c r="E204" s="30" t="s">
        <v>1338</v>
      </c>
      <c r="F204" s="28" t="s">
        <v>1348</v>
      </c>
      <c r="I204" s="32"/>
      <c r="J204" s="32"/>
      <c r="K204" s="33" t="s">
        <v>1346</v>
      </c>
      <c r="L204" s="33" t="s">
        <v>1349</v>
      </c>
      <c r="N204" s="33" t="s">
        <v>1346</v>
      </c>
      <c r="O204" s="35"/>
    </row>
    <row r="205">
      <c r="A205" s="38"/>
      <c r="B205" s="28" t="s">
        <v>1350</v>
      </c>
      <c r="C205" s="28" t="s">
        <v>1351</v>
      </c>
      <c r="D205" s="29" t="s">
        <v>1352</v>
      </c>
      <c r="E205" s="30"/>
      <c r="F205" s="28" t="s">
        <v>1353</v>
      </c>
      <c r="I205" s="32"/>
      <c r="J205" s="32"/>
      <c r="K205" s="33" t="s">
        <v>1350</v>
      </c>
      <c r="L205" s="33" t="s">
        <v>1354</v>
      </c>
      <c r="N205" s="33" t="s">
        <v>1350</v>
      </c>
      <c r="O205" s="35"/>
    </row>
    <row r="206">
      <c r="A206" s="38"/>
      <c r="B206" s="28" t="s">
        <v>1355</v>
      </c>
      <c r="C206" s="28" t="s">
        <v>824</v>
      </c>
      <c r="D206" s="29" t="s">
        <v>1356</v>
      </c>
      <c r="E206" s="30" t="s">
        <v>1357</v>
      </c>
      <c r="F206" s="28" t="s">
        <v>1358</v>
      </c>
      <c r="I206" s="32"/>
      <c r="J206" s="32"/>
      <c r="K206" s="33" t="s">
        <v>1355</v>
      </c>
      <c r="L206" s="33" t="s">
        <v>1359</v>
      </c>
      <c r="N206" s="33" t="s">
        <v>1355</v>
      </c>
      <c r="O206" s="35"/>
    </row>
    <row r="207">
      <c r="A207" s="38"/>
      <c r="B207" s="28" t="s">
        <v>1360</v>
      </c>
      <c r="C207" s="28" t="s">
        <v>1361</v>
      </c>
      <c r="D207" s="29" t="s">
        <v>1362</v>
      </c>
      <c r="E207" s="30" t="s">
        <v>1363</v>
      </c>
      <c r="F207" s="28" t="s">
        <v>1364</v>
      </c>
      <c r="I207" s="32"/>
      <c r="J207" s="32"/>
      <c r="K207" s="33" t="s">
        <v>1360</v>
      </c>
      <c r="L207" s="33" t="s">
        <v>1365</v>
      </c>
      <c r="N207" s="33" t="s">
        <v>1360</v>
      </c>
      <c r="O207" s="35" t="s">
        <v>1366</v>
      </c>
    </row>
    <row r="208">
      <c r="A208" s="38"/>
      <c r="B208" s="28" t="s">
        <v>1367</v>
      </c>
      <c r="C208" s="28" t="s">
        <v>829</v>
      </c>
      <c r="D208" s="29" t="s">
        <v>1368</v>
      </c>
      <c r="E208" s="30" t="s">
        <v>1369</v>
      </c>
      <c r="F208" s="28" t="s">
        <v>1370</v>
      </c>
      <c r="I208" s="32"/>
      <c r="J208" s="32"/>
      <c r="K208" s="33" t="s">
        <v>1367</v>
      </c>
      <c r="L208" s="33" t="s">
        <v>1371</v>
      </c>
      <c r="N208" s="33" t="s">
        <v>1367</v>
      </c>
      <c r="O208" s="35" t="s">
        <v>828</v>
      </c>
    </row>
    <row r="209">
      <c r="A209" s="38"/>
      <c r="B209" s="28" t="s">
        <v>1372</v>
      </c>
      <c r="C209" s="28" t="s">
        <v>1373</v>
      </c>
      <c r="D209" s="29" t="s">
        <v>1374</v>
      </c>
      <c r="E209" s="30" t="s">
        <v>1375</v>
      </c>
      <c r="F209" s="28" t="s">
        <v>1376</v>
      </c>
      <c r="I209" s="32"/>
      <c r="J209" s="32"/>
      <c r="K209" s="33" t="s">
        <v>1372</v>
      </c>
      <c r="L209" s="33" t="s">
        <v>1377</v>
      </c>
      <c r="N209" s="33" t="s">
        <v>1372</v>
      </c>
      <c r="O209" s="35" t="s">
        <v>1378</v>
      </c>
    </row>
    <row r="210">
      <c r="A210" s="38"/>
      <c r="B210" s="28" t="s">
        <v>1379</v>
      </c>
      <c r="C210" s="28" t="s">
        <v>1380</v>
      </c>
      <c r="D210" s="29" t="s">
        <v>1381</v>
      </c>
      <c r="E210" s="30" t="s">
        <v>1382</v>
      </c>
      <c r="F210" s="28" t="s">
        <v>1383</v>
      </c>
      <c r="I210" s="32"/>
      <c r="J210" s="32"/>
      <c r="K210" s="33" t="s">
        <v>1379</v>
      </c>
      <c r="L210" s="33" t="s">
        <v>1384</v>
      </c>
      <c r="N210" s="33" t="s">
        <v>1379</v>
      </c>
      <c r="O210" s="35"/>
    </row>
    <row r="211">
      <c r="A211" s="38"/>
      <c r="B211" s="28" t="s">
        <v>1385</v>
      </c>
      <c r="C211" s="28" t="s">
        <v>841</v>
      </c>
      <c r="D211" s="29" t="s">
        <v>1386</v>
      </c>
      <c r="E211" s="30" t="s">
        <v>1387</v>
      </c>
      <c r="F211" s="28" t="s">
        <v>1388</v>
      </c>
      <c r="I211" s="32"/>
      <c r="J211" s="32"/>
      <c r="K211" s="33" t="s">
        <v>1385</v>
      </c>
      <c r="L211" s="33" t="s">
        <v>1389</v>
      </c>
      <c r="N211" s="33" t="s">
        <v>1385</v>
      </c>
      <c r="O211" s="35" t="s">
        <v>840</v>
      </c>
    </row>
    <row r="212">
      <c r="A212" s="38"/>
      <c r="B212" s="28" t="s">
        <v>1390</v>
      </c>
      <c r="C212" s="28" t="s">
        <v>850</v>
      </c>
      <c r="D212" s="29" t="s">
        <v>1391</v>
      </c>
      <c r="E212" s="30" t="s">
        <v>1392</v>
      </c>
      <c r="F212" s="28" t="s">
        <v>1393</v>
      </c>
      <c r="I212" s="32"/>
      <c r="J212" s="32"/>
      <c r="K212" s="33" t="s">
        <v>1390</v>
      </c>
      <c r="L212" s="33" t="s">
        <v>1394</v>
      </c>
      <c r="N212" s="33" t="s">
        <v>1390</v>
      </c>
      <c r="O212" s="35"/>
    </row>
    <row r="213">
      <c r="A213" s="38"/>
      <c r="B213" s="28" t="s">
        <v>1395</v>
      </c>
      <c r="C213" s="28" t="s">
        <v>855</v>
      </c>
      <c r="D213" s="29" t="s">
        <v>1396</v>
      </c>
      <c r="E213" s="30"/>
      <c r="F213" s="28" t="s">
        <v>1397</v>
      </c>
      <c r="I213" s="32"/>
      <c r="J213" s="32"/>
      <c r="K213" s="33" t="s">
        <v>1395</v>
      </c>
      <c r="L213" s="33" t="s">
        <v>1398</v>
      </c>
      <c r="N213" s="33" t="s">
        <v>1395</v>
      </c>
      <c r="O213" s="35" t="s">
        <v>854</v>
      </c>
    </row>
    <row r="214">
      <c r="A214" s="38"/>
      <c r="B214" s="28" t="s">
        <v>1399</v>
      </c>
      <c r="C214" s="28" t="s">
        <v>1400</v>
      </c>
      <c r="D214" s="29" t="s">
        <v>1401</v>
      </c>
      <c r="E214" s="30" t="s">
        <v>1402</v>
      </c>
      <c r="F214" s="28" t="s">
        <v>1403</v>
      </c>
      <c r="I214" s="32"/>
      <c r="J214" s="32"/>
      <c r="K214" s="33" t="s">
        <v>1399</v>
      </c>
      <c r="L214" s="33" t="s">
        <v>1404</v>
      </c>
      <c r="N214" s="33" t="s">
        <v>1399</v>
      </c>
      <c r="O214" s="35"/>
    </row>
    <row r="215">
      <c r="A215" s="38"/>
      <c r="B215" s="28" t="s">
        <v>1405</v>
      </c>
      <c r="C215" s="28" t="s">
        <v>1406</v>
      </c>
      <c r="D215" s="29" t="s">
        <v>1407</v>
      </c>
      <c r="E215" s="30" t="s">
        <v>1408</v>
      </c>
      <c r="F215" s="28" t="s">
        <v>1409</v>
      </c>
      <c r="I215" s="32"/>
      <c r="J215" s="32"/>
      <c r="K215" s="33" t="s">
        <v>1405</v>
      </c>
      <c r="L215" s="33" t="s">
        <v>1410</v>
      </c>
      <c r="N215" s="33" t="s">
        <v>1405</v>
      </c>
      <c r="O215" s="35" t="s">
        <v>1411</v>
      </c>
    </row>
    <row r="216">
      <c r="A216" s="38"/>
      <c r="B216" s="28" t="s">
        <v>1412</v>
      </c>
      <c r="C216" s="28" t="s">
        <v>860</v>
      </c>
      <c r="D216" s="29" t="s">
        <v>1413</v>
      </c>
      <c r="E216" s="30" t="s">
        <v>1414</v>
      </c>
      <c r="F216" s="28" t="s">
        <v>1415</v>
      </c>
      <c r="I216" s="32"/>
      <c r="J216" s="32"/>
      <c r="K216" s="33" t="s">
        <v>1412</v>
      </c>
      <c r="L216" s="33" t="s">
        <v>1416</v>
      </c>
      <c r="N216" s="33" t="s">
        <v>1412</v>
      </c>
      <c r="O216" s="35"/>
    </row>
    <row r="217">
      <c r="A217" s="38"/>
      <c r="B217" s="28" t="s">
        <v>1417</v>
      </c>
      <c r="C217" s="28" t="s">
        <v>1418</v>
      </c>
      <c r="D217" s="29" t="s">
        <v>1419</v>
      </c>
      <c r="E217" s="30"/>
      <c r="F217" s="28" t="s">
        <v>1420</v>
      </c>
      <c r="I217" s="32"/>
      <c r="J217" s="32"/>
      <c r="K217" s="33" t="s">
        <v>1417</v>
      </c>
      <c r="L217" s="33" t="s">
        <v>1421</v>
      </c>
      <c r="N217" s="33" t="s">
        <v>1417</v>
      </c>
      <c r="O217" s="35" t="s">
        <v>1422</v>
      </c>
    </row>
    <row r="218">
      <c r="A218" s="38"/>
      <c r="B218" s="28" t="s">
        <v>1423</v>
      </c>
      <c r="C218" s="28" t="s">
        <v>866</v>
      </c>
      <c r="D218" s="29" t="s">
        <v>1424</v>
      </c>
      <c r="E218" s="30" t="s">
        <v>1425</v>
      </c>
      <c r="F218" s="28" t="s">
        <v>1426</v>
      </c>
      <c r="I218" s="32"/>
      <c r="J218" s="32"/>
      <c r="K218" s="33" t="s">
        <v>1423</v>
      </c>
      <c r="L218" s="33" t="s">
        <v>1427</v>
      </c>
      <c r="N218" s="33" t="s">
        <v>1423</v>
      </c>
      <c r="O218" s="47" t="s">
        <v>1428</v>
      </c>
    </row>
    <row r="219">
      <c r="A219" s="38"/>
      <c r="B219" s="28" t="s">
        <v>1429</v>
      </c>
      <c r="C219" s="28" t="s">
        <v>1430</v>
      </c>
      <c r="D219" s="29" t="s">
        <v>1431</v>
      </c>
      <c r="E219" s="30" t="s">
        <v>1432</v>
      </c>
      <c r="F219" s="28" t="s">
        <v>1433</v>
      </c>
      <c r="I219" s="32"/>
      <c r="J219" s="32"/>
      <c r="K219" s="33" t="s">
        <v>1429</v>
      </c>
      <c r="L219" s="33" t="s">
        <v>1434</v>
      </c>
      <c r="N219" s="33" t="s">
        <v>1429</v>
      </c>
      <c r="O219" s="35" t="s">
        <v>1435</v>
      </c>
    </row>
    <row r="220">
      <c r="A220" s="38"/>
      <c r="B220" s="28" t="s">
        <v>1436</v>
      </c>
      <c r="C220" s="28" t="s">
        <v>878</v>
      </c>
      <c r="D220" s="29" t="s">
        <v>1437</v>
      </c>
      <c r="E220" s="30" t="s">
        <v>516</v>
      </c>
      <c r="F220" s="28" t="s">
        <v>1438</v>
      </c>
      <c r="I220" s="32"/>
      <c r="J220" s="32"/>
      <c r="K220" s="33" t="s">
        <v>1436</v>
      </c>
      <c r="L220" s="33" t="s">
        <v>1439</v>
      </c>
      <c r="N220" s="33" t="s">
        <v>1436</v>
      </c>
      <c r="O220" s="47" t="s">
        <v>1440</v>
      </c>
    </row>
    <row r="221">
      <c r="A221" s="38"/>
      <c r="B221" s="28" t="s">
        <v>1441</v>
      </c>
      <c r="C221" s="28" t="s">
        <v>890</v>
      </c>
      <c r="D221" s="29" t="s">
        <v>1442</v>
      </c>
      <c r="E221" s="30" t="s">
        <v>1443</v>
      </c>
      <c r="F221" s="28" t="s">
        <v>1444</v>
      </c>
      <c r="I221" s="32"/>
      <c r="J221" s="32"/>
      <c r="K221" s="33" t="s">
        <v>1441</v>
      </c>
      <c r="L221" s="33" t="s">
        <v>1445</v>
      </c>
      <c r="N221" s="33" t="s">
        <v>1441</v>
      </c>
      <c r="O221" s="35"/>
    </row>
    <row r="222">
      <c r="A222" s="38"/>
      <c r="B222" s="28" t="s">
        <v>1446</v>
      </c>
      <c r="C222" s="28" t="s">
        <v>1447</v>
      </c>
      <c r="D222" s="29" t="s">
        <v>1448</v>
      </c>
      <c r="E222" s="30" t="s">
        <v>1449</v>
      </c>
      <c r="F222" s="28" t="s">
        <v>1450</v>
      </c>
      <c r="I222" s="32"/>
      <c r="J222" s="32"/>
      <c r="K222" s="33" t="s">
        <v>1446</v>
      </c>
      <c r="L222" s="33" t="s">
        <v>1451</v>
      </c>
      <c r="N222" s="33" t="s">
        <v>1446</v>
      </c>
      <c r="O222" s="35" t="s">
        <v>1452</v>
      </c>
    </row>
    <row r="223">
      <c r="A223" s="38"/>
      <c r="B223" s="28" t="s">
        <v>1453</v>
      </c>
      <c r="C223" s="28" t="s">
        <v>896</v>
      </c>
      <c r="D223" s="29" t="s">
        <v>1454</v>
      </c>
      <c r="E223" s="30"/>
      <c r="F223" s="28" t="s">
        <v>1455</v>
      </c>
      <c r="I223" s="32"/>
      <c r="J223" s="32"/>
      <c r="K223" s="33" t="s">
        <v>1453</v>
      </c>
      <c r="L223" s="33" t="s">
        <v>1456</v>
      </c>
      <c r="N223" s="33" t="s">
        <v>1453</v>
      </c>
      <c r="O223" s="35" t="s">
        <v>895</v>
      </c>
    </row>
    <row r="224">
      <c r="A224" s="38"/>
      <c r="B224" s="28" t="s">
        <v>1457</v>
      </c>
      <c r="C224" s="28" t="s">
        <v>1458</v>
      </c>
      <c r="D224" s="29" t="s">
        <v>1459</v>
      </c>
      <c r="E224" s="30"/>
      <c r="F224" s="28" t="s">
        <v>1460</v>
      </c>
      <c r="I224" s="32"/>
      <c r="J224" s="32"/>
      <c r="K224" s="33" t="s">
        <v>1457</v>
      </c>
      <c r="L224" s="33" t="s">
        <v>1461</v>
      </c>
      <c r="N224" s="33" t="s">
        <v>1457</v>
      </c>
      <c r="O224" s="35" t="s">
        <v>1462</v>
      </c>
    </row>
    <row r="225">
      <c r="A225" s="38"/>
      <c r="B225" s="28" t="s">
        <v>1463</v>
      </c>
      <c r="C225" s="28" t="s">
        <v>929</v>
      </c>
      <c r="D225" s="29" t="s">
        <v>1464</v>
      </c>
      <c r="E225" s="30"/>
      <c r="F225" s="28" t="s">
        <v>1465</v>
      </c>
      <c r="I225" s="32"/>
      <c r="J225" s="32"/>
      <c r="K225" s="33" t="s">
        <v>1463</v>
      </c>
      <c r="L225" s="33" t="s">
        <v>1466</v>
      </c>
      <c r="N225" s="33" t="s">
        <v>1463</v>
      </c>
      <c r="O225" s="35" t="s">
        <v>928</v>
      </c>
    </row>
    <row r="226">
      <c r="A226" s="38"/>
      <c r="B226" s="28" t="s">
        <v>1467</v>
      </c>
      <c r="C226" s="28" t="s">
        <v>934</v>
      </c>
      <c r="D226" s="29" t="s">
        <v>1468</v>
      </c>
      <c r="E226" s="30"/>
      <c r="F226" s="28" t="s">
        <v>1469</v>
      </c>
      <c r="I226" s="32"/>
      <c r="J226" s="32"/>
      <c r="K226" s="33" t="s">
        <v>1467</v>
      </c>
      <c r="L226" s="33" t="s">
        <v>1470</v>
      </c>
      <c r="N226" s="33" t="s">
        <v>1467</v>
      </c>
      <c r="O226" s="35" t="s">
        <v>928</v>
      </c>
    </row>
    <row r="227">
      <c r="A227" s="38"/>
      <c r="B227" s="28" t="s">
        <v>1471</v>
      </c>
      <c r="C227" s="28" t="s">
        <v>1472</v>
      </c>
      <c r="D227" s="29" t="s">
        <v>1473</v>
      </c>
      <c r="E227" s="30" t="s">
        <v>1474</v>
      </c>
      <c r="F227" s="28" t="s">
        <v>1475</v>
      </c>
      <c r="I227" s="32"/>
      <c r="J227" s="32"/>
      <c r="K227" s="33" t="s">
        <v>1471</v>
      </c>
      <c r="L227" s="33" t="s">
        <v>1476</v>
      </c>
      <c r="N227" s="33" t="s">
        <v>1471</v>
      </c>
      <c r="O227" s="35" t="s">
        <v>1477</v>
      </c>
    </row>
    <row r="228">
      <c r="A228" s="38"/>
      <c r="B228" s="28" t="s">
        <v>1478</v>
      </c>
      <c r="C228" s="28" t="s">
        <v>939</v>
      </c>
      <c r="D228" s="29" t="s">
        <v>1479</v>
      </c>
      <c r="E228" s="54" t="s">
        <v>1480</v>
      </c>
      <c r="F228" s="28" t="s">
        <v>1481</v>
      </c>
      <c r="I228" s="32"/>
      <c r="J228" s="32"/>
      <c r="K228" s="33" t="s">
        <v>1478</v>
      </c>
      <c r="L228" s="33" t="s">
        <v>1482</v>
      </c>
      <c r="N228" s="33" t="s">
        <v>1478</v>
      </c>
      <c r="O228" s="35"/>
    </row>
    <row r="229">
      <c r="A229" s="38"/>
      <c r="B229" s="28" t="s">
        <v>1483</v>
      </c>
      <c r="C229" s="28" t="s">
        <v>1484</v>
      </c>
      <c r="D229" s="29" t="s">
        <v>1485</v>
      </c>
      <c r="E229" s="30"/>
      <c r="F229" s="28" t="s">
        <v>1486</v>
      </c>
      <c r="I229" s="32"/>
      <c r="J229" s="32"/>
      <c r="K229" s="33" t="s">
        <v>1483</v>
      </c>
      <c r="L229" s="33" t="s">
        <v>1487</v>
      </c>
      <c r="N229" s="33" t="s">
        <v>1483</v>
      </c>
      <c r="O229" s="35" t="s">
        <v>1488</v>
      </c>
    </row>
    <row r="230">
      <c r="A230" s="38"/>
      <c r="B230" s="28" t="s">
        <v>1489</v>
      </c>
      <c r="C230" s="28" t="s">
        <v>943</v>
      </c>
      <c r="D230" s="29" t="s">
        <v>1490</v>
      </c>
      <c r="E230" s="30"/>
      <c r="F230" s="28" t="s">
        <v>1491</v>
      </c>
      <c r="I230" s="32"/>
      <c r="J230" s="32"/>
      <c r="K230" s="33" t="s">
        <v>1489</v>
      </c>
      <c r="L230" s="33" t="s">
        <v>1492</v>
      </c>
      <c r="N230" s="33" t="s">
        <v>1489</v>
      </c>
      <c r="O230" s="35"/>
    </row>
    <row r="231">
      <c r="A231" s="38"/>
      <c r="B231" s="28" t="s">
        <v>1493</v>
      </c>
      <c r="C231" s="28" t="s">
        <v>948</v>
      </c>
      <c r="D231" s="29" t="s">
        <v>1494</v>
      </c>
      <c r="E231" s="30" t="s">
        <v>1495</v>
      </c>
      <c r="F231" s="28" t="s">
        <v>1496</v>
      </c>
      <c r="I231" s="32"/>
      <c r="J231" s="32"/>
      <c r="K231" s="33" t="s">
        <v>1493</v>
      </c>
      <c r="L231" s="33" t="s">
        <v>1497</v>
      </c>
      <c r="N231" s="33" t="s">
        <v>1493</v>
      </c>
      <c r="O231" s="35"/>
    </row>
    <row r="232">
      <c r="A232" s="38"/>
      <c r="B232" s="28" t="s">
        <v>1498</v>
      </c>
      <c r="C232" s="28" t="s">
        <v>1499</v>
      </c>
      <c r="D232" s="29" t="s">
        <v>1500</v>
      </c>
      <c r="E232" s="30" t="s">
        <v>1501</v>
      </c>
      <c r="F232" s="28" t="s">
        <v>1502</v>
      </c>
      <c r="I232" s="32"/>
      <c r="J232" s="32"/>
      <c r="K232" s="33" t="s">
        <v>1498</v>
      </c>
      <c r="L232" s="33" t="s">
        <v>1503</v>
      </c>
      <c r="N232" s="33" t="s">
        <v>1498</v>
      </c>
      <c r="O232" s="35"/>
    </row>
    <row r="233">
      <c r="A233" s="38"/>
      <c r="B233" s="28" t="s">
        <v>1504</v>
      </c>
      <c r="C233" s="28" t="s">
        <v>1505</v>
      </c>
      <c r="D233" s="29" t="s">
        <v>1506</v>
      </c>
      <c r="E233" s="30" t="s">
        <v>1507</v>
      </c>
      <c r="F233" s="28" t="s">
        <v>1508</v>
      </c>
      <c r="I233" s="32"/>
      <c r="J233" s="32"/>
      <c r="K233" s="33" t="s">
        <v>1504</v>
      </c>
      <c r="L233" s="33" t="s">
        <v>1509</v>
      </c>
      <c r="N233" s="33" t="s">
        <v>1504</v>
      </c>
      <c r="O233" s="35"/>
    </row>
    <row r="234">
      <c r="A234" s="38"/>
      <c r="B234" s="28" t="s">
        <v>1510</v>
      </c>
      <c r="C234" s="28" t="s">
        <v>953</v>
      </c>
      <c r="D234" s="29" t="s">
        <v>1511</v>
      </c>
      <c r="E234" s="30" t="s">
        <v>1512</v>
      </c>
      <c r="F234" s="28" t="s">
        <v>1513</v>
      </c>
      <c r="I234" s="32"/>
      <c r="J234" s="32"/>
      <c r="K234" s="33" t="s">
        <v>1510</v>
      </c>
      <c r="L234" s="33" t="s">
        <v>1514</v>
      </c>
      <c r="N234" s="33" t="s">
        <v>1510</v>
      </c>
      <c r="O234" s="35" t="s">
        <v>952</v>
      </c>
    </row>
    <row r="235">
      <c r="A235" s="38"/>
      <c r="B235" s="28" t="s">
        <v>1515</v>
      </c>
      <c r="C235" s="28" t="s">
        <v>965</v>
      </c>
      <c r="D235" s="29" t="s">
        <v>1516</v>
      </c>
      <c r="E235" s="30"/>
      <c r="F235" s="28" t="s">
        <v>1517</v>
      </c>
      <c r="I235" s="32"/>
      <c r="J235" s="32"/>
      <c r="K235" s="33" t="s">
        <v>1515</v>
      </c>
      <c r="L235" s="33" t="s">
        <v>1518</v>
      </c>
      <c r="N235" s="33" t="s">
        <v>1515</v>
      </c>
      <c r="O235" s="35" t="s">
        <v>964</v>
      </c>
    </row>
    <row r="236">
      <c r="A236" s="38"/>
      <c r="B236" s="28" t="s">
        <v>1519</v>
      </c>
      <c r="C236" s="28" t="s">
        <v>971</v>
      </c>
      <c r="D236" s="29" t="s">
        <v>1520</v>
      </c>
      <c r="E236" s="30"/>
      <c r="F236" s="28" t="s">
        <v>1521</v>
      </c>
      <c r="I236" s="32"/>
      <c r="J236" s="32"/>
      <c r="K236" s="33" t="s">
        <v>1519</v>
      </c>
      <c r="L236" s="33" t="s">
        <v>1522</v>
      </c>
      <c r="N236" s="33" t="s">
        <v>1519</v>
      </c>
      <c r="O236" s="47" t="s">
        <v>1523</v>
      </c>
    </row>
    <row r="237">
      <c r="A237" s="38"/>
      <c r="B237" s="28" t="s">
        <v>1524</v>
      </c>
      <c r="C237" s="28" t="s">
        <v>1525</v>
      </c>
      <c r="D237" s="29" t="s">
        <v>1526</v>
      </c>
      <c r="E237" s="30" t="s">
        <v>1527</v>
      </c>
      <c r="F237" s="28" t="s">
        <v>1528</v>
      </c>
      <c r="I237" s="32"/>
      <c r="J237" s="32"/>
      <c r="K237" s="33" t="s">
        <v>1524</v>
      </c>
      <c r="L237" s="33" t="s">
        <v>1529</v>
      </c>
      <c r="N237" s="33" t="s">
        <v>1524</v>
      </c>
      <c r="O237" s="47" t="s">
        <v>1530</v>
      </c>
    </row>
    <row r="238">
      <c r="A238" s="38"/>
      <c r="B238" s="28" t="s">
        <v>1531</v>
      </c>
      <c r="C238" s="28" t="s">
        <v>1532</v>
      </c>
      <c r="D238" s="29" t="s">
        <v>1533</v>
      </c>
      <c r="E238" s="30" t="s">
        <v>292</v>
      </c>
      <c r="F238" s="28" t="s">
        <v>286</v>
      </c>
      <c r="I238" s="32"/>
      <c r="J238" s="32"/>
      <c r="K238" s="33" t="s">
        <v>1531</v>
      </c>
      <c r="L238" s="33" t="s">
        <v>1534</v>
      </c>
      <c r="N238" s="33" t="s">
        <v>1531</v>
      </c>
      <c r="O238" s="35" t="s">
        <v>1535</v>
      </c>
    </row>
    <row r="239">
      <c r="A239" s="38"/>
      <c r="B239" s="28" t="s">
        <v>1536</v>
      </c>
      <c r="C239" s="28" t="s">
        <v>1537</v>
      </c>
      <c r="D239" s="29" t="s">
        <v>1538</v>
      </c>
      <c r="E239" s="30" t="s">
        <v>1539</v>
      </c>
      <c r="F239" s="28" t="s">
        <v>1540</v>
      </c>
      <c r="I239" s="32"/>
      <c r="J239" s="32"/>
      <c r="K239" s="33" t="s">
        <v>1536</v>
      </c>
      <c r="L239" s="33" t="s">
        <v>1541</v>
      </c>
      <c r="N239" s="33" t="s">
        <v>1536</v>
      </c>
      <c r="O239" s="35" t="s">
        <v>1535</v>
      </c>
    </row>
    <row r="240">
      <c r="A240" s="38"/>
      <c r="B240" s="28" t="s">
        <v>1542</v>
      </c>
      <c r="C240" s="28" t="s">
        <v>976</v>
      </c>
      <c r="D240" s="29" t="s">
        <v>1543</v>
      </c>
      <c r="E240" s="30" t="s">
        <v>1544</v>
      </c>
      <c r="F240" s="28" t="s">
        <v>1545</v>
      </c>
      <c r="I240" s="32"/>
      <c r="J240" s="32"/>
      <c r="K240" s="33" t="s">
        <v>1542</v>
      </c>
      <c r="L240" s="33" t="s">
        <v>1546</v>
      </c>
      <c r="N240" s="33" t="s">
        <v>1542</v>
      </c>
      <c r="O240" s="35" t="s">
        <v>975</v>
      </c>
    </row>
    <row r="241">
      <c r="A241" s="38"/>
      <c r="B241" s="28" t="s">
        <v>1547</v>
      </c>
      <c r="C241" s="28" t="s">
        <v>981</v>
      </c>
      <c r="D241" s="29" t="s">
        <v>1548</v>
      </c>
      <c r="E241" s="30" t="s">
        <v>1549</v>
      </c>
      <c r="F241" s="28" t="s">
        <v>1550</v>
      </c>
      <c r="I241" s="32"/>
      <c r="J241" s="32"/>
      <c r="K241" s="33" t="s">
        <v>1547</v>
      </c>
      <c r="L241" s="33" t="s">
        <v>1551</v>
      </c>
      <c r="N241" s="33" t="s">
        <v>1547</v>
      </c>
      <c r="O241" s="35"/>
    </row>
    <row r="242">
      <c r="A242" s="38"/>
      <c r="B242" s="28" t="s">
        <v>1552</v>
      </c>
      <c r="C242" s="28" t="s">
        <v>987</v>
      </c>
      <c r="D242" s="29" t="s">
        <v>1553</v>
      </c>
      <c r="E242" s="30" t="s">
        <v>1554</v>
      </c>
      <c r="F242" s="28" t="s">
        <v>1555</v>
      </c>
      <c r="I242" s="32"/>
      <c r="J242" s="32"/>
      <c r="K242" s="33" t="s">
        <v>1552</v>
      </c>
      <c r="L242" s="33" t="s">
        <v>1556</v>
      </c>
      <c r="N242" s="33" t="s">
        <v>1552</v>
      </c>
      <c r="O242" s="35" t="s">
        <v>986</v>
      </c>
    </row>
    <row r="243">
      <c r="A243" s="38"/>
      <c r="B243" s="28" t="s">
        <v>1557</v>
      </c>
      <c r="C243" s="28" t="s">
        <v>1558</v>
      </c>
      <c r="D243" s="29" t="s">
        <v>1559</v>
      </c>
      <c r="E243" s="30"/>
      <c r="F243" s="28" t="s">
        <v>1560</v>
      </c>
      <c r="I243" s="32"/>
      <c r="J243" s="32"/>
      <c r="K243" s="33" t="s">
        <v>1557</v>
      </c>
      <c r="L243" s="33" t="s">
        <v>1561</v>
      </c>
      <c r="N243" s="33" t="s">
        <v>1557</v>
      </c>
      <c r="O243" s="47" t="s">
        <v>1562</v>
      </c>
    </row>
    <row r="244">
      <c r="A244" s="38"/>
      <c r="B244" s="28" t="s">
        <v>1563</v>
      </c>
      <c r="C244" s="28" t="s">
        <v>1015</v>
      </c>
      <c r="D244" s="29" t="s">
        <v>1564</v>
      </c>
      <c r="E244" s="30" t="s">
        <v>1565</v>
      </c>
      <c r="F244" s="28" t="s">
        <v>1566</v>
      </c>
      <c r="I244" s="32"/>
      <c r="J244" s="32"/>
      <c r="K244" s="33" t="s">
        <v>1563</v>
      </c>
      <c r="L244" s="33" t="s">
        <v>1567</v>
      </c>
      <c r="N244" s="33" t="s">
        <v>1563</v>
      </c>
      <c r="O244" s="35" t="s">
        <v>1014</v>
      </c>
    </row>
    <row r="245">
      <c r="A245" s="38"/>
      <c r="B245" s="28" t="s">
        <v>1568</v>
      </c>
      <c r="C245" s="28" t="s">
        <v>1021</v>
      </c>
      <c r="D245" s="29" t="s">
        <v>1569</v>
      </c>
      <c r="E245" s="30" t="s">
        <v>1570</v>
      </c>
      <c r="F245" s="28" t="s">
        <v>1571</v>
      </c>
      <c r="I245" s="32"/>
      <c r="J245" s="32"/>
      <c r="K245" s="33" t="s">
        <v>1568</v>
      </c>
      <c r="L245" s="33" t="s">
        <v>1572</v>
      </c>
      <c r="N245" s="33" t="s">
        <v>1568</v>
      </c>
      <c r="O245" s="35" t="s">
        <v>1020</v>
      </c>
    </row>
    <row r="246">
      <c r="A246" s="38"/>
      <c r="B246" s="28" t="s">
        <v>1573</v>
      </c>
      <c r="C246" s="28" t="s">
        <v>1026</v>
      </c>
      <c r="D246" s="29" t="s">
        <v>1574</v>
      </c>
      <c r="E246" s="30" t="s">
        <v>1575</v>
      </c>
      <c r="F246" s="28" t="s">
        <v>1576</v>
      </c>
      <c r="I246" s="32"/>
      <c r="J246" s="32"/>
      <c r="K246" s="33" t="s">
        <v>1573</v>
      </c>
      <c r="L246" s="33" t="s">
        <v>1577</v>
      </c>
      <c r="N246" s="33" t="s">
        <v>1573</v>
      </c>
      <c r="O246" s="35" t="s">
        <v>1025</v>
      </c>
    </row>
    <row r="247">
      <c r="A247" s="38"/>
      <c r="B247" s="28" t="s">
        <v>1578</v>
      </c>
      <c r="C247" s="28" t="s">
        <v>1579</v>
      </c>
      <c r="D247" s="29" t="s">
        <v>1580</v>
      </c>
      <c r="E247" s="30"/>
      <c r="F247" s="28" t="s">
        <v>1581</v>
      </c>
      <c r="I247" s="32"/>
      <c r="J247" s="32"/>
      <c r="K247" s="33" t="s">
        <v>1578</v>
      </c>
      <c r="L247" s="33" t="s">
        <v>1582</v>
      </c>
      <c r="N247" s="33" t="s">
        <v>1578</v>
      </c>
      <c r="O247" s="47" t="s">
        <v>1583</v>
      </c>
    </row>
    <row r="248">
      <c r="A248" s="38"/>
      <c r="B248" s="28" t="s">
        <v>1584</v>
      </c>
      <c r="C248" s="28" t="s">
        <v>1585</v>
      </c>
      <c r="D248" s="29" t="s">
        <v>1586</v>
      </c>
      <c r="E248" s="30" t="s">
        <v>1587</v>
      </c>
      <c r="F248" s="28" t="s">
        <v>1588</v>
      </c>
      <c r="I248" s="32"/>
      <c r="J248" s="32"/>
      <c r="K248" s="33" t="s">
        <v>1584</v>
      </c>
      <c r="L248" s="33" t="s">
        <v>1589</v>
      </c>
      <c r="N248" s="33" t="s">
        <v>1584</v>
      </c>
      <c r="O248" s="35" t="s">
        <v>1590</v>
      </c>
    </row>
    <row r="249">
      <c r="A249" s="38"/>
      <c r="B249" s="28" t="s">
        <v>1591</v>
      </c>
      <c r="C249" s="28" t="s">
        <v>1592</v>
      </c>
      <c r="D249" s="29" t="s">
        <v>1593</v>
      </c>
      <c r="E249" s="30" t="s">
        <v>1594</v>
      </c>
      <c r="F249" s="28" t="s">
        <v>1595</v>
      </c>
      <c r="I249" s="32"/>
      <c r="J249" s="32"/>
      <c r="K249" s="33" t="s">
        <v>1591</v>
      </c>
      <c r="L249" s="33" t="s">
        <v>1596</v>
      </c>
      <c r="N249" s="33" t="s">
        <v>1591</v>
      </c>
      <c r="O249" s="35" t="s">
        <v>1597</v>
      </c>
    </row>
    <row r="250">
      <c r="A250" s="38"/>
      <c r="B250" s="28" t="s">
        <v>1598</v>
      </c>
      <c r="C250" s="28" t="s">
        <v>1047</v>
      </c>
      <c r="D250" s="29" t="s">
        <v>1599</v>
      </c>
      <c r="E250" s="54" t="s">
        <v>1600</v>
      </c>
      <c r="F250" s="28" t="s">
        <v>1601</v>
      </c>
      <c r="I250" s="32"/>
      <c r="J250" s="32"/>
      <c r="K250" s="33" t="s">
        <v>1598</v>
      </c>
      <c r="L250" s="33" t="s">
        <v>1602</v>
      </c>
      <c r="N250" s="33" t="s">
        <v>1598</v>
      </c>
      <c r="O250" s="35" t="s">
        <v>1046</v>
      </c>
    </row>
    <row r="251">
      <c r="A251" s="38"/>
      <c r="B251" s="28" t="s">
        <v>1603</v>
      </c>
      <c r="C251" s="28" t="s">
        <v>1604</v>
      </c>
      <c r="D251" s="29" t="s">
        <v>1605</v>
      </c>
      <c r="E251" s="30" t="s">
        <v>1606</v>
      </c>
      <c r="F251" s="28" t="s">
        <v>1607</v>
      </c>
      <c r="I251" s="32"/>
      <c r="J251" s="32"/>
      <c r="K251" s="33" t="s">
        <v>1603</v>
      </c>
      <c r="L251" s="33" t="s">
        <v>1608</v>
      </c>
      <c r="N251" s="33" t="s">
        <v>1603</v>
      </c>
      <c r="O251" s="35"/>
    </row>
    <row r="252">
      <c r="A252" s="38"/>
      <c r="B252" s="28" t="s">
        <v>1609</v>
      </c>
      <c r="C252" s="28" t="s">
        <v>1610</v>
      </c>
      <c r="D252" s="29" t="s">
        <v>1611</v>
      </c>
      <c r="E252" s="54" t="s">
        <v>1612</v>
      </c>
      <c r="F252" s="28" t="s">
        <v>1613</v>
      </c>
      <c r="I252" s="32"/>
      <c r="J252" s="32"/>
      <c r="K252" s="33" t="s">
        <v>1609</v>
      </c>
      <c r="L252" s="33" t="s">
        <v>1614</v>
      </c>
      <c r="N252" s="33" t="s">
        <v>1609</v>
      </c>
      <c r="O252" s="35" t="s">
        <v>1615</v>
      </c>
    </row>
    <row r="253">
      <c r="A253" s="38"/>
      <c r="B253" s="28" t="s">
        <v>1616</v>
      </c>
      <c r="C253" s="28" t="s">
        <v>1056</v>
      </c>
      <c r="D253" s="29" t="s">
        <v>1617</v>
      </c>
      <c r="E253" s="54" t="s">
        <v>1618</v>
      </c>
      <c r="F253" s="28" t="s">
        <v>1619</v>
      </c>
      <c r="I253" s="32"/>
      <c r="J253" s="32"/>
      <c r="K253" s="33" t="s">
        <v>1616</v>
      </c>
      <c r="L253" s="33" t="s">
        <v>1620</v>
      </c>
      <c r="N253" s="33" t="s">
        <v>1616</v>
      </c>
      <c r="O253" s="35" t="s">
        <v>1055</v>
      </c>
    </row>
    <row r="254">
      <c r="A254" s="38"/>
      <c r="B254" s="28" t="s">
        <v>1621</v>
      </c>
      <c r="C254" s="28" t="s">
        <v>1061</v>
      </c>
      <c r="D254" s="29" t="s">
        <v>1622</v>
      </c>
      <c r="E254" s="30"/>
      <c r="F254" s="28" t="s">
        <v>1623</v>
      </c>
      <c r="I254" s="32"/>
      <c r="J254" s="32"/>
      <c r="K254" s="33" t="s">
        <v>1621</v>
      </c>
      <c r="L254" s="33" t="s">
        <v>1624</v>
      </c>
      <c r="N254" s="33" t="s">
        <v>1621</v>
      </c>
      <c r="O254" s="35" t="s">
        <v>1060</v>
      </c>
    </row>
    <row r="255">
      <c r="A255" s="38"/>
      <c r="B255" s="28" t="s">
        <v>1625</v>
      </c>
      <c r="C255" s="28" t="s">
        <v>1072</v>
      </c>
      <c r="D255" s="29" t="s">
        <v>1626</v>
      </c>
      <c r="E255" s="30" t="s">
        <v>1627</v>
      </c>
      <c r="F255" s="28" t="s">
        <v>1628</v>
      </c>
      <c r="I255" s="32"/>
      <c r="J255" s="32"/>
      <c r="K255" s="33" t="s">
        <v>1625</v>
      </c>
      <c r="L255" s="33" t="s">
        <v>1629</v>
      </c>
      <c r="N255" s="33" t="s">
        <v>1625</v>
      </c>
      <c r="O255" s="35" t="s">
        <v>1071</v>
      </c>
    </row>
    <row r="256">
      <c r="A256" s="38"/>
      <c r="B256" s="28" t="s">
        <v>1630</v>
      </c>
      <c r="C256" s="28" t="s">
        <v>1078</v>
      </c>
      <c r="D256" s="29" t="s">
        <v>1631</v>
      </c>
      <c r="E256" s="30" t="s">
        <v>1632</v>
      </c>
      <c r="F256" s="28" t="s">
        <v>1633</v>
      </c>
      <c r="I256" s="32"/>
      <c r="J256" s="32"/>
      <c r="K256" s="33" t="s">
        <v>1630</v>
      </c>
      <c r="L256" s="33" t="s">
        <v>1634</v>
      </c>
      <c r="N256" s="33" t="s">
        <v>1630</v>
      </c>
      <c r="O256" s="35" t="s">
        <v>1077</v>
      </c>
    </row>
    <row r="257">
      <c r="A257" s="38"/>
      <c r="B257" s="28" t="s">
        <v>1635</v>
      </c>
      <c r="C257" s="28" t="s">
        <v>1636</v>
      </c>
      <c r="D257" s="29" t="s">
        <v>1637</v>
      </c>
      <c r="E257" s="30" t="s">
        <v>1638</v>
      </c>
      <c r="F257" s="28" t="s">
        <v>1639</v>
      </c>
      <c r="I257" s="32"/>
      <c r="J257" s="32"/>
      <c r="K257" s="33" t="s">
        <v>1635</v>
      </c>
      <c r="L257" s="33" t="s">
        <v>1640</v>
      </c>
      <c r="N257" s="33" t="s">
        <v>1635</v>
      </c>
      <c r="O257" s="35"/>
    </row>
    <row r="258">
      <c r="A258" s="38"/>
      <c r="B258" s="28" t="s">
        <v>1641</v>
      </c>
      <c r="C258" s="28" t="s">
        <v>1642</v>
      </c>
      <c r="D258" s="29" t="s">
        <v>1643</v>
      </c>
      <c r="E258" s="30" t="s">
        <v>1644</v>
      </c>
      <c r="F258" s="28" t="s">
        <v>1645</v>
      </c>
      <c r="I258" s="32"/>
      <c r="J258" s="32"/>
      <c r="K258" s="33" t="s">
        <v>1641</v>
      </c>
      <c r="L258" s="33" t="s">
        <v>1646</v>
      </c>
      <c r="N258" s="33" t="s">
        <v>1641</v>
      </c>
      <c r="O258" s="47" t="s">
        <v>1647</v>
      </c>
    </row>
    <row r="259">
      <c r="A259" s="38"/>
      <c r="B259" s="28" t="s">
        <v>1648</v>
      </c>
      <c r="C259" s="28" t="s">
        <v>1649</v>
      </c>
      <c r="D259" s="29" t="s">
        <v>1650</v>
      </c>
      <c r="E259" s="30"/>
      <c r="F259" s="28" t="s">
        <v>1651</v>
      </c>
      <c r="I259" s="32"/>
      <c r="J259" s="32"/>
      <c r="K259" s="33" t="s">
        <v>1648</v>
      </c>
      <c r="L259" s="33" t="s">
        <v>1652</v>
      </c>
      <c r="N259" s="33" t="s">
        <v>1648</v>
      </c>
      <c r="O259" s="35" t="s">
        <v>1653</v>
      </c>
    </row>
    <row r="260">
      <c r="A260" s="38"/>
      <c r="B260" s="28" t="s">
        <v>1654</v>
      </c>
      <c r="C260" s="28" t="s">
        <v>1083</v>
      </c>
      <c r="D260" s="29" t="s">
        <v>1655</v>
      </c>
      <c r="E260" s="30"/>
      <c r="F260" s="28" t="s">
        <v>1656</v>
      </c>
      <c r="I260" s="32"/>
      <c r="J260" s="32"/>
      <c r="K260" s="33" t="s">
        <v>1654</v>
      </c>
      <c r="L260" s="33" t="s">
        <v>1657</v>
      </c>
      <c r="N260" s="33" t="s">
        <v>1654</v>
      </c>
      <c r="O260" s="35"/>
    </row>
    <row r="261">
      <c r="A261" s="38"/>
      <c r="B261" s="28" t="s">
        <v>1658</v>
      </c>
      <c r="C261" s="28" t="s">
        <v>1659</v>
      </c>
      <c r="D261" s="29" t="s">
        <v>1660</v>
      </c>
      <c r="E261" s="30" t="s">
        <v>1661</v>
      </c>
      <c r="F261" s="28" t="s">
        <v>1662</v>
      </c>
      <c r="I261" s="32"/>
      <c r="J261" s="32"/>
      <c r="K261" s="33" t="s">
        <v>1658</v>
      </c>
      <c r="L261" s="33" t="s">
        <v>1663</v>
      </c>
      <c r="N261" s="33" t="s">
        <v>1658</v>
      </c>
      <c r="O261" s="35"/>
    </row>
    <row r="262">
      <c r="A262" s="38"/>
      <c r="B262" s="28" t="s">
        <v>1664</v>
      </c>
      <c r="C262" s="28" t="s">
        <v>1665</v>
      </c>
      <c r="D262" s="29" t="s">
        <v>1666</v>
      </c>
      <c r="E262" s="30" t="s">
        <v>1667</v>
      </c>
      <c r="F262" s="28" t="s">
        <v>1668</v>
      </c>
      <c r="I262" s="32"/>
      <c r="J262" s="32"/>
      <c r="K262" s="33" t="s">
        <v>1664</v>
      </c>
      <c r="L262" s="33" t="s">
        <v>1669</v>
      </c>
      <c r="N262" s="33" t="s">
        <v>1664</v>
      </c>
      <c r="O262" s="47" t="s">
        <v>1670</v>
      </c>
    </row>
    <row r="263">
      <c r="A263" s="38"/>
      <c r="B263" s="28" t="s">
        <v>1671</v>
      </c>
      <c r="C263" s="28" t="s">
        <v>1094</v>
      </c>
      <c r="D263" s="29" t="s">
        <v>1672</v>
      </c>
      <c r="E263" s="30" t="s">
        <v>1673</v>
      </c>
      <c r="F263" s="28" t="s">
        <v>1674</v>
      </c>
      <c r="I263" s="32"/>
      <c r="J263" s="32"/>
      <c r="K263" s="33" t="s">
        <v>1671</v>
      </c>
      <c r="L263" s="33" t="s">
        <v>1675</v>
      </c>
      <c r="N263" s="33" t="s">
        <v>1671</v>
      </c>
      <c r="O263" s="35" t="s">
        <v>1093</v>
      </c>
    </row>
    <row r="264">
      <c r="A264" s="38"/>
      <c r="B264" s="28" t="s">
        <v>1676</v>
      </c>
      <c r="C264" s="28" t="s">
        <v>1677</v>
      </c>
      <c r="D264" s="29" t="s">
        <v>1678</v>
      </c>
      <c r="E264" s="30"/>
      <c r="F264" s="28" t="s">
        <v>1679</v>
      </c>
      <c r="I264" s="32"/>
      <c r="J264" s="32"/>
      <c r="K264" s="33" t="s">
        <v>1676</v>
      </c>
      <c r="L264" s="33" t="s">
        <v>1680</v>
      </c>
      <c r="N264" s="33" t="s">
        <v>1676</v>
      </c>
      <c r="O264" s="35" t="s">
        <v>1681</v>
      </c>
    </row>
    <row r="265">
      <c r="A265" s="38"/>
      <c r="B265" s="28" t="s">
        <v>1682</v>
      </c>
      <c r="C265" s="28" t="s">
        <v>1683</v>
      </c>
      <c r="D265" s="29" t="s">
        <v>1684</v>
      </c>
      <c r="E265" s="30" t="s">
        <v>1685</v>
      </c>
      <c r="F265" s="28" t="s">
        <v>1686</v>
      </c>
      <c r="I265" s="32"/>
      <c r="J265" s="32"/>
      <c r="K265" s="33" t="s">
        <v>1682</v>
      </c>
      <c r="L265" s="33" t="s">
        <v>1687</v>
      </c>
      <c r="N265" s="33" t="s">
        <v>1682</v>
      </c>
      <c r="O265" s="47" t="s">
        <v>1688</v>
      </c>
    </row>
    <row r="266">
      <c r="A266" s="38"/>
      <c r="B266" s="28" t="s">
        <v>1689</v>
      </c>
      <c r="C266" s="28" t="s">
        <v>1690</v>
      </c>
      <c r="D266" s="29" t="s">
        <v>1691</v>
      </c>
      <c r="E266" s="30" t="s">
        <v>1692</v>
      </c>
      <c r="F266" s="28" t="s">
        <v>1693</v>
      </c>
      <c r="I266" s="32"/>
      <c r="J266" s="32"/>
      <c r="K266" s="33" t="s">
        <v>1689</v>
      </c>
      <c r="L266" s="33" t="s">
        <v>1694</v>
      </c>
      <c r="N266" s="33" t="s">
        <v>1689</v>
      </c>
      <c r="O266" s="35" t="s">
        <v>1695</v>
      </c>
    </row>
    <row r="267">
      <c r="A267" s="38"/>
      <c r="B267" s="28" t="s">
        <v>1696</v>
      </c>
      <c r="C267" s="28" t="s">
        <v>1103</v>
      </c>
      <c r="D267" s="29" t="s">
        <v>1697</v>
      </c>
      <c r="E267" s="30" t="s">
        <v>1698</v>
      </c>
      <c r="F267" s="28" t="s">
        <v>1699</v>
      </c>
      <c r="I267" s="32"/>
      <c r="J267" s="32"/>
      <c r="K267" s="33" t="s">
        <v>1696</v>
      </c>
      <c r="L267" s="33" t="s">
        <v>1700</v>
      </c>
      <c r="N267" s="33" t="s">
        <v>1696</v>
      </c>
      <c r="O267" s="47" t="s">
        <v>1701</v>
      </c>
    </row>
    <row r="268">
      <c r="A268" s="38"/>
      <c r="B268" s="28" t="s">
        <v>1702</v>
      </c>
      <c r="C268" s="28" t="s">
        <v>1108</v>
      </c>
      <c r="D268" s="29" t="s">
        <v>1703</v>
      </c>
      <c r="E268" s="30" t="s">
        <v>1704</v>
      </c>
      <c r="F268" s="28" t="s">
        <v>1705</v>
      </c>
      <c r="I268" s="32"/>
      <c r="J268" s="32"/>
      <c r="K268" s="33" t="s">
        <v>1702</v>
      </c>
      <c r="L268" s="33" t="s">
        <v>1706</v>
      </c>
      <c r="N268" s="33" t="s">
        <v>1702</v>
      </c>
      <c r="O268" s="35" t="s">
        <v>1107</v>
      </c>
    </row>
    <row r="269">
      <c r="A269" s="38"/>
      <c r="B269" s="28" t="s">
        <v>1707</v>
      </c>
      <c r="C269" s="28" t="s">
        <v>1708</v>
      </c>
      <c r="D269" s="29" t="s">
        <v>1709</v>
      </c>
      <c r="E269" s="30" t="s">
        <v>1710</v>
      </c>
      <c r="F269" s="28" t="s">
        <v>1711</v>
      </c>
      <c r="I269" s="32"/>
      <c r="J269" s="32"/>
      <c r="K269" s="33" t="s">
        <v>1707</v>
      </c>
      <c r="L269" s="33" t="s">
        <v>1712</v>
      </c>
      <c r="N269" s="33" t="s">
        <v>1707</v>
      </c>
      <c r="O269" s="47" t="s">
        <v>1713</v>
      </c>
    </row>
    <row r="270">
      <c r="A270" s="38"/>
      <c r="B270" s="28" t="s">
        <v>1714</v>
      </c>
      <c r="C270" s="28" t="s">
        <v>1119</v>
      </c>
      <c r="D270" s="29" t="s">
        <v>1715</v>
      </c>
      <c r="E270" s="30"/>
      <c r="F270" s="28" t="s">
        <v>1716</v>
      </c>
      <c r="I270" s="32"/>
      <c r="J270" s="32"/>
      <c r="K270" s="33" t="s">
        <v>1714</v>
      </c>
      <c r="L270" s="33" t="s">
        <v>1717</v>
      </c>
      <c r="N270" s="33" t="s">
        <v>1714</v>
      </c>
      <c r="O270" s="47" t="s">
        <v>1718</v>
      </c>
    </row>
    <row r="271">
      <c r="A271" s="38"/>
      <c r="B271" s="28" t="s">
        <v>1719</v>
      </c>
      <c r="C271" s="28" t="s">
        <v>1130</v>
      </c>
      <c r="D271" s="29" t="s">
        <v>1720</v>
      </c>
      <c r="E271" s="30" t="s">
        <v>1721</v>
      </c>
      <c r="F271" s="28" t="s">
        <v>1722</v>
      </c>
      <c r="I271" s="32"/>
      <c r="J271" s="32"/>
      <c r="K271" s="33" t="s">
        <v>1719</v>
      </c>
      <c r="L271" s="33" t="s">
        <v>1723</v>
      </c>
      <c r="N271" s="33" t="s">
        <v>1719</v>
      </c>
      <c r="O271" s="35" t="s">
        <v>1129</v>
      </c>
    </row>
    <row r="272">
      <c r="A272" s="38"/>
      <c r="B272" s="28" t="s">
        <v>1724</v>
      </c>
      <c r="C272" s="28" t="s">
        <v>1725</v>
      </c>
      <c r="D272" s="29" t="s">
        <v>1726</v>
      </c>
      <c r="E272" s="30" t="s">
        <v>1727</v>
      </c>
      <c r="F272" s="28" t="s">
        <v>1728</v>
      </c>
      <c r="I272" s="32"/>
      <c r="J272" s="32"/>
      <c r="K272" s="33" t="s">
        <v>1724</v>
      </c>
      <c r="L272" s="33" t="s">
        <v>1729</v>
      </c>
      <c r="N272" s="33" t="s">
        <v>1724</v>
      </c>
      <c r="O272" s="35" t="s">
        <v>1730</v>
      </c>
    </row>
    <row r="273">
      <c r="A273" s="38"/>
      <c r="B273" s="28" t="s">
        <v>1731</v>
      </c>
      <c r="C273" s="28" t="s">
        <v>1137</v>
      </c>
      <c r="D273" s="29" t="s">
        <v>1732</v>
      </c>
      <c r="E273" s="30" t="s">
        <v>1733</v>
      </c>
      <c r="F273" s="28" t="s">
        <v>1734</v>
      </c>
      <c r="I273" s="32"/>
      <c r="J273" s="32"/>
      <c r="K273" s="33" t="s">
        <v>1731</v>
      </c>
      <c r="L273" s="33" t="s">
        <v>1735</v>
      </c>
      <c r="N273" s="33" t="s">
        <v>1731</v>
      </c>
      <c r="O273" s="35" t="s">
        <v>1136</v>
      </c>
    </row>
    <row r="274">
      <c r="A274" s="38"/>
      <c r="B274" s="28" t="s">
        <v>1736</v>
      </c>
      <c r="C274" s="28" t="s">
        <v>1144</v>
      </c>
      <c r="D274" s="29" t="s">
        <v>1737</v>
      </c>
      <c r="E274" s="30" t="s">
        <v>1738</v>
      </c>
      <c r="F274" s="28" t="s">
        <v>1739</v>
      </c>
      <c r="I274" s="32"/>
      <c r="J274" s="32"/>
      <c r="K274" s="33" t="s">
        <v>1736</v>
      </c>
      <c r="L274" s="33" t="s">
        <v>1740</v>
      </c>
      <c r="N274" s="33" t="s">
        <v>1736</v>
      </c>
      <c r="O274" s="35" t="s">
        <v>1143</v>
      </c>
    </row>
    <row r="275">
      <c r="A275" s="38"/>
      <c r="B275" s="28" t="s">
        <v>1741</v>
      </c>
      <c r="C275" s="28" t="s">
        <v>1156</v>
      </c>
      <c r="D275" s="29" t="s">
        <v>1742</v>
      </c>
      <c r="E275" s="30" t="s">
        <v>1743</v>
      </c>
      <c r="F275" s="28" t="s">
        <v>1744</v>
      </c>
      <c r="I275" s="32"/>
      <c r="J275" s="32"/>
      <c r="K275" s="33" t="s">
        <v>1741</v>
      </c>
      <c r="L275" s="33" t="s">
        <v>1745</v>
      </c>
      <c r="N275" s="33" t="s">
        <v>1741</v>
      </c>
      <c r="O275" s="35"/>
    </row>
    <row r="276">
      <c r="A276" s="38"/>
      <c r="B276" s="28" t="s">
        <v>1746</v>
      </c>
      <c r="C276" s="28" t="s">
        <v>1162</v>
      </c>
      <c r="D276" s="29" t="s">
        <v>1747</v>
      </c>
      <c r="E276" s="30" t="s">
        <v>1748</v>
      </c>
      <c r="F276" s="28" t="s">
        <v>1749</v>
      </c>
      <c r="I276" s="32"/>
      <c r="J276" s="32"/>
      <c r="K276" s="33" t="s">
        <v>1746</v>
      </c>
      <c r="L276" s="33" t="s">
        <v>1750</v>
      </c>
      <c r="N276" s="33" t="s">
        <v>1746</v>
      </c>
      <c r="O276" s="35" t="s">
        <v>1161</v>
      </c>
    </row>
    <row r="277">
      <c r="A277" s="38"/>
      <c r="B277" s="28" t="s">
        <v>1751</v>
      </c>
      <c r="C277" s="28" t="s">
        <v>1173</v>
      </c>
      <c r="D277" s="29" t="s">
        <v>1752</v>
      </c>
      <c r="E277" s="30" t="s">
        <v>1753</v>
      </c>
      <c r="F277" s="28" t="s">
        <v>1754</v>
      </c>
      <c r="I277" s="32"/>
      <c r="J277" s="32"/>
      <c r="K277" s="33" t="s">
        <v>1751</v>
      </c>
      <c r="L277" s="33" t="s">
        <v>1755</v>
      </c>
      <c r="N277" s="33" t="s">
        <v>1751</v>
      </c>
      <c r="O277" s="35" t="s">
        <v>1756</v>
      </c>
    </row>
    <row r="278">
      <c r="A278" s="38"/>
      <c r="B278" s="28" t="s">
        <v>1757</v>
      </c>
      <c r="C278" s="28" t="s">
        <v>1758</v>
      </c>
      <c r="D278" s="29" t="s">
        <v>1759</v>
      </c>
      <c r="E278" s="30" t="s">
        <v>1760</v>
      </c>
      <c r="F278" s="28" t="s">
        <v>1761</v>
      </c>
      <c r="I278" s="32"/>
      <c r="J278" s="32"/>
      <c r="K278" s="33" t="s">
        <v>1757</v>
      </c>
      <c r="L278" s="33" t="s">
        <v>1762</v>
      </c>
      <c r="N278" s="33" t="s">
        <v>1757</v>
      </c>
      <c r="O278" s="35" t="s">
        <v>1763</v>
      </c>
    </row>
    <row r="279">
      <c r="A279" s="38"/>
      <c r="B279" s="28" t="s">
        <v>1764</v>
      </c>
      <c r="C279" s="28" t="s">
        <v>1765</v>
      </c>
      <c r="D279" s="29" t="s">
        <v>1766</v>
      </c>
      <c r="E279" s="30" t="s">
        <v>1767</v>
      </c>
      <c r="F279" s="28" t="s">
        <v>1768</v>
      </c>
      <c r="I279" s="32"/>
      <c r="J279" s="32"/>
      <c r="K279" s="33" t="s">
        <v>1764</v>
      </c>
      <c r="L279" s="33" t="s">
        <v>1769</v>
      </c>
      <c r="N279" s="33" t="s">
        <v>1764</v>
      </c>
      <c r="O279" s="47" t="s">
        <v>1770</v>
      </c>
    </row>
    <row r="280">
      <c r="A280" s="38"/>
      <c r="B280" s="28" t="s">
        <v>1771</v>
      </c>
      <c r="C280" s="28" t="s">
        <v>1178</v>
      </c>
      <c r="D280" s="29" t="s">
        <v>1772</v>
      </c>
      <c r="E280" s="30" t="s">
        <v>1773</v>
      </c>
      <c r="F280" s="28" t="s">
        <v>1774</v>
      </c>
      <c r="I280" s="32"/>
      <c r="J280" s="32"/>
      <c r="K280" s="33" t="s">
        <v>1771</v>
      </c>
      <c r="L280" s="33" t="s">
        <v>1775</v>
      </c>
      <c r="N280" s="33" t="s">
        <v>1771</v>
      </c>
      <c r="O280" s="35"/>
    </row>
    <row r="281">
      <c r="A281" s="38"/>
      <c r="B281" s="28" t="s">
        <v>1776</v>
      </c>
      <c r="C281" s="28" t="s">
        <v>1208</v>
      </c>
      <c r="D281" s="29" t="s">
        <v>1777</v>
      </c>
      <c r="E281" s="30"/>
      <c r="F281" s="28" t="s">
        <v>1778</v>
      </c>
      <c r="I281" s="32"/>
      <c r="J281" s="32"/>
      <c r="K281" s="33" t="s">
        <v>1776</v>
      </c>
      <c r="L281" s="33" t="s">
        <v>1779</v>
      </c>
      <c r="N281" s="33" t="s">
        <v>1776</v>
      </c>
      <c r="O281" s="35" t="s">
        <v>1207</v>
      </c>
    </row>
    <row r="282">
      <c r="A282" s="38"/>
      <c r="B282" s="28" t="s">
        <v>1780</v>
      </c>
      <c r="C282" s="28" t="s">
        <v>1219</v>
      </c>
      <c r="D282" s="29" t="s">
        <v>1781</v>
      </c>
      <c r="E282" s="30" t="s">
        <v>1782</v>
      </c>
      <c r="F282" s="28" t="s">
        <v>1783</v>
      </c>
      <c r="I282" s="32"/>
      <c r="J282" s="32"/>
      <c r="K282" s="33" t="s">
        <v>1780</v>
      </c>
      <c r="L282" s="33" t="s">
        <v>1784</v>
      </c>
      <c r="N282" s="33" t="s">
        <v>1780</v>
      </c>
      <c r="O282" s="35"/>
    </row>
    <row r="283">
      <c r="A283" s="38"/>
      <c r="B283" s="28" t="s">
        <v>1785</v>
      </c>
      <c r="C283" s="28" t="s">
        <v>1223</v>
      </c>
      <c r="D283" s="29" t="s">
        <v>1786</v>
      </c>
      <c r="E283" s="30" t="s">
        <v>1787</v>
      </c>
      <c r="F283" s="28" t="s">
        <v>1788</v>
      </c>
      <c r="I283" s="32"/>
      <c r="J283" s="32"/>
      <c r="K283" s="33" t="s">
        <v>1785</v>
      </c>
      <c r="L283" s="33" t="s">
        <v>1789</v>
      </c>
      <c r="N283" s="33" t="s">
        <v>1785</v>
      </c>
      <c r="O283" s="35"/>
    </row>
    <row r="284">
      <c r="A284" s="38"/>
      <c r="B284" s="28" t="s">
        <v>1790</v>
      </c>
      <c r="C284" s="28" t="s">
        <v>1230</v>
      </c>
      <c r="D284" s="29" t="s">
        <v>1791</v>
      </c>
      <c r="E284" s="30" t="s">
        <v>1792</v>
      </c>
      <c r="F284" s="28" t="s">
        <v>1793</v>
      </c>
      <c r="I284" s="32"/>
      <c r="J284" s="32"/>
      <c r="K284" s="33" t="s">
        <v>1790</v>
      </c>
      <c r="L284" s="33" t="s">
        <v>1794</v>
      </c>
      <c r="N284" s="33" t="s">
        <v>1790</v>
      </c>
      <c r="O284" s="35" t="s">
        <v>1229</v>
      </c>
    </row>
    <row r="285">
      <c r="A285" s="38"/>
      <c r="B285" s="28" t="s">
        <v>1795</v>
      </c>
      <c r="C285" s="28" t="s">
        <v>1796</v>
      </c>
      <c r="D285" s="29" t="s">
        <v>1797</v>
      </c>
      <c r="E285" s="30" t="s">
        <v>1798</v>
      </c>
      <c r="F285" s="28" t="s">
        <v>1799</v>
      </c>
      <c r="I285" s="32"/>
      <c r="J285" s="32"/>
      <c r="K285" s="33" t="s">
        <v>1795</v>
      </c>
      <c r="L285" s="33" t="s">
        <v>1800</v>
      </c>
      <c r="N285" s="33" t="s">
        <v>1795</v>
      </c>
      <c r="O285" s="35" t="s">
        <v>1801</v>
      </c>
    </row>
    <row r="286">
      <c r="A286" s="38"/>
      <c r="B286" s="28" t="s">
        <v>1802</v>
      </c>
      <c r="C286" s="28" t="s">
        <v>1241</v>
      </c>
      <c r="D286" s="29" t="s">
        <v>1803</v>
      </c>
      <c r="E286" s="30"/>
      <c r="F286" s="28" t="s">
        <v>1804</v>
      </c>
      <c r="I286" s="32"/>
      <c r="J286" s="32"/>
      <c r="K286" s="33" t="s">
        <v>1802</v>
      </c>
      <c r="L286" s="33" t="s">
        <v>1805</v>
      </c>
      <c r="N286" s="33" t="s">
        <v>1802</v>
      </c>
      <c r="O286" s="35" t="s">
        <v>1240</v>
      </c>
    </row>
    <row r="287">
      <c r="A287" s="38"/>
      <c r="B287" s="28" t="s">
        <v>1806</v>
      </c>
      <c r="C287" s="28" t="s">
        <v>1807</v>
      </c>
      <c r="D287" s="29" t="s">
        <v>1808</v>
      </c>
      <c r="E287" s="30" t="s">
        <v>1809</v>
      </c>
      <c r="F287" s="28" t="s">
        <v>1810</v>
      </c>
      <c r="I287" s="32"/>
      <c r="J287" s="32"/>
      <c r="K287" s="33" t="s">
        <v>1806</v>
      </c>
      <c r="L287" s="33" t="s">
        <v>1811</v>
      </c>
      <c r="N287" s="33" t="s">
        <v>1806</v>
      </c>
      <c r="O287" s="35" t="s">
        <v>1812</v>
      </c>
    </row>
    <row r="288">
      <c r="A288" s="38"/>
      <c r="B288" s="28" t="s">
        <v>1813</v>
      </c>
      <c r="C288" s="28" t="s">
        <v>1246</v>
      </c>
      <c r="D288" s="29" t="s">
        <v>1814</v>
      </c>
      <c r="E288" s="30" t="s">
        <v>1815</v>
      </c>
      <c r="F288" s="28" t="s">
        <v>1816</v>
      </c>
      <c r="I288" s="32"/>
      <c r="J288" s="32"/>
      <c r="K288" s="33" t="s">
        <v>1813</v>
      </c>
      <c r="L288" s="33" t="s">
        <v>1817</v>
      </c>
      <c r="N288" s="33" t="s">
        <v>1813</v>
      </c>
      <c r="O288" s="35"/>
    </row>
    <row r="289">
      <c r="A289" s="38"/>
      <c r="B289" s="28" t="s">
        <v>1818</v>
      </c>
      <c r="C289" s="28" t="s">
        <v>1819</v>
      </c>
      <c r="D289" s="29" t="s">
        <v>1820</v>
      </c>
      <c r="E289" s="30"/>
      <c r="F289" s="28" t="s">
        <v>1821</v>
      </c>
      <c r="I289" s="32"/>
      <c r="J289" s="32"/>
      <c r="K289" s="33" t="s">
        <v>1818</v>
      </c>
      <c r="L289" s="33" t="s">
        <v>1822</v>
      </c>
      <c r="N289" s="33" t="s">
        <v>1818</v>
      </c>
      <c r="O289" s="35"/>
    </row>
    <row r="290">
      <c r="A290" s="38"/>
      <c r="B290" s="28" t="s">
        <v>1823</v>
      </c>
      <c r="C290" s="28" t="s">
        <v>1264</v>
      </c>
      <c r="D290" s="29" t="s">
        <v>1824</v>
      </c>
      <c r="E290" s="30" t="s">
        <v>1825</v>
      </c>
      <c r="F290" s="28" t="s">
        <v>1826</v>
      </c>
      <c r="I290" s="32"/>
      <c r="J290" s="32"/>
      <c r="K290" s="33" t="s">
        <v>1823</v>
      </c>
      <c r="L290" s="33" t="s">
        <v>1827</v>
      </c>
      <c r="N290" s="33" t="s">
        <v>1823</v>
      </c>
      <c r="O290" s="35" t="s">
        <v>1263</v>
      </c>
    </row>
    <row r="291">
      <c r="A291" s="38"/>
      <c r="B291" s="28" t="s">
        <v>1828</v>
      </c>
      <c r="C291" s="28" t="s">
        <v>1270</v>
      </c>
      <c r="D291" s="29" t="s">
        <v>1829</v>
      </c>
      <c r="E291" s="30" t="s">
        <v>1830</v>
      </c>
      <c r="F291" s="28" t="s">
        <v>1831</v>
      </c>
      <c r="I291" s="32"/>
      <c r="J291" s="32"/>
      <c r="K291" s="33" t="s">
        <v>1828</v>
      </c>
      <c r="L291" s="33" t="s">
        <v>1832</v>
      </c>
      <c r="N291" s="33" t="s">
        <v>1828</v>
      </c>
      <c r="O291" s="35" t="s">
        <v>1269</v>
      </c>
    </row>
    <row r="292">
      <c r="A292" s="38"/>
      <c r="B292" s="28" t="s">
        <v>1833</v>
      </c>
      <c r="C292" s="28" t="s">
        <v>1834</v>
      </c>
      <c r="D292" s="29" t="s">
        <v>1835</v>
      </c>
      <c r="E292" s="30" t="s">
        <v>1836</v>
      </c>
      <c r="F292" s="28" t="s">
        <v>1837</v>
      </c>
      <c r="I292" s="32"/>
      <c r="J292" s="32"/>
      <c r="K292" s="33" t="s">
        <v>1833</v>
      </c>
      <c r="L292" s="33" t="s">
        <v>1838</v>
      </c>
      <c r="N292" s="33" t="s">
        <v>1833</v>
      </c>
      <c r="O292" s="35" t="s">
        <v>1839</v>
      </c>
    </row>
    <row r="293">
      <c r="A293" s="38"/>
      <c r="B293" s="28" t="s">
        <v>1840</v>
      </c>
      <c r="C293" s="28" t="s">
        <v>1277</v>
      </c>
      <c r="D293" s="29" t="s">
        <v>1841</v>
      </c>
      <c r="E293" s="30"/>
      <c r="F293" s="28" t="s">
        <v>1842</v>
      </c>
      <c r="I293" s="32"/>
      <c r="J293" s="32"/>
      <c r="K293" s="33" t="s">
        <v>1840</v>
      </c>
      <c r="L293" s="33" t="s">
        <v>1843</v>
      </c>
      <c r="N293" s="33" t="s">
        <v>1840</v>
      </c>
      <c r="O293" s="35" t="s">
        <v>1276</v>
      </c>
    </row>
    <row r="294">
      <c r="A294" s="38"/>
      <c r="B294" s="28" t="s">
        <v>1844</v>
      </c>
      <c r="C294" s="28" t="s">
        <v>1284</v>
      </c>
      <c r="D294" s="29" t="s">
        <v>1845</v>
      </c>
      <c r="E294" s="30"/>
      <c r="F294" s="28" t="s">
        <v>1846</v>
      </c>
      <c r="I294" s="32"/>
      <c r="J294" s="32"/>
      <c r="K294" s="33" t="s">
        <v>1844</v>
      </c>
      <c r="L294" s="33" t="s">
        <v>1847</v>
      </c>
      <c r="N294" s="33" t="s">
        <v>1844</v>
      </c>
      <c r="O294" s="35" t="s">
        <v>1283</v>
      </c>
    </row>
    <row r="295">
      <c r="A295" s="38"/>
      <c r="B295" s="28" t="s">
        <v>1848</v>
      </c>
      <c r="C295" s="28" t="s">
        <v>1290</v>
      </c>
      <c r="D295" s="29" t="s">
        <v>1849</v>
      </c>
      <c r="E295" s="30"/>
      <c r="F295" s="28" t="s">
        <v>1850</v>
      </c>
      <c r="I295" s="32"/>
      <c r="J295" s="32"/>
      <c r="K295" s="33" t="s">
        <v>1848</v>
      </c>
      <c r="L295" s="33" t="s">
        <v>1851</v>
      </c>
      <c r="N295" s="33" t="s">
        <v>1848</v>
      </c>
      <c r="O295" s="35" t="s">
        <v>1283</v>
      </c>
    </row>
    <row r="296">
      <c r="A296" s="38"/>
      <c r="B296" s="28" t="s">
        <v>1852</v>
      </c>
      <c r="C296" s="28" t="s">
        <v>1301</v>
      </c>
      <c r="D296" s="29" t="s">
        <v>1853</v>
      </c>
      <c r="E296" s="30"/>
      <c r="F296" s="28" t="s">
        <v>1854</v>
      </c>
      <c r="I296" s="32"/>
      <c r="J296" s="32"/>
      <c r="K296" s="33" t="s">
        <v>1852</v>
      </c>
      <c r="L296" s="33" t="s">
        <v>1855</v>
      </c>
      <c r="N296" s="33" t="s">
        <v>1852</v>
      </c>
      <c r="O296" s="35" t="s">
        <v>1300</v>
      </c>
    </row>
    <row r="297">
      <c r="A297" s="38"/>
      <c r="B297" s="28" t="s">
        <v>1856</v>
      </c>
      <c r="C297" s="28" t="s">
        <v>1305</v>
      </c>
      <c r="D297" s="29" t="s">
        <v>1857</v>
      </c>
      <c r="E297" s="30" t="s">
        <v>1858</v>
      </c>
      <c r="F297" s="28" t="s">
        <v>1859</v>
      </c>
      <c r="I297" s="32"/>
      <c r="J297" s="32"/>
      <c r="K297" s="33" t="s">
        <v>1856</v>
      </c>
      <c r="L297" s="33" t="s">
        <v>1860</v>
      </c>
      <c r="N297" s="33" t="s">
        <v>1856</v>
      </c>
      <c r="O297" s="35"/>
    </row>
    <row r="298">
      <c r="A298" s="38"/>
      <c r="B298" s="28" t="s">
        <v>1861</v>
      </c>
      <c r="C298" s="28" t="s">
        <v>1862</v>
      </c>
      <c r="D298" s="29" t="s">
        <v>1863</v>
      </c>
      <c r="E298" s="30" t="s">
        <v>1864</v>
      </c>
      <c r="F298" s="28" t="s">
        <v>1865</v>
      </c>
      <c r="I298" s="32"/>
      <c r="J298" s="32"/>
      <c r="K298" s="33" t="s">
        <v>1861</v>
      </c>
      <c r="L298" s="33" t="s">
        <v>1866</v>
      </c>
      <c r="N298" s="33" t="s">
        <v>1861</v>
      </c>
      <c r="O298" s="35"/>
    </row>
    <row r="299">
      <c r="A299" s="38"/>
      <c r="B299" s="28" t="s">
        <v>1867</v>
      </c>
      <c r="C299" s="28" t="s">
        <v>1311</v>
      </c>
      <c r="D299" s="29" t="s">
        <v>1868</v>
      </c>
      <c r="E299" s="30" t="s">
        <v>1869</v>
      </c>
      <c r="F299" s="28" t="s">
        <v>1870</v>
      </c>
      <c r="I299" s="32"/>
      <c r="J299" s="32"/>
      <c r="K299" s="33" t="s">
        <v>1867</v>
      </c>
      <c r="L299" s="33" t="s">
        <v>1871</v>
      </c>
      <c r="N299" s="33" t="s">
        <v>1867</v>
      </c>
      <c r="O299" s="35" t="s">
        <v>1310</v>
      </c>
    </row>
    <row r="300">
      <c r="A300" s="38"/>
      <c r="B300" s="28" t="s">
        <v>1872</v>
      </c>
      <c r="C300" s="28" t="s">
        <v>1873</v>
      </c>
      <c r="D300" s="29" t="s">
        <v>1874</v>
      </c>
      <c r="E300" s="30" t="s">
        <v>1875</v>
      </c>
      <c r="F300" s="28" t="s">
        <v>1876</v>
      </c>
      <c r="I300" s="32"/>
      <c r="J300" s="32"/>
      <c r="K300" s="33" t="s">
        <v>1872</v>
      </c>
      <c r="L300" s="33" t="s">
        <v>1877</v>
      </c>
      <c r="N300" s="33" t="s">
        <v>1872</v>
      </c>
      <c r="O300" s="35"/>
    </row>
    <row r="301">
      <c r="A301" s="38"/>
      <c r="B301" s="28" t="s">
        <v>1878</v>
      </c>
      <c r="C301" s="28" t="s">
        <v>1317</v>
      </c>
      <c r="D301" s="29" t="s">
        <v>1879</v>
      </c>
      <c r="E301" s="30" t="s">
        <v>1880</v>
      </c>
      <c r="F301" s="28" t="s">
        <v>1881</v>
      </c>
      <c r="I301" s="32"/>
      <c r="J301" s="32"/>
      <c r="K301" s="33" t="s">
        <v>1878</v>
      </c>
      <c r="L301" s="33" t="s">
        <v>1882</v>
      </c>
      <c r="N301" s="33" t="s">
        <v>1878</v>
      </c>
      <c r="O301" s="47" t="s">
        <v>1883</v>
      </c>
    </row>
    <row r="302">
      <c r="A302" s="38"/>
      <c r="B302" s="28" t="s">
        <v>1884</v>
      </c>
      <c r="C302" s="28" t="s">
        <v>1323</v>
      </c>
      <c r="D302" s="29" t="s">
        <v>1885</v>
      </c>
      <c r="E302" s="30"/>
      <c r="F302" s="28" t="s">
        <v>1886</v>
      </c>
      <c r="I302" s="32"/>
      <c r="J302" s="32"/>
      <c r="K302" s="33" t="s">
        <v>1884</v>
      </c>
      <c r="L302" s="33" t="s">
        <v>1887</v>
      </c>
      <c r="N302" s="33" t="s">
        <v>1884</v>
      </c>
      <c r="O302" s="35" t="s">
        <v>1322</v>
      </c>
    </row>
    <row r="303">
      <c r="A303" s="38"/>
      <c r="B303" s="28" t="s">
        <v>1888</v>
      </c>
      <c r="C303" s="28" t="s">
        <v>1889</v>
      </c>
      <c r="D303" s="29" t="s">
        <v>1890</v>
      </c>
      <c r="E303" s="30" t="s">
        <v>1891</v>
      </c>
      <c r="F303" s="28" t="s">
        <v>1892</v>
      </c>
      <c r="I303" s="32"/>
      <c r="J303" s="32"/>
      <c r="K303" s="33" t="s">
        <v>1888</v>
      </c>
      <c r="L303" s="33" t="s">
        <v>1893</v>
      </c>
      <c r="N303" s="33" t="s">
        <v>1888</v>
      </c>
      <c r="O303" s="35"/>
    </row>
    <row r="304">
      <c r="A304" s="38"/>
      <c r="B304" s="28" t="s">
        <v>1894</v>
      </c>
      <c r="C304" s="28" t="s">
        <v>1895</v>
      </c>
      <c r="D304" s="29" t="s">
        <v>1896</v>
      </c>
      <c r="E304" s="30" t="s">
        <v>1897</v>
      </c>
      <c r="F304" s="28" t="s">
        <v>1898</v>
      </c>
      <c r="I304" s="32"/>
      <c r="J304" s="32"/>
      <c r="K304" s="33" t="s">
        <v>1894</v>
      </c>
      <c r="L304" s="33" t="s">
        <v>1899</v>
      </c>
      <c r="N304" s="33" t="s">
        <v>1894</v>
      </c>
      <c r="O304" s="35" t="s">
        <v>1900</v>
      </c>
    </row>
    <row r="305">
      <c r="A305" s="38"/>
      <c r="B305" s="28" t="s">
        <v>1901</v>
      </c>
      <c r="C305" s="28" t="s">
        <v>1339</v>
      </c>
      <c r="D305" s="29" t="s">
        <v>1902</v>
      </c>
      <c r="E305" s="54" t="s">
        <v>1903</v>
      </c>
      <c r="F305" s="28" t="s">
        <v>1904</v>
      </c>
      <c r="I305" s="32"/>
      <c r="J305" s="32"/>
      <c r="K305" s="33" t="s">
        <v>1901</v>
      </c>
      <c r="L305" s="33" t="s">
        <v>1905</v>
      </c>
      <c r="N305" s="33" t="s">
        <v>1901</v>
      </c>
      <c r="O305" s="35" t="s">
        <v>1338</v>
      </c>
    </row>
    <row r="306">
      <c r="A306" s="38"/>
      <c r="B306" s="28" t="s">
        <v>1906</v>
      </c>
      <c r="C306" s="28" t="s">
        <v>1348</v>
      </c>
      <c r="D306" s="29" t="s">
        <v>1907</v>
      </c>
      <c r="E306" s="30" t="s">
        <v>1908</v>
      </c>
      <c r="F306" s="28" t="s">
        <v>1909</v>
      </c>
      <c r="I306" s="32"/>
      <c r="J306" s="32"/>
      <c r="K306" s="33" t="s">
        <v>1906</v>
      </c>
      <c r="L306" s="33" t="s">
        <v>1910</v>
      </c>
      <c r="N306" s="33" t="s">
        <v>1906</v>
      </c>
      <c r="O306" s="35" t="s">
        <v>1338</v>
      </c>
    </row>
    <row r="307">
      <c r="A307" s="38"/>
      <c r="B307" s="28" t="s">
        <v>1911</v>
      </c>
      <c r="C307" s="28" t="s">
        <v>1912</v>
      </c>
      <c r="D307" s="29" t="s">
        <v>1913</v>
      </c>
      <c r="E307" s="30" t="s">
        <v>1914</v>
      </c>
      <c r="F307" s="28" t="s">
        <v>1915</v>
      </c>
      <c r="I307" s="32"/>
      <c r="J307" s="32"/>
      <c r="K307" s="33" t="s">
        <v>1911</v>
      </c>
      <c r="L307" s="33" t="s">
        <v>1916</v>
      </c>
      <c r="N307" s="33" t="s">
        <v>1911</v>
      </c>
      <c r="O307" s="35" t="s">
        <v>1917</v>
      </c>
    </row>
    <row r="308">
      <c r="A308" s="38"/>
      <c r="B308" s="28" t="s">
        <v>1918</v>
      </c>
      <c r="C308" s="28" t="s">
        <v>1358</v>
      </c>
      <c r="D308" s="29" t="s">
        <v>1919</v>
      </c>
      <c r="E308" s="30" t="s">
        <v>1920</v>
      </c>
      <c r="F308" s="28" t="s">
        <v>1921</v>
      </c>
      <c r="I308" s="32"/>
      <c r="J308" s="32"/>
      <c r="K308" s="33" t="s">
        <v>1918</v>
      </c>
      <c r="L308" s="33" t="s">
        <v>1922</v>
      </c>
      <c r="N308" s="33" t="s">
        <v>1918</v>
      </c>
      <c r="O308" s="35" t="s">
        <v>1357</v>
      </c>
    </row>
    <row r="309">
      <c r="A309" s="38"/>
      <c r="B309" s="28" t="s">
        <v>1923</v>
      </c>
      <c r="C309" s="28" t="s">
        <v>1924</v>
      </c>
      <c r="D309" s="29" t="s">
        <v>1925</v>
      </c>
      <c r="E309" s="30" t="s">
        <v>1926</v>
      </c>
      <c r="F309" s="28" t="s">
        <v>1927</v>
      </c>
      <c r="I309" s="32"/>
      <c r="J309" s="32"/>
      <c r="K309" s="33" t="s">
        <v>1923</v>
      </c>
      <c r="L309" s="33" t="s">
        <v>1928</v>
      </c>
      <c r="N309" s="33" t="s">
        <v>1923</v>
      </c>
      <c r="O309" s="35"/>
    </row>
    <row r="310">
      <c r="A310" s="38"/>
      <c r="B310" s="28" t="s">
        <v>1929</v>
      </c>
      <c r="C310" s="28" t="s">
        <v>1370</v>
      </c>
      <c r="D310" s="29" t="s">
        <v>1930</v>
      </c>
      <c r="E310" s="30" t="s">
        <v>1931</v>
      </c>
      <c r="F310" s="28" t="s">
        <v>1932</v>
      </c>
      <c r="I310" s="32"/>
      <c r="J310" s="32"/>
      <c r="K310" s="33" t="s">
        <v>1929</v>
      </c>
      <c r="L310" s="33" t="s">
        <v>1933</v>
      </c>
      <c r="N310" s="33" t="s">
        <v>1929</v>
      </c>
      <c r="O310" s="35" t="s">
        <v>1369</v>
      </c>
    </row>
    <row r="311">
      <c r="A311" s="38"/>
      <c r="B311" s="28" t="s">
        <v>1934</v>
      </c>
      <c r="C311" s="28" t="s">
        <v>1383</v>
      </c>
      <c r="D311" s="29" t="s">
        <v>1935</v>
      </c>
      <c r="E311" s="30" t="s">
        <v>1936</v>
      </c>
      <c r="F311" s="28" t="s">
        <v>1937</v>
      </c>
      <c r="I311" s="32"/>
      <c r="J311" s="32"/>
      <c r="K311" s="33" t="s">
        <v>1934</v>
      </c>
      <c r="L311" s="33" t="s">
        <v>1938</v>
      </c>
      <c r="N311" s="33" t="s">
        <v>1934</v>
      </c>
      <c r="O311" s="35" t="s">
        <v>1382</v>
      </c>
    </row>
    <row r="312">
      <c r="A312" s="38"/>
      <c r="B312" s="28" t="s">
        <v>1939</v>
      </c>
      <c r="C312" s="28" t="s">
        <v>1388</v>
      </c>
      <c r="D312" s="29" t="s">
        <v>1940</v>
      </c>
      <c r="E312" s="30" t="s">
        <v>1941</v>
      </c>
      <c r="F312" s="28" t="s">
        <v>1942</v>
      </c>
      <c r="I312" s="32"/>
      <c r="J312" s="32"/>
      <c r="K312" s="33" t="s">
        <v>1939</v>
      </c>
      <c r="L312" s="33" t="s">
        <v>1943</v>
      </c>
      <c r="N312" s="33" t="s">
        <v>1939</v>
      </c>
      <c r="O312" s="35" t="s">
        <v>1387</v>
      </c>
    </row>
    <row r="313">
      <c r="A313" s="38"/>
      <c r="B313" s="28" t="s">
        <v>1944</v>
      </c>
      <c r="C313" s="28" t="s">
        <v>1393</v>
      </c>
      <c r="D313" s="29" t="s">
        <v>1945</v>
      </c>
      <c r="E313" s="30" t="s">
        <v>1946</v>
      </c>
      <c r="F313" s="28" t="s">
        <v>1947</v>
      </c>
      <c r="I313" s="32"/>
      <c r="J313" s="32"/>
      <c r="K313" s="33" t="s">
        <v>1944</v>
      </c>
      <c r="L313" s="33" t="s">
        <v>1948</v>
      </c>
      <c r="N313" s="33" t="s">
        <v>1944</v>
      </c>
      <c r="O313" s="35" t="s">
        <v>1392</v>
      </c>
    </row>
    <row r="314">
      <c r="A314" s="38"/>
      <c r="B314" s="28" t="s">
        <v>1949</v>
      </c>
      <c r="C314" s="28" t="s">
        <v>1950</v>
      </c>
      <c r="D314" s="29" t="s">
        <v>1951</v>
      </c>
      <c r="E314" s="30" t="s">
        <v>1952</v>
      </c>
      <c r="F314" s="28" t="s">
        <v>1953</v>
      </c>
      <c r="I314" s="32"/>
      <c r="J314" s="32"/>
      <c r="K314" s="33" t="s">
        <v>1949</v>
      </c>
      <c r="L314" s="33" t="s">
        <v>1954</v>
      </c>
      <c r="N314" s="33" t="s">
        <v>1949</v>
      </c>
      <c r="O314" s="35" t="s">
        <v>1955</v>
      </c>
    </row>
    <row r="315">
      <c r="A315" s="38"/>
      <c r="B315" s="28" t="s">
        <v>1956</v>
      </c>
      <c r="C315" s="28" t="s">
        <v>1397</v>
      </c>
      <c r="D315" s="29" t="s">
        <v>1957</v>
      </c>
      <c r="E315" s="30" t="s">
        <v>1958</v>
      </c>
      <c r="F315" s="28" t="s">
        <v>1959</v>
      </c>
      <c r="I315" s="32"/>
      <c r="J315" s="32"/>
      <c r="K315" s="33" t="s">
        <v>1956</v>
      </c>
      <c r="L315" s="33" t="s">
        <v>1960</v>
      </c>
      <c r="N315" s="33" t="s">
        <v>1956</v>
      </c>
      <c r="O315" s="35"/>
    </row>
    <row r="316">
      <c r="A316" s="38"/>
      <c r="B316" s="28" t="s">
        <v>1961</v>
      </c>
      <c r="C316" s="28" t="s">
        <v>1403</v>
      </c>
      <c r="D316" s="29" t="s">
        <v>1962</v>
      </c>
      <c r="E316" s="30"/>
      <c r="F316" s="28" t="s">
        <v>1963</v>
      </c>
      <c r="I316" s="32"/>
      <c r="J316" s="32"/>
      <c r="K316" s="33" t="s">
        <v>1961</v>
      </c>
      <c r="L316" s="33" t="s">
        <v>1964</v>
      </c>
      <c r="N316" s="33" t="s">
        <v>1961</v>
      </c>
      <c r="O316" s="35" t="s">
        <v>1402</v>
      </c>
    </row>
    <row r="317">
      <c r="A317" s="38"/>
      <c r="B317" s="28" t="s">
        <v>1965</v>
      </c>
      <c r="C317" s="28" t="s">
        <v>1966</v>
      </c>
      <c r="D317" s="29" t="s">
        <v>1967</v>
      </c>
      <c r="E317" s="30" t="s">
        <v>1968</v>
      </c>
      <c r="F317" s="28" t="s">
        <v>1969</v>
      </c>
      <c r="I317" s="32"/>
      <c r="J317" s="32"/>
      <c r="K317" s="33" t="s">
        <v>1965</v>
      </c>
      <c r="L317" s="33" t="s">
        <v>1970</v>
      </c>
      <c r="N317" s="33" t="s">
        <v>1965</v>
      </c>
      <c r="O317" s="35" t="s">
        <v>1971</v>
      </c>
    </row>
    <row r="318">
      <c r="A318" s="38"/>
      <c r="B318" s="28" t="s">
        <v>1972</v>
      </c>
      <c r="C318" s="28" t="s">
        <v>1973</v>
      </c>
      <c r="D318" s="29" t="s">
        <v>1974</v>
      </c>
      <c r="E318" s="30"/>
      <c r="F318" s="28" t="s">
        <v>1975</v>
      </c>
      <c r="I318" s="32"/>
      <c r="J318" s="32"/>
      <c r="K318" s="33" t="s">
        <v>1972</v>
      </c>
      <c r="L318" s="33" t="s">
        <v>1976</v>
      </c>
      <c r="N318" s="33" t="s">
        <v>1972</v>
      </c>
      <c r="O318" s="35" t="s">
        <v>1977</v>
      </c>
    </row>
    <row r="319">
      <c r="A319" s="38"/>
      <c r="B319" s="28" t="s">
        <v>1978</v>
      </c>
      <c r="C319" s="28" t="s">
        <v>1409</v>
      </c>
      <c r="D319" s="29" t="s">
        <v>1979</v>
      </c>
      <c r="E319" s="30"/>
      <c r="F319" s="28" t="s">
        <v>1980</v>
      </c>
      <c r="I319" s="32"/>
      <c r="J319" s="32"/>
      <c r="K319" s="33" t="s">
        <v>1978</v>
      </c>
      <c r="L319" s="33" t="s">
        <v>1981</v>
      </c>
      <c r="N319" s="33" t="s">
        <v>1978</v>
      </c>
      <c r="O319" s="35" t="s">
        <v>1408</v>
      </c>
    </row>
    <row r="320">
      <c r="A320" s="38"/>
      <c r="B320" s="28" t="s">
        <v>1982</v>
      </c>
      <c r="C320" s="28" t="s">
        <v>1415</v>
      </c>
      <c r="D320" s="29" t="s">
        <v>1983</v>
      </c>
      <c r="E320" s="30" t="s">
        <v>1984</v>
      </c>
      <c r="F320" s="28" t="s">
        <v>1985</v>
      </c>
      <c r="I320" s="32"/>
      <c r="J320" s="32"/>
      <c r="K320" s="33" t="s">
        <v>1982</v>
      </c>
      <c r="L320" s="33" t="s">
        <v>1986</v>
      </c>
      <c r="N320" s="33" t="s">
        <v>1982</v>
      </c>
      <c r="O320" s="35" t="s">
        <v>1414</v>
      </c>
    </row>
    <row r="321">
      <c r="A321" s="38"/>
      <c r="B321" s="28" t="s">
        <v>1987</v>
      </c>
      <c r="C321" s="28" t="s">
        <v>1426</v>
      </c>
      <c r="D321" s="29" t="s">
        <v>1988</v>
      </c>
      <c r="E321" s="30"/>
      <c r="F321" s="28" t="s">
        <v>1989</v>
      </c>
      <c r="I321" s="32"/>
      <c r="J321" s="32"/>
      <c r="K321" s="33" t="s">
        <v>1987</v>
      </c>
      <c r="L321" s="33" t="s">
        <v>1990</v>
      </c>
      <c r="N321" s="33" t="s">
        <v>1987</v>
      </c>
      <c r="O321" s="35" t="s">
        <v>1425</v>
      </c>
    </row>
    <row r="322">
      <c r="A322" s="38"/>
      <c r="B322" s="28" t="s">
        <v>1991</v>
      </c>
      <c r="C322" s="28" t="s">
        <v>1992</v>
      </c>
      <c r="D322" s="29" t="s">
        <v>1993</v>
      </c>
      <c r="E322" s="30" t="s">
        <v>1994</v>
      </c>
      <c r="F322" s="28" t="s">
        <v>1995</v>
      </c>
      <c r="I322" s="32"/>
      <c r="J322" s="32"/>
      <c r="K322" s="33" t="s">
        <v>1991</v>
      </c>
      <c r="L322" s="33" t="s">
        <v>1996</v>
      </c>
      <c r="N322" s="33" t="s">
        <v>1991</v>
      </c>
      <c r="O322" s="35" t="s">
        <v>1997</v>
      </c>
    </row>
    <row r="323">
      <c r="A323" s="38"/>
      <c r="B323" s="28" t="s">
        <v>1998</v>
      </c>
      <c r="C323" s="28" t="s">
        <v>1999</v>
      </c>
      <c r="D323" s="29" t="s">
        <v>2000</v>
      </c>
      <c r="E323" s="30" t="s">
        <v>2001</v>
      </c>
      <c r="F323" s="28" t="s">
        <v>2002</v>
      </c>
      <c r="I323" s="32"/>
      <c r="J323" s="32"/>
      <c r="K323" s="33" t="s">
        <v>1998</v>
      </c>
      <c r="L323" s="33" t="s">
        <v>2003</v>
      </c>
      <c r="N323" s="33" t="s">
        <v>1998</v>
      </c>
      <c r="O323" s="35"/>
    </row>
    <row r="324">
      <c r="A324" s="38"/>
      <c r="B324" s="28" t="s">
        <v>2004</v>
      </c>
      <c r="C324" s="28" t="s">
        <v>2005</v>
      </c>
      <c r="D324" s="29" t="s">
        <v>2006</v>
      </c>
      <c r="E324" s="30"/>
      <c r="F324" s="28" t="s">
        <v>2007</v>
      </c>
      <c r="I324" s="32"/>
      <c r="J324" s="32"/>
      <c r="K324" s="33" t="s">
        <v>2004</v>
      </c>
      <c r="L324" s="33" t="s">
        <v>2008</v>
      </c>
      <c r="N324" s="33" t="s">
        <v>2004</v>
      </c>
      <c r="O324" s="35" t="s">
        <v>1443</v>
      </c>
    </row>
    <row r="325">
      <c r="A325" s="38"/>
      <c r="B325" s="28" t="s">
        <v>2009</v>
      </c>
      <c r="C325" s="28" t="s">
        <v>1444</v>
      </c>
      <c r="D325" s="29" t="s">
        <v>2010</v>
      </c>
      <c r="E325" s="30" t="s">
        <v>2011</v>
      </c>
      <c r="F325" s="28" t="s">
        <v>2012</v>
      </c>
      <c r="I325" s="32"/>
      <c r="J325" s="32"/>
      <c r="K325" s="33" t="s">
        <v>2009</v>
      </c>
      <c r="L325" s="33" t="s">
        <v>2013</v>
      </c>
      <c r="N325" s="33" t="s">
        <v>2009</v>
      </c>
      <c r="O325" s="35" t="s">
        <v>1443</v>
      </c>
    </row>
    <row r="326">
      <c r="A326" s="38"/>
      <c r="B326" s="28" t="s">
        <v>2014</v>
      </c>
      <c r="C326" s="28" t="s">
        <v>1450</v>
      </c>
      <c r="D326" s="29" t="s">
        <v>2015</v>
      </c>
      <c r="E326" s="30" t="s">
        <v>2016</v>
      </c>
      <c r="F326" s="28" t="s">
        <v>2017</v>
      </c>
      <c r="I326" s="32"/>
      <c r="J326" s="32"/>
      <c r="K326" s="33" t="s">
        <v>2014</v>
      </c>
      <c r="L326" s="33" t="s">
        <v>2018</v>
      </c>
      <c r="N326" s="33" t="s">
        <v>2014</v>
      </c>
      <c r="O326" s="35" t="s">
        <v>1449</v>
      </c>
    </row>
    <row r="327">
      <c r="A327" s="38"/>
      <c r="B327" s="28" t="s">
        <v>2019</v>
      </c>
      <c r="C327" s="28" t="s">
        <v>2020</v>
      </c>
      <c r="D327" s="29" t="s">
        <v>2021</v>
      </c>
      <c r="E327" s="30"/>
      <c r="F327" s="28" t="s">
        <v>2022</v>
      </c>
      <c r="I327" s="32"/>
      <c r="J327" s="32"/>
      <c r="K327" s="33" t="s">
        <v>2019</v>
      </c>
      <c r="L327" s="33" t="s">
        <v>2023</v>
      </c>
      <c r="N327" s="33" t="s">
        <v>2019</v>
      </c>
      <c r="O327" s="35"/>
    </row>
    <row r="328">
      <c r="A328" s="38"/>
      <c r="B328" s="28" t="s">
        <v>2024</v>
      </c>
      <c r="C328" s="28" t="s">
        <v>2025</v>
      </c>
      <c r="D328" s="29" t="s">
        <v>2026</v>
      </c>
      <c r="E328" s="30" t="s">
        <v>2027</v>
      </c>
      <c r="F328" s="28" t="s">
        <v>2028</v>
      </c>
      <c r="I328" s="32"/>
      <c r="J328" s="32"/>
      <c r="K328" s="33" t="s">
        <v>2024</v>
      </c>
      <c r="L328" s="33" t="s">
        <v>2029</v>
      </c>
      <c r="N328" s="33" t="s">
        <v>2024</v>
      </c>
      <c r="O328" s="47" t="s">
        <v>2030</v>
      </c>
    </row>
    <row r="329">
      <c r="A329" s="38"/>
      <c r="B329" s="28" t="s">
        <v>2031</v>
      </c>
      <c r="C329" s="28" t="s">
        <v>1475</v>
      </c>
      <c r="D329" s="29" t="s">
        <v>2032</v>
      </c>
      <c r="E329" s="54" t="s">
        <v>2033</v>
      </c>
      <c r="F329" s="28" t="s">
        <v>2034</v>
      </c>
      <c r="I329" s="32"/>
      <c r="J329" s="32"/>
      <c r="K329" s="33" t="s">
        <v>2031</v>
      </c>
      <c r="L329" s="33" t="s">
        <v>2035</v>
      </c>
      <c r="N329" s="33" t="s">
        <v>2031</v>
      </c>
      <c r="O329" s="35" t="s">
        <v>1474</v>
      </c>
    </row>
    <row r="330">
      <c r="A330" s="38"/>
      <c r="B330" s="28" t="s">
        <v>2036</v>
      </c>
      <c r="C330" s="28" t="s">
        <v>1481</v>
      </c>
      <c r="D330" s="29" t="s">
        <v>2037</v>
      </c>
      <c r="E330" s="30" t="s">
        <v>2038</v>
      </c>
      <c r="F330" s="28" t="s">
        <v>2039</v>
      </c>
      <c r="I330" s="32"/>
      <c r="J330" s="32"/>
      <c r="K330" s="33" t="s">
        <v>2036</v>
      </c>
      <c r="L330" s="33" t="s">
        <v>2040</v>
      </c>
      <c r="N330" s="33" t="s">
        <v>2036</v>
      </c>
      <c r="O330" s="47" t="s">
        <v>2041</v>
      </c>
    </row>
    <row r="331">
      <c r="A331" s="38"/>
      <c r="B331" s="28" t="s">
        <v>2042</v>
      </c>
      <c r="C331" s="28" t="s">
        <v>1491</v>
      </c>
      <c r="D331" s="29" t="s">
        <v>2043</v>
      </c>
      <c r="E331" s="30" t="s">
        <v>2044</v>
      </c>
      <c r="F331" s="28" t="s">
        <v>2045</v>
      </c>
      <c r="I331" s="32"/>
      <c r="J331" s="32"/>
      <c r="K331" s="33" t="s">
        <v>2042</v>
      </c>
      <c r="L331" s="33" t="s">
        <v>2046</v>
      </c>
      <c r="N331" s="33" t="s">
        <v>2042</v>
      </c>
      <c r="O331" s="35"/>
    </row>
    <row r="332">
      <c r="A332" s="38"/>
      <c r="B332" s="28" t="s">
        <v>2047</v>
      </c>
      <c r="C332" s="28" t="s">
        <v>1496</v>
      </c>
      <c r="D332" s="29" t="s">
        <v>2048</v>
      </c>
      <c r="E332" s="30" t="s">
        <v>2049</v>
      </c>
      <c r="F332" s="28" t="s">
        <v>2050</v>
      </c>
      <c r="I332" s="32"/>
      <c r="J332" s="32"/>
      <c r="K332" s="33" t="s">
        <v>2047</v>
      </c>
      <c r="L332" s="33" t="s">
        <v>2051</v>
      </c>
      <c r="N332" s="33" t="s">
        <v>2047</v>
      </c>
      <c r="O332" s="35" t="s">
        <v>1495</v>
      </c>
    </row>
    <row r="333">
      <c r="A333" s="38"/>
      <c r="B333" s="28" t="s">
        <v>2052</v>
      </c>
      <c r="C333" s="28" t="s">
        <v>1502</v>
      </c>
      <c r="D333" s="29" t="s">
        <v>2053</v>
      </c>
      <c r="E333" s="30" t="s">
        <v>2054</v>
      </c>
      <c r="F333" s="28" t="s">
        <v>2055</v>
      </c>
      <c r="I333" s="32"/>
      <c r="J333" s="32"/>
      <c r="K333" s="33" t="s">
        <v>2052</v>
      </c>
      <c r="L333" s="33" t="s">
        <v>2056</v>
      </c>
      <c r="N333" s="33" t="s">
        <v>2052</v>
      </c>
      <c r="O333" s="35" t="s">
        <v>1501</v>
      </c>
    </row>
    <row r="334">
      <c r="A334" s="38"/>
      <c r="B334" s="28" t="s">
        <v>2057</v>
      </c>
      <c r="C334" s="28" t="s">
        <v>1508</v>
      </c>
      <c r="D334" s="29" t="s">
        <v>2058</v>
      </c>
      <c r="E334" s="30" t="s">
        <v>2059</v>
      </c>
      <c r="F334" s="28" t="s">
        <v>2060</v>
      </c>
      <c r="I334" s="32"/>
      <c r="J334" s="32"/>
      <c r="K334" s="33" t="s">
        <v>2057</v>
      </c>
      <c r="L334" s="33" t="s">
        <v>2061</v>
      </c>
      <c r="N334" s="33" t="s">
        <v>2057</v>
      </c>
      <c r="O334" s="35" t="s">
        <v>1507</v>
      </c>
    </row>
    <row r="335">
      <c r="A335" s="38"/>
      <c r="B335" s="28" t="s">
        <v>2062</v>
      </c>
      <c r="C335" s="28" t="s">
        <v>1513</v>
      </c>
      <c r="D335" s="29" t="s">
        <v>2063</v>
      </c>
      <c r="E335" s="30" t="s">
        <v>169</v>
      </c>
      <c r="F335" s="28" t="s">
        <v>2064</v>
      </c>
      <c r="I335" s="32"/>
      <c r="J335" s="32"/>
      <c r="K335" s="33" t="s">
        <v>2062</v>
      </c>
      <c r="L335" s="33" t="s">
        <v>2065</v>
      </c>
      <c r="N335" s="33" t="s">
        <v>2062</v>
      </c>
      <c r="O335" s="35" t="s">
        <v>1512</v>
      </c>
    </row>
    <row r="336">
      <c r="A336" s="38"/>
      <c r="B336" s="28" t="s">
        <v>2066</v>
      </c>
      <c r="C336" s="28" t="s">
        <v>1517</v>
      </c>
      <c r="D336" s="29" t="s">
        <v>2067</v>
      </c>
      <c r="E336" s="30" t="s">
        <v>169</v>
      </c>
      <c r="F336" s="28" t="s">
        <v>162</v>
      </c>
      <c r="I336" s="32"/>
      <c r="J336" s="32"/>
      <c r="K336" s="33" t="s">
        <v>2066</v>
      </c>
      <c r="L336" s="33" t="s">
        <v>2068</v>
      </c>
      <c r="N336" s="33" t="s">
        <v>2066</v>
      </c>
      <c r="O336" s="35"/>
    </row>
    <row r="337">
      <c r="A337" s="38"/>
      <c r="B337" s="28" t="s">
        <v>2069</v>
      </c>
      <c r="C337" s="28" t="s">
        <v>1528</v>
      </c>
      <c r="D337" s="29" t="s">
        <v>2070</v>
      </c>
      <c r="E337" s="30" t="s">
        <v>2071</v>
      </c>
      <c r="F337" s="28" t="s">
        <v>2072</v>
      </c>
      <c r="I337" s="32"/>
      <c r="J337" s="32"/>
      <c r="K337" s="33" t="s">
        <v>2069</v>
      </c>
      <c r="L337" s="33" t="s">
        <v>2073</v>
      </c>
      <c r="N337" s="33" t="s">
        <v>2069</v>
      </c>
      <c r="O337" s="35" t="s">
        <v>1527</v>
      </c>
    </row>
    <row r="338">
      <c r="A338" s="38"/>
      <c r="B338" s="28" t="s">
        <v>2074</v>
      </c>
      <c r="C338" s="28" t="s">
        <v>2075</v>
      </c>
      <c r="D338" s="29" t="s">
        <v>2076</v>
      </c>
      <c r="E338" s="30" t="s">
        <v>2077</v>
      </c>
      <c r="F338" s="28" t="s">
        <v>2078</v>
      </c>
      <c r="I338" s="32"/>
      <c r="J338" s="32"/>
      <c r="K338" s="33" t="s">
        <v>2074</v>
      </c>
      <c r="L338" s="33" t="s">
        <v>2079</v>
      </c>
      <c r="N338" s="33" t="s">
        <v>2074</v>
      </c>
      <c r="O338" s="35"/>
    </row>
    <row r="339">
      <c r="A339" s="38"/>
      <c r="B339" s="28" t="s">
        <v>2080</v>
      </c>
      <c r="C339" s="28" t="s">
        <v>1545</v>
      </c>
      <c r="D339" s="29" t="s">
        <v>2081</v>
      </c>
      <c r="E339" s="30"/>
      <c r="F339" s="28" t="s">
        <v>2082</v>
      </c>
      <c r="I339" s="32"/>
      <c r="J339" s="32"/>
      <c r="K339" s="33" t="s">
        <v>2080</v>
      </c>
      <c r="L339" s="33" t="s">
        <v>2083</v>
      </c>
      <c r="N339" s="33" t="s">
        <v>2080</v>
      </c>
      <c r="O339" s="35" t="s">
        <v>1544</v>
      </c>
    </row>
    <row r="340">
      <c r="A340" s="38"/>
      <c r="B340" s="28" t="s">
        <v>2084</v>
      </c>
      <c r="C340" s="28" t="s">
        <v>1550</v>
      </c>
      <c r="D340" s="29" t="s">
        <v>2085</v>
      </c>
      <c r="E340" s="30" t="s">
        <v>2086</v>
      </c>
      <c r="F340" s="28" t="s">
        <v>2087</v>
      </c>
      <c r="I340" s="32"/>
      <c r="J340" s="32"/>
      <c r="K340" s="33" t="s">
        <v>2084</v>
      </c>
      <c r="L340" s="33" t="s">
        <v>2088</v>
      </c>
      <c r="N340" s="33" t="s">
        <v>2084</v>
      </c>
      <c r="O340" s="35" t="s">
        <v>1549</v>
      </c>
    </row>
    <row r="341">
      <c r="A341" s="38"/>
      <c r="B341" s="28" t="s">
        <v>2089</v>
      </c>
      <c r="C341" s="28" t="s">
        <v>2090</v>
      </c>
      <c r="D341" s="29" t="s">
        <v>2091</v>
      </c>
      <c r="E341" s="30" t="s">
        <v>2092</v>
      </c>
      <c r="F341" s="28" t="s">
        <v>2093</v>
      </c>
      <c r="I341" s="32"/>
      <c r="J341" s="32"/>
      <c r="K341" s="33" t="s">
        <v>2089</v>
      </c>
      <c r="L341" s="33" t="s">
        <v>2094</v>
      </c>
      <c r="N341" s="33" t="s">
        <v>2089</v>
      </c>
      <c r="O341" s="35"/>
    </row>
    <row r="342">
      <c r="A342" s="38"/>
      <c r="B342" s="28" t="s">
        <v>2095</v>
      </c>
      <c r="C342" s="28" t="s">
        <v>1555</v>
      </c>
      <c r="D342" s="29" t="s">
        <v>2096</v>
      </c>
      <c r="E342" s="30" t="s">
        <v>2097</v>
      </c>
      <c r="F342" s="28" t="s">
        <v>2098</v>
      </c>
      <c r="I342" s="32"/>
      <c r="J342" s="32"/>
      <c r="K342" s="33" t="s">
        <v>2095</v>
      </c>
      <c r="L342" s="33" t="s">
        <v>2099</v>
      </c>
      <c r="N342" s="33" t="s">
        <v>2095</v>
      </c>
      <c r="O342" s="35" t="s">
        <v>1554</v>
      </c>
    </row>
    <row r="343">
      <c r="A343" s="38"/>
      <c r="B343" s="28" t="s">
        <v>2100</v>
      </c>
      <c r="C343" s="28" t="s">
        <v>2101</v>
      </c>
      <c r="D343" s="29" t="s">
        <v>2102</v>
      </c>
      <c r="E343" s="30"/>
      <c r="F343" s="28" t="s">
        <v>2103</v>
      </c>
      <c r="I343" s="32"/>
      <c r="J343" s="32"/>
      <c r="K343" s="33" t="s">
        <v>2100</v>
      </c>
      <c r="L343" s="33" t="s">
        <v>2104</v>
      </c>
      <c r="N343" s="33" t="s">
        <v>2100</v>
      </c>
      <c r="O343" s="35" t="s">
        <v>2105</v>
      </c>
    </row>
    <row r="344">
      <c r="A344" s="38"/>
      <c r="B344" s="28" t="s">
        <v>2106</v>
      </c>
      <c r="C344" s="28" t="s">
        <v>1560</v>
      </c>
      <c r="D344" s="29" t="s">
        <v>2107</v>
      </c>
      <c r="E344" s="30" t="s">
        <v>2108</v>
      </c>
      <c r="F344" s="28" t="s">
        <v>2109</v>
      </c>
      <c r="I344" s="32"/>
      <c r="J344" s="32"/>
      <c r="K344" s="33" t="s">
        <v>2106</v>
      </c>
      <c r="L344" s="33" t="s">
        <v>2110</v>
      </c>
      <c r="N344" s="33" t="s">
        <v>2106</v>
      </c>
      <c r="O344" s="35"/>
    </row>
    <row r="345">
      <c r="A345" s="38"/>
      <c r="B345" s="28" t="s">
        <v>2111</v>
      </c>
      <c r="C345" s="28" t="s">
        <v>1566</v>
      </c>
      <c r="D345" s="29" t="s">
        <v>2112</v>
      </c>
      <c r="E345" s="30" t="s">
        <v>2113</v>
      </c>
      <c r="F345" s="28" t="s">
        <v>2114</v>
      </c>
      <c r="I345" s="32"/>
      <c r="J345" s="32"/>
      <c r="K345" s="33" t="s">
        <v>2111</v>
      </c>
      <c r="L345" s="33" t="s">
        <v>2115</v>
      </c>
      <c r="N345" s="33" t="s">
        <v>2111</v>
      </c>
      <c r="O345" s="35" t="s">
        <v>1565</v>
      </c>
    </row>
    <row r="346">
      <c r="A346" s="38"/>
      <c r="B346" s="28" t="s">
        <v>2116</v>
      </c>
      <c r="C346" s="28" t="s">
        <v>1588</v>
      </c>
      <c r="D346" s="29" t="s">
        <v>2117</v>
      </c>
      <c r="E346" s="30"/>
      <c r="F346" s="28" t="s">
        <v>2118</v>
      </c>
      <c r="I346" s="32"/>
      <c r="J346" s="32"/>
      <c r="K346" s="33" t="s">
        <v>2116</v>
      </c>
      <c r="L346" s="33" t="s">
        <v>2119</v>
      </c>
      <c r="N346" s="33" t="s">
        <v>2116</v>
      </c>
      <c r="O346" s="35" t="s">
        <v>1587</v>
      </c>
    </row>
    <row r="347">
      <c r="A347" s="38"/>
      <c r="B347" s="28" t="s">
        <v>2120</v>
      </c>
      <c r="C347" s="28" t="s">
        <v>1595</v>
      </c>
      <c r="D347" s="29" t="s">
        <v>2121</v>
      </c>
      <c r="E347" s="30"/>
      <c r="F347" s="28" t="s">
        <v>2122</v>
      </c>
      <c r="I347" s="32"/>
      <c r="J347" s="32"/>
      <c r="K347" s="33" t="s">
        <v>2120</v>
      </c>
      <c r="L347" s="33" t="s">
        <v>2123</v>
      </c>
      <c r="N347" s="33" t="s">
        <v>2120</v>
      </c>
      <c r="O347" s="35" t="s">
        <v>1594</v>
      </c>
    </row>
    <row r="348">
      <c r="A348" s="38"/>
      <c r="B348" s="28" t="s">
        <v>2124</v>
      </c>
      <c r="C348" s="28" t="s">
        <v>1607</v>
      </c>
      <c r="D348" s="29" t="s">
        <v>2125</v>
      </c>
      <c r="E348" s="30" t="s">
        <v>2126</v>
      </c>
      <c r="F348" s="28" t="s">
        <v>2127</v>
      </c>
      <c r="I348" s="32"/>
      <c r="J348" s="32"/>
      <c r="K348" s="33" t="s">
        <v>2124</v>
      </c>
      <c r="L348" s="33" t="s">
        <v>2128</v>
      </c>
      <c r="N348" s="33" t="s">
        <v>2124</v>
      </c>
      <c r="O348" s="35" t="s">
        <v>1606</v>
      </c>
    </row>
    <row r="349">
      <c r="A349" s="38"/>
      <c r="B349" s="28" t="s">
        <v>2129</v>
      </c>
      <c r="C349" s="28" t="s">
        <v>1623</v>
      </c>
      <c r="D349" s="29" t="s">
        <v>2130</v>
      </c>
      <c r="E349" s="30" t="s">
        <v>2131</v>
      </c>
      <c r="F349" s="28" t="s">
        <v>2132</v>
      </c>
      <c r="I349" s="32"/>
      <c r="J349" s="32"/>
      <c r="K349" s="33" t="s">
        <v>2129</v>
      </c>
      <c r="L349" s="33" t="s">
        <v>2133</v>
      </c>
      <c r="N349" s="33" t="s">
        <v>2129</v>
      </c>
      <c r="O349" s="35"/>
    </row>
    <row r="350">
      <c r="A350" s="38"/>
      <c r="B350" s="28" t="s">
        <v>2134</v>
      </c>
      <c r="C350" s="28" t="s">
        <v>1628</v>
      </c>
      <c r="D350" s="29" t="s">
        <v>2135</v>
      </c>
      <c r="E350" s="30" t="s">
        <v>2136</v>
      </c>
      <c r="F350" s="28" t="s">
        <v>2137</v>
      </c>
      <c r="I350" s="32"/>
      <c r="J350" s="32"/>
      <c r="K350" s="33" t="s">
        <v>2134</v>
      </c>
      <c r="L350" s="33" t="s">
        <v>2138</v>
      </c>
      <c r="N350" s="33" t="s">
        <v>2134</v>
      </c>
      <c r="O350" s="35" t="s">
        <v>1627</v>
      </c>
    </row>
    <row r="351">
      <c r="A351" s="38"/>
      <c r="B351" s="28" t="s">
        <v>2139</v>
      </c>
      <c r="C351" s="28" t="s">
        <v>1639</v>
      </c>
      <c r="D351" s="29" t="s">
        <v>2140</v>
      </c>
      <c r="E351" s="30" t="s">
        <v>2141</v>
      </c>
      <c r="F351" s="28" t="s">
        <v>2142</v>
      </c>
      <c r="I351" s="32"/>
      <c r="J351" s="32"/>
      <c r="K351" s="33" t="s">
        <v>2139</v>
      </c>
      <c r="L351" s="33" t="s">
        <v>2143</v>
      </c>
      <c r="N351" s="33" t="s">
        <v>2139</v>
      </c>
      <c r="O351" s="35" t="s">
        <v>1638</v>
      </c>
    </row>
    <row r="352">
      <c r="A352" s="38"/>
      <c r="B352" s="28" t="s">
        <v>2144</v>
      </c>
      <c r="C352" s="28" t="s">
        <v>2145</v>
      </c>
      <c r="D352" s="29" t="s">
        <v>2146</v>
      </c>
      <c r="E352" s="30" t="s">
        <v>2147</v>
      </c>
      <c r="F352" s="28" t="s">
        <v>2148</v>
      </c>
      <c r="I352" s="32"/>
      <c r="J352" s="32"/>
      <c r="K352" s="33" t="s">
        <v>2144</v>
      </c>
      <c r="L352" s="33" t="s">
        <v>2149</v>
      </c>
      <c r="N352" s="33" t="s">
        <v>2144</v>
      </c>
      <c r="O352" s="35" t="s">
        <v>2150</v>
      </c>
    </row>
    <row r="353">
      <c r="A353" s="38"/>
      <c r="B353" s="28" t="s">
        <v>2151</v>
      </c>
      <c r="C353" s="28" t="s">
        <v>1668</v>
      </c>
      <c r="D353" s="29" t="s">
        <v>2152</v>
      </c>
      <c r="E353" s="30" t="s">
        <v>2153</v>
      </c>
      <c r="F353" s="28" t="s">
        <v>2154</v>
      </c>
      <c r="I353" s="32"/>
      <c r="J353" s="32"/>
      <c r="K353" s="33" t="s">
        <v>2151</v>
      </c>
      <c r="L353" s="33" t="s">
        <v>2155</v>
      </c>
      <c r="N353" s="33" t="s">
        <v>2151</v>
      </c>
      <c r="O353" s="35" t="s">
        <v>1667</v>
      </c>
    </row>
    <row r="354">
      <c r="A354" s="38"/>
      <c r="B354" s="28" t="s">
        <v>2156</v>
      </c>
      <c r="C354" s="28" t="s">
        <v>1674</v>
      </c>
      <c r="D354" s="29" t="s">
        <v>2157</v>
      </c>
      <c r="E354" s="30" t="s">
        <v>2158</v>
      </c>
      <c r="F354" s="28" t="s">
        <v>2159</v>
      </c>
      <c r="I354" s="32"/>
      <c r="J354" s="32"/>
      <c r="K354" s="33" t="s">
        <v>2156</v>
      </c>
      <c r="L354" s="33" t="s">
        <v>2160</v>
      </c>
      <c r="N354" s="33" t="s">
        <v>2156</v>
      </c>
      <c r="O354" s="35" t="s">
        <v>1673</v>
      </c>
    </row>
    <row r="355">
      <c r="A355" s="38"/>
      <c r="B355" s="28" t="s">
        <v>2161</v>
      </c>
      <c r="C355" s="28" t="s">
        <v>2162</v>
      </c>
      <c r="D355" s="29" t="s">
        <v>2163</v>
      </c>
      <c r="E355" s="30" t="s">
        <v>2158</v>
      </c>
      <c r="F355" s="28" t="s">
        <v>2164</v>
      </c>
      <c r="I355" s="32"/>
      <c r="J355" s="32"/>
      <c r="K355" s="33" t="s">
        <v>2161</v>
      </c>
      <c r="L355" s="33" t="s">
        <v>2165</v>
      </c>
      <c r="N355" s="33" t="s">
        <v>2161</v>
      </c>
      <c r="O355" s="35"/>
    </row>
    <row r="356">
      <c r="A356" s="38"/>
      <c r="B356" s="28" t="s">
        <v>2166</v>
      </c>
      <c r="C356" s="28" t="s">
        <v>1679</v>
      </c>
      <c r="D356" s="29" t="s">
        <v>2167</v>
      </c>
      <c r="E356" s="54" t="s">
        <v>2168</v>
      </c>
      <c r="F356" s="28" t="s">
        <v>2169</v>
      </c>
      <c r="I356" s="32"/>
      <c r="J356" s="32"/>
      <c r="K356" s="33" t="s">
        <v>2166</v>
      </c>
      <c r="L356" s="33" t="s">
        <v>2170</v>
      </c>
      <c r="N356" s="33" t="s">
        <v>2166</v>
      </c>
      <c r="O356" s="35"/>
    </row>
    <row r="357">
      <c r="A357" s="38"/>
      <c r="B357" s="28" t="s">
        <v>2171</v>
      </c>
      <c r="C357" s="28" t="s">
        <v>2172</v>
      </c>
      <c r="D357" s="29" t="s">
        <v>2173</v>
      </c>
      <c r="E357" s="30" t="s">
        <v>2174</v>
      </c>
      <c r="F357" s="28" t="s">
        <v>2175</v>
      </c>
      <c r="I357" s="32"/>
      <c r="J357" s="32"/>
      <c r="K357" s="33" t="s">
        <v>2171</v>
      </c>
      <c r="L357" s="33" t="s">
        <v>2176</v>
      </c>
      <c r="N357" s="33" t="s">
        <v>2171</v>
      </c>
      <c r="O357" s="35" t="s">
        <v>2177</v>
      </c>
    </row>
    <row r="358">
      <c r="A358" s="38"/>
      <c r="B358" s="28" t="s">
        <v>2178</v>
      </c>
      <c r="C358" s="28" t="s">
        <v>2179</v>
      </c>
      <c r="D358" s="29" t="s">
        <v>2180</v>
      </c>
      <c r="E358" s="30" t="s">
        <v>2181</v>
      </c>
      <c r="F358" s="28" t="s">
        <v>2182</v>
      </c>
      <c r="I358" s="32"/>
      <c r="J358" s="32"/>
      <c r="K358" s="33" t="s">
        <v>2178</v>
      </c>
      <c r="L358" s="33" t="s">
        <v>2183</v>
      </c>
      <c r="N358" s="33" t="s">
        <v>2178</v>
      </c>
      <c r="O358" s="35" t="s">
        <v>2184</v>
      </c>
    </row>
    <row r="359">
      <c r="A359" s="38"/>
      <c r="B359" s="28" t="s">
        <v>2185</v>
      </c>
      <c r="C359" s="28" t="s">
        <v>2186</v>
      </c>
      <c r="D359" s="29" t="s">
        <v>2187</v>
      </c>
      <c r="E359" s="30" t="s">
        <v>2188</v>
      </c>
      <c r="F359" s="28" t="s">
        <v>2189</v>
      </c>
      <c r="I359" s="32"/>
      <c r="J359" s="32"/>
      <c r="K359" s="33" t="s">
        <v>2185</v>
      </c>
      <c r="L359" s="33" t="s">
        <v>2190</v>
      </c>
      <c r="N359" s="33" t="s">
        <v>2185</v>
      </c>
      <c r="O359" s="35"/>
    </row>
    <row r="360">
      <c r="A360" s="38"/>
      <c r="B360" s="28" t="s">
        <v>2191</v>
      </c>
      <c r="C360" s="28" t="s">
        <v>1705</v>
      </c>
      <c r="D360" s="29" t="s">
        <v>2192</v>
      </c>
      <c r="E360" s="30"/>
      <c r="F360" s="28" t="s">
        <v>2193</v>
      </c>
      <c r="I360" s="32"/>
      <c r="J360" s="32"/>
      <c r="K360" s="33" t="s">
        <v>2191</v>
      </c>
      <c r="L360" s="33" t="s">
        <v>2194</v>
      </c>
      <c r="N360" s="33" t="s">
        <v>2191</v>
      </c>
      <c r="O360" s="35" t="s">
        <v>1704</v>
      </c>
    </row>
    <row r="361">
      <c r="A361" s="38"/>
      <c r="B361" s="28" t="s">
        <v>2195</v>
      </c>
      <c r="C361" s="28" t="s">
        <v>1711</v>
      </c>
      <c r="D361" s="29" t="s">
        <v>2196</v>
      </c>
      <c r="E361" s="30" t="s">
        <v>2197</v>
      </c>
      <c r="F361" s="28" t="s">
        <v>2198</v>
      </c>
      <c r="I361" s="32"/>
      <c r="J361" s="32"/>
      <c r="K361" s="33" t="s">
        <v>2195</v>
      </c>
      <c r="L361" s="33" t="s">
        <v>2199</v>
      </c>
      <c r="N361" s="33" t="s">
        <v>2195</v>
      </c>
      <c r="O361" s="35" t="s">
        <v>1710</v>
      </c>
    </row>
    <row r="362">
      <c r="A362" s="38"/>
      <c r="B362" s="28" t="s">
        <v>2200</v>
      </c>
      <c r="C362" s="28" t="s">
        <v>2201</v>
      </c>
      <c r="D362" s="29" t="s">
        <v>2202</v>
      </c>
      <c r="E362" s="30" t="s">
        <v>2203</v>
      </c>
      <c r="F362" s="28" t="s">
        <v>2204</v>
      </c>
      <c r="I362" s="32"/>
      <c r="J362" s="32"/>
      <c r="K362" s="33" t="s">
        <v>2200</v>
      </c>
      <c r="L362" s="33" t="s">
        <v>2205</v>
      </c>
      <c r="N362" s="33" t="s">
        <v>2200</v>
      </c>
      <c r="O362" s="47" t="s">
        <v>2206</v>
      </c>
    </row>
    <row r="363">
      <c r="A363" s="38"/>
      <c r="B363" s="28" t="s">
        <v>2207</v>
      </c>
      <c r="C363" s="28" t="s">
        <v>1722</v>
      </c>
      <c r="D363" s="29" t="s">
        <v>2208</v>
      </c>
      <c r="E363" s="54" t="s">
        <v>2209</v>
      </c>
      <c r="F363" s="28" t="s">
        <v>768</v>
      </c>
      <c r="I363" s="32"/>
      <c r="J363" s="32"/>
      <c r="K363" s="33" t="s">
        <v>2207</v>
      </c>
      <c r="L363" s="33" t="s">
        <v>2210</v>
      </c>
      <c r="N363" s="33" t="s">
        <v>2207</v>
      </c>
      <c r="O363" s="35" t="s">
        <v>1721</v>
      </c>
    </row>
    <row r="364">
      <c r="A364" s="38"/>
      <c r="B364" s="28" t="s">
        <v>2211</v>
      </c>
      <c r="C364" s="28" t="s">
        <v>1728</v>
      </c>
      <c r="D364" s="29" t="s">
        <v>2212</v>
      </c>
      <c r="E364" s="30"/>
      <c r="F364" s="28" t="s">
        <v>2213</v>
      </c>
      <c r="I364" s="32"/>
      <c r="J364" s="32"/>
      <c r="K364" s="33" t="s">
        <v>2211</v>
      </c>
      <c r="L364" s="33" t="s">
        <v>2214</v>
      </c>
      <c r="N364" s="33" t="s">
        <v>2211</v>
      </c>
      <c r="O364" s="35" t="s">
        <v>1727</v>
      </c>
    </row>
    <row r="365">
      <c r="A365" s="38"/>
      <c r="B365" s="28" t="s">
        <v>2215</v>
      </c>
      <c r="C365" s="28" t="s">
        <v>1739</v>
      </c>
      <c r="D365" s="29" t="s">
        <v>2216</v>
      </c>
      <c r="E365" s="30"/>
      <c r="F365" s="28" t="s">
        <v>2217</v>
      </c>
      <c r="I365" s="32"/>
      <c r="J365" s="32"/>
      <c r="K365" s="33" t="s">
        <v>2215</v>
      </c>
      <c r="L365" s="33" t="s">
        <v>2218</v>
      </c>
      <c r="N365" s="33" t="s">
        <v>2215</v>
      </c>
      <c r="O365" s="35" t="s">
        <v>1738</v>
      </c>
    </row>
    <row r="366">
      <c r="A366" s="38"/>
      <c r="B366" s="28" t="s">
        <v>2219</v>
      </c>
      <c r="C366" s="28" t="s">
        <v>1744</v>
      </c>
      <c r="D366" s="29" t="s">
        <v>2220</v>
      </c>
      <c r="E366" s="30" t="s">
        <v>2221</v>
      </c>
      <c r="F366" s="28" t="s">
        <v>2222</v>
      </c>
      <c r="I366" s="32"/>
      <c r="J366" s="32"/>
      <c r="K366" s="33" t="s">
        <v>2219</v>
      </c>
      <c r="L366" s="33" t="s">
        <v>2223</v>
      </c>
      <c r="N366" s="33" t="s">
        <v>2219</v>
      </c>
      <c r="O366" s="35" t="s">
        <v>1743</v>
      </c>
    </row>
    <row r="367">
      <c r="A367" s="38"/>
      <c r="B367" s="28" t="s">
        <v>2224</v>
      </c>
      <c r="C367" s="28" t="s">
        <v>2225</v>
      </c>
      <c r="D367" s="29" t="s">
        <v>2226</v>
      </c>
      <c r="E367" s="30" t="s">
        <v>2227</v>
      </c>
      <c r="F367" s="28" t="s">
        <v>2228</v>
      </c>
      <c r="I367" s="32"/>
      <c r="J367" s="32"/>
      <c r="K367" s="33" t="s">
        <v>2224</v>
      </c>
      <c r="L367" s="33" t="s">
        <v>2229</v>
      </c>
      <c r="N367" s="33" t="s">
        <v>2224</v>
      </c>
      <c r="O367" s="35"/>
    </row>
    <row r="368">
      <c r="A368" s="38"/>
      <c r="B368" s="28" t="s">
        <v>2230</v>
      </c>
      <c r="C368" s="28" t="s">
        <v>2231</v>
      </c>
      <c r="D368" s="29" t="s">
        <v>2232</v>
      </c>
      <c r="E368" s="30"/>
      <c r="F368" s="28" t="s">
        <v>2233</v>
      </c>
      <c r="I368" s="32"/>
      <c r="J368" s="32"/>
      <c r="K368" s="33" t="s">
        <v>2230</v>
      </c>
      <c r="L368" s="33" t="s">
        <v>2234</v>
      </c>
      <c r="N368" s="33" t="s">
        <v>2230</v>
      </c>
      <c r="O368" s="47" t="s">
        <v>2235</v>
      </c>
    </row>
    <row r="369">
      <c r="A369" s="38"/>
      <c r="B369" s="28" t="s">
        <v>2236</v>
      </c>
      <c r="C369" s="28" t="s">
        <v>2237</v>
      </c>
      <c r="D369" s="29" t="s">
        <v>2238</v>
      </c>
      <c r="E369" s="30" t="s">
        <v>2239</v>
      </c>
      <c r="F369" s="28" t="s">
        <v>2240</v>
      </c>
      <c r="I369" s="32"/>
      <c r="J369" s="32"/>
      <c r="K369" s="33" t="s">
        <v>2236</v>
      </c>
      <c r="L369" s="33" t="s">
        <v>2241</v>
      </c>
      <c r="N369" s="33" t="s">
        <v>2236</v>
      </c>
      <c r="O369" s="35"/>
    </row>
    <row r="370">
      <c r="A370" s="38"/>
      <c r="B370" s="28" t="s">
        <v>2242</v>
      </c>
      <c r="C370" s="28" t="s">
        <v>2243</v>
      </c>
      <c r="D370" s="29" t="s">
        <v>2244</v>
      </c>
      <c r="E370" s="30" t="s">
        <v>2245</v>
      </c>
      <c r="F370" s="28" t="s">
        <v>2246</v>
      </c>
      <c r="I370" s="32"/>
      <c r="J370" s="32"/>
      <c r="K370" s="33" t="s">
        <v>2242</v>
      </c>
      <c r="L370" s="33" t="s">
        <v>2247</v>
      </c>
      <c r="N370" s="33" t="s">
        <v>2242</v>
      </c>
      <c r="O370" s="35" t="s">
        <v>2248</v>
      </c>
    </row>
    <row r="371">
      <c r="A371" s="38"/>
      <c r="B371" s="28" t="s">
        <v>2249</v>
      </c>
      <c r="C371" s="28" t="s">
        <v>1749</v>
      </c>
      <c r="D371" s="29" t="s">
        <v>2250</v>
      </c>
      <c r="E371" s="30" t="s">
        <v>2251</v>
      </c>
      <c r="F371" s="28" t="s">
        <v>2252</v>
      </c>
      <c r="I371" s="32"/>
      <c r="J371" s="32"/>
      <c r="K371" s="33" t="s">
        <v>2249</v>
      </c>
      <c r="L371" s="33" t="s">
        <v>2253</v>
      </c>
      <c r="N371" s="33" t="s">
        <v>2249</v>
      </c>
      <c r="O371" s="35" t="s">
        <v>1748</v>
      </c>
    </row>
    <row r="372">
      <c r="A372" s="38"/>
      <c r="B372" s="28" t="s">
        <v>2254</v>
      </c>
      <c r="C372" s="28" t="s">
        <v>1754</v>
      </c>
      <c r="D372" s="29" t="s">
        <v>2255</v>
      </c>
      <c r="E372" s="30" t="s">
        <v>2256</v>
      </c>
      <c r="F372" s="28" t="s">
        <v>2257</v>
      </c>
      <c r="I372" s="32"/>
      <c r="J372" s="32"/>
      <c r="K372" s="33" t="s">
        <v>2254</v>
      </c>
      <c r="L372" s="33" t="s">
        <v>2258</v>
      </c>
      <c r="N372" s="33" t="s">
        <v>2254</v>
      </c>
      <c r="O372" s="35" t="s">
        <v>1753</v>
      </c>
    </row>
    <row r="373">
      <c r="A373" s="38"/>
      <c r="B373" s="28" t="s">
        <v>2259</v>
      </c>
      <c r="C373" s="28" t="s">
        <v>2260</v>
      </c>
      <c r="D373" s="29" t="s">
        <v>2261</v>
      </c>
      <c r="E373" s="30" t="s">
        <v>2262</v>
      </c>
      <c r="F373" s="28" t="s">
        <v>2263</v>
      </c>
      <c r="I373" s="32"/>
      <c r="J373" s="32"/>
      <c r="K373" s="33" t="s">
        <v>2259</v>
      </c>
      <c r="L373" s="33" t="s">
        <v>2264</v>
      </c>
      <c r="N373" s="33" t="s">
        <v>2259</v>
      </c>
      <c r="O373" s="35" t="s">
        <v>2265</v>
      </c>
    </row>
    <row r="374">
      <c r="A374" s="38"/>
      <c r="B374" s="28" t="s">
        <v>2266</v>
      </c>
      <c r="C374" s="28" t="s">
        <v>1761</v>
      </c>
      <c r="D374" s="29" t="s">
        <v>2267</v>
      </c>
      <c r="E374" s="30" t="s">
        <v>2268</v>
      </c>
      <c r="F374" s="28" t="s">
        <v>2269</v>
      </c>
      <c r="I374" s="32"/>
      <c r="J374" s="32"/>
      <c r="K374" s="33" t="s">
        <v>2266</v>
      </c>
      <c r="L374" s="33" t="s">
        <v>2270</v>
      </c>
      <c r="N374" s="33" t="s">
        <v>2266</v>
      </c>
      <c r="O374" s="35" t="s">
        <v>1760</v>
      </c>
    </row>
    <row r="375">
      <c r="A375" s="38"/>
      <c r="B375" s="28" t="s">
        <v>2271</v>
      </c>
      <c r="C375" s="28" t="s">
        <v>2272</v>
      </c>
      <c r="D375" s="29" t="s">
        <v>2273</v>
      </c>
      <c r="E375" s="54" t="s">
        <v>2274</v>
      </c>
      <c r="F375" s="28" t="s">
        <v>2275</v>
      </c>
      <c r="I375" s="32"/>
      <c r="J375" s="32"/>
      <c r="K375" s="33" t="s">
        <v>2271</v>
      </c>
      <c r="L375" s="33" t="s">
        <v>2276</v>
      </c>
      <c r="N375" s="33" t="s">
        <v>2271</v>
      </c>
      <c r="O375" s="35"/>
    </row>
    <row r="376">
      <c r="A376" s="38"/>
      <c r="B376" s="28" t="s">
        <v>2277</v>
      </c>
      <c r="C376" s="28" t="s">
        <v>2278</v>
      </c>
      <c r="D376" s="29" t="s">
        <v>2279</v>
      </c>
      <c r="E376" s="30" t="s">
        <v>2280</v>
      </c>
      <c r="F376" s="28" t="s">
        <v>2281</v>
      </c>
      <c r="I376" s="32"/>
      <c r="J376" s="32"/>
      <c r="K376" s="33" t="s">
        <v>2277</v>
      </c>
      <c r="L376" s="33" t="s">
        <v>2282</v>
      </c>
      <c r="N376" s="33" t="s">
        <v>2277</v>
      </c>
      <c r="O376" s="35"/>
    </row>
    <row r="377">
      <c r="A377" s="38"/>
      <c r="B377" s="28" t="s">
        <v>2283</v>
      </c>
      <c r="C377" s="28" t="s">
        <v>2284</v>
      </c>
      <c r="D377" s="29" t="s">
        <v>2285</v>
      </c>
      <c r="E377" s="54" t="s">
        <v>2286</v>
      </c>
      <c r="F377" s="28" t="s">
        <v>2287</v>
      </c>
      <c r="I377" s="32"/>
      <c r="J377" s="32"/>
      <c r="K377" s="33" t="s">
        <v>2283</v>
      </c>
      <c r="L377" s="33" t="s">
        <v>2288</v>
      </c>
      <c r="N377" s="33" t="s">
        <v>2283</v>
      </c>
      <c r="O377" s="35" t="s">
        <v>2289</v>
      </c>
    </row>
    <row r="378">
      <c r="A378" s="38"/>
      <c r="B378" s="28" t="s">
        <v>2290</v>
      </c>
      <c r="C378" s="28" t="s">
        <v>1768</v>
      </c>
      <c r="D378" s="29" t="s">
        <v>2291</v>
      </c>
      <c r="E378" s="30" t="s">
        <v>2292</v>
      </c>
      <c r="F378" s="28" t="s">
        <v>2293</v>
      </c>
      <c r="I378" s="32"/>
      <c r="J378" s="32"/>
      <c r="K378" s="33" t="s">
        <v>2290</v>
      </c>
      <c r="L378" s="33" t="s">
        <v>2294</v>
      </c>
      <c r="N378" s="33" t="s">
        <v>2290</v>
      </c>
      <c r="O378" s="35" t="s">
        <v>1767</v>
      </c>
    </row>
    <row r="379">
      <c r="A379" s="38"/>
      <c r="B379" s="28" t="s">
        <v>2295</v>
      </c>
      <c r="C379" s="28" t="s">
        <v>2296</v>
      </c>
      <c r="D379" s="29" t="s">
        <v>2297</v>
      </c>
      <c r="E379" s="30" t="s">
        <v>2298</v>
      </c>
      <c r="F379" s="28" t="s">
        <v>2299</v>
      </c>
      <c r="I379" s="32"/>
      <c r="J379" s="32"/>
      <c r="K379" s="33" t="s">
        <v>2295</v>
      </c>
      <c r="L379" s="33" t="s">
        <v>2300</v>
      </c>
      <c r="N379" s="33" t="s">
        <v>2295</v>
      </c>
      <c r="O379" s="35" t="s">
        <v>2301</v>
      </c>
    </row>
    <row r="380">
      <c r="A380" s="38"/>
      <c r="B380" s="28" t="s">
        <v>2302</v>
      </c>
      <c r="C380" s="28" t="s">
        <v>1774</v>
      </c>
      <c r="D380" s="29" t="s">
        <v>2303</v>
      </c>
      <c r="E380" s="30" t="s">
        <v>635</v>
      </c>
      <c r="F380" s="28" t="s">
        <v>631</v>
      </c>
      <c r="I380" s="32"/>
      <c r="J380" s="32"/>
      <c r="K380" s="33" t="s">
        <v>2302</v>
      </c>
      <c r="L380" s="33" t="s">
        <v>2304</v>
      </c>
      <c r="N380" s="33" t="s">
        <v>2302</v>
      </c>
      <c r="O380" s="35" t="s">
        <v>1773</v>
      </c>
    </row>
    <row r="381">
      <c r="A381" s="38"/>
      <c r="B381" s="28" t="s">
        <v>2305</v>
      </c>
      <c r="C381" s="28" t="s">
        <v>1783</v>
      </c>
      <c r="D381" s="29" t="s">
        <v>2306</v>
      </c>
      <c r="E381" s="30" t="s">
        <v>2307</v>
      </c>
      <c r="F381" s="28" t="s">
        <v>2308</v>
      </c>
      <c r="I381" s="32"/>
      <c r="J381" s="32"/>
      <c r="K381" s="33" t="s">
        <v>2305</v>
      </c>
      <c r="L381" s="33" t="s">
        <v>2309</v>
      </c>
      <c r="N381" s="33" t="s">
        <v>2305</v>
      </c>
      <c r="O381" s="35" t="s">
        <v>1782</v>
      </c>
    </row>
    <row r="382">
      <c r="A382" s="38"/>
      <c r="B382" s="28" t="s">
        <v>2310</v>
      </c>
      <c r="C382" s="28" t="s">
        <v>2311</v>
      </c>
      <c r="D382" s="29" t="s">
        <v>2312</v>
      </c>
      <c r="E382" s="30" t="s">
        <v>2313</v>
      </c>
      <c r="F382" s="28" t="s">
        <v>2314</v>
      </c>
      <c r="I382" s="32"/>
      <c r="J382" s="32"/>
      <c r="K382" s="33" t="s">
        <v>2310</v>
      </c>
      <c r="L382" s="33" t="s">
        <v>2315</v>
      </c>
      <c r="N382" s="33" t="s">
        <v>2310</v>
      </c>
      <c r="O382" s="35"/>
    </row>
    <row r="383">
      <c r="A383" s="38"/>
      <c r="B383" s="28" t="s">
        <v>2316</v>
      </c>
      <c r="C383" s="28" t="s">
        <v>1788</v>
      </c>
      <c r="D383" s="29" t="s">
        <v>2317</v>
      </c>
      <c r="E383" s="30"/>
      <c r="F383" s="28" t="s">
        <v>2318</v>
      </c>
      <c r="I383" s="32"/>
      <c r="J383" s="32"/>
      <c r="K383" s="33" t="s">
        <v>2316</v>
      </c>
      <c r="L383" s="33" t="s">
        <v>2319</v>
      </c>
      <c r="N383" s="33" t="s">
        <v>2316</v>
      </c>
      <c r="O383" s="35" t="s">
        <v>1787</v>
      </c>
    </row>
    <row r="384">
      <c r="A384" s="38"/>
      <c r="B384" s="28" t="s">
        <v>2320</v>
      </c>
      <c r="C384" s="28" t="s">
        <v>1793</v>
      </c>
      <c r="D384" s="29" t="s">
        <v>2321</v>
      </c>
      <c r="E384" s="30"/>
      <c r="F384" s="28" t="s">
        <v>2322</v>
      </c>
      <c r="I384" s="32"/>
      <c r="J384" s="32"/>
      <c r="K384" s="33" t="s">
        <v>2320</v>
      </c>
      <c r="L384" s="33" t="s">
        <v>2323</v>
      </c>
      <c r="N384" s="33" t="s">
        <v>2320</v>
      </c>
      <c r="O384" s="35" t="s">
        <v>1792</v>
      </c>
    </row>
    <row r="385">
      <c r="A385" s="38"/>
      <c r="B385" s="28" t="s">
        <v>2324</v>
      </c>
      <c r="C385" s="28" t="s">
        <v>1799</v>
      </c>
      <c r="D385" s="29" t="s">
        <v>2325</v>
      </c>
      <c r="E385" s="30"/>
      <c r="F385" s="28" t="s">
        <v>171</v>
      </c>
      <c r="I385" s="32"/>
      <c r="J385" s="32"/>
      <c r="K385" s="33" t="s">
        <v>2324</v>
      </c>
      <c r="L385" s="33" t="s">
        <v>2326</v>
      </c>
      <c r="N385" s="33" t="s">
        <v>2324</v>
      </c>
      <c r="O385" s="35" t="s">
        <v>1798</v>
      </c>
    </row>
    <row r="386">
      <c r="A386" s="38"/>
      <c r="B386" s="28" t="s">
        <v>2327</v>
      </c>
      <c r="C386" s="28" t="s">
        <v>1804</v>
      </c>
      <c r="D386" s="29" t="s">
        <v>2328</v>
      </c>
      <c r="E386" s="30" t="s">
        <v>2329</v>
      </c>
      <c r="F386" s="28" t="s">
        <v>2330</v>
      </c>
      <c r="I386" s="32"/>
      <c r="J386" s="32"/>
      <c r="K386" s="33" t="s">
        <v>2327</v>
      </c>
      <c r="L386" s="33" t="s">
        <v>2331</v>
      </c>
      <c r="N386" s="33" t="s">
        <v>2327</v>
      </c>
      <c r="O386" s="35"/>
    </row>
    <row r="387">
      <c r="A387" s="38"/>
      <c r="B387" s="28" t="s">
        <v>2332</v>
      </c>
      <c r="C387" s="28" t="s">
        <v>1810</v>
      </c>
      <c r="D387" s="29" t="s">
        <v>2333</v>
      </c>
      <c r="E387" s="30"/>
      <c r="F387" s="28" t="s">
        <v>2334</v>
      </c>
      <c r="I387" s="32"/>
      <c r="J387" s="32"/>
      <c r="K387" s="33" t="s">
        <v>2332</v>
      </c>
      <c r="L387" s="33" t="s">
        <v>2335</v>
      </c>
      <c r="N387" s="33" t="s">
        <v>2332</v>
      </c>
      <c r="O387" s="35" t="s">
        <v>1809</v>
      </c>
    </row>
    <row r="388">
      <c r="A388" s="38"/>
      <c r="B388" s="28" t="s">
        <v>2336</v>
      </c>
      <c r="C388" s="28" t="s">
        <v>1816</v>
      </c>
      <c r="D388" s="29" t="s">
        <v>2337</v>
      </c>
      <c r="E388" s="30" t="s">
        <v>2338</v>
      </c>
      <c r="F388" s="28" t="s">
        <v>2339</v>
      </c>
      <c r="I388" s="32"/>
      <c r="J388" s="32"/>
      <c r="K388" s="33" t="s">
        <v>2336</v>
      </c>
      <c r="L388" s="33" t="s">
        <v>2340</v>
      </c>
      <c r="N388" s="33" t="s">
        <v>2336</v>
      </c>
      <c r="O388" s="35" t="s">
        <v>1815</v>
      </c>
    </row>
    <row r="389">
      <c r="A389" s="38"/>
      <c r="B389" s="28" t="s">
        <v>2341</v>
      </c>
      <c r="C389" s="28" t="s">
        <v>2342</v>
      </c>
      <c r="D389" s="29" t="s">
        <v>2343</v>
      </c>
      <c r="E389" s="30" t="s">
        <v>2344</v>
      </c>
      <c r="F389" s="28" t="s">
        <v>2345</v>
      </c>
      <c r="I389" s="32"/>
      <c r="J389" s="32"/>
      <c r="K389" s="33" t="s">
        <v>2341</v>
      </c>
      <c r="L389" s="33" t="s">
        <v>2346</v>
      </c>
      <c r="N389" s="33" t="s">
        <v>2341</v>
      </c>
      <c r="O389" s="35"/>
    </row>
    <row r="390">
      <c r="A390" s="38"/>
      <c r="B390" s="28" t="s">
        <v>2347</v>
      </c>
      <c r="C390" s="28" t="s">
        <v>1826</v>
      </c>
      <c r="D390" s="29" t="s">
        <v>2348</v>
      </c>
      <c r="E390" s="54" t="s">
        <v>2349</v>
      </c>
      <c r="F390" s="28" t="s">
        <v>2350</v>
      </c>
      <c r="I390" s="32"/>
      <c r="J390" s="32"/>
      <c r="K390" s="33" t="s">
        <v>2347</v>
      </c>
      <c r="L390" s="33" t="s">
        <v>2351</v>
      </c>
      <c r="N390" s="33" t="s">
        <v>2347</v>
      </c>
      <c r="O390" s="35" t="s">
        <v>1825</v>
      </c>
    </row>
    <row r="391">
      <c r="A391" s="38"/>
      <c r="B391" s="28" t="s">
        <v>2352</v>
      </c>
      <c r="C391" s="28" t="s">
        <v>2353</v>
      </c>
      <c r="D391" s="29" t="s">
        <v>2354</v>
      </c>
      <c r="E391" s="30" t="s">
        <v>2355</v>
      </c>
      <c r="F391" s="28" t="s">
        <v>2356</v>
      </c>
      <c r="I391" s="32"/>
      <c r="J391" s="32"/>
      <c r="K391" s="33" t="s">
        <v>2352</v>
      </c>
      <c r="L391" s="33" t="s">
        <v>2357</v>
      </c>
      <c r="N391" s="33" t="s">
        <v>2352</v>
      </c>
      <c r="O391" s="35"/>
    </row>
    <row r="392">
      <c r="A392" s="38"/>
      <c r="B392" s="28" t="s">
        <v>2358</v>
      </c>
      <c r="C392" s="28" t="s">
        <v>2359</v>
      </c>
      <c r="D392" s="29" t="s">
        <v>2360</v>
      </c>
      <c r="E392" s="54" t="s">
        <v>2361</v>
      </c>
      <c r="F392" s="28" t="s">
        <v>2362</v>
      </c>
      <c r="I392" s="32"/>
      <c r="J392" s="32"/>
      <c r="K392" s="33" t="s">
        <v>2358</v>
      </c>
      <c r="L392" s="33" t="s">
        <v>2363</v>
      </c>
      <c r="N392" s="33" t="s">
        <v>2358</v>
      </c>
      <c r="O392" s="35" t="s">
        <v>2364</v>
      </c>
    </row>
    <row r="393">
      <c r="A393" s="38"/>
      <c r="B393" s="28" t="s">
        <v>2365</v>
      </c>
      <c r="C393" s="28" t="s">
        <v>2366</v>
      </c>
      <c r="D393" s="29" t="s">
        <v>2367</v>
      </c>
      <c r="E393" s="30" t="s">
        <v>2368</v>
      </c>
      <c r="F393" s="28" t="s">
        <v>2369</v>
      </c>
      <c r="I393" s="32"/>
      <c r="J393" s="32"/>
      <c r="K393" s="33" t="s">
        <v>2365</v>
      </c>
      <c r="L393" s="33" t="s">
        <v>2370</v>
      </c>
      <c r="N393" s="33" t="s">
        <v>2365</v>
      </c>
      <c r="O393" s="35"/>
    </row>
    <row r="394">
      <c r="A394" s="38"/>
      <c r="B394" s="28" t="s">
        <v>2371</v>
      </c>
      <c r="C394" s="28" t="s">
        <v>1831</v>
      </c>
      <c r="D394" s="29" t="s">
        <v>2372</v>
      </c>
      <c r="E394" s="30"/>
      <c r="F394" s="28" t="s">
        <v>2373</v>
      </c>
      <c r="I394" s="32"/>
      <c r="J394" s="32"/>
      <c r="K394" s="33" t="s">
        <v>2371</v>
      </c>
      <c r="L394" s="33" t="s">
        <v>2374</v>
      </c>
      <c r="N394" s="33" t="s">
        <v>2371</v>
      </c>
      <c r="O394" s="35" t="s">
        <v>1830</v>
      </c>
    </row>
    <row r="395">
      <c r="A395" s="38"/>
      <c r="B395" s="28" t="s">
        <v>2375</v>
      </c>
      <c r="C395" s="28" t="s">
        <v>2376</v>
      </c>
      <c r="D395" s="29" t="s">
        <v>2377</v>
      </c>
      <c r="E395" s="30" t="s">
        <v>763</v>
      </c>
      <c r="F395" s="28" t="s">
        <v>2378</v>
      </c>
      <c r="I395" s="32"/>
      <c r="J395" s="32"/>
      <c r="K395" s="33" t="s">
        <v>2375</v>
      </c>
      <c r="L395" s="33" t="s">
        <v>2379</v>
      </c>
      <c r="N395" s="33" t="s">
        <v>2375</v>
      </c>
      <c r="O395" s="35"/>
    </row>
    <row r="396">
      <c r="A396" s="38"/>
      <c r="B396" s="28" t="s">
        <v>2380</v>
      </c>
      <c r="C396" s="28" t="s">
        <v>1837</v>
      </c>
      <c r="D396" s="29" t="s">
        <v>2381</v>
      </c>
      <c r="E396" s="30" t="s">
        <v>2382</v>
      </c>
      <c r="F396" s="28" t="s">
        <v>2383</v>
      </c>
      <c r="I396" s="32"/>
      <c r="J396" s="32"/>
      <c r="K396" s="33" t="s">
        <v>2380</v>
      </c>
      <c r="L396" s="33" t="s">
        <v>2384</v>
      </c>
      <c r="N396" s="33" t="s">
        <v>2380</v>
      </c>
      <c r="O396" s="35" t="s">
        <v>1836</v>
      </c>
    </row>
    <row r="397">
      <c r="A397" s="38"/>
      <c r="B397" s="28" t="s">
        <v>2385</v>
      </c>
      <c r="C397" s="28" t="s">
        <v>2386</v>
      </c>
      <c r="D397" s="29" t="s">
        <v>2387</v>
      </c>
      <c r="E397" s="30" t="s">
        <v>2388</v>
      </c>
      <c r="F397" s="28" t="s">
        <v>2389</v>
      </c>
      <c r="I397" s="32"/>
      <c r="J397" s="32"/>
      <c r="K397" s="33" t="s">
        <v>2385</v>
      </c>
      <c r="L397" s="33" t="s">
        <v>2390</v>
      </c>
      <c r="N397" s="33" t="s">
        <v>2385</v>
      </c>
      <c r="O397" s="35" t="s">
        <v>1836</v>
      </c>
    </row>
    <row r="398">
      <c r="A398" s="38"/>
      <c r="B398" s="28" t="s">
        <v>2391</v>
      </c>
      <c r="C398" s="28" t="s">
        <v>2392</v>
      </c>
      <c r="D398" s="29" t="s">
        <v>2393</v>
      </c>
      <c r="E398" s="30" t="s">
        <v>2394</v>
      </c>
      <c r="F398" s="28" t="s">
        <v>2395</v>
      </c>
      <c r="I398" s="32"/>
      <c r="J398" s="32"/>
      <c r="K398" s="33" t="s">
        <v>2391</v>
      </c>
      <c r="L398" s="33" t="s">
        <v>2396</v>
      </c>
      <c r="N398" s="33" t="s">
        <v>2391</v>
      </c>
      <c r="O398" s="35" t="s">
        <v>2397</v>
      </c>
    </row>
    <row r="399">
      <c r="A399" s="38"/>
      <c r="B399" s="28" t="s">
        <v>2398</v>
      </c>
      <c r="C399" s="28" t="s">
        <v>1850</v>
      </c>
      <c r="D399" s="29" t="s">
        <v>2399</v>
      </c>
      <c r="E399" s="30"/>
      <c r="F399" s="28" t="s">
        <v>2400</v>
      </c>
      <c r="I399" s="32"/>
      <c r="J399" s="32"/>
      <c r="K399" s="33" t="s">
        <v>2398</v>
      </c>
      <c r="L399" s="33" t="s">
        <v>2401</v>
      </c>
      <c r="N399" s="33" t="s">
        <v>2398</v>
      </c>
      <c r="O399" s="35"/>
    </row>
    <row r="400">
      <c r="A400" s="38"/>
      <c r="B400" s="28" t="s">
        <v>2402</v>
      </c>
      <c r="C400" s="28" t="s">
        <v>1859</v>
      </c>
      <c r="D400" s="29" t="s">
        <v>2403</v>
      </c>
      <c r="E400" s="30" t="s">
        <v>2404</v>
      </c>
      <c r="F400" s="28" t="s">
        <v>2405</v>
      </c>
      <c r="I400" s="32"/>
      <c r="J400" s="32"/>
      <c r="K400" s="33" t="s">
        <v>2402</v>
      </c>
      <c r="L400" s="33" t="s">
        <v>2406</v>
      </c>
      <c r="N400" s="33" t="s">
        <v>2402</v>
      </c>
      <c r="O400" s="35" t="s">
        <v>1858</v>
      </c>
    </row>
    <row r="401">
      <c r="A401" s="38"/>
      <c r="B401" s="28" t="s">
        <v>2407</v>
      </c>
      <c r="C401" s="28" t="s">
        <v>1870</v>
      </c>
      <c r="D401" s="29" t="s">
        <v>2408</v>
      </c>
      <c r="E401" s="30" t="s">
        <v>2409</v>
      </c>
      <c r="F401" s="28" t="s">
        <v>2410</v>
      </c>
      <c r="I401" s="32"/>
      <c r="J401" s="32"/>
      <c r="K401" s="33" t="s">
        <v>2407</v>
      </c>
      <c r="L401" s="33" t="s">
        <v>2411</v>
      </c>
      <c r="N401" s="33" t="s">
        <v>2407</v>
      </c>
      <c r="O401" s="35" t="s">
        <v>1869</v>
      </c>
    </row>
    <row r="402">
      <c r="A402" s="38"/>
      <c r="B402" s="28" t="s">
        <v>2412</v>
      </c>
      <c r="C402" s="28" t="s">
        <v>2413</v>
      </c>
      <c r="D402" s="29" t="s">
        <v>2414</v>
      </c>
      <c r="E402" s="30"/>
      <c r="F402" s="28" t="s">
        <v>2415</v>
      </c>
      <c r="I402" s="32"/>
      <c r="J402" s="32"/>
      <c r="K402" s="33" t="s">
        <v>2412</v>
      </c>
      <c r="L402" s="33" t="s">
        <v>2416</v>
      </c>
      <c r="N402" s="33" t="s">
        <v>2412</v>
      </c>
      <c r="O402" s="35"/>
    </row>
    <row r="403">
      <c r="A403" s="38"/>
      <c r="B403" s="28" t="s">
        <v>2417</v>
      </c>
      <c r="C403" s="28" t="s">
        <v>2418</v>
      </c>
      <c r="D403" s="29" t="s">
        <v>2419</v>
      </c>
      <c r="E403" s="30"/>
      <c r="F403" s="28" t="s">
        <v>2420</v>
      </c>
      <c r="I403" s="32"/>
      <c r="J403" s="32"/>
      <c r="K403" s="33" t="s">
        <v>2417</v>
      </c>
      <c r="L403" s="33" t="s">
        <v>2421</v>
      </c>
      <c r="N403" s="33" t="s">
        <v>2417</v>
      </c>
      <c r="O403" s="35" t="s">
        <v>2422</v>
      </c>
    </row>
    <row r="404">
      <c r="A404" s="38"/>
      <c r="B404" s="28" t="s">
        <v>2423</v>
      </c>
      <c r="C404" s="28" t="s">
        <v>1886</v>
      </c>
      <c r="D404" s="29" t="s">
        <v>2424</v>
      </c>
      <c r="E404" s="30" t="s">
        <v>2425</v>
      </c>
      <c r="F404" s="28" t="s">
        <v>2426</v>
      </c>
      <c r="I404" s="32"/>
      <c r="J404" s="32"/>
      <c r="K404" s="33" t="s">
        <v>2423</v>
      </c>
      <c r="L404" s="33" t="s">
        <v>2427</v>
      </c>
      <c r="N404" s="33" t="s">
        <v>2423</v>
      </c>
      <c r="O404" s="35"/>
    </row>
    <row r="405">
      <c r="A405" s="38"/>
      <c r="B405" s="28" t="s">
        <v>2428</v>
      </c>
      <c r="C405" s="28" t="s">
        <v>2429</v>
      </c>
      <c r="D405" s="29" t="s">
        <v>2430</v>
      </c>
      <c r="E405" s="30"/>
      <c r="F405" s="28" t="s">
        <v>2431</v>
      </c>
      <c r="I405" s="32"/>
      <c r="J405" s="32"/>
      <c r="K405" s="33" t="s">
        <v>2428</v>
      </c>
      <c r="L405" s="33" t="s">
        <v>2432</v>
      </c>
      <c r="N405" s="33" t="s">
        <v>2428</v>
      </c>
      <c r="O405" s="47" t="s">
        <v>2433</v>
      </c>
    </row>
    <row r="406">
      <c r="A406" s="38"/>
      <c r="B406" s="28" t="s">
        <v>2434</v>
      </c>
      <c r="C406" s="28" t="s">
        <v>2435</v>
      </c>
      <c r="D406" s="29" t="s">
        <v>2436</v>
      </c>
      <c r="E406" s="30" t="s">
        <v>2113</v>
      </c>
      <c r="F406" s="28" t="s">
        <v>2437</v>
      </c>
      <c r="I406" s="32"/>
      <c r="J406" s="32"/>
      <c r="K406" s="33" t="s">
        <v>2434</v>
      </c>
      <c r="L406" s="33" t="s">
        <v>2438</v>
      </c>
      <c r="N406" s="33" t="s">
        <v>2434</v>
      </c>
      <c r="O406" s="35" t="s">
        <v>2439</v>
      </c>
    </row>
    <row r="407">
      <c r="A407" s="38"/>
      <c r="B407" s="28" t="s">
        <v>2440</v>
      </c>
      <c r="C407" s="28" t="s">
        <v>2441</v>
      </c>
      <c r="D407" s="29" t="s">
        <v>2442</v>
      </c>
      <c r="E407" s="30" t="s">
        <v>2443</v>
      </c>
      <c r="F407" s="28" t="s">
        <v>2444</v>
      </c>
      <c r="I407" s="32"/>
      <c r="J407" s="32"/>
      <c r="K407" s="33" t="s">
        <v>2440</v>
      </c>
      <c r="L407" s="33" t="s">
        <v>2445</v>
      </c>
      <c r="N407" s="33" t="s">
        <v>2440</v>
      </c>
      <c r="O407" s="35" t="s">
        <v>2446</v>
      </c>
    </row>
    <row r="408">
      <c r="A408" s="38"/>
      <c r="B408" s="28" t="s">
        <v>2447</v>
      </c>
      <c r="C408" s="28" t="s">
        <v>2448</v>
      </c>
      <c r="D408" s="29" t="s">
        <v>2449</v>
      </c>
      <c r="E408" s="30" t="s">
        <v>2450</v>
      </c>
      <c r="F408" s="28" t="s">
        <v>2451</v>
      </c>
      <c r="I408" s="32"/>
      <c r="J408" s="32"/>
      <c r="K408" s="33" t="s">
        <v>2447</v>
      </c>
      <c r="L408" s="33" t="s">
        <v>2452</v>
      </c>
      <c r="N408" s="33" t="s">
        <v>2447</v>
      </c>
      <c r="O408" s="35"/>
    </row>
    <row r="409">
      <c r="A409" s="38"/>
      <c r="B409" s="28" t="s">
        <v>2453</v>
      </c>
      <c r="C409" s="28" t="s">
        <v>2454</v>
      </c>
      <c r="D409" s="29" t="s">
        <v>2455</v>
      </c>
      <c r="E409" s="30" t="s">
        <v>2456</v>
      </c>
      <c r="F409" s="28" t="s">
        <v>2457</v>
      </c>
      <c r="I409" s="32"/>
      <c r="J409" s="32"/>
      <c r="K409" s="33" t="s">
        <v>2453</v>
      </c>
      <c r="L409" s="33" t="s">
        <v>2458</v>
      </c>
      <c r="N409" s="33" t="s">
        <v>2453</v>
      </c>
      <c r="O409" s="35" t="s">
        <v>2459</v>
      </c>
    </row>
    <row r="410">
      <c r="A410" s="38"/>
      <c r="B410" s="28" t="s">
        <v>2460</v>
      </c>
      <c r="C410" s="28" t="s">
        <v>1898</v>
      </c>
      <c r="D410" s="29" t="s">
        <v>2461</v>
      </c>
      <c r="E410" s="30"/>
      <c r="F410" s="28" t="s">
        <v>2462</v>
      </c>
      <c r="I410" s="32"/>
      <c r="J410" s="32"/>
      <c r="K410" s="33" t="s">
        <v>2460</v>
      </c>
      <c r="L410" s="33" t="s">
        <v>2463</v>
      </c>
      <c r="N410" s="33" t="s">
        <v>2460</v>
      </c>
      <c r="O410" s="35" t="s">
        <v>1897</v>
      </c>
    </row>
    <row r="411">
      <c r="A411" s="38"/>
      <c r="B411" s="28" t="s">
        <v>2464</v>
      </c>
      <c r="C411" s="28" t="s">
        <v>2465</v>
      </c>
      <c r="D411" s="29" t="s">
        <v>2466</v>
      </c>
      <c r="E411" s="30" t="s">
        <v>2467</v>
      </c>
      <c r="F411" s="28" t="s">
        <v>2468</v>
      </c>
      <c r="I411" s="32"/>
      <c r="J411" s="32"/>
      <c r="K411" s="33" t="s">
        <v>2464</v>
      </c>
      <c r="L411" s="33" t="s">
        <v>2469</v>
      </c>
      <c r="N411" s="33" t="s">
        <v>2464</v>
      </c>
      <c r="O411" s="35"/>
    </row>
    <row r="412">
      <c r="A412" s="38"/>
      <c r="B412" s="28" t="s">
        <v>2470</v>
      </c>
      <c r="C412" s="28" t="s">
        <v>1904</v>
      </c>
      <c r="D412" s="29" t="s">
        <v>2471</v>
      </c>
      <c r="E412" s="30" t="s">
        <v>2472</v>
      </c>
      <c r="F412" s="28" t="s">
        <v>2473</v>
      </c>
      <c r="I412" s="32"/>
      <c r="J412" s="32"/>
      <c r="K412" s="33" t="s">
        <v>2470</v>
      </c>
      <c r="L412" s="33" t="s">
        <v>2474</v>
      </c>
      <c r="N412" s="33" t="s">
        <v>2470</v>
      </c>
      <c r="O412" s="35"/>
    </row>
    <row r="413">
      <c r="A413" s="38"/>
      <c r="B413" s="28" t="s">
        <v>2475</v>
      </c>
      <c r="C413" s="28" t="s">
        <v>1909</v>
      </c>
      <c r="D413" s="29" t="s">
        <v>2476</v>
      </c>
      <c r="E413" s="30"/>
      <c r="F413" s="28" t="s">
        <v>2477</v>
      </c>
      <c r="I413" s="32"/>
      <c r="J413" s="32"/>
      <c r="K413" s="33" t="s">
        <v>2475</v>
      </c>
      <c r="L413" s="33" t="s">
        <v>2478</v>
      </c>
      <c r="N413" s="33" t="s">
        <v>2475</v>
      </c>
      <c r="O413" s="35" t="s">
        <v>1908</v>
      </c>
    </row>
    <row r="414">
      <c r="A414" s="38"/>
      <c r="B414" s="28" t="s">
        <v>2479</v>
      </c>
      <c r="C414" s="28" t="s">
        <v>1915</v>
      </c>
      <c r="D414" s="29" t="s">
        <v>2480</v>
      </c>
      <c r="E414" s="30" t="s">
        <v>2481</v>
      </c>
      <c r="F414" s="28" t="s">
        <v>2482</v>
      </c>
      <c r="I414" s="32"/>
      <c r="J414" s="32"/>
      <c r="K414" s="33" t="s">
        <v>2479</v>
      </c>
      <c r="L414" s="33" t="s">
        <v>2483</v>
      </c>
      <c r="N414" s="33" t="s">
        <v>2479</v>
      </c>
      <c r="O414" s="35" t="s">
        <v>1914</v>
      </c>
    </row>
    <row r="415">
      <c r="A415" s="38"/>
      <c r="B415" s="28" t="s">
        <v>2484</v>
      </c>
      <c r="C415" s="28" t="s">
        <v>1921</v>
      </c>
      <c r="D415" s="29" t="s">
        <v>2485</v>
      </c>
      <c r="E415" s="30" t="s">
        <v>2486</v>
      </c>
      <c r="F415" s="28" t="s">
        <v>2487</v>
      </c>
      <c r="I415" s="32"/>
      <c r="J415" s="32"/>
      <c r="K415" s="33" t="s">
        <v>2484</v>
      </c>
      <c r="L415" s="33" t="s">
        <v>2488</v>
      </c>
      <c r="N415" s="33" t="s">
        <v>2484</v>
      </c>
      <c r="O415" s="35" t="s">
        <v>1920</v>
      </c>
    </row>
    <row r="416">
      <c r="A416" s="38"/>
      <c r="B416" s="28" t="s">
        <v>2489</v>
      </c>
      <c r="C416" s="28" t="s">
        <v>2490</v>
      </c>
      <c r="D416" s="29" t="s">
        <v>2491</v>
      </c>
      <c r="E416" s="30" t="s">
        <v>2486</v>
      </c>
      <c r="F416" s="28" t="s">
        <v>2492</v>
      </c>
      <c r="I416" s="32"/>
      <c r="J416" s="32"/>
      <c r="K416" s="33" t="s">
        <v>2489</v>
      </c>
      <c r="L416" s="33" t="s">
        <v>2493</v>
      </c>
      <c r="N416" s="33" t="s">
        <v>2489</v>
      </c>
      <c r="O416" s="35" t="s">
        <v>2494</v>
      </c>
    </row>
    <row r="417">
      <c r="A417" s="38"/>
      <c r="B417" s="28" t="s">
        <v>2495</v>
      </c>
      <c r="C417" s="28" t="s">
        <v>1927</v>
      </c>
      <c r="D417" s="29" t="s">
        <v>2496</v>
      </c>
      <c r="E417" s="30" t="s">
        <v>2497</v>
      </c>
      <c r="F417" s="28" t="s">
        <v>2498</v>
      </c>
      <c r="I417" s="32"/>
      <c r="J417" s="32"/>
      <c r="K417" s="33" t="s">
        <v>2495</v>
      </c>
      <c r="L417" s="33" t="s">
        <v>2499</v>
      </c>
      <c r="N417" s="33" t="s">
        <v>2495</v>
      </c>
      <c r="O417" s="35" t="s">
        <v>1926</v>
      </c>
    </row>
    <row r="418">
      <c r="A418" s="38"/>
      <c r="B418" s="28" t="s">
        <v>2500</v>
      </c>
      <c r="C418" s="28" t="s">
        <v>1932</v>
      </c>
      <c r="D418" s="29" t="s">
        <v>2501</v>
      </c>
      <c r="E418" s="30" t="s">
        <v>2502</v>
      </c>
      <c r="F418" s="28" t="s">
        <v>2503</v>
      </c>
      <c r="I418" s="32"/>
      <c r="J418" s="32"/>
      <c r="K418" s="33" t="s">
        <v>2500</v>
      </c>
      <c r="L418" s="33" t="s">
        <v>2504</v>
      </c>
      <c r="N418" s="33" t="s">
        <v>2500</v>
      </c>
      <c r="O418" s="35" t="s">
        <v>1931</v>
      </c>
    </row>
    <row r="419">
      <c r="A419" s="38"/>
      <c r="B419" s="28" t="s">
        <v>2505</v>
      </c>
      <c r="C419" s="28" t="s">
        <v>1947</v>
      </c>
      <c r="D419" s="29" t="s">
        <v>2506</v>
      </c>
      <c r="E419" s="30"/>
      <c r="F419" s="28" t="s">
        <v>2507</v>
      </c>
      <c r="I419" s="32"/>
      <c r="J419" s="32"/>
      <c r="K419" s="33" t="s">
        <v>2505</v>
      </c>
      <c r="L419" s="33" t="s">
        <v>2508</v>
      </c>
      <c r="N419" s="33" t="s">
        <v>2505</v>
      </c>
      <c r="O419" s="35" t="s">
        <v>1946</v>
      </c>
    </row>
    <row r="420">
      <c r="A420" s="38"/>
      <c r="B420" s="28" t="s">
        <v>2509</v>
      </c>
      <c r="C420" s="28" t="s">
        <v>2510</v>
      </c>
      <c r="D420" s="29" t="s">
        <v>2511</v>
      </c>
      <c r="E420" s="30" t="s">
        <v>1891</v>
      </c>
      <c r="F420" s="28" t="s">
        <v>2512</v>
      </c>
      <c r="I420" s="32"/>
      <c r="J420" s="32"/>
      <c r="K420" s="33" t="s">
        <v>2509</v>
      </c>
      <c r="L420" s="33" t="s">
        <v>2513</v>
      </c>
      <c r="N420" s="33" t="s">
        <v>2509</v>
      </c>
      <c r="O420" s="35" t="s">
        <v>2514</v>
      </c>
    </row>
    <row r="421">
      <c r="A421" s="38"/>
      <c r="B421" s="28" t="s">
        <v>2515</v>
      </c>
      <c r="C421" s="28" t="s">
        <v>1953</v>
      </c>
      <c r="D421" s="29" t="s">
        <v>2516</v>
      </c>
      <c r="E421" s="30" t="s">
        <v>2517</v>
      </c>
      <c r="F421" s="28" t="s">
        <v>2518</v>
      </c>
      <c r="I421" s="32"/>
      <c r="J421" s="32"/>
      <c r="K421" s="33" t="s">
        <v>2515</v>
      </c>
      <c r="L421" s="33" t="s">
        <v>2519</v>
      </c>
      <c r="N421" s="33" t="s">
        <v>2515</v>
      </c>
      <c r="O421" s="35" t="s">
        <v>1952</v>
      </c>
    </row>
    <row r="422">
      <c r="A422" s="38"/>
      <c r="B422" s="28" t="s">
        <v>2520</v>
      </c>
      <c r="C422" s="28" t="s">
        <v>1959</v>
      </c>
      <c r="D422" s="29" t="s">
        <v>2521</v>
      </c>
      <c r="E422" s="30" t="s">
        <v>2522</v>
      </c>
      <c r="F422" s="28" t="s">
        <v>2523</v>
      </c>
      <c r="I422" s="32"/>
      <c r="J422" s="32"/>
      <c r="K422" s="33" t="s">
        <v>2520</v>
      </c>
      <c r="L422" s="33" t="s">
        <v>2524</v>
      </c>
      <c r="N422" s="33" t="s">
        <v>2520</v>
      </c>
      <c r="O422" s="35" t="s">
        <v>1958</v>
      </c>
    </row>
    <row r="423">
      <c r="A423" s="38"/>
      <c r="B423" s="28" t="s">
        <v>2525</v>
      </c>
      <c r="C423" s="28" t="s">
        <v>2526</v>
      </c>
      <c r="D423" s="29" t="s">
        <v>2527</v>
      </c>
      <c r="E423" s="30" t="s">
        <v>2528</v>
      </c>
      <c r="F423" s="28" t="s">
        <v>2529</v>
      </c>
      <c r="I423" s="32"/>
      <c r="J423" s="32"/>
      <c r="K423" s="33" t="s">
        <v>2525</v>
      </c>
      <c r="L423" s="33" t="s">
        <v>2530</v>
      </c>
      <c r="N423" s="33" t="s">
        <v>2525</v>
      </c>
      <c r="O423" s="35" t="s">
        <v>2531</v>
      </c>
    </row>
    <row r="424">
      <c r="A424" s="38"/>
      <c r="B424" s="28" t="s">
        <v>2532</v>
      </c>
      <c r="C424" s="28" t="s">
        <v>1963</v>
      </c>
      <c r="D424" s="29" t="s">
        <v>2533</v>
      </c>
      <c r="E424" s="30" t="s">
        <v>2534</v>
      </c>
      <c r="F424" s="28" t="s">
        <v>2535</v>
      </c>
      <c r="I424" s="32"/>
      <c r="J424" s="32"/>
      <c r="K424" s="33" t="s">
        <v>2532</v>
      </c>
      <c r="L424" s="33" t="s">
        <v>2536</v>
      </c>
      <c r="N424" s="33" t="s">
        <v>2532</v>
      </c>
      <c r="O424" s="35"/>
    </row>
    <row r="425">
      <c r="A425" s="38"/>
      <c r="B425" s="28" t="s">
        <v>2537</v>
      </c>
      <c r="C425" s="28" t="s">
        <v>1975</v>
      </c>
      <c r="D425" s="29" t="s">
        <v>2538</v>
      </c>
      <c r="E425" s="30" t="s">
        <v>2539</v>
      </c>
      <c r="F425" s="28" t="s">
        <v>2540</v>
      </c>
      <c r="I425" s="32"/>
      <c r="J425" s="32"/>
      <c r="K425" s="33" t="s">
        <v>2537</v>
      </c>
      <c r="L425" s="33" t="s">
        <v>2541</v>
      </c>
      <c r="N425" s="33" t="s">
        <v>2537</v>
      </c>
      <c r="O425" s="35"/>
    </row>
    <row r="426">
      <c r="A426" s="38"/>
      <c r="B426" s="28" t="s">
        <v>2542</v>
      </c>
      <c r="C426" s="28" t="s">
        <v>2543</v>
      </c>
      <c r="D426" s="29" t="s">
        <v>2544</v>
      </c>
      <c r="E426" s="30" t="s">
        <v>2539</v>
      </c>
      <c r="F426" s="28" t="s">
        <v>2545</v>
      </c>
      <c r="I426" s="32"/>
      <c r="J426" s="32"/>
      <c r="K426" s="33" t="s">
        <v>2542</v>
      </c>
      <c r="L426" s="33" t="s">
        <v>2546</v>
      </c>
      <c r="N426" s="33" t="s">
        <v>2542</v>
      </c>
      <c r="O426" s="35" t="s">
        <v>2547</v>
      </c>
    </row>
    <row r="427">
      <c r="A427" s="38"/>
      <c r="B427" s="28" t="s">
        <v>2548</v>
      </c>
      <c r="C427" s="28" t="s">
        <v>1980</v>
      </c>
      <c r="D427" s="29" t="s">
        <v>2549</v>
      </c>
      <c r="E427" s="30"/>
      <c r="F427" s="28" t="s">
        <v>2550</v>
      </c>
      <c r="I427" s="32"/>
      <c r="J427" s="32"/>
      <c r="K427" s="33" t="s">
        <v>2548</v>
      </c>
      <c r="L427" s="33" t="s">
        <v>2551</v>
      </c>
      <c r="N427" s="33" t="s">
        <v>2548</v>
      </c>
      <c r="O427" s="35"/>
    </row>
    <row r="428">
      <c r="A428" s="38"/>
      <c r="B428" s="28" t="s">
        <v>2552</v>
      </c>
      <c r="C428" s="28" t="s">
        <v>2553</v>
      </c>
      <c r="D428" s="29" t="s">
        <v>2554</v>
      </c>
      <c r="E428" s="30"/>
      <c r="F428" s="28" t="s">
        <v>2555</v>
      </c>
      <c r="I428" s="32"/>
      <c r="J428" s="32"/>
      <c r="K428" s="33" t="s">
        <v>2552</v>
      </c>
      <c r="L428" s="33" t="s">
        <v>2556</v>
      </c>
      <c r="N428" s="33" t="s">
        <v>2552</v>
      </c>
      <c r="O428" s="35"/>
    </row>
    <row r="429">
      <c r="A429" s="38"/>
      <c r="B429" s="28" t="s">
        <v>2557</v>
      </c>
      <c r="C429" s="28" t="s">
        <v>1985</v>
      </c>
      <c r="D429" s="29" t="s">
        <v>2558</v>
      </c>
      <c r="E429" s="30" t="s">
        <v>2559</v>
      </c>
      <c r="F429" s="28" t="s">
        <v>2560</v>
      </c>
      <c r="I429" s="32"/>
      <c r="J429" s="32"/>
      <c r="K429" s="33" t="s">
        <v>2557</v>
      </c>
      <c r="L429" s="33" t="s">
        <v>2561</v>
      </c>
      <c r="N429" s="33" t="s">
        <v>2557</v>
      </c>
      <c r="O429" s="35" t="s">
        <v>1984</v>
      </c>
    </row>
    <row r="430">
      <c r="A430" s="38"/>
      <c r="B430" s="28" t="s">
        <v>2562</v>
      </c>
      <c r="C430" s="28" t="s">
        <v>2563</v>
      </c>
      <c r="D430" s="29" t="s">
        <v>2564</v>
      </c>
      <c r="E430" s="30" t="s">
        <v>2565</v>
      </c>
      <c r="F430" s="28" t="s">
        <v>2566</v>
      </c>
      <c r="I430" s="32"/>
      <c r="J430" s="32"/>
      <c r="K430" s="33" t="s">
        <v>2562</v>
      </c>
      <c r="L430" s="33" t="s">
        <v>2567</v>
      </c>
      <c r="N430" s="33" t="s">
        <v>2562</v>
      </c>
      <c r="O430" s="35"/>
    </row>
    <row r="431">
      <c r="A431" s="38"/>
      <c r="B431" s="28" t="s">
        <v>2568</v>
      </c>
      <c r="C431" s="28" t="s">
        <v>2569</v>
      </c>
      <c r="D431" s="29" t="s">
        <v>2570</v>
      </c>
      <c r="E431" s="30" t="s">
        <v>2571</v>
      </c>
      <c r="F431" s="28" t="s">
        <v>2572</v>
      </c>
      <c r="I431" s="32"/>
      <c r="J431" s="32"/>
      <c r="K431" s="33" t="s">
        <v>2568</v>
      </c>
      <c r="L431" s="33" t="s">
        <v>2573</v>
      </c>
      <c r="N431" s="33" t="s">
        <v>2568</v>
      </c>
      <c r="O431" s="35"/>
    </row>
    <row r="432">
      <c r="A432" s="38"/>
      <c r="B432" s="28" t="s">
        <v>2574</v>
      </c>
      <c r="C432" s="28" t="s">
        <v>2002</v>
      </c>
      <c r="D432" s="29" t="s">
        <v>2575</v>
      </c>
      <c r="E432" s="30"/>
      <c r="F432" s="28" t="s">
        <v>2576</v>
      </c>
      <c r="I432" s="32"/>
      <c r="J432" s="32"/>
      <c r="K432" s="33" t="s">
        <v>2574</v>
      </c>
      <c r="L432" s="33" t="s">
        <v>2577</v>
      </c>
      <c r="N432" s="33" t="s">
        <v>2574</v>
      </c>
      <c r="O432" s="35" t="s">
        <v>2001</v>
      </c>
    </row>
    <row r="433">
      <c r="A433" s="38"/>
      <c r="B433" s="28" t="s">
        <v>2578</v>
      </c>
      <c r="C433" s="28" t="s">
        <v>2007</v>
      </c>
      <c r="D433" s="29" t="s">
        <v>2579</v>
      </c>
      <c r="E433" s="30" t="s">
        <v>2580</v>
      </c>
      <c r="F433" s="28" t="s">
        <v>2581</v>
      </c>
      <c r="I433" s="32"/>
      <c r="J433" s="32"/>
      <c r="K433" s="33" t="s">
        <v>2578</v>
      </c>
      <c r="L433" s="33" t="s">
        <v>2582</v>
      </c>
      <c r="N433" s="33" t="s">
        <v>2578</v>
      </c>
      <c r="O433" s="35"/>
    </row>
    <row r="434">
      <c r="A434" s="38"/>
      <c r="B434" s="28" t="s">
        <v>2583</v>
      </c>
      <c r="C434" s="28" t="s">
        <v>2012</v>
      </c>
      <c r="D434" s="29" t="s">
        <v>2584</v>
      </c>
      <c r="E434" s="30" t="s">
        <v>2585</v>
      </c>
      <c r="F434" s="28" t="s">
        <v>2586</v>
      </c>
      <c r="I434" s="32"/>
      <c r="J434" s="32"/>
      <c r="K434" s="33" t="s">
        <v>2583</v>
      </c>
      <c r="L434" s="33" t="s">
        <v>2587</v>
      </c>
      <c r="N434" s="33" t="s">
        <v>2583</v>
      </c>
      <c r="O434" s="35" t="s">
        <v>2011</v>
      </c>
    </row>
    <row r="435">
      <c r="A435" s="38"/>
      <c r="B435" s="28" t="s">
        <v>2588</v>
      </c>
      <c r="C435" s="28" t="s">
        <v>2017</v>
      </c>
      <c r="D435" s="29" t="s">
        <v>2589</v>
      </c>
      <c r="E435" s="30" t="s">
        <v>2590</v>
      </c>
      <c r="F435" s="28" t="s">
        <v>2591</v>
      </c>
      <c r="I435" s="32"/>
      <c r="J435" s="32"/>
      <c r="K435" s="33" t="s">
        <v>2588</v>
      </c>
      <c r="L435" s="33" t="s">
        <v>2592</v>
      </c>
      <c r="N435" s="33" t="s">
        <v>2588</v>
      </c>
      <c r="O435" s="35" t="s">
        <v>2016</v>
      </c>
    </row>
    <row r="436">
      <c r="A436" s="38"/>
      <c r="B436" s="28" t="s">
        <v>2593</v>
      </c>
      <c r="C436" s="28" t="s">
        <v>2594</v>
      </c>
      <c r="D436" s="29" t="s">
        <v>2595</v>
      </c>
      <c r="E436" s="30"/>
      <c r="F436" s="28" t="s">
        <v>637</v>
      </c>
      <c r="I436" s="32"/>
      <c r="J436" s="32"/>
      <c r="K436" s="33" t="s">
        <v>2593</v>
      </c>
      <c r="L436" s="33" t="s">
        <v>2596</v>
      </c>
      <c r="N436" s="33" t="s">
        <v>2593</v>
      </c>
      <c r="O436" s="35" t="s">
        <v>2597</v>
      </c>
    </row>
    <row r="437">
      <c r="A437" s="38"/>
      <c r="B437" s="28" t="s">
        <v>2598</v>
      </c>
      <c r="C437" s="28" t="s">
        <v>2599</v>
      </c>
      <c r="D437" s="29" t="s">
        <v>2600</v>
      </c>
      <c r="E437" s="30" t="s">
        <v>2601</v>
      </c>
      <c r="F437" s="28" t="s">
        <v>2602</v>
      </c>
      <c r="I437" s="32"/>
      <c r="J437" s="32"/>
      <c r="K437" s="33" t="s">
        <v>2598</v>
      </c>
      <c r="L437" s="33" t="s">
        <v>2603</v>
      </c>
      <c r="N437" s="33" t="s">
        <v>2598</v>
      </c>
      <c r="O437" s="35"/>
    </row>
    <row r="438">
      <c r="A438" s="38"/>
      <c r="B438" s="28" t="s">
        <v>2604</v>
      </c>
      <c r="C438" s="28" t="s">
        <v>2605</v>
      </c>
      <c r="D438" s="29" t="s">
        <v>2606</v>
      </c>
      <c r="E438" s="30" t="s">
        <v>2607</v>
      </c>
      <c r="F438" s="28" t="s">
        <v>2608</v>
      </c>
      <c r="I438" s="32"/>
      <c r="J438" s="32"/>
      <c r="K438" s="33" t="s">
        <v>2604</v>
      </c>
      <c r="L438" s="33" t="s">
        <v>2609</v>
      </c>
      <c r="N438" s="33" t="s">
        <v>2604</v>
      </c>
      <c r="O438" s="35" t="s">
        <v>2610</v>
      </c>
    </row>
    <row r="439">
      <c r="A439" s="38"/>
      <c r="B439" s="28" t="s">
        <v>2611</v>
      </c>
      <c r="C439" s="28" t="s">
        <v>2034</v>
      </c>
      <c r="D439" s="29" t="s">
        <v>2612</v>
      </c>
      <c r="E439" s="30" t="s">
        <v>2607</v>
      </c>
      <c r="F439" s="28" t="s">
        <v>2613</v>
      </c>
      <c r="I439" s="32"/>
      <c r="J439" s="32"/>
      <c r="K439" s="33" t="s">
        <v>2611</v>
      </c>
      <c r="L439" s="33" t="s">
        <v>2614</v>
      </c>
      <c r="N439" s="33" t="s">
        <v>2611</v>
      </c>
      <c r="O439" s="35"/>
    </row>
    <row r="440">
      <c r="A440" s="38"/>
      <c r="B440" s="28" t="s">
        <v>2615</v>
      </c>
      <c r="C440" s="28" t="s">
        <v>2616</v>
      </c>
      <c r="D440" s="29" t="s">
        <v>2617</v>
      </c>
      <c r="E440" s="54" t="s">
        <v>2618</v>
      </c>
      <c r="F440" s="28" t="s">
        <v>2619</v>
      </c>
      <c r="I440" s="32"/>
      <c r="J440" s="32"/>
      <c r="K440" s="33" t="s">
        <v>2615</v>
      </c>
      <c r="L440" s="33" t="s">
        <v>2620</v>
      </c>
      <c r="N440" s="33" t="s">
        <v>2615</v>
      </c>
      <c r="O440" s="47" t="s">
        <v>2621</v>
      </c>
    </row>
    <row r="441">
      <c r="A441" s="38"/>
      <c r="B441" s="28" t="s">
        <v>2622</v>
      </c>
      <c r="C441" s="28" t="s">
        <v>2045</v>
      </c>
      <c r="D441" s="29" t="s">
        <v>2623</v>
      </c>
      <c r="E441" s="30"/>
      <c r="F441" s="28" t="s">
        <v>2624</v>
      </c>
      <c r="I441" s="32"/>
      <c r="J441" s="32"/>
      <c r="K441" s="33" t="s">
        <v>2622</v>
      </c>
      <c r="L441" s="33" t="s">
        <v>2625</v>
      </c>
      <c r="N441" s="33" t="s">
        <v>2622</v>
      </c>
      <c r="O441" s="35" t="s">
        <v>2044</v>
      </c>
    </row>
    <row r="442">
      <c r="A442" s="38"/>
      <c r="B442" s="28" t="s">
        <v>2626</v>
      </c>
      <c r="C442" s="28" t="s">
        <v>2050</v>
      </c>
      <c r="D442" s="29" t="s">
        <v>2627</v>
      </c>
      <c r="E442" s="30"/>
      <c r="F442" s="28" t="s">
        <v>2628</v>
      </c>
      <c r="I442" s="32"/>
      <c r="J442" s="32"/>
      <c r="K442" s="33" t="s">
        <v>2626</v>
      </c>
      <c r="L442" s="33" t="s">
        <v>2629</v>
      </c>
      <c r="N442" s="33" t="s">
        <v>2626</v>
      </c>
      <c r="O442" s="35" t="s">
        <v>2049</v>
      </c>
    </row>
    <row r="443">
      <c r="A443" s="38"/>
      <c r="B443" s="28" t="s">
        <v>2630</v>
      </c>
      <c r="C443" s="28" t="s">
        <v>2631</v>
      </c>
      <c r="D443" s="29" t="s">
        <v>2632</v>
      </c>
      <c r="E443" s="30"/>
      <c r="F443" s="28" t="s">
        <v>2633</v>
      </c>
      <c r="I443" s="32"/>
      <c r="J443" s="32"/>
      <c r="K443" s="33" t="s">
        <v>2630</v>
      </c>
      <c r="L443" s="33" t="s">
        <v>2634</v>
      </c>
      <c r="N443" s="33" t="s">
        <v>2630</v>
      </c>
      <c r="O443" s="35"/>
    </row>
    <row r="444">
      <c r="A444" s="38"/>
      <c r="B444" s="28" t="s">
        <v>2635</v>
      </c>
      <c r="C444" s="28" t="s">
        <v>2064</v>
      </c>
      <c r="D444" s="29" t="s">
        <v>2636</v>
      </c>
      <c r="E444" s="30"/>
      <c r="F444" s="28" t="s">
        <v>2637</v>
      </c>
      <c r="I444" s="32"/>
      <c r="J444" s="32"/>
      <c r="K444" s="33" t="s">
        <v>2635</v>
      </c>
      <c r="L444" s="33" t="s">
        <v>2638</v>
      </c>
      <c r="N444" s="33" t="s">
        <v>2635</v>
      </c>
      <c r="O444" s="35" t="s">
        <v>169</v>
      </c>
    </row>
    <row r="445">
      <c r="A445" s="38"/>
      <c r="B445" s="28" t="s">
        <v>2639</v>
      </c>
      <c r="C445" s="28" t="s">
        <v>2640</v>
      </c>
      <c r="D445" s="29" t="s">
        <v>2641</v>
      </c>
      <c r="E445" s="30" t="s">
        <v>2642</v>
      </c>
      <c r="F445" s="28" t="s">
        <v>2643</v>
      </c>
      <c r="I445" s="32"/>
      <c r="J445" s="32"/>
      <c r="K445" s="33" t="s">
        <v>2639</v>
      </c>
      <c r="L445" s="33" t="s">
        <v>2644</v>
      </c>
      <c r="N445" s="33" t="s">
        <v>2639</v>
      </c>
      <c r="O445" s="35" t="s">
        <v>2645</v>
      </c>
    </row>
    <row r="446">
      <c r="A446" s="38"/>
      <c r="B446" s="28" t="s">
        <v>2646</v>
      </c>
      <c r="C446" s="28" t="s">
        <v>2647</v>
      </c>
      <c r="D446" s="29" t="s">
        <v>2648</v>
      </c>
      <c r="E446" s="30" t="s">
        <v>2649</v>
      </c>
      <c r="F446" s="28" t="s">
        <v>2650</v>
      </c>
      <c r="I446" s="32"/>
      <c r="J446" s="32"/>
      <c r="K446" s="33" t="s">
        <v>2646</v>
      </c>
      <c r="L446" s="33" t="s">
        <v>2651</v>
      </c>
      <c r="N446" s="33" t="s">
        <v>2646</v>
      </c>
      <c r="O446" s="35"/>
    </row>
    <row r="447">
      <c r="A447" s="38"/>
      <c r="B447" s="28" t="s">
        <v>2652</v>
      </c>
      <c r="C447" s="28" t="s">
        <v>2653</v>
      </c>
      <c r="D447" s="29" t="s">
        <v>2654</v>
      </c>
      <c r="E447" s="30" t="s">
        <v>2655</v>
      </c>
      <c r="F447" s="28" t="s">
        <v>2656</v>
      </c>
      <c r="I447" s="32"/>
      <c r="J447" s="32"/>
      <c r="K447" s="33" t="s">
        <v>2652</v>
      </c>
      <c r="L447" s="33" t="s">
        <v>2657</v>
      </c>
      <c r="N447" s="33" t="s">
        <v>2652</v>
      </c>
      <c r="O447" s="35" t="s">
        <v>2658</v>
      </c>
    </row>
    <row r="448">
      <c r="A448" s="38"/>
      <c r="B448" s="28" t="s">
        <v>2659</v>
      </c>
      <c r="C448" s="28" t="s">
        <v>2078</v>
      </c>
      <c r="D448" s="29" t="s">
        <v>2660</v>
      </c>
      <c r="E448" s="30"/>
      <c r="F448" s="28" t="s">
        <v>2661</v>
      </c>
      <c r="I448" s="32"/>
      <c r="J448" s="32"/>
      <c r="K448" s="33" t="s">
        <v>2659</v>
      </c>
      <c r="L448" s="33" t="s">
        <v>2662</v>
      </c>
      <c r="N448" s="33" t="s">
        <v>2659</v>
      </c>
      <c r="O448" s="35" t="s">
        <v>2077</v>
      </c>
    </row>
    <row r="449">
      <c r="A449" s="38"/>
      <c r="B449" s="28" t="s">
        <v>2663</v>
      </c>
      <c r="C449" s="28" t="s">
        <v>2664</v>
      </c>
      <c r="D449" s="29" t="s">
        <v>2665</v>
      </c>
      <c r="E449" s="54" t="s">
        <v>2666</v>
      </c>
      <c r="F449" s="28" t="s">
        <v>2667</v>
      </c>
      <c r="I449" s="32"/>
      <c r="J449" s="32"/>
      <c r="K449" s="33" t="s">
        <v>2663</v>
      </c>
      <c r="L449" s="33" t="s">
        <v>2668</v>
      </c>
      <c r="N449" s="33" t="s">
        <v>2663</v>
      </c>
      <c r="O449" s="35"/>
    </row>
    <row r="450">
      <c r="A450" s="38"/>
      <c r="B450" s="28" t="s">
        <v>2669</v>
      </c>
      <c r="C450" s="28" t="s">
        <v>2087</v>
      </c>
      <c r="D450" s="29" t="s">
        <v>2670</v>
      </c>
      <c r="E450" s="30" t="s">
        <v>2671</v>
      </c>
      <c r="F450" s="28" t="s">
        <v>2672</v>
      </c>
      <c r="I450" s="32"/>
      <c r="J450" s="32"/>
      <c r="K450" s="33" t="s">
        <v>2669</v>
      </c>
      <c r="L450" s="33" t="s">
        <v>2673</v>
      </c>
      <c r="N450" s="33" t="s">
        <v>2669</v>
      </c>
      <c r="O450" s="35" t="s">
        <v>2086</v>
      </c>
    </row>
    <row r="451">
      <c r="A451" s="38"/>
      <c r="B451" s="28" t="s">
        <v>2674</v>
      </c>
      <c r="C451" s="28" t="s">
        <v>2093</v>
      </c>
      <c r="D451" s="29" t="s">
        <v>2675</v>
      </c>
      <c r="E451" s="30" t="s">
        <v>2676</v>
      </c>
      <c r="F451" s="28" t="s">
        <v>2677</v>
      </c>
      <c r="I451" s="32"/>
      <c r="J451" s="32"/>
      <c r="K451" s="33" t="s">
        <v>2674</v>
      </c>
      <c r="L451" s="33" t="s">
        <v>2678</v>
      </c>
      <c r="N451" s="33" t="s">
        <v>2674</v>
      </c>
      <c r="O451" s="35" t="s">
        <v>2092</v>
      </c>
    </row>
    <row r="452">
      <c r="A452" s="38"/>
      <c r="B452" s="28" t="s">
        <v>2679</v>
      </c>
      <c r="C452" s="28" t="s">
        <v>2680</v>
      </c>
      <c r="D452" s="29" t="s">
        <v>2681</v>
      </c>
      <c r="E452" s="30"/>
      <c r="F452" s="28" t="s">
        <v>2682</v>
      </c>
      <c r="I452" s="32"/>
      <c r="J452" s="32"/>
      <c r="K452" s="33" t="s">
        <v>2679</v>
      </c>
      <c r="L452" s="33" t="s">
        <v>2683</v>
      </c>
      <c r="N452" s="33" t="s">
        <v>2679</v>
      </c>
      <c r="O452" s="35" t="s">
        <v>2684</v>
      </c>
    </row>
    <row r="453">
      <c r="A453" s="38"/>
      <c r="B453" s="28" t="s">
        <v>2685</v>
      </c>
      <c r="C453" s="28" t="s">
        <v>2098</v>
      </c>
      <c r="D453" s="29" t="s">
        <v>2686</v>
      </c>
      <c r="E453" s="30"/>
      <c r="F453" s="28" t="s">
        <v>2687</v>
      </c>
      <c r="I453" s="32"/>
      <c r="J453" s="32"/>
      <c r="K453" s="33" t="s">
        <v>2685</v>
      </c>
      <c r="L453" s="33" t="s">
        <v>2688</v>
      </c>
      <c r="N453" s="33" t="s">
        <v>2685</v>
      </c>
      <c r="O453" s="35" t="s">
        <v>2097</v>
      </c>
    </row>
    <row r="454">
      <c r="A454" s="38"/>
      <c r="B454" s="28" t="s">
        <v>2689</v>
      </c>
      <c r="C454" s="28" t="s">
        <v>2109</v>
      </c>
      <c r="D454" s="29" t="s">
        <v>2690</v>
      </c>
      <c r="E454" s="30"/>
      <c r="F454" s="28" t="s">
        <v>2691</v>
      </c>
      <c r="I454" s="32"/>
      <c r="J454" s="32"/>
      <c r="K454" s="33" t="s">
        <v>2689</v>
      </c>
      <c r="L454" s="33" t="s">
        <v>2692</v>
      </c>
      <c r="N454" s="33" t="s">
        <v>2689</v>
      </c>
      <c r="O454" s="35" t="s">
        <v>2108</v>
      </c>
    </row>
    <row r="455">
      <c r="A455" s="38"/>
      <c r="B455" s="28" t="s">
        <v>2693</v>
      </c>
      <c r="C455" s="28" t="s">
        <v>2694</v>
      </c>
      <c r="D455" s="29" t="s">
        <v>2695</v>
      </c>
      <c r="E455" s="30" t="s">
        <v>2696</v>
      </c>
      <c r="F455" s="28" t="s">
        <v>2697</v>
      </c>
      <c r="I455" s="32"/>
      <c r="J455" s="32"/>
      <c r="K455" s="33" t="s">
        <v>2693</v>
      </c>
      <c r="L455" s="33" t="s">
        <v>2698</v>
      </c>
      <c r="N455" s="33" t="s">
        <v>2693</v>
      </c>
      <c r="O455" s="47" t="s">
        <v>2699</v>
      </c>
    </row>
    <row r="456">
      <c r="A456" s="38"/>
      <c r="B456" s="28" t="s">
        <v>2700</v>
      </c>
      <c r="C456" s="28" t="s">
        <v>2118</v>
      </c>
      <c r="D456" s="29" t="s">
        <v>2701</v>
      </c>
      <c r="E456" s="30" t="s">
        <v>2702</v>
      </c>
      <c r="F456" s="28" t="s">
        <v>2703</v>
      </c>
      <c r="I456" s="32"/>
      <c r="J456" s="32"/>
      <c r="K456" s="33" t="s">
        <v>2700</v>
      </c>
      <c r="L456" s="33" t="s">
        <v>2704</v>
      </c>
      <c r="N456" s="33" t="s">
        <v>2700</v>
      </c>
      <c r="O456" s="35"/>
    </row>
    <row r="457">
      <c r="A457" s="38"/>
      <c r="B457" s="28" t="s">
        <v>2705</v>
      </c>
      <c r="C457" s="28" t="s">
        <v>2706</v>
      </c>
      <c r="D457" s="29" t="s">
        <v>2707</v>
      </c>
      <c r="E457" s="30" t="s">
        <v>2708</v>
      </c>
      <c r="F457" s="28" t="s">
        <v>2709</v>
      </c>
      <c r="I457" s="32"/>
      <c r="J457" s="32"/>
      <c r="K457" s="33" t="s">
        <v>2705</v>
      </c>
      <c r="L457" s="33" t="s">
        <v>2710</v>
      </c>
      <c r="N457" s="33" t="s">
        <v>2705</v>
      </c>
      <c r="O457" s="35" t="s">
        <v>2711</v>
      </c>
    </row>
    <row r="458">
      <c r="A458" s="38"/>
      <c r="B458" s="28" t="s">
        <v>2712</v>
      </c>
      <c r="C458" s="28" t="s">
        <v>2713</v>
      </c>
      <c r="D458" s="29" t="s">
        <v>2714</v>
      </c>
      <c r="E458" s="30" t="s">
        <v>2715</v>
      </c>
      <c r="F458" s="28" t="s">
        <v>2716</v>
      </c>
      <c r="I458" s="32"/>
      <c r="J458" s="32"/>
      <c r="K458" s="33" t="s">
        <v>2712</v>
      </c>
      <c r="L458" s="33" t="s">
        <v>2717</v>
      </c>
      <c r="N458" s="33" t="s">
        <v>2712</v>
      </c>
      <c r="O458" s="47" t="s">
        <v>2718</v>
      </c>
    </row>
    <row r="459">
      <c r="A459" s="38"/>
      <c r="B459" s="28" t="s">
        <v>2719</v>
      </c>
      <c r="C459" s="28" t="s">
        <v>2720</v>
      </c>
      <c r="D459" s="29" t="s">
        <v>2721</v>
      </c>
      <c r="E459" s="30" t="s">
        <v>2722</v>
      </c>
      <c r="F459" s="28" t="s">
        <v>2723</v>
      </c>
      <c r="I459" s="32"/>
      <c r="J459" s="32"/>
      <c r="K459" s="33" t="s">
        <v>2719</v>
      </c>
      <c r="L459" s="33" t="s">
        <v>2724</v>
      </c>
      <c r="N459" s="33" t="s">
        <v>2719</v>
      </c>
      <c r="O459" s="35"/>
    </row>
    <row r="460">
      <c r="A460" s="38"/>
      <c r="B460" s="28" t="s">
        <v>2725</v>
      </c>
      <c r="C460" s="28" t="s">
        <v>2726</v>
      </c>
      <c r="D460" s="29" t="s">
        <v>2727</v>
      </c>
      <c r="E460" s="30"/>
      <c r="F460" s="28" t="s">
        <v>2728</v>
      </c>
      <c r="I460" s="32"/>
      <c r="J460" s="32"/>
      <c r="K460" s="33" t="s">
        <v>2725</v>
      </c>
      <c r="L460" s="33" t="s">
        <v>2729</v>
      </c>
      <c r="N460" s="33" t="s">
        <v>2725</v>
      </c>
      <c r="O460" s="47" t="s">
        <v>2730</v>
      </c>
    </row>
    <row r="461">
      <c r="A461" s="38"/>
      <c r="B461" s="28" t="s">
        <v>2731</v>
      </c>
      <c r="C461" s="28" t="s">
        <v>2732</v>
      </c>
      <c r="D461" s="29" t="s">
        <v>2733</v>
      </c>
      <c r="E461" s="30" t="s">
        <v>2734</v>
      </c>
      <c r="F461" s="28" t="s">
        <v>2735</v>
      </c>
      <c r="I461" s="32"/>
      <c r="J461" s="32"/>
      <c r="K461" s="33" t="s">
        <v>2731</v>
      </c>
      <c r="L461" s="33" t="s">
        <v>2736</v>
      </c>
      <c r="N461" s="33" t="s">
        <v>2731</v>
      </c>
      <c r="O461" s="35" t="s">
        <v>2737</v>
      </c>
    </row>
    <row r="462">
      <c r="A462" s="38"/>
      <c r="B462" s="28" t="s">
        <v>2738</v>
      </c>
      <c r="C462" s="28" t="s">
        <v>2127</v>
      </c>
      <c r="D462" s="29" t="s">
        <v>2739</v>
      </c>
      <c r="E462" s="30" t="s">
        <v>2740</v>
      </c>
      <c r="F462" s="28" t="s">
        <v>2741</v>
      </c>
      <c r="I462" s="32"/>
      <c r="J462" s="32"/>
      <c r="K462" s="33" t="s">
        <v>2738</v>
      </c>
      <c r="L462" s="33" t="s">
        <v>2742</v>
      </c>
      <c r="N462" s="33" t="s">
        <v>2738</v>
      </c>
      <c r="O462" s="35" t="s">
        <v>2126</v>
      </c>
    </row>
    <row r="463">
      <c r="A463" s="38"/>
      <c r="B463" s="28" t="s">
        <v>2743</v>
      </c>
      <c r="C463" s="28" t="s">
        <v>2744</v>
      </c>
      <c r="D463" s="29" t="s">
        <v>2745</v>
      </c>
      <c r="E463" s="30"/>
      <c r="F463" s="28" t="s">
        <v>2746</v>
      </c>
      <c r="I463" s="32"/>
      <c r="J463" s="32"/>
      <c r="K463" s="33" t="s">
        <v>2743</v>
      </c>
      <c r="L463" s="33" t="s">
        <v>2747</v>
      </c>
      <c r="N463" s="33" t="s">
        <v>2743</v>
      </c>
      <c r="O463" s="35" t="s">
        <v>2748</v>
      </c>
    </row>
    <row r="464">
      <c r="A464" s="38"/>
      <c r="B464" s="28" t="s">
        <v>2749</v>
      </c>
      <c r="C464" s="28" t="s">
        <v>2148</v>
      </c>
      <c r="D464" s="29" t="s">
        <v>2750</v>
      </c>
      <c r="E464" s="30" t="s">
        <v>2751</v>
      </c>
      <c r="F464" s="28" t="s">
        <v>2752</v>
      </c>
      <c r="I464" s="32"/>
      <c r="J464" s="32"/>
      <c r="K464" s="33" t="s">
        <v>2749</v>
      </c>
      <c r="L464" s="33" t="s">
        <v>2753</v>
      </c>
      <c r="N464" s="33" t="s">
        <v>2749</v>
      </c>
      <c r="O464" s="35" t="s">
        <v>2147</v>
      </c>
    </row>
    <row r="465">
      <c r="A465" s="38"/>
      <c r="B465" s="28" t="s">
        <v>2754</v>
      </c>
      <c r="C465" s="28" t="s">
        <v>2154</v>
      </c>
      <c r="D465" s="29" t="s">
        <v>2755</v>
      </c>
      <c r="E465" s="30" t="s">
        <v>2756</v>
      </c>
      <c r="F465" s="28" t="s">
        <v>2757</v>
      </c>
      <c r="I465" s="32"/>
      <c r="J465" s="32"/>
      <c r="K465" s="33" t="s">
        <v>2754</v>
      </c>
      <c r="L465" s="33" t="s">
        <v>2758</v>
      </c>
      <c r="N465" s="33" t="s">
        <v>2754</v>
      </c>
      <c r="O465" s="35" t="s">
        <v>2153</v>
      </c>
    </row>
    <row r="466">
      <c r="A466" s="38"/>
      <c r="B466" s="28" t="s">
        <v>2759</v>
      </c>
      <c r="C466" s="28" t="s">
        <v>2760</v>
      </c>
      <c r="D466" s="29" t="s">
        <v>2761</v>
      </c>
      <c r="E466" s="30" t="s">
        <v>2762</v>
      </c>
      <c r="F466" s="28" t="s">
        <v>2763</v>
      </c>
      <c r="I466" s="32"/>
      <c r="J466" s="32"/>
      <c r="K466" s="33" t="s">
        <v>2759</v>
      </c>
      <c r="L466" s="33" t="s">
        <v>2764</v>
      </c>
      <c r="N466" s="33" t="s">
        <v>2759</v>
      </c>
      <c r="O466" s="35"/>
    </row>
    <row r="467">
      <c r="A467" s="38"/>
      <c r="B467" s="28" t="s">
        <v>2765</v>
      </c>
      <c r="C467" s="28" t="s">
        <v>2766</v>
      </c>
      <c r="D467" s="29" t="s">
        <v>2767</v>
      </c>
      <c r="E467" s="30" t="s">
        <v>2768</v>
      </c>
      <c r="F467" s="28" t="s">
        <v>2769</v>
      </c>
      <c r="I467" s="32"/>
      <c r="J467" s="32"/>
      <c r="K467" s="33" t="s">
        <v>2765</v>
      </c>
      <c r="L467" s="33" t="s">
        <v>2770</v>
      </c>
      <c r="N467" s="33" t="s">
        <v>2765</v>
      </c>
      <c r="O467" s="35" t="s">
        <v>2153</v>
      </c>
    </row>
    <row r="468">
      <c r="A468" s="38"/>
      <c r="B468" s="28" t="s">
        <v>2771</v>
      </c>
      <c r="C468" s="28" t="s">
        <v>2159</v>
      </c>
      <c r="D468" s="29" t="s">
        <v>2772</v>
      </c>
      <c r="E468" s="30" t="s">
        <v>2773</v>
      </c>
      <c r="F468" s="28" t="s">
        <v>2774</v>
      </c>
      <c r="I468" s="32"/>
      <c r="J468" s="32"/>
      <c r="K468" s="33" t="s">
        <v>2771</v>
      </c>
      <c r="L468" s="33" t="s">
        <v>2775</v>
      </c>
      <c r="N468" s="33" t="s">
        <v>2771</v>
      </c>
      <c r="O468" s="35" t="s">
        <v>2158</v>
      </c>
    </row>
    <row r="469">
      <c r="A469" s="38"/>
      <c r="B469" s="28" t="s">
        <v>2776</v>
      </c>
      <c r="C469" s="28" t="s">
        <v>2169</v>
      </c>
      <c r="D469" s="29" t="s">
        <v>2777</v>
      </c>
      <c r="E469" s="30"/>
      <c r="F469" s="28" t="s">
        <v>2778</v>
      </c>
      <c r="I469" s="32"/>
      <c r="J469" s="32"/>
      <c r="K469" s="33" t="s">
        <v>2776</v>
      </c>
      <c r="L469" s="33" t="s">
        <v>2779</v>
      </c>
      <c r="N469" s="33" t="s">
        <v>2776</v>
      </c>
      <c r="O469" s="47" t="s">
        <v>2780</v>
      </c>
    </row>
    <row r="470">
      <c r="A470" s="38"/>
      <c r="B470" s="28" t="s">
        <v>2781</v>
      </c>
      <c r="C470" s="28" t="s">
        <v>2782</v>
      </c>
      <c r="D470" s="29" t="s">
        <v>2783</v>
      </c>
      <c r="E470" s="30" t="s">
        <v>2784</v>
      </c>
      <c r="F470" s="28" t="s">
        <v>2785</v>
      </c>
      <c r="I470" s="32"/>
      <c r="J470" s="32"/>
      <c r="K470" s="33" t="s">
        <v>2781</v>
      </c>
      <c r="L470" s="33" t="s">
        <v>2786</v>
      </c>
      <c r="N470" s="33" t="s">
        <v>2781</v>
      </c>
      <c r="O470" s="35" t="s">
        <v>2787</v>
      </c>
    </row>
    <row r="471">
      <c r="A471" s="38"/>
      <c r="B471" s="28" t="s">
        <v>2788</v>
      </c>
      <c r="C471" s="28" t="s">
        <v>2789</v>
      </c>
      <c r="D471" s="29" t="s">
        <v>2790</v>
      </c>
      <c r="E471" s="30" t="s">
        <v>2791</v>
      </c>
      <c r="F471" s="28" t="s">
        <v>2792</v>
      </c>
      <c r="I471" s="32"/>
      <c r="J471" s="32"/>
      <c r="K471" s="33" t="s">
        <v>2788</v>
      </c>
      <c r="L471" s="33" t="s">
        <v>2793</v>
      </c>
      <c r="N471" s="33" t="s">
        <v>2788</v>
      </c>
      <c r="O471" s="47" t="s">
        <v>2794</v>
      </c>
    </row>
    <row r="472">
      <c r="A472" s="38"/>
      <c r="B472" s="28" t="s">
        <v>2795</v>
      </c>
      <c r="C472" s="28" t="s">
        <v>2182</v>
      </c>
      <c r="D472" s="29" t="s">
        <v>2796</v>
      </c>
      <c r="E472" s="30" t="s">
        <v>2797</v>
      </c>
      <c r="F472" s="28" t="s">
        <v>2798</v>
      </c>
      <c r="I472" s="32"/>
      <c r="J472" s="32"/>
      <c r="K472" s="33" t="s">
        <v>2795</v>
      </c>
      <c r="L472" s="33" t="s">
        <v>2799</v>
      </c>
      <c r="N472" s="33" t="s">
        <v>2795</v>
      </c>
      <c r="O472" s="35" t="s">
        <v>2181</v>
      </c>
    </row>
    <row r="473">
      <c r="A473" s="38"/>
      <c r="B473" s="28" t="s">
        <v>2800</v>
      </c>
      <c r="C473" s="28" t="s">
        <v>2193</v>
      </c>
      <c r="D473" s="29" t="s">
        <v>2801</v>
      </c>
      <c r="E473" s="30" t="s">
        <v>2802</v>
      </c>
      <c r="F473" s="28" t="s">
        <v>2803</v>
      </c>
      <c r="I473" s="32"/>
      <c r="J473" s="32"/>
      <c r="K473" s="33" t="s">
        <v>2800</v>
      </c>
      <c r="L473" s="33" t="s">
        <v>2804</v>
      </c>
      <c r="N473" s="33" t="s">
        <v>2800</v>
      </c>
      <c r="O473" s="35"/>
    </row>
    <row r="474">
      <c r="A474" s="38"/>
      <c r="B474" s="28" t="s">
        <v>2805</v>
      </c>
      <c r="C474" s="28" t="s">
        <v>2198</v>
      </c>
      <c r="D474" s="29" t="s">
        <v>2806</v>
      </c>
      <c r="E474" s="30"/>
      <c r="F474" s="28" t="s">
        <v>2807</v>
      </c>
      <c r="I474" s="32"/>
      <c r="J474" s="32"/>
      <c r="K474" s="33" t="s">
        <v>2805</v>
      </c>
      <c r="L474" s="33" t="s">
        <v>2808</v>
      </c>
      <c r="N474" s="33" t="s">
        <v>2805</v>
      </c>
      <c r="O474" s="35" t="s">
        <v>2197</v>
      </c>
    </row>
    <row r="475">
      <c r="A475" s="38"/>
      <c r="B475" s="28" t="s">
        <v>2809</v>
      </c>
      <c r="C475" s="28" t="s">
        <v>2810</v>
      </c>
      <c r="D475" s="29" t="s">
        <v>2811</v>
      </c>
      <c r="E475" s="30" t="s">
        <v>2812</v>
      </c>
      <c r="F475" s="28" t="s">
        <v>2813</v>
      </c>
      <c r="I475" s="32"/>
      <c r="J475" s="32"/>
      <c r="K475" s="33" t="s">
        <v>2809</v>
      </c>
      <c r="L475" s="33" t="s">
        <v>2814</v>
      </c>
      <c r="N475" s="33" t="s">
        <v>2809</v>
      </c>
      <c r="O475" s="35" t="s">
        <v>2815</v>
      </c>
    </row>
    <row r="476">
      <c r="A476" s="38"/>
      <c r="B476" s="28" t="s">
        <v>2816</v>
      </c>
      <c r="C476" s="28" t="s">
        <v>2817</v>
      </c>
      <c r="D476" s="29" t="s">
        <v>2818</v>
      </c>
      <c r="E476" s="30" t="s">
        <v>2819</v>
      </c>
      <c r="F476" s="28" t="s">
        <v>2820</v>
      </c>
      <c r="I476" s="32"/>
      <c r="J476" s="32"/>
      <c r="K476" s="33" t="s">
        <v>2816</v>
      </c>
      <c r="L476" s="33" t="s">
        <v>2821</v>
      </c>
      <c r="N476" s="33" t="s">
        <v>2816</v>
      </c>
      <c r="O476" s="35"/>
    </row>
    <row r="477">
      <c r="A477" s="38"/>
      <c r="B477" s="28" t="s">
        <v>2822</v>
      </c>
      <c r="C477" s="28" t="s">
        <v>2823</v>
      </c>
      <c r="D477" s="29" t="s">
        <v>2824</v>
      </c>
      <c r="E477" s="30"/>
      <c r="F477" s="28" t="s">
        <v>2825</v>
      </c>
      <c r="I477" s="32"/>
      <c r="J477" s="32"/>
      <c r="K477" s="33" t="s">
        <v>2822</v>
      </c>
      <c r="L477" s="33" t="s">
        <v>2826</v>
      </c>
      <c r="N477" s="33" t="s">
        <v>2822</v>
      </c>
      <c r="O477" s="47" t="s">
        <v>2827</v>
      </c>
    </row>
    <row r="478">
      <c r="A478" s="38"/>
      <c r="B478" s="28" t="s">
        <v>2828</v>
      </c>
      <c r="C478" s="28" t="s">
        <v>2217</v>
      </c>
      <c r="D478" s="29" t="s">
        <v>2829</v>
      </c>
      <c r="E478" s="30" t="s">
        <v>2830</v>
      </c>
      <c r="F478" s="28" t="s">
        <v>2831</v>
      </c>
      <c r="I478" s="32"/>
      <c r="J478" s="32"/>
      <c r="K478" s="33" t="s">
        <v>2828</v>
      </c>
      <c r="L478" s="33" t="s">
        <v>2832</v>
      </c>
      <c r="N478" s="33" t="s">
        <v>2828</v>
      </c>
      <c r="O478" s="35"/>
    </row>
    <row r="479">
      <c r="A479" s="38"/>
      <c r="B479" s="28" t="s">
        <v>2833</v>
      </c>
      <c r="C479" s="28" t="s">
        <v>2228</v>
      </c>
      <c r="D479" s="29" t="s">
        <v>2834</v>
      </c>
      <c r="E479" s="30" t="s">
        <v>2835</v>
      </c>
      <c r="F479" s="28" t="s">
        <v>2836</v>
      </c>
      <c r="I479" s="32"/>
      <c r="J479" s="32"/>
      <c r="K479" s="33" t="s">
        <v>2833</v>
      </c>
      <c r="L479" s="33" t="s">
        <v>2837</v>
      </c>
      <c r="N479" s="33" t="s">
        <v>2833</v>
      </c>
      <c r="O479" s="35" t="s">
        <v>2227</v>
      </c>
    </row>
    <row r="480">
      <c r="A480" s="38"/>
      <c r="B480" s="28" t="s">
        <v>2838</v>
      </c>
      <c r="C480" s="28" t="s">
        <v>2246</v>
      </c>
      <c r="D480" s="29" t="s">
        <v>2839</v>
      </c>
      <c r="E480" s="30" t="s">
        <v>2840</v>
      </c>
      <c r="F480" s="28" t="s">
        <v>2841</v>
      </c>
      <c r="I480" s="32"/>
      <c r="J480" s="32"/>
      <c r="K480" s="33" t="s">
        <v>2838</v>
      </c>
      <c r="L480" s="33" t="s">
        <v>2842</v>
      </c>
      <c r="N480" s="33" t="s">
        <v>2838</v>
      </c>
      <c r="O480" s="35" t="s">
        <v>2245</v>
      </c>
    </row>
    <row r="481">
      <c r="A481" s="38"/>
      <c r="B481" s="28" t="s">
        <v>2843</v>
      </c>
      <c r="C481" s="28" t="s">
        <v>2844</v>
      </c>
      <c r="D481" s="29" t="s">
        <v>2845</v>
      </c>
      <c r="E481" s="30" t="s">
        <v>2840</v>
      </c>
      <c r="F481" s="28" t="s">
        <v>2846</v>
      </c>
      <c r="I481" s="32"/>
      <c r="J481" s="32"/>
      <c r="K481" s="33" t="s">
        <v>2843</v>
      </c>
      <c r="L481" s="33" t="s">
        <v>2847</v>
      </c>
      <c r="N481" s="33" t="s">
        <v>2843</v>
      </c>
      <c r="O481" s="35" t="s">
        <v>2848</v>
      </c>
    </row>
    <row r="482">
      <c r="A482" s="38"/>
      <c r="B482" s="28" t="s">
        <v>2849</v>
      </c>
      <c r="C482" s="28" t="s">
        <v>2850</v>
      </c>
      <c r="D482" s="29" t="s">
        <v>2851</v>
      </c>
      <c r="E482" s="30"/>
      <c r="F482" s="28" t="s">
        <v>2852</v>
      </c>
      <c r="I482" s="32"/>
      <c r="J482" s="32"/>
      <c r="K482" s="33" t="s">
        <v>2849</v>
      </c>
      <c r="L482" s="33" t="s">
        <v>2853</v>
      </c>
      <c r="N482" s="33" t="s">
        <v>2849</v>
      </c>
      <c r="O482" s="35" t="s">
        <v>2854</v>
      </c>
    </row>
    <row r="483">
      <c r="A483" s="38"/>
      <c r="B483" s="28" t="s">
        <v>2855</v>
      </c>
      <c r="C483" s="28" t="s">
        <v>2856</v>
      </c>
      <c r="D483" s="29" t="s">
        <v>2857</v>
      </c>
      <c r="E483" s="30" t="s">
        <v>2858</v>
      </c>
      <c r="F483" s="28" t="s">
        <v>2859</v>
      </c>
      <c r="I483" s="32"/>
      <c r="J483" s="32"/>
      <c r="K483" s="33" t="s">
        <v>2855</v>
      </c>
      <c r="L483" s="33" t="s">
        <v>2860</v>
      </c>
      <c r="N483" s="33" t="s">
        <v>2855</v>
      </c>
      <c r="O483" s="35" t="s">
        <v>2861</v>
      </c>
    </row>
    <row r="484">
      <c r="A484" s="38"/>
      <c r="B484" s="28" t="s">
        <v>2862</v>
      </c>
      <c r="C484" s="28" t="s">
        <v>2257</v>
      </c>
      <c r="D484" s="29" t="s">
        <v>2863</v>
      </c>
      <c r="E484" s="30" t="s">
        <v>2864</v>
      </c>
      <c r="F484" s="28" t="s">
        <v>2865</v>
      </c>
      <c r="I484" s="32"/>
      <c r="J484" s="32"/>
      <c r="K484" s="33" t="s">
        <v>2862</v>
      </c>
      <c r="L484" s="33" t="s">
        <v>2866</v>
      </c>
      <c r="N484" s="33" t="s">
        <v>2862</v>
      </c>
      <c r="O484" s="35" t="s">
        <v>2256</v>
      </c>
    </row>
    <row r="485">
      <c r="A485" s="38"/>
      <c r="B485" s="28" t="s">
        <v>2867</v>
      </c>
      <c r="C485" s="28" t="s">
        <v>2263</v>
      </c>
      <c r="D485" s="29" t="s">
        <v>2868</v>
      </c>
      <c r="E485" s="30" t="s">
        <v>2869</v>
      </c>
      <c r="F485" s="28" t="s">
        <v>2870</v>
      </c>
      <c r="I485" s="32"/>
      <c r="J485" s="32"/>
      <c r="K485" s="33" t="s">
        <v>2867</v>
      </c>
      <c r="L485" s="33" t="s">
        <v>2871</v>
      </c>
      <c r="N485" s="33" t="s">
        <v>2867</v>
      </c>
      <c r="O485" s="35" t="s">
        <v>2262</v>
      </c>
    </row>
    <row r="486">
      <c r="A486" s="38"/>
      <c r="B486" s="28" t="s">
        <v>2872</v>
      </c>
      <c r="C486" s="28" t="s">
        <v>2281</v>
      </c>
      <c r="D486" s="29" t="s">
        <v>2873</v>
      </c>
      <c r="E486" s="30"/>
      <c r="F486" s="28" t="s">
        <v>2874</v>
      </c>
      <c r="I486" s="32"/>
      <c r="J486" s="32"/>
      <c r="K486" s="33" t="s">
        <v>2872</v>
      </c>
      <c r="L486" s="33" t="s">
        <v>2875</v>
      </c>
      <c r="N486" s="33" t="s">
        <v>2872</v>
      </c>
      <c r="O486" s="35" t="s">
        <v>2280</v>
      </c>
    </row>
    <row r="487">
      <c r="A487" s="38"/>
      <c r="B487" s="28" t="s">
        <v>2876</v>
      </c>
      <c r="C487" s="28" t="s">
        <v>2293</v>
      </c>
      <c r="D487" s="29" t="s">
        <v>2877</v>
      </c>
      <c r="E487" s="30" t="s">
        <v>2878</v>
      </c>
      <c r="F487" s="28" t="s">
        <v>2879</v>
      </c>
      <c r="I487" s="32"/>
      <c r="J487" s="32"/>
      <c r="K487" s="33" t="s">
        <v>2876</v>
      </c>
      <c r="L487" s="33" t="s">
        <v>2880</v>
      </c>
      <c r="N487" s="33" t="s">
        <v>2876</v>
      </c>
      <c r="O487" s="35" t="s">
        <v>2292</v>
      </c>
    </row>
    <row r="488">
      <c r="A488" s="38"/>
      <c r="B488" s="28" t="s">
        <v>2881</v>
      </c>
      <c r="C488" s="28" t="s">
        <v>2882</v>
      </c>
      <c r="D488" s="29" t="s">
        <v>2883</v>
      </c>
      <c r="E488" s="30" t="s">
        <v>2884</v>
      </c>
      <c r="F488" s="28" t="s">
        <v>2885</v>
      </c>
      <c r="I488" s="32"/>
      <c r="J488" s="32"/>
      <c r="K488" s="33" t="s">
        <v>2881</v>
      </c>
      <c r="L488" s="33" t="s">
        <v>2886</v>
      </c>
      <c r="N488" s="33" t="s">
        <v>2881</v>
      </c>
      <c r="O488" s="35"/>
    </row>
    <row r="489">
      <c r="A489" s="38"/>
      <c r="B489" s="28" t="s">
        <v>2887</v>
      </c>
      <c r="C489" s="28" t="s">
        <v>2299</v>
      </c>
      <c r="D489" s="29" t="s">
        <v>2888</v>
      </c>
      <c r="E489" s="30"/>
      <c r="F489" s="28" t="s">
        <v>2889</v>
      </c>
      <c r="I489" s="32"/>
      <c r="J489" s="32"/>
      <c r="K489" s="33" t="s">
        <v>2887</v>
      </c>
      <c r="L489" s="33" t="s">
        <v>2890</v>
      </c>
      <c r="N489" s="33" t="s">
        <v>2887</v>
      </c>
      <c r="O489" s="35" t="s">
        <v>2298</v>
      </c>
    </row>
    <row r="490">
      <c r="A490" s="38"/>
      <c r="B490" s="28" t="s">
        <v>2891</v>
      </c>
      <c r="C490" s="28" t="s">
        <v>2892</v>
      </c>
      <c r="D490" s="29" t="s">
        <v>2893</v>
      </c>
      <c r="E490" s="30"/>
      <c r="F490" s="28" t="s">
        <v>2894</v>
      </c>
      <c r="I490" s="32"/>
      <c r="J490" s="32"/>
      <c r="K490" s="33" t="s">
        <v>2891</v>
      </c>
      <c r="L490" s="33" t="s">
        <v>2895</v>
      </c>
      <c r="N490" s="33" t="s">
        <v>2891</v>
      </c>
      <c r="O490" s="35" t="s">
        <v>2896</v>
      </c>
    </row>
    <row r="491">
      <c r="A491" s="38"/>
      <c r="B491" s="28" t="s">
        <v>2897</v>
      </c>
      <c r="C491" s="28" t="s">
        <v>2314</v>
      </c>
      <c r="D491" s="29" t="s">
        <v>2898</v>
      </c>
      <c r="E491" s="30" t="s">
        <v>2899</v>
      </c>
      <c r="F491" s="28" t="s">
        <v>2900</v>
      </c>
      <c r="I491" s="32"/>
      <c r="J491" s="32"/>
      <c r="K491" s="33" t="s">
        <v>2897</v>
      </c>
      <c r="L491" s="33" t="s">
        <v>2901</v>
      </c>
      <c r="N491" s="33" t="s">
        <v>2897</v>
      </c>
      <c r="O491" s="35" t="s">
        <v>2313</v>
      </c>
    </row>
    <row r="492">
      <c r="A492" s="38"/>
      <c r="B492" s="28" t="s">
        <v>2902</v>
      </c>
      <c r="C492" s="28" t="s">
        <v>2903</v>
      </c>
      <c r="D492" s="29" t="s">
        <v>2904</v>
      </c>
      <c r="E492" s="30" t="s">
        <v>2905</v>
      </c>
      <c r="F492" s="28" t="s">
        <v>2906</v>
      </c>
      <c r="I492" s="32"/>
      <c r="J492" s="32"/>
      <c r="K492" s="33" t="s">
        <v>2902</v>
      </c>
      <c r="L492" s="33" t="s">
        <v>2907</v>
      </c>
      <c r="N492" s="33" t="s">
        <v>2902</v>
      </c>
      <c r="O492" s="35" t="s">
        <v>2908</v>
      </c>
    </row>
    <row r="493">
      <c r="A493" s="38"/>
      <c r="B493" s="28" t="s">
        <v>2909</v>
      </c>
      <c r="C493" s="28" t="s">
        <v>2318</v>
      </c>
      <c r="D493" s="29" t="s">
        <v>2910</v>
      </c>
      <c r="E493" s="30"/>
      <c r="F493" s="28" t="s">
        <v>2911</v>
      </c>
      <c r="I493" s="32"/>
      <c r="J493" s="32"/>
      <c r="K493" s="33" t="s">
        <v>2909</v>
      </c>
      <c r="L493" s="33" t="s">
        <v>2912</v>
      </c>
      <c r="N493" s="33" t="s">
        <v>2909</v>
      </c>
      <c r="O493" s="35"/>
    </row>
    <row r="494">
      <c r="A494" s="38"/>
      <c r="B494" s="28" t="s">
        <v>2913</v>
      </c>
      <c r="C494" s="28" t="s">
        <v>2914</v>
      </c>
      <c r="D494" s="29" t="s">
        <v>2915</v>
      </c>
      <c r="E494" s="30" t="s">
        <v>2916</v>
      </c>
      <c r="F494" s="28" t="s">
        <v>2917</v>
      </c>
      <c r="I494" s="32"/>
      <c r="J494" s="32"/>
      <c r="K494" s="33" t="s">
        <v>2913</v>
      </c>
      <c r="L494" s="33" t="s">
        <v>2918</v>
      </c>
      <c r="N494" s="33" t="s">
        <v>2913</v>
      </c>
      <c r="O494" s="35" t="s">
        <v>2919</v>
      </c>
    </row>
    <row r="495">
      <c r="A495" s="38"/>
      <c r="B495" s="28" t="s">
        <v>2920</v>
      </c>
      <c r="C495" s="28" t="s">
        <v>2334</v>
      </c>
      <c r="D495" s="29" t="s">
        <v>2921</v>
      </c>
      <c r="E495" s="30" t="s">
        <v>2922</v>
      </c>
      <c r="F495" s="28" t="s">
        <v>2923</v>
      </c>
      <c r="I495" s="32"/>
      <c r="J495" s="32"/>
      <c r="K495" s="33" t="s">
        <v>2920</v>
      </c>
      <c r="L495" s="33" t="s">
        <v>2924</v>
      </c>
      <c r="N495" s="33" t="s">
        <v>2920</v>
      </c>
      <c r="O495" s="35"/>
    </row>
    <row r="496">
      <c r="A496" s="38"/>
      <c r="B496" s="28" t="s">
        <v>2925</v>
      </c>
      <c r="C496" s="28" t="s">
        <v>2339</v>
      </c>
      <c r="D496" s="29" t="s">
        <v>2926</v>
      </c>
      <c r="E496" s="30" t="s">
        <v>2927</v>
      </c>
      <c r="F496" s="28" t="s">
        <v>2928</v>
      </c>
      <c r="I496" s="32"/>
      <c r="J496" s="32"/>
      <c r="K496" s="33" t="s">
        <v>2925</v>
      </c>
      <c r="L496" s="33" t="s">
        <v>2929</v>
      </c>
      <c r="N496" s="33" t="s">
        <v>2925</v>
      </c>
      <c r="O496" s="35" t="s">
        <v>2338</v>
      </c>
    </row>
    <row r="497">
      <c r="A497" s="38"/>
      <c r="B497" s="28" t="s">
        <v>2930</v>
      </c>
      <c r="C497" s="28" t="s">
        <v>2345</v>
      </c>
      <c r="D497" s="29" t="s">
        <v>2931</v>
      </c>
      <c r="E497" s="30" t="s">
        <v>2932</v>
      </c>
      <c r="F497" s="28" t="s">
        <v>2933</v>
      </c>
      <c r="I497" s="32"/>
      <c r="J497" s="32"/>
      <c r="K497" s="33" t="s">
        <v>2930</v>
      </c>
      <c r="L497" s="33" t="s">
        <v>2934</v>
      </c>
      <c r="N497" s="33" t="s">
        <v>2930</v>
      </c>
      <c r="O497" s="35" t="s">
        <v>2344</v>
      </c>
    </row>
    <row r="498">
      <c r="A498" s="38"/>
      <c r="B498" s="28" t="s">
        <v>2935</v>
      </c>
      <c r="C498" s="28" t="s">
        <v>2362</v>
      </c>
      <c r="D498" s="29" t="s">
        <v>2936</v>
      </c>
      <c r="E498" s="30"/>
      <c r="F498" s="28" t="s">
        <v>2937</v>
      </c>
      <c r="I498" s="32"/>
      <c r="J498" s="32"/>
      <c r="K498" s="33" t="s">
        <v>2935</v>
      </c>
      <c r="L498" s="33" t="s">
        <v>2938</v>
      </c>
      <c r="N498" s="33" t="s">
        <v>2935</v>
      </c>
      <c r="O498" s="47" t="s">
        <v>2939</v>
      </c>
    </row>
    <row r="499">
      <c r="A499" s="38"/>
      <c r="B499" s="28" t="s">
        <v>2940</v>
      </c>
      <c r="C499" s="28" t="s">
        <v>2369</v>
      </c>
      <c r="D499" s="29" t="s">
        <v>2941</v>
      </c>
      <c r="E499" s="30"/>
      <c r="F499" s="28" t="s">
        <v>2942</v>
      </c>
      <c r="I499" s="32"/>
      <c r="J499" s="32"/>
      <c r="K499" s="33" t="s">
        <v>2940</v>
      </c>
      <c r="L499" s="33" t="s">
        <v>2943</v>
      </c>
      <c r="N499" s="33" t="s">
        <v>2940</v>
      </c>
      <c r="O499" s="35" t="s">
        <v>2368</v>
      </c>
    </row>
    <row r="500">
      <c r="A500" s="38"/>
      <c r="B500" s="28" t="s">
        <v>2944</v>
      </c>
      <c r="C500" s="28" t="s">
        <v>2945</v>
      </c>
      <c r="D500" s="29" t="s">
        <v>2946</v>
      </c>
      <c r="E500" s="30" t="s">
        <v>530</v>
      </c>
      <c r="F500" s="28" t="s">
        <v>2947</v>
      </c>
      <c r="I500" s="32"/>
      <c r="J500" s="32"/>
      <c r="K500" s="33" t="s">
        <v>2944</v>
      </c>
      <c r="L500" s="33" t="s">
        <v>2948</v>
      </c>
      <c r="N500" s="33" t="s">
        <v>2944</v>
      </c>
      <c r="O500" s="35" t="s">
        <v>763</v>
      </c>
    </row>
    <row r="501">
      <c r="A501" s="38"/>
      <c r="B501" s="28" t="s">
        <v>2949</v>
      </c>
      <c r="C501" s="28" t="s">
        <v>2383</v>
      </c>
      <c r="D501" s="29" t="s">
        <v>2950</v>
      </c>
      <c r="E501" s="30" t="s">
        <v>530</v>
      </c>
      <c r="F501" s="28" t="s">
        <v>2951</v>
      </c>
      <c r="I501" s="32"/>
      <c r="J501" s="32"/>
      <c r="K501" s="33" t="s">
        <v>2949</v>
      </c>
      <c r="L501" s="33" t="s">
        <v>2952</v>
      </c>
      <c r="N501" s="33" t="s">
        <v>2949</v>
      </c>
      <c r="O501" s="35" t="s">
        <v>2382</v>
      </c>
    </row>
    <row r="502">
      <c r="A502" s="38"/>
      <c r="B502" s="28" t="s">
        <v>2953</v>
      </c>
      <c r="C502" s="28" t="s">
        <v>2389</v>
      </c>
      <c r="D502" s="29" t="s">
        <v>2954</v>
      </c>
      <c r="E502" s="30" t="s">
        <v>2955</v>
      </c>
      <c r="F502" s="28" t="s">
        <v>2956</v>
      </c>
      <c r="I502" s="32"/>
      <c r="J502" s="32"/>
      <c r="K502" s="33" t="s">
        <v>2953</v>
      </c>
      <c r="L502" s="33" t="s">
        <v>2957</v>
      </c>
      <c r="N502" s="33" t="s">
        <v>2953</v>
      </c>
      <c r="O502" s="35" t="s">
        <v>2388</v>
      </c>
    </row>
    <row r="503">
      <c r="A503" s="38"/>
      <c r="B503" s="28" t="s">
        <v>2958</v>
      </c>
      <c r="C503" s="28" t="s">
        <v>2395</v>
      </c>
      <c r="D503" s="29" t="s">
        <v>2959</v>
      </c>
      <c r="E503" s="30" t="s">
        <v>2960</v>
      </c>
      <c r="F503" s="28" t="s">
        <v>2961</v>
      </c>
      <c r="I503" s="32"/>
      <c r="J503" s="32"/>
      <c r="K503" s="33" t="s">
        <v>2958</v>
      </c>
      <c r="L503" s="33" t="s">
        <v>2962</v>
      </c>
      <c r="N503" s="33" t="s">
        <v>2958</v>
      </c>
      <c r="O503" s="35" t="s">
        <v>2394</v>
      </c>
    </row>
    <row r="504">
      <c r="A504" s="38"/>
      <c r="B504" s="28" t="s">
        <v>2963</v>
      </c>
      <c r="C504" s="28" t="s">
        <v>2964</v>
      </c>
      <c r="D504" s="29" t="s">
        <v>2965</v>
      </c>
      <c r="E504" s="30" t="s">
        <v>2966</v>
      </c>
      <c r="F504" s="28" t="s">
        <v>2967</v>
      </c>
      <c r="I504" s="32"/>
      <c r="J504" s="32"/>
      <c r="K504" s="33" t="s">
        <v>2963</v>
      </c>
      <c r="L504" s="33" t="s">
        <v>2968</v>
      </c>
      <c r="N504" s="33" t="s">
        <v>2963</v>
      </c>
      <c r="O504" s="35"/>
    </row>
    <row r="505">
      <c r="A505" s="38"/>
      <c r="B505" s="28" t="s">
        <v>2969</v>
      </c>
      <c r="C505" s="28" t="s">
        <v>2970</v>
      </c>
      <c r="D505" s="29" t="s">
        <v>2971</v>
      </c>
      <c r="E505" s="30" t="s">
        <v>2972</v>
      </c>
      <c r="F505" s="28" t="s">
        <v>2973</v>
      </c>
      <c r="I505" s="32"/>
      <c r="J505" s="32"/>
      <c r="K505" s="33" t="s">
        <v>2969</v>
      </c>
      <c r="L505" s="33" t="s">
        <v>2974</v>
      </c>
      <c r="N505" s="33" t="s">
        <v>2969</v>
      </c>
      <c r="O505" s="35"/>
    </row>
    <row r="506">
      <c r="A506" s="38"/>
      <c r="B506" s="28" t="s">
        <v>2975</v>
      </c>
      <c r="C506" s="28" t="s">
        <v>2400</v>
      </c>
      <c r="D506" s="29" t="s">
        <v>2976</v>
      </c>
      <c r="E506" s="30" t="s">
        <v>2977</v>
      </c>
      <c r="F506" s="28" t="s">
        <v>2978</v>
      </c>
      <c r="I506" s="32"/>
      <c r="J506" s="32"/>
      <c r="K506" s="33" t="s">
        <v>2975</v>
      </c>
      <c r="L506" s="33" t="s">
        <v>2979</v>
      </c>
      <c r="N506" s="33" t="s">
        <v>2975</v>
      </c>
      <c r="O506" s="47" t="s">
        <v>2980</v>
      </c>
    </row>
    <row r="507">
      <c r="A507" s="38"/>
      <c r="B507" s="28" t="s">
        <v>2981</v>
      </c>
      <c r="C507" s="28" t="s">
        <v>2405</v>
      </c>
      <c r="D507" s="29" t="s">
        <v>2982</v>
      </c>
      <c r="E507" s="30" t="s">
        <v>2983</v>
      </c>
      <c r="F507" s="28" t="s">
        <v>2984</v>
      </c>
      <c r="I507" s="32"/>
      <c r="J507" s="32"/>
      <c r="K507" s="33" t="s">
        <v>2981</v>
      </c>
      <c r="L507" s="33" t="s">
        <v>2985</v>
      </c>
      <c r="N507" s="33" t="s">
        <v>2981</v>
      </c>
      <c r="O507" s="35" t="s">
        <v>2404</v>
      </c>
    </row>
    <row r="508">
      <c r="A508" s="38"/>
      <c r="B508" s="28" t="s">
        <v>2986</v>
      </c>
      <c r="C508" s="28" t="s">
        <v>2410</v>
      </c>
      <c r="D508" s="29" t="s">
        <v>2987</v>
      </c>
      <c r="E508" s="30" t="s">
        <v>2988</v>
      </c>
      <c r="F508" s="28" t="s">
        <v>2989</v>
      </c>
      <c r="I508" s="32"/>
      <c r="J508" s="32"/>
      <c r="K508" s="33" t="s">
        <v>2986</v>
      </c>
      <c r="L508" s="33" t="s">
        <v>2990</v>
      </c>
      <c r="N508" s="33" t="s">
        <v>2986</v>
      </c>
      <c r="O508" s="35" t="s">
        <v>2409</v>
      </c>
    </row>
    <row r="509">
      <c r="A509" s="38"/>
      <c r="B509" s="28" t="s">
        <v>2991</v>
      </c>
      <c r="C509" s="28" t="s">
        <v>2426</v>
      </c>
      <c r="D509" s="29" t="s">
        <v>2992</v>
      </c>
      <c r="E509" s="59" t="s">
        <v>2993</v>
      </c>
      <c r="F509" s="28" t="s">
        <v>2994</v>
      </c>
      <c r="I509" s="32"/>
      <c r="J509" s="32"/>
      <c r="K509" s="33" t="s">
        <v>2991</v>
      </c>
      <c r="L509" s="33" t="s">
        <v>2995</v>
      </c>
      <c r="N509" s="33" t="s">
        <v>2991</v>
      </c>
      <c r="O509" s="35" t="s">
        <v>2425</v>
      </c>
    </row>
    <row r="510">
      <c r="A510" s="38"/>
      <c r="B510" s="28" t="s">
        <v>2996</v>
      </c>
      <c r="C510" s="28" t="s">
        <v>2437</v>
      </c>
      <c r="D510" s="29" t="s">
        <v>2997</v>
      </c>
      <c r="E510" s="54" t="s">
        <v>2998</v>
      </c>
      <c r="F510" s="28" t="s">
        <v>2999</v>
      </c>
      <c r="I510" s="32"/>
      <c r="J510" s="32"/>
      <c r="K510" s="33" t="s">
        <v>2996</v>
      </c>
      <c r="L510" s="33" t="s">
        <v>3000</v>
      </c>
      <c r="N510" s="33" t="s">
        <v>2996</v>
      </c>
      <c r="O510" s="35" t="s">
        <v>2113</v>
      </c>
    </row>
    <row r="511">
      <c r="A511" s="38"/>
      <c r="B511" s="28" t="s">
        <v>3001</v>
      </c>
      <c r="C511" s="28" t="s">
        <v>3002</v>
      </c>
      <c r="D511" s="29" t="s">
        <v>3003</v>
      </c>
      <c r="E511" s="30" t="s">
        <v>3004</v>
      </c>
      <c r="F511" s="28" t="s">
        <v>3005</v>
      </c>
      <c r="I511" s="32"/>
      <c r="J511" s="32"/>
      <c r="K511" s="33" t="s">
        <v>3001</v>
      </c>
      <c r="L511" s="33" t="s">
        <v>3006</v>
      </c>
      <c r="N511" s="33" t="s">
        <v>3001</v>
      </c>
      <c r="O511" s="47" t="s">
        <v>3007</v>
      </c>
    </row>
    <row r="512">
      <c r="A512" s="38"/>
      <c r="B512" s="28" t="s">
        <v>3008</v>
      </c>
      <c r="C512" s="28" t="s">
        <v>2462</v>
      </c>
      <c r="D512" s="29" t="s">
        <v>3009</v>
      </c>
      <c r="E512" s="30" t="s">
        <v>3010</v>
      </c>
      <c r="F512" s="28" t="s">
        <v>3011</v>
      </c>
      <c r="I512" s="32"/>
      <c r="J512" s="32"/>
      <c r="K512" s="33" t="s">
        <v>3008</v>
      </c>
      <c r="L512" s="33" t="s">
        <v>3012</v>
      </c>
      <c r="N512" s="33" t="s">
        <v>3008</v>
      </c>
      <c r="O512" s="35"/>
    </row>
    <row r="513">
      <c r="A513" s="38"/>
      <c r="B513" s="28" t="s">
        <v>3013</v>
      </c>
      <c r="C513" s="28" t="s">
        <v>3014</v>
      </c>
      <c r="D513" s="29" t="s">
        <v>3015</v>
      </c>
      <c r="E513" s="30" t="s">
        <v>3016</v>
      </c>
      <c r="F513" s="28" t="s">
        <v>3017</v>
      </c>
      <c r="I513" s="32"/>
      <c r="J513" s="32"/>
      <c r="K513" s="33" t="s">
        <v>3013</v>
      </c>
      <c r="L513" s="33" t="s">
        <v>3018</v>
      </c>
      <c r="N513" s="33" t="s">
        <v>3013</v>
      </c>
      <c r="O513" s="47" t="s">
        <v>3019</v>
      </c>
    </row>
    <row r="514">
      <c r="A514" s="38"/>
      <c r="B514" s="28" t="s">
        <v>3020</v>
      </c>
      <c r="C514" s="28" t="s">
        <v>3021</v>
      </c>
      <c r="D514" s="29" t="s">
        <v>3022</v>
      </c>
      <c r="E514" s="30" t="s">
        <v>3023</v>
      </c>
      <c r="F514" s="28" t="s">
        <v>3024</v>
      </c>
      <c r="I514" s="32"/>
      <c r="J514" s="32"/>
      <c r="K514" s="33" t="s">
        <v>3020</v>
      </c>
      <c r="L514" s="33" t="s">
        <v>3025</v>
      </c>
      <c r="N514" s="33" t="s">
        <v>3020</v>
      </c>
      <c r="O514" s="35" t="s">
        <v>3026</v>
      </c>
    </row>
    <row r="515">
      <c r="A515" s="38"/>
      <c r="B515" s="28" t="s">
        <v>3027</v>
      </c>
      <c r="C515" s="28" t="s">
        <v>2468</v>
      </c>
      <c r="D515" s="29" t="s">
        <v>3028</v>
      </c>
      <c r="E515" s="30"/>
      <c r="F515" s="28" t="s">
        <v>3029</v>
      </c>
      <c r="I515" s="32"/>
      <c r="J515" s="32"/>
      <c r="K515" s="33" t="s">
        <v>3027</v>
      </c>
      <c r="L515" s="33" t="s">
        <v>3030</v>
      </c>
      <c r="N515" s="33" t="s">
        <v>3027</v>
      </c>
      <c r="O515" s="35" t="s">
        <v>2467</v>
      </c>
    </row>
    <row r="516">
      <c r="A516" s="38"/>
      <c r="B516" s="28" t="s">
        <v>3031</v>
      </c>
      <c r="C516" s="28" t="s">
        <v>3032</v>
      </c>
      <c r="D516" s="29" t="s">
        <v>3033</v>
      </c>
      <c r="E516" s="30"/>
      <c r="F516" s="28" t="s">
        <v>3034</v>
      </c>
      <c r="I516" s="32"/>
      <c r="J516" s="32"/>
      <c r="K516" s="33" t="s">
        <v>3031</v>
      </c>
      <c r="L516" s="33" t="s">
        <v>3035</v>
      </c>
      <c r="N516" s="33" t="s">
        <v>3031</v>
      </c>
      <c r="O516" s="35"/>
    </row>
    <row r="517">
      <c r="A517" s="38"/>
      <c r="B517" s="28" t="s">
        <v>3036</v>
      </c>
      <c r="C517" s="28" t="s">
        <v>3037</v>
      </c>
      <c r="D517" s="29" t="s">
        <v>3038</v>
      </c>
      <c r="E517" s="54" t="s">
        <v>3039</v>
      </c>
      <c r="F517" s="28" t="s">
        <v>3040</v>
      </c>
      <c r="I517" s="32"/>
      <c r="J517" s="32"/>
      <c r="K517" s="33" t="s">
        <v>3036</v>
      </c>
      <c r="L517" s="33" t="s">
        <v>3041</v>
      </c>
      <c r="N517" s="33" t="s">
        <v>3036</v>
      </c>
      <c r="O517" s="35"/>
    </row>
    <row r="518">
      <c r="A518" s="38"/>
      <c r="B518" s="28" t="s">
        <v>3042</v>
      </c>
      <c r="C518" s="28" t="s">
        <v>2482</v>
      </c>
      <c r="D518" s="29" t="s">
        <v>3043</v>
      </c>
      <c r="E518" s="54" t="s">
        <v>3044</v>
      </c>
      <c r="F518" s="28" t="s">
        <v>3045</v>
      </c>
      <c r="I518" s="32"/>
      <c r="J518" s="32"/>
      <c r="K518" s="33" t="s">
        <v>3042</v>
      </c>
      <c r="L518" s="33" t="s">
        <v>3046</v>
      </c>
      <c r="N518" s="33" t="s">
        <v>3042</v>
      </c>
      <c r="O518" s="35" t="s">
        <v>2481</v>
      </c>
    </row>
    <row r="519">
      <c r="A519" s="38"/>
      <c r="B519" s="28" t="s">
        <v>3047</v>
      </c>
      <c r="C519" s="28" t="s">
        <v>2487</v>
      </c>
      <c r="D519" s="29" t="s">
        <v>3048</v>
      </c>
      <c r="E519" s="30" t="s">
        <v>3049</v>
      </c>
      <c r="F519" s="28" t="s">
        <v>3050</v>
      </c>
      <c r="I519" s="32"/>
      <c r="J519" s="32"/>
      <c r="K519" s="33" t="s">
        <v>3047</v>
      </c>
      <c r="L519" s="33" t="s">
        <v>3051</v>
      </c>
      <c r="N519" s="33" t="s">
        <v>3047</v>
      </c>
      <c r="O519" s="35" t="s">
        <v>2486</v>
      </c>
    </row>
    <row r="520">
      <c r="A520" s="38"/>
      <c r="B520" s="28" t="s">
        <v>3052</v>
      </c>
      <c r="C520" s="28" t="s">
        <v>3053</v>
      </c>
      <c r="D520" s="29" t="s">
        <v>3054</v>
      </c>
      <c r="E520" s="30"/>
      <c r="F520" s="28" t="s">
        <v>3055</v>
      </c>
      <c r="I520" s="32"/>
      <c r="J520" s="32"/>
      <c r="K520" s="33" t="s">
        <v>3052</v>
      </c>
      <c r="L520" s="33" t="s">
        <v>3056</v>
      </c>
      <c r="N520" s="33" t="s">
        <v>3052</v>
      </c>
      <c r="O520" s="47" t="s">
        <v>3057</v>
      </c>
    </row>
    <row r="521">
      <c r="A521" s="38"/>
      <c r="B521" s="28" t="s">
        <v>3058</v>
      </c>
      <c r="C521" s="28" t="s">
        <v>2498</v>
      </c>
      <c r="D521" s="29" t="s">
        <v>3059</v>
      </c>
      <c r="E521" s="30" t="s">
        <v>3060</v>
      </c>
      <c r="F521" s="28" t="s">
        <v>3061</v>
      </c>
      <c r="I521" s="32"/>
      <c r="J521" s="32"/>
      <c r="K521" s="33" t="s">
        <v>3058</v>
      </c>
      <c r="L521" s="33" t="s">
        <v>3062</v>
      </c>
      <c r="N521" s="33" t="s">
        <v>3058</v>
      </c>
      <c r="O521" s="35" t="s">
        <v>2497</v>
      </c>
    </row>
    <row r="522">
      <c r="A522" s="38"/>
      <c r="B522" s="28" t="s">
        <v>3063</v>
      </c>
      <c r="C522" s="28" t="s">
        <v>2503</v>
      </c>
      <c r="D522" s="29" t="s">
        <v>3064</v>
      </c>
      <c r="E522" s="30"/>
      <c r="F522" s="28" t="s">
        <v>3065</v>
      </c>
      <c r="I522" s="32"/>
      <c r="J522" s="32"/>
      <c r="K522" s="33" t="s">
        <v>3063</v>
      </c>
      <c r="L522" s="33" t="s">
        <v>3066</v>
      </c>
      <c r="N522" s="33" t="s">
        <v>3063</v>
      </c>
      <c r="O522" s="35" t="s">
        <v>2502</v>
      </c>
    </row>
    <row r="523">
      <c r="A523" s="38"/>
      <c r="B523" s="28" t="s">
        <v>3067</v>
      </c>
      <c r="C523" s="28" t="s">
        <v>2507</v>
      </c>
      <c r="D523" s="29" t="s">
        <v>3068</v>
      </c>
      <c r="E523" s="54" t="s">
        <v>3069</v>
      </c>
      <c r="F523" s="28" t="s">
        <v>3070</v>
      </c>
      <c r="I523" s="32"/>
      <c r="J523" s="32"/>
      <c r="K523" s="33" t="s">
        <v>3067</v>
      </c>
      <c r="L523" s="33" t="s">
        <v>3071</v>
      </c>
      <c r="N523" s="33" t="s">
        <v>3067</v>
      </c>
      <c r="O523" s="35"/>
    </row>
    <row r="524">
      <c r="A524" s="38"/>
      <c r="B524" s="28" t="s">
        <v>3072</v>
      </c>
      <c r="C524" s="28" t="s">
        <v>3073</v>
      </c>
      <c r="D524" s="29" t="s">
        <v>3074</v>
      </c>
      <c r="E524" s="30" t="s">
        <v>3075</v>
      </c>
      <c r="F524" s="28" t="s">
        <v>3076</v>
      </c>
      <c r="I524" s="32"/>
      <c r="J524" s="32"/>
      <c r="K524" s="33" t="s">
        <v>3072</v>
      </c>
      <c r="L524" s="33" t="s">
        <v>3077</v>
      </c>
      <c r="N524" s="33" t="s">
        <v>3072</v>
      </c>
      <c r="O524" s="35"/>
    </row>
    <row r="525">
      <c r="A525" s="38"/>
      <c r="B525" s="28" t="s">
        <v>3078</v>
      </c>
      <c r="C525" s="28" t="s">
        <v>2512</v>
      </c>
      <c r="D525" s="60" t="s">
        <v>3079</v>
      </c>
      <c r="E525" s="30"/>
      <c r="F525" s="28" t="s">
        <v>3080</v>
      </c>
      <c r="I525" s="32"/>
      <c r="J525" s="32"/>
      <c r="K525" s="33" t="s">
        <v>3078</v>
      </c>
      <c r="L525" s="33" t="s">
        <v>3081</v>
      </c>
      <c r="N525" s="33" t="s">
        <v>3078</v>
      </c>
      <c r="O525" s="35" t="s">
        <v>1891</v>
      </c>
    </row>
    <row r="526">
      <c r="A526" s="38"/>
      <c r="B526" s="28" t="s">
        <v>3082</v>
      </c>
      <c r="C526" s="28" t="s">
        <v>3083</v>
      </c>
      <c r="D526" s="29" t="s">
        <v>3084</v>
      </c>
      <c r="E526" s="30" t="s">
        <v>3085</v>
      </c>
      <c r="F526" s="28" t="s">
        <v>3086</v>
      </c>
      <c r="I526" s="32"/>
      <c r="J526" s="32"/>
      <c r="K526" s="33" t="s">
        <v>3082</v>
      </c>
      <c r="L526" s="33" t="s">
        <v>3087</v>
      </c>
      <c r="N526" s="33" t="s">
        <v>3082</v>
      </c>
      <c r="O526" s="35"/>
    </row>
    <row r="527">
      <c r="A527" s="38"/>
      <c r="B527" s="28" t="s">
        <v>3088</v>
      </c>
      <c r="C527" s="28" t="s">
        <v>2518</v>
      </c>
      <c r="D527" s="29" t="s">
        <v>3089</v>
      </c>
      <c r="E527" s="30" t="s">
        <v>3090</v>
      </c>
      <c r="F527" s="28" t="s">
        <v>3091</v>
      </c>
      <c r="I527" s="32"/>
      <c r="J527" s="32"/>
      <c r="K527" s="33" t="s">
        <v>3088</v>
      </c>
      <c r="L527" s="33" t="s">
        <v>3092</v>
      </c>
      <c r="N527" s="33" t="s">
        <v>3088</v>
      </c>
      <c r="O527" s="35" t="s">
        <v>2517</v>
      </c>
    </row>
    <row r="528">
      <c r="A528" s="38"/>
      <c r="B528" s="28" t="s">
        <v>3093</v>
      </c>
      <c r="C528" s="28" t="s">
        <v>3094</v>
      </c>
      <c r="D528" s="29" t="s">
        <v>3095</v>
      </c>
      <c r="E528" s="30" t="s">
        <v>3096</v>
      </c>
      <c r="F528" s="28" t="s">
        <v>3097</v>
      </c>
      <c r="I528" s="32"/>
      <c r="J528" s="32"/>
      <c r="K528" s="33" t="s">
        <v>3093</v>
      </c>
      <c r="L528" s="33" t="s">
        <v>3098</v>
      </c>
      <c r="N528" s="33" t="s">
        <v>3093</v>
      </c>
      <c r="O528" s="35" t="s">
        <v>3099</v>
      </c>
    </row>
    <row r="529">
      <c r="A529" s="38"/>
      <c r="B529" s="28" t="s">
        <v>3100</v>
      </c>
      <c r="C529" s="28" t="s">
        <v>2535</v>
      </c>
      <c r="D529" s="29" t="s">
        <v>3101</v>
      </c>
      <c r="E529" s="30"/>
      <c r="F529" s="28" t="s">
        <v>3102</v>
      </c>
      <c r="I529" s="32"/>
      <c r="J529" s="32"/>
      <c r="K529" s="33" t="s">
        <v>3100</v>
      </c>
      <c r="L529" s="33" t="s">
        <v>3103</v>
      </c>
      <c r="N529" s="33" t="s">
        <v>3100</v>
      </c>
      <c r="O529" s="35" t="s">
        <v>2534</v>
      </c>
    </row>
    <row r="530">
      <c r="A530" s="38"/>
      <c r="B530" s="28" t="s">
        <v>3104</v>
      </c>
      <c r="C530" s="28" t="s">
        <v>2540</v>
      </c>
      <c r="D530" s="29" t="s">
        <v>3105</v>
      </c>
      <c r="E530" s="30"/>
      <c r="F530" s="28" t="s">
        <v>326</v>
      </c>
      <c r="I530" s="32"/>
      <c r="J530" s="32"/>
      <c r="K530" s="33" t="s">
        <v>3104</v>
      </c>
      <c r="L530" s="33" t="s">
        <v>3106</v>
      </c>
      <c r="N530" s="33" t="s">
        <v>3104</v>
      </c>
      <c r="O530" s="35" t="s">
        <v>2539</v>
      </c>
    </row>
    <row r="531">
      <c r="A531" s="38"/>
      <c r="B531" s="28" t="s">
        <v>3107</v>
      </c>
      <c r="C531" s="28" t="s">
        <v>2545</v>
      </c>
      <c r="D531" s="29" t="s">
        <v>3108</v>
      </c>
      <c r="E531" s="30" t="s">
        <v>3109</v>
      </c>
      <c r="F531" s="28" t="s">
        <v>3110</v>
      </c>
      <c r="I531" s="32"/>
      <c r="J531" s="32"/>
      <c r="K531" s="33" t="s">
        <v>3107</v>
      </c>
      <c r="L531" s="33" t="s">
        <v>3111</v>
      </c>
      <c r="N531" s="33" t="s">
        <v>3107</v>
      </c>
      <c r="O531" s="35" t="s">
        <v>2539</v>
      </c>
    </row>
    <row r="532">
      <c r="A532" s="38"/>
      <c r="B532" s="28" t="s">
        <v>3112</v>
      </c>
      <c r="C532" s="28" t="s">
        <v>3113</v>
      </c>
      <c r="D532" s="29" t="s">
        <v>3114</v>
      </c>
      <c r="E532" s="30"/>
      <c r="F532" s="28" t="s">
        <v>3115</v>
      </c>
      <c r="I532" s="32"/>
      <c r="J532" s="32"/>
      <c r="K532" s="33" t="s">
        <v>3112</v>
      </c>
      <c r="L532" s="33" t="s">
        <v>3116</v>
      </c>
      <c r="N532" s="33" t="s">
        <v>3112</v>
      </c>
      <c r="O532" s="35" t="s">
        <v>3117</v>
      </c>
    </row>
    <row r="533">
      <c r="A533" s="38"/>
      <c r="B533" s="28" t="s">
        <v>3118</v>
      </c>
      <c r="C533" s="28" t="s">
        <v>3119</v>
      </c>
      <c r="D533" s="29" t="s">
        <v>3120</v>
      </c>
      <c r="E533" s="30" t="s">
        <v>3121</v>
      </c>
      <c r="F533" s="28" t="s">
        <v>3122</v>
      </c>
      <c r="I533" s="32"/>
      <c r="J533" s="32"/>
      <c r="K533" s="33" t="s">
        <v>3118</v>
      </c>
      <c r="L533" s="33" t="s">
        <v>3123</v>
      </c>
      <c r="N533" s="33" t="s">
        <v>3118</v>
      </c>
      <c r="O533" s="35"/>
    </row>
    <row r="534">
      <c r="A534" s="38"/>
      <c r="B534" s="28" t="s">
        <v>3124</v>
      </c>
      <c r="C534" s="28" t="s">
        <v>2560</v>
      </c>
      <c r="D534" s="29" t="s">
        <v>3125</v>
      </c>
      <c r="E534" s="30" t="s">
        <v>3126</v>
      </c>
      <c r="F534" s="28" t="s">
        <v>3127</v>
      </c>
      <c r="I534" s="32"/>
      <c r="J534" s="32"/>
      <c r="K534" s="33" t="s">
        <v>3124</v>
      </c>
      <c r="L534" s="33" t="s">
        <v>3128</v>
      </c>
      <c r="N534" s="33" t="s">
        <v>3124</v>
      </c>
      <c r="O534" s="35" t="s">
        <v>2559</v>
      </c>
    </row>
    <row r="535">
      <c r="A535" s="38"/>
      <c r="B535" s="28" t="s">
        <v>3129</v>
      </c>
      <c r="C535" s="28" t="s">
        <v>3130</v>
      </c>
      <c r="D535" s="29" t="s">
        <v>3131</v>
      </c>
      <c r="E535" s="30"/>
      <c r="F535" s="28" t="s">
        <v>3132</v>
      </c>
      <c r="I535" s="32"/>
      <c r="J535" s="32"/>
      <c r="K535" s="33" t="s">
        <v>3129</v>
      </c>
      <c r="L535" s="33" t="s">
        <v>3133</v>
      </c>
      <c r="N535" s="33" t="s">
        <v>3129</v>
      </c>
      <c r="O535" s="35"/>
    </row>
    <row r="536">
      <c r="A536" s="38"/>
      <c r="B536" s="28" t="s">
        <v>3134</v>
      </c>
      <c r="C536" s="28" t="s">
        <v>3135</v>
      </c>
      <c r="D536" s="29" t="s">
        <v>3136</v>
      </c>
      <c r="E536" s="30" t="s">
        <v>3126</v>
      </c>
      <c r="F536" s="28" t="s">
        <v>3137</v>
      </c>
      <c r="I536" s="32"/>
      <c r="J536" s="32"/>
      <c r="K536" s="33" t="s">
        <v>3134</v>
      </c>
      <c r="L536" s="33" t="s">
        <v>3138</v>
      </c>
      <c r="N536" s="33" t="s">
        <v>3134</v>
      </c>
      <c r="O536" s="35"/>
    </row>
    <row r="537">
      <c r="A537" s="38"/>
      <c r="B537" s="28" t="s">
        <v>3139</v>
      </c>
      <c r="C537" s="28" t="s">
        <v>2576</v>
      </c>
      <c r="D537" s="29" t="s">
        <v>3140</v>
      </c>
      <c r="E537" s="30" t="s">
        <v>3141</v>
      </c>
      <c r="F537" s="28" t="s">
        <v>3142</v>
      </c>
      <c r="I537" s="32"/>
      <c r="J537" s="32"/>
      <c r="K537" s="33" t="s">
        <v>3139</v>
      </c>
      <c r="L537" s="33" t="s">
        <v>3143</v>
      </c>
      <c r="N537" s="33" t="s">
        <v>3139</v>
      </c>
      <c r="O537" s="35"/>
    </row>
    <row r="538">
      <c r="A538" s="38"/>
      <c r="B538" s="28" t="s">
        <v>3144</v>
      </c>
      <c r="C538" s="28" t="s">
        <v>3145</v>
      </c>
      <c r="D538" s="29" t="s">
        <v>3146</v>
      </c>
      <c r="E538" s="30" t="s">
        <v>3147</v>
      </c>
      <c r="F538" s="28" t="s">
        <v>3148</v>
      </c>
      <c r="I538" s="32"/>
      <c r="J538" s="32"/>
      <c r="K538" s="33" t="s">
        <v>3144</v>
      </c>
      <c r="L538" s="33" t="s">
        <v>3149</v>
      </c>
      <c r="N538" s="33" t="s">
        <v>3144</v>
      </c>
      <c r="O538" s="35" t="s">
        <v>3150</v>
      </c>
    </row>
    <row r="539">
      <c r="A539" s="38"/>
      <c r="B539" s="28" t="s">
        <v>3151</v>
      </c>
      <c r="C539" s="28" t="s">
        <v>2581</v>
      </c>
      <c r="D539" s="29" t="s">
        <v>3152</v>
      </c>
      <c r="E539" s="30"/>
      <c r="F539" s="28" t="s">
        <v>3153</v>
      </c>
      <c r="I539" s="32"/>
      <c r="J539" s="32"/>
      <c r="K539" s="33" t="s">
        <v>3151</v>
      </c>
      <c r="L539" s="33" t="s">
        <v>3154</v>
      </c>
      <c r="N539" s="33" t="s">
        <v>3151</v>
      </c>
      <c r="O539" s="35" t="s">
        <v>2580</v>
      </c>
    </row>
    <row r="540">
      <c r="A540" s="38"/>
      <c r="B540" s="28" t="s">
        <v>3155</v>
      </c>
      <c r="C540" s="28" t="s">
        <v>2586</v>
      </c>
      <c r="D540" s="29" t="s">
        <v>3156</v>
      </c>
      <c r="E540" s="30" t="s">
        <v>3157</v>
      </c>
      <c r="F540" s="28" t="s">
        <v>3158</v>
      </c>
      <c r="I540" s="32"/>
      <c r="J540" s="32"/>
      <c r="K540" s="33" t="s">
        <v>3155</v>
      </c>
      <c r="L540" s="33" t="s">
        <v>3159</v>
      </c>
      <c r="N540" s="33" t="s">
        <v>3155</v>
      </c>
      <c r="O540" s="35" t="s">
        <v>2585</v>
      </c>
    </row>
    <row r="541">
      <c r="A541" s="38"/>
      <c r="B541" s="28" t="s">
        <v>3160</v>
      </c>
      <c r="C541" s="28" t="s">
        <v>2591</v>
      </c>
      <c r="D541" s="29" t="s">
        <v>3161</v>
      </c>
      <c r="E541" s="30" t="s">
        <v>3162</v>
      </c>
      <c r="F541" s="28" t="s">
        <v>3163</v>
      </c>
      <c r="I541" s="32"/>
      <c r="J541" s="32"/>
      <c r="K541" s="33" t="s">
        <v>3160</v>
      </c>
      <c r="L541" s="33" t="s">
        <v>3164</v>
      </c>
      <c r="N541" s="33" t="s">
        <v>3160</v>
      </c>
      <c r="O541" s="35" t="s">
        <v>2590</v>
      </c>
    </row>
    <row r="542">
      <c r="A542" s="38"/>
      <c r="B542" s="28" t="s">
        <v>3165</v>
      </c>
      <c r="C542" s="28" t="s">
        <v>2613</v>
      </c>
      <c r="D542" s="29" t="s">
        <v>3166</v>
      </c>
      <c r="E542" s="54" t="s">
        <v>3167</v>
      </c>
      <c r="F542" s="28" t="s">
        <v>3168</v>
      </c>
      <c r="I542" s="32"/>
      <c r="J542" s="32"/>
      <c r="K542" s="33" t="s">
        <v>3165</v>
      </c>
      <c r="L542" s="33" t="s">
        <v>3169</v>
      </c>
      <c r="N542" s="33" t="s">
        <v>3165</v>
      </c>
      <c r="O542" s="35" t="s">
        <v>2607</v>
      </c>
    </row>
    <row r="543">
      <c r="A543" s="38"/>
      <c r="B543" s="28" t="s">
        <v>3170</v>
      </c>
      <c r="C543" s="28" t="s">
        <v>2619</v>
      </c>
      <c r="D543" s="29" t="s">
        <v>3171</v>
      </c>
      <c r="E543" s="30" t="s">
        <v>3172</v>
      </c>
      <c r="F543" s="28" t="s">
        <v>3173</v>
      </c>
      <c r="I543" s="32"/>
      <c r="J543" s="32"/>
      <c r="K543" s="33" t="s">
        <v>3170</v>
      </c>
      <c r="L543" s="33" t="s">
        <v>3174</v>
      </c>
      <c r="N543" s="33" t="s">
        <v>3170</v>
      </c>
      <c r="O543" s="35"/>
    </row>
    <row r="544">
      <c r="A544" s="38"/>
      <c r="B544" s="28" t="s">
        <v>3175</v>
      </c>
      <c r="C544" s="28" t="s">
        <v>2633</v>
      </c>
      <c r="D544" s="29" t="s">
        <v>3176</v>
      </c>
      <c r="E544" s="30" t="s">
        <v>3177</v>
      </c>
      <c r="F544" s="28" t="s">
        <v>3178</v>
      </c>
      <c r="I544" s="32"/>
      <c r="J544" s="32"/>
      <c r="K544" s="33" t="s">
        <v>3175</v>
      </c>
      <c r="L544" s="33" t="s">
        <v>3179</v>
      </c>
      <c r="N544" s="33" t="s">
        <v>3175</v>
      </c>
      <c r="O544" s="35"/>
    </row>
    <row r="545">
      <c r="A545" s="38"/>
      <c r="B545" s="28" t="s">
        <v>3180</v>
      </c>
      <c r="C545" s="28" t="s">
        <v>3181</v>
      </c>
      <c r="D545" s="29" t="s">
        <v>3182</v>
      </c>
      <c r="E545" s="30" t="s">
        <v>3183</v>
      </c>
      <c r="F545" s="28" t="s">
        <v>3184</v>
      </c>
      <c r="I545" s="32"/>
      <c r="J545" s="32"/>
      <c r="K545" s="33" t="s">
        <v>3180</v>
      </c>
      <c r="L545" s="33" t="s">
        <v>3185</v>
      </c>
      <c r="N545" s="33" t="s">
        <v>3180</v>
      </c>
      <c r="O545" s="35" t="s">
        <v>3186</v>
      </c>
    </row>
    <row r="546">
      <c r="A546" s="38"/>
      <c r="B546" s="28" t="s">
        <v>3187</v>
      </c>
      <c r="C546" s="28" t="s">
        <v>2643</v>
      </c>
      <c r="D546" s="29" t="s">
        <v>3188</v>
      </c>
      <c r="E546" s="30" t="s">
        <v>3189</v>
      </c>
      <c r="F546" s="28" t="s">
        <v>3190</v>
      </c>
      <c r="I546" s="32"/>
      <c r="J546" s="32"/>
      <c r="K546" s="33" t="s">
        <v>3187</v>
      </c>
      <c r="L546" s="33" t="s">
        <v>3191</v>
      </c>
      <c r="N546" s="33" t="s">
        <v>3187</v>
      </c>
      <c r="O546" s="35" t="s">
        <v>2642</v>
      </c>
    </row>
    <row r="547">
      <c r="A547" s="38"/>
      <c r="B547" s="28" t="s">
        <v>3192</v>
      </c>
      <c r="C547" s="28" t="s">
        <v>3193</v>
      </c>
      <c r="D547" s="29" t="s">
        <v>3194</v>
      </c>
      <c r="E547" s="30"/>
      <c r="F547" s="28" t="s">
        <v>3195</v>
      </c>
      <c r="I547" s="32"/>
      <c r="J547" s="32"/>
      <c r="K547" s="33" t="s">
        <v>3192</v>
      </c>
      <c r="L547" s="33" t="s">
        <v>3196</v>
      </c>
      <c r="N547" s="33" t="s">
        <v>3192</v>
      </c>
      <c r="O547" s="35"/>
    </row>
    <row r="548">
      <c r="A548" s="38"/>
      <c r="B548" s="28" t="s">
        <v>3197</v>
      </c>
      <c r="C548" s="28" t="s">
        <v>3198</v>
      </c>
      <c r="D548" s="29" t="s">
        <v>3199</v>
      </c>
      <c r="E548" s="30" t="s">
        <v>3200</v>
      </c>
      <c r="F548" s="28" t="s">
        <v>3201</v>
      </c>
      <c r="I548" s="32"/>
      <c r="J548" s="32"/>
      <c r="K548" s="33" t="s">
        <v>3197</v>
      </c>
      <c r="L548" s="33" t="s">
        <v>3202</v>
      </c>
      <c r="N548" s="33" t="s">
        <v>3197</v>
      </c>
      <c r="O548" s="35" t="s">
        <v>3203</v>
      </c>
    </row>
    <row r="549">
      <c r="A549" s="38"/>
      <c r="B549" s="28" t="s">
        <v>3204</v>
      </c>
      <c r="C549" s="28" t="s">
        <v>3205</v>
      </c>
      <c r="D549" s="29" t="s">
        <v>3206</v>
      </c>
      <c r="E549" s="30" t="s">
        <v>3207</v>
      </c>
      <c r="F549" s="28" t="s">
        <v>3208</v>
      </c>
      <c r="I549" s="32"/>
      <c r="J549" s="32"/>
      <c r="K549" s="33" t="s">
        <v>3204</v>
      </c>
      <c r="L549" s="33" t="s">
        <v>3209</v>
      </c>
      <c r="N549" s="33" t="s">
        <v>3204</v>
      </c>
      <c r="O549" s="47" t="s">
        <v>3210</v>
      </c>
    </row>
    <row r="550">
      <c r="A550" s="38"/>
      <c r="B550" s="28" t="s">
        <v>3211</v>
      </c>
      <c r="C550" s="28" t="s">
        <v>3212</v>
      </c>
      <c r="D550" s="29" t="s">
        <v>3213</v>
      </c>
      <c r="E550" s="30" t="s">
        <v>3214</v>
      </c>
      <c r="F550" s="28" t="s">
        <v>3215</v>
      </c>
      <c r="I550" s="32"/>
      <c r="J550" s="32"/>
      <c r="K550" s="33" t="s">
        <v>3211</v>
      </c>
      <c r="L550" s="33" t="s">
        <v>3216</v>
      </c>
      <c r="N550" s="33" t="s">
        <v>3211</v>
      </c>
      <c r="O550" s="35"/>
    </row>
    <row r="551">
      <c r="A551" s="38"/>
      <c r="B551" s="28" t="s">
        <v>3217</v>
      </c>
      <c r="C551" s="28" t="s">
        <v>2650</v>
      </c>
      <c r="D551" s="29" t="s">
        <v>3218</v>
      </c>
      <c r="E551" s="30" t="s">
        <v>3219</v>
      </c>
      <c r="F551" s="28" t="s">
        <v>3220</v>
      </c>
      <c r="I551" s="32"/>
      <c r="J551" s="32"/>
      <c r="K551" s="33" t="s">
        <v>3217</v>
      </c>
      <c r="L551" s="33" t="s">
        <v>3221</v>
      </c>
      <c r="N551" s="33" t="s">
        <v>3217</v>
      </c>
      <c r="O551" s="35" t="s">
        <v>2649</v>
      </c>
    </row>
    <row r="552">
      <c r="A552" s="38"/>
      <c r="B552" s="28" t="s">
        <v>3222</v>
      </c>
      <c r="C552" s="28" t="s">
        <v>3223</v>
      </c>
      <c r="D552" s="29" t="s">
        <v>3224</v>
      </c>
      <c r="E552" s="30" t="s">
        <v>3225</v>
      </c>
      <c r="F552" s="28" t="s">
        <v>3226</v>
      </c>
      <c r="I552" s="32"/>
      <c r="J552" s="32"/>
      <c r="K552" s="33" t="s">
        <v>3222</v>
      </c>
      <c r="L552" s="33" t="s">
        <v>3227</v>
      </c>
      <c r="N552" s="33" t="s">
        <v>3222</v>
      </c>
      <c r="O552" s="35" t="s">
        <v>3228</v>
      </c>
    </row>
    <row r="553">
      <c r="A553" s="38"/>
      <c r="B553" s="28" t="s">
        <v>3229</v>
      </c>
      <c r="C553" s="28" t="s">
        <v>2656</v>
      </c>
      <c r="D553" s="29" t="s">
        <v>3230</v>
      </c>
      <c r="E553" s="30" t="s">
        <v>3231</v>
      </c>
      <c r="F553" s="28" t="s">
        <v>3232</v>
      </c>
      <c r="I553" s="32"/>
      <c r="J553" s="32"/>
      <c r="K553" s="33" t="s">
        <v>3229</v>
      </c>
      <c r="L553" s="33" t="s">
        <v>3233</v>
      </c>
      <c r="N553" s="33" t="s">
        <v>3229</v>
      </c>
      <c r="O553" s="35" t="s">
        <v>2655</v>
      </c>
    </row>
    <row r="554">
      <c r="A554" s="38"/>
      <c r="B554" s="28" t="s">
        <v>3234</v>
      </c>
      <c r="C554" s="28" t="s">
        <v>2661</v>
      </c>
      <c r="D554" s="29" t="s">
        <v>3235</v>
      </c>
      <c r="E554" s="54" t="s">
        <v>3236</v>
      </c>
      <c r="F554" s="28" t="s">
        <v>3237</v>
      </c>
      <c r="I554" s="32"/>
      <c r="J554" s="32"/>
      <c r="K554" s="33" t="s">
        <v>3234</v>
      </c>
      <c r="L554" s="33" t="s">
        <v>3238</v>
      </c>
      <c r="N554" s="33" t="s">
        <v>3234</v>
      </c>
      <c r="O554" s="35"/>
    </row>
    <row r="555">
      <c r="A555" s="38"/>
      <c r="B555" s="28" t="s">
        <v>3239</v>
      </c>
      <c r="C555" s="28" t="s">
        <v>2667</v>
      </c>
      <c r="D555" s="29" t="s">
        <v>3240</v>
      </c>
      <c r="E555" s="30" t="s">
        <v>3241</v>
      </c>
      <c r="F555" s="28" t="s">
        <v>3242</v>
      </c>
      <c r="I555" s="32"/>
      <c r="J555" s="32"/>
      <c r="K555" s="33" t="s">
        <v>3239</v>
      </c>
      <c r="L555" s="33" t="s">
        <v>3243</v>
      </c>
      <c r="N555" s="33" t="s">
        <v>3239</v>
      </c>
      <c r="O555" s="47" t="s">
        <v>3244</v>
      </c>
    </row>
    <row r="556">
      <c r="A556" s="38"/>
      <c r="B556" s="28" t="s">
        <v>3245</v>
      </c>
      <c r="C556" s="28" t="s">
        <v>3246</v>
      </c>
      <c r="D556" s="29" t="s">
        <v>3247</v>
      </c>
      <c r="E556" s="54" t="s">
        <v>3248</v>
      </c>
      <c r="F556" s="28" t="s">
        <v>3249</v>
      </c>
      <c r="I556" s="32"/>
      <c r="J556" s="32"/>
      <c r="K556" s="33" t="s">
        <v>3245</v>
      </c>
      <c r="L556" s="33" t="s">
        <v>3250</v>
      </c>
      <c r="N556" s="33" t="s">
        <v>3245</v>
      </c>
      <c r="O556" s="35" t="s">
        <v>3251</v>
      </c>
    </row>
    <row r="557">
      <c r="A557" s="38"/>
      <c r="B557" s="28" t="s">
        <v>3252</v>
      </c>
      <c r="C557" s="28" t="s">
        <v>2677</v>
      </c>
      <c r="D557" s="29" t="s">
        <v>3253</v>
      </c>
      <c r="E557" s="30" t="s">
        <v>3254</v>
      </c>
      <c r="F557" s="28" t="s">
        <v>3255</v>
      </c>
      <c r="I557" s="32"/>
      <c r="J557" s="32"/>
      <c r="K557" s="33" t="s">
        <v>3252</v>
      </c>
      <c r="L557" s="33" t="s">
        <v>3256</v>
      </c>
      <c r="N557" s="33" t="s">
        <v>3252</v>
      </c>
      <c r="O557" s="35" t="s">
        <v>2676</v>
      </c>
    </row>
    <row r="558">
      <c r="A558" s="38"/>
      <c r="B558" s="28" t="s">
        <v>3257</v>
      </c>
      <c r="C558" s="28" t="s">
        <v>3258</v>
      </c>
      <c r="D558" s="29" t="s">
        <v>3259</v>
      </c>
      <c r="E558" s="30"/>
      <c r="F558" s="28" t="s">
        <v>3260</v>
      </c>
      <c r="I558" s="32"/>
      <c r="J558" s="32"/>
      <c r="K558" s="33" t="s">
        <v>3257</v>
      </c>
      <c r="L558" s="33" t="s">
        <v>3261</v>
      </c>
      <c r="N558" s="33" t="s">
        <v>3257</v>
      </c>
      <c r="O558" s="35" t="s">
        <v>3262</v>
      </c>
    </row>
    <row r="559">
      <c r="A559" s="38"/>
      <c r="B559" s="28" t="s">
        <v>3263</v>
      </c>
      <c r="C559" s="28" t="s">
        <v>3264</v>
      </c>
      <c r="D559" s="60" t="s">
        <v>3265</v>
      </c>
      <c r="E559" s="30" t="s">
        <v>3266</v>
      </c>
      <c r="F559" s="28" t="s">
        <v>3267</v>
      </c>
      <c r="I559" s="32"/>
      <c r="J559" s="32"/>
      <c r="K559" s="33" t="s">
        <v>3263</v>
      </c>
      <c r="L559" s="33" t="s">
        <v>3268</v>
      </c>
      <c r="N559" s="33" t="s">
        <v>3263</v>
      </c>
      <c r="O559" s="35"/>
    </row>
    <row r="560">
      <c r="A560" s="38"/>
      <c r="B560" s="28" t="s">
        <v>3269</v>
      </c>
      <c r="C560" s="28" t="s">
        <v>2691</v>
      </c>
      <c r="D560" s="29" t="s">
        <v>3270</v>
      </c>
      <c r="E560" s="54" t="s">
        <v>3271</v>
      </c>
      <c r="F560" s="28" t="s">
        <v>3272</v>
      </c>
      <c r="I560" s="32"/>
      <c r="J560" s="32"/>
      <c r="K560" s="33" t="s">
        <v>3269</v>
      </c>
      <c r="L560" s="33" t="s">
        <v>3273</v>
      </c>
      <c r="N560" s="33" t="s">
        <v>3269</v>
      </c>
      <c r="O560" s="47" t="s">
        <v>3274</v>
      </c>
    </row>
    <row r="561">
      <c r="A561" s="38"/>
      <c r="B561" s="28" t="s">
        <v>3275</v>
      </c>
      <c r="C561" s="28" t="s">
        <v>2697</v>
      </c>
      <c r="D561" s="29" t="s">
        <v>3276</v>
      </c>
      <c r="E561" s="30" t="s">
        <v>3277</v>
      </c>
      <c r="F561" s="28" t="s">
        <v>3278</v>
      </c>
      <c r="I561" s="32"/>
      <c r="J561" s="32"/>
      <c r="K561" s="33" t="s">
        <v>3275</v>
      </c>
      <c r="L561" s="33" t="s">
        <v>3279</v>
      </c>
      <c r="N561" s="33" t="s">
        <v>3275</v>
      </c>
      <c r="O561" s="35" t="s">
        <v>2696</v>
      </c>
    </row>
    <row r="562">
      <c r="A562" s="38"/>
      <c r="B562" s="28" t="s">
        <v>3280</v>
      </c>
      <c r="C562" s="28" t="s">
        <v>3281</v>
      </c>
      <c r="D562" s="29" t="s">
        <v>3282</v>
      </c>
      <c r="E562" s="30" t="s">
        <v>3283</v>
      </c>
      <c r="F562" s="28" t="s">
        <v>3284</v>
      </c>
      <c r="I562" s="32"/>
      <c r="J562" s="32"/>
      <c r="K562" s="33" t="s">
        <v>3280</v>
      </c>
      <c r="L562" s="33" t="s">
        <v>3285</v>
      </c>
      <c r="N562" s="33" t="s">
        <v>3280</v>
      </c>
      <c r="O562" s="35" t="s">
        <v>3286</v>
      </c>
    </row>
    <row r="563">
      <c r="A563" s="38"/>
      <c r="B563" s="28" t="s">
        <v>3287</v>
      </c>
      <c r="C563" s="28" t="s">
        <v>2703</v>
      </c>
      <c r="D563" s="29" t="s">
        <v>3288</v>
      </c>
      <c r="E563" s="30" t="s">
        <v>3289</v>
      </c>
      <c r="F563" s="28" t="s">
        <v>3290</v>
      </c>
      <c r="I563" s="32"/>
      <c r="J563" s="32"/>
      <c r="K563" s="33" t="s">
        <v>3287</v>
      </c>
      <c r="L563" s="33" t="s">
        <v>3291</v>
      </c>
      <c r="N563" s="33" t="s">
        <v>3287</v>
      </c>
      <c r="O563" s="35" t="s">
        <v>2702</v>
      </c>
    </row>
    <row r="564">
      <c r="A564" s="38"/>
      <c r="B564" s="28" t="s">
        <v>3292</v>
      </c>
      <c r="C564" s="28" t="s">
        <v>3293</v>
      </c>
      <c r="D564" s="29" t="s">
        <v>3294</v>
      </c>
      <c r="E564" s="30" t="s">
        <v>3295</v>
      </c>
      <c r="F564" s="28" t="s">
        <v>3296</v>
      </c>
      <c r="I564" s="32"/>
      <c r="J564" s="32"/>
      <c r="K564" s="33" t="s">
        <v>3292</v>
      </c>
      <c r="L564" s="33" t="s">
        <v>3297</v>
      </c>
      <c r="N564" s="33" t="s">
        <v>3292</v>
      </c>
      <c r="O564" s="35" t="s">
        <v>3298</v>
      </c>
    </row>
    <row r="565">
      <c r="A565" s="38"/>
      <c r="B565" s="28" t="s">
        <v>3299</v>
      </c>
      <c r="C565" s="28" t="s">
        <v>2723</v>
      </c>
      <c r="D565" s="29" t="s">
        <v>3300</v>
      </c>
      <c r="E565" s="54" t="s">
        <v>3301</v>
      </c>
      <c r="F565" s="28" t="s">
        <v>3302</v>
      </c>
      <c r="I565" s="32"/>
      <c r="J565" s="32"/>
      <c r="K565" s="33" t="s">
        <v>3299</v>
      </c>
      <c r="L565" s="33" t="s">
        <v>3303</v>
      </c>
      <c r="N565" s="33" t="s">
        <v>3299</v>
      </c>
      <c r="O565" s="35" t="s">
        <v>2722</v>
      </c>
    </row>
    <row r="566">
      <c r="A566" s="38"/>
      <c r="B566" s="28" t="s">
        <v>3304</v>
      </c>
      <c r="C566" s="28" t="s">
        <v>2728</v>
      </c>
      <c r="D566" s="29" t="s">
        <v>3305</v>
      </c>
      <c r="E566" s="30" t="s">
        <v>3306</v>
      </c>
      <c r="F566" s="28" t="s">
        <v>3307</v>
      </c>
      <c r="I566" s="32"/>
      <c r="J566" s="32"/>
      <c r="K566" s="33" t="s">
        <v>3304</v>
      </c>
      <c r="L566" s="33" t="s">
        <v>3308</v>
      </c>
      <c r="N566" s="33" t="s">
        <v>3304</v>
      </c>
      <c r="O566" s="35"/>
    </row>
    <row r="567">
      <c r="A567" s="38"/>
      <c r="B567" s="28" t="s">
        <v>3309</v>
      </c>
      <c r="C567" s="28" t="s">
        <v>3310</v>
      </c>
      <c r="D567" s="29" t="s">
        <v>3311</v>
      </c>
      <c r="E567" s="30" t="s">
        <v>3312</v>
      </c>
      <c r="F567" s="28" t="s">
        <v>3313</v>
      </c>
      <c r="I567" s="32"/>
      <c r="J567" s="32"/>
      <c r="K567" s="33" t="s">
        <v>3309</v>
      </c>
      <c r="L567" s="33" t="s">
        <v>3314</v>
      </c>
      <c r="N567" s="33" t="s">
        <v>3309</v>
      </c>
      <c r="O567" s="35"/>
    </row>
    <row r="568">
      <c r="A568" s="38"/>
      <c r="B568" s="28" t="s">
        <v>3315</v>
      </c>
      <c r="C568" s="28" t="s">
        <v>2741</v>
      </c>
      <c r="D568" s="29" t="s">
        <v>3316</v>
      </c>
      <c r="E568" s="30" t="s">
        <v>3317</v>
      </c>
      <c r="F568" s="28" t="s">
        <v>3318</v>
      </c>
      <c r="I568" s="32"/>
      <c r="J568" s="32"/>
      <c r="K568" s="33" t="s">
        <v>3315</v>
      </c>
      <c r="L568" s="33" t="s">
        <v>3319</v>
      </c>
      <c r="N568" s="33" t="s">
        <v>3315</v>
      </c>
      <c r="O568" s="35" t="s">
        <v>2740</v>
      </c>
    </row>
    <row r="569">
      <c r="A569" s="38"/>
      <c r="B569" s="28" t="s">
        <v>3320</v>
      </c>
      <c r="C569" s="28" t="s">
        <v>2746</v>
      </c>
      <c r="D569" s="29" t="s">
        <v>3321</v>
      </c>
      <c r="E569" s="30" t="s">
        <v>3322</v>
      </c>
      <c r="F569" s="28" t="s">
        <v>3323</v>
      </c>
      <c r="I569" s="32"/>
      <c r="J569" s="32"/>
      <c r="K569" s="33" t="s">
        <v>3320</v>
      </c>
      <c r="L569" s="33" t="s">
        <v>3324</v>
      </c>
      <c r="N569" s="33" t="s">
        <v>3320</v>
      </c>
      <c r="O569" s="35"/>
    </row>
    <row r="570">
      <c r="A570" s="38"/>
      <c r="B570" s="28" t="s">
        <v>3325</v>
      </c>
      <c r="C570" s="28" t="s">
        <v>3326</v>
      </c>
      <c r="D570" s="29" t="s">
        <v>3327</v>
      </c>
      <c r="E570" s="30" t="s">
        <v>3328</v>
      </c>
      <c r="F570" s="28" t="s">
        <v>3329</v>
      </c>
      <c r="I570" s="32"/>
      <c r="J570" s="32"/>
      <c r="K570" s="33" t="s">
        <v>3325</v>
      </c>
      <c r="L570" s="33" t="s">
        <v>3330</v>
      </c>
      <c r="N570" s="33" t="s">
        <v>3325</v>
      </c>
      <c r="O570" s="35" t="s">
        <v>3331</v>
      </c>
    </row>
    <row r="571">
      <c r="A571" s="38"/>
      <c r="B571" s="28" t="s">
        <v>3332</v>
      </c>
      <c r="C571" s="28" t="s">
        <v>2752</v>
      </c>
      <c r="D571" s="29" t="s">
        <v>3333</v>
      </c>
      <c r="E571" s="30"/>
      <c r="F571" s="28" t="s">
        <v>3334</v>
      </c>
      <c r="I571" s="32"/>
      <c r="J571" s="32"/>
      <c r="K571" s="33" t="s">
        <v>3332</v>
      </c>
      <c r="L571" s="33" t="s">
        <v>3335</v>
      </c>
      <c r="N571" s="33" t="s">
        <v>3332</v>
      </c>
      <c r="O571" s="35" t="s">
        <v>2751</v>
      </c>
    </row>
    <row r="572">
      <c r="A572" s="38"/>
      <c r="B572" s="28" t="s">
        <v>3336</v>
      </c>
      <c r="C572" s="28" t="s">
        <v>2757</v>
      </c>
      <c r="D572" s="29" t="s">
        <v>3337</v>
      </c>
      <c r="E572" s="30"/>
      <c r="F572" s="28" t="s">
        <v>3338</v>
      </c>
      <c r="I572" s="32"/>
      <c r="J572" s="32"/>
      <c r="K572" s="33" t="s">
        <v>3336</v>
      </c>
      <c r="L572" s="33" t="s">
        <v>3339</v>
      </c>
      <c r="N572" s="33" t="s">
        <v>3336</v>
      </c>
      <c r="O572" s="35" t="s">
        <v>2756</v>
      </c>
    </row>
    <row r="573">
      <c r="A573" s="38"/>
      <c r="B573" s="28" t="s">
        <v>3340</v>
      </c>
      <c r="C573" s="28" t="s">
        <v>2763</v>
      </c>
      <c r="D573" s="29" t="s">
        <v>3341</v>
      </c>
      <c r="E573" s="54" t="s">
        <v>3342</v>
      </c>
      <c r="F573" s="28" t="s">
        <v>3343</v>
      </c>
      <c r="I573" s="32"/>
      <c r="J573" s="32"/>
      <c r="K573" s="33" t="s">
        <v>3340</v>
      </c>
      <c r="L573" s="33" t="s">
        <v>3344</v>
      </c>
      <c r="N573" s="33" t="s">
        <v>3340</v>
      </c>
      <c r="O573" s="35" t="s">
        <v>2762</v>
      </c>
    </row>
    <row r="574">
      <c r="A574" s="38"/>
      <c r="B574" s="28" t="s">
        <v>3345</v>
      </c>
      <c r="C574" s="28" t="s">
        <v>3346</v>
      </c>
      <c r="D574" s="29" t="s">
        <v>3347</v>
      </c>
      <c r="E574" s="30" t="s">
        <v>3348</v>
      </c>
      <c r="F574" s="28" t="s">
        <v>3349</v>
      </c>
      <c r="I574" s="32"/>
      <c r="J574" s="32"/>
      <c r="K574" s="33" t="s">
        <v>3345</v>
      </c>
      <c r="L574" s="33" t="s">
        <v>3350</v>
      </c>
      <c r="N574" s="33" t="s">
        <v>3345</v>
      </c>
      <c r="O574" s="35"/>
    </row>
    <row r="575">
      <c r="A575" s="38"/>
      <c r="B575" s="28" t="s">
        <v>3351</v>
      </c>
      <c r="C575" s="28" t="s">
        <v>3352</v>
      </c>
      <c r="D575" s="29" t="s">
        <v>3353</v>
      </c>
      <c r="E575" s="30"/>
      <c r="F575" s="28" t="s">
        <v>3354</v>
      </c>
      <c r="I575" s="32"/>
      <c r="J575" s="32"/>
      <c r="K575" s="33" t="s">
        <v>3351</v>
      </c>
      <c r="L575" s="33" t="s">
        <v>3355</v>
      </c>
      <c r="N575" s="33" t="s">
        <v>3351</v>
      </c>
      <c r="O575" s="35" t="s">
        <v>3356</v>
      </c>
    </row>
    <row r="576">
      <c r="A576" s="38"/>
      <c r="B576" s="28" t="s">
        <v>3357</v>
      </c>
      <c r="C576" s="28" t="s">
        <v>2769</v>
      </c>
      <c r="D576" s="29" t="s">
        <v>3358</v>
      </c>
      <c r="E576" s="30" t="s">
        <v>3295</v>
      </c>
      <c r="F576" s="28" t="s">
        <v>3359</v>
      </c>
      <c r="I576" s="32"/>
      <c r="J576" s="32"/>
      <c r="K576" s="33" t="s">
        <v>3357</v>
      </c>
      <c r="L576" s="33" t="s">
        <v>3360</v>
      </c>
      <c r="N576" s="33" t="s">
        <v>3357</v>
      </c>
      <c r="O576" s="35" t="s">
        <v>2768</v>
      </c>
    </row>
    <row r="577">
      <c r="A577" s="38"/>
      <c r="B577" s="28" t="s">
        <v>3361</v>
      </c>
      <c r="C577" s="28" t="s">
        <v>2774</v>
      </c>
      <c r="D577" s="29" t="s">
        <v>3362</v>
      </c>
      <c r="E577" s="30"/>
      <c r="F577" s="28" t="s">
        <v>3363</v>
      </c>
      <c r="I577" s="32"/>
      <c r="J577" s="32"/>
      <c r="K577" s="33" t="s">
        <v>3361</v>
      </c>
      <c r="L577" s="33" t="s">
        <v>3364</v>
      </c>
      <c r="N577" s="33" t="s">
        <v>3361</v>
      </c>
      <c r="O577" s="35" t="s">
        <v>2773</v>
      </c>
    </row>
    <row r="578">
      <c r="A578" s="38"/>
      <c r="B578" s="28" t="s">
        <v>3365</v>
      </c>
      <c r="C578" s="28" t="s">
        <v>2785</v>
      </c>
      <c r="D578" s="29" t="s">
        <v>3366</v>
      </c>
      <c r="E578" s="30" t="s">
        <v>3367</v>
      </c>
      <c r="F578" s="28" t="s">
        <v>3368</v>
      </c>
      <c r="I578" s="32"/>
      <c r="J578" s="32"/>
      <c r="K578" s="33" t="s">
        <v>3365</v>
      </c>
      <c r="L578" s="33" t="s">
        <v>3369</v>
      </c>
      <c r="N578" s="33" t="s">
        <v>3365</v>
      </c>
      <c r="O578" s="35" t="s">
        <v>2784</v>
      </c>
    </row>
    <row r="579">
      <c r="A579" s="38"/>
      <c r="B579" s="28" t="s">
        <v>3370</v>
      </c>
      <c r="C579" s="28" t="s">
        <v>3371</v>
      </c>
      <c r="D579" s="29" t="s">
        <v>3372</v>
      </c>
      <c r="E579" s="30" t="s">
        <v>3373</v>
      </c>
      <c r="F579" s="28" t="s">
        <v>3374</v>
      </c>
      <c r="I579" s="32"/>
      <c r="J579" s="32"/>
      <c r="K579" s="33" t="s">
        <v>3370</v>
      </c>
      <c r="L579" s="33" t="s">
        <v>3375</v>
      </c>
      <c r="N579" s="33" t="s">
        <v>3370</v>
      </c>
      <c r="O579" s="35"/>
    </row>
    <row r="580">
      <c r="A580" s="38"/>
      <c r="B580" s="28" t="s">
        <v>3376</v>
      </c>
      <c r="C580" s="28" t="s">
        <v>2792</v>
      </c>
      <c r="D580" s="29" t="s">
        <v>3377</v>
      </c>
      <c r="E580" s="54" t="s">
        <v>3378</v>
      </c>
      <c r="F580" s="28" t="s">
        <v>3379</v>
      </c>
      <c r="I580" s="32"/>
      <c r="J580" s="32"/>
      <c r="K580" s="33" t="s">
        <v>3376</v>
      </c>
      <c r="L580" s="33" t="s">
        <v>3380</v>
      </c>
      <c r="N580" s="33" t="s">
        <v>3376</v>
      </c>
      <c r="O580" s="35" t="s">
        <v>2791</v>
      </c>
    </row>
    <row r="581">
      <c r="A581" s="38"/>
      <c r="B581" s="28" t="s">
        <v>3381</v>
      </c>
      <c r="C581" s="28" t="s">
        <v>3382</v>
      </c>
      <c r="D581" s="29" t="s">
        <v>3383</v>
      </c>
      <c r="E581" s="30" t="s">
        <v>3384</v>
      </c>
      <c r="F581" s="28" t="s">
        <v>3385</v>
      </c>
      <c r="I581" s="32"/>
      <c r="J581" s="32"/>
      <c r="K581" s="33" t="s">
        <v>3381</v>
      </c>
      <c r="L581" s="33" t="s">
        <v>3386</v>
      </c>
      <c r="N581" s="33" t="s">
        <v>3381</v>
      </c>
      <c r="O581" s="35" t="s">
        <v>3387</v>
      </c>
    </row>
    <row r="582">
      <c r="A582" s="38"/>
      <c r="B582" s="28" t="s">
        <v>3388</v>
      </c>
      <c r="C582" s="28" t="s">
        <v>2798</v>
      </c>
      <c r="D582" s="29" t="s">
        <v>3389</v>
      </c>
      <c r="E582" s="30" t="s">
        <v>3390</v>
      </c>
      <c r="F582" s="28" t="s">
        <v>3391</v>
      </c>
      <c r="I582" s="32"/>
      <c r="J582" s="32"/>
      <c r="K582" s="33" t="s">
        <v>3388</v>
      </c>
      <c r="L582" s="33" t="s">
        <v>3392</v>
      </c>
      <c r="N582" s="33" t="s">
        <v>3388</v>
      </c>
      <c r="O582" s="35" t="s">
        <v>2797</v>
      </c>
    </row>
    <row r="583">
      <c r="A583" s="38"/>
      <c r="B583" s="28" t="s">
        <v>3393</v>
      </c>
      <c r="C583" s="28" t="s">
        <v>2803</v>
      </c>
      <c r="D583" s="29" t="s">
        <v>3394</v>
      </c>
      <c r="E583" s="30"/>
      <c r="F583" s="28" t="s">
        <v>3395</v>
      </c>
      <c r="I583" s="32"/>
      <c r="J583" s="32"/>
      <c r="K583" s="33" t="s">
        <v>3393</v>
      </c>
      <c r="L583" s="33" t="s">
        <v>3396</v>
      </c>
      <c r="N583" s="33" t="s">
        <v>3393</v>
      </c>
      <c r="O583" s="35" t="s">
        <v>2802</v>
      </c>
    </row>
    <row r="584">
      <c r="A584" s="38"/>
      <c r="B584" s="28" t="s">
        <v>3397</v>
      </c>
      <c r="C584" s="28" t="s">
        <v>2813</v>
      </c>
      <c r="D584" s="29" t="s">
        <v>3398</v>
      </c>
      <c r="E584" s="30" t="s">
        <v>3399</v>
      </c>
      <c r="F584" s="28" t="s">
        <v>3400</v>
      </c>
      <c r="I584" s="32"/>
      <c r="J584" s="32"/>
      <c r="K584" s="33" t="s">
        <v>3397</v>
      </c>
      <c r="L584" s="33" t="s">
        <v>3401</v>
      </c>
      <c r="N584" s="33" t="s">
        <v>3397</v>
      </c>
      <c r="O584" s="35" t="s">
        <v>2812</v>
      </c>
    </row>
    <row r="585">
      <c r="A585" s="38"/>
      <c r="B585" s="28" t="s">
        <v>3402</v>
      </c>
      <c r="C585" s="28" t="s">
        <v>2820</v>
      </c>
      <c r="D585" s="29" t="s">
        <v>3403</v>
      </c>
      <c r="E585" s="30" t="s">
        <v>3404</v>
      </c>
      <c r="F585" s="28" t="s">
        <v>3405</v>
      </c>
      <c r="I585" s="32"/>
      <c r="J585" s="32"/>
      <c r="K585" s="33" t="s">
        <v>3402</v>
      </c>
      <c r="L585" s="33" t="s">
        <v>3406</v>
      </c>
      <c r="N585" s="33" t="s">
        <v>3402</v>
      </c>
      <c r="O585" s="35" t="s">
        <v>2819</v>
      </c>
    </row>
    <row r="586">
      <c r="A586" s="38"/>
      <c r="B586" s="28" t="s">
        <v>3407</v>
      </c>
      <c r="C586" s="28" t="s">
        <v>3408</v>
      </c>
      <c r="D586" s="29" t="s">
        <v>3409</v>
      </c>
      <c r="E586" s="30"/>
      <c r="F586" s="28" t="s">
        <v>3410</v>
      </c>
      <c r="I586" s="32"/>
      <c r="J586" s="32"/>
      <c r="K586" s="33" t="s">
        <v>3407</v>
      </c>
      <c r="L586" s="33" t="s">
        <v>3411</v>
      </c>
      <c r="N586" s="33" t="s">
        <v>3407</v>
      </c>
      <c r="O586" s="35" t="s">
        <v>3412</v>
      </c>
    </row>
    <row r="587">
      <c r="A587" s="38"/>
      <c r="B587" s="28" t="s">
        <v>3413</v>
      </c>
      <c r="C587" s="28" t="s">
        <v>2825</v>
      </c>
      <c r="D587" s="29" t="s">
        <v>3414</v>
      </c>
      <c r="E587" s="30" t="s">
        <v>3415</v>
      </c>
      <c r="F587" s="28" t="s">
        <v>3416</v>
      </c>
      <c r="I587" s="32"/>
      <c r="J587" s="32"/>
      <c r="K587" s="33" t="s">
        <v>3413</v>
      </c>
      <c r="L587" s="33" t="s">
        <v>3417</v>
      </c>
      <c r="N587" s="33" t="s">
        <v>3413</v>
      </c>
      <c r="O587" s="47" t="s">
        <v>3418</v>
      </c>
    </row>
    <row r="588">
      <c r="A588" s="38"/>
      <c r="B588" s="28" t="s">
        <v>3419</v>
      </c>
      <c r="C588" s="28" t="s">
        <v>3420</v>
      </c>
      <c r="D588" s="29" t="s">
        <v>3421</v>
      </c>
      <c r="E588" s="30" t="s">
        <v>3422</v>
      </c>
      <c r="F588" s="28" t="s">
        <v>3423</v>
      </c>
      <c r="I588" s="32"/>
      <c r="J588" s="32"/>
      <c r="K588" s="33" t="s">
        <v>3419</v>
      </c>
      <c r="L588" s="33" t="s">
        <v>3424</v>
      </c>
      <c r="N588" s="33" t="s">
        <v>3419</v>
      </c>
      <c r="O588" s="35" t="s">
        <v>3425</v>
      </c>
    </row>
    <row r="589">
      <c r="A589" s="38"/>
      <c r="B589" s="28" t="s">
        <v>3426</v>
      </c>
      <c r="C589" s="28" t="s">
        <v>3427</v>
      </c>
      <c r="D589" s="29" t="s">
        <v>3428</v>
      </c>
      <c r="E589" s="30" t="s">
        <v>3429</v>
      </c>
      <c r="F589" s="28" t="s">
        <v>3430</v>
      </c>
      <c r="I589" s="32"/>
      <c r="J589" s="32"/>
      <c r="K589" s="33" t="s">
        <v>3426</v>
      </c>
      <c r="L589" s="33" t="s">
        <v>3431</v>
      </c>
      <c r="N589" s="33" t="s">
        <v>3426</v>
      </c>
      <c r="O589" s="35" t="s">
        <v>3432</v>
      </c>
    </row>
    <row r="590">
      <c r="A590" s="38"/>
      <c r="B590" s="28" t="s">
        <v>3433</v>
      </c>
      <c r="C590" s="28" t="s">
        <v>2836</v>
      </c>
      <c r="D590" s="29" t="s">
        <v>3434</v>
      </c>
      <c r="E590" s="30"/>
      <c r="F590" s="28" t="s">
        <v>3435</v>
      </c>
      <c r="I590" s="32"/>
      <c r="J590" s="32"/>
      <c r="K590" s="33" t="s">
        <v>3433</v>
      </c>
      <c r="L590" s="33" t="s">
        <v>3436</v>
      </c>
      <c r="N590" s="33" t="s">
        <v>3433</v>
      </c>
      <c r="O590" s="35" t="s">
        <v>2835</v>
      </c>
    </row>
    <row r="591">
      <c r="A591" s="38"/>
      <c r="B591" s="28" t="s">
        <v>3437</v>
      </c>
      <c r="C591" s="28" t="s">
        <v>2846</v>
      </c>
      <c r="D591" s="29" t="s">
        <v>3438</v>
      </c>
      <c r="E591" s="30" t="s">
        <v>3439</v>
      </c>
      <c r="F591" s="28" t="s">
        <v>3440</v>
      </c>
      <c r="I591" s="32"/>
      <c r="J591" s="32"/>
      <c r="K591" s="33" t="s">
        <v>3437</v>
      </c>
      <c r="L591" s="33" t="s">
        <v>3441</v>
      </c>
      <c r="N591" s="33" t="s">
        <v>3437</v>
      </c>
      <c r="O591" s="35" t="s">
        <v>2840</v>
      </c>
    </row>
    <row r="592">
      <c r="A592" s="38"/>
      <c r="B592" s="28" t="s">
        <v>3442</v>
      </c>
      <c r="C592" s="28" t="s">
        <v>2852</v>
      </c>
      <c r="D592" s="29" t="s">
        <v>3443</v>
      </c>
      <c r="E592" s="54" t="s">
        <v>3444</v>
      </c>
      <c r="F592" s="28" t="s">
        <v>3445</v>
      </c>
      <c r="I592" s="32"/>
      <c r="J592" s="32"/>
      <c r="K592" s="33" t="s">
        <v>3442</v>
      </c>
      <c r="L592" s="33" t="s">
        <v>3446</v>
      </c>
      <c r="N592" s="33" t="s">
        <v>3442</v>
      </c>
      <c r="O592" s="35"/>
    </row>
    <row r="593">
      <c r="A593" s="38"/>
      <c r="B593" s="28" t="s">
        <v>3447</v>
      </c>
      <c r="C593" s="28" t="s">
        <v>3448</v>
      </c>
      <c r="D593" s="29" t="s">
        <v>3449</v>
      </c>
      <c r="E593" s="30"/>
      <c r="F593" s="28" t="s">
        <v>3450</v>
      </c>
      <c r="I593" s="32"/>
      <c r="J593" s="32"/>
      <c r="K593" s="33" t="s">
        <v>3447</v>
      </c>
      <c r="L593" s="33" t="s">
        <v>3451</v>
      </c>
      <c r="N593" s="33" t="s">
        <v>3447</v>
      </c>
      <c r="O593" s="35" t="s">
        <v>3452</v>
      </c>
    </row>
    <row r="594">
      <c r="A594" s="38"/>
      <c r="B594" s="28" t="s">
        <v>3453</v>
      </c>
      <c r="C594" s="28" t="s">
        <v>2859</v>
      </c>
      <c r="D594" s="29" t="s">
        <v>3454</v>
      </c>
      <c r="E594" s="30"/>
      <c r="F594" s="28" t="s">
        <v>3455</v>
      </c>
      <c r="I594" s="32"/>
      <c r="J594" s="32"/>
      <c r="K594" s="33" t="s">
        <v>3453</v>
      </c>
      <c r="L594" s="33" t="s">
        <v>3456</v>
      </c>
      <c r="N594" s="33" t="s">
        <v>3453</v>
      </c>
      <c r="O594" s="35" t="s">
        <v>2858</v>
      </c>
    </row>
    <row r="595">
      <c r="A595" s="38"/>
      <c r="B595" s="28" t="s">
        <v>3457</v>
      </c>
      <c r="C595" s="28" t="s">
        <v>2865</v>
      </c>
      <c r="D595" s="29" t="s">
        <v>3458</v>
      </c>
      <c r="E595" s="30" t="s">
        <v>3459</v>
      </c>
      <c r="F595" s="28" t="s">
        <v>3460</v>
      </c>
      <c r="I595" s="32"/>
      <c r="J595" s="32"/>
      <c r="K595" s="33" t="s">
        <v>3457</v>
      </c>
      <c r="L595" s="33" t="s">
        <v>3461</v>
      </c>
      <c r="N595" s="33" t="s">
        <v>3457</v>
      </c>
      <c r="O595" s="35" t="s">
        <v>2864</v>
      </c>
    </row>
    <row r="596">
      <c r="A596" s="38"/>
      <c r="B596" s="28" t="s">
        <v>3462</v>
      </c>
      <c r="C596" s="28" t="s">
        <v>3463</v>
      </c>
      <c r="D596" s="29" t="s">
        <v>3464</v>
      </c>
      <c r="E596" s="30"/>
      <c r="F596" s="28" t="s">
        <v>3465</v>
      </c>
      <c r="I596" s="32"/>
      <c r="J596" s="32"/>
      <c r="K596" s="33" t="s">
        <v>3462</v>
      </c>
      <c r="L596" s="33" t="s">
        <v>3466</v>
      </c>
      <c r="N596" s="33" t="s">
        <v>3462</v>
      </c>
      <c r="O596" s="35" t="s">
        <v>3467</v>
      </c>
    </row>
    <row r="597">
      <c r="A597" s="38"/>
      <c r="B597" s="28" t="s">
        <v>3468</v>
      </c>
      <c r="C597" s="28" t="s">
        <v>2870</v>
      </c>
      <c r="D597" s="29" t="s">
        <v>3469</v>
      </c>
      <c r="E597" s="30" t="s">
        <v>3470</v>
      </c>
      <c r="F597" s="28" t="s">
        <v>3471</v>
      </c>
      <c r="I597" s="32"/>
      <c r="J597" s="32"/>
      <c r="K597" s="33" t="s">
        <v>3468</v>
      </c>
      <c r="L597" s="33" t="s">
        <v>3472</v>
      </c>
      <c r="N597" s="33" t="s">
        <v>3468</v>
      </c>
      <c r="O597" s="35" t="s">
        <v>2869</v>
      </c>
    </row>
    <row r="598">
      <c r="A598" s="38"/>
      <c r="B598" s="28" t="s">
        <v>3473</v>
      </c>
      <c r="C598" s="28" t="s">
        <v>3474</v>
      </c>
      <c r="D598" s="29" t="s">
        <v>3475</v>
      </c>
      <c r="E598" s="30"/>
      <c r="F598" s="28" t="s">
        <v>3476</v>
      </c>
      <c r="I598" s="32"/>
      <c r="J598" s="32"/>
      <c r="K598" s="33" t="s">
        <v>3473</v>
      </c>
      <c r="L598" s="33" t="s">
        <v>3477</v>
      </c>
      <c r="N598" s="33" t="s">
        <v>3473</v>
      </c>
      <c r="O598" s="35"/>
    </row>
    <row r="599">
      <c r="A599" s="38"/>
      <c r="B599" s="28" t="s">
        <v>3478</v>
      </c>
      <c r="C599" s="28" t="s">
        <v>3479</v>
      </c>
      <c r="D599" s="29" t="s">
        <v>3480</v>
      </c>
      <c r="E599" s="30" t="s">
        <v>3481</v>
      </c>
      <c r="F599" s="28" t="s">
        <v>3482</v>
      </c>
      <c r="I599" s="32"/>
      <c r="J599" s="32"/>
      <c r="K599" s="33" t="s">
        <v>3478</v>
      </c>
      <c r="L599" s="33" t="s">
        <v>3483</v>
      </c>
      <c r="N599" s="33" t="s">
        <v>3478</v>
      </c>
      <c r="O599" s="35" t="s">
        <v>3484</v>
      </c>
    </row>
    <row r="600">
      <c r="A600" s="38"/>
      <c r="B600" s="28" t="s">
        <v>3485</v>
      </c>
      <c r="C600" s="28" t="s">
        <v>2885</v>
      </c>
      <c r="D600" s="29" t="s">
        <v>3486</v>
      </c>
      <c r="E600" s="30"/>
      <c r="F600" s="28" t="s">
        <v>3487</v>
      </c>
      <c r="I600" s="32"/>
      <c r="J600" s="32"/>
      <c r="K600" s="33" t="s">
        <v>3485</v>
      </c>
      <c r="L600" s="33" t="s">
        <v>3488</v>
      </c>
      <c r="N600" s="33" t="s">
        <v>3485</v>
      </c>
      <c r="O600" s="35" t="s">
        <v>2884</v>
      </c>
    </row>
    <row r="601">
      <c r="A601" s="38"/>
      <c r="B601" s="28" t="s">
        <v>3489</v>
      </c>
      <c r="C601" s="28" t="s">
        <v>3490</v>
      </c>
      <c r="D601" s="29" t="s">
        <v>3491</v>
      </c>
      <c r="E601" s="30" t="s">
        <v>3492</v>
      </c>
      <c r="F601" s="28" t="s">
        <v>3493</v>
      </c>
      <c r="I601" s="32"/>
      <c r="J601" s="32"/>
      <c r="K601" s="33" t="s">
        <v>3489</v>
      </c>
      <c r="L601" s="33" t="s">
        <v>3494</v>
      </c>
      <c r="N601" s="33" t="s">
        <v>3489</v>
      </c>
      <c r="O601" s="35" t="s">
        <v>3495</v>
      </c>
    </row>
    <row r="602">
      <c r="A602" s="38"/>
      <c r="B602" s="28" t="s">
        <v>3496</v>
      </c>
      <c r="C602" s="28" t="s">
        <v>2889</v>
      </c>
      <c r="D602" s="29" t="s">
        <v>3497</v>
      </c>
      <c r="E602" s="30" t="s">
        <v>3498</v>
      </c>
      <c r="F602" s="28" t="s">
        <v>3499</v>
      </c>
      <c r="I602" s="32"/>
      <c r="J602" s="32"/>
      <c r="K602" s="33" t="s">
        <v>3496</v>
      </c>
      <c r="L602" s="33" t="s">
        <v>3500</v>
      </c>
      <c r="N602" s="33" t="s">
        <v>3496</v>
      </c>
      <c r="O602" s="35"/>
    </row>
    <row r="603">
      <c r="A603" s="38"/>
      <c r="B603" s="28" t="s">
        <v>3501</v>
      </c>
      <c r="C603" s="28" t="s">
        <v>3502</v>
      </c>
      <c r="D603" s="29" t="s">
        <v>3503</v>
      </c>
      <c r="E603" s="30" t="s">
        <v>3504</v>
      </c>
      <c r="F603" s="28" t="s">
        <v>3505</v>
      </c>
      <c r="I603" s="32"/>
      <c r="J603" s="32"/>
      <c r="K603" s="33" t="s">
        <v>3501</v>
      </c>
      <c r="L603" s="33" t="s">
        <v>3506</v>
      </c>
      <c r="N603" s="33" t="s">
        <v>3501</v>
      </c>
      <c r="O603" s="35" t="s">
        <v>3507</v>
      </c>
    </row>
    <row r="604">
      <c r="A604" s="38"/>
      <c r="B604" s="28" t="s">
        <v>3508</v>
      </c>
      <c r="C604" s="28" t="s">
        <v>2900</v>
      </c>
      <c r="D604" s="29" t="s">
        <v>3509</v>
      </c>
      <c r="E604" s="30"/>
      <c r="F604" s="28" t="s">
        <v>3510</v>
      </c>
      <c r="I604" s="32"/>
      <c r="J604" s="32"/>
      <c r="K604" s="33" t="s">
        <v>3508</v>
      </c>
      <c r="L604" s="33" t="s">
        <v>3511</v>
      </c>
      <c r="N604" s="33" t="s">
        <v>3508</v>
      </c>
      <c r="O604" s="35" t="s">
        <v>2899</v>
      </c>
    </row>
    <row r="605">
      <c r="A605" s="38"/>
      <c r="B605" s="28" t="s">
        <v>3512</v>
      </c>
      <c r="C605" s="28" t="s">
        <v>2906</v>
      </c>
      <c r="D605" s="29" t="s">
        <v>3513</v>
      </c>
      <c r="E605" s="30" t="s">
        <v>3514</v>
      </c>
      <c r="F605" s="28" t="s">
        <v>3515</v>
      </c>
      <c r="I605" s="32"/>
      <c r="J605" s="32"/>
      <c r="K605" s="33" t="s">
        <v>3512</v>
      </c>
      <c r="L605" s="33" t="s">
        <v>3516</v>
      </c>
      <c r="N605" s="33" t="s">
        <v>3512</v>
      </c>
      <c r="O605" s="35" t="s">
        <v>2905</v>
      </c>
    </row>
    <row r="606">
      <c r="A606" s="38"/>
      <c r="B606" s="28" t="s">
        <v>3517</v>
      </c>
      <c r="C606" s="28" t="s">
        <v>2911</v>
      </c>
      <c r="D606" s="29" t="s">
        <v>3518</v>
      </c>
      <c r="E606" s="30"/>
      <c r="F606" s="28" t="s">
        <v>3519</v>
      </c>
      <c r="I606" s="32"/>
      <c r="J606" s="32"/>
      <c r="K606" s="33" t="s">
        <v>3517</v>
      </c>
      <c r="L606" s="33" t="s">
        <v>3520</v>
      </c>
      <c r="N606" s="33" t="s">
        <v>3517</v>
      </c>
      <c r="O606" s="35"/>
    </row>
    <row r="607">
      <c r="A607" s="38"/>
      <c r="B607" s="28" t="s">
        <v>3521</v>
      </c>
      <c r="C607" s="28" t="s">
        <v>3522</v>
      </c>
      <c r="D607" s="29" t="s">
        <v>3523</v>
      </c>
      <c r="E607" s="30" t="s">
        <v>3524</v>
      </c>
      <c r="F607" s="28" t="s">
        <v>3525</v>
      </c>
      <c r="I607" s="32"/>
      <c r="J607" s="32"/>
      <c r="K607" s="33" t="s">
        <v>3521</v>
      </c>
      <c r="L607" s="33" t="s">
        <v>3526</v>
      </c>
      <c r="N607" s="33" t="s">
        <v>3521</v>
      </c>
      <c r="O607" s="35"/>
    </row>
    <row r="608">
      <c r="A608" s="38"/>
      <c r="B608" s="28" t="s">
        <v>3527</v>
      </c>
      <c r="C608" s="28" t="s">
        <v>2917</v>
      </c>
      <c r="D608" s="29" t="s">
        <v>3528</v>
      </c>
      <c r="E608" s="30"/>
      <c r="F608" s="28" t="s">
        <v>3529</v>
      </c>
      <c r="I608" s="32"/>
      <c r="J608" s="32"/>
      <c r="K608" s="33" t="s">
        <v>3527</v>
      </c>
      <c r="L608" s="33" t="s">
        <v>3530</v>
      </c>
      <c r="N608" s="33" t="s">
        <v>3527</v>
      </c>
      <c r="O608" s="35" t="s">
        <v>2916</v>
      </c>
    </row>
    <row r="609">
      <c r="A609" s="38"/>
      <c r="B609" s="28" t="s">
        <v>3531</v>
      </c>
      <c r="C609" s="28" t="s">
        <v>2923</v>
      </c>
      <c r="D609" s="29" t="s">
        <v>3532</v>
      </c>
      <c r="E609" s="30" t="s">
        <v>3533</v>
      </c>
      <c r="F609" s="28" t="s">
        <v>3534</v>
      </c>
      <c r="I609" s="32"/>
      <c r="J609" s="32"/>
      <c r="K609" s="33" t="s">
        <v>3531</v>
      </c>
      <c r="L609" s="33" t="s">
        <v>3535</v>
      </c>
      <c r="N609" s="33" t="s">
        <v>3531</v>
      </c>
      <c r="O609" s="35" t="s">
        <v>2922</v>
      </c>
    </row>
    <row r="610">
      <c r="A610" s="38"/>
      <c r="B610" s="28" t="s">
        <v>3536</v>
      </c>
      <c r="C610" s="28" t="s">
        <v>2928</v>
      </c>
      <c r="D610" s="29" t="s">
        <v>3537</v>
      </c>
      <c r="E610" s="30" t="s">
        <v>3538</v>
      </c>
      <c r="F610" s="28" t="s">
        <v>3539</v>
      </c>
      <c r="I610" s="32"/>
      <c r="J610" s="32"/>
      <c r="K610" s="33" t="s">
        <v>3536</v>
      </c>
      <c r="L610" s="33" t="s">
        <v>3540</v>
      </c>
      <c r="N610" s="33" t="s">
        <v>3536</v>
      </c>
      <c r="O610" s="35" t="s">
        <v>2927</v>
      </c>
    </row>
    <row r="611">
      <c r="A611" s="38"/>
      <c r="B611" s="28" t="s">
        <v>3541</v>
      </c>
      <c r="C611" s="28" t="s">
        <v>2933</v>
      </c>
      <c r="D611" s="29" t="s">
        <v>3542</v>
      </c>
      <c r="E611" s="30" t="s">
        <v>3543</v>
      </c>
      <c r="F611" s="28" t="s">
        <v>3544</v>
      </c>
      <c r="I611" s="32"/>
      <c r="J611" s="32"/>
      <c r="K611" s="33" t="s">
        <v>3541</v>
      </c>
      <c r="L611" s="33" t="s">
        <v>3545</v>
      </c>
      <c r="N611" s="33" t="s">
        <v>3541</v>
      </c>
      <c r="O611" s="35" t="s">
        <v>2932</v>
      </c>
    </row>
    <row r="612">
      <c r="A612" s="38"/>
      <c r="B612" s="28" t="s">
        <v>3546</v>
      </c>
      <c r="C612" s="28" t="s">
        <v>3547</v>
      </c>
      <c r="D612" s="29" t="s">
        <v>3548</v>
      </c>
      <c r="E612" s="30" t="s">
        <v>3549</v>
      </c>
      <c r="F612" s="28" t="s">
        <v>3550</v>
      </c>
      <c r="I612" s="32"/>
      <c r="J612" s="32"/>
      <c r="K612" s="33" t="s">
        <v>3546</v>
      </c>
      <c r="L612" s="33" t="s">
        <v>3551</v>
      </c>
      <c r="N612" s="33" t="s">
        <v>3546</v>
      </c>
      <c r="O612" s="35"/>
    </row>
    <row r="613">
      <c r="A613" s="38"/>
      <c r="B613" s="28" t="s">
        <v>3552</v>
      </c>
      <c r="C613" s="28" t="s">
        <v>2947</v>
      </c>
      <c r="D613" s="29" t="s">
        <v>3553</v>
      </c>
      <c r="E613" s="30" t="s">
        <v>3554</v>
      </c>
      <c r="F613" s="28" t="s">
        <v>3555</v>
      </c>
      <c r="I613" s="32"/>
      <c r="J613" s="32"/>
      <c r="K613" s="33" t="s">
        <v>3552</v>
      </c>
      <c r="L613" s="33" t="s">
        <v>3556</v>
      </c>
      <c r="N613" s="33" t="s">
        <v>3552</v>
      </c>
      <c r="O613" s="35" t="s">
        <v>530</v>
      </c>
    </row>
    <row r="614">
      <c r="A614" s="38"/>
      <c r="B614" s="28" t="s">
        <v>3557</v>
      </c>
      <c r="C614" s="28" t="s">
        <v>3558</v>
      </c>
      <c r="D614" s="29" t="s">
        <v>3559</v>
      </c>
      <c r="E614" s="30" t="s">
        <v>3560</v>
      </c>
      <c r="F614" s="28" t="s">
        <v>3561</v>
      </c>
      <c r="I614" s="32"/>
      <c r="J614" s="32"/>
      <c r="K614" s="33" t="s">
        <v>3557</v>
      </c>
      <c r="L614" s="33" t="s">
        <v>3562</v>
      </c>
      <c r="N614" s="33" t="s">
        <v>3557</v>
      </c>
      <c r="O614" s="35" t="s">
        <v>3563</v>
      </c>
    </row>
    <row r="615">
      <c r="A615" s="38"/>
      <c r="B615" s="28" t="s">
        <v>3564</v>
      </c>
      <c r="C615" s="28" t="s">
        <v>3565</v>
      </c>
      <c r="D615" s="29" t="s">
        <v>3566</v>
      </c>
      <c r="E615" s="30" t="s">
        <v>3567</v>
      </c>
      <c r="F615" s="28" t="s">
        <v>3568</v>
      </c>
      <c r="I615" s="32"/>
      <c r="J615" s="32"/>
      <c r="K615" s="33" t="s">
        <v>3564</v>
      </c>
      <c r="L615" s="33" t="s">
        <v>3569</v>
      </c>
      <c r="N615" s="33" t="s">
        <v>3564</v>
      </c>
      <c r="O615" s="35" t="s">
        <v>3570</v>
      </c>
    </row>
    <row r="616">
      <c r="A616" s="38"/>
      <c r="B616" s="28" t="s">
        <v>3571</v>
      </c>
      <c r="C616" s="28" t="s">
        <v>2956</v>
      </c>
      <c r="D616" s="29" t="s">
        <v>3572</v>
      </c>
      <c r="E616" s="30" t="s">
        <v>3573</v>
      </c>
      <c r="F616" s="28" t="s">
        <v>3574</v>
      </c>
      <c r="I616" s="32"/>
      <c r="J616" s="32"/>
      <c r="K616" s="33" t="s">
        <v>3571</v>
      </c>
      <c r="L616" s="33" t="s">
        <v>3575</v>
      </c>
      <c r="N616" s="33" t="s">
        <v>3571</v>
      </c>
      <c r="O616" s="35" t="s">
        <v>2955</v>
      </c>
    </row>
    <row r="617">
      <c r="A617" s="38"/>
      <c r="B617" s="28" t="s">
        <v>3576</v>
      </c>
      <c r="C617" s="28" t="s">
        <v>2961</v>
      </c>
      <c r="D617" s="29" t="s">
        <v>3577</v>
      </c>
      <c r="E617" s="30" t="s">
        <v>3578</v>
      </c>
      <c r="F617" s="28" t="s">
        <v>3579</v>
      </c>
      <c r="I617" s="32"/>
      <c r="J617" s="32"/>
      <c r="K617" s="33" t="s">
        <v>3576</v>
      </c>
      <c r="L617" s="33" t="s">
        <v>3580</v>
      </c>
      <c r="N617" s="33" t="s">
        <v>3576</v>
      </c>
      <c r="O617" s="35" t="s">
        <v>2960</v>
      </c>
    </row>
    <row r="618">
      <c r="A618" s="38"/>
      <c r="B618" s="28" t="s">
        <v>3581</v>
      </c>
      <c r="C618" s="28" t="s">
        <v>3582</v>
      </c>
      <c r="D618" s="29" t="s">
        <v>3583</v>
      </c>
      <c r="E618" s="30" t="s">
        <v>3584</v>
      </c>
      <c r="F618" s="28" t="s">
        <v>3585</v>
      </c>
      <c r="I618" s="32"/>
      <c r="J618" s="32"/>
      <c r="K618" s="33" t="s">
        <v>3581</v>
      </c>
      <c r="L618" s="33" t="s">
        <v>3586</v>
      </c>
      <c r="N618" s="33" t="s">
        <v>3581</v>
      </c>
      <c r="O618" s="35"/>
    </row>
    <row r="619">
      <c r="A619" s="38"/>
      <c r="B619" s="28" t="s">
        <v>3587</v>
      </c>
      <c r="C619" s="28" t="s">
        <v>2967</v>
      </c>
      <c r="D619" s="29" t="s">
        <v>3588</v>
      </c>
      <c r="E619" s="30" t="s">
        <v>3589</v>
      </c>
      <c r="F619" s="28" t="s">
        <v>3590</v>
      </c>
      <c r="I619" s="32"/>
      <c r="J619" s="32"/>
      <c r="K619" s="33" t="s">
        <v>3587</v>
      </c>
      <c r="L619" s="33" t="s">
        <v>3591</v>
      </c>
      <c r="N619" s="33" t="s">
        <v>3587</v>
      </c>
      <c r="O619" s="35" t="s">
        <v>2966</v>
      </c>
    </row>
    <row r="620">
      <c r="A620" s="38"/>
      <c r="B620" s="28" t="s">
        <v>3592</v>
      </c>
      <c r="C620" s="28" t="s">
        <v>3593</v>
      </c>
      <c r="D620" s="29" t="s">
        <v>3594</v>
      </c>
      <c r="E620" s="30" t="s">
        <v>3589</v>
      </c>
      <c r="F620" s="28" t="s">
        <v>3595</v>
      </c>
      <c r="I620" s="32"/>
      <c r="J620" s="32"/>
      <c r="K620" s="33" t="s">
        <v>3592</v>
      </c>
      <c r="L620" s="33" t="s">
        <v>3596</v>
      </c>
      <c r="N620" s="33" t="s">
        <v>3592</v>
      </c>
      <c r="O620" s="35"/>
    </row>
    <row r="621">
      <c r="A621" s="38"/>
      <c r="B621" s="28" t="s">
        <v>3597</v>
      </c>
      <c r="C621" s="28" t="s">
        <v>2978</v>
      </c>
      <c r="D621" s="29" t="s">
        <v>3598</v>
      </c>
      <c r="E621" s="30" t="s">
        <v>3599</v>
      </c>
      <c r="F621" s="28" t="s">
        <v>3600</v>
      </c>
      <c r="I621" s="32"/>
      <c r="J621" s="32"/>
      <c r="K621" s="33" t="s">
        <v>3597</v>
      </c>
      <c r="L621" s="33" t="s">
        <v>3601</v>
      </c>
      <c r="N621" s="33" t="s">
        <v>3597</v>
      </c>
      <c r="O621" s="35" t="s">
        <v>2977</v>
      </c>
    </row>
    <row r="622">
      <c r="A622" s="38"/>
      <c r="B622" s="28" t="s">
        <v>3602</v>
      </c>
      <c r="C622" s="28" t="s">
        <v>3603</v>
      </c>
      <c r="D622" s="29" t="s">
        <v>3604</v>
      </c>
      <c r="E622" s="30"/>
      <c r="F622" s="28" t="s">
        <v>3605</v>
      </c>
      <c r="I622" s="32"/>
      <c r="J622" s="32"/>
      <c r="K622" s="33" t="s">
        <v>3602</v>
      </c>
      <c r="L622" s="33" t="s">
        <v>3606</v>
      </c>
      <c r="N622" s="33" t="s">
        <v>3602</v>
      </c>
      <c r="O622" s="35"/>
    </row>
    <row r="623">
      <c r="A623" s="38"/>
      <c r="B623" s="28" t="s">
        <v>3607</v>
      </c>
      <c r="C623" s="28" t="s">
        <v>2989</v>
      </c>
      <c r="D623" s="29" t="s">
        <v>3608</v>
      </c>
      <c r="E623" s="54" t="s">
        <v>3609</v>
      </c>
      <c r="F623" s="28" t="s">
        <v>3610</v>
      </c>
      <c r="I623" s="32"/>
      <c r="J623" s="32"/>
      <c r="K623" s="33" t="s">
        <v>3607</v>
      </c>
      <c r="L623" s="33" t="s">
        <v>3611</v>
      </c>
      <c r="N623" s="33" t="s">
        <v>3607</v>
      </c>
      <c r="O623" s="35" t="s">
        <v>2988</v>
      </c>
    </row>
    <row r="624">
      <c r="A624" s="38"/>
      <c r="B624" s="28" t="s">
        <v>3612</v>
      </c>
      <c r="C624" s="28" t="s">
        <v>3613</v>
      </c>
      <c r="D624" s="29" t="s">
        <v>3614</v>
      </c>
      <c r="E624" s="30" t="s">
        <v>3615</v>
      </c>
      <c r="F624" s="28" t="s">
        <v>3616</v>
      </c>
      <c r="I624" s="32"/>
      <c r="J624" s="32"/>
      <c r="K624" s="33" t="s">
        <v>3612</v>
      </c>
      <c r="L624" s="33" t="s">
        <v>3617</v>
      </c>
      <c r="N624" s="33" t="s">
        <v>3612</v>
      </c>
      <c r="O624" s="35" t="s">
        <v>3618</v>
      </c>
    </row>
    <row r="625">
      <c r="A625" s="38"/>
      <c r="B625" s="28" t="s">
        <v>3619</v>
      </c>
      <c r="C625" s="28" t="s">
        <v>3620</v>
      </c>
      <c r="D625" s="29" t="s">
        <v>3621</v>
      </c>
      <c r="E625" s="30" t="s">
        <v>3622</v>
      </c>
      <c r="F625" s="28" t="s">
        <v>3623</v>
      </c>
      <c r="I625" s="32"/>
      <c r="J625" s="32"/>
      <c r="K625" s="33" t="s">
        <v>3619</v>
      </c>
      <c r="L625" s="33" t="s">
        <v>3624</v>
      </c>
      <c r="N625" s="33" t="s">
        <v>3619</v>
      </c>
      <c r="O625" s="35"/>
    </row>
    <row r="626">
      <c r="A626" s="38"/>
      <c r="B626" s="28" t="s">
        <v>3625</v>
      </c>
      <c r="C626" s="28" t="s">
        <v>3024</v>
      </c>
      <c r="D626" s="29" t="s">
        <v>3626</v>
      </c>
      <c r="E626" s="30"/>
      <c r="F626" s="28" t="s">
        <v>3627</v>
      </c>
      <c r="I626" s="32"/>
      <c r="J626" s="32"/>
      <c r="K626" s="33" t="s">
        <v>3625</v>
      </c>
      <c r="L626" s="33" t="s">
        <v>3628</v>
      </c>
      <c r="N626" s="33" t="s">
        <v>3625</v>
      </c>
      <c r="O626" s="35" t="s">
        <v>3023</v>
      </c>
    </row>
    <row r="627">
      <c r="A627" s="38"/>
      <c r="B627" s="28" t="s">
        <v>3629</v>
      </c>
      <c r="C627" s="28" t="s">
        <v>3630</v>
      </c>
      <c r="D627" s="29" t="s">
        <v>3631</v>
      </c>
      <c r="E627" s="30" t="s">
        <v>3632</v>
      </c>
      <c r="F627" s="28" t="s">
        <v>3633</v>
      </c>
      <c r="I627" s="32"/>
      <c r="J627" s="32"/>
      <c r="K627" s="33" t="s">
        <v>3629</v>
      </c>
      <c r="L627" s="33" t="s">
        <v>3634</v>
      </c>
      <c r="N627" s="33" t="s">
        <v>3629</v>
      </c>
      <c r="O627" s="35"/>
    </row>
    <row r="628">
      <c r="A628" s="38"/>
      <c r="B628" s="28" t="s">
        <v>3635</v>
      </c>
      <c r="C628" s="28" t="s">
        <v>3029</v>
      </c>
      <c r="D628" s="29" t="s">
        <v>3636</v>
      </c>
      <c r="E628" s="30" t="s">
        <v>3637</v>
      </c>
      <c r="F628" s="28" t="s">
        <v>3638</v>
      </c>
      <c r="I628" s="32"/>
      <c r="J628" s="32"/>
      <c r="K628" s="33" t="s">
        <v>3635</v>
      </c>
      <c r="L628" s="33" t="s">
        <v>3639</v>
      </c>
      <c r="N628" s="33" t="s">
        <v>3635</v>
      </c>
      <c r="O628" s="35"/>
    </row>
    <row r="629">
      <c r="A629" s="38"/>
      <c r="B629" s="28" t="s">
        <v>3640</v>
      </c>
      <c r="C629" s="28" t="s">
        <v>3641</v>
      </c>
      <c r="D629" s="29" t="s">
        <v>3642</v>
      </c>
      <c r="E629" s="30"/>
      <c r="F629" s="28" t="s">
        <v>3643</v>
      </c>
      <c r="I629" s="32"/>
      <c r="J629" s="32"/>
      <c r="K629" s="33" t="s">
        <v>3640</v>
      </c>
      <c r="L629" s="33" t="s">
        <v>3644</v>
      </c>
      <c r="N629" s="33" t="s">
        <v>3640</v>
      </c>
      <c r="O629" s="35" t="s">
        <v>3645</v>
      </c>
    </row>
    <row r="630">
      <c r="A630" s="38"/>
      <c r="B630" s="28" t="s">
        <v>3646</v>
      </c>
      <c r="C630" s="28" t="s">
        <v>3040</v>
      </c>
      <c r="D630" s="29" t="s">
        <v>3647</v>
      </c>
      <c r="E630" s="30" t="s">
        <v>3648</v>
      </c>
      <c r="F630" s="28" t="s">
        <v>3649</v>
      </c>
      <c r="I630" s="32"/>
      <c r="J630" s="32"/>
      <c r="K630" s="33" t="s">
        <v>3646</v>
      </c>
      <c r="L630" s="33" t="s">
        <v>3650</v>
      </c>
      <c r="N630" s="33" t="s">
        <v>3646</v>
      </c>
      <c r="O630" s="47" t="s">
        <v>3651</v>
      </c>
    </row>
    <row r="631">
      <c r="A631" s="38"/>
      <c r="B631" s="28" t="s">
        <v>3652</v>
      </c>
      <c r="C631" s="28" t="s">
        <v>3045</v>
      </c>
      <c r="D631" s="29" t="s">
        <v>3653</v>
      </c>
      <c r="E631" s="30"/>
      <c r="F631" s="28" t="s">
        <v>3654</v>
      </c>
      <c r="I631" s="32"/>
      <c r="J631" s="32"/>
      <c r="K631" s="33" t="s">
        <v>3652</v>
      </c>
      <c r="L631" s="33" t="s">
        <v>3655</v>
      </c>
      <c r="N631" s="33" t="s">
        <v>3652</v>
      </c>
      <c r="O631" s="47" t="s">
        <v>3656</v>
      </c>
    </row>
    <row r="632">
      <c r="A632" s="38"/>
      <c r="B632" s="28" t="s">
        <v>3657</v>
      </c>
      <c r="C632" s="28" t="s">
        <v>3050</v>
      </c>
      <c r="D632" s="29" t="s">
        <v>3658</v>
      </c>
      <c r="E632" s="30" t="s">
        <v>3659</v>
      </c>
      <c r="F632" s="28" t="s">
        <v>3660</v>
      </c>
      <c r="I632" s="32"/>
      <c r="J632" s="32"/>
      <c r="K632" s="33" t="s">
        <v>3657</v>
      </c>
      <c r="L632" s="33" t="s">
        <v>3661</v>
      </c>
      <c r="N632" s="33" t="s">
        <v>3657</v>
      </c>
      <c r="O632" s="35" t="s">
        <v>3049</v>
      </c>
    </row>
    <row r="633">
      <c r="A633" s="38"/>
      <c r="B633" s="28" t="s">
        <v>3662</v>
      </c>
      <c r="C633" s="28" t="s">
        <v>3663</v>
      </c>
      <c r="D633" s="29" t="s">
        <v>3664</v>
      </c>
      <c r="E633" s="30"/>
      <c r="F633" s="28" t="s">
        <v>3665</v>
      </c>
      <c r="I633" s="32"/>
      <c r="J633" s="32"/>
      <c r="K633" s="33" t="s">
        <v>3662</v>
      </c>
      <c r="L633" s="33" t="s">
        <v>3666</v>
      </c>
      <c r="N633" s="33" t="s">
        <v>3662</v>
      </c>
      <c r="O633" s="35"/>
    </row>
    <row r="634">
      <c r="A634" s="38"/>
      <c r="B634" s="28" t="s">
        <v>3667</v>
      </c>
      <c r="C634" s="28" t="s">
        <v>3668</v>
      </c>
      <c r="D634" s="29" t="s">
        <v>3669</v>
      </c>
      <c r="E634" s="54" t="s">
        <v>3670</v>
      </c>
      <c r="F634" s="28" t="s">
        <v>3671</v>
      </c>
      <c r="I634" s="32"/>
      <c r="J634" s="32"/>
      <c r="K634" s="33" t="s">
        <v>3667</v>
      </c>
      <c r="L634" s="33" t="s">
        <v>3672</v>
      </c>
      <c r="N634" s="33" t="s">
        <v>3667</v>
      </c>
      <c r="O634" s="47" t="s">
        <v>3673</v>
      </c>
    </row>
    <row r="635">
      <c r="A635" s="38"/>
      <c r="B635" s="28" t="s">
        <v>3674</v>
      </c>
      <c r="C635" s="28" t="s">
        <v>3055</v>
      </c>
      <c r="D635" s="29" t="s">
        <v>3675</v>
      </c>
      <c r="E635" s="30"/>
      <c r="F635" s="28" t="s">
        <v>3676</v>
      </c>
      <c r="I635" s="32"/>
      <c r="J635" s="32"/>
      <c r="K635" s="33" t="s">
        <v>3674</v>
      </c>
      <c r="L635" s="33" t="s">
        <v>3677</v>
      </c>
      <c r="N635" s="33" t="s">
        <v>3674</v>
      </c>
      <c r="O635" s="35"/>
    </row>
    <row r="636">
      <c r="A636" s="38"/>
      <c r="B636" s="28" t="s">
        <v>3678</v>
      </c>
      <c r="C636" s="28" t="s">
        <v>3679</v>
      </c>
      <c r="D636" s="29" t="s">
        <v>3680</v>
      </c>
      <c r="E636" s="30" t="s">
        <v>3681</v>
      </c>
      <c r="F636" s="28" t="s">
        <v>3682</v>
      </c>
      <c r="I636" s="32"/>
      <c r="J636" s="32"/>
      <c r="K636" s="33" t="s">
        <v>3678</v>
      </c>
      <c r="L636" s="33" t="s">
        <v>3683</v>
      </c>
      <c r="N636" s="33" t="s">
        <v>3678</v>
      </c>
      <c r="O636" s="35"/>
    </row>
    <row r="637">
      <c r="A637" s="38"/>
      <c r="B637" s="28" t="s">
        <v>3684</v>
      </c>
      <c r="C637" s="28" t="s">
        <v>3065</v>
      </c>
      <c r="D637" s="29" t="s">
        <v>3685</v>
      </c>
      <c r="E637" s="30" t="s">
        <v>3686</v>
      </c>
      <c r="F637" s="28" t="s">
        <v>3687</v>
      </c>
      <c r="I637" s="32"/>
      <c r="J637" s="32"/>
      <c r="K637" s="33" t="s">
        <v>3684</v>
      </c>
      <c r="L637" s="33" t="s">
        <v>3688</v>
      </c>
      <c r="N637" s="33" t="s">
        <v>3684</v>
      </c>
      <c r="O637" s="35"/>
    </row>
    <row r="638">
      <c r="A638" s="38"/>
      <c r="B638" s="28" t="s">
        <v>3689</v>
      </c>
      <c r="C638" s="28" t="s">
        <v>3076</v>
      </c>
      <c r="D638" s="29" t="s">
        <v>3690</v>
      </c>
      <c r="E638" s="30" t="s">
        <v>3691</v>
      </c>
      <c r="F638" s="28" t="s">
        <v>3692</v>
      </c>
      <c r="I638" s="32"/>
      <c r="J638" s="32"/>
      <c r="K638" s="33" t="s">
        <v>3689</v>
      </c>
      <c r="L638" s="33" t="s">
        <v>3693</v>
      </c>
      <c r="N638" s="33" t="s">
        <v>3689</v>
      </c>
      <c r="O638" s="35" t="s">
        <v>3075</v>
      </c>
    </row>
    <row r="639">
      <c r="A639" s="38"/>
      <c r="B639" s="28" t="s">
        <v>3694</v>
      </c>
      <c r="C639" s="28" t="s">
        <v>3080</v>
      </c>
      <c r="D639" s="29" t="s">
        <v>3695</v>
      </c>
      <c r="E639" s="30" t="s">
        <v>3696</v>
      </c>
      <c r="F639" s="28" t="s">
        <v>3697</v>
      </c>
      <c r="I639" s="32"/>
      <c r="J639" s="32"/>
      <c r="K639" s="33" t="s">
        <v>3694</v>
      </c>
      <c r="L639" s="33" t="s">
        <v>3698</v>
      </c>
      <c r="N639" s="33" t="s">
        <v>3694</v>
      </c>
      <c r="O639" s="35"/>
    </row>
    <row r="640">
      <c r="A640" s="38"/>
      <c r="B640" s="28" t="s">
        <v>3699</v>
      </c>
      <c r="C640" s="28" t="s">
        <v>3097</v>
      </c>
      <c r="D640" s="29" t="s">
        <v>3700</v>
      </c>
      <c r="E640" s="30" t="s">
        <v>3701</v>
      </c>
      <c r="F640" s="28" t="s">
        <v>3702</v>
      </c>
      <c r="I640" s="32"/>
      <c r="J640" s="32"/>
      <c r="K640" s="33" t="s">
        <v>3699</v>
      </c>
      <c r="L640" s="33" t="s">
        <v>3703</v>
      </c>
      <c r="N640" s="33" t="s">
        <v>3699</v>
      </c>
      <c r="O640" s="35" t="s">
        <v>3096</v>
      </c>
    </row>
    <row r="641">
      <c r="A641" s="38"/>
      <c r="B641" s="28" t="s">
        <v>3704</v>
      </c>
      <c r="C641" s="28" t="s">
        <v>3110</v>
      </c>
      <c r="D641" s="29" t="s">
        <v>3705</v>
      </c>
      <c r="E641" s="30" t="s">
        <v>3706</v>
      </c>
      <c r="F641" s="28" t="s">
        <v>3707</v>
      </c>
      <c r="I641" s="32"/>
      <c r="J641" s="32"/>
      <c r="K641" s="33" t="s">
        <v>3704</v>
      </c>
      <c r="L641" s="33" t="s">
        <v>3708</v>
      </c>
      <c r="N641" s="33" t="s">
        <v>3704</v>
      </c>
      <c r="O641" s="35" t="s">
        <v>3109</v>
      </c>
    </row>
    <row r="642">
      <c r="A642" s="38"/>
      <c r="B642" s="28" t="s">
        <v>3709</v>
      </c>
      <c r="C642" s="28" t="s">
        <v>3710</v>
      </c>
      <c r="D642" s="29" t="s">
        <v>3711</v>
      </c>
      <c r="E642" s="30" t="s">
        <v>648</v>
      </c>
      <c r="F642" s="28" t="s">
        <v>643</v>
      </c>
      <c r="I642" s="32"/>
      <c r="J642" s="32"/>
      <c r="K642" s="33" t="s">
        <v>3709</v>
      </c>
      <c r="L642" s="33" t="s">
        <v>3712</v>
      </c>
      <c r="N642" s="33" t="s">
        <v>3709</v>
      </c>
      <c r="O642" s="35"/>
    </row>
    <row r="643">
      <c r="A643" s="38"/>
      <c r="B643" s="28" t="s">
        <v>3713</v>
      </c>
      <c r="C643" s="28" t="s">
        <v>3714</v>
      </c>
      <c r="D643" s="29" t="s">
        <v>3715</v>
      </c>
      <c r="E643" s="54" t="s">
        <v>3716</v>
      </c>
      <c r="F643" s="28" t="s">
        <v>3717</v>
      </c>
      <c r="I643" s="32"/>
      <c r="J643" s="32"/>
      <c r="K643" s="33" t="s">
        <v>3713</v>
      </c>
      <c r="L643" s="33" t="s">
        <v>3718</v>
      </c>
      <c r="N643" s="33" t="s">
        <v>3713</v>
      </c>
      <c r="O643" s="35" t="s">
        <v>3719</v>
      </c>
    </row>
    <row r="644">
      <c r="A644" s="38"/>
      <c r="B644" s="28" t="s">
        <v>3720</v>
      </c>
      <c r="C644" s="28" t="s">
        <v>3721</v>
      </c>
      <c r="D644" s="29" t="s">
        <v>3722</v>
      </c>
      <c r="E644" s="30"/>
      <c r="F644" s="28" t="s">
        <v>3723</v>
      </c>
      <c r="I644" s="32"/>
      <c r="J644" s="32"/>
      <c r="K644" s="33" t="s">
        <v>3720</v>
      </c>
      <c r="L644" s="33" t="s">
        <v>3724</v>
      </c>
      <c r="N644" s="33" t="s">
        <v>3720</v>
      </c>
      <c r="O644" s="35" t="s">
        <v>3725</v>
      </c>
    </row>
    <row r="645">
      <c r="A645" s="38"/>
      <c r="B645" s="28" t="s">
        <v>3726</v>
      </c>
      <c r="C645" s="28" t="s">
        <v>3127</v>
      </c>
      <c r="D645" s="29" t="s">
        <v>3727</v>
      </c>
      <c r="E645" s="30" t="s">
        <v>3728</v>
      </c>
      <c r="F645" s="28" t="s">
        <v>3729</v>
      </c>
      <c r="I645" s="32"/>
      <c r="J645" s="32"/>
      <c r="K645" s="33" t="s">
        <v>3726</v>
      </c>
      <c r="L645" s="33" t="s">
        <v>3730</v>
      </c>
      <c r="N645" s="33" t="s">
        <v>3726</v>
      </c>
      <c r="O645" s="35" t="s">
        <v>3126</v>
      </c>
    </row>
    <row r="646">
      <c r="A646" s="38"/>
      <c r="B646" s="28" t="s">
        <v>3731</v>
      </c>
      <c r="C646" s="28" t="s">
        <v>3732</v>
      </c>
      <c r="D646" s="29" t="s">
        <v>3733</v>
      </c>
      <c r="E646" s="30" t="s">
        <v>3734</v>
      </c>
      <c r="F646" s="28" t="s">
        <v>3735</v>
      </c>
      <c r="I646" s="32"/>
      <c r="J646" s="32"/>
      <c r="K646" s="33" t="s">
        <v>3731</v>
      </c>
      <c r="L646" s="33" t="s">
        <v>3736</v>
      </c>
      <c r="N646" s="33" t="s">
        <v>3731</v>
      </c>
      <c r="O646" s="47" t="s">
        <v>3737</v>
      </c>
    </row>
    <row r="647">
      <c r="A647" s="38"/>
      <c r="B647" s="28" t="s">
        <v>3738</v>
      </c>
      <c r="C647" s="28" t="s">
        <v>3137</v>
      </c>
      <c r="D647" s="29" t="s">
        <v>3739</v>
      </c>
      <c r="E647" s="30" t="s">
        <v>3734</v>
      </c>
      <c r="F647" s="28" t="s">
        <v>3740</v>
      </c>
      <c r="I647" s="32"/>
      <c r="J647" s="32"/>
      <c r="K647" s="33" t="s">
        <v>3738</v>
      </c>
      <c r="L647" s="33" t="s">
        <v>3741</v>
      </c>
      <c r="N647" s="33" t="s">
        <v>3738</v>
      </c>
      <c r="O647" s="35" t="s">
        <v>3126</v>
      </c>
    </row>
    <row r="648">
      <c r="A648" s="38"/>
      <c r="B648" s="28" t="s">
        <v>3742</v>
      </c>
      <c r="C648" s="28" t="s">
        <v>3142</v>
      </c>
      <c r="D648" s="29" t="s">
        <v>3743</v>
      </c>
      <c r="E648" s="30"/>
      <c r="F648" s="28" t="s">
        <v>3744</v>
      </c>
      <c r="I648" s="32"/>
      <c r="J648" s="32"/>
      <c r="K648" s="33" t="s">
        <v>3742</v>
      </c>
      <c r="L648" s="33" t="s">
        <v>3745</v>
      </c>
      <c r="N648" s="33" t="s">
        <v>3742</v>
      </c>
      <c r="O648" s="35" t="s">
        <v>3141</v>
      </c>
    </row>
    <row r="649">
      <c r="A649" s="38"/>
      <c r="B649" s="28" t="s">
        <v>3746</v>
      </c>
      <c r="C649" s="28" t="s">
        <v>3148</v>
      </c>
      <c r="D649" s="29" t="s">
        <v>3747</v>
      </c>
      <c r="E649" s="30" t="s">
        <v>3748</v>
      </c>
      <c r="F649" s="28" t="s">
        <v>3749</v>
      </c>
      <c r="I649" s="32"/>
      <c r="J649" s="32"/>
      <c r="K649" s="33" t="s">
        <v>3746</v>
      </c>
      <c r="L649" s="33" t="s">
        <v>3750</v>
      </c>
      <c r="N649" s="33" t="s">
        <v>3746</v>
      </c>
      <c r="O649" s="35" t="s">
        <v>3147</v>
      </c>
    </row>
    <row r="650">
      <c r="A650" s="38"/>
      <c r="B650" s="28" t="s">
        <v>3751</v>
      </c>
      <c r="C650" s="28" t="s">
        <v>3153</v>
      </c>
      <c r="D650" s="29" t="s">
        <v>3752</v>
      </c>
      <c r="E650" s="30"/>
      <c r="F650" s="28" t="s">
        <v>3753</v>
      </c>
      <c r="I650" s="32"/>
      <c r="J650" s="32"/>
      <c r="K650" s="33" t="s">
        <v>3751</v>
      </c>
      <c r="L650" s="33" t="s">
        <v>3754</v>
      </c>
      <c r="N650" s="33" t="s">
        <v>3751</v>
      </c>
      <c r="O650" s="35"/>
    </row>
    <row r="651">
      <c r="A651" s="38"/>
      <c r="B651" s="28" t="s">
        <v>3755</v>
      </c>
      <c r="C651" s="28" t="s">
        <v>3158</v>
      </c>
      <c r="D651" s="29" t="s">
        <v>3756</v>
      </c>
      <c r="E651" s="30"/>
      <c r="F651" s="28" t="s">
        <v>3757</v>
      </c>
      <c r="I651" s="32"/>
      <c r="J651" s="32"/>
      <c r="K651" s="33" t="s">
        <v>3755</v>
      </c>
      <c r="L651" s="33" t="s">
        <v>3758</v>
      </c>
      <c r="N651" s="33" t="s">
        <v>3755</v>
      </c>
      <c r="O651" s="35" t="s">
        <v>3157</v>
      </c>
    </row>
    <row r="652">
      <c r="A652" s="38"/>
      <c r="B652" s="28" t="s">
        <v>3759</v>
      </c>
      <c r="C652" s="28" t="s">
        <v>3760</v>
      </c>
      <c r="D652" s="29" t="s">
        <v>3761</v>
      </c>
      <c r="E652" s="30"/>
      <c r="F652" s="28" t="s">
        <v>3762</v>
      </c>
      <c r="I652" s="32"/>
      <c r="J652" s="32"/>
      <c r="K652" s="33" t="s">
        <v>3759</v>
      </c>
      <c r="L652" s="33" t="s">
        <v>3763</v>
      </c>
      <c r="N652" s="33" t="s">
        <v>3759</v>
      </c>
      <c r="O652" s="47" t="s">
        <v>3764</v>
      </c>
    </row>
    <row r="653">
      <c r="A653" s="38"/>
      <c r="B653" s="28" t="s">
        <v>3765</v>
      </c>
      <c r="C653" s="28" t="s">
        <v>3163</v>
      </c>
      <c r="D653" s="29" t="s">
        <v>3766</v>
      </c>
      <c r="E653" s="30"/>
      <c r="F653" s="28" t="s">
        <v>3767</v>
      </c>
      <c r="I653" s="32"/>
      <c r="J653" s="32"/>
      <c r="K653" s="33" t="s">
        <v>3765</v>
      </c>
      <c r="L653" s="33" t="s">
        <v>3768</v>
      </c>
      <c r="N653" s="33" t="s">
        <v>3765</v>
      </c>
      <c r="O653" s="35" t="s">
        <v>3162</v>
      </c>
    </row>
    <row r="654">
      <c r="A654" s="38"/>
      <c r="B654" s="28" t="s">
        <v>3769</v>
      </c>
      <c r="C654" s="28" t="s">
        <v>3173</v>
      </c>
      <c r="D654" s="29" t="s">
        <v>3770</v>
      </c>
      <c r="E654" s="30" t="s">
        <v>3771</v>
      </c>
      <c r="F654" s="28" t="s">
        <v>3772</v>
      </c>
      <c r="I654" s="32"/>
      <c r="J654" s="32"/>
      <c r="K654" s="33" t="s">
        <v>3769</v>
      </c>
      <c r="L654" s="33" t="s">
        <v>3773</v>
      </c>
      <c r="N654" s="33" t="s">
        <v>3769</v>
      </c>
      <c r="O654" s="35" t="s">
        <v>3172</v>
      </c>
    </row>
    <row r="655">
      <c r="A655" s="38"/>
      <c r="B655" s="28" t="s">
        <v>3774</v>
      </c>
      <c r="C655" s="28" t="s">
        <v>3775</v>
      </c>
      <c r="D655" s="29" t="s">
        <v>3776</v>
      </c>
      <c r="E655" s="30" t="s">
        <v>3686</v>
      </c>
      <c r="F655" s="28" t="s">
        <v>3777</v>
      </c>
      <c r="I655" s="32"/>
      <c r="J655" s="32"/>
      <c r="K655" s="33" t="s">
        <v>3774</v>
      </c>
      <c r="L655" s="33" t="s">
        <v>3778</v>
      </c>
      <c r="N655" s="33" t="s">
        <v>3774</v>
      </c>
      <c r="O655" s="35"/>
    </row>
    <row r="656">
      <c r="A656" s="38"/>
      <c r="B656" s="28" t="s">
        <v>3779</v>
      </c>
      <c r="C656" s="28" t="s">
        <v>3780</v>
      </c>
      <c r="D656" s="29" t="s">
        <v>3781</v>
      </c>
      <c r="E656" s="30" t="s">
        <v>3782</v>
      </c>
      <c r="F656" s="28" t="s">
        <v>3783</v>
      </c>
      <c r="I656" s="32"/>
      <c r="J656" s="32"/>
      <c r="K656" s="33" t="s">
        <v>3779</v>
      </c>
      <c r="L656" s="33" t="s">
        <v>3784</v>
      </c>
      <c r="N656" s="33" t="s">
        <v>3779</v>
      </c>
      <c r="O656" s="35" t="s">
        <v>3785</v>
      </c>
    </row>
    <row r="657">
      <c r="A657" s="38"/>
      <c r="B657" s="28" t="s">
        <v>3786</v>
      </c>
      <c r="C657" s="28" t="s">
        <v>3787</v>
      </c>
      <c r="D657" s="29" t="s">
        <v>3788</v>
      </c>
      <c r="E657" s="30"/>
      <c r="F657" s="28" t="s">
        <v>3789</v>
      </c>
      <c r="I657" s="32"/>
      <c r="J657" s="32"/>
      <c r="K657" s="33" t="s">
        <v>3786</v>
      </c>
      <c r="L657" s="33" t="s">
        <v>3790</v>
      </c>
      <c r="N657" s="33" t="s">
        <v>3786</v>
      </c>
      <c r="O657" s="35"/>
    </row>
    <row r="658">
      <c r="A658" s="38"/>
      <c r="B658" s="28" t="s">
        <v>3791</v>
      </c>
      <c r="C658" s="28" t="s">
        <v>3792</v>
      </c>
      <c r="D658" s="29" t="s">
        <v>3793</v>
      </c>
      <c r="E658" s="30" t="s">
        <v>3794</v>
      </c>
      <c r="F658" s="28" t="s">
        <v>3795</v>
      </c>
      <c r="I658" s="32"/>
      <c r="J658" s="32"/>
      <c r="K658" s="33" t="s">
        <v>3791</v>
      </c>
      <c r="L658" s="33" t="s">
        <v>3796</v>
      </c>
      <c r="N658" s="33" t="s">
        <v>3791</v>
      </c>
      <c r="O658" s="35"/>
    </row>
    <row r="659">
      <c r="A659" s="38"/>
      <c r="B659" s="28" t="s">
        <v>3797</v>
      </c>
      <c r="C659" s="28" t="s">
        <v>3208</v>
      </c>
      <c r="D659" s="29" t="s">
        <v>3798</v>
      </c>
      <c r="E659" s="30" t="s">
        <v>3799</v>
      </c>
      <c r="F659" s="28" t="s">
        <v>3800</v>
      </c>
      <c r="I659" s="32"/>
      <c r="J659" s="32"/>
      <c r="K659" s="33" t="s">
        <v>3797</v>
      </c>
      <c r="L659" s="33" t="s">
        <v>3801</v>
      </c>
      <c r="N659" s="33" t="s">
        <v>3797</v>
      </c>
      <c r="O659" s="35" t="s">
        <v>3207</v>
      </c>
    </row>
    <row r="660">
      <c r="A660" s="38"/>
      <c r="B660" s="28" t="s">
        <v>3802</v>
      </c>
      <c r="C660" s="28" t="s">
        <v>3215</v>
      </c>
      <c r="D660" s="29" t="s">
        <v>3803</v>
      </c>
      <c r="E660" s="30" t="s">
        <v>3804</v>
      </c>
      <c r="F660" s="28" t="s">
        <v>3805</v>
      </c>
      <c r="I660" s="32"/>
      <c r="J660" s="32"/>
      <c r="K660" s="33" t="s">
        <v>3802</v>
      </c>
      <c r="L660" s="33" t="s">
        <v>3806</v>
      </c>
      <c r="N660" s="33" t="s">
        <v>3802</v>
      </c>
      <c r="O660" s="35" t="s">
        <v>3214</v>
      </c>
    </row>
    <row r="661">
      <c r="A661" s="38"/>
      <c r="B661" s="28" t="s">
        <v>3807</v>
      </c>
      <c r="C661" s="28" t="s">
        <v>3220</v>
      </c>
      <c r="D661" s="29" t="s">
        <v>3808</v>
      </c>
      <c r="E661" s="30" t="s">
        <v>3809</v>
      </c>
      <c r="F661" s="28" t="s">
        <v>3810</v>
      </c>
      <c r="I661" s="32"/>
      <c r="J661" s="32"/>
      <c r="K661" s="33" t="s">
        <v>3807</v>
      </c>
      <c r="L661" s="33" t="s">
        <v>3811</v>
      </c>
      <c r="N661" s="33" t="s">
        <v>3807</v>
      </c>
      <c r="O661" s="35" t="s">
        <v>3219</v>
      </c>
    </row>
    <row r="662">
      <c r="A662" s="38"/>
      <c r="B662" s="28" t="s">
        <v>3812</v>
      </c>
      <c r="C662" s="28" t="s">
        <v>3226</v>
      </c>
      <c r="D662" s="29" t="s">
        <v>3813</v>
      </c>
      <c r="E662" s="30" t="s">
        <v>3814</v>
      </c>
      <c r="F662" s="28" t="s">
        <v>3815</v>
      </c>
      <c r="I662" s="32"/>
      <c r="J662" s="32"/>
      <c r="K662" s="33" t="s">
        <v>3812</v>
      </c>
      <c r="L662" s="33" t="s">
        <v>3816</v>
      </c>
      <c r="N662" s="33" t="s">
        <v>3812</v>
      </c>
      <c r="O662" s="35" t="s">
        <v>3225</v>
      </c>
    </row>
    <row r="663">
      <c r="A663" s="38"/>
      <c r="B663" s="28" t="s">
        <v>3817</v>
      </c>
      <c r="C663" s="28" t="s">
        <v>3232</v>
      </c>
      <c r="D663" s="29" t="s">
        <v>3818</v>
      </c>
      <c r="E663" s="30" t="s">
        <v>3819</v>
      </c>
      <c r="F663" s="28" t="s">
        <v>3820</v>
      </c>
      <c r="I663" s="32"/>
      <c r="J663" s="32"/>
      <c r="K663" s="33" t="s">
        <v>3817</v>
      </c>
      <c r="L663" s="33" t="s">
        <v>3821</v>
      </c>
      <c r="N663" s="33" t="s">
        <v>3817</v>
      </c>
      <c r="O663" s="35" t="s">
        <v>3231</v>
      </c>
    </row>
    <row r="664">
      <c r="A664" s="38"/>
      <c r="B664" s="28" t="s">
        <v>3822</v>
      </c>
      <c r="C664" s="28" t="s">
        <v>3237</v>
      </c>
      <c r="D664" s="29" t="s">
        <v>3823</v>
      </c>
      <c r="E664" s="30" t="s">
        <v>3824</v>
      </c>
      <c r="F664" s="28" t="s">
        <v>3825</v>
      </c>
      <c r="I664" s="32"/>
      <c r="J664" s="32"/>
      <c r="K664" s="33" t="s">
        <v>3822</v>
      </c>
      <c r="L664" s="33" t="s">
        <v>3826</v>
      </c>
      <c r="N664" s="33" t="s">
        <v>3822</v>
      </c>
      <c r="O664" s="47" t="s">
        <v>3827</v>
      </c>
    </row>
    <row r="665">
      <c r="A665" s="38"/>
      <c r="B665" s="28" t="s">
        <v>3828</v>
      </c>
      <c r="C665" s="28" t="s">
        <v>3829</v>
      </c>
      <c r="D665" s="29" t="s">
        <v>3830</v>
      </c>
      <c r="E665" s="30"/>
      <c r="F665" s="28" t="s">
        <v>3831</v>
      </c>
      <c r="I665" s="32"/>
      <c r="J665" s="32"/>
      <c r="K665" s="33" t="s">
        <v>3828</v>
      </c>
      <c r="L665" s="33" t="s">
        <v>3832</v>
      </c>
      <c r="N665" s="33" t="s">
        <v>3828</v>
      </c>
      <c r="O665" s="35"/>
    </row>
    <row r="666">
      <c r="A666" s="38"/>
      <c r="B666" s="28" t="s">
        <v>3833</v>
      </c>
      <c r="C666" s="28" t="s">
        <v>3834</v>
      </c>
      <c r="D666" s="29" t="s">
        <v>3835</v>
      </c>
      <c r="E666" s="30" t="s">
        <v>3836</v>
      </c>
      <c r="F666" s="28" t="s">
        <v>3837</v>
      </c>
      <c r="I666" s="32"/>
      <c r="J666" s="32"/>
      <c r="K666" s="33" t="s">
        <v>3833</v>
      </c>
      <c r="L666" s="33" t="s">
        <v>3838</v>
      </c>
      <c r="N666" s="33" t="s">
        <v>3833</v>
      </c>
      <c r="O666" s="35"/>
    </row>
    <row r="667">
      <c r="A667" s="38"/>
      <c r="B667" s="28" t="s">
        <v>3839</v>
      </c>
      <c r="C667" s="28" t="s">
        <v>3242</v>
      </c>
      <c r="D667" s="29" t="s">
        <v>3840</v>
      </c>
      <c r="E667" s="30" t="s">
        <v>3841</v>
      </c>
      <c r="F667" s="28" t="s">
        <v>3842</v>
      </c>
      <c r="I667" s="32"/>
      <c r="J667" s="32"/>
      <c r="K667" s="33" t="s">
        <v>3839</v>
      </c>
      <c r="L667" s="33" t="s">
        <v>3843</v>
      </c>
      <c r="N667" s="33" t="s">
        <v>3839</v>
      </c>
      <c r="O667" s="35" t="s">
        <v>3241</v>
      </c>
    </row>
    <row r="668">
      <c r="A668" s="38"/>
      <c r="B668" s="28" t="s">
        <v>3844</v>
      </c>
      <c r="C668" s="28" t="s">
        <v>3845</v>
      </c>
      <c r="D668" s="29" t="s">
        <v>3846</v>
      </c>
      <c r="E668" s="30" t="s">
        <v>3847</v>
      </c>
      <c r="F668" s="28" t="s">
        <v>3848</v>
      </c>
      <c r="I668" s="32"/>
      <c r="J668" s="32"/>
      <c r="K668" s="33" t="s">
        <v>3844</v>
      </c>
      <c r="L668" s="33" t="s">
        <v>3849</v>
      </c>
      <c r="N668" s="33" t="s">
        <v>3844</v>
      </c>
      <c r="O668" s="35"/>
    </row>
    <row r="669">
      <c r="A669" s="38"/>
      <c r="B669" s="28" t="s">
        <v>3850</v>
      </c>
      <c r="C669" s="28" t="s">
        <v>3255</v>
      </c>
      <c r="D669" s="29" t="s">
        <v>3851</v>
      </c>
      <c r="E669" s="30" t="s">
        <v>3852</v>
      </c>
      <c r="F669" s="28" t="s">
        <v>3853</v>
      </c>
      <c r="I669" s="32"/>
      <c r="J669" s="32"/>
      <c r="K669" s="33" t="s">
        <v>3850</v>
      </c>
      <c r="L669" s="33" t="s">
        <v>3854</v>
      </c>
      <c r="N669" s="33" t="s">
        <v>3850</v>
      </c>
      <c r="O669" s="35" t="s">
        <v>3254</v>
      </c>
    </row>
    <row r="670">
      <c r="A670" s="38"/>
      <c r="B670" s="28" t="s">
        <v>3855</v>
      </c>
      <c r="C670" s="28" t="s">
        <v>3278</v>
      </c>
      <c r="D670" s="29" t="s">
        <v>3856</v>
      </c>
      <c r="E670" s="30" t="s">
        <v>3857</v>
      </c>
      <c r="F670" s="28" t="s">
        <v>3858</v>
      </c>
      <c r="I670" s="32"/>
      <c r="J670" s="32"/>
      <c r="K670" s="33" t="s">
        <v>3855</v>
      </c>
      <c r="L670" s="33" t="s">
        <v>3859</v>
      </c>
      <c r="N670" s="33" t="s">
        <v>3855</v>
      </c>
      <c r="O670" s="35" t="s">
        <v>3277</v>
      </c>
    </row>
    <row r="671">
      <c r="A671" s="38"/>
      <c r="B671" s="28" t="s">
        <v>3860</v>
      </c>
      <c r="C671" s="28" t="s">
        <v>3284</v>
      </c>
      <c r="D671" s="29" t="s">
        <v>3861</v>
      </c>
      <c r="E671" s="30"/>
      <c r="F671" s="28" t="s">
        <v>3862</v>
      </c>
      <c r="I671" s="32"/>
      <c r="J671" s="32"/>
      <c r="K671" s="33" t="s">
        <v>3860</v>
      </c>
      <c r="L671" s="33" t="s">
        <v>3863</v>
      </c>
      <c r="N671" s="33" t="s">
        <v>3860</v>
      </c>
      <c r="O671" s="35" t="s">
        <v>3283</v>
      </c>
    </row>
    <row r="672">
      <c r="A672" s="38"/>
      <c r="B672" s="28" t="s">
        <v>3864</v>
      </c>
      <c r="C672" s="28" t="s">
        <v>3296</v>
      </c>
      <c r="D672" s="29" t="s">
        <v>3865</v>
      </c>
      <c r="E672" s="30" t="s">
        <v>3866</v>
      </c>
      <c r="F672" s="28" t="s">
        <v>3867</v>
      </c>
      <c r="I672" s="32"/>
      <c r="J672" s="32"/>
      <c r="K672" s="33" t="s">
        <v>3864</v>
      </c>
      <c r="L672" s="33" t="s">
        <v>3868</v>
      </c>
      <c r="N672" s="33" t="s">
        <v>3864</v>
      </c>
      <c r="O672" s="35" t="s">
        <v>3295</v>
      </c>
    </row>
    <row r="673">
      <c r="A673" s="38"/>
      <c r="B673" s="28" t="s">
        <v>3869</v>
      </c>
      <c r="C673" s="28" t="s">
        <v>3307</v>
      </c>
      <c r="D673" s="29" t="s">
        <v>3870</v>
      </c>
      <c r="E673" s="30" t="s">
        <v>3871</v>
      </c>
      <c r="F673" s="28" t="s">
        <v>3872</v>
      </c>
      <c r="I673" s="32"/>
      <c r="J673" s="32"/>
      <c r="K673" s="33" t="s">
        <v>3869</v>
      </c>
      <c r="L673" s="33" t="s">
        <v>3873</v>
      </c>
      <c r="N673" s="33" t="s">
        <v>3869</v>
      </c>
      <c r="O673" s="35" t="s">
        <v>3306</v>
      </c>
    </row>
    <row r="674">
      <c r="A674" s="38"/>
      <c r="B674" s="28" t="s">
        <v>3874</v>
      </c>
      <c r="C674" s="28" t="s">
        <v>3313</v>
      </c>
      <c r="D674" s="29" t="s">
        <v>3875</v>
      </c>
      <c r="E674" s="30"/>
      <c r="F674" s="28" t="s">
        <v>3876</v>
      </c>
      <c r="I674" s="32"/>
      <c r="J674" s="32"/>
      <c r="K674" s="33" t="s">
        <v>3874</v>
      </c>
      <c r="L674" s="33" t="s">
        <v>3877</v>
      </c>
      <c r="N674" s="33" t="s">
        <v>3874</v>
      </c>
      <c r="O674" s="35" t="s">
        <v>3312</v>
      </c>
    </row>
    <row r="675">
      <c r="A675" s="38"/>
      <c r="B675" s="28" t="s">
        <v>3878</v>
      </c>
      <c r="C675" s="28" t="s">
        <v>3318</v>
      </c>
      <c r="D675" s="29" t="s">
        <v>3879</v>
      </c>
      <c r="E675" s="54" t="s">
        <v>3880</v>
      </c>
      <c r="F675" s="28" t="s">
        <v>3881</v>
      </c>
      <c r="I675" s="32"/>
      <c r="J675" s="32"/>
      <c r="K675" s="33" t="s">
        <v>3878</v>
      </c>
      <c r="L675" s="33" t="s">
        <v>3882</v>
      </c>
      <c r="N675" s="33" t="s">
        <v>3878</v>
      </c>
      <c r="O675" s="35" t="s">
        <v>3317</v>
      </c>
    </row>
    <row r="676">
      <c r="A676" s="38"/>
      <c r="B676" s="28" t="s">
        <v>3883</v>
      </c>
      <c r="C676" s="28" t="s">
        <v>3323</v>
      </c>
      <c r="D676" s="29" t="s">
        <v>3884</v>
      </c>
      <c r="E676" s="30" t="s">
        <v>3885</v>
      </c>
      <c r="F676" s="28" t="s">
        <v>3886</v>
      </c>
      <c r="I676" s="32"/>
      <c r="J676" s="32"/>
      <c r="K676" s="33" t="s">
        <v>3883</v>
      </c>
      <c r="L676" s="33" t="s">
        <v>3887</v>
      </c>
      <c r="N676" s="33" t="s">
        <v>3883</v>
      </c>
      <c r="O676" s="35" t="s">
        <v>3322</v>
      </c>
    </row>
    <row r="677">
      <c r="A677" s="38"/>
      <c r="B677" s="28" t="s">
        <v>3888</v>
      </c>
      <c r="C677" s="28" t="s">
        <v>3329</v>
      </c>
      <c r="D677" s="29" t="s">
        <v>3889</v>
      </c>
      <c r="E677" s="30" t="s">
        <v>336</v>
      </c>
      <c r="F677" s="28" t="s">
        <v>332</v>
      </c>
      <c r="I677" s="32"/>
      <c r="J677" s="32"/>
      <c r="K677" s="33" t="s">
        <v>3888</v>
      </c>
      <c r="L677" s="33" t="s">
        <v>3890</v>
      </c>
      <c r="N677" s="33" t="s">
        <v>3888</v>
      </c>
      <c r="O677" s="35" t="s">
        <v>3328</v>
      </c>
    </row>
    <row r="678">
      <c r="A678" s="38"/>
      <c r="B678" s="28" t="s">
        <v>3891</v>
      </c>
      <c r="C678" s="28" t="s">
        <v>3892</v>
      </c>
      <c r="D678" s="29" t="s">
        <v>3893</v>
      </c>
      <c r="E678" s="30" t="s">
        <v>3894</v>
      </c>
      <c r="F678" s="28" t="s">
        <v>3895</v>
      </c>
      <c r="I678" s="32"/>
      <c r="J678" s="32"/>
      <c r="K678" s="33" t="s">
        <v>3891</v>
      </c>
      <c r="L678" s="33" t="s">
        <v>3896</v>
      </c>
      <c r="N678" s="33" t="s">
        <v>3891</v>
      </c>
      <c r="O678" s="35"/>
    </row>
    <row r="679">
      <c r="A679" s="38"/>
      <c r="B679" s="28" t="s">
        <v>3897</v>
      </c>
      <c r="C679" s="28" t="s">
        <v>3343</v>
      </c>
      <c r="D679" s="29" t="s">
        <v>3898</v>
      </c>
      <c r="E679" s="30" t="s">
        <v>3899</v>
      </c>
      <c r="F679" s="28" t="s">
        <v>3900</v>
      </c>
      <c r="I679" s="32"/>
      <c r="J679" s="32"/>
      <c r="K679" s="33" t="s">
        <v>3897</v>
      </c>
      <c r="L679" s="33" t="s">
        <v>3901</v>
      </c>
      <c r="N679" s="33" t="s">
        <v>3897</v>
      </c>
      <c r="O679" s="47" t="s">
        <v>3902</v>
      </c>
    </row>
    <row r="680">
      <c r="A680" s="38"/>
      <c r="B680" s="28" t="s">
        <v>3903</v>
      </c>
      <c r="C680" s="28" t="s">
        <v>3349</v>
      </c>
      <c r="D680" s="29" t="s">
        <v>3904</v>
      </c>
      <c r="E680" s="30" t="s">
        <v>3905</v>
      </c>
      <c r="F680" s="28" t="s">
        <v>3906</v>
      </c>
      <c r="I680" s="32"/>
      <c r="J680" s="32"/>
      <c r="K680" s="33" t="s">
        <v>3903</v>
      </c>
      <c r="L680" s="33" t="s">
        <v>3907</v>
      </c>
      <c r="N680" s="33" t="s">
        <v>3903</v>
      </c>
      <c r="O680" s="35" t="s">
        <v>3348</v>
      </c>
    </row>
    <row r="681">
      <c r="A681" s="38"/>
      <c r="B681" s="28" t="s">
        <v>3908</v>
      </c>
      <c r="C681" s="28" t="s">
        <v>3354</v>
      </c>
      <c r="D681" s="29" t="s">
        <v>3909</v>
      </c>
      <c r="E681" s="30" t="s">
        <v>3910</v>
      </c>
      <c r="F681" s="28" t="s">
        <v>3911</v>
      </c>
      <c r="I681" s="32"/>
      <c r="J681" s="32"/>
      <c r="K681" s="33" t="s">
        <v>3908</v>
      </c>
      <c r="L681" s="33" t="s">
        <v>3912</v>
      </c>
      <c r="N681" s="33" t="s">
        <v>3908</v>
      </c>
      <c r="O681" s="35"/>
    </row>
    <row r="682">
      <c r="A682" s="38"/>
      <c r="B682" s="28" t="s">
        <v>3913</v>
      </c>
      <c r="C682" s="28" t="s">
        <v>3359</v>
      </c>
      <c r="D682" s="29" t="s">
        <v>3914</v>
      </c>
      <c r="E682" s="30"/>
      <c r="F682" s="28" t="s">
        <v>3915</v>
      </c>
      <c r="I682" s="32"/>
      <c r="J682" s="32"/>
      <c r="K682" s="33" t="s">
        <v>3913</v>
      </c>
      <c r="L682" s="33" t="s">
        <v>3916</v>
      </c>
      <c r="N682" s="33" t="s">
        <v>3913</v>
      </c>
      <c r="O682" s="35" t="s">
        <v>3295</v>
      </c>
    </row>
    <row r="683">
      <c r="A683" s="38"/>
      <c r="B683" s="28" t="s">
        <v>3917</v>
      </c>
      <c r="C683" s="28" t="s">
        <v>3918</v>
      </c>
      <c r="D683" s="29" t="s">
        <v>3919</v>
      </c>
      <c r="E683" s="30" t="s">
        <v>3920</v>
      </c>
      <c r="F683" s="28" t="s">
        <v>3921</v>
      </c>
      <c r="I683" s="32"/>
      <c r="J683" s="32"/>
      <c r="K683" s="33" t="s">
        <v>3917</v>
      </c>
      <c r="L683" s="33" t="s">
        <v>3922</v>
      </c>
      <c r="N683" s="33" t="s">
        <v>3917</v>
      </c>
      <c r="O683" s="35"/>
    </row>
    <row r="684">
      <c r="A684" s="38"/>
      <c r="B684" s="28" t="s">
        <v>3923</v>
      </c>
      <c r="C684" s="28" t="s">
        <v>3363</v>
      </c>
      <c r="D684" s="29" t="s">
        <v>3924</v>
      </c>
      <c r="E684" s="30" t="s">
        <v>3925</v>
      </c>
      <c r="F684" s="28" t="s">
        <v>3926</v>
      </c>
      <c r="I684" s="32"/>
      <c r="J684" s="32"/>
      <c r="K684" s="33" t="s">
        <v>3923</v>
      </c>
      <c r="L684" s="33" t="s">
        <v>3927</v>
      </c>
      <c r="N684" s="33" t="s">
        <v>3923</v>
      </c>
      <c r="O684" s="35"/>
    </row>
    <row r="685">
      <c r="A685" s="38"/>
      <c r="B685" s="28" t="s">
        <v>3928</v>
      </c>
      <c r="C685" s="28" t="s">
        <v>3929</v>
      </c>
      <c r="D685" s="29" t="s">
        <v>3930</v>
      </c>
      <c r="E685" s="30" t="s">
        <v>3931</v>
      </c>
      <c r="F685" s="28" t="s">
        <v>3932</v>
      </c>
      <c r="I685" s="32"/>
      <c r="J685" s="32"/>
      <c r="K685" s="33" t="s">
        <v>3928</v>
      </c>
      <c r="L685" s="33" t="s">
        <v>3933</v>
      </c>
      <c r="N685" s="33" t="s">
        <v>3928</v>
      </c>
      <c r="O685" s="35" t="s">
        <v>3934</v>
      </c>
    </row>
    <row r="686">
      <c r="A686" s="38"/>
      <c r="B686" s="28" t="s">
        <v>3935</v>
      </c>
      <c r="C686" s="28" t="s">
        <v>3368</v>
      </c>
      <c r="D686" s="29" t="s">
        <v>3936</v>
      </c>
      <c r="E686" s="30" t="s">
        <v>3937</v>
      </c>
      <c r="F686" s="28" t="s">
        <v>3938</v>
      </c>
      <c r="I686" s="32"/>
      <c r="J686" s="32"/>
      <c r="K686" s="33" t="s">
        <v>3935</v>
      </c>
      <c r="L686" s="33" t="s">
        <v>3939</v>
      </c>
      <c r="N686" s="33" t="s">
        <v>3935</v>
      </c>
      <c r="O686" s="35" t="s">
        <v>3367</v>
      </c>
    </row>
    <row r="687">
      <c r="A687" s="38"/>
      <c r="B687" s="28" t="s">
        <v>3940</v>
      </c>
      <c r="C687" s="28" t="s">
        <v>3374</v>
      </c>
      <c r="D687" s="29" t="s">
        <v>3941</v>
      </c>
      <c r="E687" s="30" t="s">
        <v>3942</v>
      </c>
      <c r="F687" s="28" t="s">
        <v>3943</v>
      </c>
      <c r="I687" s="32"/>
      <c r="J687" s="32"/>
      <c r="K687" s="33" t="s">
        <v>3940</v>
      </c>
      <c r="L687" s="33" t="s">
        <v>3944</v>
      </c>
      <c r="N687" s="33" t="s">
        <v>3940</v>
      </c>
      <c r="O687" s="35" t="s">
        <v>3373</v>
      </c>
    </row>
    <row r="688">
      <c r="A688" s="38"/>
      <c r="B688" s="28" t="s">
        <v>3945</v>
      </c>
      <c r="C688" s="28" t="s">
        <v>3946</v>
      </c>
      <c r="D688" s="29" t="s">
        <v>3947</v>
      </c>
      <c r="E688" s="30" t="s">
        <v>3948</v>
      </c>
      <c r="F688" s="28" t="s">
        <v>3949</v>
      </c>
      <c r="I688" s="32"/>
      <c r="J688" s="32"/>
      <c r="K688" s="33" t="s">
        <v>3945</v>
      </c>
      <c r="L688" s="33" t="s">
        <v>3950</v>
      </c>
      <c r="N688" s="33" t="s">
        <v>3945</v>
      </c>
      <c r="O688" s="35"/>
    </row>
    <row r="689">
      <c r="A689" s="38"/>
      <c r="B689" s="28" t="s">
        <v>3951</v>
      </c>
      <c r="C689" s="28" t="s">
        <v>3385</v>
      </c>
      <c r="D689" s="29" t="s">
        <v>3952</v>
      </c>
      <c r="E689" s="30"/>
      <c r="F689" s="28" t="s">
        <v>3953</v>
      </c>
      <c r="I689" s="32"/>
      <c r="J689" s="32"/>
      <c r="K689" s="33" t="s">
        <v>3951</v>
      </c>
      <c r="L689" s="33" t="s">
        <v>3954</v>
      </c>
      <c r="N689" s="33" t="s">
        <v>3951</v>
      </c>
      <c r="O689" s="35" t="s">
        <v>3384</v>
      </c>
    </row>
    <row r="690">
      <c r="A690" s="38"/>
      <c r="B690" s="28" t="s">
        <v>3955</v>
      </c>
      <c r="C690" s="28" t="s">
        <v>3391</v>
      </c>
      <c r="D690" s="29" t="s">
        <v>3956</v>
      </c>
      <c r="E690" s="30" t="s">
        <v>3957</v>
      </c>
      <c r="F690" s="28" t="s">
        <v>3958</v>
      </c>
      <c r="I690" s="32"/>
      <c r="J690" s="32"/>
      <c r="K690" s="33" t="s">
        <v>3955</v>
      </c>
      <c r="L690" s="33" t="s">
        <v>3959</v>
      </c>
      <c r="N690" s="33" t="s">
        <v>3955</v>
      </c>
      <c r="O690" s="35" t="s">
        <v>3390</v>
      </c>
    </row>
    <row r="691">
      <c r="A691" s="38"/>
      <c r="B691" s="28" t="s">
        <v>3960</v>
      </c>
      <c r="C691" s="28" t="s">
        <v>3400</v>
      </c>
      <c r="D691" s="29" t="s">
        <v>3961</v>
      </c>
      <c r="E691" s="30"/>
      <c r="F691" s="28" t="s">
        <v>3962</v>
      </c>
      <c r="I691" s="32"/>
      <c r="J691" s="32"/>
      <c r="K691" s="33" t="s">
        <v>3960</v>
      </c>
      <c r="L691" s="33" t="s">
        <v>3963</v>
      </c>
      <c r="N691" s="33" t="s">
        <v>3960</v>
      </c>
      <c r="O691" s="35" t="s">
        <v>3399</v>
      </c>
    </row>
    <row r="692">
      <c r="A692" s="38"/>
      <c r="B692" s="28" t="s">
        <v>3964</v>
      </c>
      <c r="C692" s="28" t="s">
        <v>3410</v>
      </c>
      <c r="D692" s="29" t="s">
        <v>3965</v>
      </c>
      <c r="E692" s="30"/>
      <c r="F692" s="28" t="s">
        <v>3966</v>
      </c>
      <c r="I692" s="32"/>
      <c r="J692" s="32"/>
      <c r="K692" s="33" t="s">
        <v>3964</v>
      </c>
      <c r="L692" s="33" t="s">
        <v>3967</v>
      </c>
      <c r="N692" s="33" t="s">
        <v>3964</v>
      </c>
      <c r="O692" s="35"/>
    </row>
    <row r="693">
      <c r="A693" s="38"/>
      <c r="B693" s="28" t="s">
        <v>3968</v>
      </c>
      <c r="C693" s="28" t="s">
        <v>3430</v>
      </c>
      <c r="D693" s="29" t="s">
        <v>3969</v>
      </c>
      <c r="E693" s="30" t="s">
        <v>3970</v>
      </c>
      <c r="F693" s="28" t="s">
        <v>3971</v>
      </c>
      <c r="I693" s="32"/>
      <c r="J693" s="32"/>
      <c r="K693" s="33" t="s">
        <v>3968</v>
      </c>
      <c r="L693" s="33" t="s">
        <v>3972</v>
      </c>
      <c r="N693" s="33" t="s">
        <v>3968</v>
      </c>
      <c r="O693" s="35" t="s">
        <v>3429</v>
      </c>
    </row>
    <row r="694">
      <c r="A694" s="38"/>
      <c r="B694" s="28" t="s">
        <v>3973</v>
      </c>
      <c r="C694" s="28" t="s">
        <v>3435</v>
      </c>
      <c r="D694" s="29" t="s">
        <v>3974</v>
      </c>
      <c r="E694" s="30"/>
      <c r="F694" s="28" t="s">
        <v>3975</v>
      </c>
      <c r="I694" s="32"/>
      <c r="J694" s="32"/>
      <c r="K694" s="33" t="s">
        <v>3973</v>
      </c>
      <c r="L694" s="33" t="s">
        <v>3976</v>
      </c>
      <c r="N694" s="33" t="s">
        <v>3973</v>
      </c>
      <c r="O694" s="35"/>
    </row>
    <row r="695">
      <c r="A695" s="38"/>
      <c r="B695" s="28" t="s">
        <v>3977</v>
      </c>
      <c r="C695" s="28" t="s">
        <v>3978</v>
      </c>
      <c r="D695" s="29" t="s">
        <v>3979</v>
      </c>
      <c r="E695" s="30" t="s">
        <v>3980</v>
      </c>
      <c r="F695" s="28" t="s">
        <v>3981</v>
      </c>
      <c r="I695" s="32"/>
      <c r="J695" s="32"/>
      <c r="K695" s="33" t="s">
        <v>3977</v>
      </c>
      <c r="L695" s="33" t="s">
        <v>3982</v>
      </c>
      <c r="N695" s="33" t="s">
        <v>3977</v>
      </c>
      <c r="O695" s="35"/>
    </row>
    <row r="696">
      <c r="A696" s="38"/>
      <c r="B696" s="28" t="s">
        <v>3983</v>
      </c>
      <c r="C696" s="28" t="s">
        <v>3984</v>
      </c>
      <c r="D696" s="29" t="s">
        <v>3985</v>
      </c>
      <c r="E696" s="30" t="s">
        <v>3986</v>
      </c>
      <c r="F696" s="28" t="s">
        <v>3987</v>
      </c>
      <c r="I696" s="32"/>
      <c r="J696" s="32"/>
      <c r="K696" s="33" t="s">
        <v>3983</v>
      </c>
      <c r="L696" s="33" t="s">
        <v>3988</v>
      </c>
      <c r="N696" s="33" t="s">
        <v>3983</v>
      </c>
      <c r="O696" s="35" t="s">
        <v>3989</v>
      </c>
    </row>
    <row r="697">
      <c r="A697" s="38"/>
      <c r="B697" s="28" t="s">
        <v>3990</v>
      </c>
      <c r="C697" s="28" t="s">
        <v>3455</v>
      </c>
      <c r="D697" s="29" t="s">
        <v>3991</v>
      </c>
      <c r="E697" s="30"/>
      <c r="F697" s="28" t="s">
        <v>3992</v>
      </c>
      <c r="I697" s="32"/>
      <c r="J697" s="32"/>
      <c r="K697" s="33" t="s">
        <v>3990</v>
      </c>
      <c r="L697" s="33" t="s">
        <v>3993</v>
      </c>
      <c r="N697" s="33" t="s">
        <v>3990</v>
      </c>
      <c r="O697" s="35"/>
    </row>
    <row r="698">
      <c r="A698" s="38"/>
      <c r="B698" s="28" t="s">
        <v>3994</v>
      </c>
      <c r="C698" s="28" t="s">
        <v>3460</v>
      </c>
      <c r="D698" s="29" t="s">
        <v>3995</v>
      </c>
      <c r="E698" s="30"/>
      <c r="F698" s="28" t="s">
        <v>3996</v>
      </c>
      <c r="I698" s="32"/>
      <c r="J698" s="32"/>
      <c r="K698" s="33" t="s">
        <v>3994</v>
      </c>
      <c r="L698" s="33" t="s">
        <v>3997</v>
      </c>
      <c r="N698" s="33" t="s">
        <v>3994</v>
      </c>
      <c r="O698" s="35" t="s">
        <v>3459</v>
      </c>
    </row>
    <row r="699">
      <c r="A699" s="38"/>
      <c r="B699" s="28" t="s">
        <v>3998</v>
      </c>
      <c r="C699" s="28" t="s">
        <v>3999</v>
      </c>
      <c r="D699" s="29" t="s">
        <v>4000</v>
      </c>
      <c r="E699" s="30" t="s">
        <v>4001</v>
      </c>
      <c r="F699" s="28" t="s">
        <v>4002</v>
      </c>
      <c r="I699" s="32"/>
      <c r="J699" s="32"/>
      <c r="K699" s="33" t="s">
        <v>3998</v>
      </c>
      <c r="L699" s="33" t="s">
        <v>4003</v>
      </c>
      <c r="N699" s="33" t="s">
        <v>3998</v>
      </c>
      <c r="O699" s="35"/>
    </row>
    <row r="700">
      <c r="A700" s="38"/>
      <c r="B700" s="28" t="s">
        <v>4004</v>
      </c>
      <c r="C700" s="28" t="s">
        <v>3465</v>
      </c>
      <c r="D700" s="29" t="s">
        <v>4005</v>
      </c>
      <c r="E700" s="30" t="s">
        <v>4006</v>
      </c>
      <c r="F700" s="28" t="s">
        <v>4007</v>
      </c>
      <c r="I700" s="32"/>
      <c r="J700" s="32"/>
      <c r="K700" s="33" t="s">
        <v>4004</v>
      </c>
      <c r="L700" s="33" t="s">
        <v>4008</v>
      </c>
      <c r="N700" s="33" t="s">
        <v>4004</v>
      </c>
      <c r="O700" s="35"/>
    </row>
    <row r="701">
      <c r="A701" s="38"/>
      <c r="B701" s="28" t="s">
        <v>4009</v>
      </c>
      <c r="C701" s="28" t="s">
        <v>4010</v>
      </c>
      <c r="D701" s="29" t="s">
        <v>4011</v>
      </c>
      <c r="E701" s="30" t="s">
        <v>4012</v>
      </c>
      <c r="F701" s="28" t="s">
        <v>4013</v>
      </c>
      <c r="I701" s="32"/>
      <c r="J701" s="32"/>
      <c r="K701" s="33" t="s">
        <v>4009</v>
      </c>
      <c r="L701" s="33" t="s">
        <v>4014</v>
      </c>
      <c r="N701" s="33" t="s">
        <v>4009</v>
      </c>
      <c r="O701" s="35"/>
    </row>
    <row r="702">
      <c r="A702" s="38"/>
      <c r="B702" s="28" t="s">
        <v>4015</v>
      </c>
      <c r="C702" s="28" t="s">
        <v>3471</v>
      </c>
      <c r="D702" s="29" t="s">
        <v>4016</v>
      </c>
      <c r="E702" s="30"/>
      <c r="F702" s="28" t="s">
        <v>4017</v>
      </c>
      <c r="I702" s="32"/>
      <c r="J702" s="32"/>
      <c r="K702" s="33" t="s">
        <v>4015</v>
      </c>
      <c r="L702" s="33" t="s">
        <v>4018</v>
      </c>
      <c r="N702" s="33" t="s">
        <v>4015</v>
      </c>
      <c r="O702" s="35" t="s">
        <v>3470</v>
      </c>
    </row>
    <row r="703">
      <c r="A703" s="38"/>
      <c r="B703" s="28" t="s">
        <v>4019</v>
      </c>
      <c r="C703" s="28" t="s">
        <v>3476</v>
      </c>
      <c r="D703" s="29" t="s">
        <v>4020</v>
      </c>
      <c r="E703" s="30" t="s">
        <v>4021</v>
      </c>
      <c r="F703" s="28" t="s">
        <v>4022</v>
      </c>
      <c r="I703" s="32"/>
      <c r="J703" s="32"/>
      <c r="K703" s="33" t="s">
        <v>4019</v>
      </c>
      <c r="L703" s="33" t="s">
        <v>4023</v>
      </c>
      <c r="N703" s="33" t="s">
        <v>4019</v>
      </c>
      <c r="O703" s="35"/>
    </row>
    <row r="704">
      <c r="A704" s="38"/>
      <c r="B704" s="28" t="s">
        <v>4024</v>
      </c>
      <c r="C704" s="28" t="s">
        <v>3482</v>
      </c>
      <c r="D704" s="29" t="s">
        <v>4025</v>
      </c>
      <c r="E704" s="30" t="s">
        <v>4026</v>
      </c>
      <c r="F704" s="28" t="s">
        <v>4027</v>
      </c>
      <c r="I704" s="32"/>
      <c r="J704" s="32"/>
      <c r="K704" s="33" t="s">
        <v>4024</v>
      </c>
      <c r="L704" s="33" t="s">
        <v>4028</v>
      </c>
      <c r="N704" s="33" t="s">
        <v>4024</v>
      </c>
      <c r="O704" s="35" t="s">
        <v>3481</v>
      </c>
    </row>
    <row r="705">
      <c r="A705" s="38"/>
      <c r="B705" s="28" t="s">
        <v>4029</v>
      </c>
      <c r="C705" s="28" t="s">
        <v>3487</v>
      </c>
      <c r="D705" s="29" t="s">
        <v>4030</v>
      </c>
      <c r="E705" s="30"/>
      <c r="F705" s="28" t="s">
        <v>4031</v>
      </c>
      <c r="I705" s="32"/>
      <c r="J705" s="32"/>
      <c r="K705" s="33" t="s">
        <v>4029</v>
      </c>
      <c r="L705" s="33" t="s">
        <v>4032</v>
      </c>
      <c r="N705" s="33" t="s">
        <v>4029</v>
      </c>
      <c r="O705" s="35"/>
    </row>
    <row r="706">
      <c r="A706" s="38"/>
      <c r="B706" s="28" t="s">
        <v>4033</v>
      </c>
      <c r="C706" s="28" t="s">
        <v>3493</v>
      </c>
      <c r="D706" s="29" t="s">
        <v>4034</v>
      </c>
      <c r="E706" s="30" t="s">
        <v>284</v>
      </c>
      <c r="F706" s="28" t="s">
        <v>279</v>
      </c>
      <c r="I706" s="32"/>
      <c r="J706" s="32"/>
      <c r="K706" s="33" t="s">
        <v>4033</v>
      </c>
      <c r="L706" s="33" t="s">
        <v>4035</v>
      </c>
      <c r="N706" s="33" t="s">
        <v>4033</v>
      </c>
      <c r="O706" s="35" t="s">
        <v>3492</v>
      </c>
    </row>
    <row r="707">
      <c r="A707" s="38"/>
      <c r="B707" s="28" t="s">
        <v>4036</v>
      </c>
      <c r="C707" s="28" t="s">
        <v>3499</v>
      </c>
      <c r="D707" s="29" t="s">
        <v>4037</v>
      </c>
      <c r="E707" s="30" t="s">
        <v>4038</v>
      </c>
      <c r="F707" s="28" t="s">
        <v>4039</v>
      </c>
      <c r="I707" s="32"/>
      <c r="J707" s="32"/>
      <c r="K707" s="33" t="s">
        <v>4036</v>
      </c>
      <c r="L707" s="33" t="s">
        <v>4040</v>
      </c>
      <c r="N707" s="33" t="s">
        <v>4036</v>
      </c>
      <c r="O707" s="35" t="s">
        <v>3498</v>
      </c>
    </row>
    <row r="708">
      <c r="A708" s="38"/>
      <c r="B708" s="28" t="s">
        <v>4041</v>
      </c>
      <c r="C708" s="28" t="s">
        <v>3505</v>
      </c>
      <c r="D708" s="29" t="s">
        <v>4042</v>
      </c>
      <c r="E708" s="30" t="s">
        <v>4043</v>
      </c>
      <c r="F708" s="28" t="s">
        <v>4044</v>
      </c>
      <c r="I708" s="32"/>
      <c r="J708" s="32"/>
      <c r="K708" s="33" t="s">
        <v>4041</v>
      </c>
      <c r="L708" s="33" t="s">
        <v>4045</v>
      </c>
      <c r="N708" s="33" t="s">
        <v>4041</v>
      </c>
      <c r="O708" s="35" t="s">
        <v>3504</v>
      </c>
    </row>
    <row r="709">
      <c r="A709" s="38"/>
      <c r="B709" s="28" t="s">
        <v>4046</v>
      </c>
      <c r="C709" s="28" t="s">
        <v>3510</v>
      </c>
      <c r="D709" s="29" t="s">
        <v>4047</v>
      </c>
      <c r="E709" s="30" t="s">
        <v>4048</v>
      </c>
      <c r="F709" s="28" t="s">
        <v>4049</v>
      </c>
      <c r="I709" s="32"/>
      <c r="J709" s="32"/>
      <c r="K709" s="33" t="s">
        <v>4046</v>
      </c>
      <c r="L709" s="33" t="s">
        <v>4050</v>
      </c>
      <c r="N709" s="33" t="s">
        <v>4046</v>
      </c>
      <c r="O709" s="35"/>
    </row>
    <row r="710">
      <c r="A710" s="38"/>
      <c r="B710" s="28" t="s">
        <v>4051</v>
      </c>
      <c r="C710" s="28" t="s">
        <v>3515</v>
      </c>
      <c r="D710" s="29" t="s">
        <v>4052</v>
      </c>
      <c r="E710" s="30" t="s">
        <v>4053</v>
      </c>
      <c r="F710" s="28" t="s">
        <v>4054</v>
      </c>
      <c r="I710" s="32"/>
      <c r="J710" s="32"/>
      <c r="K710" s="33" t="s">
        <v>4051</v>
      </c>
      <c r="L710" s="33" t="s">
        <v>4055</v>
      </c>
      <c r="N710" s="33" t="s">
        <v>4051</v>
      </c>
      <c r="O710" s="35" t="s">
        <v>3514</v>
      </c>
    </row>
    <row r="711">
      <c r="A711" s="38"/>
      <c r="B711" s="28" t="s">
        <v>4056</v>
      </c>
      <c r="C711" s="28" t="s">
        <v>3519</v>
      </c>
      <c r="D711" s="29" t="s">
        <v>4057</v>
      </c>
      <c r="E711" s="30" t="s">
        <v>4058</v>
      </c>
      <c r="F711" s="28" t="s">
        <v>4059</v>
      </c>
      <c r="I711" s="32"/>
      <c r="J711" s="32"/>
      <c r="K711" s="33" t="s">
        <v>4056</v>
      </c>
      <c r="L711" s="33" t="s">
        <v>4060</v>
      </c>
      <c r="N711" s="33" t="s">
        <v>4056</v>
      </c>
      <c r="O711" s="35"/>
    </row>
    <row r="712">
      <c r="A712" s="38"/>
      <c r="B712" s="28" t="s">
        <v>4061</v>
      </c>
      <c r="C712" s="28" t="s">
        <v>3525</v>
      </c>
      <c r="D712" s="29" t="s">
        <v>4062</v>
      </c>
      <c r="E712" s="54" t="s">
        <v>4063</v>
      </c>
      <c r="F712" s="28" t="s">
        <v>4064</v>
      </c>
      <c r="I712" s="32"/>
      <c r="J712" s="32"/>
      <c r="K712" s="33" t="s">
        <v>4061</v>
      </c>
      <c r="L712" s="33" t="s">
        <v>4065</v>
      </c>
      <c r="N712" s="33" t="s">
        <v>4061</v>
      </c>
      <c r="O712" s="35" t="s">
        <v>3524</v>
      </c>
    </row>
    <row r="713">
      <c r="A713" s="38"/>
      <c r="B713" s="28" t="s">
        <v>4066</v>
      </c>
      <c r="C713" s="28" t="s">
        <v>3534</v>
      </c>
      <c r="D713" s="29" t="s">
        <v>4067</v>
      </c>
      <c r="E713" s="30" t="s">
        <v>4068</v>
      </c>
      <c r="F713" s="28" t="s">
        <v>4069</v>
      </c>
      <c r="I713" s="32"/>
      <c r="J713" s="32"/>
      <c r="K713" s="33" t="s">
        <v>4066</v>
      </c>
      <c r="L713" s="33" t="s">
        <v>4070</v>
      </c>
      <c r="N713" s="33" t="s">
        <v>4066</v>
      </c>
      <c r="O713" s="35" t="s">
        <v>3533</v>
      </c>
    </row>
    <row r="714">
      <c r="A714" s="38"/>
      <c r="B714" s="28" t="s">
        <v>4071</v>
      </c>
      <c r="C714" s="28" t="s">
        <v>4072</v>
      </c>
      <c r="D714" s="29" t="s">
        <v>4073</v>
      </c>
      <c r="E714" s="30"/>
      <c r="F714" s="28" t="s">
        <v>4074</v>
      </c>
      <c r="I714" s="32"/>
      <c r="J714" s="32"/>
      <c r="K714" s="33" t="s">
        <v>4071</v>
      </c>
      <c r="L714" s="33" t="s">
        <v>4075</v>
      </c>
      <c r="N714" s="33" t="s">
        <v>4071</v>
      </c>
      <c r="O714" s="35" t="s">
        <v>4076</v>
      </c>
    </row>
    <row r="715">
      <c r="A715" s="38"/>
      <c r="B715" s="28" t="s">
        <v>4077</v>
      </c>
      <c r="C715" s="28" t="s">
        <v>4078</v>
      </c>
      <c r="D715" s="29" t="s">
        <v>4079</v>
      </c>
      <c r="E715" s="30"/>
      <c r="F715" s="28" t="s">
        <v>4080</v>
      </c>
      <c r="I715" s="32"/>
      <c r="J715" s="32"/>
      <c r="K715" s="33" t="s">
        <v>4077</v>
      </c>
      <c r="L715" s="33" t="s">
        <v>4081</v>
      </c>
      <c r="N715" s="33" t="s">
        <v>4077</v>
      </c>
      <c r="O715" s="35" t="s">
        <v>4082</v>
      </c>
    </row>
    <row r="716">
      <c r="A716" s="38"/>
      <c r="B716" s="28" t="s">
        <v>4083</v>
      </c>
      <c r="C716" s="28" t="s">
        <v>3539</v>
      </c>
      <c r="D716" s="29" t="s">
        <v>4084</v>
      </c>
      <c r="E716" s="30"/>
      <c r="F716" s="28" t="s">
        <v>4085</v>
      </c>
      <c r="I716" s="32"/>
      <c r="J716" s="32"/>
      <c r="K716" s="33" t="s">
        <v>4083</v>
      </c>
      <c r="L716" s="33" t="s">
        <v>4086</v>
      </c>
      <c r="N716" s="33" t="s">
        <v>4083</v>
      </c>
      <c r="O716" s="35" t="s">
        <v>3538</v>
      </c>
    </row>
    <row r="717">
      <c r="A717" s="38"/>
      <c r="B717" s="28" t="s">
        <v>4087</v>
      </c>
      <c r="C717" s="28" t="s">
        <v>4088</v>
      </c>
      <c r="D717" s="29" t="s">
        <v>4089</v>
      </c>
      <c r="E717" s="30" t="s">
        <v>4090</v>
      </c>
      <c r="F717" s="28" t="s">
        <v>4091</v>
      </c>
      <c r="I717" s="32"/>
      <c r="J717" s="32"/>
      <c r="K717" s="33" t="s">
        <v>4087</v>
      </c>
      <c r="L717" s="33" t="s">
        <v>4092</v>
      </c>
      <c r="N717" s="33" t="s">
        <v>4087</v>
      </c>
      <c r="O717" s="35"/>
    </row>
    <row r="718">
      <c r="A718" s="38"/>
      <c r="B718" s="28" t="s">
        <v>4093</v>
      </c>
      <c r="C718" s="28" t="s">
        <v>3544</v>
      </c>
      <c r="D718" s="29" t="s">
        <v>4094</v>
      </c>
      <c r="E718" s="30" t="s">
        <v>4095</v>
      </c>
      <c r="F718" s="28" t="s">
        <v>4096</v>
      </c>
      <c r="I718" s="32"/>
      <c r="J718" s="32"/>
      <c r="K718" s="33" t="s">
        <v>4093</v>
      </c>
      <c r="L718" s="33" t="s">
        <v>4097</v>
      </c>
      <c r="N718" s="33" t="s">
        <v>4093</v>
      </c>
      <c r="O718" s="35" t="s">
        <v>3543</v>
      </c>
    </row>
    <row r="719">
      <c r="A719" s="38"/>
      <c r="B719" s="28" t="s">
        <v>4098</v>
      </c>
      <c r="C719" s="28" t="s">
        <v>4099</v>
      </c>
      <c r="D719" s="29" t="s">
        <v>4100</v>
      </c>
      <c r="E719" s="30"/>
      <c r="F719" s="28" t="s">
        <v>4101</v>
      </c>
      <c r="I719" s="32"/>
      <c r="J719" s="32"/>
      <c r="K719" s="33" t="s">
        <v>4098</v>
      </c>
      <c r="L719" s="33" t="s">
        <v>4102</v>
      </c>
      <c r="N719" s="33" t="s">
        <v>4098</v>
      </c>
      <c r="O719" s="35" t="s">
        <v>4103</v>
      </c>
    </row>
    <row r="720">
      <c r="A720" s="38"/>
      <c r="B720" s="28" t="s">
        <v>4104</v>
      </c>
      <c r="C720" s="28" t="s">
        <v>4105</v>
      </c>
      <c r="D720" s="29" t="s">
        <v>4106</v>
      </c>
      <c r="E720" s="30" t="s">
        <v>4107</v>
      </c>
      <c r="F720" s="28" t="s">
        <v>4108</v>
      </c>
      <c r="I720" s="32"/>
      <c r="J720" s="32"/>
      <c r="K720" s="33" t="s">
        <v>4104</v>
      </c>
      <c r="L720" s="33" t="s">
        <v>4109</v>
      </c>
      <c r="N720" s="33" t="s">
        <v>4104</v>
      </c>
      <c r="O720" s="35" t="s">
        <v>4110</v>
      </c>
    </row>
    <row r="721">
      <c r="A721" s="38"/>
      <c r="B721" s="28" t="s">
        <v>4111</v>
      </c>
      <c r="C721" s="28" t="s">
        <v>3550</v>
      </c>
      <c r="D721" s="29" t="s">
        <v>4112</v>
      </c>
      <c r="E721" s="30" t="s">
        <v>4113</v>
      </c>
      <c r="F721" s="28" t="s">
        <v>4114</v>
      </c>
      <c r="I721" s="32"/>
      <c r="J721" s="32"/>
      <c r="K721" s="33" t="s">
        <v>4111</v>
      </c>
      <c r="L721" s="33" t="s">
        <v>4115</v>
      </c>
      <c r="N721" s="33" t="s">
        <v>4111</v>
      </c>
      <c r="O721" s="35" t="s">
        <v>3549</v>
      </c>
    </row>
    <row r="722">
      <c r="A722" s="38"/>
      <c r="B722" s="28" t="s">
        <v>4116</v>
      </c>
      <c r="C722" s="28" t="s">
        <v>3555</v>
      </c>
      <c r="D722" s="29" t="s">
        <v>4117</v>
      </c>
      <c r="E722" s="30" t="s">
        <v>4118</v>
      </c>
      <c r="F722" s="28" t="s">
        <v>4119</v>
      </c>
      <c r="I722" s="32"/>
      <c r="J722" s="32"/>
      <c r="K722" s="33" t="s">
        <v>4116</v>
      </c>
      <c r="L722" s="33" t="s">
        <v>4120</v>
      </c>
      <c r="N722" s="33" t="s">
        <v>4116</v>
      </c>
      <c r="O722" s="35" t="s">
        <v>3554</v>
      </c>
    </row>
    <row r="723">
      <c r="A723" s="38"/>
      <c r="B723" s="28" t="s">
        <v>4121</v>
      </c>
      <c r="C723" s="28" t="s">
        <v>4122</v>
      </c>
      <c r="D723" s="29" t="s">
        <v>4123</v>
      </c>
      <c r="E723" s="30" t="s">
        <v>4124</v>
      </c>
      <c r="F723" s="28" t="s">
        <v>4125</v>
      </c>
      <c r="I723" s="32"/>
      <c r="J723" s="32"/>
      <c r="K723" s="33" t="s">
        <v>4121</v>
      </c>
      <c r="L723" s="33" t="s">
        <v>4126</v>
      </c>
      <c r="N723" s="33" t="s">
        <v>4121</v>
      </c>
      <c r="O723" s="35" t="s">
        <v>4127</v>
      </c>
    </row>
    <row r="724">
      <c r="A724" s="38"/>
      <c r="B724" s="28" t="s">
        <v>4128</v>
      </c>
      <c r="C724" s="28" t="s">
        <v>4129</v>
      </c>
      <c r="D724" s="29" t="s">
        <v>4130</v>
      </c>
      <c r="E724" s="30"/>
      <c r="F724" s="28" t="s">
        <v>4131</v>
      </c>
      <c r="I724" s="32"/>
      <c r="J724" s="32"/>
      <c r="K724" s="33" t="s">
        <v>4128</v>
      </c>
      <c r="L724" s="33" t="s">
        <v>4132</v>
      </c>
      <c r="N724" s="33" t="s">
        <v>4128</v>
      </c>
      <c r="O724" s="35" t="s">
        <v>4133</v>
      </c>
    </row>
    <row r="725">
      <c r="A725" s="38"/>
      <c r="B725" s="28" t="s">
        <v>4134</v>
      </c>
      <c r="C725" s="28" t="s">
        <v>3574</v>
      </c>
      <c r="D725" s="29" t="s">
        <v>4135</v>
      </c>
      <c r="E725" s="30" t="s">
        <v>4136</v>
      </c>
      <c r="F725" s="28" t="s">
        <v>4137</v>
      </c>
      <c r="I725" s="32"/>
      <c r="J725" s="32"/>
      <c r="K725" s="33" t="s">
        <v>4134</v>
      </c>
      <c r="L725" s="33" t="s">
        <v>4138</v>
      </c>
      <c r="N725" s="33" t="s">
        <v>4134</v>
      </c>
      <c r="O725" s="35" t="s">
        <v>3573</v>
      </c>
    </row>
    <row r="726">
      <c r="A726" s="38"/>
      <c r="B726" s="28" t="s">
        <v>4139</v>
      </c>
      <c r="C726" s="28" t="s">
        <v>3579</v>
      </c>
      <c r="D726" s="29" t="s">
        <v>4140</v>
      </c>
      <c r="E726" s="54" t="s">
        <v>4141</v>
      </c>
      <c r="F726" s="28" t="s">
        <v>4142</v>
      </c>
      <c r="I726" s="32"/>
      <c r="J726" s="32"/>
      <c r="K726" s="33" t="s">
        <v>4139</v>
      </c>
      <c r="L726" s="33" t="s">
        <v>4143</v>
      </c>
      <c r="N726" s="33" t="s">
        <v>4139</v>
      </c>
      <c r="O726" s="35" t="s">
        <v>3578</v>
      </c>
    </row>
    <row r="727">
      <c r="A727" s="38"/>
      <c r="B727" s="28" t="s">
        <v>4144</v>
      </c>
      <c r="C727" s="28" t="s">
        <v>3585</v>
      </c>
      <c r="D727" s="29" t="s">
        <v>4145</v>
      </c>
      <c r="E727" s="30" t="s">
        <v>4146</v>
      </c>
      <c r="F727" s="28" t="s">
        <v>4147</v>
      </c>
      <c r="I727" s="32"/>
      <c r="J727" s="32"/>
      <c r="K727" s="33" t="s">
        <v>4144</v>
      </c>
      <c r="L727" s="33" t="s">
        <v>4148</v>
      </c>
      <c r="N727" s="33" t="s">
        <v>4144</v>
      </c>
      <c r="O727" s="35" t="s">
        <v>3584</v>
      </c>
    </row>
    <row r="728">
      <c r="A728" s="38"/>
      <c r="B728" s="28" t="s">
        <v>4149</v>
      </c>
      <c r="C728" s="28" t="s">
        <v>3595</v>
      </c>
      <c r="D728" s="29" t="s">
        <v>4150</v>
      </c>
      <c r="E728" s="30" t="s">
        <v>4151</v>
      </c>
      <c r="F728" s="28" t="s">
        <v>4152</v>
      </c>
      <c r="I728" s="32"/>
      <c r="J728" s="32"/>
      <c r="K728" s="33" t="s">
        <v>4149</v>
      </c>
      <c r="L728" s="33" t="s">
        <v>4153</v>
      </c>
      <c r="N728" s="33" t="s">
        <v>4149</v>
      </c>
      <c r="O728" s="35" t="s">
        <v>3589</v>
      </c>
    </row>
    <row r="729">
      <c r="A729" s="38"/>
      <c r="B729" s="28" t="s">
        <v>4154</v>
      </c>
      <c r="C729" s="28" t="s">
        <v>3600</v>
      </c>
      <c r="D729" s="29" t="s">
        <v>4155</v>
      </c>
      <c r="E729" s="30"/>
      <c r="F729" s="28" t="s">
        <v>4156</v>
      </c>
      <c r="I729" s="32"/>
      <c r="J729" s="32"/>
      <c r="K729" s="33" t="s">
        <v>4154</v>
      </c>
      <c r="L729" s="33" t="s">
        <v>4157</v>
      </c>
      <c r="N729" s="33" t="s">
        <v>4154</v>
      </c>
      <c r="O729" s="35" t="s">
        <v>3599</v>
      </c>
    </row>
    <row r="730">
      <c r="A730" s="38"/>
      <c r="B730" s="28" t="s">
        <v>4158</v>
      </c>
      <c r="C730" s="28" t="s">
        <v>3605</v>
      </c>
      <c r="D730" s="29" t="s">
        <v>4159</v>
      </c>
      <c r="E730" s="30"/>
      <c r="F730" s="28" t="s">
        <v>4160</v>
      </c>
      <c r="I730" s="32"/>
      <c r="J730" s="32"/>
      <c r="K730" s="33" t="s">
        <v>4158</v>
      </c>
      <c r="L730" s="33" t="s">
        <v>4161</v>
      </c>
      <c r="N730" s="33" t="s">
        <v>4158</v>
      </c>
      <c r="O730" s="35"/>
    </row>
    <row r="731">
      <c r="A731" s="38"/>
      <c r="B731" s="28" t="s">
        <v>4162</v>
      </c>
      <c r="C731" s="28" t="s">
        <v>4163</v>
      </c>
      <c r="D731" s="29" t="s">
        <v>4164</v>
      </c>
      <c r="E731" s="30" t="s">
        <v>4165</v>
      </c>
      <c r="F731" s="28" t="s">
        <v>4166</v>
      </c>
      <c r="I731" s="32"/>
      <c r="J731" s="32"/>
      <c r="K731" s="33" t="s">
        <v>4162</v>
      </c>
      <c r="L731" s="33" t="s">
        <v>4167</v>
      </c>
      <c r="N731" s="33" t="s">
        <v>4162</v>
      </c>
      <c r="O731" s="35" t="s">
        <v>4168</v>
      </c>
    </row>
    <row r="732">
      <c r="A732" s="38"/>
      <c r="B732" s="28" t="s">
        <v>4169</v>
      </c>
      <c r="C732" s="28" t="s">
        <v>3616</v>
      </c>
      <c r="D732" s="29" t="s">
        <v>4170</v>
      </c>
      <c r="E732" s="30" t="s">
        <v>4171</v>
      </c>
      <c r="F732" s="28" t="s">
        <v>4172</v>
      </c>
      <c r="I732" s="32"/>
      <c r="J732" s="32"/>
      <c r="K732" s="33" t="s">
        <v>4169</v>
      </c>
      <c r="L732" s="33" t="s">
        <v>4173</v>
      </c>
      <c r="N732" s="33" t="s">
        <v>4169</v>
      </c>
      <c r="O732" s="35" t="s">
        <v>3615</v>
      </c>
    </row>
    <row r="733">
      <c r="A733" s="38"/>
      <c r="B733" s="28" t="s">
        <v>4174</v>
      </c>
      <c r="C733" s="28" t="s">
        <v>4175</v>
      </c>
      <c r="D733" s="29" t="s">
        <v>4176</v>
      </c>
      <c r="E733" s="54" t="s">
        <v>4177</v>
      </c>
      <c r="F733" s="28" t="s">
        <v>4178</v>
      </c>
      <c r="I733" s="32"/>
      <c r="J733" s="32"/>
      <c r="K733" s="33" t="s">
        <v>4174</v>
      </c>
      <c r="L733" s="33" t="s">
        <v>4179</v>
      </c>
      <c r="N733" s="33" t="s">
        <v>4174</v>
      </c>
      <c r="O733" s="35" t="s">
        <v>4180</v>
      </c>
    </row>
    <row r="734">
      <c r="A734" s="38"/>
      <c r="B734" s="28" t="s">
        <v>4181</v>
      </c>
      <c r="C734" s="28" t="s">
        <v>3627</v>
      </c>
      <c r="D734" s="29" t="s">
        <v>4182</v>
      </c>
      <c r="E734" s="30" t="s">
        <v>4183</v>
      </c>
      <c r="F734" s="28" t="s">
        <v>4184</v>
      </c>
      <c r="I734" s="32"/>
      <c r="J734" s="32"/>
      <c r="K734" s="33" t="s">
        <v>4181</v>
      </c>
      <c r="L734" s="33" t="s">
        <v>4185</v>
      </c>
      <c r="N734" s="33" t="s">
        <v>4181</v>
      </c>
      <c r="O734" s="35"/>
    </row>
    <row r="735">
      <c r="A735" s="38"/>
      <c r="B735" s="28" t="s">
        <v>4186</v>
      </c>
      <c r="C735" s="28" t="s">
        <v>3633</v>
      </c>
      <c r="D735" s="29" t="s">
        <v>4187</v>
      </c>
      <c r="E735" s="30" t="s">
        <v>4188</v>
      </c>
      <c r="F735" s="28" t="s">
        <v>4189</v>
      </c>
      <c r="I735" s="32"/>
      <c r="J735" s="32"/>
      <c r="K735" s="33" t="s">
        <v>4186</v>
      </c>
      <c r="L735" s="33" t="s">
        <v>4190</v>
      </c>
      <c r="N735" s="33" t="s">
        <v>4186</v>
      </c>
      <c r="O735" s="35" t="s">
        <v>3632</v>
      </c>
    </row>
    <row r="736">
      <c r="A736" s="38"/>
      <c r="B736" s="28" t="s">
        <v>4191</v>
      </c>
      <c r="C736" s="28" t="s">
        <v>3638</v>
      </c>
      <c r="D736" s="29" t="s">
        <v>4192</v>
      </c>
      <c r="E736" s="30" t="s">
        <v>4193</v>
      </c>
      <c r="F736" s="28" t="s">
        <v>4194</v>
      </c>
      <c r="I736" s="32"/>
      <c r="J736" s="32"/>
      <c r="K736" s="33" t="s">
        <v>4191</v>
      </c>
      <c r="L736" s="33" t="s">
        <v>4195</v>
      </c>
      <c r="N736" s="33" t="s">
        <v>4191</v>
      </c>
      <c r="O736" s="35" t="s">
        <v>3637</v>
      </c>
    </row>
    <row r="737">
      <c r="A737" s="38"/>
      <c r="B737" s="28" t="s">
        <v>4196</v>
      </c>
      <c r="C737" s="28" t="s">
        <v>3643</v>
      </c>
      <c r="D737" s="29" t="s">
        <v>4197</v>
      </c>
      <c r="E737" s="30" t="s">
        <v>4198</v>
      </c>
      <c r="F737" s="28" t="s">
        <v>4199</v>
      </c>
      <c r="I737" s="32"/>
      <c r="J737" s="32"/>
      <c r="K737" s="33" t="s">
        <v>4196</v>
      </c>
      <c r="L737" s="33" t="s">
        <v>4200</v>
      </c>
      <c r="N737" s="33" t="s">
        <v>4196</v>
      </c>
      <c r="O737" s="35"/>
    </row>
    <row r="738">
      <c r="A738" s="38"/>
      <c r="B738" s="28" t="s">
        <v>4201</v>
      </c>
      <c r="C738" s="28" t="s">
        <v>3649</v>
      </c>
      <c r="D738" s="29" t="s">
        <v>4202</v>
      </c>
      <c r="E738" s="30" t="s">
        <v>4203</v>
      </c>
      <c r="F738" s="28" t="s">
        <v>4204</v>
      </c>
      <c r="I738" s="32"/>
      <c r="J738" s="32"/>
      <c r="K738" s="33" t="s">
        <v>4201</v>
      </c>
      <c r="L738" s="33" t="s">
        <v>4205</v>
      </c>
      <c r="N738" s="33" t="s">
        <v>4201</v>
      </c>
      <c r="O738" s="35" t="s">
        <v>3648</v>
      </c>
    </row>
    <row r="739">
      <c r="A739" s="38"/>
      <c r="B739" s="28" t="s">
        <v>4206</v>
      </c>
      <c r="C739" s="28" t="s">
        <v>4207</v>
      </c>
      <c r="D739" s="29" t="s">
        <v>4208</v>
      </c>
      <c r="E739" s="30"/>
      <c r="F739" s="28" t="s">
        <v>4209</v>
      </c>
      <c r="I739" s="32"/>
      <c r="J739" s="32"/>
      <c r="K739" s="33" t="s">
        <v>4206</v>
      </c>
      <c r="L739" s="33" t="s">
        <v>4210</v>
      </c>
      <c r="N739" s="33" t="s">
        <v>4206</v>
      </c>
      <c r="O739" s="47" t="s">
        <v>4211</v>
      </c>
    </row>
    <row r="740">
      <c r="A740" s="38"/>
      <c r="B740" s="28" t="s">
        <v>4212</v>
      </c>
      <c r="C740" s="28" t="s">
        <v>4213</v>
      </c>
      <c r="D740" s="29" t="s">
        <v>4214</v>
      </c>
      <c r="E740" s="30"/>
      <c r="F740" s="28" t="s">
        <v>4215</v>
      </c>
      <c r="I740" s="32"/>
      <c r="J740" s="32"/>
      <c r="K740" s="33" t="s">
        <v>4212</v>
      </c>
      <c r="L740" s="33" t="s">
        <v>4216</v>
      </c>
      <c r="N740" s="33" t="s">
        <v>4212</v>
      </c>
      <c r="O740" s="35" t="s">
        <v>4217</v>
      </c>
    </row>
    <row r="741">
      <c r="A741" s="38"/>
      <c r="B741" s="28" t="s">
        <v>4218</v>
      </c>
      <c r="C741" s="28" t="s">
        <v>4219</v>
      </c>
      <c r="D741" s="29" t="s">
        <v>4220</v>
      </c>
      <c r="E741" s="30" t="s">
        <v>4221</v>
      </c>
      <c r="F741" s="28" t="s">
        <v>4222</v>
      </c>
      <c r="I741" s="32"/>
      <c r="J741" s="32"/>
      <c r="K741" s="33" t="s">
        <v>4218</v>
      </c>
      <c r="L741" s="33" t="s">
        <v>4223</v>
      </c>
      <c r="N741" s="33" t="s">
        <v>4218</v>
      </c>
      <c r="O741" s="35" t="s">
        <v>4224</v>
      </c>
    </row>
    <row r="742">
      <c r="A742" s="38"/>
      <c r="B742" s="28" t="s">
        <v>4225</v>
      </c>
      <c r="C742" s="28" t="s">
        <v>4226</v>
      </c>
      <c r="D742" s="29" t="s">
        <v>4227</v>
      </c>
      <c r="E742" s="30"/>
      <c r="F742" s="28" t="s">
        <v>4228</v>
      </c>
      <c r="I742" s="32"/>
      <c r="J742" s="32"/>
      <c r="K742" s="33" t="s">
        <v>4225</v>
      </c>
      <c r="L742" s="33" t="s">
        <v>4229</v>
      </c>
      <c r="N742" s="33" t="s">
        <v>4225</v>
      </c>
      <c r="O742" s="47" t="s">
        <v>4230</v>
      </c>
    </row>
    <row r="743">
      <c r="A743" s="38"/>
      <c r="B743" s="28" t="s">
        <v>4231</v>
      </c>
      <c r="C743" s="28" t="s">
        <v>3660</v>
      </c>
      <c r="D743" s="29" t="s">
        <v>4232</v>
      </c>
      <c r="E743" s="30" t="s">
        <v>4233</v>
      </c>
      <c r="F743" s="28" t="s">
        <v>4234</v>
      </c>
      <c r="I743" s="32"/>
      <c r="J743" s="32"/>
      <c r="K743" s="33" t="s">
        <v>4231</v>
      </c>
      <c r="L743" s="33" t="s">
        <v>4235</v>
      </c>
      <c r="N743" s="33" t="s">
        <v>4231</v>
      </c>
      <c r="O743" s="35" t="s">
        <v>3659</v>
      </c>
    </row>
    <row r="744">
      <c r="A744" s="38"/>
      <c r="B744" s="28" t="s">
        <v>4236</v>
      </c>
      <c r="C744" s="28" t="s">
        <v>3665</v>
      </c>
      <c r="D744" s="29" t="s">
        <v>4237</v>
      </c>
      <c r="E744" s="30" t="s">
        <v>4238</v>
      </c>
      <c r="F744" s="28" t="s">
        <v>4239</v>
      </c>
      <c r="I744" s="32"/>
      <c r="J744" s="32"/>
      <c r="K744" s="33" t="s">
        <v>4236</v>
      </c>
      <c r="L744" s="33" t="s">
        <v>4240</v>
      </c>
      <c r="N744" s="33" t="s">
        <v>4236</v>
      </c>
      <c r="O744" s="35"/>
    </row>
    <row r="745">
      <c r="A745" s="38"/>
      <c r="B745" s="28" t="s">
        <v>4241</v>
      </c>
      <c r="C745" s="28" t="s">
        <v>4242</v>
      </c>
      <c r="D745" s="29" t="s">
        <v>4243</v>
      </c>
      <c r="E745" s="30" t="s">
        <v>4244</v>
      </c>
      <c r="F745" s="28" t="s">
        <v>4245</v>
      </c>
      <c r="I745" s="32"/>
      <c r="J745" s="32"/>
      <c r="K745" s="33" t="s">
        <v>4241</v>
      </c>
      <c r="L745" s="33" t="s">
        <v>4246</v>
      </c>
      <c r="N745" s="33" t="s">
        <v>4241</v>
      </c>
      <c r="O745" s="35"/>
    </row>
    <row r="746">
      <c r="A746" s="38"/>
      <c r="B746" s="28" t="s">
        <v>4247</v>
      </c>
      <c r="C746" s="28" t="s">
        <v>4248</v>
      </c>
      <c r="D746" s="29" t="s">
        <v>4249</v>
      </c>
      <c r="E746" s="30" t="s">
        <v>654</v>
      </c>
      <c r="F746" s="28" t="s">
        <v>650</v>
      </c>
      <c r="I746" s="32"/>
      <c r="J746" s="32"/>
      <c r="K746" s="33" t="s">
        <v>4247</v>
      </c>
      <c r="L746" s="33" t="s">
        <v>4250</v>
      </c>
      <c r="N746" s="33" t="s">
        <v>4247</v>
      </c>
      <c r="O746" s="35" t="s">
        <v>4251</v>
      </c>
    </row>
    <row r="747">
      <c r="A747" s="38"/>
      <c r="B747" s="28" t="s">
        <v>4252</v>
      </c>
      <c r="C747" s="28" t="s">
        <v>3682</v>
      </c>
      <c r="D747" s="29" t="s">
        <v>4253</v>
      </c>
      <c r="E747" s="30" t="s">
        <v>4254</v>
      </c>
      <c r="F747" s="28" t="s">
        <v>4255</v>
      </c>
      <c r="I747" s="32"/>
      <c r="J747" s="32"/>
      <c r="K747" s="33" t="s">
        <v>4252</v>
      </c>
      <c r="L747" s="33" t="s">
        <v>4256</v>
      </c>
      <c r="N747" s="33" t="s">
        <v>4252</v>
      </c>
      <c r="O747" s="35" t="s">
        <v>3681</v>
      </c>
    </row>
    <row r="748">
      <c r="A748" s="38"/>
      <c r="B748" s="28" t="s">
        <v>4257</v>
      </c>
      <c r="C748" s="28" t="s">
        <v>3687</v>
      </c>
      <c r="D748" s="29" t="s">
        <v>4258</v>
      </c>
      <c r="E748" s="30" t="s">
        <v>4259</v>
      </c>
      <c r="F748" s="28" t="s">
        <v>4260</v>
      </c>
      <c r="I748" s="32"/>
      <c r="J748" s="32"/>
      <c r="K748" s="33" t="s">
        <v>4257</v>
      </c>
      <c r="L748" s="33" t="s">
        <v>4261</v>
      </c>
      <c r="N748" s="33" t="s">
        <v>4257</v>
      </c>
      <c r="O748" s="35" t="s">
        <v>3686</v>
      </c>
    </row>
    <row r="749">
      <c r="A749" s="38"/>
      <c r="B749" s="28" t="s">
        <v>4262</v>
      </c>
      <c r="C749" s="28" t="s">
        <v>3692</v>
      </c>
      <c r="D749" s="29" t="s">
        <v>4263</v>
      </c>
      <c r="E749" s="30"/>
      <c r="F749" s="28" t="s">
        <v>4264</v>
      </c>
      <c r="I749" s="32"/>
      <c r="J749" s="32"/>
      <c r="K749" s="33" t="s">
        <v>4262</v>
      </c>
      <c r="L749" s="33" t="s">
        <v>4265</v>
      </c>
      <c r="N749" s="33" t="s">
        <v>4262</v>
      </c>
      <c r="O749" s="35" t="s">
        <v>3691</v>
      </c>
    </row>
    <row r="750">
      <c r="A750" s="38"/>
      <c r="B750" s="28" t="s">
        <v>4266</v>
      </c>
      <c r="C750" s="28" t="s">
        <v>4267</v>
      </c>
      <c r="D750" s="29" t="s">
        <v>4268</v>
      </c>
      <c r="E750" s="30" t="s">
        <v>4269</v>
      </c>
      <c r="F750" s="28" t="s">
        <v>4270</v>
      </c>
      <c r="I750" s="32"/>
      <c r="J750" s="32"/>
      <c r="K750" s="33" t="s">
        <v>4266</v>
      </c>
      <c r="L750" s="33" t="s">
        <v>4271</v>
      </c>
      <c r="N750" s="33" t="s">
        <v>4266</v>
      </c>
      <c r="O750" s="35" t="s">
        <v>3809</v>
      </c>
    </row>
    <row r="751">
      <c r="A751" s="38"/>
      <c r="B751" s="28" t="s">
        <v>4272</v>
      </c>
      <c r="C751" s="28" t="s">
        <v>4273</v>
      </c>
      <c r="D751" s="29" t="s">
        <v>4274</v>
      </c>
      <c r="E751" s="30" t="s">
        <v>4275</v>
      </c>
      <c r="F751" s="28" t="s">
        <v>4276</v>
      </c>
      <c r="I751" s="32"/>
      <c r="J751" s="32"/>
      <c r="K751" s="33" t="s">
        <v>4272</v>
      </c>
      <c r="L751" s="33" t="s">
        <v>4277</v>
      </c>
      <c r="N751" s="33" t="s">
        <v>4272</v>
      </c>
      <c r="O751" s="35"/>
    </row>
    <row r="752">
      <c r="A752" s="38"/>
      <c r="B752" s="28" t="s">
        <v>4278</v>
      </c>
      <c r="C752" s="28" t="s">
        <v>3702</v>
      </c>
      <c r="D752" s="29" t="s">
        <v>4279</v>
      </c>
      <c r="E752" s="30" t="s">
        <v>4280</v>
      </c>
      <c r="F752" s="28" t="s">
        <v>4281</v>
      </c>
      <c r="I752" s="32"/>
      <c r="J752" s="32"/>
      <c r="K752" s="33" t="s">
        <v>4278</v>
      </c>
      <c r="L752" s="33" t="s">
        <v>4282</v>
      </c>
      <c r="N752" s="33" t="s">
        <v>4278</v>
      </c>
      <c r="O752" s="35" t="s">
        <v>3701</v>
      </c>
    </row>
    <row r="753">
      <c r="A753" s="38"/>
      <c r="B753" s="28" t="s">
        <v>4283</v>
      </c>
      <c r="C753" s="28" t="s">
        <v>4284</v>
      </c>
      <c r="D753" s="29" t="s">
        <v>4285</v>
      </c>
      <c r="E753" s="30" t="s">
        <v>4286</v>
      </c>
      <c r="F753" s="28" t="s">
        <v>4287</v>
      </c>
      <c r="I753" s="32"/>
      <c r="J753" s="32"/>
      <c r="K753" s="33" t="s">
        <v>4283</v>
      </c>
      <c r="L753" s="33" t="s">
        <v>4288</v>
      </c>
      <c r="N753" s="33" t="s">
        <v>4283</v>
      </c>
      <c r="O753" s="35" t="s">
        <v>548</v>
      </c>
    </row>
    <row r="754">
      <c r="A754" s="38"/>
      <c r="B754" s="28" t="s">
        <v>4289</v>
      </c>
      <c r="C754" s="28" t="s">
        <v>4290</v>
      </c>
      <c r="D754" s="29" t="s">
        <v>4291</v>
      </c>
      <c r="E754" s="30"/>
      <c r="F754" s="28" t="s">
        <v>4292</v>
      </c>
      <c r="I754" s="32"/>
      <c r="J754" s="32"/>
      <c r="K754" s="33" t="s">
        <v>4289</v>
      </c>
      <c r="L754" s="33" t="s">
        <v>4293</v>
      </c>
      <c r="N754" s="33" t="s">
        <v>4289</v>
      </c>
      <c r="O754" s="35" t="s">
        <v>3696</v>
      </c>
    </row>
    <row r="755">
      <c r="A755" s="38"/>
      <c r="B755" s="28" t="s">
        <v>4294</v>
      </c>
      <c r="C755" s="28" t="s">
        <v>3717</v>
      </c>
      <c r="D755" s="29" t="s">
        <v>4295</v>
      </c>
      <c r="E755" s="30" t="s">
        <v>4296</v>
      </c>
      <c r="F755" s="28" t="s">
        <v>4297</v>
      </c>
      <c r="I755" s="32"/>
      <c r="J755" s="32"/>
      <c r="K755" s="33" t="s">
        <v>4294</v>
      </c>
      <c r="L755" s="33" t="s">
        <v>4298</v>
      </c>
      <c r="N755" s="33" t="s">
        <v>4294</v>
      </c>
      <c r="O755" s="47" t="s">
        <v>4299</v>
      </c>
    </row>
    <row r="756">
      <c r="A756" s="38"/>
      <c r="B756" s="28" t="s">
        <v>4300</v>
      </c>
      <c r="C756" s="28" t="s">
        <v>3729</v>
      </c>
      <c r="D756" s="29" t="s">
        <v>4301</v>
      </c>
      <c r="E756" s="30"/>
      <c r="F756" s="28" t="s">
        <v>4302</v>
      </c>
      <c r="I756" s="32"/>
      <c r="J756" s="32"/>
      <c r="K756" s="33" t="s">
        <v>4300</v>
      </c>
      <c r="L756" s="33" t="s">
        <v>4303</v>
      </c>
      <c r="N756" s="33" t="s">
        <v>4300</v>
      </c>
      <c r="O756" s="35" t="s">
        <v>3728</v>
      </c>
    </row>
    <row r="757">
      <c r="A757" s="38"/>
      <c r="B757" s="28" t="s">
        <v>4304</v>
      </c>
      <c r="C757" s="28" t="s">
        <v>3735</v>
      </c>
      <c r="D757" s="29" t="s">
        <v>4305</v>
      </c>
      <c r="E757" s="30"/>
      <c r="F757" s="28" t="s">
        <v>4306</v>
      </c>
      <c r="I757" s="32"/>
      <c r="J757" s="32"/>
      <c r="K757" s="33" t="s">
        <v>4304</v>
      </c>
      <c r="L757" s="33" t="s">
        <v>4307</v>
      </c>
      <c r="N757" s="33" t="s">
        <v>4304</v>
      </c>
      <c r="O757" s="35" t="s">
        <v>3734</v>
      </c>
    </row>
    <row r="758">
      <c r="A758" s="38"/>
      <c r="B758" s="28" t="s">
        <v>4308</v>
      </c>
      <c r="C758" s="28" t="s">
        <v>3744</v>
      </c>
      <c r="D758" s="29" t="s">
        <v>4309</v>
      </c>
      <c r="E758" s="30" t="s">
        <v>4310</v>
      </c>
      <c r="F758" s="28" t="s">
        <v>4311</v>
      </c>
      <c r="I758" s="32"/>
      <c r="J758" s="32"/>
      <c r="K758" s="33" t="s">
        <v>4308</v>
      </c>
      <c r="L758" s="33" t="s">
        <v>4312</v>
      </c>
      <c r="N758" s="33" t="s">
        <v>4308</v>
      </c>
      <c r="O758" s="35"/>
    </row>
    <row r="759">
      <c r="A759" s="38"/>
      <c r="B759" s="28" t="s">
        <v>4313</v>
      </c>
      <c r="C759" s="28" t="s">
        <v>4314</v>
      </c>
      <c r="D759" s="29" t="s">
        <v>4315</v>
      </c>
      <c r="E759" s="30" t="s">
        <v>4316</v>
      </c>
      <c r="F759" s="28" t="s">
        <v>4317</v>
      </c>
      <c r="I759" s="32"/>
      <c r="J759" s="32"/>
      <c r="K759" s="33" t="s">
        <v>4313</v>
      </c>
      <c r="L759" s="33" t="s">
        <v>4318</v>
      </c>
      <c r="N759" s="33" t="s">
        <v>4313</v>
      </c>
      <c r="O759" s="47" t="s">
        <v>4319</v>
      </c>
    </row>
    <row r="760">
      <c r="A760" s="38"/>
      <c r="B760" s="28" t="s">
        <v>4320</v>
      </c>
      <c r="C760" s="28" t="s">
        <v>4321</v>
      </c>
      <c r="D760" s="29" t="s">
        <v>4322</v>
      </c>
      <c r="E760" s="30" t="s">
        <v>4323</v>
      </c>
      <c r="F760" s="28" t="s">
        <v>4324</v>
      </c>
      <c r="I760" s="32"/>
      <c r="J760" s="32"/>
      <c r="K760" s="33" t="s">
        <v>4320</v>
      </c>
      <c r="L760" s="33" t="s">
        <v>4325</v>
      </c>
      <c r="N760" s="33" t="s">
        <v>4320</v>
      </c>
      <c r="O760" s="35" t="s">
        <v>4326</v>
      </c>
    </row>
    <row r="761">
      <c r="A761" s="38"/>
      <c r="B761" s="28" t="s">
        <v>4327</v>
      </c>
      <c r="C761" s="28" t="s">
        <v>3749</v>
      </c>
      <c r="D761" s="29" t="s">
        <v>4328</v>
      </c>
      <c r="E761" s="30" t="s">
        <v>4329</v>
      </c>
      <c r="F761" s="28" t="s">
        <v>4330</v>
      </c>
      <c r="I761" s="32"/>
      <c r="J761" s="32"/>
      <c r="K761" s="33" t="s">
        <v>4327</v>
      </c>
      <c r="L761" s="33" t="s">
        <v>4331</v>
      </c>
      <c r="N761" s="33" t="s">
        <v>4327</v>
      </c>
      <c r="O761" s="35" t="s">
        <v>3748</v>
      </c>
    </row>
    <row r="762">
      <c r="A762" s="38"/>
      <c r="B762" s="28" t="s">
        <v>4332</v>
      </c>
      <c r="C762" s="28" t="s">
        <v>3753</v>
      </c>
      <c r="D762" s="29" t="s">
        <v>4333</v>
      </c>
      <c r="E762" s="30" t="s">
        <v>4334</v>
      </c>
      <c r="F762" s="28" t="s">
        <v>4335</v>
      </c>
      <c r="I762" s="32"/>
      <c r="J762" s="32"/>
      <c r="K762" s="33" t="s">
        <v>4332</v>
      </c>
      <c r="L762" s="33" t="s">
        <v>4336</v>
      </c>
      <c r="N762" s="33" t="s">
        <v>4332</v>
      </c>
      <c r="O762" s="35"/>
    </row>
    <row r="763">
      <c r="A763" s="38"/>
      <c r="B763" s="28" t="s">
        <v>4337</v>
      </c>
      <c r="C763" s="28" t="s">
        <v>4338</v>
      </c>
      <c r="D763" s="29" t="s">
        <v>4339</v>
      </c>
      <c r="E763" s="30" t="s">
        <v>4340</v>
      </c>
      <c r="F763" s="28" t="s">
        <v>4341</v>
      </c>
      <c r="I763" s="32"/>
      <c r="J763" s="32"/>
      <c r="K763" s="33" t="s">
        <v>4337</v>
      </c>
      <c r="L763" s="33" t="s">
        <v>4342</v>
      </c>
      <c r="N763" s="33" t="s">
        <v>4337</v>
      </c>
      <c r="O763" s="35" t="s">
        <v>4343</v>
      </c>
    </row>
    <row r="764">
      <c r="A764" s="38"/>
      <c r="B764" s="28" t="s">
        <v>4344</v>
      </c>
      <c r="C764" s="28" t="s">
        <v>3762</v>
      </c>
      <c r="D764" s="29" t="s">
        <v>4345</v>
      </c>
      <c r="E764" s="30" t="s">
        <v>4346</v>
      </c>
      <c r="F764" s="28" t="s">
        <v>4347</v>
      </c>
      <c r="I764" s="32"/>
      <c r="J764" s="32"/>
      <c r="K764" s="33" t="s">
        <v>4344</v>
      </c>
      <c r="L764" s="33" t="s">
        <v>4348</v>
      </c>
      <c r="N764" s="33" t="s">
        <v>4344</v>
      </c>
      <c r="O764" s="35"/>
    </row>
    <row r="765">
      <c r="A765" s="38"/>
      <c r="B765" s="28" t="s">
        <v>4349</v>
      </c>
      <c r="C765" s="28" t="s">
        <v>3767</v>
      </c>
      <c r="D765" s="29" t="s">
        <v>4350</v>
      </c>
      <c r="E765" s="30" t="s">
        <v>4351</v>
      </c>
      <c r="F765" s="28" t="s">
        <v>4352</v>
      </c>
      <c r="I765" s="32"/>
      <c r="J765" s="32"/>
      <c r="K765" s="33" t="s">
        <v>4349</v>
      </c>
      <c r="L765" s="33" t="s">
        <v>4353</v>
      </c>
      <c r="N765" s="33" t="s">
        <v>4349</v>
      </c>
      <c r="O765" s="35"/>
    </row>
    <row r="766">
      <c r="A766" s="38"/>
      <c r="B766" s="28" t="s">
        <v>4354</v>
      </c>
      <c r="C766" s="28" t="s">
        <v>3772</v>
      </c>
      <c r="D766" s="29" t="s">
        <v>4355</v>
      </c>
      <c r="E766" s="30" t="s">
        <v>4356</v>
      </c>
      <c r="F766" s="28" t="s">
        <v>4357</v>
      </c>
      <c r="I766" s="32"/>
      <c r="J766" s="32"/>
      <c r="K766" s="33" t="s">
        <v>4354</v>
      </c>
      <c r="L766" s="33" t="s">
        <v>4358</v>
      </c>
      <c r="N766" s="33" t="s">
        <v>4354</v>
      </c>
      <c r="O766" s="35" t="s">
        <v>3771</v>
      </c>
    </row>
    <row r="767">
      <c r="A767" s="38"/>
      <c r="B767" s="28" t="s">
        <v>4359</v>
      </c>
      <c r="C767" s="28" t="s">
        <v>4360</v>
      </c>
      <c r="D767" s="29" t="s">
        <v>4361</v>
      </c>
      <c r="E767" s="54" t="s">
        <v>4362</v>
      </c>
      <c r="F767" s="28" t="s">
        <v>4363</v>
      </c>
      <c r="I767" s="32"/>
      <c r="J767" s="32"/>
      <c r="K767" s="33" t="s">
        <v>4359</v>
      </c>
      <c r="L767" s="33" t="s">
        <v>4364</v>
      </c>
      <c r="N767" s="33" t="s">
        <v>4359</v>
      </c>
      <c r="O767" s="35" t="s">
        <v>4365</v>
      </c>
    </row>
    <row r="768">
      <c r="A768" s="38"/>
      <c r="B768" s="28" t="s">
        <v>4366</v>
      </c>
      <c r="C768" s="28" t="s">
        <v>4367</v>
      </c>
      <c r="D768" s="29" t="s">
        <v>4368</v>
      </c>
      <c r="E768" s="30" t="s">
        <v>4369</v>
      </c>
      <c r="F768" s="28" t="s">
        <v>4370</v>
      </c>
      <c r="I768" s="32"/>
      <c r="J768" s="32"/>
      <c r="K768" s="33" t="s">
        <v>4366</v>
      </c>
      <c r="L768" s="33" t="s">
        <v>4371</v>
      </c>
      <c r="N768" s="33" t="s">
        <v>4366</v>
      </c>
      <c r="O768" s="35" t="s">
        <v>4372</v>
      </c>
    </row>
    <row r="769">
      <c r="A769" s="38"/>
      <c r="B769" s="28" t="s">
        <v>4373</v>
      </c>
      <c r="C769" s="28" t="s">
        <v>4374</v>
      </c>
      <c r="D769" s="29" t="s">
        <v>4375</v>
      </c>
      <c r="E769" s="30"/>
      <c r="F769" s="28" t="s">
        <v>4376</v>
      </c>
      <c r="I769" s="32"/>
      <c r="J769" s="32"/>
      <c r="K769" s="33" t="s">
        <v>4373</v>
      </c>
      <c r="L769" s="33" t="s">
        <v>4377</v>
      </c>
      <c r="N769" s="33" t="s">
        <v>4373</v>
      </c>
      <c r="O769" s="35"/>
    </row>
    <row r="770">
      <c r="A770" s="38"/>
      <c r="B770" s="28" t="s">
        <v>4378</v>
      </c>
      <c r="C770" s="28" t="s">
        <v>4379</v>
      </c>
      <c r="D770" s="29" t="s">
        <v>4380</v>
      </c>
      <c r="E770" s="30" t="s">
        <v>4381</v>
      </c>
      <c r="F770" s="28" t="s">
        <v>4382</v>
      </c>
      <c r="I770" s="32"/>
      <c r="J770" s="32"/>
      <c r="K770" s="33" t="s">
        <v>4378</v>
      </c>
      <c r="L770" s="33" t="s">
        <v>4383</v>
      </c>
      <c r="N770" s="33" t="s">
        <v>4378</v>
      </c>
      <c r="O770" s="35"/>
    </row>
    <row r="771">
      <c r="A771" s="38"/>
      <c r="B771" s="28" t="s">
        <v>4384</v>
      </c>
      <c r="C771" s="28" t="s">
        <v>4385</v>
      </c>
      <c r="D771" s="29" t="s">
        <v>4386</v>
      </c>
      <c r="E771" s="30" t="s">
        <v>4387</v>
      </c>
      <c r="F771" s="28" t="s">
        <v>4388</v>
      </c>
      <c r="I771" s="32"/>
      <c r="J771" s="32"/>
      <c r="K771" s="33" t="s">
        <v>4384</v>
      </c>
      <c r="L771" s="33" t="s">
        <v>4389</v>
      </c>
      <c r="N771" s="33" t="s">
        <v>4384</v>
      </c>
      <c r="O771" s="35" t="s">
        <v>4390</v>
      </c>
    </row>
    <row r="772">
      <c r="A772" s="38"/>
      <c r="B772" s="28" t="s">
        <v>4391</v>
      </c>
      <c r="C772" s="28" t="s">
        <v>3789</v>
      </c>
      <c r="D772" s="29" t="s">
        <v>4392</v>
      </c>
      <c r="E772" s="30" t="s">
        <v>4393</v>
      </c>
      <c r="F772" s="28" t="s">
        <v>4394</v>
      </c>
      <c r="I772" s="32"/>
      <c r="J772" s="32"/>
      <c r="K772" s="33" t="s">
        <v>4391</v>
      </c>
      <c r="L772" s="33" t="s">
        <v>4395</v>
      </c>
      <c r="N772" s="33" t="s">
        <v>4391</v>
      </c>
      <c r="O772" s="35"/>
    </row>
    <row r="773">
      <c r="A773" s="38"/>
      <c r="B773" s="28" t="s">
        <v>4396</v>
      </c>
      <c r="C773" s="28" t="s">
        <v>3795</v>
      </c>
      <c r="D773" s="29" t="s">
        <v>4397</v>
      </c>
      <c r="E773" s="30"/>
      <c r="F773" s="28" t="s">
        <v>4398</v>
      </c>
      <c r="I773" s="32"/>
      <c r="J773" s="32"/>
      <c r="K773" s="33" t="s">
        <v>4396</v>
      </c>
      <c r="L773" s="33" t="s">
        <v>4399</v>
      </c>
      <c r="N773" s="33" t="s">
        <v>4396</v>
      </c>
      <c r="O773" s="35" t="s">
        <v>3794</v>
      </c>
    </row>
    <row r="774">
      <c r="A774" s="38"/>
      <c r="B774" s="28" t="s">
        <v>4400</v>
      </c>
      <c r="C774" s="28" t="s">
        <v>4401</v>
      </c>
      <c r="D774" s="29" t="s">
        <v>4402</v>
      </c>
      <c r="E774" s="30" t="s">
        <v>4403</v>
      </c>
      <c r="F774" s="28" t="s">
        <v>4404</v>
      </c>
      <c r="I774" s="32"/>
      <c r="J774" s="32"/>
      <c r="K774" s="33" t="s">
        <v>4400</v>
      </c>
      <c r="L774" s="33" t="s">
        <v>4405</v>
      </c>
      <c r="N774" s="33" t="s">
        <v>4400</v>
      </c>
      <c r="O774" s="35" t="s">
        <v>3794</v>
      </c>
    </row>
    <row r="775">
      <c r="A775" s="38"/>
      <c r="B775" s="28" t="s">
        <v>4406</v>
      </c>
      <c r="C775" s="28" t="s">
        <v>3800</v>
      </c>
      <c r="D775" s="29" t="s">
        <v>4407</v>
      </c>
      <c r="E775" s="30"/>
      <c r="F775" s="28" t="s">
        <v>4408</v>
      </c>
      <c r="I775" s="32"/>
      <c r="J775" s="32"/>
      <c r="K775" s="33" t="s">
        <v>4406</v>
      </c>
      <c r="L775" s="33" t="s">
        <v>4409</v>
      </c>
      <c r="N775" s="33" t="s">
        <v>4406</v>
      </c>
      <c r="O775" s="35" t="s">
        <v>3799</v>
      </c>
    </row>
    <row r="776">
      <c r="A776" s="38"/>
      <c r="B776" s="28" t="s">
        <v>4410</v>
      </c>
      <c r="C776" s="28" t="s">
        <v>3805</v>
      </c>
      <c r="D776" s="29" t="s">
        <v>4411</v>
      </c>
      <c r="E776" s="30"/>
      <c r="F776" s="28" t="s">
        <v>4412</v>
      </c>
      <c r="I776" s="32"/>
      <c r="J776" s="32"/>
      <c r="K776" s="33" t="s">
        <v>4410</v>
      </c>
      <c r="L776" s="33" t="s">
        <v>4413</v>
      </c>
      <c r="N776" s="33" t="s">
        <v>4410</v>
      </c>
      <c r="O776" s="35" t="s">
        <v>3804</v>
      </c>
    </row>
    <row r="777">
      <c r="A777" s="38"/>
      <c r="B777" s="28" t="s">
        <v>4414</v>
      </c>
      <c r="C777" s="28" t="s">
        <v>4415</v>
      </c>
      <c r="D777" s="29" t="s">
        <v>4416</v>
      </c>
      <c r="E777" s="30" t="s">
        <v>4417</v>
      </c>
      <c r="F777" s="28" t="s">
        <v>4418</v>
      </c>
      <c r="I777" s="32"/>
      <c r="J777" s="32"/>
      <c r="K777" s="33" t="s">
        <v>4414</v>
      </c>
      <c r="L777" s="33" t="s">
        <v>4419</v>
      </c>
      <c r="N777" s="33" t="s">
        <v>4414</v>
      </c>
      <c r="O777" s="35" t="s">
        <v>4420</v>
      </c>
    </row>
    <row r="778">
      <c r="A778" s="38"/>
      <c r="B778" s="28" t="s">
        <v>4421</v>
      </c>
      <c r="C778" s="28" t="s">
        <v>3810</v>
      </c>
      <c r="D778" s="29" t="s">
        <v>4422</v>
      </c>
      <c r="E778" s="30" t="s">
        <v>4423</v>
      </c>
      <c r="F778" s="28" t="s">
        <v>4424</v>
      </c>
      <c r="I778" s="32"/>
      <c r="J778" s="32"/>
      <c r="K778" s="33" t="s">
        <v>4421</v>
      </c>
      <c r="L778" s="33" t="s">
        <v>4425</v>
      </c>
      <c r="N778" s="33" t="s">
        <v>4421</v>
      </c>
      <c r="O778" s="35" t="s">
        <v>3809</v>
      </c>
    </row>
    <row r="779">
      <c r="A779" s="38"/>
      <c r="B779" s="28" t="s">
        <v>4426</v>
      </c>
      <c r="C779" s="28" t="s">
        <v>4427</v>
      </c>
      <c r="D779" s="29" t="s">
        <v>4428</v>
      </c>
      <c r="E779" s="30"/>
      <c r="F779" s="28" t="s">
        <v>4429</v>
      </c>
      <c r="I779" s="32"/>
      <c r="J779" s="32"/>
      <c r="K779" s="33" t="s">
        <v>4426</v>
      </c>
      <c r="L779" s="33" t="s">
        <v>4430</v>
      </c>
      <c r="N779" s="33" t="s">
        <v>4426</v>
      </c>
      <c r="O779" s="35"/>
    </row>
    <row r="780">
      <c r="A780" s="38"/>
      <c r="B780" s="28" t="s">
        <v>4431</v>
      </c>
      <c r="C780" s="28" t="s">
        <v>3820</v>
      </c>
      <c r="D780" s="29" t="s">
        <v>4432</v>
      </c>
      <c r="E780" s="54" t="s">
        <v>4433</v>
      </c>
      <c r="F780" s="28" t="s">
        <v>4434</v>
      </c>
      <c r="I780" s="32"/>
      <c r="J780" s="32"/>
      <c r="K780" s="33" t="s">
        <v>4431</v>
      </c>
      <c r="L780" s="33" t="s">
        <v>4435</v>
      </c>
      <c r="N780" s="33" t="s">
        <v>4431</v>
      </c>
      <c r="O780" s="35" t="s">
        <v>3819</v>
      </c>
    </row>
    <row r="781">
      <c r="A781" s="38"/>
      <c r="B781" s="28" t="s">
        <v>4436</v>
      </c>
      <c r="C781" s="28" t="s">
        <v>3825</v>
      </c>
      <c r="D781" s="29" t="s">
        <v>4437</v>
      </c>
      <c r="E781" s="30" t="s">
        <v>4438</v>
      </c>
      <c r="F781" s="28" t="s">
        <v>4439</v>
      </c>
      <c r="I781" s="32"/>
      <c r="J781" s="32"/>
      <c r="K781" s="33" t="s">
        <v>4436</v>
      </c>
      <c r="L781" s="33" t="s">
        <v>4440</v>
      </c>
      <c r="N781" s="33" t="s">
        <v>4436</v>
      </c>
      <c r="O781" s="35" t="s">
        <v>3824</v>
      </c>
    </row>
    <row r="782">
      <c r="A782" s="38"/>
      <c r="B782" s="28" t="s">
        <v>4441</v>
      </c>
      <c r="C782" s="28" t="s">
        <v>3837</v>
      </c>
      <c r="D782" s="29" t="s">
        <v>4442</v>
      </c>
      <c r="E782" s="54" t="s">
        <v>4443</v>
      </c>
      <c r="F782" s="28" t="s">
        <v>4444</v>
      </c>
      <c r="I782" s="32"/>
      <c r="J782" s="32"/>
      <c r="K782" s="33" t="s">
        <v>4441</v>
      </c>
      <c r="L782" s="33" t="s">
        <v>4445</v>
      </c>
      <c r="N782" s="33" t="s">
        <v>4441</v>
      </c>
      <c r="O782" s="35" t="s">
        <v>3836</v>
      </c>
    </row>
    <row r="783">
      <c r="A783" s="38"/>
      <c r="B783" s="28" t="s">
        <v>4446</v>
      </c>
      <c r="C783" s="28" t="s">
        <v>4447</v>
      </c>
      <c r="D783" s="29" t="s">
        <v>4448</v>
      </c>
      <c r="E783" s="30" t="s">
        <v>4449</v>
      </c>
      <c r="F783" s="28" t="s">
        <v>4450</v>
      </c>
      <c r="I783" s="32"/>
      <c r="J783" s="32"/>
      <c r="K783" s="33" t="s">
        <v>4446</v>
      </c>
      <c r="L783" s="33" t="s">
        <v>4451</v>
      </c>
      <c r="N783" s="33" t="s">
        <v>4446</v>
      </c>
      <c r="O783" s="35"/>
    </row>
    <row r="784">
      <c r="A784" s="38"/>
      <c r="B784" s="28" t="s">
        <v>4452</v>
      </c>
      <c r="C784" s="28" t="s">
        <v>4453</v>
      </c>
      <c r="D784" s="29" t="s">
        <v>4454</v>
      </c>
      <c r="E784" s="30" t="s">
        <v>4455</v>
      </c>
      <c r="F784" s="28" t="s">
        <v>4456</v>
      </c>
      <c r="I784" s="32"/>
      <c r="J784" s="32"/>
      <c r="K784" s="33" t="s">
        <v>4452</v>
      </c>
      <c r="L784" s="33" t="s">
        <v>4457</v>
      </c>
      <c r="N784" s="33" t="s">
        <v>4452</v>
      </c>
      <c r="O784" s="35" t="s">
        <v>4458</v>
      </c>
    </row>
    <row r="785">
      <c r="A785" s="38"/>
      <c r="B785" s="28" t="s">
        <v>4459</v>
      </c>
      <c r="C785" s="28" t="s">
        <v>3848</v>
      </c>
      <c r="D785" s="29" t="s">
        <v>4460</v>
      </c>
      <c r="E785" s="54" t="s">
        <v>4461</v>
      </c>
      <c r="F785" s="28" t="s">
        <v>4462</v>
      </c>
      <c r="I785" s="32"/>
      <c r="J785" s="32"/>
      <c r="K785" s="33" t="s">
        <v>4459</v>
      </c>
      <c r="L785" s="33" t="s">
        <v>4463</v>
      </c>
      <c r="N785" s="33" t="s">
        <v>4459</v>
      </c>
      <c r="O785" s="35" t="s">
        <v>3847</v>
      </c>
    </row>
    <row r="786">
      <c r="A786" s="38"/>
      <c r="B786" s="28" t="s">
        <v>4464</v>
      </c>
      <c r="C786" s="28" t="s">
        <v>4465</v>
      </c>
      <c r="D786" s="29" t="s">
        <v>4466</v>
      </c>
      <c r="E786" s="30"/>
      <c r="F786" s="28" t="s">
        <v>4467</v>
      </c>
      <c r="I786" s="32"/>
      <c r="J786" s="32"/>
      <c r="K786" s="33" t="s">
        <v>4464</v>
      </c>
      <c r="L786" s="33" t="s">
        <v>4468</v>
      </c>
      <c r="N786" s="33" t="s">
        <v>4464</v>
      </c>
      <c r="O786" s="35" t="s">
        <v>4469</v>
      </c>
    </row>
    <row r="787">
      <c r="A787" s="38"/>
      <c r="B787" s="28" t="s">
        <v>4470</v>
      </c>
      <c r="C787" s="28" t="s">
        <v>4471</v>
      </c>
      <c r="D787" s="29" t="s">
        <v>4472</v>
      </c>
      <c r="E787" s="30"/>
      <c r="F787" s="28" t="s">
        <v>4473</v>
      </c>
      <c r="I787" s="32"/>
      <c r="J787" s="32"/>
      <c r="K787" s="33" t="s">
        <v>4470</v>
      </c>
      <c r="L787" s="33" t="s">
        <v>4474</v>
      </c>
      <c r="N787" s="33" t="s">
        <v>4470</v>
      </c>
      <c r="O787" s="35" t="s">
        <v>4475</v>
      </c>
    </row>
    <row r="788">
      <c r="A788" s="38"/>
      <c r="B788" s="28" t="s">
        <v>4476</v>
      </c>
      <c r="C788" s="28" t="s">
        <v>4477</v>
      </c>
      <c r="D788" s="29" t="s">
        <v>4478</v>
      </c>
      <c r="E788" s="30"/>
      <c r="F788" s="28" t="s">
        <v>4479</v>
      </c>
      <c r="I788" s="32"/>
      <c r="J788" s="32"/>
      <c r="K788" s="33" t="s">
        <v>4476</v>
      </c>
      <c r="L788" s="33" t="s">
        <v>4480</v>
      </c>
      <c r="N788" s="33" t="s">
        <v>4476</v>
      </c>
      <c r="O788" s="35" t="s">
        <v>4481</v>
      </c>
    </row>
    <row r="789">
      <c r="A789" s="38"/>
      <c r="B789" s="28" t="s">
        <v>4482</v>
      </c>
      <c r="C789" s="28" t="s">
        <v>4483</v>
      </c>
      <c r="D789" s="29" t="s">
        <v>4484</v>
      </c>
      <c r="E789" s="30"/>
      <c r="F789" s="28" t="s">
        <v>4485</v>
      </c>
      <c r="I789" s="32"/>
      <c r="J789" s="32"/>
      <c r="K789" s="33" t="s">
        <v>4482</v>
      </c>
      <c r="L789" s="33" t="s">
        <v>4486</v>
      </c>
      <c r="N789" s="33" t="s">
        <v>4482</v>
      </c>
      <c r="O789" s="35" t="s">
        <v>4487</v>
      </c>
    </row>
    <row r="790">
      <c r="A790" s="38"/>
      <c r="B790" s="28" t="s">
        <v>4488</v>
      </c>
      <c r="C790" s="28" t="s">
        <v>3872</v>
      </c>
      <c r="D790" s="29" t="s">
        <v>4489</v>
      </c>
      <c r="E790" s="30"/>
      <c r="F790" s="28" t="s">
        <v>4490</v>
      </c>
      <c r="I790" s="32"/>
      <c r="J790" s="32"/>
      <c r="K790" s="33" t="s">
        <v>4488</v>
      </c>
      <c r="L790" s="33" t="s">
        <v>4491</v>
      </c>
      <c r="N790" s="33" t="s">
        <v>4488</v>
      </c>
      <c r="O790" s="35" t="s">
        <v>3871</v>
      </c>
    </row>
    <row r="791">
      <c r="A791" s="38"/>
      <c r="B791" s="28" t="s">
        <v>4492</v>
      </c>
      <c r="C791" s="28" t="s">
        <v>3876</v>
      </c>
      <c r="D791" s="29" t="s">
        <v>4493</v>
      </c>
      <c r="E791" s="30"/>
      <c r="F791" s="28" t="s">
        <v>4494</v>
      </c>
      <c r="I791" s="32"/>
      <c r="J791" s="32"/>
      <c r="K791" s="33" t="s">
        <v>4492</v>
      </c>
      <c r="L791" s="33" t="s">
        <v>4495</v>
      </c>
      <c r="N791" s="33" t="s">
        <v>4492</v>
      </c>
      <c r="O791" s="35"/>
    </row>
    <row r="792">
      <c r="A792" s="38"/>
      <c r="B792" s="28" t="s">
        <v>4496</v>
      </c>
      <c r="C792" s="28" t="s">
        <v>3881</v>
      </c>
      <c r="D792" s="29" t="s">
        <v>4497</v>
      </c>
      <c r="E792" s="30"/>
      <c r="F792" s="28" t="s">
        <v>4498</v>
      </c>
      <c r="I792" s="32"/>
      <c r="J792" s="32"/>
      <c r="K792" s="33" t="s">
        <v>4496</v>
      </c>
      <c r="L792" s="33" t="s">
        <v>4499</v>
      </c>
      <c r="N792" s="33" t="s">
        <v>4496</v>
      </c>
      <c r="O792" s="47" t="s">
        <v>4500</v>
      </c>
    </row>
    <row r="793">
      <c r="A793" s="38"/>
      <c r="B793" s="28" t="s">
        <v>4501</v>
      </c>
      <c r="C793" s="28" t="s">
        <v>3906</v>
      </c>
      <c r="D793" s="29" t="s">
        <v>4502</v>
      </c>
      <c r="E793" s="30" t="s">
        <v>4503</v>
      </c>
      <c r="F793" s="28" t="s">
        <v>4504</v>
      </c>
      <c r="I793" s="32"/>
      <c r="J793" s="32"/>
      <c r="K793" s="33" t="s">
        <v>4501</v>
      </c>
      <c r="L793" s="33" t="s">
        <v>4505</v>
      </c>
      <c r="N793" s="33" t="s">
        <v>4501</v>
      </c>
      <c r="O793" s="35" t="s">
        <v>3905</v>
      </c>
    </row>
    <row r="794">
      <c r="A794" s="38"/>
      <c r="B794" s="28" t="s">
        <v>4506</v>
      </c>
      <c r="C794" s="28" t="s">
        <v>3911</v>
      </c>
      <c r="D794" s="29" t="s">
        <v>4507</v>
      </c>
      <c r="E794" s="30"/>
      <c r="F794" s="28" t="s">
        <v>4508</v>
      </c>
      <c r="I794" s="32"/>
      <c r="J794" s="32"/>
      <c r="K794" s="33" t="s">
        <v>4506</v>
      </c>
      <c r="L794" s="33" t="s">
        <v>4509</v>
      </c>
      <c r="N794" s="33" t="s">
        <v>4506</v>
      </c>
      <c r="O794" s="35" t="s">
        <v>3910</v>
      </c>
    </row>
    <row r="795">
      <c r="A795" s="38"/>
      <c r="B795" s="28" t="s">
        <v>4510</v>
      </c>
      <c r="C795" s="28" t="s">
        <v>3915</v>
      </c>
      <c r="D795" s="29" t="s">
        <v>4511</v>
      </c>
      <c r="E795" s="30"/>
      <c r="F795" s="28" t="s">
        <v>4512</v>
      </c>
      <c r="I795" s="32"/>
      <c r="J795" s="32"/>
      <c r="K795" s="33" t="s">
        <v>4510</v>
      </c>
      <c r="L795" s="33" t="s">
        <v>4513</v>
      </c>
      <c r="N795" s="33" t="s">
        <v>4510</v>
      </c>
      <c r="O795" s="35"/>
    </row>
    <row r="796">
      <c r="A796" s="38"/>
      <c r="B796" s="28" t="s">
        <v>4514</v>
      </c>
      <c r="C796" s="28" t="s">
        <v>4515</v>
      </c>
      <c r="D796" s="29" t="s">
        <v>4516</v>
      </c>
      <c r="E796" s="30"/>
      <c r="F796" s="28" t="s">
        <v>4517</v>
      </c>
      <c r="I796" s="32"/>
      <c r="J796" s="32"/>
      <c r="K796" s="33" t="s">
        <v>4514</v>
      </c>
      <c r="L796" s="33" t="s">
        <v>4518</v>
      </c>
      <c r="N796" s="33" t="s">
        <v>4514</v>
      </c>
      <c r="O796" s="35"/>
    </row>
    <row r="797">
      <c r="A797" s="38"/>
      <c r="B797" s="28" t="s">
        <v>4519</v>
      </c>
      <c r="C797" s="28" t="s">
        <v>3921</v>
      </c>
      <c r="D797" s="29" t="s">
        <v>4520</v>
      </c>
      <c r="E797" s="30"/>
      <c r="F797" s="28" t="s">
        <v>4521</v>
      </c>
      <c r="I797" s="32"/>
      <c r="J797" s="32"/>
      <c r="K797" s="33" t="s">
        <v>4519</v>
      </c>
      <c r="L797" s="33" t="s">
        <v>4522</v>
      </c>
      <c r="N797" s="33" t="s">
        <v>4519</v>
      </c>
      <c r="O797" s="35" t="s">
        <v>3920</v>
      </c>
    </row>
    <row r="798">
      <c r="A798" s="38"/>
      <c r="B798" s="28" t="s">
        <v>4523</v>
      </c>
      <c r="C798" s="28" t="s">
        <v>3926</v>
      </c>
      <c r="D798" s="29" t="s">
        <v>4524</v>
      </c>
      <c r="E798" s="30" t="s">
        <v>4525</v>
      </c>
      <c r="F798" s="28" t="s">
        <v>4526</v>
      </c>
      <c r="I798" s="32"/>
      <c r="J798" s="32"/>
      <c r="K798" s="33" t="s">
        <v>4523</v>
      </c>
      <c r="L798" s="33" t="s">
        <v>4527</v>
      </c>
      <c r="N798" s="33" t="s">
        <v>4523</v>
      </c>
      <c r="O798" s="35" t="s">
        <v>3925</v>
      </c>
    </row>
    <row r="799">
      <c r="A799" s="38"/>
      <c r="B799" s="28" t="s">
        <v>4528</v>
      </c>
      <c r="C799" s="28" t="s">
        <v>4529</v>
      </c>
      <c r="D799" s="29" t="s">
        <v>4530</v>
      </c>
      <c r="E799" s="30"/>
      <c r="F799" s="28" t="s">
        <v>4531</v>
      </c>
      <c r="I799" s="32"/>
      <c r="J799" s="32"/>
      <c r="K799" s="33" t="s">
        <v>4528</v>
      </c>
      <c r="L799" s="33" t="s">
        <v>4532</v>
      </c>
      <c r="N799" s="33" t="s">
        <v>4528</v>
      </c>
      <c r="O799" s="35"/>
    </row>
    <row r="800">
      <c r="A800" s="38"/>
      <c r="B800" s="28" t="s">
        <v>4533</v>
      </c>
      <c r="C800" s="28" t="s">
        <v>4534</v>
      </c>
      <c r="D800" s="29" t="s">
        <v>4535</v>
      </c>
      <c r="E800" s="54" t="s">
        <v>4536</v>
      </c>
      <c r="F800" s="28" t="s">
        <v>4537</v>
      </c>
      <c r="I800" s="32"/>
      <c r="J800" s="32"/>
      <c r="K800" s="33" t="s">
        <v>4533</v>
      </c>
      <c r="L800" s="33" t="s">
        <v>4538</v>
      </c>
      <c r="N800" s="33" t="s">
        <v>4533</v>
      </c>
      <c r="O800" s="35" t="s">
        <v>4539</v>
      </c>
    </row>
    <row r="801">
      <c r="A801" s="38"/>
      <c r="B801" s="28" t="s">
        <v>4540</v>
      </c>
      <c r="C801" s="28" t="s">
        <v>4541</v>
      </c>
      <c r="D801" s="29" t="s">
        <v>4542</v>
      </c>
      <c r="E801" s="54" t="s">
        <v>4543</v>
      </c>
      <c r="F801" s="28" t="s">
        <v>4544</v>
      </c>
      <c r="I801" s="32"/>
      <c r="J801" s="32"/>
      <c r="K801" s="33" t="s">
        <v>4540</v>
      </c>
      <c r="L801" s="33" t="s">
        <v>4545</v>
      </c>
      <c r="N801" s="33" t="s">
        <v>4540</v>
      </c>
      <c r="O801" s="35" t="s">
        <v>4546</v>
      </c>
    </row>
    <row r="802">
      <c r="A802" s="38"/>
      <c r="B802" s="28" t="s">
        <v>4547</v>
      </c>
      <c r="C802" s="28" t="s">
        <v>3932</v>
      </c>
      <c r="D802" s="29" t="s">
        <v>4548</v>
      </c>
      <c r="E802" s="30"/>
      <c r="F802" s="28" t="s">
        <v>4549</v>
      </c>
      <c r="I802" s="32"/>
      <c r="J802" s="32"/>
      <c r="K802" s="33" t="s">
        <v>4547</v>
      </c>
      <c r="L802" s="33" t="s">
        <v>4550</v>
      </c>
      <c r="N802" s="33" t="s">
        <v>4547</v>
      </c>
      <c r="O802" s="35" t="s">
        <v>3931</v>
      </c>
    </row>
    <row r="803">
      <c r="A803" s="38"/>
      <c r="B803" s="28" t="s">
        <v>4551</v>
      </c>
      <c r="C803" s="28" t="s">
        <v>3938</v>
      </c>
      <c r="D803" s="29" t="s">
        <v>4552</v>
      </c>
      <c r="E803" s="30" t="s">
        <v>4553</v>
      </c>
      <c r="F803" s="28" t="s">
        <v>4554</v>
      </c>
      <c r="I803" s="32"/>
      <c r="J803" s="32"/>
      <c r="K803" s="33" t="s">
        <v>4551</v>
      </c>
      <c r="L803" s="33" t="s">
        <v>4555</v>
      </c>
      <c r="N803" s="33" t="s">
        <v>4551</v>
      </c>
      <c r="O803" s="35" t="s">
        <v>3937</v>
      </c>
    </row>
    <row r="804">
      <c r="A804" s="38"/>
      <c r="B804" s="28" t="s">
        <v>4556</v>
      </c>
      <c r="C804" s="28" t="s">
        <v>3943</v>
      </c>
      <c r="D804" s="29" t="s">
        <v>4557</v>
      </c>
      <c r="E804" s="30" t="s">
        <v>4558</v>
      </c>
      <c r="F804" s="28" t="s">
        <v>4559</v>
      </c>
      <c r="I804" s="32"/>
      <c r="J804" s="32"/>
      <c r="K804" s="33" t="s">
        <v>4556</v>
      </c>
      <c r="L804" s="33" t="s">
        <v>4560</v>
      </c>
      <c r="N804" s="33" t="s">
        <v>4556</v>
      </c>
      <c r="O804" s="35" t="s">
        <v>3942</v>
      </c>
    </row>
    <row r="805">
      <c r="A805" s="38"/>
      <c r="B805" s="28" t="s">
        <v>4561</v>
      </c>
      <c r="C805" s="28" t="s">
        <v>4562</v>
      </c>
      <c r="D805" s="29" t="s">
        <v>4563</v>
      </c>
      <c r="E805" s="30" t="s">
        <v>4564</v>
      </c>
      <c r="F805" s="28" t="s">
        <v>4565</v>
      </c>
      <c r="I805" s="32"/>
      <c r="J805" s="32"/>
      <c r="K805" s="33" t="s">
        <v>4561</v>
      </c>
      <c r="L805" s="33" t="s">
        <v>4566</v>
      </c>
      <c r="N805" s="33" t="s">
        <v>4561</v>
      </c>
      <c r="O805" s="35"/>
    </row>
    <row r="806">
      <c r="A806" s="38"/>
      <c r="B806" s="28" t="s">
        <v>4567</v>
      </c>
      <c r="C806" s="28" t="s">
        <v>3949</v>
      </c>
      <c r="D806" s="29" t="s">
        <v>4568</v>
      </c>
      <c r="E806" s="30" t="s">
        <v>4569</v>
      </c>
      <c r="F806" s="28" t="s">
        <v>4570</v>
      </c>
      <c r="I806" s="32"/>
      <c r="J806" s="32"/>
      <c r="K806" s="33" t="s">
        <v>4567</v>
      </c>
      <c r="L806" s="33" t="s">
        <v>4571</v>
      </c>
      <c r="N806" s="33" t="s">
        <v>4567</v>
      </c>
      <c r="O806" s="35" t="s">
        <v>3948</v>
      </c>
    </row>
    <row r="807">
      <c r="A807" s="38"/>
      <c r="B807" s="28" t="s">
        <v>4572</v>
      </c>
      <c r="C807" s="28" t="s">
        <v>3953</v>
      </c>
      <c r="D807" s="29" t="s">
        <v>4573</v>
      </c>
      <c r="E807" s="30" t="s">
        <v>4574</v>
      </c>
      <c r="F807" s="28" t="s">
        <v>4575</v>
      </c>
      <c r="I807" s="32"/>
      <c r="J807" s="32"/>
      <c r="K807" s="33" t="s">
        <v>4572</v>
      </c>
      <c r="L807" s="33" t="s">
        <v>4576</v>
      </c>
      <c r="N807" s="33" t="s">
        <v>4572</v>
      </c>
      <c r="O807" s="35"/>
    </row>
    <row r="808">
      <c r="A808" s="38"/>
      <c r="B808" s="28" t="s">
        <v>4577</v>
      </c>
      <c r="C808" s="28" t="s">
        <v>4578</v>
      </c>
      <c r="D808" s="29" t="s">
        <v>4579</v>
      </c>
      <c r="E808" s="30" t="s">
        <v>4574</v>
      </c>
      <c r="F808" s="28" t="s">
        <v>4580</v>
      </c>
      <c r="I808" s="32"/>
      <c r="J808" s="32"/>
      <c r="K808" s="33" t="s">
        <v>4577</v>
      </c>
      <c r="L808" s="33" t="s">
        <v>4581</v>
      </c>
      <c r="N808" s="33" t="s">
        <v>4577</v>
      </c>
      <c r="O808" s="35" t="s">
        <v>4582</v>
      </c>
    </row>
    <row r="809">
      <c r="A809" s="38"/>
      <c r="B809" s="28" t="s">
        <v>4583</v>
      </c>
      <c r="C809" s="28" t="s">
        <v>3966</v>
      </c>
      <c r="D809" s="29" t="s">
        <v>4584</v>
      </c>
      <c r="E809" s="30" t="s">
        <v>4585</v>
      </c>
      <c r="F809" s="28" t="s">
        <v>4586</v>
      </c>
      <c r="I809" s="32"/>
      <c r="J809" s="32"/>
      <c r="K809" s="33" t="s">
        <v>4583</v>
      </c>
      <c r="L809" s="33" t="s">
        <v>4587</v>
      </c>
      <c r="N809" s="33" t="s">
        <v>4583</v>
      </c>
      <c r="O809" s="35"/>
    </row>
    <row r="810">
      <c r="A810" s="38"/>
      <c r="B810" s="28" t="s">
        <v>4588</v>
      </c>
      <c r="C810" s="28" t="s">
        <v>3971</v>
      </c>
      <c r="D810" s="29" t="s">
        <v>4589</v>
      </c>
      <c r="E810" s="30" t="s">
        <v>4590</v>
      </c>
      <c r="F810" s="28" t="s">
        <v>4591</v>
      </c>
      <c r="I810" s="32"/>
      <c r="J810" s="32"/>
      <c r="K810" s="33" t="s">
        <v>4588</v>
      </c>
      <c r="L810" s="33" t="s">
        <v>4592</v>
      </c>
      <c r="N810" s="33" t="s">
        <v>4588</v>
      </c>
      <c r="O810" s="35" t="s">
        <v>3970</v>
      </c>
    </row>
    <row r="811">
      <c r="A811" s="38"/>
      <c r="B811" s="28" t="s">
        <v>4593</v>
      </c>
      <c r="C811" s="28" t="s">
        <v>3975</v>
      </c>
      <c r="D811" s="29" t="s">
        <v>4594</v>
      </c>
      <c r="E811" s="30" t="s">
        <v>544</v>
      </c>
      <c r="F811" s="28" t="s">
        <v>4595</v>
      </c>
      <c r="I811" s="32"/>
      <c r="J811" s="32"/>
      <c r="K811" s="33" t="s">
        <v>4593</v>
      </c>
      <c r="L811" s="33" t="s">
        <v>4596</v>
      </c>
      <c r="N811" s="33" t="s">
        <v>4593</v>
      </c>
      <c r="O811" s="47" t="s">
        <v>4597</v>
      </c>
    </row>
    <row r="812">
      <c r="A812" s="38"/>
      <c r="B812" s="28" t="s">
        <v>4598</v>
      </c>
      <c r="C812" s="28" t="s">
        <v>3981</v>
      </c>
      <c r="D812" s="29" t="s">
        <v>4599</v>
      </c>
      <c r="E812" s="54" t="s">
        <v>4600</v>
      </c>
      <c r="F812" s="28" t="s">
        <v>4601</v>
      </c>
      <c r="I812" s="32"/>
      <c r="J812" s="32"/>
      <c r="K812" s="33" t="s">
        <v>4598</v>
      </c>
      <c r="L812" s="33" t="s">
        <v>4602</v>
      </c>
      <c r="N812" s="33" t="s">
        <v>4598</v>
      </c>
      <c r="O812" s="35" t="s">
        <v>3980</v>
      </c>
    </row>
    <row r="813">
      <c r="A813" s="38"/>
      <c r="B813" s="28" t="s">
        <v>4603</v>
      </c>
      <c r="C813" s="28" t="s">
        <v>3987</v>
      </c>
      <c r="D813" s="29" t="s">
        <v>4604</v>
      </c>
      <c r="E813" s="30" t="s">
        <v>4605</v>
      </c>
      <c r="F813" s="28" t="s">
        <v>4606</v>
      </c>
      <c r="I813" s="32"/>
      <c r="J813" s="32"/>
      <c r="K813" s="33" t="s">
        <v>4603</v>
      </c>
      <c r="L813" s="33" t="s">
        <v>4607</v>
      </c>
      <c r="N813" s="33" t="s">
        <v>4603</v>
      </c>
      <c r="O813" s="35" t="s">
        <v>3986</v>
      </c>
    </row>
    <row r="814">
      <c r="A814" s="38"/>
      <c r="B814" s="28" t="s">
        <v>4608</v>
      </c>
      <c r="C814" s="28" t="s">
        <v>3992</v>
      </c>
      <c r="D814" s="29" t="s">
        <v>4609</v>
      </c>
      <c r="E814" s="30" t="s">
        <v>4610</v>
      </c>
      <c r="F814" s="28" t="s">
        <v>4611</v>
      </c>
      <c r="I814" s="32"/>
      <c r="J814" s="32"/>
      <c r="K814" s="33" t="s">
        <v>4608</v>
      </c>
      <c r="L814" s="33" t="s">
        <v>4612</v>
      </c>
      <c r="N814" s="33" t="s">
        <v>4608</v>
      </c>
      <c r="O814" s="35"/>
    </row>
    <row r="815">
      <c r="A815" s="38"/>
      <c r="B815" s="28" t="s">
        <v>4613</v>
      </c>
      <c r="C815" s="28" t="s">
        <v>3996</v>
      </c>
      <c r="D815" s="29" t="s">
        <v>4614</v>
      </c>
      <c r="E815" s="30"/>
      <c r="F815" s="28" t="s">
        <v>4615</v>
      </c>
      <c r="I815" s="32"/>
      <c r="J815" s="32"/>
      <c r="K815" s="33" t="s">
        <v>4613</v>
      </c>
      <c r="L815" s="33" t="s">
        <v>4616</v>
      </c>
      <c r="N815" s="33" t="s">
        <v>4613</v>
      </c>
      <c r="O815" s="35"/>
    </row>
    <row r="816">
      <c r="A816" s="38"/>
      <c r="B816" s="28" t="s">
        <v>4617</v>
      </c>
      <c r="C816" s="28" t="s">
        <v>4618</v>
      </c>
      <c r="D816" s="60" t="s">
        <v>4619</v>
      </c>
      <c r="E816" s="54" t="s">
        <v>4620</v>
      </c>
      <c r="F816" s="28" t="s">
        <v>4621</v>
      </c>
      <c r="I816" s="32"/>
      <c r="J816" s="32"/>
      <c r="K816" s="33" t="s">
        <v>4617</v>
      </c>
      <c r="L816" s="33" t="s">
        <v>4622</v>
      </c>
      <c r="N816" s="33" t="s">
        <v>4617</v>
      </c>
      <c r="O816" s="35" t="s">
        <v>4623</v>
      </c>
    </row>
    <row r="817">
      <c r="A817" s="38"/>
      <c r="B817" s="28" t="s">
        <v>4624</v>
      </c>
      <c r="C817" s="28" t="s">
        <v>4625</v>
      </c>
      <c r="D817" s="29" t="s">
        <v>4626</v>
      </c>
      <c r="E817" s="30" t="s">
        <v>4627</v>
      </c>
      <c r="F817" s="28" t="s">
        <v>4628</v>
      </c>
      <c r="I817" s="32"/>
      <c r="J817" s="32"/>
      <c r="K817" s="33" t="s">
        <v>4624</v>
      </c>
      <c r="L817" s="33" t="s">
        <v>4629</v>
      </c>
      <c r="N817" s="33" t="s">
        <v>4624</v>
      </c>
      <c r="O817" s="35"/>
    </row>
    <row r="818">
      <c r="A818" s="38"/>
      <c r="B818" s="28" t="s">
        <v>4630</v>
      </c>
      <c r="C818" s="28" t="s">
        <v>4631</v>
      </c>
      <c r="D818" s="29" t="s">
        <v>4632</v>
      </c>
      <c r="E818" s="30"/>
      <c r="F818" s="28" t="s">
        <v>4633</v>
      </c>
      <c r="I818" s="32"/>
      <c r="J818" s="32"/>
      <c r="K818" s="33" t="s">
        <v>4630</v>
      </c>
      <c r="L818" s="33" t="s">
        <v>4634</v>
      </c>
      <c r="N818" s="33" t="s">
        <v>4630</v>
      </c>
      <c r="O818" s="35" t="s">
        <v>4635</v>
      </c>
    </row>
    <row r="819">
      <c r="A819" s="38"/>
      <c r="B819" s="28" t="s">
        <v>4636</v>
      </c>
      <c r="C819" s="28" t="s">
        <v>4637</v>
      </c>
      <c r="D819" s="29" t="s">
        <v>4638</v>
      </c>
      <c r="E819" s="30"/>
      <c r="F819" s="28" t="s">
        <v>4639</v>
      </c>
      <c r="I819" s="32"/>
      <c r="J819" s="32"/>
      <c r="K819" s="33" t="s">
        <v>4636</v>
      </c>
      <c r="L819" s="33" t="s">
        <v>4640</v>
      </c>
      <c r="N819" s="33" t="s">
        <v>4636</v>
      </c>
      <c r="O819" s="35"/>
    </row>
    <row r="820">
      <c r="A820" s="38"/>
      <c r="B820" s="28" t="s">
        <v>4641</v>
      </c>
      <c r="C820" s="28" t="s">
        <v>4642</v>
      </c>
      <c r="D820" s="29" t="s">
        <v>4643</v>
      </c>
      <c r="E820" s="30" t="s">
        <v>4644</v>
      </c>
      <c r="F820" s="28" t="s">
        <v>4645</v>
      </c>
      <c r="I820" s="32"/>
      <c r="J820" s="32"/>
      <c r="K820" s="33" t="s">
        <v>4641</v>
      </c>
      <c r="L820" s="33" t="s">
        <v>4646</v>
      </c>
      <c r="N820" s="33" t="s">
        <v>4641</v>
      </c>
      <c r="O820" s="35" t="s">
        <v>4647</v>
      </c>
    </row>
    <row r="821">
      <c r="A821" s="38"/>
      <c r="B821" s="28" t="s">
        <v>4648</v>
      </c>
      <c r="C821" s="28" t="s">
        <v>4013</v>
      </c>
      <c r="D821" s="29" t="s">
        <v>4649</v>
      </c>
      <c r="E821" s="30" t="s">
        <v>4650</v>
      </c>
      <c r="F821" s="28" t="s">
        <v>4651</v>
      </c>
      <c r="I821" s="32"/>
      <c r="J821" s="32"/>
      <c r="K821" s="33" t="s">
        <v>4648</v>
      </c>
      <c r="L821" s="33" t="s">
        <v>4652</v>
      </c>
      <c r="N821" s="33" t="s">
        <v>4648</v>
      </c>
      <c r="O821" s="35" t="s">
        <v>4012</v>
      </c>
    </row>
    <row r="822">
      <c r="A822" s="38"/>
      <c r="B822" s="28" t="s">
        <v>4653</v>
      </c>
      <c r="C822" s="28" t="s">
        <v>4022</v>
      </c>
      <c r="D822" s="29" t="s">
        <v>4654</v>
      </c>
      <c r="E822" s="30" t="s">
        <v>4655</v>
      </c>
      <c r="F822" s="28" t="s">
        <v>4656</v>
      </c>
      <c r="I822" s="32"/>
      <c r="J822" s="32"/>
      <c r="K822" s="33" t="s">
        <v>4653</v>
      </c>
      <c r="L822" s="33" t="s">
        <v>4657</v>
      </c>
      <c r="N822" s="33" t="s">
        <v>4653</v>
      </c>
      <c r="O822" s="35" t="s">
        <v>4021</v>
      </c>
    </row>
    <row r="823">
      <c r="A823" s="38"/>
      <c r="B823" s="28" t="s">
        <v>4658</v>
      </c>
      <c r="C823" s="28" t="s">
        <v>4659</v>
      </c>
      <c r="D823" s="29" t="s">
        <v>4660</v>
      </c>
      <c r="E823" s="30"/>
      <c r="F823" s="28" t="s">
        <v>4661</v>
      </c>
      <c r="I823" s="32"/>
      <c r="J823" s="32"/>
      <c r="K823" s="33" t="s">
        <v>4658</v>
      </c>
      <c r="L823" s="33" t="s">
        <v>4662</v>
      </c>
      <c r="N823" s="33" t="s">
        <v>4658</v>
      </c>
      <c r="O823" s="35" t="s">
        <v>4663</v>
      </c>
    </row>
    <row r="824">
      <c r="A824" s="38"/>
      <c r="B824" s="28" t="s">
        <v>4664</v>
      </c>
      <c r="C824" s="28" t="s">
        <v>4027</v>
      </c>
      <c r="D824" s="29" t="s">
        <v>4665</v>
      </c>
      <c r="E824" s="30" t="s">
        <v>4666</v>
      </c>
      <c r="F824" s="28" t="s">
        <v>4667</v>
      </c>
      <c r="I824" s="32"/>
      <c r="J824" s="32"/>
      <c r="K824" s="33" t="s">
        <v>4664</v>
      </c>
      <c r="L824" s="33" t="s">
        <v>4668</v>
      </c>
      <c r="N824" s="33" t="s">
        <v>4664</v>
      </c>
      <c r="O824" s="35" t="s">
        <v>4026</v>
      </c>
    </row>
    <row r="825">
      <c r="A825" s="38"/>
      <c r="B825" s="28" t="s">
        <v>4669</v>
      </c>
      <c r="C825" s="28" t="s">
        <v>4670</v>
      </c>
      <c r="D825" s="29" t="s">
        <v>4671</v>
      </c>
      <c r="E825" s="30" t="s">
        <v>4672</v>
      </c>
      <c r="F825" s="28" t="s">
        <v>4673</v>
      </c>
      <c r="I825" s="32"/>
      <c r="J825" s="32"/>
      <c r="K825" s="33" t="s">
        <v>4669</v>
      </c>
      <c r="L825" s="33" t="s">
        <v>4674</v>
      </c>
      <c r="N825" s="33" t="s">
        <v>4669</v>
      </c>
      <c r="O825" s="35"/>
    </row>
    <row r="826">
      <c r="A826" s="38"/>
      <c r="B826" s="28" t="s">
        <v>4675</v>
      </c>
      <c r="C826" s="28" t="s">
        <v>4676</v>
      </c>
      <c r="D826" s="29" t="s">
        <v>4677</v>
      </c>
      <c r="E826" s="30" t="s">
        <v>4678</v>
      </c>
      <c r="F826" s="28" t="s">
        <v>4679</v>
      </c>
      <c r="I826" s="32"/>
      <c r="J826" s="32"/>
      <c r="K826" s="33" t="s">
        <v>4675</v>
      </c>
      <c r="L826" s="33" t="s">
        <v>4680</v>
      </c>
      <c r="N826" s="33" t="s">
        <v>4675</v>
      </c>
      <c r="O826" s="35" t="s">
        <v>4681</v>
      </c>
    </row>
    <row r="827">
      <c r="A827" s="38"/>
      <c r="B827" s="28" t="s">
        <v>4682</v>
      </c>
      <c r="C827" s="28" t="s">
        <v>4683</v>
      </c>
      <c r="D827" s="29" t="s">
        <v>4684</v>
      </c>
      <c r="E827" s="30" t="s">
        <v>4685</v>
      </c>
      <c r="F827" s="28" t="s">
        <v>4686</v>
      </c>
      <c r="I827" s="32"/>
      <c r="J827" s="32"/>
      <c r="K827" s="33" t="s">
        <v>4682</v>
      </c>
      <c r="L827" s="33" t="s">
        <v>4687</v>
      </c>
      <c r="N827" s="33" t="s">
        <v>4682</v>
      </c>
      <c r="O827" s="35" t="s">
        <v>4688</v>
      </c>
    </row>
    <row r="828">
      <c r="A828" s="38"/>
      <c r="B828" s="28" t="s">
        <v>4689</v>
      </c>
      <c r="C828" s="28" t="s">
        <v>4690</v>
      </c>
      <c r="D828" s="29" t="s">
        <v>4691</v>
      </c>
      <c r="E828" s="30" t="s">
        <v>4692</v>
      </c>
      <c r="F828" s="28" t="s">
        <v>4693</v>
      </c>
      <c r="I828" s="32"/>
      <c r="J828" s="32"/>
      <c r="K828" s="33" t="s">
        <v>4689</v>
      </c>
      <c r="L828" s="33" t="s">
        <v>4694</v>
      </c>
      <c r="N828" s="33" t="s">
        <v>4689</v>
      </c>
      <c r="O828" s="35" t="s">
        <v>4695</v>
      </c>
    </row>
    <row r="829">
      <c r="A829" s="38"/>
      <c r="B829" s="28" t="s">
        <v>4696</v>
      </c>
      <c r="C829" s="28" t="s">
        <v>4039</v>
      </c>
      <c r="D829" s="29" t="s">
        <v>4697</v>
      </c>
      <c r="E829" s="30" t="s">
        <v>4698</v>
      </c>
      <c r="F829" s="28" t="s">
        <v>4699</v>
      </c>
      <c r="I829" s="32"/>
      <c r="J829" s="32"/>
      <c r="K829" s="33" t="s">
        <v>4696</v>
      </c>
      <c r="L829" s="33" t="s">
        <v>4700</v>
      </c>
      <c r="N829" s="33" t="s">
        <v>4696</v>
      </c>
      <c r="O829" s="35" t="s">
        <v>4038</v>
      </c>
    </row>
    <row r="830">
      <c r="A830" s="38"/>
      <c r="B830" s="28" t="s">
        <v>4701</v>
      </c>
      <c r="C830" s="28" t="s">
        <v>4044</v>
      </c>
      <c r="D830" s="29" t="s">
        <v>4702</v>
      </c>
      <c r="E830" s="30" t="s">
        <v>4703</v>
      </c>
      <c r="F830" s="28" t="s">
        <v>4704</v>
      </c>
      <c r="I830" s="32"/>
      <c r="J830" s="32"/>
      <c r="K830" s="33" t="s">
        <v>4701</v>
      </c>
      <c r="L830" s="33" t="s">
        <v>4705</v>
      </c>
      <c r="N830" s="33" t="s">
        <v>4701</v>
      </c>
      <c r="O830" s="35" t="s">
        <v>4043</v>
      </c>
    </row>
    <row r="831">
      <c r="A831" s="38"/>
      <c r="B831" s="28" t="s">
        <v>4706</v>
      </c>
      <c r="C831" s="28" t="s">
        <v>4049</v>
      </c>
      <c r="D831" s="29" t="s">
        <v>4707</v>
      </c>
      <c r="E831" s="30" t="s">
        <v>4708</v>
      </c>
      <c r="F831" s="28" t="s">
        <v>4709</v>
      </c>
      <c r="I831" s="32"/>
      <c r="J831" s="32"/>
      <c r="K831" s="33" t="s">
        <v>4706</v>
      </c>
      <c r="L831" s="33" t="s">
        <v>4710</v>
      </c>
      <c r="N831" s="33" t="s">
        <v>4706</v>
      </c>
      <c r="O831" s="35" t="s">
        <v>4048</v>
      </c>
    </row>
    <row r="832">
      <c r="A832" s="38"/>
      <c r="B832" s="28" t="s">
        <v>4711</v>
      </c>
      <c r="C832" s="28" t="s">
        <v>4712</v>
      </c>
      <c r="D832" s="29" t="s">
        <v>4713</v>
      </c>
      <c r="E832" s="54" t="s">
        <v>4714</v>
      </c>
      <c r="F832" s="28" t="s">
        <v>4715</v>
      </c>
      <c r="I832" s="32"/>
      <c r="J832" s="32"/>
      <c r="K832" s="33" t="s">
        <v>4711</v>
      </c>
      <c r="L832" s="33" t="s">
        <v>4716</v>
      </c>
      <c r="N832" s="33" t="s">
        <v>4711</v>
      </c>
      <c r="O832" s="35"/>
    </row>
    <row r="833">
      <c r="A833" s="38"/>
      <c r="B833" s="28" t="s">
        <v>4717</v>
      </c>
      <c r="C833" s="28" t="s">
        <v>4059</v>
      </c>
      <c r="D833" s="29" t="s">
        <v>4718</v>
      </c>
      <c r="E833" s="30"/>
      <c r="F833" s="28" t="s">
        <v>4719</v>
      </c>
      <c r="I833" s="32"/>
      <c r="J833" s="32"/>
      <c r="K833" s="33" t="s">
        <v>4717</v>
      </c>
      <c r="L833" s="33" t="s">
        <v>4720</v>
      </c>
      <c r="N833" s="33" t="s">
        <v>4717</v>
      </c>
      <c r="O833" s="35" t="s">
        <v>4058</v>
      </c>
    </row>
    <row r="834">
      <c r="A834" s="38"/>
      <c r="B834" s="28" t="s">
        <v>4721</v>
      </c>
      <c r="C834" s="28" t="s">
        <v>4722</v>
      </c>
      <c r="D834" s="29" t="s">
        <v>4723</v>
      </c>
      <c r="E834" s="30" t="s">
        <v>4724</v>
      </c>
      <c r="F834" s="28" t="s">
        <v>4725</v>
      </c>
      <c r="I834" s="32"/>
      <c r="J834" s="32"/>
      <c r="K834" s="33" t="s">
        <v>4721</v>
      </c>
      <c r="L834" s="33" t="s">
        <v>4726</v>
      </c>
      <c r="N834" s="33" t="s">
        <v>4721</v>
      </c>
      <c r="O834" s="35" t="s">
        <v>4727</v>
      </c>
    </row>
    <row r="835">
      <c r="A835" s="38"/>
      <c r="B835" s="28" t="s">
        <v>4728</v>
      </c>
      <c r="C835" s="28" t="s">
        <v>4729</v>
      </c>
      <c r="D835" s="29" t="s">
        <v>4730</v>
      </c>
      <c r="E835" s="30" t="s">
        <v>4724</v>
      </c>
      <c r="F835" s="28" t="s">
        <v>4731</v>
      </c>
      <c r="I835" s="32"/>
      <c r="J835" s="32"/>
      <c r="K835" s="33" t="s">
        <v>4728</v>
      </c>
      <c r="L835" s="33" t="s">
        <v>4732</v>
      </c>
      <c r="N835" s="33" t="s">
        <v>4728</v>
      </c>
      <c r="O835" s="35"/>
    </row>
    <row r="836">
      <c r="A836" s="38"/>
      <c r="B836" s="28" t="s">
        <v>4733</v>
      </c>
      <c r="C836" s="28" t="s">
        <v>4074</v>
      </c>
      <c r="D836" s="29" t="s">
        <v>4734</v>
      </c>
      <c r="E836" s="30" t="s">
        <v>4735</v>
      </c>
      <c r="F836" s="28" t="s">
        <v>4736</v>
      </c>
      <c r="I836" s="32"/>
      <c r="J836" s="32"/>
      <c r="K836" s="33" t="s">
        <v>4733</v>
      </c>
      <c r="L836" s="33" t="s">
        <v>4737</v>
      </c>
      <c r="N836" s="33" t="s">
        <v>4733</v>
      </c>
      <c r="O836" s="35"/>
    </row>
    <row r="837">
      <c r="A837" s="38"/>
      <c r="B837" s="28" t="s">
        <v>4738</v>
      </c>
      <c r="C837" s="28" t="s">
        <v>4739</v>
      </c>
      <c r="D837" s="29" t="s">
        <v>4740</v>
      </c>
      <c r="E837" s="30" t="s">
        <v>4735</v>
      </c>
      <c r="F837" s="28" t="s">
        <v>4741</v>
      </c>
      <c r="I837" s="32"/>
      <c r="J837" s="32"/>
      <c r="K837" s="33" t="s">
        <v>4738</v>
      </c>
      <c r="L837" s="33" t="s">
        <v>4742</v>
      </c>
      <c r="N837" s="33" t="s">
        <v>4738</v>
      </c>
      <c r="O837" s="35"/>
    </row>
    <row r="838">
      <c r="A838" s="38"/>
      <c r="B838" s="28" t="s">
        <v>4743</v>
      </c>
      <c r="C838" s="28" t="s">
        <v>4080</v>
      </c>
      <c r="D838" s="29" t="s">
        <v>4744</v>
      </c>
      <c r="E838" s="30" t="s">
        <v>4745</v>
      </c>
      <c r="F838" s="28" t="s">
        <v>4746</v>
      </c>
      <c r="I838" s="32"/>
      <c r="J838" s="32"/>
      <c r="K838" s="33" t="s">
        <v>4743</v>
      </c>
      <c r="L838" s="33" t="s">
        <v>4747</v>
      </c>
      <c r="N838" s="33" t="s">
        <v>4743</v>
      </c>
      <c r="O838" s="35"/>
    </row>
    <row r="839">
      <c r="A839" s="38"/>
      <c r="B839" s="28" t="s">
        <v>4748</v>
      </c>
      <c r="C839" s="28" t="s">
        <v>4749</v>
      </c>
      <c r="D839" s="29" t="s">
        <v>4750</v>
      </c>
      <c r="E839" s="30" t="s">
        <v>4751</v>
      </c>
      <c r="F839" s="28" t="s">
        <v>4752</v>
      </c>
      <c r="I839" s="32"/>
      <c r="J839" s="32"/>
      <c r="K839" s="33" t="s">
        <v>4748</v>
      </c>
      <c r="L839" s="33" t="s">
        <v>4753</v>
      </c>
      <c r="N839" s="33" t="s">
        <v>4748</v>
      </c>
      <c r="O839" s="35"/>
    </row>
    <row r="840">
      <c r="A840" s="38"/>
      <c r="B840" s="28" t="s">
        <v>4754</v>
      </c>
      <c r="C840" s="28" t="s">
        <v>4085</v>
      </c>
      <c r="D840" s="29" t="s">
        <v>4755</v>
      </c>
      <c r="E840" s="30" t="s">
        <v>4756</v>
      </c>
      <c r="F840" s="28" t="s">
        <v>4757</v>
      </c>
      <c r="I840" s="32"/>
      <c r="J840" s="32"/>
      <c r="K840" s="33" t="s">
        <v>4754</v>
      </c>
      <c r="L840" s="33" t="s">
        <v>4758</v>
      </c>
      <c r="N840" s="33" t="s">
        <v>4754</v>
      </c>
      <c r="O840" s="35"/>
    </row>
    <row r="841">
      <c r="A841" s="38"/>
      <c r="B841" s="28" t="s">
        <v>4759</v>
      </c>
      <c r="C841" s="28" t="s">
        <v>4091</v>
      </c>
      <c r="D841" s="29" t="s">
        <v>4760</v>
      </c>
      <c r="E841" s="30" t="s">
        <v>4761</v>
      </c>
      <c r="F841" s="28" t="s">
        <v>4762</v>
      </c>
      <c r="I841" s="32"/>
      <c r="J841" s="32"/>
      <c r="K841" s="33" t="s">
        <v>4759</v>
      </c>
      <c r="L841" s="33" t="s">
        <v>4763</v>
      </c>
      <c r="N841" s="33" t="s">
        <v>4759</v>
      </c>
      <c r="O841" s="35" t="s">
        <v>4090</v>
      </c>
    </row>
    <row r="842">
      <c r="A842" s="38"/>
      <c r="B842" s="28" t="s">
        <v>4764</v>
      </c>
      <c r="C842" s="28" t="s">
        <v>4765</v>
      </c>
      <c r="D842" s="29" t="s">
        <v>4766</v>
      </c>
      <c r="E842" s="30" t="s">
        <v>4767</v>
      </c>
      <c r="F842" s="28" t="s">
        <v>4768</v>
      </c>
      <c r="I842" s="32"/>
      <c r="J842" s="32"/>
      <c r="K842" s="33" t="s">
        <v>4764</v>
      </c>
      <c r="L842" s="33" t="s">
        <v>4769</v>
      </c>
      <c r="N842" s="33" t="s">
        <v>4764</v>
      </c>
      <c r="O842" s="35"/>
    </row>
    <row r="843">
      <c r="A843" s="38"/>
      <c r="B843" s="28" t="s">
        <v>4770</v>
      </c>
      <c r="C843" s="28" t="s">
        <v>4771</v>
      </c>
      <c r="D843" s="29" t="s">
        <v>4772</v>
      </c>
      <c r="E843" s="30" t="s">
        <v>660</v>
      </c>
      <c r="F843" s="28" t="s">
        <v>656</v>
      </c>
      <c r="I843" s="32"/>
      <c r="J843" s="32"/>
      <c r="K843" s="33" t="s">
        <v>4770</v>
      </c>
      <c r="L843" s="33" t="s">
        <v>4773</v>
      </c>
      <c r="N843" s="33" t="s">
        <v>4770</v>
      </c>
      <c r="O843" s="35" t="s">
        <v>4774</v>
      </c>
    </row>
    <row r="844">
      <c r="A844" s="38"/>
      <c r="B844" s="28" t="s">
        <v>4775</v>
      </c>
      <c r="C844" s="28" t="s">
        <v>4108</v>
      </c>
      <c r="D844" s="29" t="s">
        <v>4776</v>
      </c>
      <c r="E844" s="30"/>
      <c r="F844" s="28" t="s">
        <v>4777</v>
      </c>
      <c r="I844" s="32"/>
      <c r="J844" s="32"/>
      <c r="K844" s="33" t="s">
        <v>4775</v>
      </c>
      <c r="L844" s="33" t="s">
        <v>4778</v>
      </c>
      <c r="N844" s="33" t="s">
        <v>4775</v>
      </c>
      <c r="O844" s="35" t="s">
        <v>4107</v>
      </c>
    </row>
    <row r="845">
      <c r="A845" s="38"/>
      <c r="B845" s="28" t="s">
        <v>4779</v>
      </c>
      <c r="C845" s="28" t="s">
        <v>4114</v>
      </c>
      <c r="D845" s="29" t="s">
        <v>4780</v>
      </c>
      <c r="E845" s="30" t="s">
        <v>4781</v>
      </c>
      <c r="F845" s="28" t="s">
        <v>4782</v>
      </c>
      <c r="I845" s="32"/>
      <c r="J845" s="32"/>
      <c r="K845" s="33" t="s">
        <v>4779</v>
      </c>
      <c r="L845" s="33" t="s">
        <v>4783</v>
      </c>
      <c r="N845" s="33" t="s">
        <v>4779</v>
      </c>
      <c r="O845" s="35" t="s">
        <v>4113</v>
      </c>
    </row>
    <row r="846">
      <c r="A846" s="38"/>
      <c r="B846" s="28" t="s">
        <v>4784</v>
      </c>
      <c r="C846" s="28" t="s">
        <v>4785</v>
      </c>
      <c r="D846" s="29" t="s">
        <v>4786</v>
      </c>
      <c r="E846" s="30" t="s">
        <v>4787</v>
      </c>
      <c r="F846" s="28" t="s">
        <v>4788</v>
      </c>
      <c r="I846" s="32"/>
      <c r="J846" s="32"/>
      <c r="K846" s="33" t="s">
        <v>4784</v>
      </c>
      <c r="L846" s="33" t="s">
        <v>4789</v>
      </c>
      <c r="N846" s="33" t="s">
        <v>4784</v>
      </c>
      <c r="O846" s="35" t="s">
        <v>4790</v>
      </c>
    </row>
    <row r="847">
      <c r="A847" s="38"/>
      <c r="B847" s="28" t="s">
        <v>4791</v>
      </c>
      <c r="C847" s="28" t="s">
        <v>4792</v>
      </c>
      <c r="D847" s="29" t="s">
        <v>4793</v>
      </c>
      <c r="E847" s="30" t="s">
        <v>4794</v>
      </c>
      <c r="F847" s="28" t="s">
        <v>4795</v>
      </c>
      <c r="I847" s="32"/>
      <c r="J847" s="32"/>
      <c r="K847" s="33" t="s">
        <v>4791</v>
      </c>
      <c r="L847" s="33" t="s">
        <v>4796</v>
      </c>
      <c r="N847" s="33" t="s">
        <v>4791</v>
      </c>
      <c r="O847" s="35" t="s">
        <v>4797</v>
      </c>
    </row>
    <row r="848">
      <c r="A848" s="38"/>
      <c r="B848" s="28" t="s">
        <v>4798</v>
      </c>
      <c r="C848" s="28" t="s">
        <v>4799</v>
      </c>
      <c r="D848" s="29" t="s">
        <v>4800</v>
      </c>
      <c r="E848" s="30"/>
      <c r="F848" s="28" t="s">
        <v>4801</v>
      </c>
      <c r="I848" s="32"/>
      <c r="J848" s="32"/>
      <c r="K848" s="33" t="s">
        <v>4798</v>
      </c>
      <c r="L848" s="33" t="s">
        <v>4802</v>
      </c>
      <c r="N848" s="33" t="s">
        <v>4798</v>
      </c>
      <c r="O848" s="35" t="s">
        <v>4803</v>
      </c>
    </row>
    <row r="849">
      <c r="A849" s="38"/>
      <c r="B849" s="28" t="s">
        <v>4804</v>
      </c>
      <c r="C849" s="28" t="s">
        <v>4805</v>
      </c>
      <c r="D849" s="29" t="s">
        <v>4806</v>
      </c>
      <c r="E849" s="30" t="s">
        <v>4807</v>
      </c>
      <c r="F849" s="28" t="s">
        <v>4808</v>
      </c>
      <c r="I849" s="32"/>
      <c r="J849" s="32"/>
      <c r="K849" s="33" t="s">
        <v>4804</v>
      </c>
      <c r="L849" s="33" t="s">
        <v>4809</v>
      </c>
      <c r="N849" s="33" t="s">
        <v>4804</v>
      </c>
      <c r="O849" s="35" t="s">
        <v>4810</v>
      </c>
    </row>
    <row r="850">
      <c r="A850" s="38"/>
      <c r="B850" s="28" t="s">
        <v>4811</v>
      </c>
      <c r="C850" s="28" t="s">
        <v>4125</v>
      </c>
      <c r="D850" s="29" t="s">
        <v>4812</v>
      </c>
      <c r="E850" s="30" t="s">
        <v>4813</v>
      </c>
      <c r="F850" s="28" t="s">
        <v>4814</v>
      </c>
      <c r="I850" s="32"/>
      <c r="J850" s="32"/>
      <c r="K850" s="33" t="s">
        <v>4811</v>
      </c>
      <c r="L850" s="33" t="s">
        <v>4815</v>
      </c>
      <c r="N850" s="33" t="s">
        <v>4811</v>
      </c>
      <c r="O850" s="35" t="s">
        <v>4124</v>
      </c>
    </row>
    <row r="851">
      <c r="A851" s="38"/>
      <c r="B851" s="28" t="s">
        <v>4816</v>
      </c>
      <c r="C851" s="28" t="s">
        <v>4137</v>
      </c>
      <c r="D851" s="29" t="s">
        <v>4817</v>
      </c>
      <c r="E851" s="30" t="s">
        <v>4813</v>
      </c>
      <c r="F851" s="28" t="s">
        <v>4818</v>
      </c>
      <c r="I851" s="32"/>
      <c r="J851" s="32"/>
      <c r="K851" s="33" t="s">
        <v>4816</v>
      </c>
      <c r="L851" s="33" t="s">
        <v>4819</v>
      </c>
      <c r="N851" s="33" t="s">
        <v>4816</v>
      </c>
      <c r="O851" s="35" t="s">
        <v>4136</v>
      </c>
    </row>
    <row r="852">
      <c r="A852" s="38"/>
      <c r="B852" s="28" t="s">
        <v>4820</v>
      </c>
      <c r="C852" s="28" t="s">
        <v>4147</v>
      </c>
      <c r="D852" s="29" t="s">
        <v>4821</v>
      </c>
      <c r="E852" s="30" t="s">
        <v>4822</v>
      </c>
      <c r="F852" s="28" t="s">
        <v>4823</v>
      </c>
      <c r="I852" s="32"/>
      <c r="J852" s="32"/>
      <c r="K852" s="33" t="s">
        <v>4820</v>
      </c>
      <c r="L852" s="33" t="s">
        <v>4824</v>
      </c>
      <c r="N852" s="33" t="s">
        <v>4820</v>
      </c>
      <c r="O852" s="35" t="s">
        <v>4146</v>
      </c>
    </row>
    <row r="853">
      <c r="A853" s="38"/>
      <c r="B853" s="28" t="s">
        <v>4825</v>
      </c>
      <c r="C853" s="28" t="s">
        <v>4826</v>
      </c>
      <c r="D853" s="29" t="s">
        <v>4827</v>
      </c>
      <c r="E853" s="30" t="s">
        <v>4828</v>
      </c>
      <c r="F853" s="28" t="s">
        <v>4829</v>
      </c>
      <c r="I853" s="32"/>
      <c r="J853" s="32"/>
      <c r="K853" s="33" t="s">
        <v>4825</v>
      </c>
      <c r="L853" s="33" t="s">
        <v>4830</v>
      </c>
      <c r="N853" s="33" t="s">
        <v>4825</v>
      </c>
      <c r="O853" s="35" t="s">
        <v>4831</v>
      </c>
    </row>
    <row r="854">
      <c r="A854" s="38"/>
      <c r="B854" s="28" t="s">
        <v>4832</v>
      </c>
      <c r="C854" s="28" t="s">
        <v>4152</v>
      </c>
      <c r="D854" s="29" t="s">
        <v>4833</v>
      </c>
      <c r="E854" s="30"/>
      <c r="F854" s="28" t="s">
        <v>4834</v>
      </c>
      <c r="I854" s="32"/>
      <c r="J854" s="32"/>
      <c r="K854" s="33" t="s">
        <v>4832</v>
      </c>
      <c r="L854" s="33" t="s">
        <v>4835</v>
      </c>
      <c r="N854" s="33" t="s">
        <v>4832</v>
      </c>
      <c r="O854" s="35" t="s">
        <v>4151</v>
      </c>
    </row>
    <row r="855">
      <c r="A855" s="38"/>
      <c r="B855" s="28" t="s">
        <v>4836</v>
      </c>
      <c r="C855" s="28" t="s">
        <v>4156</v>
      </c>
      <c r="D855" s="29" t="s">
        <v>4837</v>
      </c>
      <c r="E855" s="30" t="s">
        <v>4838</v>
      </c>
      <c r="F855" s="28" t="s">
        <v>4839</v>
      </c>
      <c r="I855" s="32"/>
      <c r="J855" s="32"/>
      <c r="K855" s="33" t="s">
        <v>4836</v>
      </c>
      <c r="L855" s="33" t="s">
        <v>4840</v>
      </c>
      <c r="N855" s="33" t="s">
        <v>4836</v>
      </c>
      <c r="O855" s="35"/>
    </row>
    <row r="856">
      <c r="A856" s="38"/>
      <c r="B856" s="28" t="s">
        <v>4841</v>
      </c>
      <c r="C856" s="28" t="s">
        <v>4160</v>
      </c>
      <c r="D856" s="29" t="s">
        <v>4842</v>
      </c>
      <c r="E856" s="30" t="s">
        <v>4843</v>
      </c>
      <c r="F856" s="28" t="s">
        <v>4844</v>
      </c>
      <c r="I856" s="32"/>
      <c r="J856" s="32"/>
      <c r="K856" s="33" t="s">
        <v>4841</v>
      </c>
      <c r="L856" s="33" t="s">
        <v>4845</v>
      </c>
      <c r="N856" s="33" t="s">
        <v>4841</v>
      </c>
      <c r="O856" s="35"/>
    </row>
    <row r="857">
      <c r="A857" s="38"/>
      <c r="B857" s="28" t="s">
        <v>4846</v>
      </c>
      <c r="C857" s="28" t="s">
        <v>4847</v>
      </c>
      <c r="D857" s="29" t="s">
        <v>4848</v>
      </c>
      <c r="E857" s="30"/>
      <c r="F857" s="28" t="s">
        <v>4849</v>
      </c>
      <c r="I857" s="32"/>
      <c r="J857" s="32"/>
      <c r="K857" s="33" t="s">
        <v>4846</v>
      </c>
      <c r="L857" s="33" t="s">
        <v>4850</v>
      </c>
      <c r="N857" s="33" t="s">
        <v>4846</v>
      </c>
      <c r="O857" s="35"/>
    </row>
    <row r="858">
      <c r="A858" s="38"/>
      <c r="B858" s="28" t="s">
        <v>4851</v>
      </c>
      <c r="C858" s="28" t="s">
        <v>4852</v>
      </c>
      <c r="D858" s="29" t="s">
        <v>4853</v>
      </c>
      <c r="E858" s="30" t="s">
        <v>4854</v>
      </c>
      <c r="F858" s="28" t="s">
        <v>4855</v>
      </c>
      <c r="I858" s="32"/>
      <c r="J858" s="32"/>
      <c r="K858" s="33" t="s">
        <v>4851</v>
      </c>
      <c r="L858" s="33" t="s">
        <v>4856</v>
      </c>
      <c r="N858" s="33" t="s">
        <v>4851</v>
      </c>
      <c r="O858" s="35" t="s">
        <v>4857</v>
      </c>
    </row>
    <row r="859">
      <c r="A859" s="38"/>
      <c r="B859" s="28" t="s">
        <v>4858</v>
      </c>
      <c r="C859" s="28" t="s">
        <v>4172</v>
      </c>
      <c r="D859" s="29" t="s">
        <v>4859</v>
      </c>
      <c r="E859" s="30"/>
      <c r="F859" s="28" t="s">
        <v>4860</v>
      </c>
      <c r="I859" s="32"/>
      <c r="J859" s="32"/>
      <c r="K859" s="33" t="s">
        <v>4858</v>
      </c>
      <c r="L859" s="33" t="s">
        <v>4861</v>
      </c>
      <c r="N859" s="33" t="s">
        <v>4858</v>
      </c>
      <c r="O859" s="35" t="s">
        <v>4171</v>
      </c>
    </row>
    <row r="860">
      <c r="A860" s="38"/>
      <c r="B860" s="28" t="s">
        <v>4862</v>
      </c>
      <c r="C860" s="28" t="s">
        <v>4184</v>
      </c>
      <c r="D860" s="29" t="s">
        <v>4863</v>
      </c>
      <c r="E860" s="30" t="s">
        <v>4864</v>
      </c>
      <c r="F860" s="28" t="s">
        <v>4865</v>
      </c>
      <c r="I860" s="32"/>
      <c r="J860" s="32"/>
      <c r="K860" s="33" t="s">
        <v>4862</v>
      </c>
      <c r="L860" s="33" t="s">
        <v>4866</v>
      </c>
      <c r="N860" s="33" t="s">
        <v>4862</v>
      </c>
      <c r="O860" s="35" t="s">
        <v>4183</v>
      </c>
    </row>
    <row r="861">
      <c r="A861" s="38"/>
      <c r="B861" s="28" t="s">
        <v>4867</v>
      </c>
      <c r="C861" s="28" t="s">
        <v>4189</v>
      </c>
      <c r="D861" s="29" t="s">
        <v>4868</v>
      </c>
      <c r="E861" s="30" t="s">
        <v>4869</v>
      </c>
      <c r="F861" s="28" t="s">
        <v>4870</v>
      </c>
      <c r="I861" s="32"/>
      <c r="J861" s="32"/>
      <c r="K861" s="33" t="s">
        <v>4867</v>
      </c>
      <c r="L861" s="33" t="s">
        <v>4871</v>
      </c>
      <c r="N861" s="33" t="s">
        <v>4867</v>
      </c>
      <c r="O861" s="35" t="s">
        <v>4188</v>
      </c>
    </row>
    <row r="862">
      <c r="A862" s="38"/>
      <c r="B862" s="28" t="s">
        <v>4872</v>
      </c>
      <c r="C862" s="28" t="s">
        <v>4194</v>
      </c>
      <c r="D862" s="29" t="s">
        <v>4873</v>
      </c>
      <c r="E862" s="30" t="s">
        <v>4874</v>
      </c>
      <c r="F862" s="28" t="s">
        <v>4875</v>
      </c>
      <c r="I862" s="32"/>
      <c r="J862" s="32"/>
      <c r="K862" s="33" t="s">
        <v>4872</v>
      </c>
      <c r="L862" s="33" t="s">
        <v>4876</v>
      </c>
      <c r="N862" s="33" t="s">
        <v>4872</v>
      </c>
      <c r="O862" s="35" t="s">
        <v>4193</v>
      </c>
    </row>
    <row r="863">
      <c r="A863" s="38"/>
      <c r="B863" s="28" t="s">
        <v>4877</v>
      </c>
      <c r="C863" s="28" t="s">
        <v>4878</v>
      </c>
      <c r="D863" s="29" t="s">
        <v>4879</v>
      </c>
      <c r="E863" s="30"/>
      <c r="F863" s="28" t="s">
        <v>4880</v>
      </c>
      <c r="I863" s="32"/>
      <c r="J863" s="32"/>
      <c r="K863" s="33" t="s">
        <v>4877</v>
      </c>
      <c r="L863" s="33" t="s">
        <v>4881</v>
      </c>
      <c r="N863" s="33" t="s">
        <v>4877</v>
      </c>
      <c r="O863" s="35"/>
    </row>
    <row r="864">
      <c r="A864" s="38"/>
      <c r="B864" s="28" t="s">
        <v>4882</v>
      </c>
      <c r="C864" s="28" t="s">
        <v>4199</v>
      </c>
      <c r="D864" s="29" t="s">
        <v>4883</v>
      </c>
      <c r="E864" s="30" t="s">
        <v>4884</v>
      </c>
      <c r="F864" s="28" t="s">
        <v>4885</v>
      </c>
      <c r="I864" s="32"/>
      <c r="J864" s="32"/>
      <c r="K864" s="33" t="s">
        <v>4882</v>
      </c>
      <c r="L864" s="33" t="s">
        <v>4886</v>
      </c>
      <c r="N864" s="33" t="s">
        <v>4882</v>
      </c>
      <c r="O864" s="35" t="s">
        <v>4198</v>
      </c>
    </row>
    <row r="865">
      <c r="A865" s="38"/>
      <c r="B865" s="28" t="s">
        <v>4887</v>
      </c>
      <c r="C865" s="28" t="s">
        <v>4204</v>
      </c>
      <c r="D865" s="29" t="s">
        <v>4888</v>
      </c>
      <c r="E865" s="30" t="s">
        <v>4889</v>
      </c>
      <c r="F865" s="28" t="s">
        <v>4890</v>
      </c>
      <c r="I865" s="32"/>
      <c r="J865" s="32"/>
      <c r="K865" s="33" t="s">
        <v>4887</v>
      </c>
      <c r="L865" s="33" t="s">
        <v>4891</v>
      </c>
      <c r="N865" s="33" t="s">
        <v>4887</v>
      </c>
      <c r="O865" s="35" t="s">
        <v>4203</v>
      </c>
    </row>
    <row r="866">
      <c r="A866" s="38"/>
      <c r="B866" s="28" t="s">
        <v>4892</v>
      </c>
      <c r="C866" s="28" t="s">
        <v>4209</v>
      </c>
      <c r="D866" s="29" t="s">
        <v>4893</v>
      </c>
      <c r="E866" s="54" t="s">
        <v>4894</v>
      </c>
      <c r="F866" s="28" t="s">
        <v>4895</v>
      </c>
      <c r="I866" s="32"/>
      <c r="J866" s="32"/>
      <c r="K866" s="33" t="s">
        <v>4892</v>
      </c>
      <c r="L866" s="33" t="s">
        <v>4896</v>
      </c>
      <c r="N866" s="33" t="s">
        <v>4892</v>
      </c>
      <c r="O866" s="35"/>
    </row>
    <row r="867">
      <c r="A867" s="38"/>
      <c r="B867" s="28" t="s">
        <v>4897</v>
      </c>
      <c r="C867" s="28" t="s">
        <v>4898</v>
      </c>
      <c r="D867" s="29" t="s">
        <v>4899</v>
      </c>
      <c r="E867" s="30" t="s">
        <v>4900</v>
      </c>
      <c r="F867" s="28" t="s">
        <v>4901</v>
      </c>
      <c r="I867" s="32"/>
      <c r="J867" s="32"/>
      <c r="K867" s="33" t="s">
        <v>4897</v>
      </c>
      <c r="L867" s="33" t="s">
        <v>4902</v>
      </c>
      <c r="N867" s="33" t="s">
        <v>4897</v>
      </c>
      <c r="O867" s="47" t="s">
        <v>4903</v>
      </c>
    </row>
    <row r="868">
      <c r="A868" s="38"/>
      <c r="B868" s="28" t="s">
        <v>4904</v>
      </c>
      <c r="C868" s="28" t="s">
        <v>4215</v>
      </c>
      <c r="D868" s="29" t="s">
        <v>4905</v>
      </c>
      <c r="E868" s="30" t="s">
        <v>4906</v>
      </c>
      <c r="F868" s="28" t="s">
        <v>4907</v>
      </c>
      <c r="I868" s="32"/>
      <c r="J868" s="32"/>
      <c r="K868" s="33" t="s">
        <v>4904</v>
      </c>
      <c r="L868" s="33" t="s">
        <v>4908</v>
      </c>
      <c r="N868" s="33" t="s">
        <v>4904</v>
      </c>
      <c r="O868" s="35"/>
    </row>
    <row r="869">
      <c r="A869" s="38"/>
      <c r="B869" s="28" t="s">
        <v>4909</v>
      </c>
      <c r="C869" s="28" t="s">
        <v>4910</v>
      </c>
      <c r="D869" s="29" t="s">
        <v>4911</v>
      </c>
      <c r="E869" s="30" t="s">
        <v>4912</v>
      </c>
      <c r="F869" s="28" t="s">
        <v>4913</v>
      </c>
      <c r="I869" s="32"/>
      <c r="J869" s="32"/>
      <c r="K869" s="33" t="s">
        <v>4909</v>
      </c>
      <c r="L869" s="33" t="s">
        <v>4914</v>
      </c>
      <c r="N869" s="33" t="s">
        <v>4909</v>
      </c>
      <c r="O869" s="47" t="s">
        <v>4915</v>
      </c>
    </row>
    <row r="870">
      <c r="A870" s="38"/>
      <c r="B870" s="28" t="s">
        <v>4916</v>
      </c>
      <c r="C870" s="28" t="s">
        <v>4917</v>
      </c>
      <c r="D870" s="29" t="s">
        <v>4918</v>
      </c>
      <c r="E870" s="30" t="s">
        <v>4919</v>
      </c>
      <c r="F870" s="28" t="s">
        <v>4920</v>
      </c>
      <c r="I870" s="32"/>
      <c r="J870" s="32"/>
      <c r="K870" s="33" t="s">
        <v>4916</v>
      </c>
      <c r="L870" s="33" t="s">
        <v>4921</v>
      </c>
      <c r="N870" s="33" t="s">
        <v>4916</v>
      </c>
      <c r="O870" s="47" t="s">
        <v>4922</v>
      </c>
    </row>
    <row r="871">
      <c r="A871" s="38"/>
      <c r="B871" s="28" t="s">
        <v>4923</v>
      </c>
      <c r="C871" s="28" t="s">
        <v>4228</v>
      </c>
      <c r="D871" s="29" t="s">
        <v>4924</v>
      </c>
      <c r="E871" s="30"/>
      <c r="F871" s="28" t="s">
        <v>4925</v>
      </c>
      <c r="I871" s="32"/>
      <c r="J871" s="32"/>
      <c r="K871" s="33" t="s">
        <v>4923</v>
      </c>
      <c r="L871" s="33" t="s">
        <v>4926</v>
      </c>
      <c r="N871" s="33" t="s">
        <v>4923</v>
      </c>
      <c r="O871" s="35"/>
    </row>
    <row r="872">
      <c r="A872" s="38"/>
      <c r="B872" s="28" t="s">
        <v>4927</v>
      </c>
      <c r="C872" s="28" t="s">
        <v>4928</v>
      </c>
      <c r="D872" s="29" t="s">
        <v>4929</v>
      </c>
      <c r="E872" s="30"/>
      <c r="F872" s="28" t="s">
        <v>4930</v>
      </c>
      <c r="I872" s="32"/>
      <c r="J872" s="32"/>
      <c r="K872" s="33" t="s">
        <v>4927</v>
      </c>
      <c r="L872" s="33" t="s">
        <v>4931</v>
      </c>
      <c r="N872" s="33" t="s">
        <v>4927</v>
      </c>
      <c r="O872" s="35"/>
    </row>
    <row r="873">
      <c r="A873" s="38"/>
      <c r="B873" s="28" t="s">
        <v>4932</v>
      </c>
      <c r="C873" s="28" t="s">
        <v>4239</v>
      </c>
      <c r="D873" s="29" t="s">
        <v>4933</v>
      </c>
      <c r="E873" s="30" t="s">
        <v>4934</v>
      </c>
      <c r="F873" s="28" t="s">
        <v>4935</v>
      </c>
      <c r="I873" s="32"/>
      <c r="J873" s="32"/>
      <c r="K873" s="33" t="s">
        <v>4932</v>
      </c>
      <c r="L873" s="33" t="s">
        <v>4936</v>
      </c>
      <c r="N873" s="33" t="s">
        <v>4932</v>
      </c>
      <c r="O873" s="35" t="s">
        <v>4238</v>
      </c>
    </row>
    <row r="874">
      <c r="A874" s="38"/>
      <c r="B874" s="28" t="s">
        <v>4937</v>
      </c>
      <c r="C874" s="28" t="s">
        <v>4245</v>
      </c>
      <c r="D874" s="29" t="s">
        <v>4938</v>
      </c>
      <c r="E874" s="30" t="s">
        <v>4934</v>
      </c>
      <c r="F874" s="28" t="s">
        <v>4939</v>
      </c>
      <c r="I874" s="32"/>
      <c r="J874" s="32"/>
      <c r="K874" s="33" t="s">
        <v>4937</v>
      </c>
      <c r="L874" s="33" t="s">
        <v>4940</v>
      </c>
      <c r="N874" s="33" t="s">
        <v>4937</v>
      </c>
      <c r="O874" s="35" t="s">
        <v>4244</v>
      </c>
    </row>
    <row r="875">
      <c r="A875" s="38"/>
      <c r="B875" s="28" t="s">
        <v>4941</v>
      </c>
      <c r="C875" s="28" t="s">
        <v>4255</v>
      </c>
      <c r="D875" s="29" t="s">
        <v>4942</v>
      </c>
      <c r="E875" s="30" t="s">
        <v>4943</v>
      </c>
      <c r="F875" s="28" t="s">
        <v>4944</v>
      </c>
      <c r="I875" s="32"/>
      <c r="J875" s="32"/>
      <c r="K875" s="33" t="s">
        <v>4941</v>
      </c>
      <c r="L875" s="33" t="s">
        <v>4945</v>
      </c>
      <c r="N875" s="33" t="s">
        <v>4941</v>
      </c>
      <c r="O875" s="35" t="s">
        <v>4254</v>
      </c>
    </row>
    <row r="876">
      <c r="A876" s="38"/>
      <c r="B876" s="28" t="s">
        <v>4946</v>
      </c>
      <c r="C876" s="28" t="s">
        <v>4947</v>
      </c>
      <c r="D876" s="29" t="s">
        <v>4948</v>
      </c>
      <c r="E876" s="30" t="s">
        <v>4949</v>
      </c>
      <c r="F876" s="28" t="s">
        <v>4950</v>
      </c>
      <c r="I876" s="32"/>
      <c r="J876" s="32"/>
      <c r="K876" s="33" t="s">
        <v>4946</v>
      </c>
      <c r="L876" s="33" t="s">
        <v>4951</v>
      </c>
      <c r="N876" s="33" t="s">
        <v>4946</v>
      </c>
      <c r="O876" s="35" t="s">
        <v>4952</v>
      </c>
    </row>
    <row r="877">
      <c r="A877" s="38"/>
      <c r="B877" s="28" t="s">
        <v>4953</v>
      </c>
      <c r="C877" s="28" t="s">
        <v>4954</v>
      </c>
      <c r="D877" s="29" t="s">
        <v>4955</v>
      </c>
      <c r="E877" s="30" t="s">
        <v>4956</v>
      </c>
      <c r="F877" s="28" t="s">
        <v>4957</v>
      </c>
      <c r="I877" s="32"/>
      <c r="J877" s="32"/>
      <c r="K877" s="33" t="s">
        <v>4953</v>
      </c>
      <c r="L877" s="33" t="s">
        <v>4958</v>
      </c>
      <c r="N877" s="33" t="s">
        <v>4953</v>
      </c>
      <c r="O877" s="35" t="s">
        <v>4959</v>
      </c>
    </row>
    <row r="878">
      <c r="A878" s="38"/>
      <c r="B878" s="28" t="s">
        <v>4960</v>
      </c>
      <c r="C878" s="28" t="s">
        <v>4961</v>
      </c>
      <c r="D878" s="29" t="s">
        <v>4962</v>
      </c>
      <c r="E878" s="30" t="s">
        <v>4963</v>
      </c>
      <c r="F878" s="28" t="s">
        <v>4964</v>
      </c>
      <c r="I878" s="32"/>
      <c r="J878" s="32"/>
      <c r="K878" s="33" t="s">
        <v>4960</v>
      </c>
      <c r="L878" s="33" t="s">
        <v>4965</v>
      </c>
      <c r="N878" s="33" t="s">
        <v>4960</v>
      </c>
      <c r="O878" s="35" t="s">
        <v>4966</v>
      </c>
    </row>
    <row r="879">
      <c r="A879" s="38"/>
      <c r="B879" s="28" t="s">
        <v>4967</v>
      </c>
      <c r="C879" s="28" t="s">
        <v>4264</v>
      </c>
      <c r="D879" s="29" t="s">
        <v>4968</v>
      </c>
      <c r="E879" s="30" t="s">
        <v>4969</v>
      </c>
      <c r="F879" s="28" t="s">
        <v>4970</v>
      </c>
      <c r="I879" s="32"/>
      <c r="J879" s="32"/>
      <c r="K879" s="33" t="s">
        <v>4967</v>
      </c>
      <c r="L879" s="33" t="s">
        <v>4971</v>
      </c>
      <c r="N879" s="33" t="s">
        <v>4967</v>
      </c>
      <c r="O879" s="35"/>
    </row>
    <row r="880">
      <c r="A880" s="38"/>
      <c r="B880" s="28" t="s">
        <v>4972</v>
      </c>
      <c r="C880" s="28" t="s">
        <v>4281</v>
      </c>
      <c r="D880" s="29" t="s">
        <v>4973</v>
      </c>
      <c r="E880" s="30" t="s">
        <v>4974</v>
      </c>
      <c r="F880" s="28" t="s">
        <v>4975</v>
      </c>
      <c r="I880" s="32"/>
      <c r="J880" s="32"/>
      <c r="K880" s="33" t="s">
        <v>4972</v>
      </c>
      <c r="L880" s="33" t="s">
        <v>4976</v>
      </c>
      <c r="N880" s="33" t="s">
        <v>4972</v>
      </c>
      <c r="O880" s="35" t="s">
        <v>4280</v>
      </c>
    </row>
    <row r="881">
      <c r="A881" s="38"/>
      <c r="B881" s="28" t="s">
        <v>4977</v>
      </c>
      <c r="C881" s="28" t="s">
        <v>4978</v>
      </c>
      <c r="D881" s="29" t="s">
        <v>4979</v>
      </c>
      <c r="E881" s="30"/>
      <c r="F881" s="28" t="s">
        <v>4980</v>
      </c>
      <c r="I881" s="32"/>
      <c r="J881" s="32"/>
      <c r="K881" s="33" t="s">
        <v>4977</v>
      </c>
      <c r="L881" s="33" t="s">
        <v>4981</v>
      </c>
      <c r="N881" s="33" t="s">
        <v>4977</v>
      </c>
      <c r="O881" s="35"/>
    </row>
    <row r="882">
      <c r="A882" s="38"/>
      <c r="B882" s="28" t="s">
        <v>4982</v>
      </c>
      <c r="C882" s="28" t="s">
        <v>4983</v>
      </c>
      <c r="D882" s="29" t="s">
        <v>4984</v>
      </c>
      <c r="E882" s="30"/>
      <c r="F882" s="28" t="s">
        <v>4985</v>
      </c>
      <c r="I882" s="32"/>
      <c r="J882" s="32"/>
      <c r="K882" s="33" t="s">
        <v>4982</v>
      </c>
      <c r="L882" s="33" t="s">
        <v>4986</v>
      </c>
      <c r="N882" s="33" t="s">
        <v>4982</v>
      </c>
      <c r="O882" s="35" t="s">
        <v>4987</v>
      </c>
    </row>
    <row r="883">
      <c r="A883" s="38"/>
      <c r="B883" s="28" t="s">
        <v>4988</v>
      </c>
      <c r="C883" s="28" t="s">
        <v>4292</v>
      </c>
      <c r="D883" s="29" t="s">
        <v>4989</v>
      </c>
      <c r="E883" s="30" t="s">
        <v>4990</v>
      </c>
      <c r="F883" s="28" t="s">
        <v>4991</v>
      </c>
      <c r="I883" s="32"/>
      <c r="J883" s="32"/>
      <c r="K883" s="33" t="s">
        <v>4988</v>
      </c>
      <c r="L883" s="33" t="s">
        <v>4992</v>
      </c>
      <c r="N883" s="33" t="s">
        <v>4988</v>
      </c>
      <c r="O883" s="35"/>
    </row>
    <row r="884">
      <c r="A884" s="38"/>
      <c r="B884" s="28" t="s">
        <v>4993</v>
      </c>
      <c r="C884" s="28" t="s">
        <v>4306</v>
      </c>
      <c r="D884" s="29" t="s">
        <v>4994</v>
      </c>
      <c r="E884" s="54" t="s">
        <v>4995</v>
      </c>
      <c r="F884" s="28" t="s">
        <v>4996</v>
      </c>
      <c r="I884" s="32"/>
      <c r="J884" s="32"/>
      <c r="K884" s="33" t="s">
        <v>4993</v>
      </c>
      <c r="L884" s="33" t="s">
        <v>4997</v>
      </c>
      <c r="N884" s="33" t="s">
        <v>4993</v>
      </c>
      <c r="O884" s="35"/>
    </row>
    <row r="885">
      <c r="A885" s="38"/>
      <c r="B885" s="28" t="s">
        <v>4998</v>
      </c>
      <c r="C885" s="28" t="s">
        <v>4999</v>
      </c>
      <c r="D885" s="29" t="s">
        <v>5000</v>
      </c>
      <c r="E885" s="30" t="s">
        <v>5001</v>
      </c>
      <c r="F885" s="28" t="s">
        <v>5002</v>
      </c>
      <c r="I885" s="32"/>
      <c r="J885" s="32"/>
      <c r="K885" s="33" t="s">
        <v>4998</v>
      </c>
      <c r="L885" s="33" t="s">
        <v>5003</v>
      </c>
      <c r="N885" s="33" t="s">
        <v>4998</v>
      </c>
      <c r="O885" s="35"/>
    </row>
    <row r="886">
      <c r="A886" s="38"/>
      <c r="B886" s="28" t="s">
        <v>5004</v>
      </c>
      <c r="C886" s="28" t="s">
        <v>5005</v>
      </c>
      <c r="D886" s="29" t="s">
        <v>5006</v>
      </c>
      <c r="E886" s="54" t="s">
        <v>5007</v>
      </c>
      <c r="F886" s="28" t="s">
        <v>5008</v>
      </c>
      <c r="I886" s="32"/>
      <c r="J886" s="32"/>
      <c r="K886" s="33" t="s">
        <v>5004</v>
      </c>
      <c r="L886" s="33" t="s">
        <v>5009</v>
      </c>
      <c r="N886" s="33" t="s">
        <v>5004</v>
      </c>
      <c r="O886" s="35" t="s">
        <v>5010</v>
      </c>
    </row>
    <row r="887">
      <c r="A887" s="38"/>
      <c r="B887" s="28" t="s">
        <v>5011</v>
      </c>
      <c r="C887" s="28" t="s">
        <v>4330</v>
      </c>
      <c r="D887" s="29" t="s">
        <v>5012</v>
      </c>
      <c r="E887" s="30" t="s">
        <v>5013</v>
      </c>
      <c r="F887" s="28" t="s">
        <v>5014</v>
      </c>
      <c r="I887" s="32"/>
      <c r="J887" s="32"/>
      <c r="K887" s="33" t="s">
        <v>5011</v>
      </c>
      <c r="L887" s="33" t="s">
        <v>5015</v>
      </c>
      <c r="N887" s="33" t="s">
        <v>5011</v>
      </c>
      <c r="O887" s="35" t="s">
        <v>4329</v>
      </c>
    </row>
    <row r="888">
      <c r="A888" s="38"/>
      <c r="B888" s="28" t="s">
        <v>5016</v>
      </c>
      <c r="C888" s="28" t="s">
        <v>4335</v>
      </c>
      <c r="D888" s="29" t="s">
        <v>5017</v>
      </c>
      <c r="E888" s="30" t="s">
        <v>5018</v>
      </c>
      <c r="F888" s="28" t="s">
        <v>5019</v>
      </c>
      <c r="I888" s="32"/>
      <c r="J888" s="32"/>
      <c r="K888" s="33" t="s">
        <v>5016</v>
      </c>
      <c r="L888" s="33" t="s">
        <v>5020</v>
      </c>
      <c r="N888" s="33" t="s">
        <v>5016</v>
      </c>
      <c r="O888" s="35" t="s">
        <v>4334</v>
      </c>
    </row>
    <row r="889">
      <c r="A889" s="38"/>
      <c r="B889" s="28" t="s">
        <v>5021</v>
      </c>
      <c r="C889" s="28" t="s">
        <v>5022</v>
      </c>
      <c r="D889" s="29" t="s">
        <v>5023</v>
      </c>
      <c r="E889" s="30"/>
      <c r="F889" s="28" t="s">
        <v>5024</v>
      </c>
      <c r="I889" s="32"/>
      <c r="J889" s="32"/>
      <c r="K889" s="33" t="s">
        <v>5021</v>
      </c>
      <c r="L889" s="33" t="s">
        <v>5025</v>
      </c>
      <c r="N889" s="33" t="s">
        <v>5021</v>
      </c>
      <c r="O889" s="35" t="s">
        <v>5026</v>
      </c>
    </row>
    <row r="890">
      <c r="A890" s="38"/>
      <c r="B890" s="28" t="s">
        <v>5027</v>
      </c>
      <c r="C890" s="28" t="s">
        <v>4352</v>
      </c>
      <c r="D890" s="29" t="s">
        <v>5028</v>
      </c>
      <c r="E890" s="30" t="s">
        <v>5029</v>
      </c>
      <c r="F890" s="28" t="s">
        <v>5030</v>
      </c>
      <c r="I890" s="32"/>
      <c r="J890" s="32"/>
      <c r="K890" s="33" t="s">
        <v>5027</v>
      </c>
      <c r="L890" s="33" t="s">
        <v>5031</v>
      </c>
      <c r="N890" s="33" t="s">
        <v>5027</v>
      </c>
      <c r="O890" s="35" t="s">
        <v>4351</v>
      </c>
    </row>
    <row r="891">
      <c r="A891" s="38"/>
      <c r="B891" s="28" t="s">
        <v>5032</v>
      </c>
      <c r="C891" s="28" t="s">
        <v>4357</v>
      </c>
      <c r="D891" s="29" t="s">
        <v>5033</v>
      </c>
      <c r="E891" s="30" t="s">
        <v>5034</v>
      </c>
      <c r="F891" s="28" t="s">
        <v>5035</v>
      </c>
      <c r="I891" s="32"/>
      <c r="J891" s="32"/>
      <c r="K891" s="33" t="s">
        <v>5032</v>
      </c>
      <c r="L891" s="33" t="s">
        <v>5036</v>
      </c>
      <c r="N891" s="33" t="s">
        <v>5032</v>
      </c>
      <c r="O891" s="35" t="s">
        <v>4356</v>
      </c>
    </row>
    <row r="892">
      <c r="A892" s="38"/>
      <c r="B892" s="28" t="s">
        <v>5037</v>
      </c>
      <c r="C892" s="28" t="s">
        <v>4363</v>
      </c>
      <c r="D892" s="29" t="s">
        <v>5038</v>
      </c>
      <c r="E892" s="30" t="s">
        <v>5039</v>
      </c>
      <c r="F892" s="28" t="s">
        <v>5040</v>
      </c>
      <c r="I892" s="32"/>
      <c r="J892" s="32"/>
      <c r="K892" s="33" t="s">
        <v>5037</v>
      </c>
      <c r="L892" s="33" t="s">
        <v>5041</v>
      </c>
      <c r="N892" s="33" t="s">
        <v>5037</v>
      </c>
      <c r="O892" s="35"/>
    </row>
    <row r="893">
      <c r="A893" s="38"/>
      <c r="B893" s="28" t="s">
        <v>5042</v>
      </c>
      <c r="C893" s="28" t="s">
        <v>4370</v>
      </c>
      <c r="D893" s="29" t="s">
        <v>5043</v>
      </c>
      <c r="E893" s="30" t="s">
        <v>5044</v>
      </c>
      <c r="F893" s="28" t="s">
        <v>5045</v>
      </c>
      <c r="I893" s="32"/>
      <c r="J893" s="32"/>
      <c r="K893" s="33" t="s">
        <v>5042</v>
      </c>
      <c r="L893" s="33" t="s">
        <v>5046</v>
      </c>
      <c r="N893" s="33" t="s">
        <v>5042</v>
      </c>
      <c r="O893" s="35" t="s">
        <v>4369</v>
      </c>
    </row>
    <row r="894">
      <c r="A894" s="38"/>
      <c r="B894" s="28" t="s">
        <v>5047</v>
      </c>
      <c r="C894" s="28" t="s">
        <v>4382</v>
      </c>
      <c r="D894" s="29" t="s">
        <v>5048</v>
      </c>
      <c r="E894" s="30"/>
      <c r="F894" s="28" t="s">
        <v>5049</v>
      </c>
      <c r="I894" s="32"/>
      <c r="J894" s="32"/>
      <c r="K894" s="33" t="s">
        <v>5047</v>
      </c>
      <c r="L894" s="33" t="s">
        <v>5050</v>
      </c>
      <c r="N894" s="33" t="s">
        <v>5047</v>
      </c>
      <c r="O894" s="35" t="s">
        <v>4381</v>
      </c>
    </row>
    <row r="895">
      <c r="A895" s="38"/>
      <c r="B895" s="28" t="s">
        <v>5051</v>
      </c>
      <c r="C895" s="28" t="s">
        <v>4394</v>
      </c>
      <c r="D895" s="29" t="s">
        <v>5052</v>
      </c>
      <c r="E895" s="30"/>
      <c r="F895" s="28" t="s">
        <v>5053</v>
      </c>
      <c r="I895" s="32"/>
      <c r="J895" s="32"/>
      <c r="K895" s="33" t="s">
        <v>5051</v>
      </c>
      <c r="L895" s="33" t="s">
        <v>5054</v>
      </c>
      <c r="N895" s="33" t="s">
        <v>5051</v>
      </c>
      <c r="O895" s="35" t="s">
        <v>4393</v>
      </c>
    </row>
    <row r="896">
      <c r="A896" s="38"/>
      <c r="B896" s="28" t="s">
        <v>5055</v>
      </c>
      <c r="C896" s="28" t="s">
        <v>4398</v>
      </c>
      <c r="D896" s="29" t="s">
        <v>5056</v>
      </c>
      <c r="E896" s="30" t="s">
        <v>5057</v>
      </c>
      <c r="F896" s="28" t="s">
        <v>5058</v>
      </c>
      <c r="I896" s="32"/>
      <c r="J896" s="32"/>
      <c r="K896" s="33" t="s">
        <v>5055</v>
      </c>
      <c r="L896" s="33" t="s">
        <v>5059</v>
      </c>
      <c r="N896" s="33" t="s">
        <v>5055</v>
      </c>
      <c r="O896" s="35"/>
    </row>
    <row r="897">
      <c r="A897" s="38"/>
      <c r="B897" s="28" t="s">
        <v>5060</v>
      </c>
      <c r="C897" s="28" t="s">
        <v>4404</v>
      </c>
      <c r="D897" s="29" t="s">
        <v>5061</v>
      </c>
      <c r="E897" s="30" t="s">
        <v>5062</v>
      </c>
      <c r="F897" s="28" t="s">
        <v>5063</v>
      </c>
      <c r="I897" s="32"/>
      <c r="J897" s="32"/>
      <c r="K897" s="33" t="s">
        <v>5060</v>
      </c>
      <c r="L897" s="33" t="s">
        <v>5064</v>
      </c>
      <c r="N897" s="33" t="s">
        <v>5060</v>
      </c>
      <c r="O897" s="35" t="s">
        <v>4403</v>
      </c>
    </row>
    <row r="898">
      <c r="A898" s="38"/>
      <c r="B898" s="28" t="s">
        <v>5065</v>
      </c>
      <c r="C898" s="28" t="s">
        <v>5066</v>
      </c>
      <c r="D898" s="29" t="s">
        <v>5067</v>
      </c>
      <c r="E898" s="30" t="s">
        <v>5068</v>
      </c>
      <c r="F898" s="28" t="s">
        <v>5069</v>
      </c>
      <c r="I898" s="32"/>
      <c r="J898" s="32"/>
      <c r="K898" s="33" t="s">
        <v>5065</v>
      </c>
      <c r="L898" s="33" t="s">
        <v>5070</v>
      </c>
      <c r="N898" s="33" t="s">
        <v>5065</v>
      </c>
      <c r="O898" s="35" t="s">
        <v>5071</v>
      </c>
    </row>
    <row r="899">
      <c r="A899" s="38"/>
      <c r="B899" s="28" t="s">
        <v>5072</v>
      </c>
      <c r="C899" s="28" t="s">
        <v>4412</v>
      </c>
      <c r="D899" s="29" t="s">
        <v>5073</v>
      </c>
      <c r="E899" s="30" t="s">
        <v>5074</v>
      </c>
      <c r="F899" s="28" t="s">
        <v>5075</v>
      </c>
      <c r="I899" s="32"/>
      <c r="J899" s="32"/>
      <c r="K899" s="33" t="s">
        <v>5072</v>
      </c>
      <c r="L899" s="33" t="s">
        <v>5076</v>
      </c>
      <c r="N899" s="33" t="s">
        <v>5072</v>
      </c>
      <c r="O899" s="35"/>
    </row>
    <row r="900">
      <c r="A900" s="38"/>
      <c r="B900" s="28" t="s">
        <v>5077</v>
      </c>
      <c r="C900" s="28" t="s">
        <v>5078</v>
      </c>
      <c r="D900" s="29" t="s">
        <v>5079</v>
      </c>
      <c r="E900" s="30" t="s">
        <v>5080</v>
      </c>
      <c r="F900" s="28" t="s">
        <v>5081</v>
      </c>
      <c r="I900" s="32"/>
      <c r="J900" s="32"/>
      <c r="K900" s="33" t="s">
        <v>5077</v>
      </c>
      <c r="L900" s="33" t="s">
        <v>5082</v>
      </c>
      <c r="N900" s="33" t="s">
        <v>5077</v>
      </c>
      <c r="O900" s="35" t="s">
        <v>5083</v>
      </c>
    </row>
    <row r="901">
      <c r="A901" s="38"/>
      <c r="B901" s="28" t="s">
        <v>5084</v>
      </c>
      <c r="C901" s="28" t="s">
        <v>5085</v>
      </c>
      <c r="D901" s="29" t="s">
        <v>5086</v>
      </c>
      <c r="E901" s="30"/>
      <c r="F901" s="28" t="s">
        <v>5087</v>
      </c>
      <c r="I901" s="32"/>
      <c r="J901" s="32"/>
      <c r="K901" s="33" t="s">
        <v>5084</v>
      </c>
      <c r="L901" s="33" t="s">
        <v>5088</v>
      </c>
      <c r="N901" s="33" t="s">
        <v>5084</v>
      </c>
      <c r="O901" s="35" t="s">
        <v>5089</v>
      </c>
    </row>
    <row r="902">
      <c r="A902" s="38"/>
      <c r="B902" s="28" t="s">
        <v>5090</v>
      </c>
      <c r="C902" s="28" t="s">
        <v>4418</v>
      </c>
      <c r="D902" s="29" t="s">
        <v>5091</v>
      </c>
      <c r="E902" s="30"/>
      <c r="F902" s="28" t="s">
        <v>5092</v>
      </c>
      <c r="I902" s="32"/>
      <c r="J902" s="32"/>
      <c r="K902" s="33" t="s">
        <v>5090</v>
      </c>
      <c r="L902" s="33" t="s">
        <v>5093</v>
      </c>
      <c r="N902" s="33" t="s">
        <v>5090</v>
      </c>
      <c r="O902" s="35" t="s">
        <v>4417</v>
      </c>
    </row>
    <row r="903">
      <c r="A903" s="38"/>
      <c r="B903" s="28" t="s">
        <v>5094</v>
      </c>
      <c r="C903" s="28" t="s">
        <v>4424</v>
      </c>
      <c r="D903" s="29" t="s">
        <v>5095</v>
      </c>
      <c r="E903" s="30" t="s">
        <v>5096</v>
      </c>
      <c r="F903" s="28" t="s">
        <v>5097</v>
      </c>
      <c r="I903" s="32"/>
      <c r="J903" s="32"/>
      <c r="K903" s="33" t="s">
        <v>5094</v>
      </c>
      <c r="L903" s="33" t="s">
        <v>5098</v>
      </c>
      <c r="N903" s="33" t="s">
        <v>5094</v>
      </c>
      <c r="O903" s="35" t="s">
        <v>4423</v>
      </c>
    </row>
    <row r="904">
      <c r="A904" s="38"/>
      <c r="B904" s="28" t="s">
        <v>5099</v>
      </c>
      <c r="C904" s="28" t="s">
        <v>4429</v>
      </c>
      <c r="D904" s="29" t="s">
        <v>5100</v>
      </c>
      <c r="E904" s="30"/>
      <c r="F904" s="28" t="s">
        <v>5101</v>
      </c>
      <c r="I904" s="32"/>
      <c r="J904" s="32"/>
      <c r="K904" s="33" t="s">
        <v>5099</v>
      </c>
      <c r="L904" s="33" t="s">
        <v>5102</v>
      </c>
      <c r="N904" s="33" t="s">
        <v>5099</v>
      </c>
      <c r="O904" s="35"/>
    </row>
    <row r="905">
      <c r="A905" s="38"/>
      <c r="B905" s="28" t="s">
        <v>5103</v>
      </c>
      <c r="C905" s="28" t="s">
        <v>5104</v>
      </c>
      <c r="D905" s="29" t="s">
        <v>5105</v>
      </c>
      <c r="E905" s="30" t="s">
        <v>4751</v>
      </c>
      <c r="F905" s="28" t="s">
        <v>5106</v>
      </c>
      <c r="I905" s="32"/>
      <c r="J905" s="32"/>
      <c r="K905" s="33" t="s">
        <v>5103</v>
      </c>
      <c r="L905" s="33" t="s">
        <v>5107</v>
      </c>
      <c r="N905" s="33" t="s">
        <v>5103</v>
      </c>
      <c r="O905" s="35" t="s">
        <v>5108</v>
      </c>
    </row>
    <row r="906">
      <c r="A906" s="38"/>
      <c r="B906" s="28" t="s">
        <v>5109</v>
      </c>
      <c r="C906" s="28" t="s">
        <v>4434</v>
      </c>
      <c r="D906" s="29" t="s">
        <v>5110</v>
      </c>
      <c r="E906" s="30"/>
      <c r="F906" s="28" t="s">
        <v>5111</v>
      </c>
      <c r="I906" s="32"/>
      <c r="J906" s="32"/>
      <c r="K906" s="33" t="s">
        <v>5109</v>
      </c>
      <c r="L906" s="33" t="s">
        <v>5112</v>
      </c>
      <c r="N906" s="33" t="s">
        <v>5109</v>
      </c>
      <c r="O906" s="47" t="s">
        <v>5113</v>
      </c>
    </row>
    <row r="907">
      <c r="A907" s="38"/>
      <c r="B907" s="28" t="s">
        <v>5114</v>
      </c>
      <c r="C907" s="28" t="s">
        <v>5115</v>
      </c>
      <c r="D907" s="29" t="s">
        <v>5116</v>
      </c>
      <c r="E907" s="30"/>
      <c r="F907" s="28" t="s">
        <v>5117</v>
      </c>
      <c r="I907" s="32"/>
      <c r="J907" s="32"/>
      <c r="K907" s="33" t="s">
        <v>5114</v>
      </c>
      <c r="L907" s="33" t="s">
        <v>5118</v>
      </c>
      <c r="N907" s="33" t="s">
        <v>5114</v>
      </c>
      <c r="O907" s="47" t="s">
        <v>5119</v>
      </c>
    </row>
    <row r="908">
      <c r="A908" s="38"/>
      <c r="B908" s="28" t="s">
        <v>5120</v>
      </c>
      <c r="C908" s="28" t="s">
        <v>4439</v>
      </c>
      <c r="D908" s="29" t="s">
        <v>5121</v>
      </c>
      <c r="E908" s="30" t="s">
        <v>5122</v>
      </c>
      <c r="F908" s="28" t="s">
        <v>5123</v>
      </c>
      <c r="I908" s="32"/>
      <c r="J908" s="32"/>
      <c r="K908" s="33" t="s">
        <v>5120</v>
      </c>
      <c r="L908" s="33" t="s">
        <v>5124</v>
      </c>
      <c r="N908" s="33" t="s">
        <v>5120</v>
      </c>
      <c r="O908" s="35" t="s">
        <v>4438</v>
      </c>
    </row>
    <row r="909">
      <c r="A909" s="38"/>
      <c r="B909" s="28" t="s">
        <v>5125</v>
      </c>
      <c r="C909" s="28" t="s">
        <v>4450</v>
      </c>
      <c r="D909" s="29" t="s">
        <v>5126</v>
      </c>
      <c r="E909" s="30"/>
      <c r="F909" s="28" t="s">
        <v>5127</v>
      </c>
      <c r="I909" s="32"/>
      <c r="J909" s="32"/>
      <c r="K909" s="33" t="s">
        <v>5125</v>
      </c>
      <c r="L909" s="33" t="s">
        <v>5128</v>
      </c>
      <c r="N909" s="33" t="s">
        <v>5125</v>
      </c>
      <c r="O909" s="35" t="s">
        <v>4449</v>
      </c>
    </row>
    <row r="910">
      <c r="A910" s="38"/>
      <c r="B910" s="28" t="s">
        <v>5129</v>
      </c>
      <c r="C910" s="28" t="s">
        <v>4456</v>
      </c>
      <c r="D910" s="29" t="s">
        <v>5130</v>
      </c>
      <c r="E910" s="30" t="s">
        <v>5131</v>
      </c>
      <c r="F910" s="28" t="s">
        <v>5132</v>
      </c>
      <c r="I910" s="32"/>
      <c r="J910" s="32"/>
      <c r="K910" s="33" t="s">
        <v>5129</v>
      </c>
      <c r="L910" s="33" t="s">
        <v>5133</v>
      </c>
      <c r="N910" s="33" t="s">
        <v>5129</v>
      </c>
      <c r="O910" s="35" t="s">
        <v>4455</v>
      </c>
    </row>
    <row r="911">
      <c r="A911" s="38"/>
      <c r="B911" s="28" t="s">
        <v>5134</v>
      </c>
      <c r="C911" s="28" t="s">
        <v>5135</v>
      </c>
      <c r="D911" s="29" t="s">
        <v>5136</v>
      </c>
      <c r="E911" s="30"/>
      <c r="F911" s="28" t="s">
        <v>5137</v>
      </c>
      <c r="I911" s="32"/>
      <c r="J911" s="32"/>
      <c r="K911" s="33" t="s">
        <v>5134</v>
      </c>
      <c r="L911" s="33" t="s">
        <v>5138</v>
      </c>
      <c r="N911" s="33" t="s">
        <v>5134</v>
      </c>
      <c r="O911" s="47" t="s">
        <v>5139</v>
      </c>
    </row>
    <row r="912">
      <c r="A912" s="38"/>
      <c r="B912" s="28" t="s">
        <v>5140</v>
      </c>
      <c r="C912" s="28" t="s">
        <v>4467</v>
      </c>
      <c r="D912" s="29" t="s">
        <v>5141</v>
      </c>
      <c r="E912" s="30" t="s">
        <v>5142</v>
      </c>
      <c r="F912" s="28" t="s">
        <v>5143</v>
      </c>
      <c r="I912" s="32"/>
      <c r="J912" s="32"/>
      <c r="K912" s="33" t="s">
        <v>5140</v>
      </c>
      <c r="L912" s="33" t="s">
        <v>5144</v>
      </c>
      <c r="N912" s="33" t="s">
        <v>5140</v>
      </c>
      <c r="O912" s="47" t="s">
        <v>5145</v>
      </c>
    </row>
    <row r="913">
      <c r="A913" s="38"/>
      <c r="B913" s="28" t="s">
        <v>5146</v>
      </c>
      <c r="C913" s="28" t="s">
        <v>4479</v>
      </c>
      <c r="D913" s="29" t="s">
        <v>5147</v>
      </c>
      <c r="E913" s="30"/>
      <c r="F913" s="28" t="s">
        <v>5148</v>
      </c>
      <c r="I913" s="32"/>
      <c r="J913" s="32"/>
      <c r="K913" s="33" t="s">
        <v>5146</v>
      </c>
      <c r="L913" s="33" t="s">
        <v>5149</v>
      </c>
      <c r="N913" s="33" t="s">
        <v>5146</v>
      </c>
      <c r="O913" s="35"/>
    </row>
    <row r="914">
      <c r="A914" s="38"/>
      <c r="B914" s="28" t="s">
        <v>5150</v>
      </c>
      <c r="C914" s="28" t="s">
        <v>5151</v>
      </c>
      <c r="D914" s="29" t="s">
        <v>5152</v>
      </c>
      <c r="E914" s="30" t="s">
        <v>5153</v>
      </c>
      <c r="F914" s="28" t="s">
        <v>5154</v>
      </c>
      <c r="I914" s="32"/>
      <c r="J914" s="32"/>
      <c r="K914" s="33" t="s">
        <v>5150</v>
      </c>
      <c r="L914" s="33" t="s">
        <v>5155</v>
      </c>
      <c r="N914" s="33" t="s">
        <v>5150</v>
      </c>
      <c r="O914" s="35"/>
    </row>
    <row r="915">
      <c r="A915" s="38"/>
      <c r="B915" s="28" t="s">
        <v>5156</v>
      </c>
      <c r="C915" s="28" t="s">
        <v>4504</v>
      </c>
      <c r="D915" s="29" t="s">
        <v>5157</v>
      </c>
      <c r="E915" s="30"/>
      <c r="F915" s="28" t="s">
        <v>5158</v>
      </c>
      <c r="I915" s="32"/>
      <c r="J915" s="32"/>
      <c r="K915" s="33" t="s">
        <v>5156</v>
      </c>
      <c r="L915" s="33" t="s">
        <v>5159</v>
      </c>
      <c r="N915" s="33" t="s">
        <v>5156</v>
      </c>
      <c r="O915" s="35" t="s">
        <v>4503</v>
      </c>
    </row>
    <row r="916">
      <c r="A916" s="38"/>
      <c r="B916" s="28" t="s">
        <v>5160</v>
      </c>
      <c r="C916" s="28" t="s">
        <v>4508</v>
      </c>
      <c r="D916" s="29" t="s">
        <v>5161</v>
      </c>
      <c r="E916" s="30" t="s">
        <v>5162</v>
      </c>
      <c r="F916" s="28" t="s">
        <v>5163</v>
      </c>
      <c r="I916" s="32"/>
      <c r="J916" s="32"/>
      <c r="K916" s="33" t="s">
        <v>5160</v>
      </c>
      <c r="L916" s="33" t="s">
        <v>5164</v>
      </c>
      <c r="N916" s="33" t="s">
        <v>5160</v>
      </c>
      <c r="O916" s="35"/>
    </row>
    <row r="917">
      <c r="A917" s="38"/>
      <c r="B917" s="28" t="s">
        <v>5165</v>
      </c>
      <c r="C917" s="28" t="s">
        <v>5166</v>
      </c>
      <c r="D917" s="29" t="s">
        <v>5167</v>
      </c>
      <c r="E917" s="30"/>
      <c r="F917" s="28" t="s">
        <v>5168</v>
      </c>
      <c r="I917" s="32"/>
      <c r="J917" s="32"/>
      <c r="K917" s="33" t="s">
        <v>5165</v>
      </c>
      <c r="L917" s="33" t="s">
        <v>5169</v>
      </c>
      <c r="N917" s="33" t="s">
        <v>5165</v>
      </c>
      <c r="O917" s="35"/>
    </row>
    <row r="918">
      <c r="A918" s="38"/>
      <c r="B918" s="28" t="s">
        <v>5170</v>
      </c>
      <c r="C918" s="28" t="s">
        <v>4512</v>
      </c>
      <c r="D918" s="29" t="s">
        <v>5171</v>
      </c>
      <c r="E918" s="30"/>
      <c r="F918" s="28" t="s">
        <v>5172</v>
      </c>
      <c r="I918" s="32"/>
      <c r="J918" s="32"/>
      <c r="K918" s="33" t="s">
        <v>5170</v>
      </c>
      <c r="L918" s="33" t="s">
        <v>5173</v>
      </c>
      <c r="N918" s="33" t="s">
        <v>5170</v>
      </c>
      <c r="O918" s="35"/>
    </row>
    <row r="919">
      <c r="A919" s="38"/>
      <c r="B919" s="28" t="s">
        <v>5174</v>
      </c>
      <c r="C919" s="28" t="s">
        <v>5175</v>
      </c>
      <c r="D919" s="29" t="s">
        <v>5176</v>
      </c>
      <c r="E919" s="30" t="s">
        <v>5177</v>
      </c>
      <c r="F919" s="28" t="s">
        <v>5178</v>
      </c>
      <c r="I919" s="32"/>
      <c r="J919" s="32"/>
      <c r="K919" s="33" t="s">
        <v>5174</v>
      </c>
      <c r="L919" s="33" t="s">
        <v>5179</v>
      </c>
      <c r="N919" s="33" t="s">
        <v>5174</v>
      </c>
      <c r="O919" s="35" t="s">
        <v>5180</v>
      </c>
    </row>
    <row r="920">
      <c r="A920" s="38"/>
      <c r="B920" s="28" t="s">
        <v>5181</v>
      </c>
      <c r="C920" s="28" t="s">
        <v>4531</v>
      </c>
      <c r="D920" s="29" t="s">
        <v>5182</v>
      </c>
      <c r="E920" s="30" t="s">
        <v>5183</v>
      </c>
      <c r="F920" s="28" t="s">
        <v>5184</v>
      </c>
      <c r="I920" s="32"/>
      <c r="J920" s="32"/>
      <c r="K920" s="33" t="s">
        <v>5181</v>
      </c>
      <c r="L920" s="33" t="s">
        <v>5185</v>
      </c>
      <c r="N920" s="33" t="s">
        <v>5181</v>
      </c>
      <c r="O920" s="35"/>
    </row>
    <row r="921">
      <c r="A921" s="38"/>
      <c r="B921" s="28" t="s">
        <v>5186</v>
      </c>
      <c r="C921" s="28" t="s">
        <v>5187</v>
      </c>
      <c r="D921" s="29" t="s">
        <v>5188</v>
      </c>
      <c r="E921" s="30"/>
      <c r="F921" s="28" t="s">
        <v>5189</v>
      </c>
      <c r="I921" s="32"/>
      <c r="J921" s="32"/>
      <c r="K921" s="33" t="s">
        <v>5186</v>
      </c>
      <c r="L921" s="33" t="s">
        <v>5190</v>
      </c>
      <c r="N921" s="33" t="s">
        <v>5186</v>
      </c>
      <c r="O921" s="35"/>
    </row>
    <row r="922">
      <c r="A922" s="38"/>
      <c r="B922" s="28" t="s">
        <v>5191</v>
      </c>
      <c r="C922" s="28" t="s">
        <v>5192</v>
      </c>
      <c r="D922" s="29" t="s">
        <v>5193</v>
      </c>
      <c r="E922" s="30"/>
      <c r="F922" s="28" t="s">
        <v>5194</v>
      </c>
      <c r="I922" s="32"/>
      <c r="J922" s="32"/>
      <c r="K922" s="33" t="s">
        <v>5191</v>
      </c>
      <c r="L922" s="33" t="s">
        <v>5195</v>
      </c>
      <c r="N922" s="33" t="s">
        <v>5191</v>
      </c>
      <c r="O922" s="35" t="s">
        <v>5196</v>
      </c>
    </row>
    <row r="923">
      <c r="A923" s="38"/>
      <c r="B923" s="28" t="s">
        <v>5197</v>
      </c>
      <c r="C923" s="28" t="s">
        <v>5198</v>
      </c>
      <c r="D923" s="29" t="s">
        <v>5199</v>
      </c>
      <c r="E923" s="30" t="s">
        <v>5200</v>
      </c>
      <c r="F923" s="28" t="s">
        <v>5201</v>
      </c>
      <c r="I923" s="32"/>
      <c r="J923" s="32"/>
      <c r="K923" s="33" t="s">
        <v>5197</v>
      </c>
      <c r="L923" s="33" t="s">
        <v>5202</v>
      </c>
      <c r="N923" s="33" t="s">
        <v>5197</v>
      </c>
      <c r="O923" s="35"/>
    </row>
    <row r="924">
      <c r="A924" s="38"/>
      <c r="B924" s="28" t="s">
        <v>5203</v>
      </c>
      <c r="C924" s="28" t="s">
        <v>5204</v>
      </c>
      <c r="D924" s="29" t="s">
        <v>5205</v>
      </c>
      <c r="E924" s="30" t="s">
        <v>5206</v>
      </c>
      <c r="F924" s="28" t="s">
        <v>5207</v>
      </c>
      <c r="I924" s="32"/>
      <c r="J924" s="32"/>
      <c r="K924" s="33" t="s">
        <v>5203</v>
      </c>
      <c r="L924" s="33" t="s">
        <v>5208</v>
      </c>
      <c r="N924" s="33" t="s">
        <v>5203</v>
      </c>
      <c r="O924" s="35" t="s">
        <v>5209</v>
      </c>
    </row>
    <row r="925">
      <c r="A925" s="38"/>
      <c r="B925" s="28" t="s">
        <v>5210</v>
      </c>
      <c r="C925" s="28" t="s">
        <v>4537</v>
      </c>
      <c r="D925" s="29" t="s">
        <v>5211</v>
      </c>
      <c r="E925" s="30" t="s">
        <v>5212</v>
      </c>
      <c r="F925" s="28" t="s">
        <v>5213</v>
      </c>
      <c r="I925" s="32"/>
      <c r="J925" s="32"/>
      <c r="K925" s="33" t="s">
        <v>5210</v>
      </c>
      <c r="L925" s="33" t="s">
        <v>5214</v>
      </c>
      <c r="N925" s="33" t="s">
        <v>5210</v>
      </c>
      <c r="O925" s="47" t="s">
        <v>5215</v>
      </c>
    </row>
    <row r="926">
      <c r="A926" s="38"/>
      <c r="B926" s="28" t="s">
        <v>5216</v>
      </c>
      <c r="C926" s="28" t="s">
        <v>4549</v>
      </c>
      <c r="D926" s="29" t="s">
        <v>5217</v>
      </c>
      <c r="E926" s="30"/>
      <c r="F926" s="28" t="s">
        <v>5218</v>
      </c>
      <c r="I926" s="32"/>
      <c r="J926" s="32"/>
      <c r="K926" s="33" t="s">
        <v>5216</v>
      </c>
      <c r="L926" s="33" t="s">
        <v>5219</v>
      </c>
      <c r="N926" s="33" t="s">
        <v>5216</v>
      </c>
      <c r="O926" s="35"/>
    </row>
    <row r="927">
      <c r="A927" s="38"/>
      <c r="B927" s="28" t="s">
        <v>5220</v>
      </c>
      <c r="C927" s="28" t="s">
        <v>4554</v>
      </c>
      <c r="D927" s="29" t="s">
        <v>5221</v>
      </c>
      <c r="E927" s="30"/>
      <c r="F927" s="28" t="s">
        <v>5222</v>
      </c>
      <c r="I927" s="32"/>
      <c r="J927" s="32"/>
      <c r="K927" s="33" t="s">
        <v>5220</v>
      </c>
      <c r="L927" s="33" t="s">
        <v>5223</v>
      </c>
      <c r="N927" s="33" t="s">
        <v>5220</v>
      </c>
      <c r="O927" s="35" t="s">
        <v>4553</v>
      </c>
    </row>
    <row r="928">
      <c r="A928" s="38"/>
      <c r="B928" s="28" t="s">
        <v>5224</v>
      </c>
      <c r="C928" s="28" t="s">
        <v>4559</v>
      </c>
      <c r="D928" s="29" t="s">
        <v>5225</v>
      </c>
      <c r="E928" s="30" t="s">
        <v>5226</v>
      </c>
      <c r="F928" s="28" t="s">
        <v>5227</v>
      </c>
      <c r="I928" s="32"/>
      <c r="J928" s="32"/>
      <c r="K928" s="33" t="s">
        <v>5224</v>
      </c>
      <c r="L928" s="33" t="s">
        <v>5228</v>
      </c>
      <c r="N928" s="33" t="s">
        <v>5224</v>
      </c>
      <c r="O928" s="35" t="s">
        <v>4558</v>
      </c>
    </row>
    <row r="929">
      <c r="A929" s="38"/>
      <c r="B929" s="28" t="s">
        <v>5229</v>
      </c>
      <c r="C929" s="28" t="s">
        <v>4565</v>
      </c>
      <c r="D929" s="29" t="s">
        <v>5230</v>
      </c>
      <c r="E929" s="30" t="s">
        <v>5231</v>
      </c>
      <c r="F929" s="28" t="s">
        <v>5232</v>
      </c>
      <c r="I929" s="32"/>
      <c r="J929" s="32"/>
      <c r="K929" s="33" t="s">
        <v>5229</v>
      </c>
      <c r="L929" s="33" t="s">
        <v>5233</v>
      </c>
      <c r="N929" s="33" t="s">
        <v>5229</v>
      </c>
      <c r="O929" s="35" t="s">
        <v>4564</v>
      </c>
    </row>
    <row r="930">
      <c r="A930" s="38"/>
      <c r="B930" s="28" t="s">
        <v>5234</v>
      </c>
      <c r="C930" s="28" t="s">
        <v>5235</v>
      </c>
      <c r="D930" s="29" t="s">
        <v>5236</v>
      </c>
      <c r="E930" s="30" t="s">
        <v>5237</v>
      </c>
      <c r="F930" s="28" t="s">
        <v>5238</v>
      </c>
      <c r="I930" s="32"/>
      <c r="J930" s="32"/>
      <c r="K930" s="33" t="s">
        <v>5234</v>
      </c>
      <c r="L930" s="33" t="s">
        <v>5239</v>
      </c>
      <c r="N930" s="33" t="s">
        <v>5234</v>
      </c>
      <c r="O930" s="35" t="s">
        <v>5240</v>
      </c>
    </row>
    <row r="931">
      <c r="A931" s="38"/>
      <c r="B931" s="28" t="s">
        <v>5241</v>
      </c>
      <c r="C931" s="28" t="s">
        <v>4575</v>
      </c>
      <c r="D931" s="29" t="s">
        <v>5242</v>
      </c>
      <c r="E931" s="30" t="s">
        <v>5243</v>
      </c>
      <c r="F931" s="28" t="s">
        <v>5244</v>
      </c>
      <c r="I931" s="32"/>
      <c r="J931" s="32"/>
      <c r="K931" s="33" t="s">
        <v>5241</v>
      </c>
      <c r="L931" s="33" t="s">
        <v>5245</v>
      </c>
      <c r="N931" s="33" t="s">
        <v>5241</v>
      </c>
      <c r="O931" s="35" t="s">
        <v>4574</v>
      </c>
    </row>
    <row r="932">
      <c r="A932" s="38"/>
      <c r="B932" s="28" t="s">
        <v>5246</v>
      </c>
      <c r="C932" s="28" t="s">
        <v>5247</v>
      </c>
      <c r="D932" s="29" t="s">
        <v>5248</v>
      </c>
      <c r="E932" s="54" t="s">
        <v>5249</v>
      </c>
      <c r="F932" s="28" t="s">
        <v>5250</v>
      </c>
      <c r="I932" s="32"/>
      <c r="J932" s="32"/>
      <c r="K932" s="33" t="s">
        <v>5246</v>
      </c>
      <c r="L932" s="33" t="s">
        <v>5251</v>
      </c>
      <c r="N932" s="33" t="s">
        <v>5246</v>
      </c>
      <c r="O932" s="35" t="s">
        <v>5252</v>
      </c>
    </row>
    <row r="933">
      <c r="A933" s="38"/>
      <c r="B933" s="28" t="s">
        <v>5253</v>
      </c>
      <c r="C933" s="28" t="s">
        <v>5254</v>
      </c>
      <c r="D933" s="29" t="s">
        <v>5255</v>
      </c>
      <c r="E933" s="30" t="s">
        <v>5256</v>
      </c>
      <c r="F933" s="28" t="s">
        <v>5257</v>
      </c>
      <c r="I933" s="32"/>
      <c r="J933" s="32"/>
      <c r="K933" s="33" t="s">
        <v>5253</v>
      </c>
      <c r="L933" s="33" t="s">
        <v>5258</v>
      </c>
      <c r="N933" s="33" t="s">
        <v>5253</v>
      </c>
      <c r="O933" s="35" t="s">
        <v>5259</v>
      </c>
    </row>
    <row r="934">
      <c r="A934" s="38"/>
      <c r="B934" s="28" t="s">
        <v>5260</v>
      </c>
      <c r="C934" s="28" t="s">
        <v>4606</v>
      </c>
      <c r="D934" s="29" t="s">
        <v>5261</v>
      </c>
      <c r="E934" s="30"/>
      <c r="F934" s="28" t="s">
        <v>5262</v>
      </c>
      <c r="I934" s="32"/>
      <c r="J934" s="32"/>
      <c r="K934" s="33" t="s">
        <v>5260</v>
      </c>
      <c r="L934" s="33" t="s">
        <v>5263</v>
      </c>
      <c r="N934" s="33" t="s">
        <v>5260</v>
      </c>
      <c r="O934" s="35" t="s">
        <v>4605</v>
      </c>
    </row>
    <row r="935">
      <c r="A935" s="38"/>
      <c r="B935" s="28" t="s">
        <v>5264</v>
      </c>
      <c r="C935" s="28" t="s">
        <v>4611</v>
      </c>
      <c r="D935" s="29" t="s">
        <v>5265</v>
      </c>
      <c r="E935" s="30" t="s">
        <v>5266</v>
      </c>
      <c r="F935" s="28" t="s">
        <v>5267</v>
      </c>
      <c r="I935" s="32"/>
      <c r="J935" s="32"/>
      <c r="K935" s="33" t="s">
        <v>5264</v>
      </c>
      <c r="L935" s="33" t="s">
        <v>5268</v>
      </c>
      <c r="N935" s="33" t="s">
        <v>5264</v>
      </c>
      <c r="O935" s="35" t="s">
        <v>4610</v>
      </c>
    </row>
    <row r="936">
      <c r="A936" s="38"/>
      <c r="B936" s="28" t="s">
        <v>5269</v>
      </c>
      <c r="C936" s="28" t="s">
        <v>4621</v>
      </c>
      <c r="D936" s="29" t="s">
        <v>5270</v>
      </c>
      <c r="E936" s="30" t="s">
        <v>5271</v>
      </c>
      <c r="F936" s="28" t="s">
        <v>5272</v>
      </c>
      <c r="I936" s="32"/>
      <c r="J936" s="32"/>
      <c r="K936" s="33" t="s">
        <v>5269</v>
      </c>
      <c r="L936" s="33" t="s">
        <v>5273</v>
      </c>
      <c r="N936" s="33" t="s">
        <v>5269</v>
      </c>
      <c r="O936" s="47" t="s">
        <v>5274</v>
      </c>
    </row>
    <row r="937">
      <c r="A937" s="38"/>
      <c r="B937" s="28" t="s">
        <v>5275</v>
      </c>
      <c r="C937" s="28" t="s">
        <v>4628</v>
      </c>
      <c r="D937" s="29" t="s">
        <v>5276</v>
      </c>
      <c r="E937" s="30" t="s">
        <v>5277</v>
      </c>
      <c r="F937" s="28" t="s">
        <v>5278</v>
      </c>
      <c r="I937" s="32"/>
      <c r="J937" s="32"/>
      <c r="K937" s="33" t="s">
        <v>5275</v>
      </c>
      <c r="L937" s="33" t="s">
        <v>5279</v>
      </c>
      <c r="N937" s="33" t="s">
        <v>5275</v>
      </c>
      <c r="O937" s="35" t="s">
        <v>4627</v>
      </c>
    </row>
    <row r="938">
      <c r="A938" s="38"/>
      <c r="B938" s="28" t="s">
        <v>5280</v>
      </c>
      <c r="C938" s="28" t="s">
        <v>4645</v>
      </c>
      <c r="D938" s="29" t="s">
        <v>5281</v>
      </c>
      <c r="E938" s="30" t="s">
        <v>5282</v>
      </c>
      <c r="F938" s="28" t="s">
        <v>5283</v>
      </c>
      <c r="I938" s="32"/>
      <c r="J938" s="32"/>
      <c r="K938" s="33" t="s">
        <v>5280</v>
      </c>
      <c r="L938" s="33" t="s">
        <v>5284</v>
      </c>
      <c r="N938" s="33" t="s">
        <v>5280</v>
      </c>
      <c r="O938" s="35" t="s">
        <v>4644</v>
      </c>
    </row>
    <row r="939">
      <c r="A939" s="38"/>
      <c r="B939" s="28" t="s">
        <v>5285</v>
      </c>
      <c r="C939" s="28" t="s">
        <v>4651</v>
      </c>
      <c r="D939" s="29" t="s">
        <v>5286</v>
      </c>
      <c r="E939" s="30" t="s">
        <v>5287</v>
      </c>
      <c r="F939" s="28" t="s">
        <v>5288</v>
      </c>
      <c r="I939" s="32"/>
      <c r="J939" s="32"/>
      <c r="K939" s="33" t="s">
        <v>5285</v>
      </c>
      <c r="L939" s="33" t="s">
        <v>5289</v>
      </c>
      <c r="N939" s="33" t="s">
        <v>5285</v>
      </c>
      <c r="O939" s="35" t="s">
        <v>4650</v>
      </c>
    </row>
    <row r="940">
      <c r="A940" s="38"/>
      <c r="B940" s="28" t="s">
        <v>5290</v>
      </c>
      <c r="C940" s="28" t="s">
        <v>4656</v>
      </c>
      <c r="D940" s="29" t="s">
        <v>5291</v>
      </c>
      <c r="E940" s="54" t="s">
        <v>5292</v>
      </c>
      <c r="F940" s="28" t="s">
        <v>5293</v>
      </c>
      <c r="I940" s="32"/>
      <c r="J940" s="32"/>
      <c r="K940" s="33" t="s">
        <v>5290</v>
      </c>
      <c r="L940" s="33" t="s">
        <v>5294</v>
      </c>
      <c r="N940" s="33" t="s">
        <v>5290</v>
      </c>
      <c r="O940" s="35" t="s">
        <v>4655</v>
      </c>
    </row>
    <row r="941">
      <c r="A941" s="38"/>
      <c r="B941" s="28" t="s">
        <v>5295</v>
      </c>
      <c r="C941" s="28" t="s">
        <v>4673</v>
      </c>
      <c r="D941" s="29" t="s">
        <v>5296</v>
      </c>
      <c r="E941" s="30" t="s">
        <v>5297</v>
      </c>
      <c r="F941" s="28" t="s">
        <v>5298</v>
      </c>
      <c r="I941" s="32"/>
      <c r="J941" s="32"/>
      <c r="K941" s="33" t="s">
        <v>5295</v>
      </c>
      <c r="L941" s="33" t="s">
        <v>5299</v>
      </c>
      <c r="N941" s="33" t="s">
        <v>5295</v>
      </c>
      <c r="O941" s="35" t="s">
        <v>4672</v>
      </c>
    </row>
    <row r="942">
      <c r="A942" s="38"/>
      <c r="B942" s="28" t="s">
        <v>5300</v>
      </c>
      <c r="C942" s="28" t="s">
        <v>5301</v>
      </c>
      <c r="D942" s="29" t="s">
        <v>5302</v>
      </c>
      <c r="E942" s="30"/>
      <c r="F942" s="28" t="s">
        <v>5303</v>
      </c>
      <c r="I942" s="32"/>
      <c r="J942" s="32"/>
      <c r="K942" s="33" t="s">
        <v>5300</v>
      </c>
      <c r="L942" s="33" t="s">
        <v>5304</v>
      </c>
      <c r="N942" s="33" t="s">
        <v>5300</v>
      </c>
      <c r="O942" s="35"/>
    </row>
    <row r="943">
      <c r="A943" s="38"/>
      <c r="B943" s="28" t="s">
        <v>5305</v>
      </c>
      <c r="C943" s="28" t="s">
        <v>5306</v>
      </c>
      <c r="D943" s="29" t="s">
        <v>5307</v>
      </c>
      <c r="E943" s="30"/>
      <c r="F943" s="28" t="s">
        <v>5308</v>
      </c>
      <c r="I943" s="32"/>
      <c r="J943" s="32"/>
      <c r="K943" s="33" t="s">
        <v>5305</v>
      </c>
      <c r="L943" s="33" t="s">
        <v>5309</v>
      </c>
      <c r="N943" s="33" t="s">
        <v>5305</v>
      </c>
      <c r="O943" s="35" t="s">
        <v>5310</v>
      </c>
    </row>
    <row r="944">
      <c r="A944" s="38"/>
      <c r="B944" s="28" t="s">
        <v>5311</v>
      </c>
      <c r="C944" s="28" t="s">
        <v>4704</v>
      </c>
      <c r="D944" s="29" t="s">
        <v>5312</v>
      </c>
      <c r="E944" s="30" t="s">
        <v>5313</v>
      </c>
      <c r="F944" s="28" t="s">
        <v>5314</v>
      </c>
      <c r="I944" s="32"/>
      <c r="J944" s="32"/>
      <c r="K944" s="33" t="s">
        <v>5311</v>
      </c>
      <c r="L944" s="33" t="s">
        <v>5315</v>
      </c>
      <c r="N944" s="33" t="s">
        <v>5311</v>
      </c>
      <c r="O944" s="35" t="s">
        <v>4703</v>
      </c>
    </row>
    <row r="945">
      <c r="A945" s="38"/>
      <c r="B945" s="28" t="s">
        <v>5316</v>
      </c>
      <c r="C945" s="28" t="s">
        <v>4709</v>
      </c>
      <c r="D945" s="29" t="s">
        <v>5317</v>
      </c>
      <c r="E945" s="54" t="s">
        <v>5318</v>
      </c>
      <c r="F945" s="28" t="s">
        <v>5319</v>
      </c>
      <c r="I945" s="32"/>
      <c r="J945" s="32"/>
      <c r="K945" s="33" t="s">
        <v>5316</v>
      </c>
      <c r="L945" s="33" t="s">
        <v>5320</v>
      </c>
      <c r="N945" s="33" t="s">
        <v>5316</v>
      </c>
      <c r="O945" s="35" t="s">
        <v>4708</v>
      </c>
    </row>
    <row r="946">
      <c r="A946" s="38"/>
      <c r="B946" s="28" t="s">
        <v>5321</v>
      </c>
      <c r="C946" s="28" t="s">
        <v>5322</v>
      </c>
      <c r="D946" s="29" t="s">
        <v>5323</v>
      </c>
      <c r="E946" s="30"/>
      <c r="F946" s="28" t="s">
        <v>5324</v>
      </c>
      <c r="I946" s="32"/>
      <c r="J946" s="32"/>
      <c r="K946" s="33" t="s">
        <v>5321</v>
      </c>
      <c r="L946" s="33" t="s">
        <v>5325</v>
      </c>
      <c r="N946" s="33" t="s">
        <v>5321</v>
      </c>
      <c r="O946" s="35" t="s">
        <v>5326</v>
      </c>
    </row>
    <row r="947">
      <c r="A947" s="38"/>
      <c r="B947" s="28" t="s">
        <v>5327</v>
      </c>
      <c r="C947" s="28" t="s">
        <v>5328</v>
      </c>
      <c r="D947" s="29" t="s">
        <v>5329</v>
      </c>
      <c r="E947" s="54" t="s">
        <v>5330</v>
      </c>
      <c r="F947" s="28" t="s">
        <v>5331</v>
      </c>
      <c r="I947" s="32"/>
      <c r="J947" s="32"/>
      <c r="K947" s="33" t="s">
        <v>5327</v>
      </c>
      <c r="L947" s="33" t="s">
        <v>5332</v>
      </c>
      <c r="N947" s="33" t="s">
        <v>5327</v>
      </c>
      <c r="O947" s="35" t="s">
        <v>5333</v>
      </c>
    </row>
    <row r="948">
      <c r="A948" s="38"/>
      <c r="B948" s="28" t="s">
        <v>5334</v>
      </c>
      <c r="C948" s="28" t="s">
        <v>5335</v>
      </c>
      <c r="D948" s="29" t="s">
        <v>5336</v>
      </c>
      <c r="E948" s="30" t="s">
        <v>5337</v>
      </c>
      <c r="F948" s="28" t="s">
        <v>5338</v>
      </c>
      <c r="I948" s="32"/>
      <c r="J948" s="32"/>
      <c r="K948" s="33" t="s">
        <v>5334</v>
      </c>
      <c r="L948" s="33" t="s">
        <v>5339</v>
      </c>
      <c r="N948" s="33" t="s">
        <v>5334</v>
      </c>
      <c r="O948" s="35"/>
    </row>
    <row r="949">
      <c r="A949" s="38"/>
      <c r="B949" s="28" t="s">
        <v>5340</v>
      </c>
      <c r="C949" s="28" t="s">
        <v>5341</v>
      </c>
      <c r="D949" s="29" t="s">
        <v>5342</v>
      </c>
      <c r="E949" s="30" t="s">
        <v>5343</v>
      </c>
      <c r="F949" s="28" t="s">
        <v>5344</v>
      </c>
      <c r="I949" s="32"/>
      <c r="J949" s="32"/>
      <c r="K949" s="33" t="s">
        <v>5340</v>
      </c>
      <c r="L949" s="33" t="s">
        <v>5345</v>
      </c>
      <c r="N949" s="33" t="s">
        <v>5340</v>
      </c>
      <c r="O949" s="35" t="s">
        <v>5346</v>
      </c>
    </row>
    <row r="950">
      <c r="A950" s="38"/>
      <c r="B950" s="28" t="s">
        <v>5347</v>
      </c>
      <c r="C950" s="28" t="s">
        <v>4725</v>
      </c>
      <c r="D950" s="29" t="s">
        <v>5348</v>
      </c>
      <c r="E950" s="30" t="s">
        <v>5349</v>
      </c>
      <c r="F950" s="28" t="s">
        <v>5350</v>
      </c>
      <c r="I950" s="32"/>
      <c r="J950" s="32"/>
      <c r="K950" s="33" t="s">
        <v>5347</v>
      </c>
      <c r="L950" s="33" t="s">
        <v>5351</v>
      </c>
      <c r="N950" s="33" t="s">
        <v>5347</v>
      </c>
      <c r="O950" s="35" t="s">
        <v>4724</v>
      </c>
    </row>
    <row r="951">
      <c r="A951" s="38"/>
      <c r="B951" s="28" t="s">
        <v>5352</v>
      </c>
      <c r="C951" s="28" t="s">
        <v>4731</v>
      </c>
      <c r="D951" s="29" t="s">
        <v>5353</v>
      </c>
      <c r="E951" s="30" t="s">
        <v>5354</v>
      </c>
      <c r="F951" s="28" t="s">
        <v>5355</v>
      </c>
      <c r="I951" s="32"/>
      <c r="J951" s="32"/>
      <c r="K951" s="33" t="s">
        <v>5352</v>
      </c>
      <c r="L951" s="33" t="s">
        <v>5356</v>
      </c>
      <c r="N951" s="33" t="s">
        <v>5352</v>
      </c>
      <c r="O951" s="35" t="s">
        <v>4724</v>
      </c>
    </row>
    <row r="952">
      <c r="A952" s="38"/>
      <c r="B952" s="28" t="s">
        <v>5357</v>
      </c>
      <c r="C952" s="28" t="s">
        <v>5358</v>
      </c>
      <c r="D952" s="29" t="s">
        <v>5359</v>
      </c>
      <c r="E952" s="30"/>
      <c r="F952" s="28" t="s">
        <v>5360</v>
      </c>
      <c r="I952" s="32"/>
      <c r="J952" s="32"/>
      <c r="K952" s="33" t="s">
        <v>5357</v>
      </c>
      <c r="L952" s="33" t="s">
        <v>5361</v>
      </c>
      <c r="N952" s="33" t="s">
        <v>5357</v>
      </c>
      <c r="O952" s="35" t="s">
        <v>5362</v>
      </c>
    </row>
    <row r="953">
      <c r="A953" s="38"/>
      <c r="B953" s="28" t="s">
        <v>5363</v>
      </c>
      <c r="C953" s="28" t="s">
        <v>4757</v>
      </c>
      <c r="D953" s="29" t="s">
        <v>5364</v>
      </c>
      <c r="E953" s="30"/>
      <c r="F953" s="28" t="s">
        <v>5365</v>
      </c>
      <c r="I953" s="32"/>
      <c r="J953" s="32"/>
      <c r="K953" s="33" t="s">
        <v>5363</v>
      </c>
      <c r="L953" s="33" t="s">
        <v>5366</v>
      </c>
      <c r="N953" s="33" t="s">
        <v>5363</v>
      </c>
      <c r="O953" s="35" t="s">
        <v>4756</v>
      </c>
    </row>
    <row r="954">
      <c r="A954" s="38"/>
      <c r="B954" s="28" t="s">
        <v>5367</v>
      </c>
      <c r="C954" s="28" t="s">
        <v>4762</v>
      </c>
      <c r="D954" s="29" t="s">
        <v>5368</v>
      </c>
      <c r="E954" s="30" t="s">
        <v>784</v>
      </c>
      <c r="F954" s="28" t="s">
        <v>779</v>
      </c>
      <c r="I954" s="32"/>
      <c r="J954" s="32"/>
      <c r="K954" s="33" t="s">
        <v>5367</v>
      </c>
      <c r="L954" s="33" t="s">
        <v>5369</v>
      </c>
      <c r="N954" s="33" t="s">
        <v>5367</v>
      </c>
      <c r="O954" s="35" t="s">
        <v>4761</v>
      </c>
    </row>
    <row r="955">
      <c r="A955" s="38"/>
      <c r="B955" s="28" t="s">
        <v>5370</v>
      </c>
      <c r="C955" s="28" t="s">
        <v>4782</v>
      </c>
      <c r="D955" s="29" t="s">
        <v>5371</v>
      </c>
      <c r="E955" s="30" t="s">
        <v>5372</v>
      </c>
      <c r="F955" s="28" t="s">
        <v>5373</v>
      </c>
      <c r="I955" s="32"/>
      <c r="J955" s="32"/>
      <c r="K955" s="33" t="s">
        <v>5370</v>
      </c>
      <c r="L955" s="33" t="s">
        <v>5374</v>
      </c>
      <c r="N955" s="33" t="s">
        <v>5370</v>
      </c>
      <c r="O955" s="35" t="s">
        <v>4781</v>
      </c>
    </row>
    <row r="956">
      <c r="A956" s="38"/>
      <c r="B956" s="28" t="s">
        <v>5375</v>
      </c>
      <c r="C956" s="28" t="s">
        <v>5376</v>
      </c>
      <c r="D956" s="29" t="s">
        <v>5377</v>
      </c>
      <c r="E956" s="30" t="s">
        <v>5378</v>
      </c>
      <c r="F956" s="28" t="s">
        <v>5379</v>
      </c>
      <c r="I956" s="32"/>
      <c r="J956" s="32"/>
      <c r="K956" s="33" t="s">
        <v>5375</v>
      </c>
      <c r="L956" s="33" t="s">
        <v>5380</v>
      </c>
      <c r="N956" s="33" t="s">
        <v>5375</v>
      </c>
      <c r="O956" s="35" t="s">
        <v>5381</v>
      </c>
    </row>
    <row r="957">
      <c r="A957" s="38"/>
      <c r="B957" s="28" t="s">
        <v>5382</v>
      </c>
      <c r="C957" s="28" t="s">
        <v>5383</v>
      </c>
      <c r="D957" s="29" t="s">
        <v>5384</v>
      </c>
      <c r="E957" s="30" t="s">
        <v>5385</v>
      </c>
      <c r="F957" s="28" t="s">
        <v>5386</v>
      </c>
      <c r="I957" s="32"/>
      <c r="J957" s="32"/>
      <c r="K957" s="33" t="s">
        <v>5382</v>
      </c>
      <c r="L957" s="33" t="s">
        <v>5387</v>
      </c>
      <c r="N957" s="33" t="s">
        <v>5382</v>
      </c>
      <c r="O957" s="35" t="s">
        <v>5388</v>
      </c>
    </row>
    <row r="958">
      <c r="A958" s="38"/>
      <c r="B958" s="28" t="s">
        <v>5389</v>
      </c>
      <c r="C958" s="28" t="s">
        <v>5390</v>
      </c>
      <c r="D958" s="29" t="s">
        <v>5391</v>
      </c>
      <c r="E958" s="30"/>
      <c r="F958" s="28" t="s">
        <v>5392</v>
      </c>
      <c r="I958" s="32"/>
      <c r="J958" s="32"/>
      <c r="K958" s="33" t="s">
        <v>5389</v>
      </c>
      <c r="L958" s="33" t="s">
        <v>5393</v>
      </c>
      <c r="N958" s="33" t="s">
        <v>5389</v>
      </c>
      <c r="O958" s="35"/>
    </row>
    <row r="959">
      <c r="A959" s="38"/>
      <c r="B959" s="28" t="s">
        <v>5394</v>
      </c>
      <c r="C959" s="28" t="s">
        <v>4795</v>
      </c>
      <c r="D959" s="29" t="s">
        <v>5395</v>
      </c>
      <c r="E959" s="30" t="s">
        <v>5396</v>
      </c>
      <c r="F959" s="28" t="s">
        <v>5397</v>
      </c>
      <c r="I959" s="32"/>
      <c r="J959" s="32"/>
      <c r="K959" s="33" t="s">
        <v>5394</v>
      </c>
      <c r="L959" s="33" t="s">
        <v>5398</v>
      </c>
      <c r="N959" s="33" t="s">
        <v>5394</v>
      </c>
      <c r="O959" s="35" t="s">
        <v>4794</v>
      </c>
    </row>
    <row r="960">
      <c r="A960" s="38"/>
      <c r="B960" s="28" t="s">
        <v>5399</v>
      </c>
      <c r="C960" s="28" t="s">
        <v>4801</v>
      </c>
      <c r="D960" s="29" t="s">
        <v>5400</v>
      </c>
      <c r="E960" s="30"/>
      <c r="F960" s="28" t="s">
        <v>5401</v>
      </c>
      <c r="I960" s="32"/>
      <c r="J960" s="32"/>
      <c r="K960" s="33" t="s">
        <v>5399</v>
      </c>
      <c r="L960" s="33" t="s">
        <v>5402</v>
      </c>
      <c r="N960" s="33" t="s">
        <v>5399</v>
      </c>
      <c r="O960" s="35"/>
    </row>
    <row r="961">
      <c r="A961" s="38"/>
      <c r="B961" s="28" t="s">
        <v>5403</v>
      </c>
      <c r="C961" s="28" t="s">
        <v>4808</v>
      </c>
      <c r="D961" s="29" t="s">
        <v>5404</v>
      </c>
      <c r="E961" s="30" t="s">
        <v>5405</v>
      </c>
      <c r="F961" s="28" t="s">
        <v>5406</v>
      </c>
      <c r="I961" s="32"/>
      <c r="J961" s="32"/>
      <c r="K961" s="33" t="s">
        <v>5403</v>
      </c>
      <c r="L961" s="33" t="s">
        <v>5407</v>
      </c>
      <c r="N961" s="33" t="s">
        <v>5403</v>
      </c>
      <c r="O961" s="35" t="s">
        <v>4807</v>
      </c>
    </row>
    <row r="962">
      <c r="A962" s="38"/>
      <c r="B962" s="28" t="s">
        <v>5408</v>
      </c>
      <c r="C962" s="28" t="s">
        <v>4814</v>
      </c>
      <c r="D962" s="29" t="s">
        <v>5409</v>
      </c>
      <c r="E962" s="30"/>
      <c r="F962" s="28" t="s">
        <v>5410</v>
      </c>
      <c r="I962" s="32"/>
      <c r="J962" s="32"/>
      <c r="K962" s="33" t="s">
        <v>5408</v>
      </c>
      <c r="L962" s="33" t="s">
        <v>5411</v>
      </c>
      <c r="N962" s="33" t="s">
        <v>5408</v>
      </c>
      <c r="O962" s="35" t="s">
        <v>4813</v>
      </c>
    </row>
    <row r="963">
      <c r="A963" s="38"/>
      <c r="B963" s="28" t="s">
        <v>5412</v>
      </c>
      <c r="C963" s="28" t="s">
        <v>4818</v>
      </c>
      <c r="D963" s="29" t="s">
        <v>5413</v>
      </c>
      <c r="E963" s="30" t="s">
        <v>5414</v>
      </c>
      <c r="F963" s="28" t="s">
        <v>5415</v>
      </c>
      <c r="I963" s="32"/>
      <c r="J963" s="32"/>
      <c r="K963" s="33" t="s">
        <v>5412</v>
      </c>
      <c r="L963" s="33" t="s">
        <v>5416</v>
      </c>
      <c r="N963" s="33" t="s">
        <v>5412</v>
      </c>
      <c r="O963" s="35" t="s">
        <v>4813</v>
      </c>
    </row>
    <row r="964">
      <c r="A964" s="38"/>
      <c r="B964" s="28" t="s">
        <v>5417</v>
      </c>
      <c r="C964" s="28" t="s">
        <v>4834</v>
      </c>
      <c r="D964" s="29" t="s">
        <v>5418</v>
      </c>
      <c r="E964" s="30" t="s">
        <v>5419</v>
      </c>
      <c r="F964" s="28" t="s">
        <v>5420</v>
      </c>
      <c r="I964" s="32"/>
      <c r="J964" s="32"/>
      <c r="K964" s="33" t="s">
        <v>5417</v>
      </c>
      <c r="L964" s="33" t="s">
        <v>5421</v>
      </c>
      <c r="N964" s="33" t="s">
        <v>5417</v>
      </c>
      <c r="O964" s="35"/>
    </row>
    <row r="965">
      <c r="A965" s="38"/>
      <c r="B965" s="28" t="s">
        <v>5422</v>
      </c>
      <c r="C965" s="28" t="s">
        <v>4839</v>
      </c>
      <c r="D965" s="29" t="s">
        <v>5423</v>
      </c>
      <c r="E965" s="30"/>
      <c r="F965" s="28" t="s">
        <v>5424</v>
      </c>
      <c r="I965" s="32"/>
      <c r="J965" s="32"/>
      <c r="K965" s="33" t="s">
        <v>5422</v>
      </c>
      <c r="L965" s="33" t="s">
        <v>5425</v>
      </c>
      <c r="N965" s="33" t="s">
        <v>5422</v>
      </c>
      <c r="O965" s="35" t="s">
        <v>4838</v>
      </c>
    </row>
    <row r="966">
      <c r="A966" s="38"/>
      <c r="B966" s="28" t="s">
        <v>5426</v>
      </c>
      <c r="C966" s="28" t="s">
        <v>4844</v>
      </c>
      <c r="D966" s="29" t="s">
        <v>5427</v>
      </c>
      <c r="E966" s="30" t="s">
        <v>5428</v>
      </c>
      <c r="F966" s="28" t="s">
        <v>5429</v>
      </c>
      <c r="I966" s="32"/>
      <c r="J966" s="32"/>
      <c r="K966" s="33" t="s">
        <v>5426</v>
      </c>
      <c r="L966" s="33" t="s">
        <v>5430</v>
      </c>
      <c r="N966" s="33" t="s">
        <v>5426</v>
      </c>
      <c r="O966" s="35" t="s">
        <v>4843</v>
      </c>
    </row>
    <row r="967">
      <c r="A967" s="38"/>
      <c r="B967" s="28" t="s">
        <v>5431</v>
      </c>
      <c r="C967" s="28" t="s">
        <v>4855</v>
      </c>
      <c r="D967" s="29" t="s">
        <v>5432</v>
      </c>
      <c r="E967" s="30" t="s">
        <v>5433</v>
      </c>
      <c r="F967" s="28" t="s">
        <v>5434</v>
      </c>
      <c r="I967" s="32"/>
      <c r="J967" s="32"/>
      <c r="K967" s="33" t="s">
        <v>5431</v>
      </c>
      <c r="L967" s="33" t="s">
        <v>5435</v>
      </c>
      <c r="N967" s="33" t="s">
        <v>5431</v>
      </c>
      <c r="O967" s="35" t="s">
        <v>4854</v>
      </c>
    </row>
    <row r="968">
      <c r="A968" s="38"/>
      <c r="B968" s="28" t="s">
        <v>5436</v>
      </c>
      <c r="C968" s="28" t="s">
        <v>4865</v>
      </c>
      <c r="D968" s="29" t="s">
        <v>5437</v>
      </c>
      <c r="E968" s="30"/>
      <c r="F968" s="28" t="s">
        <v>5438</v>
      </c>
      <c r="I968" s="32"/>
      <c r="J968" s="32"/>
      <c r="K968" s="33" t="s">
        <v>5436</v>
      </c>
      <c r="L968" s="33" t="s">
        <v>5439</v>
      </c>
      <c r="N968" s="33" t="s">
        <v>5436</v>
      </c>
      <c r="O968" s="35" t="s">
        <v>4864</v>
      </c>
    </row>
    <row r="969">
      <c r="A969" s="38"/>
      <c r="B969" s="28" t="s">
        <v>5440</v>
      </c>
      <c r="C969" s="28" t="s">
        <v>4875</v>
      </c>
      <c r="D969" s="29" t="s">
        <v>5441</v>
      </c>
      <c r="E969" s="30" t="s">
        <v>5442</v>
      </c>
      <c r="F969" s="28" t="s">
        <v>5443</v>
      </c>
      <c r="I969" s="32"/>
      <c r="J969" s="32"/>
      <c r="K969" s="33" t="s">
        <v>5440</v>
      </c>
      <c r="L969" s="33" t="s">
        <v>5444</v>
      </c>
      <c r="N969" s="33" t="s">
        <v>5440</v>
      </c>
      <c r="O969" s="35" t="s">
        <v>4874</v>
      </c>
    </row>
    <row r="970">
      <c r="A970" s="38"/>
      <c r="B970" s="28" t="s">
        <v>5445</v>
      </c>
      <c r="C970" s="28" t="s">
        <v>5446</v>
      </c>
      <c r="D970" s="29" t="s">
        <v>5447</v>
      </c>
      <c r="E970" s="30" t="s">
        <v>5448</v>
      </c>
      <c r="F970" s="28" t="s">
        <v>5449</v>
      </c>
      <c r="I970" s="32"/>
      <c r="J970" s="32"/>
      <c r="K970" s="33" t="s">
        <v>5445</v>
      </c>
      <c r="L970" s="33" t="s">
        <v>5450</v>
      </c>
      <c r="N970" s="33" t="s">
        <v>5445</v>
      </c>
      <c r="O970" s="35" t="s">
        <v>5451</v>
      </c>
    </row>
    <row r="971">
      <c r="A971" s="38"/>
      <c r="B971" s="28" t="s">
        <v>5452</v>
      </c>
      <c r="C971" s="28" t="s">
        <v>4885</v>
      </c>
      <c r="D971" s="29" t="s">
        <v>5453</v>
      </c>
      <c r="E971" s="30" t="s">
        <v>5454</v>
      </c>
      <c r="F971" s="28" t="s">
        <v>5455</v>
      </c>
      <c r="I971" s="32"/>
      <c r="J971" s="32"/>
      <c r="K971" s="33" t="s">
        <v>5452</v>
      </c>
      <c r="L971" s="33" t="s">
        <v>5456</v>
      </c>
      <c r="N971" s="33" t="s">
        <v>5452</v>
      </c>
      <c r="O971" s="35" t="s">
        <v>4884</v>
      </c>
    </row>
    <row r="972">
      <c r="A972" s="38"/>
      <c r="B972" s="28" t="s">
        <v>5457</v>
      </c>
      <c r="C972" s="28" t="s">
        <v>4901</v>
      </c>
      <c r="D972" s="29" t="s">
        <v>5458</v>
      </c>
      <c r="E972" s="54" t="s">
        <v>5459</v>
      </c>
      <c r="F972" s="28" t="s">
        <v>5460</v>
      </c>
      <c r="I972" s="32"/>
      <c r="J972" s="32"/>
      <c r="K972" s="33" t="s">
        <v>5457</v>
      </c>
      <c r="L972" s="33" t="s">
        <v>5461</v>
      </c>
      <c r="N972" s="33" t="s">
        <v>5457</v>
      </c>
      <c r="O972" s="35" t="s">
        <v>4900</v>
      </c>
    </row>
    <row r="973">
      <c r="A973" s="38"/>
      <c r="B973" s="28" t="s">
        <v>5462</v>
      </c>
      <c r="C973" s="28" t="s">
        <v>5463</v>
      </c>
      <c r="D973" s="29" t="s">
        <v>5464</v>
      </c>
      <c r="E973" s="30" t="s">
        <v>5465</v>
      </c>
      <c r="F973" s="28" t="s">
        <v>5466</v>
      </c>
      <c r="I973" s="32"/>
      <c r="J973" s="32"/>
      <c r="K973" s="33" t="s">
        <v>5462</v>
      </c>
      <c r="L973" s="33" t="s">
        <v>5467</v>
      </c>
      <c r="N973" s="33" t="s">
        <v>5462</v>
      </c>
      <c r="O973" s="35"/>
    </row>
    <row r="974">
      <c r="A974" s="38"/>
      <c r="B974" s="28" t="s">
        <v>5468</v>
      </c>
      <c r="C974" s="28" t="s">
        <v>4907</v>
      </c>
      <c r="D974" s="29" t="s">
        <v>5469</v>
      </c>
      <c r="E974" s="30" t="s">
        <v>5470</v>
      </c>
      <c r="F974" s="28" t="s">
        <v>5471</v>
      </c>
      <c r="I974" s="32"/>
      <c r="J974" s="32"/>
      <c r="K974" s="33" t="s">
        <v>5468</v>
      </c>
      <c r="L974" s="33" t="s">
        <v>5472</v>
      </c>
      <c r="N974" s="33" t="s">
        <v>5468</v>
      </c>
      <c r="O974" s="35" t="s">
        <v>4906</v>
      </c>
    </row>
    <row r="975">
      <c r="A975" s="38"/>
      <c r="B975" s="28" t="s">
        <v>5473</v>
      </c>
      <c r="C975" s="28" t="s">
        <v>5474</v>
      </c>
      <c r="D975" s="29" t="s">
        <v>5475</v>
      </c>
      <c r="E975" s="30" t="s">
        <v>5476</v>
      </c>
      <c r="F975" s="28" t="s">
        <v>5477</v>
      </c>
      <c r="I975" s="32"/>
      <c r="J975" s="32"/>
      <c r="K975" s="33" t="s">
        <v>5473</v>
      </c>
      <c r="L975" s="33" t="s">
        <v>5478</v>
      </c>
      <c r="N975" s="33" t="s">
        <v>5473</v>
      </c>
      <c r="O975" s="35" t="s">
        <v>5479</v>
      </c>
    </row>
    <row r="976">
      <c r="A976" s="38"/>
      <c r="B976" s="28" t="s">
        <v>5480</v>
      </c>
      <c r="C976" s="28" t="s">
        <v>4913</v>
      </c>
      <c r="D976" s="29" t="s">
        <v>5481</v>
      </c>
      <c r="E976" s="30" t="s">
        <v>5482</v>
      </c>
      <c r="F976" s="28" t="s">
        <v>5483</v>
      </c>
      <c r="I976" s="32"/>
      <c r="J976" s="32"/>
      <c r="K976" s="33" t="s">
        <v>5480</v>
      </c>
      <c r="L976" s="33" t="s">
        <v>5484</v>
      </c>
      <c r="N976" s="33" t="s">
        <v>5480</v>
      </c>
      <c r="O976" s="35" t="s">
        <v>4912</v>
      </c>
    </row>
    <row r="977">
      <c r="A977" s="38"/>
      <c r="B977" s="28" t="s">
        <v>5485</v>
      </c>
      <c r="C977" s="28" t="s">
        <v>5486</v>
      </c>
      <c r="D977" s="29" t="s">
        <v>5487</v>
      </c>
      <c r="E977" s="30" t="s">
        <v>5488</v>
      </c>
      <c r="F977" s="28" t="s">
        <v>5489</v>
      </c>
      <c r="I977" s="32"/>
      <c r="J977" s="32"/>
      <c r="K977" s="33" t="s">
        <v>5485</v>
      </c>
      <c r="L977" s="33" t="s">
        <v>5490</v>
      </c>
      <c r="N977" s="33" t="s">
        <v>5485</v>
      </c>
      <c r="O977" s="35" t="s">
        <v>5491</v>
      </c>
    </row>
    <row r="978">
      <c r="A978" s="38"/>
      <c r="B978" s="28" t="s">
        <v>5492</v>
      </c>
      <c r="C978" s="28" t="s">
        <v>4925</v>
      </c>
      <c r="D978" s="29" t="s">
        <v>5493</v>
      </c>
      <c r="E978" s="30" t="s">
        <v>5494</v>
      </c>
      <c r="F978" s="28" t="s">
        <v>5495</v>
      </c>
      <c r="I978" s="32"/>
      <c r="J978" s="32"/>
      <c r="K978" s="33" t="s">
        <v>5492</v>
      </c>
      <c r="L978" s="33" t="s">
        <v>5496</v>
      </c>
      <c r="N978" s="33" t="s">
        <v>5492</v>
      </c>
      <c r="O978" s="35"/>
    </row>
    <row r="979">
      <c r="A979" s="38"/>
      <c r="B979" s="28" t="s">
        <v>5497</v>
      </c>
      <c r="C979" s="28" t="s">
        <v>4930</v>
      </c>
      <c r="D979" s="29" t="s">
        <v>5498</v>
      </c>
      <c r="E979" s="30" t="s">
        <v>5499</v>
      </c>
      <c r="F979" s="28" t="s">
        <v>5500</v>
      </c>
      <c r="I979" s="32"/>
      <c r="J979" s="32"/>
      <c r="K979" s="33" t="s">
        <v>5497</v>
      </c>
      <c r="L979" s="33" t="s">
        <v>5501</v>
      </c>
      <c r="N979" s="33" t="s">
        <v>5497</v>
      </c>
      <c r="O979" s="35"/>
    </row>
    <row r="980">
      <c r="A980" s="38"/>
      <c r="B980" s="28" t="s">
        <v>5502</v>
      </c>
      <c r="C980" s="28" t="s">
        <v>4935</v>
      </c>
      <c r="D980" s="29" t="s">
        <v>5503</v>
      </c>
      <c r="E980" s="30" t="s">
        <v>5504</v>
      </c>
      <c r="F980" s="28" t="s">
        <v>5505</v>
      </c>
      <c r="I980" s="32"/>
      <c r="J980" s="32"/>
      <c r="K980" s="33" t="s">
        <v>5502</v>
      </c>
      <c r="L980" s="33" t="s">
        <v>5506</v>
      </c>
      <c r="N980" s="33" t="s">
        <v>5502</v>
      </c>
      <c r="O980" s="35" t="s">
        <v>4934</v>
      </c>
    </row>
    <row r="981">
      <c r="A981" s="38"/>
      <c r="B981" s="28" t="s">
        <v>5507</v>
      </c>
      <c r="C981" s="28" t="s">
        <v>4939</v>
      </c>
      <c r="D981" s="29" t="s">
        <v>5508</v>
      </c>
      <c r="E981" s="30" t="s">
        <v>5509</v>
      </c>
      <c r="F981" s="28" t="s">
        <v>5510</v>
      </c>
      <c r="I981" s="32"/>
      <c r="J981" s="32"/>
      <c r="K981" s="33" t="s">
        <v>5507</v>
      </c>
      <c r="L981" s="33" t="s">
        <v>5511</v>
      </c>
      <c r="N981" s="33" t="s">
        <v>5507</v>
      </c>
      <c r="O981" s="35" t="s">
        <v>4934</v>
      </c>
    </row>
    <row r="982">
      <c r="A982" s="38"/>
      <c r="B982" s="28" t="s">
        <v>5512</v>
      </c>
      <c r="C982" s="28" t="s">
        <v>4944</v>
      </c>
      <c r="D982" s="29" t="s">
        <v>5513</v>
      </c>
      <c r="E982" s="30" t="s">
        <v>5514</v>
      </c>
      <c r="F982" s="28" t="s">
        <v>5515</v>
      </c>
      <c r="I982" s="32"/>
      <c r="J982" s="32"/>
      <c r="K982" s="33" t="s">
        <v>5512</v>
      </c>
      <c r="L982" s="33" t="s">
        <v>5516</v>
      </c>
      <c r="N982" s="33" t="s">
        <v>5512</v>
      </c>
      <c r="O982" s="35" t="s">
        <v>4943</v>
      </c>
    </row>
    <row r="983">
      <c r="A983" s="38"/>
      <c r="B983" s="28" t="s">
        <v>5517</v>
      </c>
      <c r="C983" s="28" t="s">
        <v>4950</v>
      </c>
      <c r="D983" s="29" t="s">
        <v>5518</v>
      </c>
      <c r="E983" s="30" t="s">
        <v>5519</v>
      </c>
      <c r="F983" s="28" t="s">
        <v>5520</v>
      </c>
      <c r="I983" s="32"/>
      <c r="J983" s="32"/>
      <c r="K983" s="33" t="s">
        <v>5517</v>
      </c>
      <c r="L983" s="33" t="s">
        <v>5521</v>
      </c>
      <c r="N983" s="33" t="s">
        <v>5517</v>
      </c>
      <c r="O983" s="35" t="s">
        <v>4949</v>
      </c>
    </row>
    <row r="984">
      <c r="A984" s="38"/>
      <c r="B984" s="28" t="s">
        <v>5522</v>
      </c>
      <c r="C984" s="28" t="s">
        <v>4957</v>
      </c>
      <c r="D984" s="29" t="s">
        <v>5523</v>
      </c>
      <c r="E984" s="30" t="s">
        <v>5524</v>
      </c>
      <c r="F984" s="28" t="s">
        <v>5525</v>
      </c>
      <c r="I984" s="32"/>
      <c r="J984" s="32"/>
      <c r="K984" s="33" t="s">
        <v>5522</v>
      </c>
      <c r="L984" s="33" t="s">
        <v>5526</v>
      </c>
      <c r="N984" s="33" t="s">
        <v>5522</v>
      </c>
      <c r="O984" s="35" t="s">
        <v>4956</v>
      </c>
    </row>
    <row r="985">
      <c r="A985" s="38"/>
      <c r="B985" s="28" t="s">
        <v>5527</v>
      </c>
      <c r="C985" s="28" t="s">
        <v>5528</v>
      </c>
      <c r="D985" s="29" t="s">
        <v>5529</v>
      </c>
      <c r="E985" s="30" t="s">
        <v>5530</v>
      </c>
      <c r="F985" s="28" t="s">
        <v>5531</v>
      </c>
      <c r="I985" s="32"/>
      <c r="J985" s="32"/>
      <c r="K985" s="33" t="s">
        <v>5527</v>
      </c>
      <c r="L985" s="33" t="s">
        <v>5532</v>
      </c>
      <c r="N985" s="33" t="s">
        <v>5527</v>
      </c>
      <c r="O985" s="35" t="s">
        <v>5533</v>
      </c>
    </row>
    <row r="986">
      <c r="A986" s="38"/>
      <c r="B986" s="28" t="s">
        <v>5534</v>
      </c>
      <c r="C986" s="28" t="s">
        <v>4970</v>
      </c>
      <c r="D986" s="29" t="s">
        <v>5535</v>
      </c>
      <c r="E986" s="30" t="s">
        <v>5536</v>
      </c>
      <c r="F986" s="28" t="s">
        <v>5537</v>
      </c>
      <c r="I986" s="32"/>
      <c r="J986" s="32"/>
      <c r="K986" s="33" t="s">
        <v>5534</v>
      </c>
      <c r="L986" s="33" t="s">
        <v>5538</v>
      </c>
      <c r="N986" s="33" t="s">
        <v>5534</v>
      </c>
      <c r="O986" s="35" t="s">
        <v>4969</v>
      </c>
    </row>
    <row r="987">
      <c r="A987" s="38"/>
      <c r="B987" s="28" t="s">
        <v>5539</v>
      </c>
      <c r="C987" s="28" t="s">
        <v>4975</v>
      </c>
      <c r="D987" s="29" t="s">
        <v>5540</v>
      </c>
      <c r="E987" s="30"/>
      <c r="F987" s="28" t="s">
        <v>5541</v>
      </c>
      <c r="I987" s="32"/>
      <c r="J987" s="32"/>
      <c r="K987" s="33" t="s">
        <v>5539</v>
      </c>
      <c r="L987" s="33" t="s">
        <v>5542</v>
      </c>
      <c r="N987" s="33" t="s">
        <v>5539</v>
      </c>
      <c r="O987" s="35" t="s">
        <v>4974</v>
      </c>
    </row>
    <row r="988">
      <c r="A988" s="38"/>
      <c r="B988" s="28" t="s">
        <v>5543</v>
      </c>
      <c r="C988" s="28" t="s">
        <v>5544</v>
      </c>
      <c r="D988" s="29" t="s">
        <v>5545</v>
      </c>
      <c r="E988" s="30" t="s">
        <v>5546</v>
      </c>
      <c r="F988" s="28" t="s">
        <v>5547</v>
      </c>
      <c r="I988" s="32"/>
      <c r="J988" s="32"/>
      <c r="K988" s="33" t="s">
        <v>5543</v>
      </c>
      <c r="L988" s="33" t="s">
        <v>5548</v>
      </c>
      <c r="N988" s="33" t="s">
        <v>5543</v>
      </c>
      <c r="O988" s="47" t="s">
        <v>5549</v>
      </c>
    </row>
    <row r="989">
      <c r="A989" s="38"/>
      <c r="B989" s="28" t="s">
        <v>5550</v>
      </c>
      <c r="C989" s="28" t="s">
        <v>5551</v>
      </c>
      <c r="D989" s="29" t="s">
        <v>5552</v>
      </c>
      <c r="E989" s="54" t="s">
        <v>5553</v>
      </c>
      <c r="F989" s="28" t="s">
        <v>5554</v>
      </c>
      <c r="I989" s="32"/>
      <c r="J989" s="32"/>
      <c r="K989" s="33" t="s">
        <v>5550</v>
      </c>
      <c r="L989" s="33" t="s">
        <v>5555</v>
      </c>
      <c r="N989" s="33" t="s">
        <v>5550</v>
      </c>
      <c r="O989" s="35"/>
    </row>
    <row r="990">
      <c r="A990" s="38"/>
      <c r="B990" s="28" t="s">
        <v>5556</v>
      </c>
      <c r="C990" s="28" t="s">
        <v>4985</v>
      </c>
      <c r="D990" s="29" t="s">
        <v>5557</v>
      </c>
      <c r="E990" s="30"/>
      <c r="F990" s="28" t="s">
        <v>5558</v>
      </c>
      <c r="I990" s="32"/>
      <c r="J990" s="32"/>
      <c r="K990" s="33" t="s">
        <v>5556</v>
      </c>
      <c r="L990" s="33" t="s">
        <v>5559</v>
      </c>
      <c r="N990" s="33" t="s">
        <v>5556</v>
      </c>
      <c r="O990" s="35"/>
    </row>
    <row r="991">
      <c r="A991" s="38"/>
      <c r="B991" s="28" t="s">
        <v>5560</v>
      </c>
      <c r="C991" s="28" t="s">
        <v>5561</v>
      </c>
      <c r="D991" s="29" t="s">
        <v>5562</v>
      </c>
      <c r="E991" s="30"/>
      <c r="F991" s="28" t="s">
        <v>5563</v>
      </c>
      <c r="I991" s="32"/>
      <c r="J991" s="32"/>
      <c r="K991" s="33" t="s">
        <v>5560</v>
      </c>
      <c r="L991" s="33" t="s">
        <v>5564</v>
      </c>
      <c r="N991" s="33" t="s">
        <v>5560</v>
      </c>
      <c r="O991" s="35" t="s">
        <v>5565</v>
      </c>
    </row>
    <row r="992">
      <c r="A992" s="38"/>
      <c r="B992" s="28" t="s">
        <v>5566</v>
      </c>
      <c r="C992" s="28" t="s">
        <v>4991</v>
      </c>
      <c r="D992" s="29" t="s">
        <v>5567</v>
      </c>
      <c r="E992" s="30" t="s">
        <v>5568</v>
      </c>
      <c r="F992" s="28" t="s">
        <v>5569</v>
      </c>
      <c r="I992" s="32"/>
      <c r="J992" s="32"/>
      <c r="K992" s="33" t="s">
        <v>5566</v>
      </c>
      <c r="L992" s="33" t="s">
        <v>5570</v>
      </c>
      <c r="N992" s="33" t="s">
        <v>5566</v>
      </c>
      <c r="O992" s="35" t="s">
        <v>4990</v>
      </c>
    </row>
    <row r="993">
      <c r="A993" s="38"/>
      <c r="B993" s="28" t="s">
        <v>5571</v>
      </c>
      <c r="C993" s="28" t="s">
        <v>5572</v>
      </c>
      <c r="D993" s="29" t="s">
        <v>5573</v>
      </c>
      <c r="E993" s="30"/>
      <c r="F993" s="28" t="s">
        <v>5574</v>
      </c>
      <c r="I993" s="32"/>
      <c r="J993" s="32"/>
      <c r="K993" s="33" t="s">
        <v>5571</v>
      </c>
      <c r="L993" s="33" t="s">
        <v>5575</v>
      </c>
      <c r="N993" s="33" t="s">
        <v>5571</v>
      </c>
      <c r="O993" s="35" t="s">
        <v>5576</v>
      </c>
    </row>
    <row r="994">
      <c r="A994" s="38"/>
      <c r="B994" s="28" t="s">
        <v>5577</v>
      </c>
      <c r="C994" s="28" t="s">
        <v>5002</v>
      </c>
      <c r="D994" s="29" t="s">
        <v>5578</v>
      </c>
      <c r="E994" s="30" t="s">
        <v>5579</v>
      </c>
      <c r="F994" s="28" t="s">
        <v>5580</v>
      </c>
      <c r="I994" s="32"/>
      <c r="J994" s="32"/>
      <c r="K994" s="33" t="s">
        <v>5577</v>
      </c>
      <c r="L994" s="33" t="s">
        <v>5581</v>
      </c>
      <c r="N994" s="33" t="s">
        <v>5577</v>
      </c>
      <c r="O994" s="35" t="s">
        <v>5001</v>
      </c>
    </row>
    <row r="995">
      <c r="A995" s="38"/>
      <c r="B995" s="28" t="s">
        <v>5582</v>
      </c>
      <c r="C995" s="28" t="s">
        <v>5583</v>
      </c>
      <c r="D995" s="29" t="s">
        <v>5584</v>
      </c>
      <c r="E995" s="30" t="s">
        <v>5585</v>
      </c>
      <c r="F995" s="28" t="s">
        <v>5586</v>
      </c>
      <c r="I995" s="32"/>
      <c r="J995" s="32"/>
      <c r="K995" s="33" t="s">
        <v>5582</v>
      </c>
      <c r="L995" s="33" t="s">
        <v>5587</v>
      </c>
      <c r="N995" s="33" t="s">
        <v>5582</v>
      </c>
      <c r="O995" s="35"/>
    </row>
    <row r="996">
      <c r="A996" s="38"/>
      <c r="B996" s="28" t="s">
        <v>5588</v>
      </c>
      <c r="C996" s="28" t="s">
        <v>5008</v>
      </c>
      <c r="D996" s="29" t="s">
        <v>5589</v>
      </c>
      <c r="E996" s="30"/>
      <c r="F996" s="28" t="s">
        <v>5590</v>
      </c>
      <c r="I996" s="32"/>
      <c r="J996" s="32"/>
      <c r="K996" s="33" t="s">
        <v>5588</v>
      </c>
      <c r="L996" s="33" t="s">
        <v>5591</v>
      </c>
      <c r="N996" s="33" t="s">
        <v>5588</v>
      </c>
      <c r="O996" s="47" t="s">
        <v>5592</v>
      </c>
    </row>
    <row r="997">
      <c r="A997" s="38"/>
      <c r="B997" s="28" t="s">
        <v>5593</v>
      </c>
      <c r="C997" s="28" t="s">
        <v>5014</v>
      </c>
      <c r="D997" s="29" t="s">
        <v>5594</v>
      </c>
      <c r="E997" s="30" t="s">
        <v>5595</v>
      </c>
      <c r="F997" s="28" t="s">
        <v>5596</v>
      </c>
      <c r="I997" s="32"/>
      <c r="J997" s="32"/>
      <c r="K997" s="33" t="s">
        <v>5593</v>
      </c>
      <c r="L997" s="33" t="s">
        <v>5597</v>
      </c>
      <c r="N997" s="33" t="s">
        <v>5593</v>
      </c>
      <c r="O997" s="35" t="s">
        <v>5013</v>
      </c>
    </row>
    <row r="998">
      <c r="A998" s="38"/>
      <c r="B998" s="28" t="s">
        <v>5598</v>
      </c>
      <c r="C998" s="28" t="s">
        <v>5599</v>
      </c>
      <c r="D998" s="29" t="s">
        <v>5600</v>
      </c>
      <c r="E998" s="30" t="s">
        <v>5601</v>
      </c>
      <c r="F998" s="28" t="s">
        <v>5602</v>
      </c>
      <c r="I998" s="32"/>
      <c r="J998" s="32"/>
      <c r="K998" s="33" t="s">
        <v>5598</v>
      </c>
      <c r="L998" s="33" t="s">
        <v>5603</v>
      </c>
      <c r="N998" s="33" t="s">
        <v>5598</v>
      </c>
      <c r="O998" s="47" t="s">
        <v>5604</v>
      </c>
    </row>
    <row r="999">
      <c r="A999" s="38"/>
      <c r="B999" s="28" t="s">
        <v>5605</v>
      </c>
      <c r="C999" s="28" t="s">
        <v>5019</v>
      </c>
      <c r="D999" s="29" t="s">
        <v>5606</v>
      </c>
      <c r="E999" s="30" t="s">
        <v>5607</v>
      </c>
      <c r="F999" s="28" t="s">
        <v>5608</v>
      </c>
      <c r="I999" s="32"/>
      <c r="J999" s="32"/>
      <c r="K999" s="33" t="s">
        <v>5605</v>
      </c>
      <c r="L999" s="33" t="s">
        <v>5609</v>
      </c>
      <c r="N999" s="33" t="s">
        <v>5605</v>
      </c>
      <c r="O999" s="35" t="s">
        <v>5018</v>
      </c>
    </row>
    <row r="1000">
      <c r="A1000" s="38"/>
      <c r="B1000" s="28" t="s">
        <v>5610</v>
      </c>
      <c r="C1000" s="28" t="s">
        <v>5611</v>
      </c>
      <c r="D1000" s="29" t="s">
        <v>5612</v>
      </c>
      <c r="E1000" s="54" t="s">
        <v>5613</v>
      </c>
      <c r="F1000" s="28" t="s">
        <v>5614</v>
      </c>
      <c r="I1000" s="32"/>
      <c r="J1000" s="32"/>
      <c r="K1000" s="33" t="s">
        <v>5610</v>
      </c>
      <c r="L1000" s="33" t="s">
        <v>5615</v>
      </c>
      <c r="N1000" s="33" t="s">
        <v>5610</v>
      </c>
      <c r="O1000" s="35"/>
    </row>
    <row r="1001">
      <c r="A1001" s="38"/>
      <c r="B1001" s="28" t="s">
        <v>5616</v>
      </c>
      <c r="C1001" s="28" t="s">
        <v>5035</v>
      </c>
      <c r="D1001" s="29" t="s">
        <v>5617</v>
      </c>
      <c r="E1001" s="30"/>
      <c r="F1001" s="28" t="s">
        <v>5618</v>
      </c>
      <c r="I1001" s="32"/>
      <c r="J1001" s="32"/>
      <c r="K1001" s="33" t="s">
        <v>5616</v>
      </c>
      <c r="L1001" s="33" t="s">
        <v>5619</v>
      </c>
      <c r="N1001" s="33" t="s">
        <v>5616</v>
      </c>
      <c r="O1001" s="35" t="s">
        <v>5034</v>
      </c>
    </row>
    <row r="1002">
      <c r="A1002" s="38"/>
      <c r="B1002" s="28" t="s">
        <v>5620</v>
      </c>
      <c r="C1002" s="28" t="s">
        <v>5040</v>
      </c>
      <c r="D1002" s="29" t="s">
        <v>5621</v>
      </c>
      <c r="E1002" s="30" t="s">
        <v>5622</v>
      </c>
      <c r="F1002" s="28" t="s">
        <v>5623</v>
      </c>
      <c r="I1002" s="32"/>
      <c r="J1002" s="32"/>
      <c r="K1002" s="33" t="s">
        <v>5620</v>
      </c>
      <c r="L1002" s="33" t="s">
        <v>5624</v>
      </c>
      <c r="N1002" s="33" t="s">
        <v>5620</v>
      </c>
      <c r="O1002" s="35" t="s">
        <v>5039</v>
      </c>
    </row>
    <row r="1003">
      <c r="A1003" s="38"/>
      <c r="B1003" s="28" t="s">
        <v>5625</v>
      </c>
      <c r="C1003" s="28" t="s">
        <v>5626</v>
      </c>
      <c r="D1003" s="29" t="s">
        <v>5627</v>
      </c>
      <c r="E1003" s="30" t="s">
        <v>790</v>
      </c>
      <c r="F1003" s="28" t="s">
        <v>786</v>
      </c>
      <c r="I1003" s="32"/>
      <c r="J1003" s="32"/>
      <c r="K1003" s="33" t="s">
        <v>5625</v>
      </c>
      <c r="L1003" s="33" t="s">
        <v>5628</v>
      </c>
      <c r="N1003" s="33" t="s">
        <v>5625</v>
      </c>
      <c r="O1003" s="35"/>
    </row>
    <row r="1004">
      <c r="A1004" s="38"/>
      <c r="B1004" s="28" t="s">
        <v>5629</v>
      </c>
      <c r="C1004" s="28" t="s">
        <v>5058</v>
      </c>
      <c r="D1004" s="29" t="s">
        <v>5630</v>
      </c>
      <c r="E1004" s="30" t="s">
        <v>5631</v>
      </c>
      <c r="F1004" s="28" t="s">
        <v>5632</v>
      </c>
      <c r="I1004" s="32"/>
      <c r="J1004" s="32"/>
      <c r="K1004" s="33" t="s">
        <v>5629</v>
      </c>
      <c r="L1004" s="33" t="s">
        <v>5633</v>
      </c>
      <c r="N1004" s="33" t="s">
        <v>5629</v>
      </c>
      <c r="O1004" s="35" t="s">
        <v>5057</v>
      </c>
    </row>
    <row r="1005">
      <c r="A1005" s="38"/>
      <c r="B1005" s="28" t="s">
        <v>5634</v>
      </c>
      <c r="C1005" s="28" t="s">
        <v>5635</v>
      </c>
      <c r="D1005" s="29" t="s">
        <v>5636</v>
      </c>
      <c r="E1005" s="30" t="s">
        <v>5637</v>
      </c>
      <c r="F1005" s="28" t="s">
        <v>5638</v>
      </c>
      <c r="I1005" s="32"/>
      <c r="J1005" s="32"/>
      <c r="K1005" s="33" t="s">
        <v>5634</v>
      </c>
      <c r="L1005" s="33" t="s">
        <v>5639</v>
      </c>
      <c r="N1005" s="33" t="s">
        <v>5634</v>
      </c>
      <c r="O1005" s="35" t="s">
        <v>5640</v>
      </c>
    </row>
    <row r="1006">
      <c r="A1006" s="38"/>
      <c r="B1006" s="28" t="s">
        <v>5641</v>
      </c>
      <c r="C1006" s="28" t="s">
        <v>5069</v>
      </c>
      <c r="D1006" s="29" t="s">
        <v>5642</v>
      </c>
      <c r="E1006" s="54" t="s">
        <v>5643</v>
      </c>
      <c r="F1006" s="28" t="s">
        <v>5644</v>
      </c>
      <c r="I1006" s="32"/>
      <c r="J1006" s="32"/>
      <c r="K1006" s="33" t="s">
        <v>5641</v>
      </c>
      <c r="L1006" s="33" t="s">
        <v>5645</v>
      </c>
      <c r="N1006" s="33" t="s">
        <v>5641</v>
      </c>
      <c r="O1006" s="35" t="s">
        <v>5068</v>
      </c>
    </row>
    <row r="1007">
      <c r="A1007" s="38"/>
      <c r="B1007" s="28" t="s">
        <v>5646</v>
      </c>
      <c r="C1007" s="28" t="s">
        <v>5075</v>
      </c>
      <c r="D1007" s="29" t="s">
        <v>5647</v>
      </c>
      <c r="E1007" s="30" t="s">
        <v>5648</v>
      </c>
      <c r="F1007" s="28" t="s">
        <v>5649</v>
      </c>
      <c r="I1007" s="32"/>
      <c r="J1007" s="32"/>
      <c r="K1007" s="33" t="s">
        <v>5646</v>
      </c>
      <c r="L1007" s="33" t="s">
        <v>5650</v>
      </c>
      <c r="N1007" s="33" t="s">
        <v>5646</v>
      </c>
      <c r="O1007" s="35" t="s">
        <v>5074</v>
      </c>
    </row>
    <row r="1008">
      <c r="A1008" s="38"/>
      <c r="B1008" s="28" t="s">
        <v>5651</v>
      </c>
      <c r="C1008" s="28" t="s">
        <v>5081</v>
      </c>
      <c r="D1008" s="29" t="s">
        <v>5652</v>
      </c>
      <c r="E1008" s="30"/>
      <c r="F1008" s="28" t="s">
        <v>5653</v>
      </c>
      <c r="I1008" s="32"/>
      <c r="J1008" s="32"/>
      <c r="K1008" s="33" t="s">
        <v>5651</v>
      </c>
      <c r="L1008" s="33" t="s">
        <v>5654</v>
      </c>
      <c r="N1008" s="33" t="s">
        <v>5651</v>
      </c>
      <c r="O1008" s="35" t="s">
        <v>5080</v>
      </c>
    </row>
    <row r="1009">
      <c r="A1009" s="38"/>
      <c r="B1009" s="28" t="s">
        <v>5655</v>
      </c>
      <c r="C1009" s="28" t="s">
        <v>5656</v>
      </c>
      <c r="D1009" s="29" t="s">
        <v>5657</v>
      </c>
      <c r="E1009" s="30" t="s">
        <v>5658</v>
      </c>
      <c r="F1009" s="28" t="s">
        <v>5659</v>
      </c>
      <c r="I1009" s="32"/>
      <c r="J1009" s="32"/>
      <c r="K1009" s="33" t="s">
        <v>5655</v>
      </c>
      <c r="L1009" s="33" t="s">
        <v>5660</v>
      </c>
      <c r="N1009" s="33" t="s">
        <v>5655</v>
      </c>
      <c r="O1009" s="35" t="s">
        <v>5661</v>
      </c>
    </row>
    <row r="1010">
      <c r="A1010" s="38"/>
      <c r="B1010" s="28" t="s">
        <v>5662</v>
      </c>
      <c r="C1010" s="28" t="s">
        <v>5087</v>
      </c>
      <c r="D1010" s="29" t="s">
        <v>5663</v>
      </c>
      <c r="E1010" s="30"/>
      <c r="F1010" s="28" t="s">
        <v>5664</v>
      </c>
      <c r="I1010" s="32"/>
      <c r="J1010" s="32"/>
      <c r="K1010" s="33" t="s">
        <v>5662</v>
      </c>
      <c r="L1010" s="33" t="s">
        <v>5665</v>
      </c>
      <c r="N1010" s="33" t="s">
        <v>5662</v>
      </c>
      <c r="O1010" s="35"/>
    </row>
    <row r="1011">
      <c r="A1011" s="38"/>
      <c r="B1011" s="28" t="s">
        <v>5666</v>
      </c>
      <c r="C1011" s="28" t="s">
        <v>5092</v>
      </c>
      <c r="D1011" s="29" t="s">
        <v>5667</v>
      </c>
      <c r="E1011" s="30"/>
      <c r="F1011" s="28" t="s">
        <v>5668</v>
      </c>
      <c r="I1011" s="32"/>
      <c r="J1011" s="32"/>
      <c r="K1011" s="33" t="s">
        <v>5666</v>
      </c>
      <c r="L1011" s="33" t="s">
        <v>5669</v>
      </c>
      <c r="N1011" s="33" t="s">
        <v>5666</v>
      </c>
      <c r="O1011" s="35"/>
    </row>
    <row r="1012">
      <c r="A1012" s="38"/>
      <c r="B1012" s="28" t="s">
        <v>5670</v>
      </c>
      <c r="C1012" s="28" t="s">
        <v>5671</v>
      </c>
      <c r="D1012" s="29" t="s">
        <v>5672</v>
      </c>
      <c r="E1012" s="30"/>
      <c r="F1012" s="28" t="s">
        <v>5673</v>
      </c>
      <c r="I1012" s="32"/>
      <c r="J1012" s="32"/>
      <c r="K1012" s="33" t="s">
        <v>5670</v>
      </c>
      <c r="L1012" s="33" t="s">
        <v>5674</v>
      </c>
      <c r="N1012" s="33" t="s">
        <v>5670</v>
      </c>
      <c r="O1012" s="35" t="s">
        <v>5675</v>
      </c>
    </row>
    <row r="1013">
      <c r="A1013" s="38"/>
      <c r="B1013" s="28" t="s">
        <v>5676</v>
      </c>
      <c r="C1013" s="28" t="s">
        <v>5097</v>
      </c>
      <c r="D1013" s="29" t="s">
        <v>5677</v>
      </c>
      <c r="E1013" s="30"/>
      <c r="F1013" s="28" t="s">
        <v>5678</v>
      </c>
      <c r="I1013" s="32"/>
      <c r="J1013" s="32"/>
      <c r="K1013" s="33" t="s">
        <v>5676</v>
      </c>
      <c r="L1013" s="33" t="s">
        <v>5679</v>
      </c>
      <c r="N1013" s="33" t="s">
        <v>5676</v>
      </c>
      <c r="O1013" s="35" t="s">
        <v>5096</v>
      </c>
    </row>
    <row r="1014">
      <c r="A1014" s="38"/>
      <c r="B1014" s="28" t="s">
        <v>5680</v>
      </c>
      <c r="C1014" s="28" t="s">
        <v>5681</v>
      </c>
      <c r="D1014" s="29" t="s">
        <v>5682</v>
      </c>
      <c r="E1014" s="54" t="s">
        <v>5683</v>
      </c>
      <c r="F1014" s="28" t="s">
        <v>5684</v>
      </c>
      <c r="I1014" s="32"/>
      <c r="J1014" s="32"/>
      <c r="K1014" s="33" t="s">
        <v>5680</v>
      </c>
      <c r="L1014" s="33" t="s">
        <v>5685</v>
      </c>
      <c r="N1014" s="33" t="s">
        <v>5680</v>
      </c>
      <c r="O1014" s="35" t="s">
        <v>5686</v>
      </c>
    </row>
    <row r="1015">
      <c r="A1015" s="38"/>
      <c r="B1015" s="28" t="s">
        <v>5687</v>
      </c>
      <c r="C1015" s="28" t="s">
        <v>5101</v>
      </c>
      <c r="D1015" s="29" t="s">
        <v>5688</v>
      </c>
      <c r="E1015" s="30"/>
      <c r="F1015" s="28" t="s">
        <v>5689</v>
      </c>
      <c r="I1015" s="32"/>
      <c r="J1015" s="32"/>
      <c r="K1015" s="33" t="s">
        <v>5687</v>
      </c>
      <c r="L1015" s="33" t="s">
        <v>5690</v>
      </c>
      <c r="N1015" s="33" t="s">
        <v>5687</v>
      </c>
      <c r="O1015" s="35"/>
    </row>
    <row r="1016">
      <c r="A1016" s="38"/>
      <c r="B1016" s="28" t="s">
        <v>5691</v>
      </c>
      <c r="C1016" s="28" t="s">
        <v>5692</v>
      </c>
      <c r="D1016" s="29" t="s">
        <v>5693</v>
      </c>
      <c r="E1016" s="30"/>
      <c r="F1016" s="28" t="s">
        <v>5694</v>
      </c>
      <c r="I1016" s="32"/>
      <c r="J1016" s="32"/>
      <c r="K1016" s="33" t="s">
        <v>5691</v>
      </c>
      <c r="L1016" s="33" t="s">
        <v>5695</v>
      </c>
      <c r="N1016" s="33" t="s">
        <v>5691</v>
      </c>
      <c r="O1016" s="47" t="s">
        <v>5696</v>
      </c>
    </row>
    <row r="1017">
      <c r="A1017" s="38"/>
      <c r="B1017" s="28" t="s">
        <v>5697</v>
      </c>
      <c r="C1017" s="28" t="s">
        <v>5123</v>
      </c>
      <c r="D1017" s="29" t="s">
        <v>5698</v>
      </c>
      <c r="E1017" s="30"/>
      <c r="F1017" s="28" t="s">
        <v>5699</v>
      </c>
      <c r="I1017" s="32"/>
      <c r="J1017" s="32"/>
      <c r="K1017" s="33" t="s">
        <v>5697</v>
      </c>
      <c r="L1017" s="33" t="s">
        <v>5700</v>
      </c>
      <c r="N1017" s="33" t="s">
        <v>5697</v>
      </c>
      <c r="O1017" s="35" t="s">
        <v>5122</v>
      </c>
    </row>
    <row r="1018">
      <c r="A1018" s="38"/>
      <c r="B1018" s="28" t="s">
        <v>5701</v>
      </c>
      <c r="C1018" s="28" t="s">
        <v>5702</v>
      </c>
      <c r="D1018" s="29" t="s">
        <v>5703</v>
      </c>
      <c r="E1018" s="30" t="s">
        <v>5704</v>
      </c>
      <c r="F1018" s="28" t="s">
        <v>5705</v>
      </c>
      <c r="I1018" s="32"/>
      <c r="J1018" s="32"/>
      <c r="K1018" s="33" t="s">
        <v>5701</v>
      </c>
      <c r="L1018" s="33" t="s">
        <v>5706</v>
      </c>
      <c r="N1018" s="33" t="s">
        <v>5701</v>
      </c>
      <c r="O1018" s="35"/>
    </row>
    <row r="1019">
      <c r="A1019" s="38"/>
      <c r="B1019" s="28" t="s">
        <v>5707</v>
      </c>
      <c r="C1019" s="28" t="s">
        <v>5708</v>
      </c>
      <c r="D1019" s="29" t="s">
        <v>5709</v>
      </c>
      <c r="E1019" s="30" t="s">
        <v>5710</v>
      </c>
      <c r="F1019" s="28" t="s">
        <v>5711</v>
      </c>
      <c r="I1019" s="32"/>
      <c r="J1019" s="32"/>
      <c r="K1019" s="33" t="s">
        <v>5707</v>
      </c>
      <c r="L1019" s="33" t="s">
        <v>5712</v>
      </c>
      <c r="N1019" s="33" t="s">
        <v>5707</v>
      </c>
      <c r="O1019" s="35"/>
    </row>
    <row r="1020">
      <c r="A1020" s="38"/>
      <c r="B1020" s="28" t="s">
        <v>5713</v>
      </c>
      <c r="C1020" s="28" t="s">
        <v>5132</v>
      </c>
      <c r="D1020" s="29" t="s">
        <v>5714</v>
      </c>
      <c r="E1020" s="30"/>
      <c r="F1020" s="28" t="s">
        <v>5715</v>
      </c>
      <c r="I1020" s="32"/>
      <c r="J1020" s="32"/>
      <c r="K1020" s="33" t="s">
        <v>5713</v>
      </c>
      <c r="L1020" s="33" t="s">
        <v>5716</v>
      </c>
      <c r="N1020" s="33" t="s">
        <v>5713</v>
      </c>
      <c r="O1020" s="35" t="s">
        <v>5131</v>
      </c>
    </row>
    <row r="1021">
      <c r="A1021" s="38"/>
      <c r="B1021" s="28" t="s">
        <v>5717</v>
      </c>
      <c r="C1021" s="28" t="s">
        <v>5718</v>
      </c>
      <c r="D1021" s="29" t="s">
        <v>5719</v>
      </c>
      <c r="E1021" s="30" t="s">
        <v>5720</v>
      </c>
      <c r="F1021" s="28" t="s">
        <v>5721</v>
      </c>
      <c r="I1021" s="32"/>
      <c r="J1021" s="32"/>
      <c r="K1021" s="33" t="s">
        <v>5717</v>
      </c>
      <c r="L1021" s="33" t="s">
        <v>5722</v>
      </c>
      <c r="N1021" s="33" t="s">
        <v>5717</v>
      </c>
      <c r="O1021" s="35"/>
    </row>
    <row r="1022">
      <c r="A1022" s="38"/>
      <c r="B1022" s="28" t="s">
        <v>5723</v>
      </c>
      <c r="C1022" s="28" t="s">
        <v>5724</v>
      </c>
      <c r="D1022" s="29" t="s">
        <v>5725</v>
      </c>
      <c r="E1022" s="30" t="s">
        <v>5726</v>
      </c>
      <c r="F1022" s="28" t="s">
        <v>5727</v>
      </c>
      <c r="I1022" s="32"/>
      <c r="J1022" s="32"/>
      <c r="K1022" s="33" t="s">
        <v>5723</v>
      </c>
      <c r="L1022" s="33" t="s">
        <v>5728</v>
      </c>
      <c r="N1022" s="33" t="s">
        <v>5723</v>
      </c>
      <c r="O1022" s="35" t="s">
        <v>5729</v>
      </c>
    </row>
    <row r="1023">
      <c r="A1023" s="38"/>
      <c r="B1023" s="28" t="s">
        <v>5730</v>
      </c>
      <c r="C1023" s="28" t="s">
        <v>5148</v>
      </c>
      <c r="D1023" s="29" t="s">
        <v>5731</v>
      </c>
      <c r="E1023" s="30" t="s">
        <v>5732</v>
      </c>
      <c r="F1023" s="28" t="s">
        <v>5733</v>
      </c>
      <c r="I1023" s="32"/>
      <c r="J1023" s="32"/>
      <c r="K1023" s="33" t="s">
        <v>5730</v>
      </c>
      <c r="L1023" s="33" t="s">
        <v>5734</v>
      </c>
      <c r="N1023" s="33" t="s">
        <v>5730</v>
      </c>
      <c r="O1023" s="35"/>
    </row>
    <row r="1024">
      <c r="A1024" s="38"/>
      <c r="B1024" s="28" t="s">
        <v>5735</v>
      </c>
      <c r="C1024" s="28" t="s">
        <v>5154</v>
      </c>
      <c r="D1024" s="29" t="s">
        <v>5736</v>
      </c>
      <c r="E1024" s="30" t="s">
        <v>5737</v>
      </c>
      <c r="F1024" s="28" t="s">
        <v>5738</v>
      </c>
      <c r="I1024" s="32"/>
      <c r="J1024" s="32"/>
      <c r="K1024" s="33" t="s">
        <v>5735</v>
      </c>
      <c r="L1024" s="33" t="s">
        <v>5739</v>
      </c>
      <c r="N1024" s="33" t="s">
        <v>5735</v>
      </c>
      <c r="O1024" s="35" t="s">
        <v>5153</v>
      </c>
    </row>
    <row r="1025">
      <c r="A1025" s="38"/>
      <c r="B1025" s="28" t="s">
        <v>5740</v>
      </c>
      <c r="C1025" s="28" t="s">
        <v>5158</v>
      </c>
      <c r="D1025" s="29" t="s">
        <v>5741</v>
      </c>
      <c r="E1025" s="30"/>
      <c r="F1025" s="28" t="s">
        <v>5742</v>
      </c>
      <c r="I1025" s="32"/>
      <c r="J1025" s="32"/>
      <c r="K1025" s="33" t="s">
        <v>5740</v>
      </c>
      <c r="L1025" s="33" t="s">
        <v>5743</v>
      </c>
      <c r="N1025" s="33" t="s">
        <v>5740</v>
      </c>
      <c r="O1025" s="35"/>
    </row>
    <row r="1026">
      <c r="A1026" s="38"/>
      <c r="B1026" s="28" t="s">
        <v>5744</v>
      </c>
      <c r="C1026" s="28" t="s">
        <v>5163</v>
      </c>
      <c r="D1026" s="29" t="s">
        <v>5745</v>
      </c>
      <c r="E1026" s="30" t="s">
        <v>5746</v>
      </c>
      <c r="F1026" s="28" t="s">
        <v>5747</v>
      </c>
      <c r="I1026" s="32"/>
      <c r="J1026" s="32"/>
      <c r="K1026" s="33" t="s">
        <v>5744</v>
      </c>
      <c r="L1026" s="33" t="s">
        <v>5748</v>
      </c>
      <c r="N1026" s="33" t="s">
        <v>5744</v>
      </c>
      <c r="O1026" s="35" t="s">
        <v>5162</v>
      </c>
    </row>
    <row r="1027">
      <c r="A1027" s="38"/>
      <c r="B1027" s="28" t="s">
        <v>5749</v>
      </c>
      <c r="C1027" s="28" t="s">
        <v>5172</v>
      </c>
      <c r="D1027" s="29" t="s">
        <v>5750</v>
      </c>
      <c r="E1027" s="30" t="s">
        <v>5751</v>
      </c>
      <c r="F1027" s="28" t="s">
        <v>5752</v>
      </c>
      <c r="I1027" s="32"/>
      <c r="J1027" s="32"/>
      <c r="K1027" s="33" t="s">
        <v>5749</v>
      </c>
      <c r="L1027" s="33" t="s">
        <v>5753</v>
      </c>
      <c r="N1027" s="33" t="s">
        <v>5749</v>
      </c>
      <c r="O1027" s="35"/>
    </row>
    <row r="1028">
      <c r="A1028" s="38"/>
      <c r="B1028" s="28" t="s">
        <v>5754</v>
      </c>
      <c r="C1028" s="28" t="s">
        <v>5178</v>
      </c>
      <c r="D1028" s="29" t="s">
        <v>5755</v>
      </c>
      <c r="E1028" s="30" t="s">
        <v>5756</v>
      </c>
      <c r="F1028" s="28" t="s">
        <v>5757</v>
      </c>
      <c r="I1028" s="32"/>
      <c r="J1028" s="32"/>
      <c r="K1028" s="33" t="s">
        <v>5754</v>
      </c>
      <c r="L1028" s="33" t="s">
        <v>5758</v>
      </c>
      <c r="N1028" s="33" t="s">
        <v>5754</v>
      </c>
      <c r="O1028" s="35" t="s">
        <v>5177</v>
      </c>
    </row>
    <row r="1029">
      <c r="A1029" s="38"/>
      <c r="B1029" s="28" t="s">
        <v>5759</v>
      </c>
      <c r="C1029" s="28" t="s">
        <v>5760</v>
      </c>
      <c r="D1029" s="29" t="s">
        <v>5761</v>
      </c>
      <c r="E1029" s="30" t="s">
        <v>226</v>
      </c>
      <c r="F1029" s="28" t="s">
        <v>220</v>
      </c>
      <c r="I1029" s="32"/>
      <c r="J1029" s="32"/>
      <c r="K1029" s="33" t="s">
        <v>5759</v>
      </c>
      <c r="L1029" s="33" t="s">
        <v>5762</v>
      </c>
      <c r="N1029" s="33" t="s">
        <v>5759</v>
      </c>
      <c r="O1029" s="35"/>
    </row>
    <row r="1030">
      <c r="A1030" s="38"/>
      <c r="B1030" s="28" t="s">
        <v>5763</v>
      </c>
      <c r="C1030" s="28" t="s">
        <v>5184</v>
      </c>
      <c r="D1030" s="29" t="s">
        <v>5764</v>
      </c>
      <c r="E1030" s="30"/>
      <c r="F1030" s="28" t="s">
        <v>5765</v>
      </c>
      <c r="I1030" s="32"/>
      <c r="J1030" s="32"/>
      <c r="K1030" s="33" t="s">
        <v>5763</v>
      </c>
      <c r="L1030" s="33" t="s">
        <v>5766</v>
      </c>
      <c r="N1030" s="33" t="s">
        <v>5763</v>
      </c>
      <c r="O1030" s="35" t="s">
        <v>5183</v>
      </c>
    </row>
    <row r="1031">
      <c r="A1031" s="38"/>
      <c r="B1031" s="28" t="s">
        <v>5767</v>
      </c>
      <c r="C1031" s="28" t="s">
        <v>5189</v>
      </c>
      <c r="D1031" s="29" t="s">
        <v>5768</v>
      </c>
      <c r="E1031" s="30" t="s">
        <v>5769</v>
      </c>
      <c r="F1031" s="28" t="s">
        <v>5770</v>
      </c>
      <c r="I1031" s="32"/>
      <c r="J1031" s="32"/>
      <c r="K1031" s="33" t="s">
        <v>5767</v>
      </c>
      <c r="L1031" s="33" t="s">
        <v>5771</v>
      </c>
      <c r="N1031" s="33" t="s">
        <v>5767</v>
      </c>
      <c r="O1031" s="35"/>
    </row>
    <row r="1032">
      <c r="A1032" s="38"/>
      <c r="B1032" s="28" t="s">
        <v>5772</v>
      </c>
      <c r="C1032" s="28" t="s">
        <v>5201</v>
      </c>
      <c r="D1032" s="29" t="s">
        <v>5773</v>
      </c>
      <c r="E1032" s="30" t="s">
        <v>5774</v>
      </c>
      <c r="F1032" s="28" t="s">
        <v>5775</v>
      </c>
      <c r="I1032" s="32"/>
      <c r="J1032" s="32"/>
      <c r="K1032" s="33" t="s">
        <v>5772</v>
      </c>
      <c r="L1032" s="33" t="s">
        <v>5776</v>
      </c>
      <c r="N1032" s="33" t="s">
        <v>5772</v>
      </c>
      <c r="O1032" s="35" t="s">
        <v>5200</v>
      </c>
    </row>
    <row r="1033">
      <c r="A1033" s="38"/>
      <c r="B1033" s="28" t="s">
        <v>5777</v>
      </c>
      <c r="C1033" s="28" t="s">
        <v>5778</v>
      </c>
      <c r="D1033" s="29" t="s">
        <v>5779</v>
      </c>
      <c r="E1033" s="30" t="s">
        <v>5780</v>
      </c>
      <c r="F1033" s="28" t="s">
        <v>5781</v>
      </c>
      <c r="I1033" s="32"/>
      <c r="J1033" s="32"/>
      <c r="K1033" s="33" t="s">
        <v>5777</v>
      </c>
      <c r="L1033" s="33" t="s">
        <v>5782</v>
      </c>
      <c r="N1033" s="33" t="s">
        <v>5777</v>
      </c>
      <c r="O1033" s="35" t="s">
        <v>5783</v>
      </c>
    </row>
    <row r="1034">
      <c r="A1034" s="38"/>
      <c r="B1034" s="28" t="s">
        <v>5784</v>
      </c>
      <c r="C1034" s="28" t="s">
        <v>5222</v>
      </c>
      <c r="D1034" s="29" t="s">
        <v>5785</v>
      </c>
      <c r="E1034" s="30"/>
      <c r="F1034" s="28" t="s">
        <v>5786</v>
      </c>
      <c r="I1034" s="32"/>
      <c r="J1034" s="32"/>
      <c r="K1034" s="33" t="s">
        <v>5784</v>
      </c>
      <c r="L1034" s="33" t="s">
        <v>5787</v>
      </c>
      <c r="N1034" s="33" t="s">
        <v>5784</v>
      </c>
      <c r="O1034" s="47" t="s">
        <v>5788</v>
      </c>
    </row>
    <row r="1035">
      <c r="A1035" s="38"/>
      <c r="B1035" s="28" t="s">
        <v>5789</v>
      </c>
      <c r="C1035" s="28" t="s">
        <v>5790</v>
      </c>
      <c r="D1035" s="29" t="s">
        <v>5791</v>
      </c>
      <c r="E1035" s="30" t="s">
        <v>5792</v>
      </c>
      <c r="F1035" s="28" t="s">
        <v>5793</v>
      </c>
      <c r="I1035" s="32"/>
      <c r="J1035" s="32"/>
      <c r="K1035" s="33" t="s">
        <v>5789</v>
      </c>
      <c r="L1035" s="33" t="s">
        <v>5794</v>
      </c>
      <c r="N1035" s="33" t="s">
        <v>5789</v>
      </c>
      <c r="O1035" s="35" t="s">
        <v>5795</v>
      </c>
    </row>
    <row r="1036">
      <c r="A1036" s="38"/>
      <c r="B1036" s="28" t="s">
        <v>5796</v>
      </c>
      <c r="C1036" s="28" t="s">
        <v>5232</v>
      </c>
      <c r="D1036" s="29" t="s">
        <v>5797</v>
      </c>
      <c r="E1036" s="30" t="s">
        <v>5798</v>
      </c>
      <c r="F1036" s="28" t="s">
        <v>5799</v>
      </c>
      <c r="I1036" s="32"/>
      <c r="J1036" s="32"/>
      <c r="K1036" s="33" t="s">
        <v>5796</v>
      </c>
      <c r="L1036" s="33" t="s">
        <v>5800</v>
      </c>
      <c r="N1036" s="33" t="s">
        <v>5796</v>
      </c>
      <c r="O1036" s="35" t="s">
        <v>5231</v>
      </c>
    </row>
    <row r="1037">
      <c r="A1037" s="38"/>
      <c r="B1037" s="28" t="s">
        <v>5801</v>
      </c>
      <c r="C1037" s="28" t="s">
        <v>5238</v>
      </c>
      <c r="D1037" s="29" t="s">
        <v>5802</v>
      </c>
      <c r="E1037" s="30" t="s">
        <v>5803</v>
      </c>
      <c r="F1037" s="28" t="s">
        <v>5804</v>
      </c>
      <c r="I1037" s="32"/>
      <c r="J1037" s="32"/>
      <c r="K1037" s="33" t="s">
        <v>5801</v>
      </c>
      <c r="L1037" s="33" t="s">
        <v>5805</v>
      </c>
      <c r="N1037" s="33" t="s">
        <v>5801</v>
      </c>
      <c r="O1037" s="35" t="s">
        <v>5237</v>
      </c>
    </row>
    <row r="1038">
      <c r="A1038" s="38"/>
      <c r="B1038" s="28" t="s">
        <v>5806</v>
      </c>
      <c r="C1038" s="28" t="s">
        <v>5807</v>
      </c>
      <c r="D1038" s="29" t="s">
        <v>5808</v>
      </c>
      <c r="E1038" s="30" t="s">
        <v>5809</v>
      </c>
      <c r="F1038" s="28" t="s">
        <v>5810</v>
      </c>
      <c r="I1038" s="32"/>
      <c r="J1038" s="32"/>
      <c r="K1038" s="33" t="s">
        <v>5806</v>
      </c>
      <c r="L1038" s="33" t="s">
        <v>5811</v>
      </c>
      <c r="N1038" s="33" t="s">
        <v>5806</v>
      </c>
      <c r="O1038" s="35"/>
    </row>
    <row r="1039">
      <c r="A1039" s="38"/>
      <c r="B1039" s="28" t="s">
        <v>5812</v>
      </c>
      <c r="C1039" s="28" t="s">
        <v>5244</v>
      </c>
      <c r="D1039" s="29" t="s">
        <v>5813</v>
      </c>
      <c r="E1039" s="30" t="s">
        <v>5814</v>
      </c>
      <c r="F1039" s="28" t="s">
        <v>5815</v>
      </c>
      <c r="I1039" s="32"/>
      <c r="J1039" s="32"/>
      <c r="K1039" s="33" t="s">
        <v>5812</v>
      </c>
      <c r="L1039" s="33" t="s">
        <v>5816</v>
      </c>
      <c r="N1039" s="33" t="s">
        <v>5812</v>
      </c>
      <c r="O1039" s="35" t="s">
        <v>5243</v>
      </c>
    </row>
    <row r="1040">
      <c r="A1040" s="38"/>
      <c r="B1040" s="28" t="s">
        <v>5817</v>
      </c>
      <c r="C1040" s="28" t="s">
        <v>5257</v>
      </c>
      <c r="D1040" s="29" t="s">
        <v>5818</v>
      </c>
      <c r="E1040" s="30" t="s">
        <v>5814</v>
      </c>
      <c r="F1040" s="28" t="s">
        <v>5819</v>
      </c>
      <c r="I1040" s="32"/>
      <c r="J1040" s="32"/>
      <c r="K1040" s="33" t="s">
        <v>5817</v>
      </c>
      <c r="L1040" s="33" t="s">
        <v>5820</v>
      </c>
      <c r="N1040" s="33" t="s">
        <v>5817</v>
      </c>
      <c r="O1040" s="35" t="s">
        <v>5256</v>
      </c>
    </row>
    <row r="1041">
      <c r="A1041" s="38"/>
      <c r="B1041" s="28" t="s">
        <v>5821</v>
      </c>
      <c r="C1041" s="28" t="s">
        <v>5262</v>
      </c>
      <c r="D1041" s="29" t="s">
        <v>5822</v>
      </c>
      <c r="E1041" s="30" t="s">
        <v>5823</v>
      </c>
      <c r="F1041" s="28" t="s">
        <v>5824</v>
      </c>
      <c r="I1041" s="32"/>
      <c r="J1041" s="32"/>
      <c r="K1041" s="33" t="s">
        <v>5821</v>
      </c>
      <c r="L1041" s="33" t="s">
        <v>5825</v>
      </c>
      <c r="N1041" s="33" t="s">
        <v>5821</v>
      </c>
      <c r="O1041" s="35"/>
    </row>
    <row r="1042">
      <c r="A1042" s="38"/>
      <c r="B1042" s="28" t="s">
        <v>5826</v>
      </c>
      <c r="C1042" s="28" t="s">
        <v>5267</v>
      </c>
      <c r="D1042" s="29" t="s">
        <v>5827</v>
      </c>
      <c r="E1042" s="30" t="s">
        <v>5828</v>
      </c>
      <c r="F1042" s="28" t="s">
        <v>5829</v>
      </c>
      <c r="I1042" s="32"/>
      <c r="J1042" s="32"/>
      <c r="K1042" s="33" t="s">
        <v>5826</v>
      </c>
      <c r="L1042" s="33" t="s">
        <v>5830</v>
      </c>
      <c r="N1042" s="33" t="s">
        <v>5826</v>
      </c>
      <c r="O1042" s="35" t="s">
        <v>5266</v>
      </c>
    </row>
    <row r="1043">
      <c r="A1043" s="38"/>
      <c r="B1043" s="28" t="s">
        <v>5831</v>
      </c>
      <c r="C1043" s="28" t="s">
        <v>5272</v>
      </c>
      <c r="D1043" s="29" t="s">
        <v>5832</v>
      </c>
      <c r="E1043" s="30"/>
      <c r="F1043" s="28" t="s">
        <v>5833</v>
      </c>
      <c r="I1043" s="32"/>
      <c r="J1043" s="32"/>
      <c r="K1043" s="33" t="s">
        <v>5831</v>
      </c>
      <c r="L1043" s="33" t="s">
        <v>5834</v>
      </c>
      <c r="N1043" s="33" t="s">
        <v>5831</v>
      </c>
      <c r="O1043" s="35" t="s">
        <v>5271</v>
      </c>
    </row>
    <row r="1044">
      <c r="A1044" s="38"/>
      <c r="B1044" s="28" t="s">
        <v>5835</v>
      </c>
      <c r="C1044" s="28" t="s">
        <v>5278</v>
      </c>
      <c r="D1044" s="29" t="s">
        <v>5836</v>
      </c>
      <c r="E1044" s="30"/>
      <c r="F1044" s="28" t="s">
        <v>5837</v>
      </c>
      <c r="I1044" s="32"/>
      <c r="J1044" s="32"/>
      <c r="K1044" s="33" t="s">
        <v>5835</v>
      </c>
      <c r="L1044" s="33" t="s">
        <v>5838</v>
      </c>
      <c r="N1044" s="33" t="s">
        <v>5835</v>
      </c>
      <c r="O1044" s="35" t="s">
        <v>5277</v>
      </c>
    </row>
    <row r="1045">
      <c r="A1045" s="38"/>
      <c r="B1045" s="28" t="s">
        <v>5839</v>
      </c>
      <c r="C1045" s="28" t="s">
        <v>5283</v>
      </c>
      <c r="D1045" s="29" t="s">
        <v>5840</v>
      </c>
      <c r="E1045" s="30" t="s">
        <v>5841</v>
      </c>
      <c r="F1045" s="28" t="s">
        <v>5842</v>
      </c>
      <c r="I1045" s="32"/>
      <c r="J1045" s="32"/>
      <c r="K1045" s="33" t="s">
        <v>5839</v>
      </c>
      <c r="L1045" s="33" t="s">
        <v>5843</v>
      </c>
      <c r="N1045" s="33" t="s">
        <v>5839</v>
      </c>
      <c r="O1045" s="35" t="s">
        <v>5282</v>
      </c>
    </row>
    <row r="1046">
      <c r="A1046" s="38"/>
      <c r="B1046" s="28" t="s">
        <v>5844</v>
      </c>
      <c r="C1046" s="28" t="s">
        <v>5288</v>
      </c>
      <c r="D1046" s="29" t="s">
        <v>5845</v>
      </c>
      <c r="E1046" s="30" t="s">
        <v>5846</v>
      </c>
      <c r="F1046" s="28" t="s">
        <v>5847</v>
      </c>
      <c r="I1046" s="32"/>
      <c r="J1046" s="32"/>
      <c r="K1046" s="33" t="s">
        <v>5844</v>
      </c>
      <c r="L1046" s="33" t="s">
        <v>5848</v>
      </c>
      <c r="N1046" s="33" t="s">
        <v>5844</v>
      </c>
      <c r="O1046" s="35" t="s">
        <v>5287</v>
      </c>
    </row>
    <row r="1047">
      <c r="A1047" s="38"/>
      <c r="B1047" s="28" t="s">
        <v>5849</v>
      </c>
      <c r="C1047" s="28" t="s">
        <v>5293</v>
      </c>
      <c r="D1047" s="29" t="s">
        <v>5850</v>
      </c>
      <c r="E1047" s="30" t="s">
        <v>5851</v>
      </c>
      <c r="F1047" s="28" t="s">
        <v>5852</v>
      </c>
      <c r="I1047" s="32"/>
      <c r="J1047" s="32"/>
      <c r="K1047" s="33" t="s">
        <v>5849</v>
      </c>
      <c r="L1047" s="33" t="s">
        <v>5853</v>
      </c>
      <c r="N1047" s="33" t="s">
        <v>5849</v>
      </c>
      <c r="O1047" s="47" t="s">
        <v>5854</v>
      </c>
    </row>
    <row r="1048">
      <c r="A1048" s="38"/>
      <c r="B1048" s="28" t="s">
        <v>5855</v>
      </c>
      <c r="C1048" s="28" t="s">
        <v>5298</v>
      </c>
      <c r="D1048" s="29" t="s">
        <v>5856</v>
      </c>
      <c r="E1048" s="30" t="s">
        <v>5857</v>
      </c>
      <c r="F1048" s="28" t="s">
        <v>5858</v>
      </c>
      <c r="I1048" s="32"/>
      <c r="J1048" s="32"/>
      <c r="K1048" s="33" t="s">
        <v>5855</v>
      </c>
      <c r="L1048" s="33" t="s">
        <v>5859</v>
      </c>
      <c r="N1048" s="33" t="s">
        <v>5855</v>
      </c>
      <c r="O1048" s="35" t="s">
        <v>5297</v>
      </c>
    </row>
    <row r="1049">
      <c r="A1049" s="38"/>
      <c r="B1049" s="28" t="s">
        <v>5860</v>
      </c>
      <c r="C1049" s="28" t="s">
        <v>5314</v>
      </c>
      <c r="D1049" s="29" t="s">
        <v>5861</v>
      </c>
      <c r="E1049" s="30"/>
      <c r="F1049" s="28" t="s">
        <v>5862</v>
      </c>
      <c r="I1049" s="32"/>
      <c r="J1049" s="32"/>
      <c r="K1049" s="33" t="s">
        <v>5860</v>
      </c>
      <c r="L1049" s="33" t="s">
        <v>5863</v>
      </c>
      <c r="N1049" s="33" t="s">
        <v>5860</v>
      </c>
      <c r="O1049" s="35" t="s">
        <v>5313</v>
      </c>
    </row>
    <row r="1050">
      <c r="A1050" s="38"/>
      <c r="B1050" s="28" t="s">
        <v>5864</v>
      </c>
      <c r="C1050" s="28" t="s">
        <v>5319</v>
      </c>
      <c r="D1050" s="29" t="s">
        <v>5865</v>
      </c>
      <c r="E1050" s="30"/>
      <c r="F1050" s="28" t="s">
        <v>264</v>
      </c>
      <c r="I1050" s="32"/>
      <c r="J1050" s="32"/>
      <c r="K1050" s="33" t="s">
        <v>5864</v>
      </c>
      <c r="L1050" s="33" t="s">
        <v>5866</v>
      </c>
      <c r="N1050" s="33" t="s">
        <v>5864</v>
      </c>
      <c r="O1050" s="47" t="s">
        <v>5867</v>
      </c>
    </row>
    <row r="1051">
      <c r="A1051" s="38"/>
      <c r="B1051" s="28" t="s">
        <v>5868</v>
      </c>
      <c r="C1051" s="28" t="s">
        <v>5869</v>
      </c>
      <c r="D1051" s="29" t="s">
        <v>5870</v>
      </c>
      <c r="E1051" s="30" t="s">
        <v>5871</v>
      </c>
      <c r="F1051" s="28" t="s">
        <v>5872</v>
      </c>
      <c r="I1051" s="32"/>
      <c r="J1051" s="32"/>
      <c r="K1051" s="33" t="s">
        <v>5868</v>
      </c>
      <c r="L1051" s="33" t="s">
        <v>5873</v>
      </c>
      <c r="N1051" s="33" t="s">
        <v>5868</v>
      </c>
      <c r="O1051" s="35" t="s">
        <v>5874</v>
      </c>
    </row>
    <row r="1052">
      <c r="A1052" s="38"/>
      <c r="B1052" s="28" t="s">
        <v>5875</v>
      </c>
      <c r="C1052" s="28" t="s">
        <v>5324</v>
      </c>
      <c r="D1052" s="29" t="s">
        <v>5876</v>
      </c>
      <c r="E1052" s="30"/>
      <c r="F1052" s="28" t="s">
        <v>5877</v>
      </c>
      <c r="I1052" s="32"/>
      <c r="J1052" s="32"/>
      <c r="K1052" s="33" t="s">
        <v>5875</v>
      </c>
      <c r="L1052" s="33" t="s">
        <v>5878</v>
      </c>
      <c r="N1052" s="33" t="s">
        <v>5875</v>
      </c>
      <c r="O1052" s="35"/>
    </row>
    <row r="1053">
      <c r="A1053" s="38"/>
      <c r="B1053" s="28" t="s">
        <v>5879</v>
      </c>
      <c r="C1053" s="28" t="s">
        <v>5344</v>
      </c>
      <c r="D1053" s="29" t="s">
        <v>5880</v>
      </c>
      <c r="E1053" s="30" t="s">
        <v>5881</v>
      </c>
      <c r="F1053" s="28" t="s">
        <v>5882</v>
      </c>
      <c r="I1053" s="32"/>
      <c r="J1053" s="32"/>
      <c r="K1053" s="33" t="s">
        <v>5879</v>
      </c>
      <c r="L1053" s="33" t="s">
        <v>5883</v>
      </c>
      <c r="N1053" s="33" t="s">
        <v>5879</v>
      </c>
      <c r="O1053" s="35" t="s">
        <v>5343</v>
      </c>
    </row>
    <row r="1054">
      <c r="A1054" s="38"/>
      <c r="B1054" s="28" t="s">
        <v>5884</v>
      </c>
      <c r="C1054" s="28" t="s">
        <v>5885</v>
      </c>
      <c r="D1054" s="29" t="s">
        <v>5886</v>
      </c>
      <c r="E1054" s="30" t="s">
        <v>5887</v>
      </c>
      <c r="F1054" s="28" t="s">
        <v>5888</v>
      </c>
      <c r="I1054" s="32"/>
      <c r="J1054" s="32"/>
      <c r="K1054" s="33" t="s">
        <v>5884</v>
      </c>
      <c r="L1054" s="33" t="s">
        <v>5889</v>
      </c>
      <c r="N1054" s="33" t="s">
        <v>5884</v>
      </c>
      <c r="O1054" s="35" t="s">
        <v>5890</v>
      </c>
    </row>
    <row r="1055">
      <c r="A1055" s="38"/>
      <c r="B1055" s="28" t="s">
        <v>5891</v>
      </c>
      <c r="C1055" s="28" t="s">
        <v>5892</v>
      </c>
      <c r="D1055" s="29" t="s">
        <v>5893</v>
      </c>
      <c r="E1055" s="30"/>
      <c r="F1055" s="28" t="s">
        <v>5894</v>
      </c>
      <c r="I1055" s="32"/>
      <c r="J1055" s="32"/>
      <c r="K1055" s="33" t="s">
        <v>5891</v>
      </c>
      <c r="L1055" s="33" t="s">
        <v>5895</v>
      </c>
      <c r="N1055" s="33" t="s">
        <v>5891</v>
      </c>
      <c r="O1055" s="35" t="s">
        <v>5896</v>
      </c>
    </row>
    <row r="1056">
      <c r="A1056" s="38"/>
      <c r="B1056" s="28" t="s">
        <v>5897</v>
      </c>
      <c r="C1056" s="28" t="s">
        <v>5898</v>
      </c>
      <c r="D1056" s="29" t="s">
        <v>5899</v>
      </c>
      <c r="E1056" s="30" t="s">
        <v>5900</v>
      </c>
      <c r="F1056" s="28" t="s">
        <v>5901</v>
      </c>
      <c r="I1056" s="32"/>
      <c r="J1056" s="32"/>
      <c r="K1056" s="33" t="s">
        <v>5897</v>
      </c>
      <c r="L1056" s="33" t="s">
        <v>5902</v>
      </c>
      <c r="N1056" s="33" t="s">
        <v>5897</v>
      </c>
      <c r="O1056" s="35" t="s">
        <v>5903</v>
      </c>
    </row>
    <row r="1057">
      <c r="A1057" s="38"/>
      <c r="B1057" s="28" t="s">
        <v>5904</v>
      </c>
      <c r="C1057" s="28" t="s">
        <v>5373</v>
      </c>
      <c r="D1057" s="29" t="s">
        <v>5905</v>
      </c>
      <c r="E1057" s="30"/>
      <c r="F1057" s="28" t="s">
        <v>5906</v>
      </c>
      <c r="I1057" s="32"/>
      <c r="J1057" s="32"/>
      <c r="K1057" s="33" t="s">
        <v>5904</v>
      </c>
      <c r="L1057" s="33" t="s">
        <v>5907</v>
      </c>
      <c r="N1057" s="33" t="s">
        <v>5904</v>
      </c>
      <c r="O1057" s="35" t="s">
        <v>5372</v>
      </c>
    </row>
    <row r="1058">
      <c r="A1058" s="38"/>
      <c r="B1058" s="28" t="s">
        <v>5908</v>
      </c>
      <c r="C1058" s="28" t="s">
        <v>5379</v>
      </c>
      <c r="D1058" s="29" t="s">
        <v>5909</v>
      </c>
      <c r="E1058" s="30" t="s">
        <v>5910</v>
      </c>
      <c r="F1058" s="28" t="s">
        <v>5911</v>
      </c>
      <c r="I1058" s="32"/>
      <c r="J1058" s="32"/>
      <c r="K1058" s="33" t="s">
        <v>5908</v>
      </c>
      <c r="L1058" s="33" t="s">
        <v>5912</v>
      </c>
      <c r="N1058" s="33" t="s">
        <v>5908</v>
      </c>
      <c r="O1058" s="35" t="s">
        <v>5378</v>
      </c>
    </row>
    <row r="1059">
      <c r="A1059" s="38"/>
      <c r="B1059" s="28" t="s">
        <v>5913</v>
      </c>
      <c r="C1059" s="28" t="s">
        <v>5914</v>
      </c>
      <c r="D1059" s="29" t="s">
        <v>5915</v>
      </c>
      <c r="E1059" s="30" t="s">
        <v>5916</v>
      </c>
      <c r="F1059" s="28" t="s">
        <v>5917</v>
      </c>
      <c r="I1059" s="32"/>
      <c r="J1059" s="32"/>
      <c r="K1059" s="33" t="s">
        <v>5913</v>
      </c>
      <c r="L1059" s="33" t="s">
        <v>5918</v>
      </c>
      <c r="N1059" s="33" t="s">
        <v>5913</v>
      </c>
      <c r="O1059" s="35"/>
    </row>
    <row r="1060">
      <c r="A1060" s="38"/>
      <c r="B1060" s="28" t="s">
        <v>5919</v>
      </c>
      <c r="C1060" s="28" t="s">
        <v>5920</v>
      </c>
      <c r="D1060" s="29" t="s">
        <v>5921</v>
      </c>
      <c r="E1060" s="30"/>
      <c r="F1060" s="28" t="s">
        <v>5922</v>
      </c>
      <c r="I1060" s="32"/>
      <c r="J1060" s="32"/>
      <c r="K1060" s="33" t="s">
        <v>5919</v>
      </c>
      <c r="L1060" s="33" t="s">
        <v>5923</v>
      </c>
      <c r="N1060" s="33" t="s">
        <v>5919</v>
      </c>
      <c r="O1060" s="35" t="s">
        <v>5924</v>
      </c>
    </row>
    <row r="1061">
      <c r="A1061" s="38"/>
      <c r="B1061" s="28" t="s">
        <v>5925</v>
      </c>
      <c r="C1061" s="28" t="s">
        <v>5392</v>
      </c>
      <c r="D1061" s="29" t="s">
        <v>5926</v>
      </c>
      <c r="E1061" s="30"/>
      <c r="F1061" s="28" t="s">
        <v>5927</v>
      </c>
      <c r="I1061" s="32"/>
      <c r="J1061" s="32"/>
      <c r="K1061" s="33" t="s">
        <v>5925</v>
      </c>
      <c r="L1061" s="33" t="s">
        <v>5928</v>
      </c>
      <c r="N1061" s="33" t="s">
        <v>5925</v>
      </c>
      <c r="O1061" s="35"/>
    </row>
    <row r="1062">
      <c r="A1062" s="38"/>
      <c r="B1062" s="28" t="s">
        <v>5929</v>
      </c>
      <c r="C1062" s="28" t="s">
        <v>5397</v>
      </c>
      <c r="D1062" s="29" t="s">
        <v>5930</v>
      </c>
      <c r="E1062" s="30" t="s">
        <v>5931</v>
      </c>
      <c r="F1062" s="28" t="s">
        <v>5932</v>
      </c>
      <c r="I1062" s="32"/>
      <c r="J1062" s="32"/>
      <c r="K1062" s="33" t="s">
        <v>5929</v>
      </c>
      <c r="L1062" s="33" t="s">
        <v>5933</v>
      </c>
      <c r="N1062" s="33" t="s">
        <v>5929</v>
      </c>
      <c r="O1062" s="35" t="s">
        <v>5396</v>
      </c>
    </row>
    <row r="1063">
      <c r="A1063" s="38"/>
      <c r="B1063" s="28" t="s">
        <v>5934</v>
      </c>
      <c r="C1063" s="28" t="s">
        <v>5935</v>
      </c>
      <c r="D1063" s="29" t="s">
        <v>5936</v>
      </c>
      <c r="E1063" s="30" t="s">
        <v>5937</v>
      </c>
      <c r="F1063" s="28" t="s">
        <v>5938</v>
      </c>
      <c r="I1063" s="32"/>
      <c r="J1063" s="32"/>
      <c r="K1063" s="33" t="s">
        <v>5934</v>
      </c>
      <c r="L1063" s="33" t="s">
        <v>5939</v>
      </c>
      <c r="N1063" s="33" t="s">
        <v>5934</v>
      </c>
      <c r="O1063" s="35"/>
    </row>
    <row r="1064">
      <c r="A1064" s="38"/>
      <c r="B1064" s="28" t="s">
        <v>5940</v>
      </c>
      <c r="C1064" s="28" t="s">
        <v>5406</v>
      </c>
      <c r="D1064" s="29" t="s">
        <v>5941</v>
      </c>
      <c r="E1064" s="30" t="s">
        <v>5942</v>
      </c>
      <c r="F1064" s="28" t="s">
        <v>5943</v>
      </c>
      <c r="I1064" s="32"/>
      <c r="J1064" s="32"/>
      <c r="K1064" s="33" t="s">
        <v>5940</v>
      </c>
      <c r="L1064" s="33" t="s">
        <v>5944</v>
      </c>
      <c r="N1064" s="33" t="s">
        <v>5940</v>
      </c>
      <c r="O1064" s="35" t="s">
        <v>5405</v>
      </c>
    </row>
    <row r="1065">
      <c r="A1065" s="38"/>
      <c r="B1065" s="28" t="s">
        <v>5945</v>
      </c>
      <c r="C1065" s="28" t="s">
        <v>5415</v>
      </c>
      <c r="D1065" s="29" t="s">
        <v>5946</v>
      </c>
      <c r="E1065" s="30" t="s">
        <v>5947</v>
      </c>
      <c r="F1065" s="28" t="s">
        <v>5948</v>
      </c>
      <c r="I1065" s="32"/>
      <c r="J1065" s="32"/>
      <c r="K1065" s="33" t="s">
        <v>5945</v>
      </c>
      <c r="L1065" s="33" t="s">
        <v>5949</v>
      </c>
      <c r="N1065" s="33" t="s">
        <v>5945</v>
      </c>
      <c r="O1065" s="35" t="s">
        <v>5414</v>
      </c>
    </row>
    <row r="1066">
      <c r="A1066" s="38"/>
      <c r="B1066" s="28" t="s">
        <v>5950</v>
      </c>
      <c r="C1066" s="28" t="s">
        <v>5951</v>
      </c>
      <c r="D1066" s="29" t="s">
        <v>5952</v>
      </c>
      <c r="E1066" s="30"/>
      <c r="F1066" s="28" t="s">
        <v>5953</v>
      </c>
      <c r="I1066" s="32"/>
      <c r="J1066" s="32"/>
      <c r="K1066" s="33" t="s">
        <v>5950</v>
      </c>
      <c r="L1066" s="33" t="s">
        <v>5954</v>
      </c>
      <c r="N1066" s="33" t="s">
        <v>5950</v>
      </c>
      <c r="O1066" s="35"/>
    </row>
    <row r="1067">
      <c r="A1067" s="38"/>
      <c r="B1067" s="28" t="s">
        <v>5955</v>
      </c>
      <c r="C1067" s="28" t="s">
        <v>5420</v>
      </c>
      <c r="D1067" s="29" t="s">
        <v>5956</v>
      </c>
      <c r="E1067" s="30" t="s">
        <v>5957</v>
      </c>
      <c r="F1067" s="28" t="s">
        <v>5958</v>
      </c>
      <c r="I1067" s="32"/>
      <c r="J1067" s="32"/>
      <c r="K1067" s="33" t="s">
        <v>5955</v>
      </c>
      <c r="L1067" s="33" t="s">
        <v>5959</v>
      </c>
      <c r="N1067" s="33" t="s">
        <v>5955</v>
      </c>
      <c r="O1067" s="35" t="s">
        <v>5419</v>
      </c>
    </row>
    <row r="1068">
      <c r="A1068" s="38"/>
      <c r="B1068" s="28" t="s">
        <v>5960</v>
      </c>
      <c r="C1068" s="28" t="s">
        <v>5443</v>
      </c>
      <c r="D1068" s="29" t="s">
        <v>5961</v>
      </c>
      <c r="E1068" s="30"/>
      <c r="F1068" s="28" t="s">
        <v>5962</v>
      </c>
      <c r="I1068" s="32"/>
      <c r="J1068" s="32"/>
      <c r="K1068" s="33" t="s">
        <v>5960</v>
      </c>
      <c r="L1068" s="33" t="s">
        <v>5963</v>
      </c>
      <c r="N1068" s="33" t="s">
        <v>5960</v>
      </c>
      <c r="O1068" s="35" t="s">
        <v>5442</v>
      </c>
    </row>
    <row r="1069">
      <c r="A1069" s="38"/>
      <c r="B1069" s="28" t="s">
        <v>5964</v>
      </c>
      <c r="C1069" s="28" t="s">
        <v>5965</v>
      </c>
      <c r="D1069" s="29" t="s">
        <v>5966</v>
      </c>
      <c r="E1069" s="30" t="s">
        <v>5967</v>
      </c>
      <c r="F1069" s="28" t="s">
        <v>5968</v>
      </c>
      <c r="I1069" s="32"/>
      <c r="J1069" s="32"/>
      <c r="K1069" s="33" t="s">
        <v>5964</v>
      </c>
      <c r="L1069" s="33" t="s">
        <v>5969</v>
      </c>
      <c r="N1069" s="33" t="s">
        <v>5964</v>
      </c>
      <c r="O1069" s="35" t="s">
        <v>5970</v>
      </c>
    </row>
    <row r="1070">
      <c r="A1070" s="38"/>
      <c r="B1070" s="28" t="s">
        <v>5971</v>
      </c>
      <c r="C1070" s="28" t="s">
        <v>5972</v>
      </c>
      <c r="D1070" s="29" t="s">
        <v>5973</v>
      </c>
      <c r="E1070" s="30"/>
      <c r="F1070" s="28" t="s">
        <v>5974</v>
      </c>
      <c r="I1070" s="32"/>
      <c r="J1070" s="32"/>
      <c r="K1070" s="33" t="s">
        <v>5971</v>
      </c>
      <c r="L1070" s="33" t="s">
        <v>5975</v>
      </c>
      <c r="N1070" s="33" t="s">
        <v>5971</v>
      </c>
      <c r="O1070" s="47"/>
    </row>
    <row r="1071">
      <c r="A1071" s="38"/>
      <c r="B1071" s="28" t="s">
        <v>5976</v>
      </c>
      <c r="C1071" s="28" t="s">
        <v>5977</v>
      </c>
      <c r="D1071" s="29" t="s">
        <v>5978</v>
      </c>
      <c r="E1071" s="30" t="s">
        <v>5979</v>
      </c>
      <c r="F1071" s="28" t="s">
        <v>5980</v>
      </c>
      <c r="I1071" s="32"/>
      <c r="J1071" s="32"/>
      <c r="K1071" s="33" t="s">
        <v>5976</v>
      </c>
      <c r="L1071" s="33" t="s">
        <v>5981</v>
      </c>
      <c r="N1071" s="33" t="s">
        <v>5976</v>
      </c>
      <c r="O1071" s="35"/>
    </row>
    <row r="1072">
      <c r="A1072" s="38"/>
      <c r="B1072" s="28" t="s">
        <v>5982</v>
      </c>
      <c r="C1072" s="28" t="s">
        <v>5983</v>
      </c>
      <c r="D1072" s="29" t="s">
        <v>5984</v>
      </c>
      <c r="E1072" s="30" t="s">
        <v>5985</v>
      </c>
      <c r="F1072" s="28" t="s">
        <v>5986</v>
      </c>
      <c r="I1072" s="32"/>
      <c r="J1072" s="32"/>
      <c r="K1072" s="33" t="s">
        <v>5982</v>
      </c>
      <c r="L1072" s="33" t="s">
        <v>5987</v>
      </c>
      <c r="N1072" s="33" t="s">
        <v>5982</v>
      </c>
      <c r="O1072" s="35"/>
    </row>
    <row r="1073">
      <c r="A1073" s="38"/>
      <c r="B1073" s="28" t="s">
        <v>5988</v>
      </c>
      <c r="C1073" s="28" t="s">
        <v>5466</v>
      </c>
      <c r="D1073" s="29" t="s">
        <v>5989</v>
      </c>
      <c r="E1073" s="30" t="s">
        <v>5990</v>
      </c>
      <c r="F1073" s="28" t="s">
        <v>5991</v>
      </c>
      <c r="I1073" s="32"/>
      <c r="J1073" s="32"/>
      <c r="K1073" s="33" t="s">
        <v>5988</v>
      </c>
      <c r="L1073" s="33" t="s">
        <v>5992</v>
      </c>
      <c r="N1073" s="33" t="s">
        <v>5988</v>
      </c>
      <c r="O1073" s="35" t="s">
        <v>5465</v>
      </c>
    </row>
    <row r="1074">
      <c r="A1074" s="38"/>
      <c r="B1074" s="28" t="s">
        <v>5993</v>
      </c>
      <c r="C1074" s="28" t="s">
        <v>5471</v>
      </c>
      <c r="D1074" s="29" t="s">
        <v>5994</v>
      </c>
      <c r="E1074" s="30" t="s">
        <v>5995</v>
      </c>
      <c r="F1074" s="28" t="s">
        <v>5996</v>
      </c>
      <c r="I1074" s="32"/>
      <c r="J1074" s="32"/>
      <c r="K1074" s="33" t="s">
        <v>5993</v>
      </c>
      <c r="L1074" s="33" t="s">
        <v>5997</v>
      </c>
      <c r="N1074" s="33" t="s">
        <v>5993</v>
      </c>
      <c r="O1074" s="35" t="s">
        <v>5470</v>
      </c>
    </row>
    <row r="1075">
      <c r="A1075" s="38"/>
      <c r="B1075" s="28" t="s">
        <v>5998</v>
      </c>
      <c r="C1075" s="28" t="s">
        <v>5999</v>
      </c>
      <c r="D1075" s="29" t="s">
        <v>6000</v>
      </c>
      <c r="E1075" s="30" t="s">
        <v>6001</v>
      </c>
      <c r="F1075" s="28" t="s">
        <v>6002</v>
      </c>
      <c r="I1075" s="32"/>
      <c r="J1075" s="32"/>
      <c r="K1075" s="33" t="s">
        <v>5998</v>
      </c>
      <c r="L1075" s="33" t="s">
        <v>6003</v>
      </c>
      <c r="N1075" s="33" t="s">
        <v>5998</v>
      </c>
      <c r="O1075" s="35" t="s">
        <v>6004</v>
      </c>
    </row>
    <row r="1076">
      <c r="A1076" s="38"/>
      <c r="B1076" s="28" t="s">
        <v>6005</v>
      </c>
      <c r="C1076" s="28" t="s">
        <v>5483</v>
      </c>
      <c r="D1076" s="29" t="s">
        <v>6006</v>
      </c>
      <c r="E1076" s="30" t="s">
        <v>6007</v>
      </c>
      <c r="F1076" s="28" t="s">
        <v>6008</v>
      </c>
      <c r="I1076" s="32"/>
      <c r="J1076" s="32"/>
      <c r="K1076" s="33" t="s">
        <v>6005</v>
      </c>
      <c r="L1076" s="33" t="s">
        <v>6009</v>
      </c>
      <c r="N1076" s="33" t="s">
        <v>6005</v>
      </c>
      <c r="O1076" s="35" t="s">
        <v>5482</v>
      </c>
    </row>
    <row r="1077">
      <c r="A1077" s="38"/>
      <c r="B1077" s="28" t="s">
        <v>6010</v>
      </c>
      <c r="C1077" s="28" t="s">
        <v>6011</v>
      </c>
      <c r="D1077" s="29" t="s">
        <v>6012</v>
      </c>
      <c r="E1077" s="30"/>
      <c r="F1077" s="28" t="s">
        <v>6013</v>
      </c>
      <c r="I1077" s="32"/>
      <c r="J1077" s="32"/>
      <c r="K1077" s="33" t="s">
        <v>6010</v>
      </c>
      <c r="L1077" s="33" t="s">
        <v>6014</v>
      </c>
      <c r="N1077" s="33" t="s">
        <v>6010</v>
      </c>
      <c r="O1077" s="35" t="s">
        <v>6015</v>
      </c>
    </row>
    <row r="1078">
      <c r="A1078" s="38"/>
      <c r="B1078" s="28" t="s">
        <v>6016</v>
      </c>
      <c r="C1078" s="28" t="s">
        <v>5489</v>
      </c>
      <c r="D1078" s="29" t="s">
        <v>6017</v>
      </c>
      <c r="E1078" s="30" t="s">
        <v>6018</v>
      </c>
      <c r="F1078" s="28" t="s">
        <v>6019</v>
      </c>
      <c r="I1078" s="32"/>
      <c r="J1078" s="32"/>
      <c r="K1078" s="33" t="s">
        <v>6016</v>
      </c>
      <c r="L1078" s="33" t="s">
        <v>6020</v>
      </c>
      <c r="N1078" s="33" t="s">
        <v>6016</v>
      </c>
      <c r="O1078" s="35" t="s">
        <v>5488</v>
      </c>
    </row>
    <row r="1079">
      <c r="A1079" s="38"/>
      <c r="B1079" s="28" t="s">
        <v>6021</v>
      </c>
      <c r="C1079" s="28" t="s">
        <v>5495</v>
      </c>
      <c r="D1079" s="29" t="s">
        <v>6022</v>
      </c>
      <c r="E1079" s="30"/>
      <c r="F1079" s="28" t="s">
        <v>6023</v>
      </c>
      <c r="I1079" s="32"/>
      <c r="J1079" s="32"/>
      <c r="K1079" s="33" t="s">
        <v>6021</v>
      </c>
      <c r="L1079" s="33" t="s">
        <v>6024</v>
      </c>
      <c r="N1079" s="33" t="s">
        <v>6021</v>
      </c>
      <c r="O1079" s="35" t="s">
        <v>5494</v>
      </c>
    </row>
    <row r="1080">
      <c r="A1080" s="38"/>
      <c r="B1080" s="28" t="s">
        <v>6025</v>
      </c>
      <c r="C1080" s="28" t="s">
        <v>5500</v>
      </c>
      <c r="D1080" s="29" t="s">
        <v>6026</v>
      </c>
      <c r="E1080" s="30" t="s">
        <v>6027</v>
      </c>
      <c r="F1080" s="28" t="s">
        <v>6028</v>
      </c>
      <c r="I1080" s="32"/>
      <c r="J1080" s="32"/>
      <c r="K1080" s="33" t="s">
        <v>6025</v>
      </c>
      <c r="L1080" s="33" t="s">
        <v>6029</v>
      </c>
      <c r="N1080" s="33" t="s">
        <v>6025</v>
      </c>
      <c r="O1080" s="35" t="s">
        <v>5499</v>
      </c>
    </row>
    <row r="1081">
      <c r="A1081" s="38"/>
      <c r="B1081" s="28" t="s">
        <v>6030</v>
      </c>
      <c r="C1081" s="28" t="s">
        <v>5505</v>
      </c>
      <c r="D1081" s="29" t="s">
        <v>6031</v>
      </c>
      <c r="E1081" s="30" t="s">
        <v>6027</v>
      </c>
      <c r="F1081" s="28" t="s">
        <v>6032</v>
      </c>
      <c r="I1081" s="32"/>
      <c r="J1081" s="32"/>
      <c r="K1081" s="33" t="s">
        <v>6030</v>
      </c>
      <c r="L1081" s="33" t="s">
        <v>6033</v>
      </c>
      <c r="N1081" s="33" t="s">
        <v>6030</v>
      </c>
      <c r="O1081" s="35" t="s">
        <v>5504</v>
      </c>
    </row>
    <row r="1082">
      <c r="A1082" s="38"/>
      <c r="B1082" s="28" t="s">
        <v>6034</v>
      </c>
      <c r="C1082" s="28" t="s">
        <v>5515</v>
      </c>
      <c r="D1082" s="29" t="s">
        <v>6035</v>
      </c>
      <c r="E1082" s="30"/>
      <c r="F1082" s="28" t="s">
        <v>6036</v>
      </c>
      <c r="I1082" s="32"/>
      <c r="J1082" s="32"/>
      <c r="K1082" s="33" t="s">
        <v>6034</v>
      </c>
      <c r="L1082" s="33" t="s">
        <v>6037</v>
      </c>
      <c r="N1082" s="33" t="s">
        <v>6034</v>
      </c>
      <c r="O1082" s="35" t="s">
        <v>5514</v>
      </c>
    </row>
    <row r="1083">
      <c r="A1083" s="38"/>
      <c r="B1083" s="28" t="s">
        <v>6038</v>
      </c>
      <c r="C1083" s="28" t="s">
        <v>5525</v>
      </c>
      <c r="D1083" s="29" t="s">
        <v>6039</v>
      </c>
      <c r="E1083" s="30"/>
      <c r="F1083" s="28" t="s">
        <v>6040</v>
      </c>
      <c r="I1083" s="32"/>
      <c r="J1083" s="32"/>
      <c r="K1083" s="33" t="s">
        <v>6038</v>
      </c>
      <c r="L1083" s="33" t="s">
        <v>6041</v>
      </c>
      <c r="N1083" s="33" t="s">
        <v>6038</v>
      </c>
      <c r="O1083" s="35" t="s">
        <v>5524</v>
      </c>
    </row>
    <row r="1084">
      <c r="A1084" s="38"/>
      <c r="B1084" s="28" t="s">
        <v>6042</v>
      </c>
      <c r="C1084" s="28" t="s">
        <v>5541</v>
      </c>
      <c r="D1084" s="29" t="s">
        <v>6043</v>
      </c>
      <c r="E1084" s="30"/>
      <c r="F1084" s="28" t="s">
        <v>6044</v>
      </c>
      <c r="I1084" s="32"/>
      <c r="J1084" s="32"/>
      <c r="K1084" s="33" t="s">
        <v>6042</v>
      </c>
      <c r="L1084" s="33" t="s">
        <v>6045</v>
      </c>
      <c r="N1084" s="33" t="s">
        <v>6042</v>
      </c>
      <c r="O1084" s="35"/>
    </row>
    <row r="1085">
      <c r="A1085" s="38"/>
      <c r="B1085" s="28" t="s">
        <v>6046</v>
      </c>
      <c r="C1085" s="28" t="s">
        <v>6047</v>
      </c>
      <c r="D1085" s="29" t="s">
        <v>6048</v>
      </c>
      <c r="E1085" s="30" t="s">
        <v>6049</v>
      </c>
      <c r="F1085" s="28" t="s">
        <v>6050</v>
      </c>
      <c r="I1085" s="32"/>
      <c r="J1085" s="32"/>
      <c r="K1085" s="33" t="s">
        <v>6046</v>
      </c>
      <c r="L1085" s="33" t="s">
        <v>6051</v>
      </c>
      <c r="N1085" s="33" t="s">
        <v>6046</v>
      </c>
      <c r="O1085" s="35" t="s">
        <v>6052</v>
      </c>
    </row>
    <row r="1086">
      <c r="A1086" s="38"/>
      <c r="B1086" s="28" t="s">
        <v>6053</v>
      </c>
      <c r="C1086" s="28" t="s">
        <v>5547</v>
      </c>
      <c r="D1086" s="29" t="s">
        <v>6054</v>
      </c>
      <c r="E1086" s="30" t="s">
        <v>6055</v>
      </c>
      <c r="F1086" s="28" t="s">
        <v>6056</v>
      </c>
      <c r="I1086" s="32"/>
      <c r="J1086" s="32"/>
      <c r="K1086" s="33" t="s">
        <v>6053</v>
      </c>
      <c r="L1086" s="33" t="s">
        <v>6057</v>
      </c>
      <c r="N1086" s="33" t="s">
        <v>6053</v>
      </c>
      <c r="O1086" s="35" t="s">
        <v>5546</v>
      </c>
    </row>
    <row r="1087">
      <c r="A1087" s="38"/>
      <c r="B1087" s="28" t="s">
        <v>6058</v>
      </c>
      <c r="C1087" s="28" t="s">
        <v>5554</v>
      </c>
      <c r="D1087" s="29" t="s">
        <v>6059</v>
      </c>
      <c r="E1087" s="30" t="s">
        <v>6060</v>
      </c>
      <c r="F1087" s="28" t="s">
        <v>6061</v>
      </c>
      <c r="I1087" s="32"/>
      <c r="J1087" s="32"/>
      <c r="K1087" s="33" t="s">
        <v>6058</v>
      </c>
      <c r="L1087" s="33" t="s">
        <v>6062</v>
      </c>
      <c r="N1087" s="33" t="s">
        <v>6058</v>
      </c>
      <c r="O1087" s="35" t="s">
        <v>6063</v>
      </c>
    </row>
    <row r="1088">
      <c r="A1088" s="38"/>
      <c r="B1088" s="28" t="s">
        <v>6064</v>
      </c>
      <c r="C1088" s="28" t="s">
        <v>6065</v>
      </c>
      <c r="D1088" s="29" t="s">
        <v>6066</v>
      </c>
      <c r="E1088" s="30"/>
      <c r="F1088" s="28" t="s">
        <v>6067</v>
      </c>
      <c r="I1088" s="32"/>
      <c r="J1088" s="32"/>
      <c r="K1088" s="33" t="s">
        <v>6064</v>
      </c>
      <c r="L1088" s="33" t="s">
        <v>6068</v>
      </c>
      <c r="N1088" s="33" t="s">
        <v>6064</v>
      </c>
      <c r="O1088" s="35"/>
    </row>
    <row r="1089">
      <c r="A1089" s="38"/>
      <c r="B1089" s="28" t="s">
        <v>6069</v>
      </c>
      <c r="C1089" s="28" t="s">
        <v>6070</v>
      </c>
      <c r="D1089" s="29" t="s">
        <v>6071</v>
      </c>
      <c r="E1089" s="30"/>
      <c r="F1089" s="28" t="s">
        <v>6072</v>
      </c>
      <c r="I1089" s="32"/>
      <c r="J1089" s="32"/>
      <c r="K1089" s="33" t="s">
        <v>6069</v>
      </c>
      <c r="L1089" s="33" t="s">
        <v>6073</v>
      </c>
      <c r="N1089" s="33" t="s">
        <v>6069</v>
      </c>
      <c r="O1089" s="35" t="s">
        <v>6074</v>
      </c>
    </row>
    <row r="1090">
      <c r="A1090" s="38"/>
      <c r="B1090" s="28" t="s">
        <v>6075</v>
      </c>
      <c r="C1090" s="28" t="s">
        <v>5574</v>
      </c>
      <c r="D1090" s="29" t="s">
        <v>6076</v>
      </c>
      <c r="E1090" s="30" t="s">
        <v>6077</v>
      </c>
      <c r="F1090" s="28" t="s">
        <v>6078</v>
      </c>
      <c r="I1090" s="32"/>
      <c r="J1090" s="32"/>
      <c r="K1090" s="33" t="s">
        <v>6075</v>
      </c>
      <c r="L1090" s="33" t="s">
        <v>6079</v>
      </c>
      <c r="N1090" s="33" t="s">
        <v>6075</v>
      </c>
      <c r="O1090" s="35"/>
    </row>
    <row r="1091">
      <c r="A1091" s="38"/>
      <c r="B1091" s="28" t="s">
        <v>6080</v>
      </c>
      <c r="C1091" s="28" t="s">
        <v>5586</v>
      </c>
      <c r="D1091" s="29" t="s">
        <v>6081</v>
      </c>
      <c r="E1091" s="30" t="s">
        <v>6082</v>
      </c>
      <c r="F1091" s="28" t="s">
        <v>6083</v>
      </c>
      <c r="I1091" s="32"/>
      <c r="J1091" s="32"/>
      <c r="K1091" s="33" t="s">
        <v>6080</v>
      </c>
      <c r="L1091" s="33" t="s">
        <v>6084</v>
      </c>
      <c r="N1091" s="33" t="s">
        <v>6080</v>
      </c>
      <c r="O1091" s="35" t="s">
        <v>5585</v>
      </c>
    </row>
    <row r="1092">
      <c r="A1092" s="38"/>
      <c r="B1092" s="28" t="s">
        <v>6085</v>
      </c>
      <c r="C1092" s="28" t="s">
        <v>5596</v>
      </c>
      <c r="D1092" s="29" t="s">
        <v>6086</v>
      </c>
      <c r="E1092" s="30"/>
      <c r="F1092" s="28" t="s">
        <v>6087</v>
      </c>
      <c r="I1092" s="32"/>
      <c r="J1092" s="32"/>
      <c r="K1092" s="33" t="s">
        <v>6085</v>
      </c>
      <c r="L1092" s="33" t="s">
        <v>6088</v>
      </c>
      <c r="N1092" s="33" t="s">
        <v>6085</v>
      </c>
      <c r="O1092" s="35" t="s">
        <v>5595</v>
      </c>
    </row>
    <row r="1093">
      <c r="A1093" s="38"/>
      <c r="B1093" s="28" t="s">
        <v>6089</v>
      </c>
      <c r="C1093" s="28" t="s">
        <v>6090</v>
      </c>
      <c r="D1093" s="29" t="s">
        <v>6091</v>
      </c>
      <c r="E1093" s="30" t="s">
        <v>6092</v>
      </c>
      <c r="F1093" s="28" t="s">
        <v>6093</v>
      </c>
      <c r="I1093" s="32"/>
      <c r="J1093" s="32"/>
      <c r="K1093" s="33" t="s">
        <v>6089</v>
      </c>
      <c r="L1093" s="33" t="s">
        <v>6094</v>
      </c>
      <c r="N1093" s="33" t="s">
        <v>6089</v>
      </c>
      <c r="O1093" s="35"/>
    </row>
    <row r="1094">
      <c r="A1094" s="38"/>
      <c r="B1094" s="28" t="s">
        <v>6095</v>
      </c>
      <c r="C1094" s="28" t="s">
        <v>6096</v>
      </c>
      <c r="D1094" s="29" t="s">
        <v>6097</v>
      </c>
      <c r="E1094" s="30"/>
      <c r="F1094" s="28" t="s">
        <v>6098</v>
      </c>
      <c r="I1094" s="32"/>
      <c r="J1094" s="32"/>
      <c r="K1094" s="33" t="s">
        <v>6095</v>
      </c>
      <c r="L1094" s="33" t="s">
        <v>6099</v>
      </c>
      <c r="N1094" s="33" t="s">
        <v>6095</v>
      </c>
      <c r="O1094" s="35" t="s">
        <v>6100</v>
      </c>
    </row>
    <row r="1095">
      <c r="A1095" s="38"/>
      <c r="B1095" s="28" t="s">
        <v>6101</v>
      </c>
      <c r="C1095" s="28" t="s">
        <v>6102</v>
      </c>
      <c r="D1095" s="29" t="s">
        <v>6103</v>
      </c>
      <c r="E1095" s="30"/>
      <c r="F1095" s="28" t="s">
        <v>6104</v>
      </c>
      <c r="I1095" s="32"/>
      <c r="J1095" s="32"/>
      <c r="K1095" s="33" t="s">
        <v>6101</v>
      </c>
      <c r="L1095" s="33" t="s">
        <v>6105</v>
      </c>
      <c r="N1095" s="33" t="s">
        <v>6101</v>
      </c>
      <c r="O1095" s="47" t="s">
        <v>6106</v>
      </c>
    </row>
    <row r="1096">
      <c r="A1096" s="38"/>
      <c r="B1096" s="28" t="s">
        <v>6107</v>
      </c>
      <c r="C1096" s="28" t="s">
        <v>6108</v>
      </c>
      <c r="D1096" s="29" t="s">
        <v>6109</v>
      </c>
      <c r="E1096" s="30" t="s">
        <v>6110</v>
      </c>
      <c r="F1096" s="28" t="s">
        <v>6111</v>
      </c>
      <c r="I1096" s="32"/>
      <c r="J1096" s="32"/>
      <c r="K1096" s="33" t="s">
        <v>6107</v>
      </c>
      <c r="L1096" s="33" t="s">
        <v>6112</v>
      </c>
      <c r="N1096" s="33" t="s">
        <v>6107</v>
      </c>
      <c r="O1096" s="35" t="s">
        <v>6113</v>
      </c>
    </row>
    <row r="1097">
      <c r="A1097" s="38"/>
      <c r="B1097" s="28" t="s">
        <v>6114</v>
      </c>
      <c r="C1097" s="28" t="s">
        <v>6115</v>
      </c>
      <c r="D1097" s="29" t="s">
        <v>6116</v>
      </c>
      <c r="E1097" s="30"/>
      <c r="F1097" s="28" t="s">
        <v>6117</v>
      </c>
      <c r="I1097" s="32"/>
      <c r="J1097" s="32"/>
      <c r="K1097" s="33" t="s">
        <v>6114</v>
      </c>
      <c r="L1097" s="33" t="s">
        <v>6118</v>
      </c>
      <c r="N1097" s="33" t="s">
        <v>6114</v>
      </c>
      <c r="O1097" s="35" t="s">
        <v>6119</v>
      </c>
    </row>
    <row r="1098">
      <c r="A1098" s="38"/>
      <c r="B1098" s="28" t="s">
        <v>6120</v>
      </c>
      <c r="C1098" s="28" t="s">
        <v>6121</v>
      </c>
      <c r="D1098" s="29" t="s">
        <v>6122</v>
      </c>
      <c r="E1098" s="30" t="s">
        <v>6123</v>
      </c>
      <c r="F1098" s="28" t="s">
        <v>6124</v>
      </c>
      <c r="I1098" s="32"/>
      <c r="J1098" s="32"/>
      <c r="K1098" s="33" t="s">
        <v>6120</v>
      </c>
      <c r="L1098" s="33" t="s">
        <v>6125</v>
      </c>
      <c r="N1098" s="33" t="s">
        <v>6120</v>
      </c>
      <c r="O1098" s="35" t="s">
        <v>6126</v>
      </c>
    </row>
    <row r="1099">
      <c r="A1099" s="38"/>
      <c r="B1099" s="28" t="s">
        <v>6127</v>
      </c>
      <c r="C1099" s="28" t="s">
        <v>6128</v>
      </c>
      <c r="D1099" s="29" t="s">
        <v>6129</v>
      </c>
      <c r="E1099" s="30"/>
      <c r="F1099" s="28" t="s">
        <v>6130</v>
      </c>
      <c r="I1099" s="32"/>
      <c r="J1099" s="32"/>
      <c r="K1099" s="33" t="s">
        <v>6127</v>
      </c>
      <c r="L1099" s="33" t="s">
        <v>6131</v>
      </c>
      <c r="N1099" s="33" t="s">
        <v>6127</v>
      </c>
      <c r="O1099" s="35" t="s">
        <v>6132</v>
      </c>
    </row>
    <row r="1100">
      <c r="A1100" s="38"/>
      <c r="B1100" s="28" t="s">
        <v>6133</v>
      </c>
      <c r="C1100" s="28" t="s">
        <v>5623</v>
      </c>
      <c r="D1100" s="29" t="s">
        <v>6134</v>
      </c>
      <c r="E1100" s="30"/>
      <c r="F1100" s="28" t="s">
        <v>6135</v>
      </c>
      <c r="I1100" s="32"/>
      <c r="J1100" s="32"/>
      <c r="K1100" s="33" t="s">
        <v>6133</v>
      </c>
      <c r="L1100" s="33" t="s">
        <v>6136</v>
      </c>
      <c r="N1100" s="33" t="s">
        <v>6133</v>
      </c>
      <c r="O1100" s="35" t="s">
        <v>5622</v>
      </c>
    </row>
    <row r="1101">
      <c r="A1101" s="38"/>
      <c r="B1101" s="28" t="s">
        <v>6137</v>
      </c>
      <c r="C1101" s="28" t="s">
        <v>6138</v>
      </c>
      <c r="D1101" s="29" t="s">
        <v>6139</v>
      </c>
      <c r="E1101" s="30"/>
      <c r="F1101" s="28" t="s">
        <v>6140</v>
      </c>
      <c r="I1101" s="32"/>
      <c r="J1101" s="32"/>
      <c r="K1101" s="33" t="s">
        <v>6137</v>
      </c>
      <c r="L1101" s="33" t="s">
        <v>6141</v>
      </c>
      <c r="N1101" s="33" t="s">
        <v>6137</v>
      </c>
      <c r="O1101" s="35" t="s">
        <v>6142</v>
      </c>
    </row>
    <row r="1102">
      <c r="A1102" s="38"/>
      <c r="B1102" s="28" t="s">
        <v>6143</v>
      </c>
      <c r="C1102" s="28" t="s">
        <v>5632</v>
      </c>
      <c r="D1102" s="29" t="s">
        <v>6144</v>
      </c>
      <c r="E1102" s="30" t="s">
        <v>6145</v>
      </c>
      <c r="F1102" s="28" t="s">
        <v>6146</v>
      </c>
      <c r="I1102" s="32"/>
      <c r="J1102" s="32"/>
      <c r="K1102" s="33" t="s">
        <v>6143</v>
      </c>
      <c r="L1102" s="33" t="s">
        <v>6147</v>
      </c>
      <c r="N1102" s="33" t="s">
        <v>6143</v>
      </c>
      <c r="O1102" s="35" t="s">
        <v>5631</v>
      </c>
    </row>
    <row r="1103">
      <c r="A1103" s="38"/>
      <c r="B1103" s="28" t="s">
        <v>6148</v>
      </c>
      <c r="C1103" s="28" t="s">
        <v>5638</v>
      </c>
      <c r="D1103" s="29" t="s">
        <v>6149</v>
      </c>
      <c r="E1103" s="30" t="s">
        <v>6150</v>
      </c>
      <c r="F1103" s="28" t="s">
        <v>6151</v>
      </c>
      <c r="I1103" s="32"/>
      <c r="J1103" s="32"/>
      <c r="K1103" s="33" t="s">
        <v>6148</v>
      </c>
      <c r="L1103" s="33" t="s">
        <v>6152</v>
      </c>
      <c r="N1103" s="33" t="s">
        <v>6148</v>
      </c>
      <c r="O1103" s="35" t="s">
        <v>5637</v>
      </c>
    </row>
    <row r="1104">
      <c r="A1104" s="38"/>
      <c r="B1104" s="28" t="s">
        <v>6153</v>
      </c>
      <c r="C1104" s="28" t="s">
        <v>5644</v>
      </c>
      <c r="D1104" s="29" t="s">
        <v>6154</v>
      </c>
      <c r="E1104" s="30" t="s">
        <v>6155</v>
      </c>
      <c r="F1104" s="28" t="s">
        <v>6156</v>
      </c>
      <c r="I1104" s="32"/>
      <c r="J1104" s="32"/>
      <c r="K1104" s="33" t="s">
        <v>6153</v>
      </c>
      <c r="L1104" s="33" t="s">
        <v>6157</v>
      </c>
      <c r="N1104" s="33" t="s">
        <v>6153</v>
      </c>
      <c r="O1104" s="35"/>
    </row>
    <row r="1105">
      <c r="A1105" s="38"/>
      <c r="B1105" s="28" t="s">
        <v>6158</v>
      </c>
      <c r="C1105" s="28" t="s">
        <v>6159</v>
      </c>
      <c r="D1105" s="29" t="s">
        <v>6160</v>
      </c>
      <c r="E1105" s="30" t="s">
        <v>6161</v>
      </c>
      <c r="F1105" s="28" t="s">
        <v>6162</v>
      </c>
      <c r="I1105" s="32"/>
      <c r="J1105" s="32"/>
      <c r="K1105" s="33" t="s">
        <v>6158</v>
      </c>
      <c r="L1105" s="33" t="s">
        <v>6163</v>
      </c>
      <c r="N1105" s="33" t="s">
        <v>6158</v>
      </c>
      <c r="O1105" s="35" t="s">
        <v>5648</v>
      </c>
    </row>
    <row r="1106">
      <c r="A1106" s="38"/>
      <c r="B1106" s="28" t="s">
        <v>6164</v>
      </c>
      <c r="C1106" s="28" t="s">
        <v>5659</v>
      </c>
      <c r="D1106" s="29" t="s">
        <v>6165</v>
      </c>
      <c r="E1106" s="30"/>
      <c r="F1106" s="28" t="s">
        <v>6166</v>
      </c>
      <c r="I1106" s="32"/>
      <c r="J1106" s="32"/>
      <c r="K1106" s="33" t="s">
        <v>6164</v>
      </c>
      <c r="L1106" s="33" t="s">
        <v>6167</v>
      </c>
      <c r="N1106" s="33" t="s">
        <v>6164</v>
      </c>
      <c r="O1106" s="35" t="s">
        <v>5658</v>
      </c>
    </row>
    <row r="1107">
      <c r="A1107" s="38"/>
      <c r="B1107" s="28" t="s">
        <v>6168</v>
      </c>
      <c r="C1107" s="28" t="s">
        <v>6169</v>
      </c>
      <c r="D1107" s="29" t="s">
        <v>6170</v>
      </c>
      <c r="E1107" s="54" t="s">
        <v>6171</v>
      </c>
      <c r="F1107" s="28" t="s">
        <v>6172</v>
      </c>
      <c r="I1107" s="32"/>
      <c r="J1107" s="32"/>
      <c r="K1107" s="33" t="s">
        <v>6168</v>
      </c>
      <c r="L1107" s="33" t="s">
        <v>6173</v>
      </c>
      <c r="N1107" s="33" t="s">
        <v>6168</v>
      </c>
      <c r="O1107" s="35"/>
    </row>
    <row r="1108">
      <c r="A1108" s="38"/>
      <c r="B1108" s="28" t="s">
        <v>6174</v>
      </c>
      <c r="C1108" s="28" t="s">
        <v>5664</v>
      </c>
      <c r="D1108" s="29" t="s">
        <v>6175</v>
      </c>
      <c r="E1108" s="30"/>
      <c r="F1108" s="28" t="s">
        <v>6176</v>
      </c>
      <c r="I1108" s="32"/>
      <c r="J1108" s="32"/>
      <c r="K1108" s="33" t="s">
        <v>6174</v>
      </c>
      <c r="L1108" s="33" t="s">
        <v>6177</v>
      </c>
      <c r="N1108" s="33" t="s">
        <v>6174</v>
      </c>
      <c r="O1108" s="35"/>
    </row>
    <row r="1109">
      <c r="A1109" s="38"/>
      <c r="B1109" s="28" t="s">
        <v>6178</v>
      </c>
      <c r="C1109" s="28" t="s">
        <v>5668</v>
      </c>
      <c r="D1109" s="29" t="s">
        <v>6179</v>
      </c>
      <c r="E1109" s="30" t="s">
        <v>6180</v>
      </c>
      <c r="F1109" s="28" t="s">
        <v>6181</v>
      </c>
      <c r="I1109" s="32"/>
      <c r="J1109" s="32"/>
      <c r="K1109" s="33" t="s">
        <v>6178</v>
      </c>
      <c r="L1109" s="33" t="s">
        <v>6182</v>
      </c>
      <c r="N1109" s="33" t="s">
        <v>6178</v>
      </c>
      <c r="O1109" s="35"/>
    </row>
    <row r="1110">
      <c r="A1110" s="38"/>
      <c r="B1110" s="28" t="s">
        <v>6183</v>
      </c>
      <c r="C1110" s="28" t="s">
        <v>6184</v>
      </c>
      <c r="D1110" s="29" t="s">
        <v>6185</v>
      </c>
      <c r="E1110" s="30" t="s">
        <v>6186</v>
      </c>
      <c r="F1110" s="28" t="s">
        <v>6187</v>
      </c>
      <c r="I1110" s="32"/>
      <c r="J1110" s="32"/>
      <c r="K1110" s="33" t="s">
        <v>6183</v>
      </c>
      <c r="L1110" s="33" t="s">
        <v>6188</v>
      </c>
      <c r="N1110" s="33" t="s">
        <v>6183</v>
      </c>
      <c r="O1110" s="35" t="s">
        <v>6189</v>
      </c>
    </row>
    <row r="1111">
      <c r="A1111" s="38"/>
      <c r="B1111" s="28" t="s">
        <v>6190</v>
      </c>
      <c r="C1111" s="28" t="s">
        <v>5694</v>
      </c>
      <c r="D1111" s="29" t="s">
        <v>6191</v>
      </c>
      <c r="E1111" s="30" t="s">
        <v>6192</v>
      </c>
      <c r="F1111" s="28" t="s">
        <v>6193</v>
      </c>
      <c r="I1111" s="32"/>
      <c r="J1111" s="32"/>
      <c r="K1111" s="33" t="s">
        <v>6190</v>
      </c>
      <c r="L1111" s="33" t="s">
        <v>6194</v>
      </c>
      <c r="N1111" s="33" t="s">
        <v>6190</v>
      </c>
      <c r="O1111" s="35"/>
    </row>
    <row r="1112">
      <c r="A1112" s="38"/>
      <c r="B1112" s="28" t="s">
        <v>6195</v>
      </c>
      <c r="C1112" s="28" t="s">
        <v>5699</v>
      </c>
      <c r="D1112" s="29" t="s">
        <v>6196</v>
      </c>
      <c r="E1112" s="30" t="s">
        <v>6197</v>
      </c>
      <c r="F1112" s="28" t="s">
        <v>6198</v>
      </c>
      <c r="I1112" s="32"/>
      <c r="J1112" s="32"/>
      <c r="K1112" s="33" t="s">
        <v>6195</v>
      </c>
      <c r="L1112" s="33" t="s">
        <v>6199</v>
      </c>
      <c r="N1112" s="33" t="s">
        <v>6195</v>
      </c>
      <c r="O1112" s="35"/>
    </row>
    <row r="1113">
      <c r="A1113" s="38"/>
      <c r="B1113" s="28" t="s">
        <v>6200</v>
      </c>
      <c r="C1113" s="28" t="s">
        <v>5705</v>
      </c>
      <c r="D1113" s="29" t="s">
        <v>6201</v>
      </c>
      <c r="E1113" s="30" t="s">
        <v>6202</v>
      </c>
      <c r="F1113" s="28" t="s">
        <v>6203</v>
      </c>
      <c r="I1113" s="32"/>
      <c r="J1113" s="32"/>
      <c r="K1113" s="33" t="s">
        <v>6200</v>
      </c>
      <c r="L1113" s="33" t="s">
        <v>6204</v>
      </c>
      <c r="N1113" s="33" t="s">
        <v>6200</v>
      </c>
      <c r="O1113" s="35" t="s">
        <v>5704</v>
      </c>
    </row>
    <row r="1114">
      <c r="A1114" s="38"/>
      <c r="B1114" s="28" t="s">
        <v>6205</v>
      </c>
      <c r="C1114" s="28" t="s">
        <v>5711</v>
      </c>
      <c r="D1114" s="29" t="s">
        <v>6206</v>
      </c>
      <c r="E1114" s="30" t="s">
        <v>6207</v>
      </c>
      <c r="F1114" s="28" t="s">
        <v>6208</v>
      </c>
      <c r="I1114" s="32"/>
      <c r="J1114" s="32"/>
      <c r="K1114" s="33" t="s">
        <v>6205</v>
      </c>
      <c r="L1114" s="33" t="s">
        <v>6209</v>
      </c>
      <c r="N1114" s="33" t="s">
        <v>6205</v>
      </c>
      <c r="O1114" s="35" t="s">
        <v>5710</v>
      </c>
    </row>
    <row r="1115">
      <c r="A1115" s="38"/>
      <c r="B1115" s="28" t="s">
        <v>6210</v>
      </c>
      <c r="C1115" s="28" t="s">
        <v>5727</v>
      </c>
      <c r="D1115" s="29" t="s">
        <v>6211</v>
      </c>
      <c r="E1115" s="30" t="s">
        <v>6212</v>
      </c>
      <c r="F1115" s="28" t="s">
        <v>6213</v>
      </c>
      <c r="I1115" s="32"/>
      <c r="J1115" s="32"/>
      <c r="K1115" s="33" t="s">
        <v>6210</v>
      </c>
      <c r="L1115" s="33" t="s">
        <v>6214</v>
      </c>
      <c r="N1115" s="33" t="s">
        <v>6210</v>
      </c>
      <c r="O1115" s="35" t="s">
        <v>5726</v>
      </c>
    </row>
    <row r="1116">
      <c r="A1116" s="38"/>
      <c r="B1116" s="28" t="s">
        <v>6215</v>
      </c>
      <c r="C1116" s="28" t="s">
        <v>5733</v>
      </c>
      <c r="D1116" s="29" t="s">
        <v>6216</v>
      </c>
      <c r="E1116" s="54" t="s">
        <v>6217</v>
      </c>
      <c r="F1116" s="28" t="s">
        <v>6218</v>
      </c>
      <c r="I1116" s="32"/>
      <c r="J1116" s="32"/>
      <c r="K1116" s="33" t="s">
        <v>6215</v>
      </c>
      <c r="L1116" s="33" t="s">
        <v>6219</v>
      </c>
      <c r="N1116" s="33" t="s">
        <v>6215</v>
      </c>
      <c r="O1116" s="35" t="s">
        <v>5732</v>
      </c>
    </row>
    <row r="1117">
      <c r="A1117" s="38"/>
      <c r="B1117" s="28" t="s">
        <v>6220</v>
      </c>
      <c r="C1117" s="28" t="s">
        <v>5738</v>
      </c>
      <c r="D1117" s="29" t="s">
        <v>6221</v>
      </c>
      <c r="E1117" s="30" t="s">
        <v>425</v>
      </c>
      <c r="F1117" s="28" t="s">
        <v>419</v>
      </c>
      <c r="I1117" s="32"/>
      <c r="J1117" s="32"/>
      <c r="K1117" s="33" t="s">
        <v>6220</v>
      </c>
      <c r="L1117" s="33" t="s">
        <v>6222</v>
      </c>
      <c r="N1117" s="33" t="s">
        <v>6220</v>
      </c>
      <c r="O1117" s="35" t="s">
        <v>5737</v>
      </c>
    </row>
    <row r="1118">
      <c r="A1118" s="38"/>
      <c r="B1118" s="28" t="s">
        <v>6223</v>
      </c>
      <c r="C1118" s="28" t="s">
        <v>6224</v>
      </c>
      <c r="D1118" s="29" t="s">
        <v>6225</v>
      </c>
      <c r="E1118" s="30" t="s">
        <v>6226</v>
      </c>
      <c r="F1118" s="28" t="s">
        <v>6227</v>
      </c>
      <c r="I1118" s="32"/>
      <c r="J1118" s="32"/>
      <c r="K1118" s="33" t="s">
        <v>6223</v>
      </c>
      <c r="L1118" s="33" t="s">
        <v>6228</v>
      </c>
      <c r="N1118" s="33" t="s">
        <v>6223</v>
      </c>
      <c r="O1118" s="35" t="s">
        <v>6229</v>
      </c>
    </row>
    <row r="1119">
      <c r="A1119" s="38"/>
      <c r="B1119" s="28" t="s">
        <v>6230</v>
      </c>
      <c r="C1119" s="28" t="s">
        <v>6231</v>
      </c>
      <c r="D1119" s="29" t="s">
        <v>6232</v>
      </c>
      <c r="E1119" s="30" t="s">
        <v>6233</v>
      </c>
      <c r="F1119" s="28" t="s">
        <v>6234</v>
      </c>
      <c r="I1119" s="32"/>
      <c r="J1119" s="32"/>
      <c r="K1119" s="33" t="s">
        <v>6230</v>
      </c>
      <c r="L1119" s="33" t="s">
        <v>6235</v>
      </c>
      <c r="N1119" s="33" t="s">
        <v>6230</v>
      </c>
      <c r="O1119" s="35"/>
    </row>
    <row r="1120">
      <c r="A1120" s="38"/>
      <c r="B1120" s="28" t="s">
        <v>6236</v>
      </c>
      <c r="C1120" s="28" t="s">
        <v>5742</v>
      </c>
      <c r="D1120" s="29" t="s">
        <v>6237</v>
      </c>
      <c r="E1120" s="30" t="s">
        <v>6238</v>
      </c>
      <c r="F1120" s="28" t="s">
        <v>6239</v>
      </c>
      <c r="I1120" s="32"/>
      <c r="J1120" s="32"/>
      <c r="K1120" s="33" t="s">
        <v>6236</v>
      </c>
      <c r="L1120" s="33" t="s">
        <v>6240</v>
      </c>
      <c r="N1120" s="33" t="s">
        <v>6236</v>
      </c>
      <c r="O1120" s="35"/>
    </row>
    <row r="1121">
      <c r="A1121" s="38"/>
      <c r="B1121" s="28" t="s">
        <v>6241</v>
      </c>
      <c r="C1121" s="28" t="s">
        <v>5747</v>
      </c>
      <c r="D1121" s="29" t="s">
        <v>6242</v>
      </c>
      <c r="E1121" s="30"/>
      <c r="F1121" s="28" t="s">
        <v>6243</v>
      </c>
      <c r="I1121" s="32"/>
      <c r="J1121" s="32"/>
      <c r="K1121" s="33" t="s">
        <v>6241</v>
      </c>
      <c r="L1121" s="33" t="s">
        <v>6244</v>
      </c>
      <c r="N1121" s="33" t="s">
        <v>6241</v>
      </c>
      <c r="O1121" s="35" t="s">
        <v>5746</v>
      </c>
    </row>
    <row r="1122">
      <c r="A1122" s="38"/>
      <c r="B1122" s="28" t="s">
        <v>6245</v>
      </c>
      <c r="C1122" s="28" t="s">
        <v>6246</v>
      </c>
      <c r="D1122" s="29" t="s">
        <v>6247</v>
      </c>
      <c r="E1122" s="30"/>
      <c r="F1122" s="28" t="s">
        <v>6248</v>
      </c>
      <c r="I1122" s="32"/>
      <c r="J1122" s="32"/>
      <c r="K1122" s="33" t="s">
        <v>6245</v>
      </c>
      <c r="L1122" s="33" t="s">
        <v>6249</v>
      </c>
      <c r="N1122" s="33" t="s">
        <v>6245</v>
      </c>
      <c r="O1122" s="35"/>
    </row>
    <row r="1123">
      <c r="A1123" s="38"/>
      <c r="B1123" s="28" t="s">
        <v>6250</v>
      </c>
      <c r="C1123" s="28" t="s">
        <v>5752</v>
      </c>
      <c r="D1123" s="29" t="s">
        <v>6251</v>
      </c>
      <c r="E1123" s="54" t="s">
        <v>6252</v>
      </c>
      <c r="F1123" s="28" t="s">
        <v>6253</v>
      </c>
      <c r="I1123" s="32"/>
      <c r="J1123" s="32"/>
      <c r="K1123" s="33" t="s">
        <v>6250</v>
      </c>
      <c r="L1123" s="33" t="s">
        <v>6254</v>
      </c>
      <c r="N1123" s="33" t="s">
        <v>6250</v>
      </c>
      <c r="O1123" s="35" t="s">
        <v>5751</v>
      </c>
    </row>
    <row r="1124">
      <c r="A1124" s="38"/>
      <c r="B1124" s="28" t="s">
        <v>6255</v>
      </c>
      <c r="C1124" s="28" t="s">
        <v>5757</v>
      </c>
      <c r="D1124" s="29" t="s">
        <v>6256</v>
      </c>
      <c r="E1124" s="30" t="s">
        <v>6257</v>
      </c>
      <c r="F1124" s="28" t="s">
        <v>6258</v>
      </c>
      <c r="I1124" s="32"/>
      <c r="J1124" s="32"/>
      <c r="K1124" s="33" t="s">
        <v>6255</v>
      </c>
      <c r="L1124" s="33" t="s">
        <v>6259</v>
      </c>
      <c r="N1124" s="33" t="s">
        <v>6255</v>
      </c>
      <c r="O1124" s="35" t="s">
        <v>5756</v>
      </c>
    </row>
    <row r="1125">
      <c r="A1125" s="38"/>
      <c r="B1125" s="28" t="s">
        <v>6260</v>
      </c>
      <c r="C1125" s="28" t="s">
        <v>6261</v>
      </c>
      <c r="D1125" s="29" t="s">
        <v>6262</v>
      </c>
      <c r="E1125" s="54" t="s">
        <v>6263</v>
      </c>
      <c r="F1125" s="28" t="s">
        <v>6264</v>
      </c>
      <c r="I1125" s="32"/>
      <c r="J1125" s="32"/>
      <c r="K1125" s="33" t="s">
        <v>6260</v>
      </c>
      <c r="L1125" s="33" t="s">
        <v>6265</v>
      </c>
      <c r="N1125" s="33" t="s">
        <v>6260</v>
      </c>
      <c r="O1125" s="35" t="s">
        <v>6266</v>
      </c>
    </row>
    <row r="1126">
      <c r="A1126" s="38"/>
      <c r="B1126" s="28" t="s">
        <v>6267</v>
      </c>
      <c r="C1126" s="28" t="s">
        <v>5775</v>
      </c>
      <c r="D1126" s="29" t="s">
        <v>6268</v>
      </c>
      <c r="E1126" s="30"/>
      <c r="F1126" s="28" t="s">
        <v>6269</v>
      </c>
      <c r="I1126" s="32"/>
      <c r="J1126" s="32"/>
      <c r="K1126" s="33" t="s">
        <v>6267</v>
      </c>
      <c r="L1126" s="33" t="s">
        <v>6270</v>
      </c>
      <c r="N1126" s="33" t="s">
        <v>6267</v>
      </c>
      <c r="O1126" s="35" t="s">
        <v>5774</v>
      </c>
    </row>
    <row r="1127">
      <c r="A1127" s="38"/>
      <c r="B1127" s="28" t="s">
        <v>6271</v>
      </c>
      <c r="C1127" s="28" t="s">
        <v>5781</v>
      </c>
      <c r="D1127" s="29" t="s">
        <v>6272</v>
      </c>
      <c r="E1127" s="30" t="s">
        <v>558</v>
      </c>
      <c r="F1127" s="28" t="s">
        <v>6273</v>
      </c>
      <c r="I1127" s="32"/>
      <c r="J1127" s="32"/>
      <c r="K1127" s="33" t="s">
        <v>6271</v>
      </c>
      <c r="L1127" s="33" t="s">
        <v>6274</v>
      </c>
      <c r="N1127" s="33" t="s">
        <v>6271</v>
      </c>
      <c r="O1127" s="35" t="s">
        <v>5780</v>
      </c>
    </row>
    <row r="1128">
      <c r="A1128" s="38"/>
      <c r="B1128" s="28" t="s">
        <v>6275</v>
      </c>
      <c r="C1128" s="28" t="s">
        <v>5786</v>
      </c>
      <c r="D1128" s="29" t="s">
        <v>6276</v>
      </c>
      <c r="E1128" s="30"/>
      <c r="F1128" s="28" t="s">
        <v>6277</v>
      </c>
      <c r="I1128" s="32"/>
      <c r="J1128" s="32"/>
      <c r="K1128" s="33" t="s">
        <v>6275</v>
      </c>
      <c r="L1128" s="33" t="s">
        <v>6278</v>
      </c>
      <c r="N1128" s="33" t="s">
        <v>6275</v>
      </c>
      <c r="O1128" s="35"/>
    </row>
    <row r="1129">
      <c r="A1129" s="38"/>
      <c r="B1129" s="28" t="s">
        <v>6279</v>
      </c>
      <c r="C1129" s="28" t="s">
        <v>6280</v>
      </c>
      <c r="D1129" s="29" t="s">
        <v>6281</v>
      </c>
      <c r="E1129" s="30"/>
      <c r="F1129" s="28" t="s">
        <v>6282</v>
      </c>
      <c r="I1129" s="32"/>
      <c r="J1129" s="32"/>
      <c r="K1129" s="33" t="s">
        <v>6279</v>
      </c>
      <c r="L1129" s="33" t="s">
        <v>6283</v>
      </c>
      <c r="N1129" s="33" t="s">
        <v>6279</v>
      </c>
      <c r="O1129" s="35" t="s">
        <v>6284</v>
      </c>
    </row>
    <row r="1130">
      <c r="A1130" s="38"/>
      <c r="B1130" s="28" t="s">
        <v>6285</v>
      </c>
      <c r="C1130" s="28" t="s">
        <v>5799</v>
      </c>
      <c r="D1130" s="29" t="s">
        <v>6286</v>
      </c>
      <c r="E1130" s="30" t="s">
        <v>6287</v>
      </c>
      <c r="F1130" s="28" t="s">
        <v>6288</v>
      </c>
      <c r="I1130" s="32"/>
      <c r="J1130" s="32"/>
      <c r="K1130" s="33" t="s">
        <v>6285</v>
      </c>
      <c r="L1130" s="33" t="s">
        <v>6289</v>
      </c>
      <c r="N1130" s="33" t="s">
        <v>6285</v>
      </c>
      <c r="O1130" s="35" t="s">
        <v>5798</v>
      </c>
    </row>
    <row r="1131">
      <c r="A1131" s="38"/>
      <c r="B1131" s="28" t="s">
        <v>6290</v>
      </c>
      <c r="C1131" s="28" t="s">
        <v>5810</v>
      </c>
      <c r="D1131" s="29" t="s">
        <v>6291</v>
      </c>
      <c r="E1131" s="30" t="s">
        <v>159</v>
      </c>
      <c r="F1131" s="28" t="s">
        <v>152</v>
      </c>
      <c r="I1131" s="32"/>
      <c r="J1131" s="32"/>
      <c r="K1131" s="33" t="s">
        <v>6290</v>
      </c>
      <c r="L1131" s="33" t="s">
        <v>6292</v>
      </c>
      <c r="N1131" s="33" t="s">
        <v>6290</v>
      </c>
      <c r="O1131" s="35" t="s">
        <v>5809</v>
      </c>
    </row>
    <row r="1132">
      <c r="A1132" s="38"/>
      <c r="B1132" s="28" t="s">
        <v>6293</v>
      </c>
      <c r="C1132" s="28" t="s">
        <v>5819</v>
      </c>
      <c r="D1132" s="29" t="s">
        <v>6294</v>
      </c>
      <c r="E1132" s="30"/>
      <c r="F1132" s="28" t="s">
        <v>6295</v>
      </c>
      <c r="I1132" s="32"/>
      <c r="J1132" s="32"/>
      <c r="K1132" s="33" t="s">
        <v>6293</v>
      </c>
      <c r="L1132" s="33" t="s">
        <v>6296</v>
      </c>
      <c r="N1132" s="33" t="s">
        <v>6293</v>
      </c>
      <c r="O1132" s="35" t="s">
        <v>5814</v>
      </c>
    </row>
    <row r="1133">
      <c r="A1133" s="38"/>
      <c r="B1133" s="28" t="s">
        <v>6297</v>
      </c>
      <c r="C1133" s="28" t="s">
        <v>6298</v>
      </c>
      <c r="D1133" s="29" t="s">
        <v>6299</v>
      </c>
      <c r="E1133" s="54" t="s">
        <v>6300</v>
      </c>
      <c r="F1133" s="28" t="s">
        <v>6301</v>
      </c>
      <c r="I1133" s="32"/>
      <c r="J1133" s="32"/>
      <c r="K1133" s="33" t="s">
        <v>6297</v>
      </c>
      <c r="L1133" s="33" t="s">
        <v>6302</v>
      </c>
      <c r="N1133" s="33" t="s">
        <v>6297</v>
      </c>
      <c r="O1133" s="35"/>
    </row>
    <row r="1134">
      <c r="A1134" s="38"/>
      <c r="B1134" s="28" t="s">
        <v>6303</v>
      </c>
      <c r="C1134" s="28" t="s">
        <v>5847</v>
      </c>
      <c r="D1134" s="29" t="s">
        <v>6304</v>
      </c>
      <c r="E1134" s="54" t="s">
        <v>6305</v>
      </c>
      <c r="F1134" s="28" t="s">
        <v>6306</v>
      </c>
      <c r="I1134" s="32"/>
      <c r="J1134" s="32"/>
      <c r="K1134" s="33" t="s">
        <v>6303</v>
      </c>
      <c r="L1134" s="33" t="s">
        <v>6307</v>
      </c>
      <c r="N1134" s="33" t="s">
        <v>6303</v>
      </c>
      <c r="O1134" s="35" t="s">
        <v>5846</v>
      </c>
    </row>
    <row r="1135">
      <c r="A1135" s="38"/>
      <c r="B1135" s="28" t="s">
        <v>6308</v>
      </c>
      <c r="C1135" s="28" t="s">
        <v>5852</v>
      </c>
      <c r="D1135" s="29" t="s">
        <v>6309</v>
      </c>
      <c r="E1135" s="30" t="s">
        <v>6310</v>
      </c>
      <c r="F1135" s="28" t="s">
        <v>6311</v>
      </c>
      <c r="I1135" s="32"/>
      <c r="J1135" s="32"/>
      <c r="K1135" s="33" t="s">
        <v>6308</v>
      </c>
      <c r="L1135" s="33" t="s">
        <v>6312</v>
      </c>
      <c r="N1135" s="33" t="s">
        <v>6308</v>
      </c>
      <c r="O1135" s="35" t="s">
        <v>5851</v>
      </c>
    </row>
    <row r="1136">
      <c r="A1136" s="38"/>
      <c r="B1136" s="28" t="s">
        <v>6313</v>
      </c>
      <c r="C1136" s="28" t="s">
        <v>5858</v>
      </c>
      <c r="D1136" s="29" t="s">
        <v>6314</v>
      </c>
      <c r="E1136" s="30"/>
      <c r="F1136" s="28" t="s">
        <v>6315</v>
      </c>
      <c r="I1136" s="32"/>
      <c r="J1136" s="32"/>
      <c r="K1136" s="33" t="s">
        <v>6313</v>
      </c>
      <c r="L1136" s="33" t="s">
        <v>6316</v>
      </c>
      <c r="N1136" s="33" t="s">
        <v>6313</v>
      </c>
      <c r="O1136" s="35" t="s">
        <v>5857</v>
      </c>
    </row>
    <row r="1137">
      <c r="A1137" s="38"/>
      <c r="B1137" s="28" t="s">
        <v>6317</v>
      </c>
      <c r="C1137" s="28" t="s">
        <v>5862</v>
      </c>
      <c r="D1137" s="29" t="s">
        <v>6318</v>
      </c>
      <c r="E1137" s="30"/>
      <c r="F1137" s="28" t="s">
        <v>6319</v>
      </c>
      <c r="I1137" s="32"/>
      <c r="J1137" s="32"/>
      <c r="K1137" s="33" t="s">
        <v>6317</v>
      </c>
      <c r="L1137" s="33" t="s">
        <v>6320</v>
      </c>
      <c r="N1137" s="33" t="s">
        <v>6317</v>
      </c>
      <c r="O1137" s="35"/>
    </row>
    <row r="1138">
      <c r="A1138" s="38"/>
      <c r="B1138" s="28" t="s">
        <v>6321</v>
      </c>
      <c r="C1138" s="28" t="s">
        <v>6322</v>
      </c>
      <c r="D1138" s="29" t="s">
        <v>6323</v>
      </c>
      <c r="E1138" s="30"/>
      <c r="F1138" s="28" t="s">
        <v>6324</v>
      </c>
      <c r="I1138" s="32"/>
      <c r="J1138" s="32"/>
      <c r="K1138" s="33" t="s">
        <v>6321</v>
      </c>
      <c r="L1138" s="33" t="s">
        <v>6325</v>
      </c>
      <c r="N1138" s="33" t="s">
        <v>6321</v>
      </c>
      <c r="O1138" s="35" t="s">
        <v>6326</v>
      </c>
    </row>
    <row r="1139">
      <c r="A1139" s="38"/>
      <c r="B1139" s="28" t="s">
        <v>6327</v>
      </c>
      <c r="C1139" s="28" t="s">
        <v>5877</v>
      </c>
      <c r="D1139" s="29" t="s">
        <v>6328</v>
      </c>
      <c r="E1139" s="30" t="s">
        <v>6329</v>
      </c>
      <c r="F1139" s="28" t="s">
        <v>6330</v>
      </c>
      <c r="I1139" s="32"/>
      <c r="J1139" s="32"/>
      <c r="K1139" s="33" t="s">
        <v>6327</v>
      </c>
      <c r="L1139" s="33" t="s">
        <v>6331</v>
      </c>
      <c r="N1139" s="33" t="s">
        <v>6327</v>
      </c>
      <c r="O1139" s="35"/>
    </row>
    <row r="1140">
      <c r="A1140" s="38"/>
      <c r="B1140" s="28" t="s">
        <v>6332</v>
      </c>
      <c r="C1140" s="28" t="s">
        <v>5882</v>
      </c>
      <c r="D1140" s="29" t="s">
        <v>6333</v>
      </c>
      <c r="E1140" s="30" t="s">
        <v>6334</v>
      </c>
      <c r="F1140" s="28" t="s">
        <v>6335</v>
      </c>
      <c r="I1140" s="32"/>
      <c r="J1140" s="32"/>
      <c r="K1140" s="33" t="s">
        <v>6332</v>
      </c>
      <c r="L1140" s="33" t="s">
        <v>6336</v>
      </c>
      <c r="N1140" s="33" t="s">
        <v>6332</v>
      </c>
      <c r="O1140" s="35" t="s">
        <v>5881</v>
      </c>
    </row>
    <row r="1141">
      <c r="A1141" s="38"/>
      <c r="B1141" s="28" t="s">
        <v>6337</v>
      </c>
      <c r="C1141" s="28" t="s">
        <v>6338</v>
      </c>
      <c r="D1141" s="29" t="s">
        <v>6339</v>
      </c>
      <c r="E1141" s="30" t="s">
        <v>6340</v>
      </c>
      <c r="F1141" s="28" t="s">
        <v>6341</v>
      </c>
      <c r="I1141" s="32"/>
      <c r="J1141" s="32"/>
      <c r="K1141" s="33" t="s">
        <v>6337</v>
      </c>
      <c r="L1141" s="33" t="s">
        <v>6342</v>
      </c>
      <c r="N1141" s="33" t="s">
        <v>6337</v>
      </c>
      <c r="O1141" s="35" t="s">
        <v>3573</v>
      </c>
    </row>
    <row r="1142">
      <c r="A1142" s="38"/>
      <c r="B1142" s="28" t="s">
        <v>6343</v>
      </c>
      <c r="C1142" s="28" t="s">
        <v>5894</v>
      </c>
      <c r="D1142" s="29" t="s">
        <v>6344</v>
      </c>
      <c r="E1142" s="30"/>
      <c r="F1142" s="28" t="s">
        <v>6345</v>
      </c>
      <c r="I1142" s="32"/>
      <c r="J1142" s="32"/>
      <c r="K1142" s="33" t="s">
        <v>6343</v>
      </c>
      <c r="L1142" s="33" t="s">
        <v>6346</v>
      </c>
      <c r="N1142" s="33" t="s">
        <v>6343</v>
      </c>
      <c r="O1142" s="35"/>
    </row>
    <row r="1143">
      <c r="A1143" s="38"/>
      <c r="B1143" s="28" t="s">
        <v>6347</v>
      </c>
      <c r="C1143" s="28" t="s">
        <v>5901</v>
      </c>
      <c r="D1143" s="29" t="s">
        <v>6348</v>
      </c>
      <c r="E1143" s="30"/>
      <c r="F1143" s="28" t="s">
        <v>6349</v>
      </c>
      <c r="I1143" s="32"/>
      <c r="J1143" s="32"/>
      <c r="K1143" s="33" t="s">
        <v>6347</v>
      </c>
      <c r="L1143" s="33" t="s">
        <v>6350</v>
      </c>
      <c r="N1143" s="33" t="s">
        <v>6347</v>
      </c>
      <c r="O1143" s="35" t="s">
        <v>5900</v>
      </c>
    </row>
    <row r="1144">
      <c r="A1144" s="38"/>
      <c r="B1144" s="28" t="s">
        <v>6351</v>
      </c>
      <c r="C1144" s="28" t="s">
        <v>5906</v>
      </c>
      <c r="D1144" s="29" t="s">
        <v>6352</v>
      </c>
      <c r="E1144" s="30" t="s">
        <v>6353</v>
      </c>
      <c r="F1144" s="28" t="s">
        <v>6354</v>
      </c>
      <c r="I1144" s="32"/>
      <c r="J1144" s="32"/>
      <c r="K1144" s="33" t="s">
        <v>6351</v>
      </c>
      <c r="L1144" s="33" t="s">
        <v>6355</v>
      </c>
      <c r="N1144" s="33" t="s">
        <v>6351</v>
      </c>
      <c r="O1144" s="35"/>
    </row>
    <row r="1145">
      <c r="A1145" s="38"/>
      <c r="B1145" s="28" t="s">
        <v>6356</v>
      </c>
      <c r="C1145" s="28" t="s">
        <v>5911</v>
      </c>
      <c r="D1145" s="29" t="s">
        <v>6357</v>
      </c>
      <c r="E1145" s="30" t="s">
        <v>6358</v>
      </c>
      <c r="F1145" s="28" t="s">
        <v>6359</v>
      </c>
      <c r="I1145" s="32"/>
      <c r="J1145" s="32"/>
      <c r="K1145" s="33" t="s">
        <v>6356</v>
      </c>
      <c r="L1145" s="33" t="s">
        <v>6360</v>
      </c>
      <c r="N1145" s="33" t="s">
        <v>6356</v>
      </c>
      <c r="O1145" s="35" t="s">
        <v>5910</v>
      </c>
    </row>
    <row r="1146">
      <c r="A1146" s="38"/>
      <c r="B1146" s="28" t="s">
        <v>6361</v>
      </c>
      <c r="C1146" s="28" t="s">
        <v>5917</v>
      </c>
      <c r="D1146" s="29" t="s">
        <v>6362</v>
      </c>
      <c r="E1146" s="30" t="s">
        <v>6363</v>
      </c>
      <c r="F1146" s="28" t="s">
        <v>6364</v>
      </c>
      <c r="I1146" s="32"/>
      <c r="J1146" s="32"/>
      <c r="K1146" s="33" t="s">
        <v>6361</v>
      </c>
      <c r="L1146" s="33" t="s">
        <v>6365</v>
      </c>
      <c r="N1146" s="33" t="s">
        <v>6361</v>
      </c>
      <c r="O1146" s="35" t="s">
        <v>5916</v>
      </c>
    </row>
    <row r="1147">
      <c r="A1147" s="38"/>
      <c r="B1147" s="28" t="s">
        <v>6366</v>
      </c>
      <c r="C1147" s="28" t="s">
        <v>5927</v>
      </c>
      <c r="D1147" s="29" t="s">
        <v>6367</v>
      </c>
      <c r="E1147" s="30" t="s">
        <v>6363</v>
      </c>
      <c r="F1147" s="28" t="s">
        <v>6368</v>
      </c>
      <c r="I1147" s="32"/>
      <c r="J1147" s="32"/>
      <c r="K1147" s="33" t="s">
        <v>6366</v>
      </c>
      <c r="L1147" s="33" t="s">
        <v>6369</v>
      </c>
      <c r="N1147" s="33" t="s">
        <v>6366</v>
      </c>
      <c r="O1147" s="35"/>
    </row>
    <row r="1148">
      <c r="A1148" s="38"/>
      <c r="B1148" s="28" t="s">
        <v>6370</v>
      </c>
      <c r="C1148" s="28" t="s">
        <v>5932</v>
      </c>
      <c r="D1148" s="29" t="s">
        <v>6371</v>
      </c>
      <c r="E1148" s="30" t="s">
        <v>6372</v>
      </c>
      <c r="F1148" s="28" t="s">
        <v>6373</v>
      </c>
      <c r="I1148" s="32"/>
      <c r="J1148" s="32"/>
      <c r="K1148" s="33" t="s">
        <v>6370</v>
      </c>
      <c r="L1148" s="33" t="s">
        <v>6374</v>
      </c>
      <c r="N1148" s="33" t="s">
        <v>6370</v>
      </c>
      <c r="O1148" s="35" t="s">
        <v>5931</v>
      </c>
    </row>
    <row r="1149">
      <c r="A1149" s="38"/>
      <c r="B1149" s="28" t="s">
        <v>6375</v>
      </c>
      <c r="C1149" s="28" t="s">
        <v>5938</v>
      </c>
      <c r="D1149" s="29" t="s">
        <v>6376</v>
      </c>
      <c r="E1149" s="30"/>
      <c r="F1149" s="28" t="s">
        <v>6377</v>
      </c>
      <c r="I1149" s="32"/>
      <c r="J1149" s="32"/>
      <c r="K1149" s="33" t="s">
        <v>6375</v>
      </c>
      <c r="L1149" s="33" t="s">
        <v>6378</v>
      </c>
      <c r="N1149" s="33" t="s">
        <v>6375</v>
      </c>
      <c r="O1149" s="35" t="s">
        <v>5937</v>
      </c>
    </row>
    <row r="1150">
      <c r="A1150" s="38"/>
      <c r="B1150" s="28" t="s">
        <v>6379</v>
      </c>
      <c r="C1150" s="28" t="s">
        <v>5943</v>
      </c>
      <c r="D1150" s="29" t="s">
        <v>6380</v>
      </c>
      <c r="E1150" s="30"/>
      <c r="F1150" s="28" t="s">
        <v>6381</v>
      </c>
      <c r="I1150" s="32"/>
      <c r="J1150" s="32"/>
      <c r="K1150" s="33" t="s">
        <v>6379</v>
      </c>
      <c r="L1150" s="33" t="s">
        <v>6382</v>
      </c>
      <c r="N1150" s="33" t="s">
        <v>6379</v>
      </c>
      <c r="O1150" s="35" t="s">
        <v>5942</v>
      </c>
    </row>
    <row r="1151">
      <c r="A1151" s="38"/>
      <c r="B1151" s="28" t="s">
        <v>6383</v>
      </c>
      <c r="C1151" s="28" t="s">
        <v>5958</v>
      </c>
      <c r="D1151" s="29" t="s">
        <v>6384</v>
      </c>
      <c r="E1151" s="30" t="s">
        <v>6385</v>
      </c>
      <c r="F1151" s="28" t="s">
        <v>6386</v>
      </c>
      <c r="I1151" s="32"/>
      <c r="J1151" s="32"/>
      <c r="K1151" s="33" t="s">
        <v>6383</v>
      </c>
      <c r="L1151" s="33" t="s">
        <v>6387</v>
      </c>
      <c r="N1151" s="33" t="s">
        <v>6383</v>
      </c>
      <c r="O1151" s="35" t="s">
        <v>5957</v>
      </c>
    </row>
    <row r="1152">
      <c r="A1152" s="38"/>
      <c r="B1152" s="28" t="s">
        <v>6388</v>
      </c>
      <c r="C1152" s="28" t="s">
        <v>5962</v>
      </c>
      <c r="D1152" s="29" t="s">
        <v>6389</v>
      </c>
      <c r="E1152" s="30" t="s">
        <v>6390</v>
      </c>
      <c r="F1152" s="28" t="s">
        <v>6391</v>
      </c>
      <c r="I1152" s="32"/>
      <c r="J1152" s="32"/>
      <c r="K1152" s="33" t="s">
        <v>6388</v>
      </c>
      <c r="L1152" s="33" t="s">
        <v>6392</v>
      </c>
      <c r="N1152" s="33" t="s">
        <v>6388</v>
      </c>
      <c r="O1152" s="35"/>
    </row>
    <row r="1153">
      <c r="A1153" s="38"/>
      <c r="B1153" s="28" t="s">
        <v>6393</v>
      </c>
      <c r="C1153" s="28" t="s">
        <v>5968</v>
      </c>
      <c r="D1153" s="29" t="s">
        <v>6394</v>
      </c>
      <c r="E1153" s="30" t="s">
        <v>6395</v>
      </c>
      <c r="F1153" s="28" t="s">
        <v>6396</v>
      </c>
      <c r="I1153" s="32"/>
      <c r="J1153" s="32"/>
      <c r="K1153" s="33" t="s">
        <v>6393</v>
      </c>
      <c r="L1153" s="33" t="s">
        <v>6397</v>
      </c>
      <c r="N1153" s="33" t="s">
        <v>6393</v>
      </c>
      <c r="O1153" s="35" t="s">
        <v>5967</v>
      </c>
    </row>
    <row r="1154">
      <c r="A1154" s="38"/>
      <c r="B1154" s="28" t="s">
        <v>6398</v>
      </c>
      <c r="C1154" s="28" t="s">
        <v>5980</v>
      </c>
      <c r="D1154" s="29" t="s">
        <v>6399</v>
      </c>
      <c r="E1154" s="30" t="s">
        <v>6395</v>
      </c>
      <c r="F1154" s="28" t="s">
        <v>6400</v>
      </c>
      <c r="I1154" s="32"/>
      <c r="J1154" s="32"/>
      <c r="K1154" s="33" t="s">
        <v>6398</v>
      </c>
      <c r="L1154" s="33" t="s">
        <v>6401</v>
      </c>
      <c r="N1154" s="33" t="s">
        <v>6398</v>
      </c>
      <c r="O1154" s="35" t="s">
        <v>5979</v>
      </c>
    </row>
    <row r="1155">
      <c r="A1155" s="38"/>
      <c r="B1155" s="28" t="s">
        <v>6402</v>
      </c>
      <c r="C1155" s="28" t="s">
        <v>6403</v>
      </c>
      <c r="D1155" s="29" t="s">
        <v>6404</v>
      </c>
      <c r="E1155" s="30"/>
      <c r="F1155" s="28" t="s">
        <v>6405</v>
      </c>
      <c r="I1155" s="32"/>
      <c r="J1155" s="32"/>
      <c r="K1155" s="33" t="s">
        <v>6402</v>
      </c>
      <c r="L1155" s="33" t="s">
        <v>6406</v>
      </c>
      <c r="N1155" s="33" t="s">
        <v>6402</v>
      </c>
      <c r="O1155" s="35" t="s">
        <v>6407</v>
      </c>
    </row>
    <row r="1156">
      <c r="A1156" s="38"/>
      <c r="B1156" s="28" t="s">
        <v>6408</v>
      </c>
      <c r="C1156" s="28" t="s">
        <v>6008</v>
      </c>
      <c r="D1156" s="29" t="s">
        <v>6409</v>
      </c>
      <c r="E1156" s="30" t="s">
        <v>6410</v>
      </c>
      <c r="F1156" s="28" t="s">
        <v>6411</v>
      </c>
      <c r="I1156" s="32"/>
      <c r="J1156" s="32"/>
      <c r="K1156" s="33" t="s">
        <v>6408</v>
      </c>
      <c r="L1156" s="33" t="s">
        <v>6412</v>
      </c>
      <c r="N1156" s="33" t="s">
        <v>6408</v>
      </c>
      <c r="O1156" s="35" t="s">
        <v>6007</v>
      </c>
    </row>
    <row r="1157">
      <c r="A1157" s="38"/>
      <c r="B1157" s="28" t="s">
        <v>6413</v>
      </c>
      <c r="C1157" s="28" t="s">
        <v>6414</v>
      </c>
      <c r="D1157" s="29" t="s">
        <v>6415</v>
      </c>
      <c r="E1157" s="30" t="s">
        <v>6416</v>
      </c>
      <c r="F1157" s="28" t="s">
        <v>6417</v>
      </c>
      <c r="I1157" s="32"/>
      <c r="J1157" s="32"/>
      <c r="K1157" s="33" t="s">
        <v>6413</v>
      </c>
      <c r="L1157" s="33" t="s">
        <v>6418</v>
      </c>
      <c r="N1157" s="33" t="s">
        <v>6413</v>
      </c>
      <c r="O1157" s="35" t="s">
        <v>6419</v>
      </c>
    </row>
    <row r="1158">
      <c r="A1158" s="38"/>
      <c r="B1158" s="28" t="s">
        <v>6420</v>
      </c>
      <c r="C1158" s="28" t="s">
        <v>6019</v>
      </c>
      <c r="D1158" s="29" t="s">
        <v>6421</v>
      </c>
      <c r="E1158" s="30" t="s">
        <v>6422</v>
      </c>
      <c r="F1158" s="28" t="s">
        <v>6423</v>
      </c>
      <c r="I1158" s="32"/>
      <c r="J1158" s="32"/>
      <c r="K1158" s="33" t="s">
        <v>6420</v>
      </c>
      <c r="L1158" s="33" t="s">
        <v>6424</v>
      </c>
      <c r="N1158" s="33" t="s">
        <v>6420</v>
      </c>
      <c r="O1158" s="35" t="s">
        <v>6018</v>
      </c>
    </row>
    <row r="1159">
      <c r="A1159" s="38"/>
      <c r="B1159" s="28" t="s">
        <v>6425</v>
      </c>
      <c r="C1159" s="28" t="s">
        <v>6426</v>
      </c>
      <c r="D1159" s="29" t="s">
        <v>6427</v>
      </c>
      <c r="E1159" s="30" t="s">
        <v>6428</v>
      </c>
      <c r="F1159" s="28" t="s">
        <v>6429</v>
      </c>
      <c r="I1159" s="32"/>
      <c r="J1159" s="32"/>
      <c r="K1159" s="33" t="s">
        <v>6425</v>
      </c>
      <c r="L1159" s="33" t="s">
        <v>6430</v>
      </c>
      <c r="N1159" s="33" t="s">
        <v>6425</v>
      </c>
      <c r="O1159" s="35" t="s">
        <v>6018</v>
      </c>
    </row>
    <row r="1160">
      <c r="A1160" s="38"/>
      <c r="B1160" s="28" t="s">
        <v>6431</v>
      </c>
      <c r="C1160" s="28" t="s">
        <v>6028</v>
      </c>
      <c r="D1160" s="29" t="s">
        <v>6432</v>
      </c>
      <c r="E1160" s="30"/>
      <c r="F1160" s="28" t="s">
        <v>6433</v>
      </c>
      <c r="I1160" s="32"/>
      <c r="J1160" s="32"/>
      <c r="K1160" s="33" t="s">
        <v>6431</v>
      </c>
      <c r="L1160" s="33" t="s">
        <v>6434</v>
      </c>
      <c r="N1160" s="33" t="s">
        <v>6431</v>
      </c>
      <c r="O1160" s="35" t="s">
        <v>6027</v>
      </c>
    </row>
    <row r="1161">
      <c r="A1161" s="38"/>
      <c r="B1161" s="28" t="s">
        <v>6435</v>
      </c>
      <c r="C1161" s="28" t="s">
        <v>6050</v>
      </c>
      <c r="D1161" s="29" t="s">
        <v>6436</v>
      </c>
      <c r="E1161" s="30" t="s">
        <v>6437</v>
      </c>
      <c r="F1161" s="28" t="s">
        <v>6438</v>
      </c>
      <c r="I1161" s="32"/>
      <c r="J1161" s="32"/>
      <c r="K1161" s="33" t="s">
        <v>6435</v>
      </c>
      <c r="L1161" s="33" t="s">
        <v>6439</v>
      </c>
      <c r="N1161" s="33" t="s">
        <v>6435</v>
      </c>
      <c r="O1161" s="35" t="s">
        <v>6049</v>
      </c>
    </row>
    <row r="1162">
      <c r="A1162" s="38"/>
      <c r="B1162" s="28" t="s">
        <v>6440</v>
      </c>
      <c r="C1162" s="28" t="s">
        <v>6441</v>
      </c>
      <c r="D1162" s="29" t="s">
        <v>6442</v>
      </c>
      <c r="E1162" s="30"/>
      <c r="F1162" s="28" t="s">
        <v>6443</v>
      </c>
      <c r="I1162" s="32"/>
      <c r="J1162" s="32"/>
      <c r="K1162" s="33" t="s">
        <v>6440</v>
      </c>
      <c r="L1162" s="33" t="s">
        <v>6444</v>
      </c>
      <c r="N1162" s="33" t="s">
        <v>6440</v>
      </c>
      <c r="O1162" s="35" t="s">
        <v>6445</v>
      </c>
    </row>
    <row r="1163">
      <c r="A1163" s="38"/>
      <c r="B1163" s="28" t="s">
        <v>6446</v>
      </c>
      <c r="C1163" s="28" t="s">
        <v>6056</v>
      </c>
      <c r="D1163" s="29" t="s">
        <v>6447</v>
      </c>
      <c r="E1163" s="30" t="s">
        <v>6448</v>
      </c>
      <c r="F1163" s="28" t="s">
        <v>6449</v>
      </c>
      <c r="I1163" s="32"/>
      <c r="J1163" s="32"/>
      <c r="K1163" s="33" t="s">
        <v>6446</v>
      </c>
      <c r="L1163" s="33" t="s">
        <v>6450</v>
      </c>
      <c r="N1163" s="33" t="s">
        <v>6446</v>
      </c>
      <c r="O1163" s="35" t="s">
        <v>6055</v>
      </c>
    </row>
    <row r="1164">
      <c r="A1164" s="38"/>
      <c r="B1164" s="28" t="s">
        <v>6451</v>
      </c>
      <c r="C1164" s="28" t="s">
        <v>6452</v>
      </c>
      <c r="D1164" s="29" t="s">
        <v>6453</v>
      </c>
      <c r="E1164" s="30" t="s">
        <v>6454</v>
      </c>
      <c r="F1164" s="28" t="s">
        <v>6455</v>
      </c>
      <c r="I1164" s="32"/>
      <c r="J1164" s="32"/>
      <c r="K1164" s="33" t="s">
        <v>6451</v>
      </c>
      <c r="L1164" s="33" t="s">
        <v>6456</v>
      </c>
      <c r="N1164" s="33" t="s">
        <v>6451</v>
      </c>
      <c r="O1164" s="35" t="s">
        <v>6457</v>
      </c>
    </row>
    <row r="1165">
      <c r="A1165" s="38"/>
      <c r="B1165" s="28" t="s">
        <v>6458</v>
      </c>
      <c r="C1165" s="28" t="s">
        <v>6072</v>
      </c>
      <c r="D1165" s="29" t="s">
        <v>6459</v>
      </c>
      <c r="E1165" s="30" t="s">
        <v>6460</v>
      </c>
      <c r="F1165" s="28" t="s">
        <v>6461</v>
      </c>
      <c r="I1165" s="32"/>
      <c r="J1165" s="32"/>
      <c r="K1165" s="33" t="s">
        <v>6458</v>
      </c>
      <c r="L1165" s="33" t="s">
        <v>6462</v>
      </c>
      <c r="N1165" s="33" t="s">
        <v>6458</v>
      </c>
      <c r="O1165" s="35"/>
    </row>
    <row r="1166">
      <c r="A1166" s="38"/>
      <c r="B1166" s="28" t="s">
        <v>6463</v>
      </c>
      <c r="C1166" s="28" t="s">
        <v>6078</v>
      </c>
      <c r="D1166" s="29" t="s">
        <v>6464</v>
      </c>
      <c r="E1166" s="30" t="s">
        <v>6465</v>
      </c>
      <c r="F1166" s="28" t="s">
        <v>6466</v>
      </c>
      <c r="I1166" s="32"/>
      <c r="J1166" s="32"/>
      <c r="K1166" s="33" t="s">
        <v>6463</v>
      </c>
      <c r="L1166" s="33" t="s">
        <v>6467</v>
      </c>
      <c r="N1166" s="33" t="s">
        <v>6463</v>
      </c>
      <c r="O1166" s="35" t="s">
        <v>6077</v>
      </c>
    </row>
    <row r="1167">
      <c r="A1167" s="38"/>
      <c r="B1167" s="28" t="s">
        <v>6468</v>
      </c>
      <c r="C1167" s="28" t="s">
        <v>6469</v>
      </c>
      <c r="D1167" s="29" t="s">
        <v>6470</v>
      </c>
      <c r="E1167" s="30" t="s">
        <v>6471</v>
      </c>
      <c r="F1167" s="28" t="s">
        <v>6472</v>
      </c>
      <c r="I1167" s="32"/>
      <c r="J1167" s="32"/>
      <c r="K1167" s="33" t="s">
        <v>6468</v>
      </c>
      <c r="L1167" s="33" t="s">
        <v>6473</v>
      </c>
      <c r="N1167" s="33" t="s">
        <v>6468</v>
      </c>
      <c r="O1167" s="35"/>
    </row>
    <row r="1168">
      <c r="A1168" s="38"/>
      <c r="B1168" s="28" t="s">
        <v>6474</v>
      </c>
      <c r="C1168" s="28" t="s">
        <v>6093</v>
      </c>
      <c r="D1168" s="29" t="s">
        <v>6475</v>
      </c>
      <c r="E1168" s="30" t="s">
        <v>6476</v>
      </c>
      <c r="F1168" s="28" t="s">
        <v>6477</v>
      </c>
      <c r="I1168" s="32"/>
      <c r="J1168" s="32"/>
      <c r="K1168" s="33" t="s">
        <v>6474</v>
      </c>
      <c r="L1168" s="33" t="s">
        <v>6478</v>
      </c>
      <c r="N1168" s="33" t="s">
        <v>6474</v>
      </c>
      <c r="O1168" s="35" t="s">
        <v>6092</v>
      </c>
    </row>
    <row r="1169">
      <c r="A1169" s="38"/>
      <c r="B1169" s="28" t="s">
        <v>6479</v>
      </c>
      <c r="C1169" s="28" t="s">
        <v>6098</v>
      </c>
      <c r="D1169" s="29" t="s">
        <v>6480</v>
      </c>
      <c r="E1169" s="30" t="s">
        <v>6481</v>
      </c>
      <c r="F1169" s="28" t="s">
        <v>6482</v>
      </c>
      <c r="I1169" s="32"/>
      <c r="J1169" s="32"/>
      <c r="K1169" s="33" t="s">
        <v>6479</v>
      </c>
      <c r="L1169" s="33" t="s">
        <v>6483</v>
      </c>
      <c r="N1169" s="33" t="s">
        <v>6479</v>
      </c>
      <c r="O1169" s="35"/>
    </row>
    <row r="1170">
      <c r="A1170" s="38"/>
      <c r="B1170" s="28" t="s">
        <v>6484</v>
      </c>
      <c r="C1170" s="28" t="s">
        <v>6104</v>
      </c>
      <c r="D1170" s="29" t="s">
        <v>6485</v>
      </c>
      <c r="E1170" s="30" t="s">
        <v>6486</v>
      </c>
      <c r="F1170" s="28" t="s">
        <v>6487</v>
      </c>
      <c r="I1170" s="32"/>
      <c r="J1170" s="32"/>
      <c r="K1170" s="33" t="s">
        <v>6484</v>
      </c>
      <c r="L1170" s="33" t="s">
        <v>6488</v>
      </c>
      <c r="N1170" s="33" t="s">
        <v>6484</v>
      </c>
      <c r="O1170" s="35"/>
    </row>
    <row r="1171">
      <c r="A1171" s="38"/>
      <c r="B1171" s="28" t="s">
        <v>6489</v>
      </c>
      <c r="C1171" s="28" t="s">
        <v>6111</v>
      </c>
      <c r="D1171" s="29" t="s">
        <v>6490</v>
      </c>
      <c r="E1171" s="30"/>
      <c r="F1171" s="28" t="s">
        <v>6491</v>
      </c>
      <c r="I1171" s="32"/>
      <c r="J1171" s="32"/>
      <c r="K1171" s="33" t="s">
        <v>6489</v>
      </c>
      <c r="L1171" s="33" t="s">
        <v>6492</v>
      </c>
      <c r="N1171" s="33" t="s">
        <v>6489</v>
      </c>
      <c r="O1171" s="35" t="s">
        <v>6110</v>
      </c>
    </row>
    <row r="1172">
      <c r="A1172" s="38"/>
      <c r="B1172" s="28" t="s">
        <v>6493</v>
      </c>
      <c r="C1172" s="28" t="s">
        <v>6124</v>
      </c>
      <c r="D1172" s="29" t="s">
        <v>6494</v>
      </c>
      <c r="E1172" s="30" t="s">
        <v>6495</v>
      </c>
      <c r="F1172" s="28" t="s">
        <v>6496</v>
      </c>
      <c r="I1172" s="32"/>
      <c r="J1172" s="32"/>
      <c r="K1172" s="33" t="s">
        <v>6493</v>
      </c>
      <c r="L1172" s="33" t="s">
        <v>6497</v>
      </c>
      <c r="N1172" s="33" t="s">
        <v>6493</v>
      </c>
      <c r="O1172" s="35" t="s">
        <v>6123</v>
      </c>
    </row>
    <row r="1173">
      <c r="A1173" s="38"/>
      <c r="B1173" s="28" t="s">
        <v>6498</v>
      </c>
      <c r="C1173" s="28" t="s">
        <v>6130</v>
      </c>
      <c r="D1173" s="29" t="s">
        <v>6499</v>
      </c>
      <c r="E1173" s="30" t="s">
        <v>6500</v>
      </c>
      <c r="F1173" s="28" t="s">
        <v>6501</v>
      </c>
      <c r="I1173" s="32"/>
      <c r="J1173" s="32"/>
      <c r="K1173" s="33" t="s">
        <v>6498</v>
      </c>
      <c r="L1173" s="33" t="s">
        <v>6502</v>
      </c>
      <c r="N1173" s="33" t="s">
        <v>6498</v>
      </c>
      <c r="O1173" s="35"/>
    </row>
    <row r="1174">
      <c r="A1174" s="38"/>
      <c r="B1174" s="28" t="s">
        <v>6503</v>
      </c>
      <c r="C1174" s="28" t="s">
        <v>6140</v>
      </c>
      <c r="D1174" s="29" t="s">
        <v>6504</v>
      </c>
      <c r="E1174" s="30" t="s">
        <v>6505</v>
      </c>
      <c r="F1174" s="28" t="s">
        <v>6506</v>
      </c>
      <c r="I1174" s="32"/>
      <c r="J1174" s="32"/>
      <c r="K1174" s="33" t="s">
        <v>6503</v>
      </c>
      <c r="L1174" s="33" t="s">
        <v>6507</v>
      </c>
      <c r="N1174" s="33" t="s">
        <v>6503</v>
      </c>
      <c r="O1174" s="35"/>
    </row>
    <row r="1175">
      <c r="A1175" s="38"/>
      <c r="B1175" s="28" t="s">
        <v>6508</v>
      </c>
      <c r="C1175" s="28" t="s">
        <v>6146</v>
      </c>
      <c r="D1175" s="29" t="s">
        <v>6509</v>
      </c>
      <c r="E1175" s="30" t="s">
        <v>6510</v>
      </c>
      <c r="F1175" s="28" t="s">
        <v>6511</v>
      </c>
      <c r="I1175" s="32"/>
      <c r="J1175" s="32"/>
      <c r="K1175" s="33" t="s">
        <v>6508</v>
      </c>
      <c r="L1175" s="33" t="s">
        <v>6512</v>
      </c>
      <c r="N1175" s="33" t="s">
        <v>6508</v>
      </c>
      <c r="O1175" s="35" t="s">
        <v>6145</v>
      </c>
    </row>
    <row r="1176">
      <c r="A1176" s="38"/>
      <c r="B1176" s="28" t="s">
        <v>6513</v>
      </c>
      <c r="C1176" s="28" t="s">
        <v>6151</v>
      </c>
      <c r="D1176" s="29" t="s">
        <v>6514</v>
      </c>
      <c r="E1176" s="30" t="s">
        <v>6515</v>
      </c>
      <c r="F1176" s="28" t="s">
        <v>6516</v>
      </c>
      <c r="I1176" s="32"/>
      <c r="J1176" s="32"/>
      <c r="K1176" s="33" t="s">
        <v>6513</v>
      </c>
      <c r="L1176" s="33" t="s">
        <v>6517</v>
      </c>
      <c r="N1176" s="33" t="s">
        <v>6513</v>
      </c>
      <c r="O1176" s="35" t="s">
        <v>6150</v>
      </c>
    </row>
    <row r="1177">
      <c r="A1177" s="38"/>
      <c r="B1177" s="28" t="s">
        <v>6518</v>
      </c>
      <c r="C1177" s="28" t="s">
        <v>6519</v>
      </c>
      <c r="D1177" s="29" t="s">
        <v>6520</v>
      </c>
      <c r="E1177" s="30" t="s">
        <v>6521</v>
      </c>
      <c r="F1177" s="28" t="s">
        <v>6522</v>
      </c>
      <c r="I1177" s="32"/>
      <c r="J1177" s="32"/>
      <c r="K1177" s="33" t="s">
        <v>6518</v>
      </c>
      <c r="L1177" s="33" t="s">
        <v>6523</v>
      </c>
      <c r="N1177" s="33" t="s">
        <v>6518</v>
      </c>
      <c r="O1177" s="35" t="s">
        <v>6524</v>
      </c>
    </row>
    <row r="1178">
      <c r="A1178" s="38"/>
      <c r="B1178" s="28" t="s">
        <v>6525</v>
      </c>
      <c r="C1178" s="28" t="s">
        <v>6162</v>
      </c>
      <c r="D1178" s="29" t="s">
        <v>6526</v>
      </c>
      <c r="E1178" s="30" t="s">
        <v>6527</v>
      </c>
      <c r="F1178" s="28" t="s">
        <v>6528</v>
      </c>
      <c r="I1178" s="32"/>
      <c r="J1178" s="32"/>
      <c r="K1178" s="33" t="s">
        <v>6525</v>
      </c>
      <c r="L1178" s="33" t="s">
        <v>6529</v>
      </c>
      <c r="N1178" s="33" t="s">
        <v>6525</v>
      </c>
      <c r="O1178" s="35" t="s">
        <v>6161</v>
      </c>
    </row>
    <row r="1179">
      <c r="A1179" s="38"/>
      <c r="B1179" s="28" t="s">
        <v>6530</v>
      </c>
      <c r="C1179" s="28" t="s">
        <v>6166</v>
      </c>
      <c r="D1179" s="29" t="s">
        <v>6531</v>
      </c>
      <c r="E1179" s="30"/>
      <c r="F1179" s="28" t="s">
        <v>6532</v>
      </c>
      <c r="I1179" s="32"/>
      <c r="J1179" s="32"/>
      <c r="K1179" s="33" t="s">
        <v>6530</v>
      </c>
      <c r="L1179" s="33" t="s">
        <v>6533</v>
      </c>
      <c r="N1179" s="33" t="s">
        <v>6530</v>
      </c>
      <c r="O1179" s="47" t="s">
        <v>6534</v>
      </c>
    </row>
    <row r="1180">
      <c r="A1180" s="38"/>
      <c r="B1180" s="28" t="s">
        <v>6535</v>
      </c>
      <c r="C1180" s="28" t="s">
        <v>6172</v>
      </c>
      <c r="D1180" s="29" t="s">
        <v>6536</v>
      </c>
      <c r="E1180" s="30" t="s">
        <v>6537</v>
      </c>
      <c r="F1180" s="28" t="s">
        <v>6538</v>
      </c>
      <c r="I1180" s="32"/>
      <c r="J1180" s="32"/>
      <c r="K1180" s="33" t="s">
        <v>6535</v>
      </c>
      <c r="L1180" s="33" t="s">
        <v>6539</v>
      </c>
      <c r="N1180" s="33" t="s">
        <v>6535</v>
      </c>
      <c r="O1180" s="47" t="s">
        <v>6540</v>
      </c>
    </row>
    <row r="1181">
      <c r="A1181" s="38"/>
      <c r="B1181" s="28" t="s">
        <v>6541</v>
      </c>
      <c r="C1181" s="28" t="s">
        <v>6176</v>
      </c>
      <c r="D1181" s="29" t="s">
        <v>6542</v>
      </c>
      <c r="E1181" s="30" t="s">
        <v>6543</v>
      </c>
      <c r="F1181" s="28" t="s">
        <v>6544</v>
      </c>
      <c r="I1181" s="32"/>
      <c r="J1181" s="32"/>
      <c r="K1181" s="33" t="s">
        <v>6541</v>
      </c>
      <c r="L1181" s="33" t="s">
        <v>6545</v>
      </c>
      <c r="N1181" s="33" t="s">
        <v>6541</v>
      </c>
      <c r="O1181" s="35"/>
    </row>
    <row r="1182">
      <c r="A1182" s="38"/>
      <c r="B1182" s="28" t="s">
        <v>6546</v>
      </c>
      <c r="C1182" s="28" t="s">
        <v>6187</v>
      </c>
      <c r="D1182" s="29" t="s">
        <v>6547</v>
      </c>
      <c r="E1182" s="30" t="s">
        <v>6548</v>
      </c>
      <c r="F1182" s="28" t="s">
        <v>6549</v>
      </c>
      <c r="I1182" s="32"/>
      <c r="J1182" s="32"/>
      <c r="K1182" s="33" t="s">
        <v>6546</v>
      </c>
      <c r="L1182" s="33" t="s">
        <v>6550</v>
      </c>
      <c r="N1182" s="33" t="s">
        <v>6546</v>
      </c>
      <c r="O1182" s="35" t="s">
        <v>6186</v>
      </c>
    </row>
    <row r="1183">
      <c r="A1183" s="38"/>
      <c r="B1183" s="28" t="s">
        <v>6551</v>
      </c>
      <c r="C1183" s="28" t="s">
        <v>6193</v>
      </c>
      <c r="D1183" s="29" t="s">
        <v>6552</v>
      </c>
      <c r="E1183" s="30" t="s">
        <v>6553</v>
      </c>
      <c r="F1183" s="28" t="s">
        <v>6554</v>
      </c>
      <c r="I1183" s="32"/>
      <c r="J1183" s="32"/>
      <c r="K1183" s="33" t="s">
        <v>6551</v>
      </c>
      <c r="L1183" s="33" t="s">
        <v>6555</v>
      </c>
      <c r="N1183" s="33" t="s">
        <v>6551</v>
      </c>
      <c r="O1183" s="35" t="s">
        <v>6192</v>
      </c>
    </row>
    <row r="1184">
      <c r="A1184" s="38"/>
      <c r="B1184" s="28" t="s">
        <v>6556</v>
      </c>
      <c r="C1184" s="28" t="s">
        <v>6557</v>
      </c>
      <c r="D1184" s="29" t="s">
        <v>6558</v>
      </c>
      <c r="E1184" s="30" t="s">
        <v>6559</v>
      </c>
      <c r="F1184" s="28" t="s">
        <v>6560</v>
      </c>
      <c r="I1184" s="32"/>
      <c r="J1184" s="32"/>
      <c r="K1184" s="33" t="s">
        <v>6556</v>
      </c>
      <c r="L1184" s="33" t="s">
        <v>6561</v>
      </c>
      <c r="N1184" s="33" t="s">
        <v>6556</v>
      </c>
      <c r="O1184" s="35" t="s">
        <v>6202</v>
      </c>
    </row>
    <row r="1185">
      <c r="A1185" s="38"/>
      <c r="B1185" s="28" t="s">
        <v>6562</v>
      </c>
      <c r="C1185" s="28" t="s">
        <v>6198</v>
      </c>
      <c r="D1185" s="29" t="s">
        <v>6563</v>
      </c>
      <c r="E1185" s="30" t="s">
        <v>6564</v>
      </c>
      <c r="F1185" s="28" t="s">
        <v>6565</v>
      </c>
      <c r="I1185" s="32"/>
      <c r="J1185" s="32"/>
      <c r="K1185" s="33" t="s">
        <v>6562</v>
      </c>
      <c r="L1185" s="33" t="s">
        <v>6566</v>
      </c>
      <c r="N1185" s="33" t="s">
        <v>6562</v>
      </c>
      <c r="O1185" s="35" t="s">
        <v>6197</v>
      </c>
    </row>
    <row r="1186">
      <c r="A1186" s="38"/>
      <c r="B1186" s="28" t="s">
        <v>6567</v>
      </c>
      <c r="C1186" s="28" t="s">
        <v>6568</v>
      </c>
      <c r="D1186" s="29" t="s">
        <v>6569</v>
      </c>
      <c r="E1186" s="30" t="s">
        <v>6570</v>
      </c>
      <c r="F1186" s="28" t="s">
        <v>6571</v>
      </c>
      <c r="I1186" s="32"/>
      <c r="J1186" s="32"/>
      <c r="K1186" s="33" t="s">
        <v>6567</v>
      </c>
      <c r="L1186" s="33" t="s">
        <v>6572</v>
      </c>
      <c r="N1186" s="33" t="s">
        <v>6567</v>
      </c>
      <c r="O1186" s="35" t="s">
        <v>6573</v>
      </c>
    </row>
    <row r="1187">
      <c r="A1187" s="38"/>
      <c r="B1187" s="28" t="s">
        <v>6574</v>
      </c>
      <c r="C1187" s="28" t="s">
        <v>6218</v>
      </c>
      <c r="D1187" s="29" t="s">
        <v>6575</v>
      </c>
      <c r="E1187" s="30" t="s">
        <v>6576</v>
      </c>
      <c r="F1187" s="28" t="s">
        <v>6577</v>
      </c>
      <c r="I1187" s="32"/>
      <c r="J1187" s="32"/>
      <c r="K1187" s="33" t="s">
        <v>6574</v>
      </c>
      <c r="L1187" s="33" t="s">
        <v>6578</v>
      </c>
      <c r="N1187" s="33" t="s">
        <v>6574</v>
      </c>
      <c r="O1187" s="47" t="s">
        <v>6579</v>
      </c>
    </row>
    <row r="1188">
      <c r="A1188" s="38"/>
      <c r="B1188" s="28" t="s">
        <v>6580</v>
      </c>
      <c r="C1188" s="28" t="s">
        <v>6581</v>
      </c>
      <c r="D1188" s="29" t="s">
        <v>6582</v>
      </c>
      <c r="E1188" s="54" t="s">
        <v>6583</v>
      </c>
      <c r="F1188" s="28" t="s">
        <v>6584</v>
      </c>
      <c r="I1188" s="32"/>
      <c r="J1188" s="32"/>
      <c r="K1188" s="33" t="s">
        <v>6580</v>
      </c>
      <c r="L1188" s="33" t="s">
        <v>6585</v>
      </c>
      <c r="N1188" s="33" t="s">
        <v>6580</v>
      </c>
      <c r="O1188" s="35"/>
    </row>
    <row r="1189">
      <c r="A1189" s="38"/>
      <c r="B1189" s="28" t="s">
        <v>6586</v>
      </c>
      <c r="C1189" s="28" t="s">
        <v>6587</v>
      </c>
      <c r="D1189" s="29" t="s">
        <v>6588</v>
      </c>
      <c r="E1189" s="30" t="s">
        <v>6589</v>
      </c>
      <c r="F1189" s="28" t="s">
        <v>6590</v>
      </c>
      <c r="I1189" s="32"/>
      <c r="J1189" s="32"/>
      <c r="K1189" s="33" t="s">
        <v>6586</v>
      </c>
      <c r="L1189" s="33" t="s">
        <v>6591</v>
      </c>
      <c r="N1189" s="33" t="s">
        <v>6586</v>
      </c>
      <c r="O1189" s="35" t="s">
        <v>6592</v>
      </c>
    </row>
    <row r="1190">
      <c r="A1190" s="38"/>
      <c r="B1190" s="28" t="s">
        <v>6593</v>
      </c>
      <c r="C1190" s="28" t="s">
        <v>6594</v>
      </c>
      <c r="D1190" s="29" t="s">
        <v>6595</v>
      </c>
      <c r="E1190" s="30" t="s">
        <v>6596</v>
      </c>
      <c r="F1190" s="28" t="s">
        <v>6597</v>
      </c>
      <c r="I1190" s="32"/>
      <c r="J1190" s="32"/>
      <c r="K1190" s="33" t="s">
        <v>6593</v>
      </c>
      <c r="L1190" s="33" t="s">
        <v>6598</v>
      </c>
      <c r="N1190" s="33" t="s">
        <v>6593</v>
      </c>
      <c r="O1190" s="35"/>
    </row>
    <row r="1191">
      <c r="A1191" s="38"/>
      <c r="B1191" s="28" t="s">
        <v>6599</v>
      </c>
      <c r="C1191" s="28" t="s">
        <v>6600</v>
      </c>
      <c r="D1191" s="29" t="s">
        <v>6601</v>
      </c>
      <c r="E1191" s="30" t="s">
        <v>6602</v>
      </c>
      <c r="F1191" s="28" t="s">
        <v>6603</v>
      </c>
      <c r="I1191" s="32"/>
      <c r="J1191" s="32"/>
      <c r="K1191" s="33" t="s">
        <v>6599</v>
      </c>
      <c r="L1191" s="33" t="s">
        <v>6604</v>
      </c>
      <c r="N1191" s="33" t="s">
        <v>6599</v>
      </c>
      <c r="O1191" s="35"/>
    </row>
    <row r="1192">
      <c r="A1192" s="38"/>
      <c r="B1192" s="28" t="s">
        <v>6605</v>
      </c>
      <c r="C1192" s="28" t="s">
        <v>6227</v>
      </c>
      <c r="D1192" s="29" t="s">
        <v>6606</v>
      </c>
      <c r="E1192" s="30" t="s">
        <v>6607</v>
      </c>
      <c r="F1192" s="28" t="s">
        <v>6608</v>
      </c>
      <c r="I1192" s="32"/>
      <c r="J1192" s="32"/>
      <c r="K1192" s="33" t="s">
        <v>6605</v>
      </c>
      <c r="L1192" s="33" t="s">
        <v>6609</v>
      </c>
      <c r="N1192" s="33" t="s">
        <v>6605</v>
      </c>
      <c r="O1192" s="35" t="s">
        <v>6226</v>
      </c>
    </row>
    <row r="1193">
      <c r="A1193" s="38"/>
      <c r="B1193" s="28" t="s">
        <v>6610</v>
      </c>
      <c r="C1193" s="28" t="s">
        <v>6611</v>
      </c>
      <c r="D1193" s="29" t="s">
        <v>6612</v>
      </c>
      <c r="E1193" s="30"/>
      <c r="F1193" s="28" t="s">
        <v>6613</v>
      </c>
      <c r="I1193" s="32"/>
      <c r="J1193" s="32"/>
      <c r="K1193" s="33" t="s">
        <v>6610</v>
      </c>
      <c r="L1193" s="33" t="s">
        <v>6614</v>
      </c>
      <c r="N1193" s="33" t="s">
        <v>6610</v>
      </c>
      <c r="O1193" s="35" t="s">
        <v>6615</v>
      </c>
    </row>
    <row r="1194">
      <c r="A1194" s="38"/>
      <c r="B1194" s="28" t="s">
        <v>6616</v>
      </c>
      <c r="C1194" s="28" t="s">
        <v>6617</v>
      </c>
      <c r="D1194" s="29" t="s">
        <v>6618</v>
      </c>
      <c r="E1194" s="30" t="s">
        <v>6619</v>
      </c>
      <c r="F1194" s="28" t="s">
        <v>6620</v>
      </c>
      <c r="I1194" s="32"/>
      <c r="J1194" s="32"/>
      <c r="K1194" s="33" t="s">
        <v>6616</v>
      </c>
      <c r="L1194" s="33" t="s">
        <v>6621</v>
      </c>
      <c r="N1194" s="33" t="s">
        <v>6616</v>
      </c>
      <c r="O1194" s="35" t="s">
        <v>6622</v>
      </c>
    </row>
    <row r="1195">
      <c r="A1195" s="38"/>
      <c r="B1195" s="28" t="s">
        <v>6623</v>
      </c>
      <c r="C1195" s="28" t="s">
        <v>6248</v>
      </c>
      <c r="D1195" s="29" t="s">
        <v>6624</v>
      </c>
      <c r="E1195" s="30" t="s">
        <v>6625</v>
      </c>
      <c r="F1195" s="28" t="s">
        <v>6626</v>
      </c>
      <c r="I1195" s="32"/>
      <c r="J1195" s="32"/>
      <c r="K1195" s="33" t="s">
        <v>6623</v>
      </c>
      <c r="L1195" s="33" t="s">
        <v>6627</v>
      </c>
      <c r="N1195" s="33" t="s">
        <v>6623</v>
      </c>
      <c r="O1195" s="35"/>
    </row>
    <row r="1196">
      <c r="A1196" s="38"/>
      <c r="B1196" s="28" t="s">
        <v>6628</v>
      </c>
      <c r="C1196" s="28" t="s">
        <v>6629</v>
      </c>
      <c r="D1196" s="29" t="s">
        <v>6630</v>
      </c>
      <c r="E1196" s="30"/>
      <c r="F1196" s="28" t="s">
        <v>6631</v>
      </c>
      <c r="I1196" s="32"/>
      <c r="J1196" s="32"/>
      <c r="K1196" s="33" t="s">
        <v>6628</v>
      </c>
      <c r="L1196" s="33" t="s">
        <v>6632</v>
      </c>
      <c r="N1196" s="33" t="s">
        <v>6628</v>
      </c>
      <c r="O1196" s="35"/>
    </row>
    <row r="1197">
      <c r="A1197" s="38"/>
      <c r="B1197" s="28" t="s">
        <v>6633</v>
      </c>
      <c r="C1197" s="28" t="s">
        <v>6264</v>
      </c>
      <c r="D1197" s="29" t="s">
        <v>6634</v>
      </c>
      <c r="E1197" s="30" t="s">
        <v>6635</v>
      </c>
      <c r="F1197" s="28" t="s">
        <v>6636</v>
      </c>
      <c r="I1197" s="32"/>
      <c r="J1197" s="32"/>
      <c r="K1197" s="33" t="s">
        <v>6633</v>
      </c>
      <c r="L1197" s="33" t="s">
        <v>6637</v>
      </c>
      <c r="N1197" s="33" t="s">
        <v>6633</v>
      </c>
      <c r="O1197" s="47" t="s">
        <v>6638</v>
      </c>
    </row>
    <row r="1198">
      <c r="A1198" s="38"/>
      <c r="B1198" s="28" t="s">
        <v>6639</v>
      </c>
      <c r="C1198" s="28" t="s">
        <v>6269</v>
      </c>
      <c r="D1198" s="29" t="s">
        <v>6640</v>
      </c>
      <c r="E1198" s="30"/>
      <c r="F1198" s="28" t="s">
        <v>6641</v>
      </c>
      <c r="I1198" s="32"/>
      <c r="J1198" s="32"/>
      <c r="K1198" s="33" t="s">
        <v>6639</v>
      </c>
      <c r="L1198" s="33" t="s">
        <v>6642</v>
      </c>
      <c r="N1198" s="33" t="s">
        <v>6639</v>
      </c>
      <c r="O1198" s="35"/>
    </row>
    <row r="1199">
      <c r="A1199" s="38"/>
      <c r="B1199" s="28" t="s">
        <v>6643</v>
      </c>
      <c r="C1199" s="28" t="s">
        <v>6282</v>
      </c>
      <c r="D1199" s="29" t="s">
        <v>6644</v>
      </c>
      <c r="E1199" s="30" t="s">
        <v>6645</v>
      </c>
      <c r="F1199" s="28" t="s">
        <v>6646</v>
      </c>
      <c r="I1199" s="32"/>
      <c r="J1199" s="32"/>
      <c r="K1199" s="33" t="s">
        <v>6643</v>
      </c>
      <c r="L1199" s="33" t="s">
        <v>6647</v>
      </c>
      <c r="N1199" s="33" t="s">
        <v>6643</v>
      </c>
      <c r="O1199" s="35"/>
    </row>
    <row r="1200">
      <c r="A1200" s="38"/>
      <c r="B1200" s="28" t="s">
        <v>6648</v>
      </c>
      <c r="C1200" s="28" t="s">
        <v>6288</v>
      </c>
      <c r="D1200" s="29" t="s">
        <v>6649</v>
      </c>
      <c r="E1200" s="30" t="s">
        <v>6650</v>
      </c>
      <c r="F1200" s="28" t="s">
        <v>6651</v>
      </c>
      <c r="I1200" s="32"/>
      <c r="J1200" s="32"/>
      <c r="K1200" s="33" t="s">
        <v>6648</v>
      </c>
      <c r="L1200" s="33" t="s">
        <v>6652</v>
      </c>
      <c r="N1200" s="33" t="s">
        <v>6648</v>
      </c>
      <c r="O1200" s="35" t="s">
        <v>6287</v>
      </c>
    </row>
    <row r="1201">
      <c r="A1201" s="38"/>
      <c r="B1201" s="28" t="s">
        <v>6653</v>
      </c>
      <c r="C1201" s="28" t="s">
        <v>6654</v>
      </c>
      <c r="D1201" s="29" t="s">
        <v>6655</v>
      </c>
      <c r="E1201" s="30" t="s">
        <v>6656</v>
      </c>
      <c r="F1201" s="28" t="s">
        <v>6657</v>
      </c>
      <c r="I1201" s="32"/>
      <c r="J1201" s="32"/>
      <c r="K1201" s="33" t="s">
        <v>6653</v>
      </c>
      <c r="L1201" s="33" t="s">
        <v>6658</v>
      </c>
      <c r="N1201" s="33" t="s">
        <v>6653</v>
      </c>
      <c r="O1201" s="35" t="s">
        <v>6659</v>
      </c>
    </row>
    <row r="1202">
      <c r="A1202" s="38"/>
      <c r="B1202" s="28" t="s">
        <v>6660</v>
      </c>
      <c r="C1202" s="28" t="s">
        <v>6661</v>
      </c>
      <c r="D1202" s="29" t="s">
        <v>6662</v>
      </c>
      <c r="E1202" s="54" t="s">
        <v>6663</v>
      </c>
      <c r="F1202" s="28" t="s">
        <v>6664</v>
      </c>
      <c r="I1202" s="32"/>
      <c r="J1202" s="32"/>
      <c r="K1202" s="33" t="s">
        <v>6660</v>
      </c>
      <c r="L1202" s="33" t="s">
        <v>6665</v>
      </c>
      <c r="N1202" s="33" t="s">
        <v>6660</v>
      </c>
      <c r="O1202" s="35"/>
    </row>
    <row r="1203">
      <c r="A1203" s="38"/>
      <c r="B1203" s="28" t="s">
        <v>6666</v>
      </c>
      <c r="C1203" s="28" t="s">
        <v>6667</v>
      </c>
      <c r="D1203" s="29" t="s">
        <v>6668</v>
      </c>
      <c r="E1203" s="30" t="s">
        <v>6669</v>
      </c>
      <c r="F1203" s="28" t="s">
        <v>6670</v>
      </c>
      <c r="I1203" s="32"/>
      <c r="J1203" s="32"/>
      <c r="K1203" s="33" t="s">
        <v>6666</v>
      </c>
      <c r="L1203" s="33" t="s">
        <v>6671</v>
      </c>
      <c r="N1203" s="33" t="s">
        <v>6666</v>
      </c>
      <c r="O1203" s="47" t="s">
        <v>6672</v>
      </c>
    </row>
    <row r="1204">
      <c r="A1204" s="38"/>
      <c r="B1204" s="28" t="s">
        <v>6673</v>
      </c>
      <c r="C1204" s="28" t="s">
        <v>6674</v>
      </c>
      <c r="D1204" s="29" t="s">
        <v>6675</v>
      </c>
      <c r="E1204" s="30"/>
      <c r="F1204" s="28" t="s">
        <v>6676</v>
      </c>
      <c r="I1204" s="32"/>
      <c r="J1204" s="32"/>
      <c r="K1204" s="33" t="s">
        <v>6673</v>
      </c>
      <c r="L1204" s="33" t="s">
        <v>6677</v>
      </c>
      <c r="N1204" s="33" t="s">
        <v>6673</v>
      </c>
      <c r="O1204" s="35"/>
    </row>
    <row r="1205">
      <c r="A1205" s="38"/>
      <c r="B1205" s="28" t="s">
        <v>6678</v>
      </c>
      <c r="C1205" s="28" t="s">
        <v>6295</v>
      </c>
      <c r="D1205" s="29" t="s">
        <v>6679</v>
      </c>
      <c r="E1205" s="30"/>
      <c r="F1205" s="28" t="s">
        <v>6680</v>
      </c>
      <c r="I1205" s="32"/>
      <c r="J1205" s="32"/>
      <c r="K1205" s="33" t="s">
        <v>6678</v>
      </c>
      <c r="L1205" s="33" t="s">
        <v>6681</v>
      </c>
      <c r="N1205" s="33" t="s">
        <v>6678</v>
      </c>
      <c r="O1205" s="35"/>
    </row>
    <row r="1206">
      <c r="A1206" s="38"/>
      <c r="B1206" s="28" t="s">
        <v>6682</v>
      </c>
      <c r="C1206" s="28" t="s">
        <v>6683</v>
      </c>
      <c r="D1206" s="29" t="s">
        <v>6684</v>
      </c>
      <c r="E1206" s="30" t="s">
        <v>6685</v>
      </c>
      <c r="F1206" s="28" t="s">
        <v>6686</v>
      </c>
      <c r="I1206" s="32"/>
      <c r="J1206" s="32"/>
      <c r="K1206" s="33" t="s">
        <v>6682</v>
      </c>
      <c r="L1206" s="33" t="s">
        <v>6687</v>
      </c>
      <c r="N1206" s="33" t="s">
        <v>6682</v>
      </c>
      <c r="O1206" s="35" t="s">
        <v>6688</v>
      </c>
    </row>
    <row r="1207">
      <c r="A1207" s="38"/>
      <c r="B1207" s="28" t="s">
        <v>6689</v>
      </c>
      <c r="C1207" s="28" t="s">
        <v>6690</v>
      </c>
      <c r="D1207" s="29" t="s">
        <v>6691</v>
      </c>
      <c r="E1207" s="30" t="s">
        <v>6692</v>
      </c>
      <c r="F1207" s="28" t="s">
        <v>6693</v>
      </c>
      <c r="I1207" s="32"/>
      <c r="J1207" s="32"/>
      <c r="K1207" s="33" t="s">
        <v>6689</v>
      </c>
      <c r="L1207" s="33" t="s">
        <v>6694</v>
      </c>
      <c r="N1207" s="33" t="s">
        <v>6689</v>
      </c>
      <c r="O1207" s="35" t="s">
        <v>6695</v>
      </c>
    </row>
    <row r="1208">
      <c r="A1208" s="38"/>
      <c r="B1208" s="28" t="s">
        <v>6696</v>
      </c>
      <c r="C1208" s="28" t="s">
        <v>6697</v>
      </c>
      <c r="D1208" s="29" t="s">
        <v>6698</v>
      </c>
      <c r="E1208" s="30" t="s">
        <v>6699</v>
      </c>
      <c r="F1208" s="28" t="s">
        <v>6700</v>
      </c>
      <c r="I1208" s="32"/>
      <c r="J1208" s="32"/>
      <c r="K1208" s="33" t="s">
        <v>6696</v>
      </c>
      <c r="L1208" s="33" t="s">
        <v>6701</v>
      </c>
      <c r="N1208" s="33" t="s">
        <v>6696</v>
      </c>
      <c r="O1208" s="47" t="s">
        <v>6702</v>
      </c>
    </row>
    <row r="1209">
      <c r="A1209" s="38"/>
      <c r="B1209" s="28" t="s">
        <v>6703</v>
      </c>
      <c r="C1209" s="28" t="s">
        <v>6704</v>
      </c>
      <c r="D1209" s="29" t="s">
        <v>6705</v>
      </c>
      <c r="E1209" s="30" t="s">
        <v>6706</v>
      </c>
      <c r="F1209" s="28" t="s">
        <v>6707</v>
      </c>
      <c r="I1209" s="32"/>
      <c r="J1209" s="32"/>
      <c r="K1209" s="33" t="s">
        <v>6703</v>
      </c>
      <c r="L1209" s="33" t="s">
        <v>6708</v>
      </c>
      <c r="N1209" s="33" t="s">
        <v>6703</v>
      </c>
      <c r="O1209" s="35" t="s">
        <v>6709</v>
      </c>
    </row>
    <row r="1210">
      <c r="A1210" s="38"/>
      <c r="B1210" s="28" t="s">
        <v>6710</v>
      </c>
      <c r="C1210" s="28" t="s">
        <v>6311</v>
      </c>
      <c r="D1210" s="29" t="s">
        <v>6711</v>
      </c>
      <c r="E1210" s="30" t="s">
        <v>6712</v>
      </c>
      <c r="F1210" s="28" t="s">
        <v>6713</v>
      </c>
      <c r="I1210" s="32"/>
      <c r="J1210" s="32"/>
      <c r="K1210" s="33" t="s">
        <v>6710</v>
      </c>
      <c r="L1210" s="33" t="s">
        <v>6714</v>
      </c>
      <c r="N1210" s="33" t="s">
        <v>6710</v>
      </c>
      <c r="O1210" s="35" t="s">
        <v>6310</v>
      </c>
    </row>
    <row r="1211">
      <c r="A1211" s="38"/>
      <c r="B1211" s="28" t="s">
        <v>6715</v>
      </c>
      <c r="C1211" s="28" t="s">
        <v>6315</v>
      </c>
      <c r="D1211" s="29" t="s">
        <v>6716</v>
      </c>
      <c r="E1211" s="30"/>
      <c r="F1211" s="28" t="s">
        <v>6717</v>
      </c>
      <c r="I1211" s="32"/>
      <c r="J1211" s="32"/>
      <c r="K1211" s="33" t="s">
        <v>6715</v>
      </c>
      <c r="L1211" s="33" t="s">
        <v>6718</v>
      </c>
      <c r="N1211" s="33" t="s">
        <v>6715</v>
      </c>
      <c r="O1211" s="35"/>
    </row>
    <row r="1212">
      <c r="A1212" s="38"/>
      <c r="B1212" s="28" t="s">
        <v>6719</v>
      </c>
      <c r="C1212" s="28" t="s">
        <v>6720</v>
      </c>
      <c r="D1212" s="29" t="s">
        <v>6721</v>
      </c>
      <c r="E1212" s="30"/>
      <c r="F1212" s="28" t="s">
        <v>6722</v>
      </c>
      <c r="I1212" s="32"/>
      <c r="J1212" s="32"/>
      <c r="K1212" s="33" t="s">
        <v>6719</v>
      </c>
      <c r="L1212" s="33" t="s">
        <v>6723</v>
      </c>
      <c r="N1212" s="33" t="s">
        <v>6719</v>
      </c>
      <c r="O1212" s="35"/>
    </row>
    <row r="1213">
      <c r="A1213" s="38"/>
      <c r="B1213" s="28" t="s">
        <v>6724</v>
      </c>
      <c r="C1213" s="28" t="s">
        <v>6319</v>
      </c>
      <c r="D1213" s="29" t="s">
        <v>6725</v>
      </c>
      <c r="E1213" s="30" t="s">
        <v>6726</v>
      </c>
      <c r="F1213" s="28" t="s">
        <v>6727</v>
      </c>
      <c r="I1213" s="32"/>
      <c r="J1213" s="32"/>
      <c r="K1213" s="33" t="s">
        <v>6724</v>
      </c>
      <c r="L1213" s="33" t="s">
        <v>6728</v>
      </c>
      <c r="N1213" s="33" t="s">
        <v>6724</v>
      </c>
      <c r="O1213" s="35"/>
    </row>
    <row r="1214">
      <c r="A1214" s="38"/>
      <c r="B1214" s="28" t="s">
        <v>6729</v>
      </c>
      <c r="C1214" s="28" t="s">
        <v>6330</v>
      </c>
      <c r="D1214" s="29" t="s">
        <v>6730</v>
      </c>
      <c r="E1214" s="30"/>
      <c r="F1214" s="28" t="s">
        <v>6731</v>
      </c>
      <c r="I1214" s="32"/>
      <c r="J1214" s="32"/>
      <c r="K1214" s="33" t="s">
        <v>6729</v>
      </c>
      <c r="L1214" s="33" t="s">
        <v>6732</v>
      </c>
      <c r="N1214" s="33" t="s">
        <v>6729</v>
      </c>
      <c r="O1214" s="35" t="s">
        <v>6329</v>
      </c>
    </row>
    <row r="1215">
      <c r="A1215" s="38"/>
      <c r="B1215" s="28" t="s">
        <v>6733</v>
      </c>
      <c r="C1215" s="28" t="s">
        <v>6335</v>
      </c>
      <c r="D1215" s="29" t="s">
        <v>6734</v>
      </c>
      <c r="E1215" s="30" t="s">
        <v>523</v>
      </c>
      <c r="F1215" s="28" t="s">
        <v>6735</v>
      </c>
      <c r="I1215" s="32"/>
      <c r="J1215" s="32"/>
      <c r="K1215" s="33" t="s">
        <v>6733</v>
      </c>
      <c r="L1215" s="33" t="s">
        <v>6736</v>
      </c>
      <c r="N1215" s="33" t="s">
        <v>6733</v>
      </c>
      <c r="O1215" s="35" t="s">
        <v>6334</v>
      </c>
    </row>
    <row r="1216">
      <c r="A1216" s="38"/>
      <c r="B1216" s="28" t="s">
        <v>6737</v>
      </c>
      <c r="C1216" s="28" t="s">
        <v>6341</v>
      </c>
      <c r="D1216" s="29" t="s">
        <v>6738</v>
      </c>
      <c r="E1216" s="30" t="s">
        <v>6739</v>
      </c>
      <c r="F1216" s="28" t="s">
        <v>6740</v>
      </c>
      <c r="I1216" s="32"/>
      <c r="J1216" s="32"/>
      <c r="K1216" s="33" t="s">
        <v>6737</v>
      </c>
      <c r="L1216" s="33" t="s">
        <v>6741</v>
      </c>
      <c r="N1216" s="33" t="s">
        <v>6737</v>
      </c>
      <c r="O1216" s="35" t="s">
        <v>6340</v>
      </c>
    </row>
    <row r="1217">
      <c r="A1217" s="38"/>
      <c r="B1217" s="28" t="s">
        <v>6742</v>
      </c>
      <c r="C1217" s="28" t="s">
        <v>6345</v>
      </c>
      <c r="D1217" s="29" t="s">
        <v>6743</v>
      </c>
      <c r="E1217" s="30" t="s">
        <v>6744</v>
      </c>
      <c r="F1217" s="28" t="s">
        <v>6745</v>
      </c>
      <c r="I1217" s="32"/>
      <c r="J1217" s="32"/>
      <c r="K1217" s="33" t="s">
        <v>6742</v>
      </c>
      <c r="L1217" s="33" t="s">
        <v>6746</v>
      </c>
      <c r="N1217" s="33" t="s">
        <v>6742</v>
      </c>
      <c r="O1217" s="35"/>
    </row>
    <row r="1218">
      <c r="A1218" s="38"/>
      <c r="B1218" s="28" t="s">
        <v>6747</v>
      </c>
      <c r="C1218" s="28" t="s">
        <v>6748</v>
      </c>
      <c r="D1218" s="29" t="s">
        <v>6749</v>
      </c>
      <c r="E1218" s="30" t="s">
        <v>6750</v>
      </c>
      <c r="F1218" s="28" t="s">
        <v>6751</v>
      </c>
      <c r="I1218" s="32"/>
      <c r="J1218" s="32"/>
      <c r="K1218" s="33" t="s">
        <v>6747</v>
      </c>
      <c r="L1218" s="33" t="s">
        <v>6752</v>
      </c>
      <c r="N1218" s="33" t="s">
        <v>6747</v>
      </c>
      <c r="O1218" s="35" t="s">
        <v>6753</v>
      </c>
    </row>
    <row r="1219">
      <c r="A1219" s="38"/>
      <c r="B1219" s="28" t="s">
        <v>6754</v>
      </c>
      <c r="C1219" s="28" t="s">
        <v>6755</v>
      </c>
      <c r="D1219" s="29" t="s">
        <v>6756</v>
      </c>
      <c r="E1219" s="30"/>
      <c r="F1219" s="28" t="s">
        <v>6757</v>
      </c>
      <c r="I1219" s="32"/>
      <c r="J1219" s="32"/>
      <c r="K1219" s="33" t="s">
        <v>6754</v>
      </c>
      <c r="L1219" s="33" t="s">
        <v>6758</v>
      </c>
      <c r="N1219" s="33" t="s">
        <v>6754</v>
      </c>
      <c r="O1219" s="35"/>
    </row>
    <row r="1220">
      <c r="A1220" s="38"/>
      <c r="B1220" s="28" t="s">
        <v>6759</v>
      </c>
      <c r="C1220" s="28" t="s">
        <v>6760</v>
      </c>
      <c r="D1220" s="29" t="s">
        <v>6761</v>
      </c>
      <c r="E1220" s="30" t="s">
        <v>6762</v>
      </c>
      <c r="F1220" s="28" t="s">
        <v>6763</v>
      </c>
      <c r="I1220" s="32"/>
      <c r="J1220" s="32"/>
      <c r="K1220" s="33" t="s">
        <v>6759</v>
      </c>
      <c r="L1220" s="33" t="s">
        <v>6764</v>
      </c>
      <c r="N1220" s="33" t="s">
        <v>6759</v>
      </c>
      <c r="O1220" s="35" t="s">
        <v>6765</v>
      </c>
    </row>
    <row r="1221">
      <c r="A1221" s="38"/>
      <c r="B1221" s="28" t="s">
        <v>6766</v>
      </c>
      <c r="C1221" s="28" t="s">
        <v>6354</v>
      </c>
      <c r="D1221" s="29" t="s">
        <v>6767</v>
      </c>
      <c r="E1221" s="54" t="s">
        <v>6768</v>
      </c>
      <c r="F1221" s="28" t="s">
        <v>6769</v>
      </c>
      <c r="I1221" s="32"/>
      <c r="J1221" s="32"/>
      <c r="K1221" s="33" t="s">
        <v>6766</v>
      </c>
      <c r="L1221" s="33" t="s">
        <v>6770</v>
      </c>
      <c r="N1221" s="33" t="s">
        <v>6766</v>
      </c>
      <c r="O1221" s="35" t="s">
        <v>6353</v>
      </c>
    </row>
    <row r="1222">
      <c r="A1222" s="38"/>
      <c r="B1222" s="28" t="s">
        <v>6771</v>
      </c>
      <c r="C1222" s="28" t="s">
        <v>6772</v>
      </c>
      <c r="D1222" s="29" t="s">
        <v>6773</v>
      </c>
      <c r="E1222" s="30"/>
      <c r="F1222" s="28" t="s">
        <v>6774</v>
      </c>
      <c r="I1222" s="32"/>
      <c r="J1222" s="32"/>
      <c r="K1222" s="33" t="s">
        <v>6771</v>
      </c>
      <c r="L1222" s="33" t="s">
        <v>6775</v>
      </c>
      <c r="N1222" s="33" t="s">
        <v>6771</v>
      </c>
      <c r="O1222" s="35" t="s">
        <v>6776</v>
      </c>
    </row>
    <row r="1223">
      <c r="A1223" s="38"/>
      <c r="B1223" s="28" t="s">
        <v>6777</v>
      </c>
      <c r="C1223" s="28" t="s">
        <v>6364</v>
      </c>
      <c r="D1223" s="29" t="s">
        <v>6778</v>
      </c>
      <c r="E1223" s="30" t="s">
        <v>6779</v>
      </c>
      <c r="F1223" s="28" t="s">
        <v>6780</v>
      </c>
      <c r="I1223" s="32"/>
      <c r="J1223" s="32"/>
      <c r="K1223" s="33" t="s">
        <v>6777</v>
      </c>
      <c r="L1223" s="33" t="s">
        <v>6781</v>
      </c>
      <c r="N1223" s="33" t="s">
        <v>6777</v>
      </c>
      <c r="O1223" s="35" t="s">
        <v>6363</v>
      </c>
    </row>
    <row r="1224">
      <c r="A1224" s="38"/>
      <c r="B1224" s="28" t="s">
        <v>6782</v>
      </c>
      <c r="C1224" s="28" t="s">
        <v>6368</v>
      </c>
      <c r="D1224" s="29" t="s">
        <v>6783</v>
      </c>
      <c r="E1224" s="30" t="s">
        <v>6784</v>
      </c>
      <c r="F1224" s="28" t="s">
        <v>6785</v>
      </c>
      <c r="I1224" s="32"/>
      <c r="J1224" s="32"/>
      <c r="K1224" s="33" t="s">
        <v>6782</v>
      </c>
      <c r="L1224" s="33" t="s">
        <v>6786</v>
      </c>
      <c r="N1224" s="33" t="s">
        <v>6782</v>
      </c>
      <c r="O1224" s="35" t="s">
        <v>6363</v>
      </c>
    </row>
    <row r="1225">
      <c r="A1225" s="38"/>
      <c r="B1225" s="28" t="s">
        <v>6787</v>
      </c>
      <c r="C1225" s="28" t="s">
        <v>6373</v>
      </c>
      <c r="D1225" s="29" t="s">
        <v>6788</v>
      </c>
      <c r="E1225" s="54" t="s">
        <v>6789</v>
      </c>
      <c r="F1225" s="28" t="s">
        <v>6790</v>
      </c>
      <c r="I1225" s="32"/>
      <c r="J1225" s="32"/>
      <c r="K1225" s="33" t="s">
        <v>6787</v>
      </c>
      <c r="L1225" s="33" t="s">
        <v>6791</v>
      </c>
      <c r="N1225" s="33" t="s">
        <v>6787</v>
      </c>
      <c r="O1225" s="35" t="s">
        <v>6372</v>
      </c>
    </row>
    <row r="1226">
      <c r="A1226" s="38"/>
      <c r="B1226" s="28" t="s">
        <v>6792</v>
      </c>
      <c r="C1226" s="28" t="s">
        <v>6793</v>
      </c>
      <c r="D1226" s="29" t="s">
        <v>6794</v>
      </c>
      <c r="E1226" s="30" t="s">
        <v>6795</v>
      </c>
      <c r="F1226" s="28" t="s">
        <v>6796</v>
      </c>
      <c r="I1226" s="32"/>
      <c r="J1226" s="32"/>
      <c r="K1226" s="33" t="s">
        <v>6792</v>
      </c>
      <c r="L1226" s="33" t="s">
        <v>6797</v>
      </c>
      <c r="N1226" s="33" t="s">
        <v>6792</v>
      </c>
      <c r="O1226" s="35" t="s">
        <v>6798</v>
      </c>
    </row>
    <row r="1227">
      <c r="A1227" s="38"/>
      <c r="B1227" s="28" t="s">
        <v>6799</v>
      </c>
      <c r="C1227" s="28" t="s">
        <v>6800</v>
      </c>
      <c r="D1227" s="29" t="s">
        <v>6801</v>
      </c>
      <c r="E1227" s="30"/>
      <c r="F1227" s="28" t="s">
        <v>6802</v>
      </c>
      <c r="I1227" s="32"/>
      <c r="J1227" s="32"/>
      <c r="K1227" s="33" t="s">
        <v>6799</v>
      </c>
      <c r="L1227" s="33" t="s">
        <v>6803</v>
      </c>
      <c r="N1227" s="33" t="s">
        <v>6799</v>
      </c>
      <c r="O1227" s="35" t="s">
        <v>6804</v>
      </c>
    </row>
    <row r="1228">
      <c r="A1228" s="38"/>
      <c r="B1228" s="28" t="s">
        <v>6805</v>
      </c>
      <c r="C1228" s="28" t="s">
        <v>6386</v>
      </c>
      <c r="D1228" s="29" t="s">
        <v>6806</v>
      </c>
      <c r="E1228" s="30"/>
      <c r="F1228" s="28" t="s">
        <v>6807</v>
      </c>
      <c r="I1228" s="32"/>
      <c r="J1228" s="32"/>
      <c r="K1228" s="33" t="s">
        <v>6805</v>
      </c>
      <c r="L1228" s="33" t="s">
        <v>6808</v>
      </c>
      <c r="N1228" s="33" t="s">
        <v>6805</v>
      </c>
      <c r="O1228" s="35" t="s">
        <v>6385</v>
      </c>
    </row>
    <row r="1229">
      <c r="A1229" s="38"/>
      <c r="B1229" s="28" t="s">
        <v>6809</v>
      </c>
      <c r="C1229" s="28" t="s">
        <v>6391</v>
      </c>
      <c r="D1229" s="29" t="s">
        <v>6810</v>
      </c>
      <c r="E1229" s="30" t="s">
        <v>6811</v>
      </c>
      <c r="F1229" s="28" t="s">
        <v>6812</v>
      </c>
      <c r="I1229" s="32"/>
      <c r="J1229" s="32"/>
      <c r="K1229" s="33" t="s">
        <v>6809</v>
      </c>
      <c r="L1229" s="33" t="s">
        <v>6813</v>
      </c>
      <c r="N1229" s="33" t="s">
        <v>6809</v>
      </c>
      <c r="O1229" s="35" t="s">
        <v>6390</v>
      </c>
    </row>
    <row r="1230">
      <c r="A1230" s="38"/>
      <c r="B1230" s="28" t="s">
        <v>6814</v>
      </c>
      <c r="C1230" s="28" t="s">
        <v>6400</v>
      </c>
      <c r="D1230" s="29" t="s">
        <v>6815</v>
      </c>
      <c r="E1230" s="30" t="s">
        <v>6816</v>
      </c>
      <c r="F1230" s="28" t="s">
        <v>6817</v>
      </c>
      <c r="I1230" s="32"/>
      <c r="J1230" s="32"/>
      <c r="K1230" s="33" t="s">
        <v>6814</v>
      </c>
      <c r="L1230" s="33" t="s">
        <v>6818</v>
      </c>
      <c r="N1230" s="33" t="s">
        <v>6814</v>
      </c>
      <c r="O1230" s="35" t="s">
        <v>6395</v>
      </c>
    </row>
    <row r="1231">
      <c r="A1231" s="38"/>
      <c r="B1231" s="28" t="s">
        <v>6819</v>
      </c>
      <c r="C1231" s="28" t="s">
        <v>6820</v>
      </c>
      <c r="D1231" s="29" t="s">
        <v>6821</v>
      </c>
      <c r="E1231" s="30"/>
      <c r="F1231" s="28" t="s">
        <v>6822</v>
      </c>
      <c r="I1231" s="32"/>
      <c r="J1231" s="32"/>
      <c r="K1231" s="33" t="s">
        <v>6819</v>
      </c>
      <c r="L1231" s="33" t="s">
        <v>6823</v>
      </c>
      <c r="N1231" s="33" t="s">
        <v>6819</v>
      </c>
      <c r="O1231" s="35"/>
    </row>
    <row r="1232">
      <c r="A1232" s="38"/>
      <c r="B1232" s="28" t="s">
        <v>6824</v>
      </c>
      <c r="C1232" s="28" t="s">
        <v>6825</v>
      </c>
      <c r="D1232" s="29" t="s">
        <v>6826</v>
      </c>
      <c r="E1232" s="30"/>
      <c r="F1232" s="28" t="s">
        <v>6827</v>
      </c>
      <c r="I1232" s="32"/>
      <c r="J1232" s="32"/>
      <c r="K1232" s="33" t="s">
        <v>6824</v>
      </c>
      <c r="L1232" s="33" t="s">
        <v>6828</v>
      </c>
      <c r="N1232" s="33" t="s">
        <v>6824</v>
      </c>
      <c r="O1232" s="35"/>
    </row>
    <row r="1233">
      <c r="A1233" s="38"/>
      <c r="B1233" s="28" t="s">
        <v>6829</v>
      </c>
      <c r="C1233" s="28" t="s">
        <v>6830</v>
      </c>
      <c r="D1233" s="29" t="s">
        <v>6831</v>
      </c>
      <c r="E1233" s="30" t="s">
        <v>6832</v>
      </c>
      <c r="F1233" s="28" t="s">
        <v>6833</v>
      </c>
      <c r="I1233" s="32"/>
      <c r="J1233" s="32"/>
      <c r="K1233" s="33" t="s">
        <v>6829</v>
      </c>
      <c r="L1233" s="33" t="s">
        <v>6834</v>
      </c>
      <c r="N1233" s="33" t="s">
        <v>6829</v>
      </c>
      <c r="O1233" s="35" t="s">
        <v>6835</v>
      </c>
    </row>
    <row r="1234">
      <c r="A1234" s="38"/>
      <c r="B1234" s="28" t="s">
        <v>6836</v>
      </c>
      <c r="C1234" s="28" t="s">
        <v>6837</v>
      </c>
      <c r="D1234" s="29" t="s">
        <v>6838</v>
      </c>
      <c r="E1234" s="30" t="s">
        <v>6839</v>
      </c>
      <c r="F1234" s="28" t="s">
        <v>6840</v>
      </c>
      <c r="I1234" s="32"/>
      <c r="J1234" s="32"/>
      <c r="K1234" s="33" t="s">
        <v>6836</v>
      </c>
      <c r="L1234" s="33" t="s">
        <v>6841</v>
      </c>
      <c r="N1234" s="33" t="s">
        <v>6836</v>
      </c>
      <c r="O1234" s="35" t="s">
        <v>6842</v>
      </c>
    </row>
    <row r="1235">
      <c r="A1235" s="38"/>
      <c r="B1235" s="28" t="s">
        <v>6843</v>
      </c>
      <c r="C1235" s="28" t="s">
        <v>6423</v>
      </c>
      <c r="D1235" s="29" t="s">
        <v>6844</v>
      </c>
      <c r="E1235" s="30" t="s">
        <v>6845</v>
      </c>
      <c r="F1235" s="28" t="s">
        <v>6846</v>
      </c>
      <c r="I1235" s="32"/>
      <c r="J1235" s="32"/>
      <c r="K1235" s="33" t="s">
        <v>6843</v>
      </c>
      <c r="L1235" s="33" t="s">
        <v>6847</v>
      </c>
      <c r="N1235" s="33" t="s">
        <v>6843</v>
      </c>
      <c r="O1235" s="35" t="s">
        <v>6422</v>
      </c>
    </row>
    <row r="1236">
      <c r="A1236" s="38"/>
      <c r="B1236" s="28" t="s">
        <v>6848</v>
      </c>
      <c r="C1236" s="28" t="s">
        <v>6849</v>
      </c>
      <c r="D1236" s="29" t="s">
        <v>6850</v>
      </c>
      <c r="E1236" s="30" t="s">
        <v>6851</v>
      </c>
      <c r="F1236" s="28" t="s">
        <v>6852</v>
      </c>
      <c r="I1236" s="32"/>
      <c r="J1236" s="32"/>
      <c r="K1236" s="33" t="s">
        <v>6848</v>
      </c>
      <c r="L1236" s="33" t="s">
        <v>6853</v>
      </c>
      <c r="N1236" s="33" t="s">
        <v>6848</v>
      </c>
      <c r="O1236" s="35" t="s">
        <v>6854</v>
      </c>
    </row>
    <row r="1237">
      <c r="A1237" s="38"/>
      <c r="B1237" s="28" t="s">
        <v>6855</v>
      </c>
      <c r="C1237" s="28" t="s">
        <v>6856</v>
      </c>
      <c r="D1237" s="29" t="s">
        <v>6857</v>
      </c>
      <c r="E1237" s="30" t="s">
        <v>6858</v>
      </c>
      <c r="F1237" s="28" t="s">
        <v>6859</v>
      </c>
      <c r="I1237" s="32"/>
      <c r="J1237" s="32"/>
      <c r="K1237" s="33" t="s">
        <v>6855</v>
      </c>
      <c r="L1237" s="33" t="s">
        <v>6860</v>
      </c>
      <c r="N1237" s="33" t="s">
        <v>6855</v>
      </c>
      <c r="O1237" s="35"/>
    </row>
    <row r="1238">
      <c r="A1238" s="38"/>
      <c r="B1238" s="28" t="s">
        <v>6861</v>
      </c>
      <c r="C1238" s="28" t="s">
        <v>6862</v>
      </c>
      <c r="D1238" s="29" t="s">
        <v>6863</v>
      </c>
      <c r="E1238" s="54" t="s">
        <v>6864</v>
      </c>
      <c r="F1238" s="28" t="s">
        <v>6865</v>
      </c>
      <c r="I1238" s="32"/>
      <c r="J1238" s="32"/>
      <c r="K1238" s="33" t="s">
        <v>6861</v>
      </c>
      <c r="L1238" s="33" t="s">
        <v>6866</v>
      </c>
      <c r="N1238" s="33" t="s">
        <v>6861</v>
      </c>
      <c r="O1238" s="47" t="s">
        <v>6867</v>
      </c>
    </row>
    <row r="1239">
      <c r="A1239" s="38"/>
      <c r="B1239" s="28" t="s">
        <v>6868</v>
      </c>
      <c r="C1239" s="28" t="s">
        <v>6869</v>
      </c>
      <c r="D1239" s="29" t="s">
        <v>6870</v>
      </c>
      <c r="E1239" s="30"/>
      <c r="F1239" s="28" t="s">
        <v>6871</v>
      </c>
      <c r="I1239" s="32"/>
      <c r="J1239" s="32"/>
      <c r="K1239" s="33" t="s">
        <v>6868</v>
      </c>
      <c r="L1239" s="33" t="s">
        <v>6872</v>
      </c>
      <c r="N1239" s="33" t="s">
        <v>6868</v>
      </c>
      <c r="O1239" s="35" t="s">
        <v>6873</v>
      </c>
    </row>
    <row r="1240">
      <c r="A1240" s="38"/>
      <c r="B1240" s="28" t="s">
        <v>6874</v>
      </c>
      <c r="C1240" s="28" t="s">
        <v>6875</v>
      </c>
      <c r="D1240" s="29" t="s">
        <v>6876</v>
      </c>
      <c r="E1240" s="30" t="s">
        <v>6877</v>
      </c>
      <c r="F1240" s="28" t="s">
        <v>6878</v>
      </c>
      <c r="I1240" s="32"/>
      <c r="J1240" s="32"/>
      <c r="K1240" s="33" t="s">
        <v>6874</v>
      </c>
      <c r="L1240" s="33" t="s">
        <v>6879</v>
      </c>
      <c r="N1240" s="33" t="s">
        <v>6874</v>
      </c>
      <c r="O1240" s="47" t="s">
        <v>6880</v>
      </c>
    </row>
    <row r="1241">
      <c r="A1241" s="38"/>
      <c r="B1241" s="28" t="s">
        <v>6881</v>
      </c>
      <c r="C1241" s="28" t="s">
        <v>6443</v>
      </c>
      <c r="D1241" s="29" t="s">
        <v>6882</v>
      </c>
      <c r="E1241" s="30"/>
      <c r="F1241" s="28" t="s">
        <v>6883</v>
      </c>
      <c r="I1241" s="32"/>
      <c r="J1241" s="32"/>
      <c r="K1241" s="33" t="s">
        <v>6881</v>
      </c>
      <c r="L1241" s="33" t="s">
        <v>6884</v>
      </c>
      <c r="N1241" s="33" t="s">
        <v>6881</v>
      </c>
      <c r="O1241" s="35"/>
    </row>
    <row r="1242">
      <c r="A1242" s="38"/>
      <c r="B1242" s="28" t="s">
        <v>6885</v>
      </c>
      <c r="C1242" s="28" t="s">
        <v>6449</v>
      </c>
      <c r="D1242" s="29" t="s">
        <v>6886</v>
      </c>
      <c r="E1242" s="30"/>
      <c r="F1242" s="28" t="s">
        <v>6887</v>
      </c>
      <c r="I1242" s="32"/>
      <c r="J1242" s="32"/>
      <c r="K1242" s="33" t="s">
        <v>6885</v>
      </c>
      <c r="L1242" s="33" t="s">
        <v>6888</v>
      </c>
      <c r="N1242" s="33" t="s">
        <v>6885</v>
      </c>
      <c r="O1242" s="35" t="s">
        <v>6448</v>
      </c>
    </row>
    <row r="1243">
      <c r="A1243" s="38"/>
      <c r="B1243" s="28" t="s">
        <v>6889</v>
      </c>
      <c r="C1243" s="28" t="s">
        <v>6461</v>
      </c>
      <c r="D1243" s="29" t="s">
        <v>6890</v>
      </c>
      <c r="E1243" s="30" t="s">
        <v>6891</v>
      </c>
      <c r="F1243" s="28" t="s">
        <v>6892</v>
      </c>
      <c r="I1243" s="32"/>
      <c r="J1243" s="32"/>
      <c r="K1243" s="33" t="s">
        <v>6889</v>
      </c>
      <c r="L1243" s="33" t="s">
        <v>6893</v>
      </c>
      <c r="N1243" s="33" t="s">
        <v>6889</v>
      </c>
      <c r="O1243" s="35" t="s">
        <v>6460</v>
      </c>
    </row>
    <row r="1244">
      <c r="A1244" s="38"/>
      <c r="B1244" s="28" t="s">
        <v>6894</v>
      </c>
      <c r="C1244" s="28" t="s">
        <v>6477</v>
      </c>
      <c r="D1244" s="29" t="s">
        <v>6895</v>
      </c>
      <c r="E1244" s="30" t="s">
        <v>6896</v>
      </c>
      <c r="F1244" s="28" t="s">
        <v>6897</v>
      </c>
      <c r="I1244" s="32"/>
      <c r="J1244" s="32"/>
      <c r="K1244" s="33" t="s">
        <v>6894</v>
      </c>
      <c r="L1244" s="33" t="s">
        <v>6898</v>
      </c>
      <c r="N1244" s="33" t="s">
        <v>6894</v>
      </c>
      <c r="O1244" s="35" t="s">
        <v>6476</v>
      </c>
    </row>
    <row r="1245">
      <c r="A1245" s="38"/>
      <c r="B1245" s="28" t="s">
        <v>6899</v>
      </c>
      <c r="C1245" s="28" t="s">
        <v>6482</v>
      </c>
      <c r="D1245" s="29" t="s">
        <v>6900</v>
      </c>
      <c r="E1245" s="30" t="s">
        <v>6901</v>
      </c>
      <c r="F1245" s="28" t="s">
        <v>6902</v>
      </c>
      <c r="I1245" s="32"/>
      <c r="J1245" s="32"/>
      <c r="K1245" s="33" t="s">
        <v>6899</v>
      </c>
      <c r="L1245" s="33" t="s">
        <v>6903</v>
      </c>
      <c r="N1245" s="33" t="s">
        <v>6899</v>
      </c>
      <c r="O1245" s="35" t="s">
        <v>6481</v>
      </c>
    </row>
    <row r="1246">
      <c r="A1246" s="38"/>
      <c r="B1246" s="28" t="s">
        <v>6904</v>
      </c>
      <c r="C1246" s="28" t="s">
        <v>6905</v>
      </c>
      <c r="D1246" s="29" t="s">
        <v>6906</v>
      </c>
      <c r="E1246" s="30"/>
      <c r="F1246" s="28" t="s">
        <v>6907</v>
      </c>
      <c r="I1246" s="32"/>
      <c r="J1246" s="32"/>
      <c r="K1246" s="33" t="s">
        <v>6904</v>
      </c>
      <c r="L1246" s="33" t="s">
        <v>6908</v>
      </c>
      <c r="N1246" s="33" t="s">
        <v>6904</v>
      </c>
      <c r="O1246" s="35"/>
    </row>
    <row r="1247">
      <c r="A1247" s="38"/>
      <c r="B1247" s="28" t="s">
        <v>6909</v>
      </c>
      <c r="C1247" s="28" t="s">
        <v>6487</v>
      </c>
      <c r="D1247" s="29" t="s">
        <v>6910</v>
      </c>
      <c r="E1247" s="30" t="s">
        <v>6911</v>
      </c>
      <c r="F1247" s="28" t="s">
        <v>6912</v>
      </c>
      <c r="I1247" s="32"/>
      <c r="J1247" s="32"/>
      <c r="K1247" s="33" t="s">
        <v>6909</v>
      </c>
      <c r="L1247" s="33" t="s">
        <v>6913</v>
      </c>
      <c r="N1247" s="33" t="s">
        <v>6909</v>
      </c>
      <c r="O1247" s="35" t="s">
        <v>6486</v>
      </c>
    </row>
    <row r="1248">
      <c r="A1248" s="38"/>
      <c r="B1248" s="28" t="s">
        <v>6914</v>
      </c>
      <c r="C1248" s="28" t="s">
        <v>6496</v>
      </c>
      <c r="D1248" s="29" t="s">
        <v>6915</v>
      </c>
      <c r="E1248" s="30" t="s">
        <v>6916</v>
      </c>
      <c r="F1248" s="28" t="s">
        <v>6917</v>
      </c>
      <c r="I1248" s="32"/>
      <c r="J1248" s="32"/>
      <c r="K1248" s="33" t="s">
        <v>6914</v>
      </c>
      <c r="L1248" s="33" t="s">
        <v>6918</v>
      </c>
      <c r="N1248" s="33" t="s">
        <v>6914</v>
      </c>
      <c r="O1248" s="35" t="s">
        <v>6495</v>
      </c>
    </row>
    <row r="1249">
      <c r="A1249" s="38"/>
      <c r="B1249" s="28" t="s">
        <v>6919</v>
      </c>
      <c r="C1249" s="28" t="s">
        <v>6920</v>
      </c>
      <c r="D1249" s="29" t="s">
        <v>6921</v>
      </c>
      <c r="E1249" s="30"/>
      <c r="F1249" s="28" t="s">
        <v>6922</v>
      </c>
      <c r="I1249" s="32"/>
      <c r="J1249" s="32"/>
      <c r="K1249" s="33" t="s">
        <v>6919</v>
      </c>
      <c r="L1249" s="33" t="s">
        <v>6923</v>
      </c>
      <c r="N1249" s="33" t="s">
        <v>6919</v>
      </c>
      <c r="O1249" s="35" t="s">
        <v>6924</v>
      </c>
    </row>
    <row r="1250">
      <c r="A1250" s="38"/>
      <c r="B1250" s="28" t="s">
        <v>6925</v>
      </c>
      <c r="C1250" s="28" t="s">
        <v>6501</v>
      </c>
      <c r="D1250" s="29" t="s">
        <v>6926</v>
      </c>
      <c r="E1250" s="54" t="s">
        <v>6927</v>
      </c>
      <c r="F1250" s="28" t="s">
        <v>6928</v>
      </c>
      <c r="I1250" s="32"/>
      <c r="J1250" s="32"/>
      <c r="K1250" s="33" t="s">
        <v>6925</v>
      </c>
      <c r="L1250" s="33" t="s">
        <v>6929</v>
      </c>
      <c r="N1250" s="33" t="s">
        <v>6925</v>
      </c>
      <c r="O1250" s="35" t="s">
        <v>6500</v>
      </c>
    </row>
    <row r="1251">
      <c r="A1251" s="38"/>
      <c r="B1251" s="28" t="s">
        <v>6930</v>
      </c>
      <c r="C1251" s="28" t="s">
        <v>6506</v>
      </c>
      <c r="D1251" s="29" t="s">
        <v>6931</v>
      </c>
      <c r="E1251" s="30" t="s">
        <v>6932</v>
      </c>
      <c r="F1251" s="28" t="s">
        <v>6933</v>
      </c>
      <c r="I1251" s="32"/>
      <c r="J1251" s="32"/>
      <c r="K1251" s="33" t="s">
        <v>6930</v>
      </c>
      <c r="L1251" s="33" t="s">
        <v>6934</v>
      </c>
      <c r="N1251" s="33" t="s">
        <v>6930</v>
      </c>
      <c r="O1251" s="35" t="s">
        <v>6505</v>
      </c>
    </row>
    <row r="1252">
      <c r="A1252" s="38"/>
      <c r="B1252" s="28" t="s">
        <v>6935</v>
      </c>
      <c r="C1252" s="28" t="s">
        <v>6936</v>
      </c>
      <c r="D1252" s="29" t="s">
        <v>6937</v>
      </c>
      <c r="E1252" s="30"/>
      <c r="F1252" s="28" t="s">
        <v>6938</v>
      </c>
      <c r="I1252" s="32"/>
      <c r="J1252" s="32"/>
      <c r="K1252" s="33" t="s">
        <v>6935</v>
      </c>
      <c r="L1252" s="33" t="s">
        <v>6939</v>
      </c>
      <c r="N1252" s="33" t="s">
        <v>6935</v>
      </c>
      <c r="O1252" s="35"/>
    </row>
    <row r="1253">
      <c r="A1253" s="38"/>
      <c r="B1253" s="28" t="s">
        <v>6940</v>
      </c>
      <c r="C1253" s="28" t="s">
        <v>6511</v>
      </c>
      <c r="D1253" s="29" t="s">
        <v>6941</v>
      </c>
      <c r="E1253" s="30" t="s">
        <v>6942</v>
      </c>
      <c r="F1253" s="28" t="s">
        <v>6943</v>
      </c>
      <c r="I1253" s="32"/>
      <c r="J1253" s="32"/>
      <c r="K1253" s="33" t="s">
        <v>6940</v>
      </c>
      <c r="L1253" s="33" t="s">
        <v>6944</v>
      </c>
      <c r="N1253" s="33" t="s">
        <v>6940</v>
      </c>
      <c r="O1253" s="35" t="s">
        <v>6510</v>
      </c>
    </row>
    <row r="1254">
      <c r="A1254" s="38"/>
      <c r="B1254" s="28" t="s">
        <v>6945</v>
      </c>
      <c r="C1254" s="28" t="s">
        <v>6946</v>
      </c>
      <c r="D1254" s="29" t="s">
        <v>6947</v>
      </c>
      <c r="E1254" s="30" t="s">
        <v>6948</v>
      </c>
      <c r="F1254" s="28" t="s">
        <v>6949</v>
      </c>
      <c r="I1254" s="32"/>
      <c r="J1254" s="32"/>
      <c r="K1254" s="33" t="s">
        <v>6945</v>
      </c>
      <c r="L1254" s="33" t="s">
        <v>6950</v>
      </c>
      <c r="N1254" s="33" t="s">
        <v>6945</v>
      </c>
      <c r="O1254" s="35" t="s">
        <v>6951</v>
      </c>
    </row>
    <row r="1255">
      <c r="A1255" s="38"/>
      <c r="B1255" s="28" t="s">
        <v>6952</v>
      </c>
      <c r="C1255" s="28" t="s">
        <v>6516</v>
      </c>
      <c r="D1255" s="29" t="s">
        <v>6953</v>
      </c>
      <c r="E1255" s="30"/>
      <c r="F1255" s="28" t="s">
        <v>6954</v>
      </c>
      <c r="I1255" s="32"/>
      <c r="J1255" s="32"/>
      <c r="K1255" s="33" t="s">
        <v>6952</v>
      </c>
      <c r="L1255" s="33" t="s">
        <v>6955</v>
      </c>
      <c r="N1255" s="33" t="s">
        <v>6952</v>
      </c>
      <c r="O1255" s="35" t="s">
        <v>6515</v>
      </c>
    </row>
    <row r="1256">
      <c r="A1256" s="38"/>
      <c r="B1256" s="28" t="s">
        <v>6956</v>
      </c>
      <c r="C1256" s="28" t="s">
        <v>6528</v>
      </c>
      <c r="D1256" s="29" t="s">
        <v>6957</v>
      </c>
      <c r="E1256" s="30" t="s">
        <v>6958</v>
      </c>
      <c r="F1256" s="28" t="s">
        <v>6959</v>
      </c>
      <c r="I1256" s="32"/>
      <c r="J1256" s="32"/>
      <c r="K1256" s="33" t="s">
        <v>6956</v>
      </c>
      <c r="L1256" s="33" t="s">
        <v>6960</v>
      </c>
      <c r="N1256" s="33" t="s">
        <v>6956</v>
      </c>
      <c r="O1256" s="35" t="s">
        <v>6527</v>
      </c>
    </row>
    <row r="1257">
      <c r="A1257" s="38"/>
      <c r="B1257" s="28" t="s">
        <v>6961</v>
      </c>
      <c r="C1257" s="28" t="s">
        <v>6538</v>
      </c>
      <c r="D1257" s="29" t="s">
        <v>6962</v>
      </c>
      <c r="E1257" s="30" t="s">
        <v>6963</v>
      </c>
      <c r="F1257" s="28" t="s">
        <v>6964</v>
      </c>
      <c r="I1257" s="32"/>
      <c r="J1257" s="32"/>
      <c r="K1257" s="33" t="s">
        <v>6961</v>
      </c>
      <c r="L1257" s="33" t="s">
        <v>6965</v>
      </c>
      <c r="N1257" s="33" t="s">
        <v>6961</v>
      </c>
      <c r="O1257" s="35" t="s">
        <v>6537</v>
      </c>
    </row>
    <row r="1258">
      <c r="A1258" s="38"/>
      <c r="B1258" s="28" t="s">
        <v>6966</v>
      </c>
      <c r="C1258" s="28" t="s">
        <v>6560</v>
      </c>
      <c r="D1258" s="29" t="s">
        <v>6967</v>
      </c>
      <c r="E1258" s="30"/>
      <c r="F1258" s="28" t="s">
        <v>6968</v>
      </c>
      <c r="I1258" s="32"/>
      <c r="J1258" s="32"/>
      <c r="K1258" s="33" t="s">
        <v>6966</v>
      </c>
      <c r="L1258" s="33" t="s">
        <v>6969</v>
      </c>
      <c r="N1258" s="33" t="s">
        <v>6966</v>
      </c>
      <c r="O1258" s="35" t="s">
        <v>6559</v>
      </c>
    </row>
    <row r="1259">
      <c r="A1259" s="38"/>
      <c r="B1259" s="28" t="s">
        <v>6970</v>
      </c>
      <c r="C1259" s="28" t="s">
        <v>6971</v>
      </c>
      <c r="D1259" s="29" t="s">
        <v>6972</v>
      </c>
      <c r="E1259" s="30" t="s">
        <v>6973</v>
      </c>
      <c r="F1259" s="28" t="s">
        <v>6974</v>
      </c>
      <c r="I1259" s="32"/>
      <c r="J1259" s="32"/>
      <c r="K1259" s="33" t="s">
        <v>6970</v>
      </c>
      <c r="L1259" s="33" t="s">
        <v>6975</v>
      </c>
      <c r="N1259" s="33" t="s">
        <v>6970</v>
      </c>
      <c r="O1259" s="35" t="s">
        <v>6976</v>
      </c>
    </row>
    <row r="1260">
      <c r="A1260" s="38"/>
      <c r="B1260" s="28" t="s">
        <v>6977</v>
      </c>
      <c r="C1260" s="28" t="s">
        <v>6978</v>
      </c>
      <c r="D1260" s="29" t="s">
        <v>6979</v>
      </c>
      <c r="E1260" s="30" t="s">
        <v>6980</v>
      </c>
      <c r="F1260" s="28" t="s">
        <v>6981</v>
      </c>
      <c r="I1260" s="32"/>
      <c r="J1260" s="32"/>
      <c r="K1260" s="33" t="s">
        <v>6977</v>
      </c>
      <c r="L1260" s="33" t="s">
        <v>6982</v>
      </c>
      <c r="N1260" s="33" t="s">
        <v>6977</v>
      </c>
      <c r="O1260" s="35" t="s">
        <v>6983</v>
      </c>
    </row>
    <row r="1261">
      <c r="A1261" s="38"/>
      <c r="B1261" s="28" t="s">
        <v>6984</v>
      </c>
      <c r="C1261" s="28" t="s">
        <v>6985</v>
      </c>
      <c r="D1261" s="29" t="s">
        <v>6986</v>
      </c>
      <c r="E1261" s="30" t="s">
        <v>6987</v>
      </c>
      <c r="F1261" s="28" t="s">
        <v>6988</v>
      </c>
      <c r="I1261" s="32"/>
      <c r="J1261" s="32"/>
      <c r="K1261" s="33" t="s">
        <v>6984</v>
      </c>
      <c r="L1261" s="33" t="s">
        <v>6989</v>
      </c>
      <c r="N1261" s="33" t="s">
        <v>6984</v>
      </c>
      <c r="O1261" s="35" t="s">
        <v>6990</v>
      </c>
    </row>
    <row r="1262">
      <c r="A1262" s="38"/>
      <c r="B1262" s="28" t="s">
        <v>6991</v>
      </c>
      <c r="C1262" s="28" t="s">
        <v>6584</v>
      </c>
      <c r="D1262" s="29" t="s">
        <v>6992</v>
      </c>
      <c r="E1262" s="30" t="s">
        <v>466</v>
      </c>
      <c r="F1262" s="28" t="s">
        <v>462</v>
      </c>
      <c r="I1262" s="32"/>
      <c r="J1262" s="32"/>
      <c r="K1262" s="33" t="s">
        <v>6991</v>
      </c>
      <c r="L1262" s="33" t="s">
        <v>6993</v>
      </c>
      <c r="N1262" s="33" t="s">
        <v>6991</v>
      </c>
      <c r="O1262" s="47" t="s">
        <v>6994</v>
      </c>
    </row>
    <row r="1263">
      <c r="A1263" s="38"/>
      <c r="B1263" s="28" t="s">
        <v>6995</v>
      </c>
      <c r="C1263" s="28" t="s">
        <v>6996</v>
      </c>
      <c r="D1263" s="29" t="s">
        <v>6997</v>
      </c>
      <c r="E1263" s="54" t="s">
        <v>6998</v>
      </c>
      <c r="F1263" s="28" t="s">
        <v>6999</v>
      </c>
      <c r="I1263" s="32"/>
      <c r="J1263" s="32"/>
      <c r="K1263" s="33" t="s">
        <v>6995</v>
      </c>
      <c r="L1263" s="33" t="s">
        <v>7000</v>
      </c>
      <c r="N1263" s="33" t="s">
        <v>6995</v>
      </c>
      <c r="O1263" s="35"/>
    </row>
    <row r="1264">
      <c r="A1264" s="38"/>
      <c r="B1264" s="28" t="s">
        <v>7001</v>
      </c>
      <c r="C1264" s="28" t="s">
        <v>6597</v>
      </c>
      <c r="D1264" s="29" t="s">
        <v>7002</v>
      </c>
      <c r="E1264" s="30" t="s">
        <v>7003</v>
      </c>
      <c r="F1264" s="28" t="s">
        <v>7004</v>
      </c>
      <c r="I1264" s="32"/>
      <c r="J1264" s="32"/>
      <c r="K1264" s="33" t="s">
        <v>7001</v>
      </c>
      <c r="L1264" s="33" t="s">
        <v>7005</v>
      </c>
      <c r="N1264" s="33" t="s">
        <v>7001</v>
      </c>
      <c r="O1264" s="35" t="s">
        <v>6596</v>
      </c>
    </row>
    <row r="1265">
      <c r="A1265" s="38"/>
      <c r="B1265" s="28" t="s">
        <v>7006</v>
      </c>
      <c r="C1265" s="28" t="s">
        <v>6603</v>
      </c>
      <c r="D1265" s="29" t="s">
        <v>7007</v>
      </c>
      <c r="E1265" s="30"/>
      <c r="F1265" s="28" t="s">
        <v>7008</v>
      </c>
      <c r="I1265" s="32"/>
      <c r="J1265" s="32"/>
      <c r="K1265" s="33" t="s">
        <v>7006</v>
      </c>
      <c r="L1265" s="33" t="s">
        <v>7009</v>
      </c>
      <c r="N1265" s="33" t="s">
        <v>7006</v>
      </c>
      <c r="O1265" s="35" t="s">
        <v>6602</v>
      </c>
    </row>
    <row r="1266">
      <c r="A1266" s="38"/>
      <c r="B1266" s="28" t="s">
        <v>7010</v>
      </c>
      <c r="C1266" s="28" t="s">
        <v>6620</v>
      </c>
      <c r="D1266" s="29" t="s">
        <v>7011</v>
      </c>
      <c r="E1266" s="30" t="s">
        <v>7012</v>
      </c>
      <c r="F1266" s="28" t="s">
        <v>7013</v>
      </c>
      <c r="I1266" s="32"/>
      <c r="J1266" s="32"/>
      <c r="K1266" s="33" t="s">
        <v>7010</v>
      </c>
      <c r="L1266" s="33" t="s">
        <v>7014</v>
      </c>
      <c r="N1266" s="33" t="s">
        <v>7010</v>
      </c>
      <c r="O1266" s="35" t="s">
        <v>6619</v>
      </c>
    </row>
    <row r="1267">
      <c r="A1267" s="38"/>
      <c r="B1267" s="28" t="s">
        <v>7015</v>
      </c>
      <c r="C1267" s="28" t="s">
        <v>7016</v>
      </c>
      <c r="D1267" s="29" t="s">
        <v>7017</v>
      </c>
      <c r="E1267" s="30" t="s">
        <v>7018</v>
      </c>
      <c r="F1267" s="28" t="s">
        <v>7019</v>
      </c>
      <c r="I1267" s="32"/>
      <c r="J1267" s="32"/>
      <c r="K1267" s="33" t="s">
        <v>7015</v>
      </c>
      <c r="L1267" s="33" t="s">
        <v>7020</v>
      </c>
      <c r="N1267" s="33" t="s">
        <v>7015</v>
      </c>
      <c r="O1267" s="35"/>
    </row>
    <row r="1268">
      <c r="A1268" s="38"/>
      <c r="B1268" s="28" t="s">
        <v>7021</v>
      </c>
      <c r="C1268" s="28" t="s">
        <v>6626</v>
      </c>
      <c r="D1268" s="29" t="s">
        <v>7022</v>
      </c>
      <c r="E1268" s="30" t="s">
        <v>7023</v>
      </c>
      <c r="F1268" s="28" t="s">
        <v>7024</v>
      </c>
      <c r="I1268" s="32"/>
      <c r="J1268" s="32"/>
      <c r="K1268" s="33" t="s">
        <v>7021</v>
      </c>
      <c r="L1268" s="33" t="s">
        <v>7025</v>
      </c>
      <c r="N1268" s="33" t="s">
        <v>7021</v>
      </c>
      <c r="O1268" s="35" t="s">
        <v>6625</v>
      </c>
    </row>
    <row r="1269">
      <c r="A1269" s="38"/>
      <c r="B1269" s="28" t="s">
        <v>7026</v>
      </c>
      <c r="C1269" s="28" t="s">
        <v>6631</v>
      </c>
      <c r="D1269" s="29" t="s">
        <v>7027</v>
      </c>
      <c r="E1269" s="30" t="s">
        <v>7028</v>
      </c>
      <c r="F1269" s="28" t="s">
        <v>7029</v>
      </c>
      <c r="I1269" s="32"/>
      <c r="J1269" s="32"/>
      <c r="K1269" s="33" t="s">
        <v>7026</v>
      </c>
      <c r="L1269" s="33" t="s">
        <v>7030</v>
      </c>
      <c r="N1269" s="33" t="s">
        <v>7026</v>
      </c>
      <c r="O1269" s="35"/>
    </row>
    <row r="1270">
      <c r="A1270" s="38"/>
      <c r="B1270" s="28" t="s">
        <v>7031</v>
      </c>
      <c r="C1270" s="28" t="s">
        <v>6641</v>
      </c>
      <c r="D1270" s="29" t="s">
        <v>7032</v>
      </c>
      <c r="E1270" s="30" t="s">
        <v>7033</v>
      </c>
      <c r="F1270" s="28" t="s">
        <v>7034</v>
      </c>
      <c r="I1270" s="32"/>
      <c r="J1270" s="32"/>
      <c r="K1270" s="33" t="s">
        <v>7031</v>
      </c>
      <c r="L1270" s="33" t="s">
        <v>7035</v>
      </c>
      <c r="N1270" s="33" t="s">
        <v>7031</v>
      </c>
      <c r="O1270" s="47" t="s">
        <v>7036</v>
      </c>
    </row>
    <row r="1271">
      <c r="A1271" s="38"/>
      <c r="B1271" s="28" t="s">
        <v>7037</v>
      </c>
      <c r="C1271" s="28" t="s">
        <v>7038</v>
      </c>
      <c r="D1271" s="29" t="s">
        <v>7039</v>
      </c>
      <c r="E1271" s="30" t="s">
        <v>7040</v>
      </c>
      <c r="F1271" s="28" t="s">
        <v>7041</v>
      </c>
      <c r="I1271" s="32"/>
      <c r="J1271" s="32"/>
      <c r="K1271" s="33" t="s">
        <v>7037</v>
      </c>
      <c r="L1271" s="33" t="s">
        <v>7042</v>
      </c>
      <c r="N1271" s="33" t="s">
        <v>7037</v>
      </c>
      <c r="O1271" s="35" t="s">
        <v>7043</v>
      </c>
    </row>
    <row r="1272">
      <c r="A1272" s="38"/>
      <c r="B1272" s="28" t="s">
        <v>7044</v>
      </c>
      <c r="C1272" s="28" t="s">
        <v>6657</v>
      </c>
      <c r="D1272" s="29" t="s">
        <v>7045</v>
      </c>
      <c r="E1272" s="30"/>
      <c r="F1272" s="28" t="s">
        <v>7046</v>
      </c>
      <c r="I1272" s="32"/>
      <c r="J1272" s="32"/>
      <c r="K1272" s="33" t="s">
        <v>7044</v>
      </c>
      <c r="L1272" s="33" t="s">
        <v>7047</v>
      </c>
      <c r="N1272" s="33" t="s">
        <v>7044</v>
      </c>
      <c r="O1272" s="35" t="s">
        <v>6656</v>
      </c>
    </row>
    <row r="1273">
      <c r="A1273" s="38"/>
      <c r="B1273" s="28" t="s">
        <v>7048</v>
      </c>
      <c r="C1273" s="28" t="s">
        <v>6664</v>
      </c>
      <c r="D1273" s="29" t="s">
        <v>7049</v>
      </c>
      <c r="E1273" s="30" t="s">
        <v>7050</v>
      </c>
      <c r="F1273" s="28" t="s">
        <v>7051</v>
      </c>
      <c r="I1273" s="32"/>
      <c r="J1273" s="32"/>
      <c r="K1273" s="33" t="s">
        <v>7048</v>
      </c>
      <c r="L1273" s="33" t="s">
        <v>7052</v>
      </c>
      <c r="N1273" s="33" t="s">
        <v>7048</v>
      </c>
      <c r="O1273" s="47" t="s">
        <v>7053</v>
      </c>
    </row>
    <row r="1274">
      <c r="A1274" s="38"/>
      <c r="B1274" s="28" t="s">
        <v>7054</v>
      </c>
      <c r="C1274" s="28" t="s">
        <v>7055</v>
      </c>
      <c r="D1274" s="29" t="s">
        <v>7056</v>
      </c>
      <c r="E1274" s="30"/>
      <c r="F1274" s="28" t="s">
        <v>7057</v>
      </c>
      <c r="I1274" s="32"/>
      <c r="J1274" s="32"/>
      <c r="K1274" s="33" t="s">
        <v>7054</v>
      </c>
      <c r="L1274" s="33" t="s">
        <v>7058</v>
      </c>
      <c r="N1274" s="33" t="s">
        <v>7054</v>
      </c>
      <c r="O1274" s="35" t="s">
        <v>7059</v>
      </c>
    </row>
    <row r="1275">
      <c r="A1275" s="38"/>
      <c r="B1275" s="28" t="s">
        <v>7060</v>
      </c>
      <c r="C1275" s="28" t="s">
        <v>6686</v>
      </c>
      <c r="D1275" s="29" t="s">
        <v>7061</v>
      </c>
      <c r="E1275" s="30" t="s">
        <v>7062</v>
      </c>
      <c r="F1275" s="28" t="s">
        <v>7063</v>
      </c>
      <c r="I1275" s="32"/>
      <c r="J1275" s="32"/>
      <c r="K1275" s="33" t="s">
        <v>7060</v>
      </c>
      <c r="L1275" s="33" t="s">
        <v>7064</v>
      </c>
      <c r="N1275" s="33" t="s">
        <v>7060</v>
      </c>
      <c r="O1275" s="35" t="s">
        <v>6685</v>
      </c>
    </row>
    <row r="1276">
      <c r="A1276" s="38"/>
      <c r="B1276" s="28" t="s">
        <v>7065</v>
      </c>
      <c r="C1276" s="28" t="s">
        <v>6693</v>
      </c>
      <c r="D1276" s="29" t="s">
        <v>7066</v>
      </c>
      <c r="E1276" s="30"/>
      <c r="F1276" s="28" t="s">
        <v>7067</v>
      </c>
      <c r="I1276" s="32"/>
      <c r="J1276" s="32"/>
      <c r="K1276" s="33" t="s">
        <v>7065</v>
      </c>
      <c r="L1276" s="33" t="s">
        <v>7068</v>
      </c>
      <c r="N1276" s="33" t="s">
        <v>7065</v>
      </c>
      <c r="O1276" s="35" t="s">
        <v>6692</v>
      </c>
    </row>
    <row r="1277">
      <c r="A1277" s="38"/>
      <c r="B1277" s="28" t="s">
        <v>7069</v>
      </c>
      <c r="C1277" s="28" t="s">
        <v>6700</v>
      </c>
      <c r="D1277" s="29" t="s">
        <v>7070</v>
      </c>
      <c r="E1277" s="30"/>
      <c r="F1277" s="28" t="s">
        <v>7071</v>
      </c>
      <c r="I1277" s="32"/>
      <c r="J1277" s="32"/>
      <c r="K1277" s="33" t="s">
        <v>7069</v>
      </c>
      <c r="L1277" s="33" t="s">
        <v>7072</v>
      </c>
      <c r="N1277" s="33" t="s">
        <v>7069</v>
      </c>
      <c r="O1277" s="35" t="s">
        <v>6699</v>
      </c>
    </row>
    <row r="1278">
      <c r="A1278" s="38"/>
      <c r="B1278" s="28" t="s">
        <v>7073</v>
      </c>
      <c r="C1278" s="28" t="s">
        <v>6707</v>
      </c>
      <c r="D1278" s="29" t="s">
        <v>7074</v>
      </c>
      <c r="E1278" s="30"/>
      <c r="F1278" s="28" t="s">
        <v>7075</v>
      </c>
      <c r="I1278" s="32"/>
      <c r="J1278" s="32"/>
      <c r="K1278" s="33" t="s">
        <v>7073</v>
      </c>
      <c r="L1278" s="33" t="s">
        <v>7076</v>
      </c>
      <c r="N1278" s="33" t="s">
        <v>7073</v>
      </c>
      <c r="O1278" s="35" t="s">
        <v>6706</v>
      </c>
    </row>
    <row r="1279">
      <c r="A1279" s="38"/>
      <c r="B1279" s="28" t="s">
        <v>7077</v>
      </c>
      <c r="C1279" s="28" t="s">
        <v>7078</v>
      </c>
      <c r="D1279" s="29" t="s">
        <v>7079</v>
      </c>
      <c r="E1279" s="30" t="s">
        <v>7080</v>
      </c>
      <c r="F1279" s="28" t="s">
        <v>7081</v>
      </c>
      <c r="I1279" s="32"/>
      <c r="J1279" s="32"/>
      <c r="K1279" s="33" t="s">
        <v>7077</v>
      </c>
      <c r="L1279" s="33" t="s">
        <v>7082</v>
      </c>
      <c r="N1279" s="33" t="s">
        <v>7077</v>
      </c>
      <c r="O1279" s="35" t="s">
        <v>7083</v>
      </c>
    </row>
    <row r="1280">
      <c r="A1280" s="38"/>
      <c r="B1280" s="28" t="s">
        <v>7084</v>
      </c>
      <c r="C1280" s="28" t="s">
        <v>7085</v>
      </c>
      <c r="D1280" s="29" t="s">
        <v>7086</v>
      </c>
      <c r="E1280" s="30" t="s">
        <v>7087</v>
      </c>
      <c r="F1280" s="28" t="s">
        <v>7088</v>
      </c>
      <c r="I1280" s="32"/>
      <c r="J1280" s="32"/>
      <c r="K1280" s="33" t="s">
        <v>7084</v>
      </c>
      <c r="L1280" s="33" t="s">
        <v>7089</v>
      </c>
      <c r="N1280" s="33" t="s">
        <v>7084</v>
      </c>
      <c r="O1280" s="35" t="s">
        <v>7090</v>
      </c>
    </row>
    <row r="1281">
      <c r="A1281" s="38"/>
      <c r="B1281" s="28" t="s">
        <v>7091</v>
      </c>
      <c r="C1281" s="28" t="s">
        <v>6713</v>
      </c>
      <c r="D1281" s="29" t="s">
        <v>7092</v>
      </c>
      <c r="E1281" s="30" t="s">
        <v>2815</v>
      </c>
      <c r="F1281" s="28" t="s">
        <v>7093</v>
      </c>
      <c r="I1281" s="32"/>
      <c r="J1281" s="32"/>
      <c r="K1281" s="33" t="s">
        <v>7091</v>
      </c>
      <c r="L1281" s="33" t="s">
        <v>7094</v>
      </c>
      <c r="N1281" s="33" t="s">
        <v>7091</v>
      </c>
      <c r="O1281" s="35" t="s">
        <v>6712</v>
      </c>
    </row>
    <row r="1282">
      <c r="A1282" s="38"/>
      <c r="B1282" s="28" t="s">
        <v>7095</v>
      </c>
      <c r="C1282" s="28" t="s">
        <v>6727</v>
      </c>
      <c r="D1282" s="60" t="s">
        <v>7096</v>
      </c>
      <c r="E1282" s="30" t="s">
        <v>7097</v>
      </c>
      <c r="F1282" s="28" t="s">
        <v>7098</v>
      </c>
      <c r="I1282" s="32"/>
      <c r="J1282" s="32"/>
      <c r="K1282" s="33" t="s">
        <v>7095</v>
      </c>
      <c r="L1282" s="33" t="s">
        <v>7099</v>
      </c>
      <c r="N1282" s="33" t="s">
        <v>7095</v>
      </c>
      <c r="O1282" s="35" t="s">
        <v>6726</v>
      </c>
    </row>
    <row r="1283">
      <c r="A1283" s="38"/>
      <c r="B1283" s="28" t="s">
        <v>7100</v>
      </c>
      <c r="C1283" s="28" t="s">
        <v>6731</v>
      </c>
      <c r="D1283" s="29" t="s">
        <v>7101</v>
      </c>
      <c r="E1283" s="30" t="s">
        <v>7102</v>
      </c>
      <c r="F1283" s="28" t="s">
        <v>7103</v>
      </c>
      <c r="I1283" s="32"/>
      <c r="J1283" s="32"/>
      <c r="K1283" s="33" t="s">
        <v>7100</v>
      </c>
      <c r="L1283" s="33" t="s">
        <v>7104</v>
      </c>
      <c r="N1283" s="33" t="s">
        <v>7100</v>
      </c>
      <c r="O1283" s="47" t="s">
        <v>7105</v>
      </c>
    </row>
    <row r="1284">
      <c r="A1284" s="38"/>
      <c r="B1284" s="28" t="s">
        <v>7106</v>
      </c>
      <c r="C1284" s="28" t="s">
        <v>7107</v>
      </c>
      <c r="D1284" s="29" t="s">
        <v>7108</v>
      </c>
      <c r="E1284" s="54" t="s">
        <v>7109</v>
      </c>
      <c r="F1284" s="28" t="s">
        <v>7110</v>
      </c>
      <c r="I1284" s="32"/>
      <c r="J1284" s="32"/>
      <c r="K1284" s="33" t="s">
        <v>7106</v>
      </c>
      <c r="L1284" s="33" t="s">
        <v>7111</v>
      </c>
      <c r="N1284" s="33" t="s">
        <v>7106</v>
      </c>
      <c r="O1284" s="35"/>
    </row>
    <row r="1285">
      <c r="A1285" s="38"/>
      <c r="B1285" s="28" t="s">
        <v>7112</v>
      </c>
      <c r="C1285" s="28" t="s">
        <v>6740</v>
      </c>
      <c r="D1285" s="29" t="s">
        <v>7113</v>
      </c>
      <c r="E1285" s="30" t="s">
        <v>7114</v>
      </c>
      <c r="F1285" s="28" t="s">
        <v>7115</v>
      </c>
      <c r="I1285" s="32"/>
      <c r="J1285" s="32"/>
      <c r="K1285" s="33" t="s">
        <v>7112</v>
      </c>
      <c r="L1285" s="33" t="s">
        <v>7116</v>
      </c>
      <c r="N1285" s="33" t="s">
        <v>7112</v>
      </c>
      <c r="O1285" s="35" t="s">
        <v>6739</v>
      </c>
    </row>
    <row r="1286">
      <c r="A1286" s="38"/>
      <c r="B1286" s="28" t="s">
        <v>7117</v>
      </c>
      <c r="C1286" s="28" t="s">
        <v>6745</v>
      </c>
      <c r="D1286" s="29" t="s">
        <v>7118</v>
      </c>
      <c r="E1286" s="30"/>
      <c r="F1286" s="28" t="s">
        <v>7119</v>
      </c>
      <c r="I1286" s="32"/>
      <c r="J1286" s="32"/>
      <c r="K1286" s="33" t="s">
        <v>7117</v>
      </c>
      <c r="L1286" s="33" t="s">
        <v>7120</v>
      </c>
      <c r="N1286" s="33" t="s">
        <v>7117</v>
      </c>
      <c r="O1286" s="35" t="s">
        <v>6744</v>
      </c>
    </row>
    <row r="1287">
      <c r="A1287" s="38"/>
      <c r="B1287" s="28" t="s">
        <v>7121</v>
      </c>
      <c r="C1287" s="28" t="s">
        <v>6751</v>
      </c>
      <c r="D1287" s="29" t="s">
        <v>7122</v>
      </c>
      <c r="E1287" s="30"/>
      <c r="F1287" s="28" t="s">
        <v>7123</v>
      </c>
      <c r="I1287" s="32"/>
      <c r="J1287" s="32"/>
      <c r="K1287" s="33" t="s">
        <v>7121</v>
      </c>
      <c r="L1287" s="33" t="s">
        <v>7124</v>
      </c>
      <c r="N1287" s="33" t="s">
        <v>7121</v>
      </c>
      <c r="O1287" s="35" t="s">
        <v>6750</v>
      </c>
    </row>
    <row r="1288">
      <c r="A1288" s="38"/>
      <c r="B1288" s="28" t="s">
        <v>7125</v>
      </c>
      <c r="C1288" s="28" t="s">
        <v>6757</v>
      </c>
      <c r="D1288" s="29" t="s">
        <v>7126</v>
      </c>
      <c r="E1288" s="30" t="s">
        <v>7127</v>
      </c>
      <c r="F1288" s="28" t="s">
        <v>7128</v>
      </c>
      <c r="I1288" s="32"/>
      <c r="J1288" s="32"/>
      <c r="K1288" s="33" t="s">
        <v>7125</v>
      </c>
      <c r="L1288" s="33" t="s">
        <v>7129</v>
      </c>
      <c r="N1288" s="33" t="s">
        <v>7125</v>
      </c>
      <c r="O1288" s="35"/>
    </row>
    <row r="1289">
      <c r="A1289" s="38"/>
      <c r="B1289" s="28" t="s">
        <v>7130</v>
      </c>
      <c r="C1289" s="28" t="s">
        <v>7131</v>
      </c>
      <c r="D1289" s="29" t="s">
        <v>7132</v>
      </c>
      <c r="E1289" s="30"/>
      <c r="F1289" s="28" t="s">
        <v>7133</v>
      </c>
      <c r="I1289" s="32"/>
      <c r="J1289" s="32"/>
      <c r="K1289" s="33" t="s">
        <v>7130</v>
      </c>
      <c r="L1289" s="33" t="s">
        <v>7134</v>
      </c>
      <c r="N1289" s="33" t="s">
        <v>7130</v>
      </c>
      <c r="O1289" s="35" t="s">
        <v>6779</v>
      </c>
    </row>
    <row r="1290">
      <c r="A1290" s="38"/>
      <c r="B1290" s="28" t="s">
        <v>7135</v>
      </c>
      <c r="C1290" s="28" t="s">
        <v>7136</v>
      </c>
      <c r="D1290" s="29" t="s">
        <v>7137</v>
      </c>
      <c r="E1290" s="30" t="s">
        <v>7138</v>
      </c>
      <c r="F1290" s="28" t="s">
        <v>7139</v>
      </c>
      <c r="I1290" s="32"/>
      <c r="J1290" s="32"/>
      <c r="K1290" s="33" t="s">
        <v>7135</v>
      </c>
      <c r="L1290" s="33" t="s">
        <v>7140</v>
      </c>
      <c r="N1290" s="33" t="s">
        <v>7135</v>
      </c>
      <c r="O1290" s="35"/>
    </row>
    <row r="1291">
      <c r="A1291" s="38"/>
      <c r="B1291" s="28" t="s">
        <v>7141</v>
      </c>
      <c r="C1291" s="28" t="s">
        <v>7142</v>
      </c>
      <c r="D1291" s="29" t="s">
        <v>7143</v>
      </c>
      <c r="E1291" s="30"/>
      <c r="F1291" s="28" t="s">
        <v>7144</v>
      </c>
      <c r="I1291" s="32"/>
      <c r="J1291" s="32"/>
      <c r="K1291" s="33" t="s">
        <v>7141</v>
      </c>
      <c r="L1291" s="33" t="s">
        <v>7145</v>
      </c>
      <c r="N1291" s="33" t="s">
        <v>7141</v>
      </c>
      <c r="O1291" s="47" t="s">
        <v>7146</v>
      </c>
    </row>
    <row r="1292">
      <c r="A1292" s="38"/>
      <c r="B1292" s="28" t="s">
        <v>7147</v>
      </c>
      <c r="C1292" s="28" t="s">
        <v>7148</v>
      </c>
      <c r="D1292" s="29" t="s">
        <v>7149</v>
      </c>
      <c r="E1292" s="30"/>
      <c r="F1292" s="28" t="s">
        <v>7150</v>
      </c>
      <c r="I1292" s="32"/>
      <c r="J1292" s="32"/>
      <c r="K1292" s="33" t="s">
        <v>7147</v>
      </c>
      <c r="L1292" s="33" t="s">
        <v>7151</v>
      </c>
      <c r="N1292" s="33" t="s">
        <v>7147</v>
      </c>
      <c r="O1292" s="35" t="s">
        <v>7152</v>
      </c>
    </row>
    <row r="1293">
      <c r="A1293" s="38"/>
      <c r="B1293" s="28" t="s">
        <v>7153</v>
      </c>
      <c r="C1293" s="28" t="s">
        <v>7154</v>
      </c>
      <c r="D1293" s="29" t="s">
        <v>7155</v>
      </c>
      <c r="E1293" s="30" t="s">
        <v>7156</v>
      </c>
      <c r="F1293" s="28" t="s">
        <v>7157</v>
      </c>
      <c r="I1293" s="32"/>
      <c r="J1293" s="32"/>
      <c r="K1293" s="33" t="s">
        <v>7153</v>
      </c>
      <c r="L1293" s="33" t="s">
        <v>7158</v>
      </c>
      <c r="N1293" s="33" t="s">
        <v>7153</v>
      </c>
      <c r="O1293" s="35"/>
    </row>
    <row r="1294">
      <c r="A1294" s="38"/>
      <c r="B1294" s="28" t="s">
        <v>7159</v>
      </c>
      <c r="C1294" s="28" t="s">
        <v>6780</v>
      </c>
      <c r="D1294" s="29" t="s">
        <v>7160</v>
      </c>
      <c r="E1294" s="30"/>
      <c r="F1294" s="28" t="s">
        <v>7161</v>
      </c>
      <c r="I1294" s="32"/>
      <c r="J1294" s="32"/>
      <c r="K1294" s="33" t="s">
        <v>7159</v>
      </c>
      <c r="L1294" s="33" t="s">
        <v>7162</v>
      </c>
      <c r="N1294" s="33" t="s">
        <v>7159</v>
      </c>
      <c r="O1294" s="35" t="s">
        <v>6779</v>
      </c>
    </row>
    <row r="1295">
      <c r="A1295" s="38"/>
      <c r="B1295" s="28" t="s">
        <v>7163</v>
      </c>
      <c r="C1295" s="28" t="s">
        <v>7164</v>
      </c>
      <c r="D1295" s="29" t="s">
        <v>7165</v>
      </c>
      <c r="E1295" s="30"/>
      <c r="F1295" s="28" t="s">
        <v>7166</v>
      </c>
      <c r="I1295" s="32"/>
      <c r="J1295" s="32"/>
      <c r="K1295" s="33" t="s">
        <v>7163</v>
      </c>
      <c r="L1295" s="33" t="s">
        <v>7167</v>
      </c>
      <c r="N1295" s="33" t="s">
        <v>7163</v>
      </c>
      <c r="O1295" s="35" t="s">
        <v>7168</v>
      </c>
    </row>
    <row r="1296">
      <c r="A1296" s="38"/>
      <c r="B1296" s="28" t="s">
        <v>7169</v>
      </c>
      <c r="C1296" s="28" t="s">
        <v>7170</v>
      </c>
      <c r="D1296" s="29" t="s">
        <v>7171</v>
      </c>
      <c r="E1296" s="30"/>
      <c r="F1296" s="28" t="s">
        <v>7172</v>
      </c>
      <c r="I1296" s="32"/>
      <c r="J1296" s="32"/>
      <c r="K1296" s="33" t="s">
        <v>7169</v>
      </c>
      <c r="L1296" s="33" t="s">
        <v>7173</v>
      </c>
      <c r="N1296" s="33" t="s">
        <v>7169</v>
      </c>
      <c r="O1296" s="35" t="s">
        <v>7174</v>
      </c>
    </row>
    <row r="1297">
      <c r="A1297" s="38"/>
      <c r="B1297" s="28" t="s">
        <v>7175</v>
      </c>
      <c r="C1297" s="28" t="s">
        <v>6790</v>
      </c>
      <c r="D1297" s="29" t="s">
        <v>7176</v>
      </c>
      <c r="E1297" s="30" t="s">
        <v>7177</v>
      </c>
      <c r="F1297" s="28" t="s">
        <v>7178</v>
      </c>
      <c r="I1297" s="32"/>
      <c r="J1297" s="32"/>
      <c r="K1297" s="33" t="s">
        <v>7175</v>
      </c>
      <c r="L1297" s="33" t="s">
        <v>7179</v>
      </c>
      <c r="N1297" s="33" t="s">
        <v>7175</v>
      </c>
      <c r="O1297" s="47" t="s">
        <v>7180</v>
      </c>
    </row>
    <row r="1298">
      <c r="A1298" s="38"/>
      <c r="B1298" s="28" t="s">
        <v>7181</v>
      </c>
      <c r="C1298" s="28" t="s">
        <v>7182</v>
      </c>
      <c r="D1298" s="29" t="s">
        <v>7183</v>
      </c>
      <c r="E1298" s="30"/>
      <c r="F1298" s="28" t="s">
        <v>7184</v>
      </c>
      <c r="I1298" s="32"/>
      <c r="J1298" s="32"/>
      <c r="K1298" s="33" t="s">
        <v>7181</v>
      </c>
      <c r="L1298" s="33" t="s">
        <v>7185</v>
      </c>
      <c r="N1298" s="33" t="s">
        <v>7181</v>
      </c>
      <c r="O1298" s="35" t="s">
        <v>7186</v>
      </c>
    </row>
    <row r="1299">
      <c r="A1299" s="38"/>
      <c r="B1299" s="28" t="s">
        <v>7187</v>
      </c>
      <c r="C1299" s="28" t="s">
        <v>7188</v>
      </c>
      <c r="D1299" s="29" t="s">
        <v>7189</v>
      </c>
      <c r="E1299" s="30" t="s">
        <v>7190</v>
      </c>
      <c r="F1299" s="28" t="s">
        <v>7191</v>
      </c>
      <c r="I1299" s="32"/>
      <c r="J1299" s="32"/>
      <c r="K1299" s="33" t="s">
        <v>7187</v>
      </c>
      <c r="L1299" s="33" t="s">
        <v>7192</v>
      </c>
      <c r="N1299" s="33" t="s">
        <v>7187</v>
      </c>
      <c r="O1299" s="47" t="s">
        <v>7193</v>
      </c>
    </row>
    <row r="1300">
      <c r="A1300" s="38"/>
      <c r="B1300" s="28" t="s">
        <v>7194</v>
      </c>
      <c r="C1300" s="28" t="s">
        <v>7195</v>
      </c>
      <c r="D1300" s="29" t="s">
        <v>7196</v>
      </c>
      <c r="E1300" s="30" t="s">
        <v>7197</v>
      </c>
      <c r="F1300" s="28" t="s">
        <v>7198</v>
      </c>
      <c r="I1300" s="32"/>
      <c r="J1300" s="32"/>
      <c r="K1300" s="33" t="s">
        <v>7194</v>
      </c>
      <c r="L1300" s="33" t="s">
        <v>7199</v>
      </c>
      <c r="N1300" s="33" t="s">
        <v>7194</v>
      </c>
      <c r="O1300" s="35" t="s">
        <v>7200</v>
      </c>
    </row>
    <row r="1301">
      <c r="A1301" s="38"/>
      <c r="B1301" s="28" t="s">
        <v>7201</v>
      </c>
      <c r="C1301" s="28" t="s">
        <v>7202</v>
      </c>
      <c r="D1301" s="29" t="s">
        <v>7203</v>
      </c>
      <c r="E1301" s="30" t="s">
        <v>7204</v>
      </c>
      <c r="F1301" s="28" t="s">
        <v>7205</v>
      </c>
      <c r="I1301" s="32"/>
      <c r="J1301" s="32"/>
      <c r="K1301" s="33" t="s">
        <v>7201</v>
      </c>
      <c r="L1301" s="33" t="s">
        <v>7206</v>
      </c>
      <c r="N1301" s="33" t="s">
        <v>7201</v>
      </c>
      <c r="O1301" s="35" t="s">
        <v>7207</v>
      </c>
    </row>
    <row r="1302">
      <c r="A1302" s="38"/>
      <c r="B1302" s="28" t="s">
        <v>7208</v>
      </c>
      <c r="C1302" s="28" t="s">
        <v>6807</v>
      </c>
      <c r="D1302" s="29" t="s">
        <v>7209</v>
      </c>
      <c r="E1302" s="54" t="s">
        <v>7210</v>
      </c>
      <c r="F1302" s="28" t="s">
        <v>7211</v>
      </c>
      <c r="I1302" s="32"/>
      <c r="J1302" s="32"/>
      <c r="K1302" s="33" t="s">
        <v>7208</v>
      </c>
      <c r="L1302" s="33" t="s">
        <v>7212</v>
      </c>
      <c r="N1302" s="33" t="s">
        <v>7208</v>
      </c>
      <c r="O1302" s="35"/>
    </row>
    <row r="1303">
      <c r="A1303" s="38"/>
      <c r="B1303" s="28" t="s">
        <v>7213</v>
      </c>
      <c r="C1303" s="28" t="s">
        <v>7214</v>
      </c>
      <c r="D1303" s="29" t="s">
        <v>7215</v>
      </c>
      <c r="E1303" s="30"/>
      <c r="F1303" s="28" t="s">
        <v>228</v>
      </c>
      <c r="I1303" s="32"/>
      <c r="J1303" s="32"/>
      <c r="K1303" s="33" t="s">
        <v>7213</v>
      </c>
      <c r="L1303" s="33" t="s">
        <v>7216</v>
      </c>
      <c r="N1303" s="33" t="s">
        <v>7213</v>
      </c>
      <c r="O1303" s="47" t="s">
        <v>7217</v>
      </c>
    </row>
    <row r="1304">
      <c r="A1304" s="38"/>
      <c r="B1304" s="28" t="s">
        <v>7218</v>
      </c>
      <c r="C1304" s="28" t="s">
        <v>6812</v>
      </c>
      <c r="D1304" s="29" t="s">
        <v>7219</v>
      </c>
      <c r="E1304" s="30"/>
      <c r="F1304" s="28" t="s">
        <v>7220</v>
      </c>
      <c r="I1304" s="32"/>
      <c r="J1304" s="32"/>
      <c r="K1304" s="33" t="s">
        <v>7218</v>
      </c>
      <c r="L1304" s="33" t="s">
        <v>7221</v>
      </c>
      <c r="N1304" s="33" t="s">
        <v>7218</v>
      </c>
      <c r="O1304" s="35" t="s">
        <v>6811</v>
      </c>
    </row>
    <row r="1305">
      <c r="A1305" s="38"/>
      <c r="B1305" s="28" t="s">
        <v>7222</v>
      </c>
      <c r="C1305" s="28" t="s">
        <v>6817</v>
      </c>
      <c r="D1305" s="29" t="s">
        <v>7223</v>
      </c>
      <c r="E1305" s="30"/>
      <c r="F1305" s="28" t="s">
        <v>7224</v>
      </c>
      <c r="I1305" s="32"/>
      <c r="J1305" s="32"/>
      <c r="K1305" s="33" t="s">
        <v>7222</v>
      </c>
      <c r="L1305" s="33" t="s">
        <v>7225</v>
      </c>
      <c r="N1305" s="33" t="s">
        <v>7222</v>
      </c>
      <c r="O1305" s="35" t="s">
        <v>6816</v>
      </c>
    </row>
    <row r="1306">
      <c r="A1306" s="38"/>
      <c r="B1306" s="28" t="s">
        <v>7226</v>
      </c>
      <c r="C1306" s="28" t="s">
        <v>7227</v>
      </c>
      <c r="D1306" s="29" t="s">
        <v>7228</v>
      </c>
      <c r="E1306" s="30" t="s">
        <v>7229</v>
      </c>
      <c r="F1306" s="28" t="s">
        <v>7230</v>
      </c>
      <c r="I1306" s="32"/>
      <c r="J1306" s="32"/>
      <c r="K1306" s="33" t="s">
        <v>7226</v>
      </c>
      <c r="L1306" s="33" t="s">
        <v>7231</v>
      </c>
      <c r="N1306" s="33" t="s">
        <v>7226</v>
      </c>
      <c r="O1306" s="35"/>
    </row>
    <row r="1307">
      <c r="A1307" s="38"/>
      <c r="B1307" s="28" t="s">
        <v>7232</v>
      </c>
      <c r="C1307" s="28" t="s">
        <v>6827</v>
      </c>
      <c r="D1307" s="29" t="s">
        <v>7233</v>
      </c>
      <c r="E1307" s="30" t="s">
        <v>7234</v>
      </c>
      <c r="F1307" s="28" t="s">
        <v>7235</v>
      </c>
      <c r="I1307" s="32"/>
      <c r="J1307" s="32"/>
      <c r="K1307" s="33" t="s">
        <v>7232</v>
      </c>
      <c r="L1307" s="33" t="s">
        <v>7236</v>
      </c>
      <c r="N1307" s="33" t="s">
        <v>7232</v>
      </c>
      <c r="O1307" s="35"/>
    </row>
    <row r="1308">
      <c r="A1308" s="38"/>
      <c r="B1308" s="28" t="s">
        <v>7237</v>
      </c>
      <c r="C1308" s="28" t="s">
        <v>7238</v>
      </c>
      <c r="D1308" s="29" t="s">
        <v>7239</v>
      </c>
      <c r="E1308" s="54" t="s">
        <v>7240</v>
      </c>
      <c r="F1308" s="28" t="s">
        <v>7241</v>
      </c>
      <c r="I1308" s="32"/>
      <c r="J1308" s="32"/>
      <c r="K1308" s="33" t="s">
        <v>7237</v>
      </c>
      <c r="L1308" s="33" t="s">
        <v>7242</v>
      </c>
      <c r="N1308" s="33" t="s">
        <v>7237</v>
      </c>
      <c r="O1308" s="35" t="s">
        <v>7243</v>
      </c>
    </row>
    <row r="1309">
      <c r="A1309" s="38"/>
      <c r="B1309" s="28" t="s">
        <v>7244</v>
      </c>
      <c r="C1309" s="28" t="s">
        <v>6840</v>
      </c>
      <c r="D1309" s="29" t="s">
        <v>7245</v>
      </c>
      <c r="E1309" s="54" t="s">
        <v>7246</v>
      </c>
      <c r="F1309" s="28" t="s">
        <v>7247</v>
      </c>
      <c r="I1309" s="32"/>
      <c r="J1309" s="32"/>
      <c r="K1309" s="33" t="s">
        <v>7244</v>
      </c>
      <c r="L1309" s="33" t="s">
        <v>7248</v>
      </c>
      <c r="N1309" s="33" t="s">
        <v>7244</v>
      </c>
      <c r="O1309" s="35" t="s">
        <v>6839</v>
      </c>
    </row>
    <row r="1310">
      <c r="A1310" s="38"/>
      <c r="B1310" s="28" t="s">
        <v>7249</v>
      </c>
      <c r="C1310" s="28" t="s">
        <v>7250</v>
      </c>
      <c r="D1310" s="29" t="s">
        <v>7251</v>
      </c>
      <c r="E1310" s="54" t="s">
        <v>7252</v>
      </c>
      <c r="F1310" s="28" t="s">
        <v>7253</v>
      </c>
      <c r="I1310" s="32"/>
      <c r="J1310" s="32"/>
      <c r="K1310" s="33" t="s">
        <v>7249</v>
      </c>
      <c r="L1310" s="33" t="s">
        <v>7254</v>
      </c>
      <c r="N1310" s="33" t="s">
        <v>7249</v>
      </c>
      <c r="O1310" s="35" t="s">
        <v>7255</v>
      </c>
    </row>
    <row r="1311">
      <c r="A1311" s="38"/>
      <c r="B1311" s="28" t="s">
        <v>7256</v>
      </c>
      <c r="C1311" s="28" t="s">
        <v>6846</v>
      </c>
      <c r="D1311" s="29" t="s">
        <v>7257</v>
      </c>
      <c r="E1311" s="54" t="s">
        <v>7258</v>
      </c>
      <c r="F1311" s="28" t="s">
        <v>7259</v>
      </c>
      <c r="I1311" s="32"/>
      <c r="J1311" s="32"/>
      <c r="K1311" s="33" t="s">
        <v>7256</v>
      </c>
      <c r="L1311" s="33" t="s">
        <v>7260</v>
      </c>
      <c r="N1311" s="33" t="s">
        <v>7256</v>
      </c>
      <c r="O1311" s="35" t="s">
        <v>6845</v>
      </c>
    </row>
    <row r="1312">
      <c r="A1312" s="38"/>
      <c r="B1312" s="28" t="s">
        <v>7261</v>
      </c>
      <c r="C1312" s="28" t="s">
        <v>6859</v>
      </c>
      <c r="D1312" s="29" t="s">
        <v>7262</v>
      </c>
      <c r="E1312" s="30" t="s">
        <v>7263</v>
      </c>
      <c r="F1312" s="28" t="s">
        <v>7264</v>
      </c>
      <c r="I1312" s="32"/>
      <c r="J1312" s="32"/>
      <c r="K1312" s="33" t="s">
        <v>7261</v>
      </c>
      <c r="L1312" s="33" t="s">
        <v>7265</v>
      </c>
      <c r="N1312" s="33" t="s">
        <v>7261</v>
      </c>
      <c r="O1312" s="35" t="s">
        <v>6858</v>
      </c>
    </row>
    <row r="1313">
      <c r="A1313" s="38"/>
      <c r="B1313" s="28" t="s">
        <v>7266</v>
      </c>
      <c r="C1313" s="28" t="s">
        <v>7267</v>
      </c>
      <c r="D1313" s="29" t="s">
        <v>7268</v>
      </c>
      <c r="E1313" s="30" t="s">
        <v>1760</v>
      </c>
      <c r="F1313" s="28" t="s">
        <v>7269</v>
      </c>
      <c r="I1313" s="32"/>
      <c r="J1313" s="32"/>
      <c r="K1313" s="33" t="s">
        <v>7266</v>
      </c>
      <c r="L1313" s="33" t="s">
        <v>7270</v>
      </c>
      <c r="N1313" s="33" t="s">
        <v>7266</v>
      </c>
      <c r="O1313" s="35" t="s">
        <v>7271</v>
      </c>
    </row>
    <row r="1314">
      <c r="A1314" s="38"/>
      <c r="B1314" s="28" t="s">
        <v>7272</v>
      </c>
      <c r="C1314" s="28" t="s">
        <v>6878</v>
      </c>
      <c r="D1314" s="29" t="s">
        <v>7273</v>
      </c>
      <c r="E1314" s="54" t="s">
        <v>7274</v>
      </c>
      <c r="F1314" s="28" t="s">
        <v>7275</v>
      </c>
      <c r="I1314" s="32"/>
      <c r="J1314" s="32"/>
      <c r="K1314" s="33" t="s">
        <v>7272</v>
      </c>
      <c r="L1314" s="33" t="s">
        <v>7276</v>
      </c>
      <c r="N1314" s="33" t="s">
        <v>7272</v>
      </c>
      <c r="O1314" s="35" t="s">
        <v>6877</v>
      </c>
    </row>
    <row r="1315">
      <c r="A1315" s="38"/>
      <c r="B1315" s="28" t="s">
        <v>7277</v>
      </c>
      <c r="C1315" s="28" t="s">
        <v>6883</v>
      </c>
      <c r="D1315" s="29" t="s">
        <v>7278</v>
      </c>
      <c r="E1315" s="30" t="s">
        <v>7279</v>
      </c>
      <c r="F1315" s="28" t="s">
        <v>7280</v>
      </c>
      <c r="I1315" s="32"/>
      <c r="J1315" s="32"/>
      <c r="K1315" s="33" t="s">
        <v>7277</v>
      </c>
      <c r="L1315" s="33" t="s">
        <v>7281</v>
      </c>
      <c r="N1315" s="33" t="s">
        <v>7277</v>
      </c>
      <c r="O1315" s="35"/>
    </row>
    <row r="1316">
      <c r="A1316" s="38"/>
      <c r="B1316" s="28" t="s">
        <v>7282</v>
      </c>
      <c r="C1316" s="28" t="s">
        <v>7283</v>
      </c>
      <c r="D1316" s="29" t="s">
        <v>7284</v>
      </c>
      <c r="E1316" s="30" t="s">
        <v>7285</v>
      </c>
      <c r="F1316" s="28" t="s">
        <v>7286</v>
      </c>
      <c r="I1316" s="32"/>
      <c r="J1316" s="32"/>
      <c r="K1316" s="33" t="s">
        <v>7282</v>
      </c>
      <c r="L1316" s="33" t="s">
        <v>7287</v>
      </c>
      <c r="N1316" s="33" t="s">
        <v>7282</v>
      </c>
      <c r="O1316" s="35" t="s">
        <v>7288</v>
      </c>
    </row>
    <row r="1317">
      <c r="A1317" s="38"/>
      <c r="B1317" s="28" t="s">
        <v>7289</v>
      </c>
      <c r="C1317" s="28" t="s">
        <v>7290</v>
      </c>
      <c r="D1317" s="29" t="s">
        <v>7291</v>
      </c>
      <c r="E1317" s="30" t="s">
        <v>7292</v>
      </c>
      <c r="F1317" s="28" t="s">
        <v>7293</v>
      </c>
      <c r="I1317" s="32"/>
      <c r="J1317" s="32"/>
      <c r="K1317" s="33" t="s">
        <v>7289</v>
      </c>
      <c r="L1317" s="33" t="s">
        <v>7294</v>
      </c>
      <c r="N1317" s="33" t="s">
        <v>7289</v>
      </c>
      <c r="O1317" s="35"/>
    </row>
    <row r="1318">
      <c r="A1318" s="38"/>
      <c r="B1318" s="28" t="s">
        <v>7295</v>
      </c>
      <c r="C1318" s="28" t="s">
        <v>7296</v>
      </c>
      <c r="D1318" s="29" t="s">
        <v>7297</v>
      </c>
      <c r="E1318" s="30" t="s">
        <v>7298</v>
      </c>
      <c r="F1318" s="28" t="s">
        <v>7299</v>
      </c>
      <c r="I1318" s="32"/>
      <c r="J1318" s="32"/>
      <c r="K1318" s="33" t="s">
        <v>7295</v>
      </c>
      <c r="L1318" s="33" t="s">
        <v>7300</v>
      </c>
      <c r="N1318" s="33" t="s">
        <v>7295</v>
      </c>
      <c r="O1318" s="35"/>
    </row>
    <row r="1319">
      <c r="A1319" s="38"/>
      <c r="B1319" s="28" t="s">
        <v>7301</v>
      </c>
      <c r="C1319" s="28" t="s">
        <v>6907</v>
      </c>
      <c r="D1319" s="60" t="s">
        <v>7302</v>
      </c>
      <c r="E1319" s="30"/>
      <c r="F1319" s="28" t="s">
        <v>7303</v>
      </c>
      <c r="I1319" s="32"/>
      <c r="J1319" s="32"/>
      <c r="K1319" s="33" t="s">
        <v>7301</v>
      </c>
      <c r="L1319" s="33" t="s">
        <v>7304</v>
      </c>
      <c r="N1319" s="33" t="s">
        <v>7301</v>
      </c>
      <c r="O1319" s="35"/>
    </row>
    <row r="1320">
      <c r="A1320" s="38"/>
      <c r="B1320" s="28" t="s">
        <v>7305</v>
      </c>
      <c r="C1320" s="28" t="s">
        <v>6912</v>
      </c>
      <c r="D1320" s="29" t="s">
        <v>7306</v>
      </c>
      <c r="E1320" s="30"/>
      <c r="F1320" s="28" t="s">
        <v>7307</v>
      </c>
      <c r="I1320" s="32"/>
      <c r="J1320" s="32"/>
      <c r="K1320" s="33" t="s">
        <v>7305</v>
      </c>
      <c r="L1320" s="33" t="s">
        <v>7308</v>
      </c>
      <c r="N1320" s="33" t="s">
        <v>7305</v>
      </c>
      <c r="O1320" s="35" t="s">
        <v>6911</v>
      </c>
    </row>
    <row r="1321">
      <c r="A1321" s="38"/>
      <c r="B1321" s="28" t="s">
        <v>7309</v>
      </c>
      <c r="C1321" s="28" t="s">
        <v>6917</v>
      </c>
      <c r="D1321" s="29" t="s">
        <v>7310</v>
      </c>
      <c r="E1321" s="30" t="s">
        <v>7311</v>
      </c>
      <c r="F1321" s="28" t="s">
        <v>7312</v>
      </c>
      <c r="I1321" s="32"/>
      <c r="J1321" s="32"/>
      <c r="K1321" s="33" t="s">
        <v>7309</v>
      </c>
      <c r="L1321" s="33" t="s">
        <v>7313</v>
      </c>
      <c r="N1321" s="33" t="s">
        <v>7309</v>
      </c>
      <c r="O1321" s="35" t="s">
        <v>6916</v>
      </c>
    </row>
    <row r="1322">
      <c r="A1322" s="38"/>
      <c r="B1322" s="28" t="s">
        <v>7314</v>
      </c>
      <c r="C1322" s="28" t="s">
        <v>6922</v>
      </c>
      <c r="D1322" s="29" t="s">
        <v>7315</v>
      </c>
      <c r="E1322" s="30" t="s">
        <v>7316</v>
      </c>
      <c r="F1322" s="28" t="s">
        <v>7317</v>
      </c>
      <c r="I1322" s="32"/>
      <c r="J1322" s="32"/>
      <c r="K1322" s="33" t="s">
        <v>7314</v>
      </c>
      <c r="L1322" s="33" t="s">
        <v>7318</v>
      </c>
      <c r="N1322" s="33" t="s">
        <v>7314</v>
      </c>
      <c r="O1322" s="35"/>
    </row>
    <row r="1323">
      <c r="A1323" s="38"/>
      <c r="B1323" s="28" t="s">
        <v>7319</v>
      </c>
      <c r="C1323" s="28" t="s">
        <v>6938</v>
      </c>
      <c r="D1323" s="29" t="s">
        <v>7320</v>
      </c>
      <c r="E1323" s="30" t="s">
        <v>7321</v>
      </c>
      <c r="F1323" s="28" t="s">
        <v>7322</v>
      </c>
      <c r="I1323" s="32"/>
      <c r="J1323" s="32"/>
      <c r="K1323" s="33" t="s">
        <v>7319</v>
      </c>
      <c r="L1323" s="33" t="s">
        <v>7323</v>
      </c>
      <c r="N1323" s="33" t="s">
        <v>7319</v>
      </c>
      <c r="O1323" s="35"/>
    </row>
    <row r="1324">
      <c r="A1324" s="38"/>
      <c r="B1324" s="28" t="s">
        <v>7324</v>
      </c>
      <c r="C1324" s="28" t="s">
        <v>6949</v>
      </c>
      <c r="D1324" s="29" t="s">
        <v>7325</v>
      </c>
      <c r="E1324" s="30" t="s">
        <v>7326</v>
      </c>
      <c r="F1324" s="28" t="s">
        <v>7327</v>
      </c>
      <c r="I1324" s="32"/>
      <c r="J1324" s="32"/>
      <c r="K1324" s="33" t="s">
        <v>7324</v>
      </c>
      <c r="L1324" s="33" t="s">
        <v>7328</v>
      </c>
      <c r="N1324" s="33" t="s">
        <v>7324</v>
      </c>
      <c r="O1324" s="35" t="s">
        <v>6948</v>
      </c>
    </row>
    <row r="1325">
      <c r="A1325" s="38"/>
      <c r="B1325" s="28" t="s">
        <v>7329</v>
      </c>
      <c r="C1325" s="28" t="s">
        <v>6959</v>
      </c>
      <c r="D1325" s="29" t="s">
        <v>7330</v>
      </c>
      <c r="E1325" s="30"/>
      <c r="F1325" s="28" t="s">
        <v>7331</v>
      </c>
      <c r="I1325" s="32"/>
      <c r="J1325" s="32"/>
      <c r="K1325" s="33" t="s">
        <v>7329</v>
      </c>
      <c r="L1325" s="33" t="s">
        <v>7332</v>
      </c>
      <c r="N1325" s="33" t="s">
        <v>7329</v>
      </c>
      <c r="O1325" s="35" t="s">
        <v>6958</v>
      </c>
    </row>
    <row r="1326">
      <c r="A1326" s="38"/>
      <c r="B1326" s="28" t="s">
        <v>7333</v>
      </c>
      <c r="C1326" s="28" t="s">
        <v>6964</v>
      </c>
      <c r="D1326" s="29" t="s">
        <v>7334</v>
      </c>
      <c r="E1326" s="30"/>
      <c r="F1326" s="28" t="s">
        <v>7335</v>
      </c>
      <c r="I1326" s="32"/>
      <c r="J1326" s="32"/>
      <c r="K1326" s="33" t="s">
        <v>7333</v>
      </c>
      <c r="L1326" s="33" t="s">
        <v>7336</v>
      </c>
      <c r="N1326" s="33" t="s">
        <v>7333</v>
      </c>
      <c r="O1326" s="35" t="s">
        <v>6963</v>
      </c>
    </row>
    <row r="1327">
      <c r="A1327" s="38"/>
      <c r="B1327" s="28" t="s">
        <v>7337</v>
      </c>
      <c r="C1327" s="28" t="s">
        <v>6981</v>
      </c>
      <c r="D1327" s="29" t="s">
        <v>7338</v>
      </c>
      <c r="E1327" s="30"/>
      <c r="F1327" s="28" t="s">
        <v>669</v>
      </c>
      <c r="I1327" s="32"/>
      <c r="J1327" s="32"/>
      <c r="K1327" s="33" t="s">
        <v>7337</v>
      </c>
      <c r="L1327" s="33" t="s">
        <v>7339</v>
      </c>
      <c r="N1327" s="33" t="s">
        <v>7337</v>
      </c>
      <c r="O1327" s="35" t="s">
        <v>6980</v>
      </c>
    </row>
    <row r="1328">
      <c r="A1328" s="38"/>
      <c r="B1328" s="28" t="s">
        <v>7340</v>
      </c>
      <c r="C1328" s="28" t="s">
        <v>7341</v>
      </c>
      <c r="D1328" s="29" t="s">
        <v>7342</v>
      </c>
      <c r="E1328" s="30" t="s">
        <v>7343</v>
      </c>
      <c r="F1328" s="28" t="s">
        <v>7344</v>
      </c>
      <c r="I1328" s="32"/>
      <c r="J1328" s="32"/>
      <c r="K1328" s="33" t="s">
        <v>7340</v>
      </c>
      <c r="L1328" s="33" t="s">
        <v>7345</v>
      </c>
      <c r="N1328" s="33" t="s">
        <v>7340</v>
      </c>
      <c r="O1328" s="35"/>
    </row>
    <row r="1329">
      <c r="A1329" s="38"/>
      <c r="B1329" s="28" t="s">
        <v>7346</v>
      </c>
      <c r="C1329" s="28" t="s">
        <v>6988</v>
      </c>
      <c r="D1329" s="29" t="s">
        <v>7347</v>
      </c>
      <c r="E1329" s="30" t="s">
        <v>7348</v>
      </c>
      <c r="F1329" s="28" t="s">
        <v>7349</v>
      </c>
      <c r="I1329" s="32"/>
      <c r="J1329" s="32"/>
      <c r="K1329" s="33" t="s">
        <v>7346</v>
      </c>
      <c r="L1329" s="33" t="s">
        <v>7350</v>
      </c>
      <c r="N1329" s="33" t="s">
        <v>7346</v>
      </c>
      <c r="O1329" s="35" t="s">
        <v>6987</v>
      </c>
    </row>
    <row r="1330">
      <c r="A1330" s="38"/>
      <c r="B1330" s="28" t="s">
        <v>7351</v>
      </c>
      <c r="C1330" s="28" t="s">
        <v>6999</v>
      </c>
      <c r="D1330" s="29" t="s">
        <v>7352</v>
      </c>
      <c r="E1330" s="30"/>
      <c r="F1330" s="28" t="s">
        <v>7353</v>
      </c>
      <c r="I1330" s="32"/>
      <c r="J1330" s="32"/>
      <c r="K1330" s="33" t="s">
        <v>7351</v>
      </c>
      <c r="L1330" s="33" t="s">
        <v>7354</v>
      </c>
      <c r="N1330" s="33" t="s">
        <v>7351</v>
      </c>
      <c r="O1330" s="47" t="s">
        <v>7355</v>
      </c>
    </row>
    <row r="1331">
      <c r="A1331" s="38"/>
      <c r="B1331" s="28" t="s">
        <v>7356</v>
      </c>
      <c r="C1331" s="28" t="s">
        <v>7357</v>
      </c>
      <c r="D1331" s="29" t="s">
        <v>7358</v>
      </c>
      <c r="E1331" s="30"/>
      <c r="F1331" s="28" t="s">
        <v>7359</v>
      </c>
      <c r="I1331" s="32"/>
      <c r="J1331" s="32"/>
      <c r="K1331" s="33" t="s">
        <v>7356</v>
      </c>
      <c r="L1331" s="33" t="s">
        <v>7360</v>
      </c>
      <c r="N1331" s="33" t="s">
        <v>7356</v>
      </c>
      <c r="O1331" s="47" t="s">
        <v>7361</v>
      </c>
    </row>
    <row r="1332">
      <c r="A1332" s="38"/>
      <c r="B1332" s="28" t="s">
        <v>7362</v>
      </c>
      <c r="C1332" s="28" t="s">
        <v>7013</v>
      </c>
      <c r="D1332" s="29" t="s">
        <v>7363</v>
      </c>
      <c r="E1332" s="30"/>
      <c r="F1332" s="28" t="s">
        <v>7364</v>
      </c>
      <c r="I1332" s="32"/>
      <c r="J1332" s="32"/>
      <c r="K1332" s="33" t="s">
        <v>7362</v>
      </c>
      <c r="L1332" s="33" t="s">
        <v>7365</v>
      </c>
      <c r="N1332" s="33" t="s">
        <v>7362</v>
      </c>
      <c r="O1332" s="35" t="s">
        <v>7012</v>
      </c>
    </row>
    <row r="1333">
      <c r="A1333" s="38"/>
      <c r="B1333" s="28" t="s">
        <v>7366</v>
      </c>
      <c r="C1333" s="28" t="s">
        <v>7024</v>
      </c>
      <c r="D1333" s="29" t="s">
        <v>7367</v>
      </c>
      <c r="E1333" s="30" t="s">
        <v>7368</v>
      </c>
      <c r="F1333" s="28" t="s">
        <v>7369</v>
      </c>
      <c r="I1333" s="32"/>
      <c r="J1333" s="32"/>
      <c r="K1333" s="33" t="s">
        <v>7366</v>
      </c>
      <c r="L1333" s="33" t="s">
        <v>7370</v>
      </c>
      <c r="N1333" s="33" t="s">
        <v>7366</v>
      </c>
      <c r="O1333" s="35" t="s">
        <v>7023</v>
      </c>
    </row>
    <row r="1334">
      <c r="A1334" s="38"/>
      <c r="B1334" s="28" t="s">
        <v>7371</v>
      </c>
      <c r="C1334" s="28" t="s">
        <v>7034</v>
      </c>
      <c r="D1334" s="29" t="s">
        <v>7372</v>
      </c>
      <c r="E1334" s="30" t="s">
        <v>7368</v>
      </c>
      <c r="F1334" s="28" t="s">
        <v>7373</v>
      </c>
      <c r="I1334" s="32"/>
      <c r="J1334" s="32"/>
      <c r="K1334" s="33" t="s">
        <v>7371</v>
      </c>
      <c r="L1334" s="33" t="s">
        <v>7374</v>
      </c>
      <c r="N1334" s="33" t="s">
        <v>7371</v>
      </c>
      <c r="O1334" s="35" t="s">
        <v>7033</v>
      </c>
    </row>
    <row r="1335">
      <c r="A1335" s="38"/>
      <c r="B1335" s="28" t="s">
        <v>7375</v>
      </c>
      <c r="C1335" s="28" t="s">
        <v>7041</v>
      </c>
      <c r="D1335" s="29" t="s">
        <v>7376</v>
      </c>
      <c r="E1335" s="30" t="s">
        <v>7377</v>
      </c>
      <c r="F1335" s="28" t="s">
        <v>7378</v>
      </c>
      <c r="I1335" s="32"/>
      <c r="J1335" s="32"/>
      <c r="K1335" s="33" t="s">
        <v>7375</v>
      </c>
      <c r="L1335" s="33" t="s">
        <v>7379</v>
      </c>
      <c r="N1335" s="33" t="s">
        <v>7375</v>
      </c>
      <c r="O1335" s="35" t="s">
        <v>7040</v>
      </c>
    </row>
    <row r="1336">
      <c r="A1336" s="38"/>
      <c r="B1336" s="28" t="s">
        <v>7380</v>
      </c>
      <c r="C1336" s="28" t="s">
        <v>7046</v>
      </c>
      <c r="D1336" s="29" t="s">
        <v>7381</v>
      </c>
      <c r="E1336" s="30" t="s">
        <v>7382</v>
      </c>
      <c r="F1336" s="28" t="s">
        <v>7383</v>
      </c>
      <c r="I1336" s="32"/>
      <c r="J1336" s="32"/>
      <c r="K1336" s="33" t="s">
        <v>7380</v>
      </c>
      <c r="L1336" s="33" t="s">
        <v>7384</v>
      </c>
      <c r="N1336" s="33" t="s">
        <v>7380</v>
      </c>
      <c r="O1336" s="35"/>
    </row>
    <row r="1337">
      <c r="A1337" s="38"/>
      <c r="B1337" s="28" t="s">
        <v>7385</v>
      </c>
      <c r="C1337" s="28" t="s">
        <v>7051</v>
      </c>
      <c r="D1337" s="29" t="s">
        <v>7386</v>
      </c>
      <c r="E1337" s="30" t="s">
        <v>7387</v>
      </c>
      <c r="F1337" s="28" t="s">
        <v>7388</v>
      </c>
      <c r="I1337" s="32"/>
      <c r="J1337" s="32"/>
      <c r="K1337" s="33" t="s">
        <v>7385</v>
      </c>
      <c r="L1337" s="33" t="s">
        <v>7389</v>
      </c>
      <c r="N1337" s="33" t="s">
        <v>7385</v>
      </c>
      <c r="O1337" s="35" t="s">
        <v>7050</v>
      </c>
    </row>
    <row r="1338">
      <c r="A1338" s="38"/>
      <c r="B1338" s="28" t="s">
        <v>7390</v>
      </c>
      <c r="C1338" s="28" t="s">
        <v>7057</v>
      </c>
      <c r="D1338" s="29" t="s">
        <v>7391</v>
      </c>
      <c r="E1338" s="30" t="s">
        <v>7392</v>
      </c>
      <c r="F1338" s="28" t="s">
        <v>7393</v>
      </c>
      <c r="I1338" s="32"/>
      <c r="J1338" s="32"/>
      <c r="K1338" s="33" t="s">
        <v>7390</v>
      </c>
      <c r="L1338" s="33" t="s">
        <v>7394</v>
      </c>
      <c r="N1338" s="33" t="s">
        <v>7390</v>
      </c>
      <c r="O1338" s="35"/>
    </row>
    <row r="1339">
      <c r="A1339" s="38"/>
      <c r="B1339" s="28" t="s">
        <v>7395</v>
      </c>
      <c r="C1339" s="28" t="s">
        <v>7071</v>
      </c>
      <c r="D1339" s="29" t="s">
        <v>7396</v>
      </c>
      <c r="E1339" s="30" t="s">
        <v>7397</v>
      </c>
      <c r="F1339" s="28" t="s">
        <v>7398</v>
      </c>
      <c r="I1339" s="32"/>
      <c r="J1339" s="32"/>
      <c r="K1339" s="33" t="s">
        <v>7395</v>
      </c>
      <c r="L1339" s="33" t="s">
        <v>7399</v>
      </c>
      <c r="N1339" s="33" t="s">
        <v>7395</v>
      </c>
      <c r="O1339" s="35"/>
    </row>
    <row r="1340">
      <c r="A1340" s="38"/>
      <c r="B1340" s="28" t="s">
        <v>7400</v>
      </c>
      <c r="C1340" s="28" t="s">
        <v>7075</v>
      </c>
      <c r="D1340" s="29" t="s">
        <v>7401</v>
      </c>
      <c r="E1340" s="30"/>
      <c r="F1340" s="28" t="s">
        <v>7402</v>
      </c>
      <c r="I1340" s="32"/>
      <c r="J1340" s="32"/>
      <c r="K1340" s="33" t="s">
        <v>7400</v>
      </c>
      <c r="L1340" s="33" t="s">
        <v>7403</v>
      </c>
      <c r="N1340" s="33" t="s">
        <v>7400</v>
      </c>
      <c r="O1340" s="35"/>
    </row>
    <row r="1341">
      <c r="A1341" s="38"/>
      <c r="B1341" s="28" t="s">
        <v>7404</v>
      </c>
      <c r="C1341" s="28" t="s">
        <v>7405</v>
      </c>
      <c r="D1341" s="29" t="s">
        <v>7406</v>
      </c>
      <c r="E1341" s="30" t="s">
        <v>548</v>
      </c>
      <c r="F1341" s="28" t="s">
        <v>7407</v>
      </c>
      <c r="I1341" s="32"/>
      <c r="J1341" s="32"/>
      <c r="K1341" s="33" t="s">
        <v>7404</v>
      </c>
      <c r="L1341" s="33" t="s">
        <v>7408</v>
      </c>
      <c r="N1341" s="33" t="s">
        <v>7404</v>
      </c>
      <c r="O1341" s="35" t="s">
        <v>7409</v>
      </c>
    </row>
    <row r="1342">
      <c r="A1342" s="38"/>
      <c r="B1342" s="28" t="s">
        <v>7410</v>
      </c>
      <c r="C1342" s="28" t="s">
        <v>7411</v>
      </c>
      <c r="D1342" s="29" t="s">
        <v>7412</v>
      </c>
      <c r="E1342" s="30" t="s">
        <v>7413</v>
      </c>
      <c r="F1342" s="28" t="s">
        <v>7414</v>
      </c>
      <c r="I1342" s="32"/>
      <c r="J1342" s="32"/>
      <c r="K1342" s="33" t="s">
        <v>7410</v>
      </c>
      <c r="L1342" s="33" t="s">
        <v>7415</v>
      </c>
      <c r="N1342" s="33" t="s">
        <v>7410</v>
      </c>
      <c r="O1342" s="35" t="s">
        <v>7416</v>
      </c>
    </row>
    <row r="1343">
      <c r="A1343" s="38"/>
      <c r="B1343" s="28" t="s">
        <v>7417</v>
      </c>
      <c r="C1343" s="28" t="s">
        <v>7418</v>
      </c>
      <c r="D1343" s="29" t="s">
        <v>7419</v>
      </c>
      <c r="E1343" s="30" t="s">
        <v>7420</v>
      </c>
      <c r="F1343" s="28" t="s">
        <v>7421</v>
      </c>
      <c r="I1343" s="32"/>
      <c r="J1343" s="32"/>
      <c r="K1343" s="33" t="s">
        <v>7417</v>
      </c>
      <c r="L1343" s="33" t="s">
        <v>7422</v>
      </c>
      <c r="N1343" s="33" t="s">
        <v>7417</v>
      </c>
      <c r="O1343" s="35"/>
    </row>
    <row r="1344">
      <c r="A1344" s="38"/>
      <c r="B1344" s="28" t="s">
        <v>7423</v>
      </c>
      <c r="C1344" s="28" t="s">
        <v>7424</v>
      </c>
      <c r="D1344" s="29" t="s">
        <v>7425</v>
      </c>
      <c r="E1344" s="30" t="s">
        <v>7426</v>
      </c>
      <c r="F1344" s="28" t="s">
        <v>7427</v>
      </c>
      <c r="I1344" s="32"/>
      <c r="J1344" s="32"/>
      <c r="K1344" s="33" t="s">
        <v>7423</v>
      </c>
      <c r="L1344" s="33" t="s">
        <v>7428</v>
      </c>
      <c r="N1344" s="33" t="s">
        <v>7423</v>
      </c>
      <c r="O1344" s="35"/>
    </row>
    <row r="1345">
      <c r="A1345" s="38"/>
      <c r="B1345" s="28" t="s">
        <v>7429</v>
      </c>
      <c r="C1345" s="28" t="s">
        <v>7081</v>
      </c>
      <c r="D1345" s="29" t="s">
        <v>7430</v>
      </c>
      <c r="E1345" s="30"/>
      <c r="F1345" s="28" t="s">
        <v>7431</v>
      </c>
      <c r="I1345" s="32"/>
      <c r="J1345" s="32"/>
      <c r="K1345" s="33" t="s">
        <v>7429</v>
      </c>
      <c r="L1345" s="33" t="s">
        <v>7432</v>
      </c>
      <c r="N1345" s="33" t="s">
        <v>7429</v>
      </c>
      <c r="O1345" s="35" t="s">
        <v>7080</v>
      </c>
    </row>
    <row r="1346">
      <c r="A1346" s="38"/>
      <c r="B1346" s="28" t="s">
        <v>7433</v>
      </c>
      <c r="C1346" s="28" t="s">
        <v>7098</v>
      </c>
      <c r="D1346" s="29" t="s">
        <v>7434</v>
      </c>
      <c r="E1346" s="30"/>
      <c r="F1346" s="28" t="s">
        <v>7435</v>
      </c>
      <c r="I1346" s="32"/>
      <c r="J1346" s="32"/>
      <c r="K1346" s="33" t="s">
        <v>7433</v>
      </c>
      <c r="L1346" s="33" t="s">
        <v>7436</v>
      </c>
      <c r="N1346" s="33" t="s">
        <v>7433</v>
      </c>
      <c r="O1346" s="35" t="s">
        <v>7097</v>
      </c>
    </row>
    <row r="1347">
      <c r="A1347" s="38"/>
      <c r="B1347" s="28" t="s">
        <v>7437</v>
      </c>
      <c r="C1347" s="28" t="s">
        <v>7110</v>
      </c>
      <c r="D1347" s="29" t="s">
        <v>7438</v>
      </c>
      <c r="E1347" s="54" t="s">
        <v>7439</v>
      </c>
      <c r="F1347" s="28" t="s">
        <v>7440</v>
      </c>
      <c r="I1347" s="32"/>
      <c r="J1347" s="32"/>
      <c r="K1347" s="33" t="s">
        <v>7437</v>
      </c>
      <c r="L1347" s="33" t="s">
        <v>7441</v>
      </c>
      <c r="N1347" s="33" t="s">
        <v>7437</v>
      </c>
      <c r="O1347" s="47" t="s">
        <v>7442</v>
      </c>
    </row>
    <row r="1348">
      <c r="A1348" s="38"/>
      <c r="B1348" s="28" t="s">
        <v>7443</v>
      </c>
      <c r="C1348" s="28" t="s">
        <v>7123</v>
      </c>
      <c r="D1348" s="29" t="s">
        <v>7444</v>
      </c>
      <c r="E1348" s="30" t="s">
        <v>7445</v>
      </c>
      <c r="F1348" s="28" t="s">
        <v>7446</v>
      </c>
      <c r="I1348" s="32"/>
      <c r="J1348" s="32"/>
      <c r="K1348" s="33" t="s">
        <v>7443</v>
      </c>
      <c r="L1348" s="33" t="s">
        <v>7447</v>
      </c>
      <c r="N1348" s="33" t="s">
        <v>7443</v>
      </c>
      <c r="O1348" s="35"/>
    </row>
    <row r="1349">
      <c r="A1349" s="38"/>
      <c r="B1349" s="28" t="s">
        <v>7448</v>
      </c>
      <c r="C1349" s="28" t="s">
        <v>7128</v>
      </c>
      <c r="D1349" s="29" t="s">
        <v>7449</v>
      </c>
      <c r="E1349" s="30" t="s">
        <v>7450</v>
      </c>
      <c r="F1349" s="28" t="s">
        <v>7451</v>
      </c>
      <c r="I1349" s="32"/>
      <c r="J1349" s="32"/>
      <c r="K1349" s="33" t="s">
        <v>7448</v>
      </c>
      <c r="L1349" s="33" t="s">
        <v>7452</v>
      </c>
      <c r="N1349" s="33" t="s">
        <v>7448</v>
      </c>
      <c r="O1349" s="35" t="s">
        <v>7127</v>
      </c>
    </row>
    <row r="1350">
      <c r="A1350" s="38"/>
      <c r="B1350" s="28" t="s">
        <v>7453</v>
      </c>
      <c r="C1350" s="28" t="s">
        <v>7133</v>
      </c>
      <c r="D1350" s="29" t="s">
        <v>7454</v>
      </c>
      <c r="E1350" s="30" t="s">
        <v>7455</v>
      </c>
      <c r="F1350" s="28" t="s">
        <v>7456</v>
      </c>
      <c r="I1350" s="32"/>
      <c r="J1350" s="32"/>
      <c r="K1350" s="33" t="s">
        <v>7453</v>
      </c>
      <c r="L1350" s="33" t="s">
        <v>7457</v>
      </c>
      <c r="N1350" s="33" t="s">
        <v>7453</v>
      </c>
      <c r="O1350" s="47" t="s">
        <v>7458</v>
      </c>
    </row>
    <row r="1351">
      <c r="A1351" s="38"/>
      <c r="B1351" s="28" t="s">
        <v>7459</v>
      </c>
      <c r="C1351" s="28" t="s">
        <v>7460</v>
      </c>
      <c r="D1351" s="29" t="s">
        <v>7461</v>
      </c>
      <c r="E1351" s="54" t="s">
        <v>7462</v>
      </c>
      <c r="F1351" s="28" t="s">
        <v>7463</v>
      </c>
      <c r="I1351" s="32"/>
      <c r="J1351" s="32"/>
      <c r="K1351" s="33" t="s">
        <v>7459</v>
      </c>
      <c r="L1351" s="33" t="s">
        <v>7464</v>
      </c>
      <c r="N1351" s="33" t="s">
        <v>7459</v>
      </c>
      <c r="O1351" s="35"/>
    </row>
    <row r="1352">
      <c r="A1352" s="38"/>
      <c r="B1352" s="28" t="s">
        <v>7465</v>
      </c>
      <c r="C1352" s="28" t="s">
        <v>7466</v>
      </c>
      <c r="D1352" s="29" t="s">
        <v>7467</v>
      </c>
      <c r="E1352" s="30" t="s">
        <v>564</v>
      </c>
      <c r="F1352" s="28" t="s">
        <v>7468</v>
      </c>
      <c r="I1352" s="32"/>
      <c r="J1352" s="32"/>
      <c r="K1352" s="33" t="s">
        <v>7465</v>
      </c>
      <c r="L1352" s="33" t="s">
        <v>7469</v>
      </c>
      <c r="N1352" s="33" t="s">
        <v>7465</v>
      </c>
      <c r="O1352" s="35"/>
    </row>
    <row r="1353">
      <c r="A1353" s="38"/>
      <c r="B1353" s="28" t="s">
        <v>7470</v>
      </c>
      <c r="C1353" s="28" t="s">
        <v>7471</v>
      </c>
      <c r="D1353" s="29" t="s">
        <v>7472</v>
      </c>
      <c r="E1353" s="30" t="s">
        <v>7473</v>
      </c>
      <c r="F1353" s="28" t="s">
        <v>7474</v>
      </c>
      <c r="I1353" s="32"/>
      <c r="J1353" s="32"/>
      <c r="K1353" s="33" t="s">
        <v>7470</v>
      </c>
      <c r="L1353" s="33" t="s">
        <v>7475</v>
      </c>
      <c r="N1353" s="33" t="s">
        <v>7470</v>
      </c>
      <c r="O1353" s="47" t="s">
        <v>7476</v>
      </c>
    </row>
    <row r="1354">
      <c r="A1354" s="38"/>
      <c r="B1354" s="28" t="s">
        <v>7477</v>
      </c>
      <c r="C1354" s="28" t="s">
        <v>7139</v>
      </c>
      <c r="D1354" s="29" t="s">
        <v>7478</v>
      </c>
      <c r="E1354" s="30" t="s">
        <v>7479</v>
      </c>
      <c r="F1354" s="28" t="s">
        <v>7480</v>
      </c>
      <c r="I1354" s="32"/>
      <c r="J1354" s="32"/>
      <c r="K1354" s="33" t="s">
        <v>7477</v>
      </c>
      <c r="L1354" s="33" t="s">
        <v>7481</v>
      </c>
      <c r="N1354" s="33" t="s">
        <v>7477</v>
      </c>
      <c r="O1354" s="35" t="s">
        <v>7138</v>
      </c>
    </row>
    <row r="1355">
      <c r="A1355" s="38"/>
      <c r="B1355" s="28" t="s">
        <v>7482</v>
      </c>
      <c r="C1355" s="28" t="s">
        <v>7483</v>
      </c>
      <c r="D1355" s="29" t="s">
        <v>7484</v>
      </c>
      <c r="E1355" s="30"/>
      <c r="F1355" s="28" t="s">
        <v>7485</v>
      </c>
      <c r="I1355" s="32"/>
      <c r="J1355" s="32"/>
      <c r="K1355" s="33" t="s">
        <v>7482</v>
      </c>
      <c r="L1355" s="33" t="s">
        <v>7486</v>
      </c>
      <c r="N1355" s="33" t="s">
        <v>7482</v>
      </c>
      <c r="O1355" s="35" t="s">
        <v>7487</v>
      </c>
    </row>
    <row r="1356">
      <c r="A1356" s="38"/>
      <c r="B1356" s="28" t="s">
        <v>7488</v>
      </c>
      <c r="C1356" s="28" t="s">
        <v>7489</v>
      </c>
      <c r="D1356" s="29" t="s">
        <v>7490</v>
      </c>
      <c r="E1356" s="30" t="s">
        <v>7491</v>
      </c>
      <c r="F1356" s="28" t="s">
        <v>7492</v>
      </c>
      <c r="I1356" s="32"/>
      <c r="J1356" s="32"/>
      <c r="K1356" s="33" t="s">
        <v>7488</v>
      </c>
      <c r="L1356" s="33" t="s">
        <v>7493</v>
      </c>
      <c r="N1356" s="33" t="s">
        <v>7488</v>
      </c>
      <c r="O1356" s="35"/>
    </row>
    <row r="1357">
      <c r="A1357" s="38"/>
      <c r="B1357" s="28" t="s">
        <v>7494</v>
      </c>
      <c r="C1357" s="28" t="s">
        <v>7157</v>
      </c>
      <c r="D1357" s="29" t="s">
        <v>7495</v>
      </c>
      <c r="E1357" s="30" t="s">
        <v>7496</v>
      </c>
      <c r="F1357" s="28" t="s">
        <v>7497</v>
      </c>
      <c r="I1357" s="32"/>
      <c r="J1357" s="32"/>
      <c r="K1357" s="33" t="s">
        <v>7494</v>
      </c>
      <c r="L1357" s="33" t="s">
        <v>7498</v>
      </c>
      <c r="N1357" s="33" t="s">
        <v>7494</v>
      </c>
      <c r="O1357" s="35" t="s">
        <v>7156</v>
      </c>
    </row>
    <row r="1358">
      <c r="A1358" s="38"/>
      <c r="B1358" s="28" t="s">
        <v>7499</v>
      </c>
      <c r="C1358" s="28" t="s">
        <v>7161</v>
      </c>
      <c r="D1358" s="29" t="s">
        <v>7500</v>
      </c>
      <c r="E1358" s="30" t="s">
        <v>7501</v>
      </c>
      <c r="F1358" s="28" t="s">
        <v>7502</v>
      </c>
      <c r="I1358" s="32"/>
      <c r="J1358" s="32"/>
      <c r="K1358" s="33" t="s">
        <v>7499</v>
      </c>
      <c r="L1358" s="33" t="s">
        <v>7503</v>
      </c>
      <c r="N1358" s="33" t="s">
        <v>7499</v>
      </c>
      <c r="O1358" s="47" t="s">
        <v>7504</v>
      </c>
    </row>
    <row r="1359">
      <c r="A1359" s="38"/>
      <c r="B1359" s="28" t="s">
        <v>7505</v>
      </c>
      <c r="C1359" s="28" t="s">
        <v>7506</v>
      </c>
      <c r="D1359" s="29" t="s">
        <v>7507</v>
      </c>
      <c r="E1359" s="30" t="s">
        <v>7508</v>
      </c>
      <c r="F1359" s="28" t="s">
        <v>7509</v>
      </c>
      <c r="I1359" s="32"/>
      <c r="J1359" s="32"/>
      <c r="K1359" s="33" t="s">
        <v>7505</v>
      </c>
      <c r="L1359" s="33" t="s">
        <v>7510</v>
      </c>
      <c r="N1359" s="33" t="s">
        <v>7505</v>
      </c>
      <c r="O1359" s="35" t="s">
        <v>7511</v>
      </c>
    </row>
    <row r="1360">
      <c r="A1360" s="38"/>
      <c r="B1360" s="28" t="s">
        <v>7512</v>
      </c>
      <c r="C1360" s="28" t="s">
        <v>7166</v>
      </c>
      <c r="D1360" s="29" t="s">
        <v>7513</v>
      </c>
      <c r="E1360" s="30" t="s">
        <v>7514</v>
      </c>
      <c r="F1360" s="28" t="s">
        <v>7515</v>
      </c>
      <c r="I1360" s="32"/>
      <c r="J1360" s="32"/>
      <c r="K1360" s="33" t="s">
        <v>7512</v>
      </c>
      <c r="L1360" s="33" t="s">
        <v>7516</v>
      </c>
      <c r="N1360" s="33" t="s">
        <v>7512</v>
      </c>
      <c r="O1360" s="47" t="s">
        <v>7517</v>
      </c>
    </row>
    <row r="1361">
      <c r="A1361" s="38"/>
      <c r="B1361" s="28" t="s">
        <v>7518</v>
      </c>
      <c r="C1361" s="28" t="s">
        <v>7178</v>
      </c>
      <c r="D1361" s="29" t="s">
        <v>7519</v>
      </c>
      <c r="E1361" s="30" t="s">
        <v>7520</v>
      </c>
      <c r="F1361" s="28" t="s">
        <v>7521</v>
      </c>
      <c r="I1361" s="32"/>
      <c r="J1361" s="32"/>
      <c r="K1361" s="33" t="s">
        <v>7518</v>
      </c>
      <c r="L1361" s="33" t="s">
        <v>7522</v>
      </c>
      <c r="N1361" s="33" t="s">
        <v>7518</v>
      </c>
      <c r="O1361" s="35" t="s">
        <v>7177</v>
      </c>
    </row>
    <row r="1362">
      <c r="A1362" s="38"/>
      <c r="B1362" s="28" t="s">
        <v>7523</v>
      </c>
      <c r="C1362" s="28" t="s">
        <v>7524</v>
      </c>
      <c r="D1362" s="29" t="s">
        <v>7525</v>
      </c>
      <c r="E1362" s="30" t="s">
        <v>7526</v>
      </c>
      <c r="F1362" s="28" t="s">
        <v>7527</v>
      </c>
      <c r="I1362" s="32"/>
      <c r="J1362" s="32"/>
      <c r="K1362" s="33" t="s">
        <v>7523</v>
      </c>
      <c r="L1362" s="33" t="s">
        <v>7528</v>
      </c>
      <c r="N1362" s="33" t="s">
        <v>7523</v>
      </c>
      <c r="O1362" s="35"/>
    </row>
    <row r="1363">
      <c r="A1363" s="38"/>
      <c r="B1363" s="28" t="s">
        <v>7529</v>
      </c>
      <c r="C1363" s="28" t="s">
        <v>7530</v>
      </c>
      <c r="D1363" s="29" t="s">
        <v>7531</v>
      </c>
      <c r="E1363" s="30" t="s">
        <v>7532</v>
      </c>
      <c r="F1363" s="28" t="s">
        <v>7533</v>
      </c>
      <c r="I1363" s="32"/>
      <c r="J1363" s="32"/>
      <c r="K1363" s="33" t="s">
        <v>7529</v>
      </c>
      <c r="L1363" s="33" t="s">
        <v>7534</v>
      </c>
      <c r="N1363" s="33" t="s">
        <v>7529</v>
      </c>
      <c r="O1363" s="35"/>
    </row>
    <row r="1364">
      <c r="A1364" s="38"/>
      <c r="B1364" s="28" t="s">
        <v>7535</v>
      </c>
      <c r="C1364" s="28" t="s">
        <v>7536</v>
      </c>
      <c r="D1364" s="29" t="s">
        <v>7537</v>
      </c>
      <c r="E1364" s="30"/>
      <c r="F1364" s="28" t="s">
        <v>7538</v>
      </c>
      <c r="I1364" s="32"/>
      <c r="J1364" s="32"/>
      <c r="K1364" s="33" t="s">
        <v>7535</v>
      </c>
      <c r="L1364" s="33" t="s">
        <v>7539</v>
      </c>
      <c r="N1364" s="33" t="s">
        <v>7535</v>
      </c>
      <c r="O1364" s="35"/>
    </row>
    <row r="1365">
      <c r="A1365" s="38"/>
      <c r="B1365" s="28" t="s">
        <v>7540</v>
      </c>
      <c r="C1365" s="28" t="s">
        <v>7541</v>
      </c>
      <c r="D1365" s="29" t="s">
        <v>7542</v>
      </c>
      <c r="E1365" s="30" t="s">
        <v>7543</v>
      </c>
      <c r="F1365" s="28" t="s">
        <v>7544</v>
      </c>
      <c r="I1365" s="32"/>
      <c r="J1365" s="32"/>
      <c r="K1365" s="33" t="s">
        <v>7540</v>
      </c>
      <c r="L1365" s="33" t="s">
        <v>7545</v>
      </c>
      <c r="N1365" s="33" t="s">
        <v>7540</v>
      </c>
      <c r="O1365" s="35"/>
    </row>
    <row r="1366">
      <c r="A1366" s="38"/>
      <c r="B1366" s="28" t="s">
        <v>7546</v>
      </c>
      <c r="C1366" s="28" t="s">
        <v>7547</v>
      </c>
      <c r="D1366" s="29" t="s">
        <v>7548</v>
      </c>
      <c r="E1366" s="30" t="s">
        <v>7549</v>
      </c>
      <c r="F1366" s="28" t="s">
        <v>7550</v>
      </c>
      <c r="I1366" s="32"/>
      <c r="J1366" s="32"/>
      <c r="K1366" s="33" t="s">
        <v>7546</v>
      </c>
      <c r="L1366" s="33" t="s">
        <v>7551</v>
      </c>
      <c r="N1366" s="33" t="s">
        <v>7546</v>
      </c>
      <c r="O1366" s="35" t="s">
        <v>7552</v>
      </c>
    </row>
    <row r="1367">
      <c r="A1367" s="38"/>
      <c r="B1367" s="28" t="s">
        <v>7553</v>
      </c>
      <c r="C1367" s="28" t="s">
        <v>7191</v>
      </c>
      <c r="D1367" s="29" t="s">
        <v>7554</v>
      </c>
      <c r="E1367" s="30" t="s">
        <v>7555</v>
      </c>
      <c r="F1367" s="28" t="s">
        <v>7556</v>
      </c>
      <c r="I1367" s="32"/>
      <c r="J1367" s="32"/>
      <c r="K1367" s="33" t="s">
        <v>7553</v>
      </c>
      <c r="L1367" s="33" t="s">
        <v>7557</v>
      </c>
      <c r="N1367" s="33" t="s">
        <v>7553</v>
      </c>
      <c r="O1367" s="35" t="s">
        <v>7190</v>
      </c>
    </row>
    <row r="1368">
      <c r="A1368" s="38"/>
      <c r="B1368" s="28" t="s">
        <v>7558</v>
      </c>
      <c r="C1368" s="28" t="s">
        <v>7559</v>
      </c>
      <c r="D1368" s="29" t="s">
        <v>7560</v>
      </c>
      <c r="E1368" s="30"/>
      <c r="F1368" s="28" t="s">
        <v>7561</v>
      </c>
      <c r="I1368" s="32"/>
      <c r="J1368" s="32"/>
      <c r="K1368" s="33" t="s">
        <v>7558</v>
      </c>
      <c r="L1368" s="33" t="s">
        <v>7562</v>
      </c>
      <c r="N1368" s="33" t="s">
        <v>7558</v>
      </c>
      <c r="O1368" s="35" t="s">
        <v>7563</v>
      </c>
    </row>
    <row r="1369">
      <c r="A1369" s="38"/>
      <c r="B1369" s="28" t="s">
        <v>7564</v>
      </c>
      <c r="C1369" s="28" t="s">
        <v>7565</v>
      </c>
      <c r="D1369" s="29" t="s">
        <v>7566</v>
      </c>
      <c r="E1369" s="30"/>
      <c r="F1369" s="28" t="s">
        <v>7567</v>
      </c>
      <c r="I1369" s="32"/>
      <c r="J1369" s="32"/>
      <c r="K1369" s="33" t="s">
        <v>7564</v>
      </c>
      <c r="L1369" s="33" t="s">
        <v>7568</v>
      </c>
      <c r="N1369" s="33" t="s">
        <v>7564</v>
      </c>
      <c r="O1369" s="47" t="s">
        <v>7569</v>
      </c>
    </row>
    <row r="1370">
      <c r="A1370" s="38"/>
      <c r="B1370" s="28" t="s">
        <v>7570</v>
      </c>
      <c r="C1370" s="28" t="s">
        <v>7571</v>
      </c>
      <c r="D1370" s="29" t="s">
        <v>7572</v>
      </c>
      <c r="E1370" s="30" t="s">
        <v>7573</v>
      </c>
      <c r="F1370" s="28" t="s">
        <v>7574</v>
      </c>
      <c r="I1370" s="32"/>
      <c r="J1370" s="32"/>
      <c r="K1370" s="33" t="s">
        <v>7570</v>
      </c>
      <c r="L1370" s="33" t="s">
        <v>7575</v>
      </c>
      <c r="N1370" s="33" t="s">
        <v>7570</v>
      </c>
      <c r="O1370" s="35" t="s">
        <v>7576</v>
      </c>
    </row>
    <row r="1371">
      <c r="A1371" s="38"/>
      <c r="B1371" s="28" t="s">
        <v>7577</v>
      </c>
      <c r="C1371" s="28" t="s">
        <v>7211</v>
      </c>
      <c r="D1371" s="29" t="s">
        <v>7578</v>
      </c>
      <c r="E1371" s="30" t="s">
        <v>7579</v>
      </c>
      <c r="F1371" s="28" t="s">
        <v>7580</v>
      </c>
      <c r="I1371" s="32"/>
      <c r="J1371" s="32"/>
      <c r="K1371" s="33" t="s">
        <v>7577</v>
      </c>
      <c r="L1371" s="33" t="s">
        <v>7581</v>
      </c>
      <c r="N1371" s="33" t="s">
        <v>7577</v>
      </c>
      <c r="O1371" s="47" t="s">
        <v>7582</v>
      </c>
    </row>
    <row r="1372">
      <c r="A1372" s="38"/>
      <c r="B1372" s="28" t="s">
        <v>7583</v>
      </c>
      <c r="C1372" s="28" t="s">
        <v>7584</v>
      </c>
      <c r="D1372" s="29" t="s">
        <v>7585</v>
      </c>
      <c r="E1372" s="30"/>
      <c r="F1372" s="28" t="s">
        <v>7586</v>
      </c>
      <c r="I1372" s="32"/>
      <c r="J1372" s="32"/>
      <c r="K1372" s="33" t="s">
        <v>7583</v>
      </c>
      <c r="L1372" s="33" t="s">
        <v>7587</v>
      </c>
      <c r="N1372" s="33" t="s">
        <v>7583</v>
      </c>
      <c r="O1372" s="35" t="s">
        <v>7588</v>
      </c>
    </row>
    <row r="1373">
      <c r="A1373" s="38"/>
      <c r="B1373" s="28" t="s">
        <v>7589</v>
      </c>
      <c r="C1373" s="28" t="s">
        <v>7590</v>
      </c>
      <c r="D1373" s="29" t="s">
        <v>7591</v>
      </c>
      <c r="E1373" s="30"/>
      <c r="F1373" s="28" t="s">
        <v>7592</v>
      </c>
      <c r="I1373" s="32"/>
      <c r="J1373" s="32"/>
      <c r="K1373" s="33" t="s">
        <v>7589</v>
      </c>
      <c r="L1373" s="33" t="s">
        <v>7593</v>
      </c>
      <c r="N1373" s="33" t="s">
        <v>7589</v>
      </c>
      <c r="O1373" s="35" t="s">
        <v>7594</v>
      </c>
    </row>
    <row r="1374">
      <c r="A1374" s="38"/>
      <c r="B1374" s="28" t="s">
        <v>7595</v>
      </c>
      <c r="C1374" s="28" t="s">
        <v>7596</v>
      </c>
      <c r="D1374" s="29" t="s">
        <v>7597</v>
      </c>
      <c r="E1374" s="30" t="s">
        <v>7598</v>
      </c>
      <c r="F1374" s="28" t="s">
        <v>7599</v>
      </c>
      <c r="I1374" s="32"/>
      <c r="J1374" s="32"/>
      <c r="K1374" s="33" t="s">
        <v>7595</v>
      </c>
      <c r="L1374" s="33" t="s">
        <v>7600</v>
      </c>
      <c r="N1374" s="33" t="s">
        <v>7595</v>
      </c>
      <c r="O1374" s="35"/>
    </row>
    <row r="1375">
      <c r="A1375" s="38"/>
      <c r="B1375" s="28" t="s">
        <v>7601</v>
      </c>
      <c r="C1375" s="28" t="s">
        <v>7224</v>
      </c>
      <c r="D1375" s="29" t="s">
        <v>7602</v>
      </c>
      <c r="E1375" s="30"/>
      <c r="F1375" s="28" t="s">
        <v>7603</v>
      </c>
      <c r="I1375" s="32"/>
      <c r="J1375" s="32"/>
      <c r="K1375" s="33" t="s">
        <v>7601</v>
      </c>
      <c r="L1375" s="33" t="s">
        <v>7604</v>
      </c>
      <c r="N1375" s="33" t="s">
        <v>7601</v>
      </c>
      <c r="O1375" s="35"/>
    </row>
    <row r="1376">
      <c r="A1376" s="38"/>
      <c r="B1376" s="28" t="s">
        <v>7605</v>
      </c>
      <c r="C1376" s="28" t="s">
        <v>7230</v>
      </c>
      <c r="D1376" s="29" t="s">
        <v>7606</v>
      </c>
      <c r="E1376" s="30"/>
      <c r="F1376" s="28" t="s">
        <v>7607</v>
      </c>
      <c r="I1376" s="32"/>
      <c r="J1376" s="32"/>
      <c r="K1376" s="33" t="s">
        <v>7605</v>
      </c>
      <c r="L1376" s="33" t="s">
        <v>7608</v>
      </c>
      <c r="N1376" s="33" t="s">
        <v>7605</v>
      </c>
      <c r="O1376" s="35" t="s">
        <v>7229</v>
      </c>
    </row>
    <row r="1377">
      <c r="A1377" s="38"/>
      <c r="B1377" s="28" t="s">
        <v>7609</v>
      </c>
      <c r="C1377" s="28" t="s">
        <v>7610</v>
      </c>
      <c r="D1377" s="29" t="s">
        <v>7611</v>
      </c>
      <c r="E1377" s="30" t="s">
        <v>7612</v>
      </c>
      <c r="F1377" s="28" t="s">
        <v>7613</v>
      </c>
      <c r="I1377" s="32"/>
      <c r="J1377" s="32"/>
      <c r="K1377" s="33" t="s">
        <v>7609</v>
      </c>
      <c r="L1377" s="33" t="s">
        <v>7614</v>
      </c>
      <c r="N1377" s="33" t="s">
        <v>7609</v>
      </c>
      <c r="O1377" s="35" t="s">
        <v>7615</v>
      </c>
    </row>
    <row r="1378">
      <c r="A1378" s="38"/>
      <c r="B1378" s="28" t="s">
        <v>7616</v>
      </c>
      <c r="C1378" s="28" t="s">
        <v>7617</v>
      </c>
      <c r="D1378" s="29" t="s">
        <v>7618</v>
      </c>
      <c r="E1378" s="30" t="s">
        <v>7619</v>
      </c>
      <c r="F1378" s="28" t="s">
        <v>7620</v>
      </c>
      <c r="I1378" s="32"/>
      <c r="J1378" s="32"/>
      <c r="K1378" s="33" t="s">
        <v>7616</v>
      </c>
      <c r="L1378" s="33" t="s">
        <v>7621</v>
      </c>
      <c r="N1378" s="33" t="s">
        <v>7616</v>
      </c>
      <c r="O1378" s="35" t="s">
        <v>7622</v>
      </c>
    </row>
    <row r="1379">
      <c r="A1379" s="38"/>
      <c r="B1379" s="28" t="s">
        <v>7623</v>
      </c>
      <c r="C1379" s="28" t="s">
        <v>7624</v>
      </c>
      <c r="D1379" s="29" t="s">
        <v>7625</v>
      </c>
      <c r="E1379" s="54" t="s">
        <v>7626</v>
      </c>
      <c r="F1379" s="28" t="s">
        <v>7627</v>
      </c>
      <c r="I1379" s="32"/>
      <c r="J1379" s="32"/>
      <c r="K1379" s="33" t="s">
        <v>7623</v>
      </c>
      <c r="L1379" s="33" t="s">
        <v>7628</v>
      </c>
      <c r="N1379" s="33" t="s">
        <v>7623</v>
      </c>
      <c r="O1379" s="35" t="s">
        <v>7629</v>
      </c>
    </row>
    <row r="1380">
      <c r="A1380" s="38"/>
      <c r="B1380" s="28" t="s">
        <v>7630</v>
      </c>
      <c r="C1380" s="28" t="s">
        <v>7247</v>
      </c>
      <c r="D1380" s="29" t="s">
        <v>7631</v>
      </c>
      <c r="E1380" s="30" t="s">
        <v>7632</v>
      </c>
      <c r="F1380" s="28" t="s">
        <v>7633</v>
      </c>
      <c r="I1380" s="32"/>
      <c r="J1380" s="32"/>
      <c r="K1380" s="33" t="s">
        <v>7630</v>
      </c>
      <c r="L1380" s="33" t="s">
        <v>7634</v>
      </c>
      <c r="N1380" s="33" t="s">
        <v>7630</v>
      </c>
      <c r="O1380" s="47" t="s">
        <v>7635</v>
      </c>
    </row>
    <row r="1381">
      <c r="A1381" s="38"/>
      <c r="B1381" s="28" t="s">
        <v>7636</v>
      </c>
      <c r="C1381" s="28" t="s">
        <v>7637</v>
      </c>
      <c r="D1381" s="29" t="s">
        <v>7638</v>
      </c>
      <c r="E1381" s="30"/>
      <c r="F1381" s="28" t="s">
        <v>7639</v>
      </c>
      <c r="I1381" s="32"/>
      <c r="J1381" s="32"/>
      <c r="K1381" s="33" t="s">
        <v>7636</v>
      </c>
      <c r="L1381" s="33" t="s">
        <v>7640</v>
      </c>
      <c r="N1381" s="33" t="s">
        <v>7636</v>
      </c>
      <c r="O1381" s="35"/>
    </row>
    <row r="1382">
      <c r="A1382" s="38"/>
      <c r="B1382" s="28" t="s">
        <v>7641</v>
      </c>
      <c r="C1382" s="28" t="s">
        <v>7253</v>
      </c>
      <c r="D1382" s="29" t="s">
        <v>7642</v>
      </c>
      <c r="E1382" s="30" t="s">
        <v>7643</v>
      </c>
      <c r="F1382" s="28" t="s">
        <v>7644</v>
      </c>
      <c r="I1382" s="32"/>
      <c r="J1382" s="32"/>
      <c r="K1382" s="33" t="s">
        <v>7641</v>
      </c>
      <c r="L1382" s="33" t="s">
        <v>7645</v>
      </c>
      <c r="N1382" s="33" t="s">
        <v>7641</v>
      </c>
      <c r="O1382" s="47" t="s">
        <v>7646</v>
      </c>
    </row>
    <row r="1383">
      <c r="A1383" s="38"/>
      <c r="B1383" s="28" t="s">
        <v>7647</v>
      </c>
      <c r="C1383" s="28" t="s">
        <v>7259</v>
      </c>
      <c r="D1383" s="29" t="s">
        <v>7648</v>
      </c>
      <c r="E1383" s="30" t="s">
        <v>7649</v>
      </c>
      <c r="F1383" s="28" t="s">
        <v>7650</v>
      </c>
      <c r="I1383" s="32"/>
      <c r="J1383" s="32"/>
      <c r="K1383" s="33" t="s">
        <v>7647</v>
      </c>
      <c r="L1383" s="33" t="s">
        <v>7651</v>
      </c>
      <c r="N1383" s="33" t="s">
        <v>7647</v>
      </c>
      <c r="O1383" s="35"/>
    </row>
    <row r="1384">
      <c r="A1384" s="38"/>
      <c r="B1384" s="28" t="s">
        <v>7652</v>
      </c>
      <c r="C1384" s="28" t="s">
        <v>7264</v>
      </c>
      <c r="D1384" s="29" t="s">
        <v>7653</v>
      </c>
      <c r="E1384" s="30" t="s">
        <v>7654</v>
      </c>
      <c r="F1384" s="28" t="s">
        <v>7655</v>
      </c>
      <c r="I1384" s="32"/>
      <c r="J1384" s="32"/>
      <c r="K1384" s="33" t="s">
        <v>7652</v>
      </c>
      <c r="L1384" s="33" t="s">
        <v>7656</v>
      </c>
      <c r="N1384" s="33" t="s">
        <v>7652</v>
      </c>
      <c r="O1384" s="35" t="s">
        <v>7263</v>
      </c>
    </row>
    <row r="1385">
      <c r="A1385" s="38"/>
      <c r="B1385" s="28" t="s">
        <v>7657</v>
      </c>
      <c r="C1385" s="28" t="s">
        <v>7658</v>
      </c>
      <c r="D1385" s="29" t="s">
        <v>7659</v>
      </c>
      <c r="E1385" s="30" t="s">
        <v>7660</v>
      </c>
      <c r="F1385" s="28" t="s">
        <v>7661</v>
      </c>
      <c r="I1385" s="32"/>
      <c r="J1385" s="32"/>
      <c r="K1385" s="33" t="s">
        <v>7657</v>
      </c>
      <c r="L1385" s="33" t="s">
        <v>7662</v>
      </c>
      <c r="N1385" s="33" t="s">
        <v>7657</v>
      </c>
      <c r="O1385" s="35"/>
    </row>
    <row r="1386">
      <c r="A1386" s="38"/>
      <c r="B1386" s="28" t="s">
        <v>7663</v>
      </c>
      <c r="C1386" s="28" t="s">
        <v>7664</v>
      </c>
      <c r="D1386" s="29" t="s">
        <v>7665</v>
      </c>
      <c r="E1386" s="54" t="s">
        <v>7666</v>
      </c>
      <c r="F1386" s="28" t="s">
        <v>7667</v>
      </c>
      <c r="I1386" s="32"/>
      <c r="J1386" s="32"/>
      <c r="K1386" s="33" t="s">
        <v>7663</v>
      </c>
      <c r="L1386" s="33" t="s">
        <v>7668</v>
      </c>
      <c r="N1386" s="33" t="s">
        <v>7663</v>
      </c>
      <c r="O1386" s="35" t="s">
        <v>7669</v>
      </c>
    </row>
    <row r="1387">
      <c r="A1387" s="38"/>
      <c r="B1387" s="28" t="s">
        <v>7670</v>
      </c>
      <c r="C1387" s="28" t="s">
        <v>7671</v>
      </c>
      <c r="D1387" s="29" t="s">
        <v>7672</v>
      </c>
      <c r="E1387" s="30" t="s">
        <v>7673</v>
      </c>
      <c r="F1387" s="28" t="s">
        <v>7674</v>
      </c>
      <c r="I1387" s="32"/>
      <c r="J1387" s="32"/>
      <c r="K1387" s="33" t="s">
        <v>7670</v>
      </c>
      <c r="L1387" s="33" t="s">
        <v>7675</v>
      </c>
      <c r="N1387" s="33" t="s">
        <v>7670</v>
      </c>
      <c r="O1387" s="47" t="s">
        <v>7676</v>
      </c>
    </row>
    <row r="1388">
      <c r="A1388" s="38"/>
      <c r="B1388" s="28" t="s">
        <v>7677</v>
      </c>
      <c r="C1388" s="28" t="s">
        <v>7280</v>
      </c>
      <c r="D1388" s="29" t="s">
        <v>7678</v>
      </c>
      <c r="E1388" s="30" t="s">
        <v>7679</v>
      </c>
      <c r="F1388" s="28" t="s">
        <v>7680</v>
      </c>
      <c r="I1388" s="32"/>
      <c r="J1388" s="32"/>
      <c r="K1388" s="33" t="s">
        <v>7677</v>
      </c>
      <c r="L1388" s="33" t="s">
        <v>7681</v>
      </c>
      <c r="N1388" s="33" t="s">
        <v>7677</v>
      </c>
      <c r="O1388" s="35" t="s">
        <v>7279</v>
      </c>
    </row>
    <row r="1389">
      <c r="A1389" s="38"/>
      <c r="B1389" s="28" t="s">
        <v>7682</v>
      </c>
      <c r="C1389" s="28" t="s">
        <v>7286</v>
      </c>
      <c r="D1389" s="29" t="s">
        <v>7683</v>
      </c>
      <c r="E1389" s="30"/>
      <c r="F1389" s="28" t="s">
        <v>7684</v>
      </c>
      <c r="I1389" s="32"/>
      <c r="J1389" s="32"/>
      <c r="K1389" s="33" t="s">
        <v>7682</v>
      </c>
      <c r="L1389" s="33" t="s">
        <v>7685</v>
      </c>
      <c r="N1389" s="33" t="s">
        <v>7682</v>
      </c>
      <c r="O1389" s="35" t="s">
        <v>7285</v>
      </c>
    </row>
    <row r="1390">
      <c r="A1390" s="38"/>
      <c r="B1390" s="28" t="s">
        <v>7686</v>
      </c>
      <c r="C1390" s="28" t="s">
        <v>7293</v>
      </c>
      <c r="D1390" s="29" t="s">
        <v>7687</v>
      </c>
      <c r="E1390" s="30"/>
      <c r="F1390" s="28" t="s">
        <v>7688</v>
      </c>
      <c r="I1390" s="32"/>
      <c r="J1390" s="32"/>
      <c r="K1390" s="33" t="s">
        <v>7686</v>
      </c>
      <c r="L1390" s="33" t="s">
        <v>7689</v>
      </c>
      <c r="N1390" s="33" t="s">
        <v>7686</v>
      </c>
      <c r="O1390" s="35" t="s">
        <v>7292</v>
      </c>
    </row>
    <row r="1391">
      <c r="A1391" s="38"/>
      <c r="B1391" s="28" t="s">
        <v>7690</v>
      </c>
      <c r="C1391" s="28" t="s">
        <v>7303</v>
      </c>
      <c r="D1391" s="29" t="s">
        <v>7691</v>
      </c>
      <c r="E1391" s="30"/>
      <c r="F1391" s="28" t="s">
        <v>7692</v>
      </c>
      <c r="I1391" s="32"/>
      <c r="J1391" s="32"/>
      <c r="K1391" s="33" t="s">
        <v>7690</v>
      </c>
      <c r="L1391" s="33" t="s">
        <v>7693</v>
      </c>
      <c r="N1391" s="33" t="s">
        <v>7690</v>
      </c>
      <c r="O1391" s="35"/>
    </row>
    <row r="1392">
      <c r="A1392" s="38"/>
      <c r="B1392" s="28" t="s">
        <v>7694</v>
      </c>
      <c r="C1392" s="28" t="s">
        <v>7307</v>
      </c>
      <c r="D1392" s="29" t="s">
        <v>7695</v>
      </c>
      <c r="E1392" s="30"/>
      <c r="F1392" s="28" t="s">
        <v>7696</v>
      </c>
      <c r="I1392" s="32"/>
      <c r="J1392" s="32"/>
      <c r="K1392" s="33" t="s">
        <v>7694</v>
      </c>
      <c r="L1392" s="33" t="s">
        <v>7697</v>
      </c>
      <c r="N1392" s="33" t="s">
        <v>7694</v>
      </c>
      <c r="O1392" s="35"/>
    </row>
    <row r="1393">
      <c r="A1393" s="38"/>
      <c r="B1393" s="28" t="s">
        <v>7698</v>
      </c>
      <c r="C1393" s="28" t="s">
        <v>7699</v>
      </c>
      <c r="D1393" s="29" t="s">
        <v>7700</v>
      </c>
      <c r="E1393" s="30" t="s">
        <v>303</v>
      </c>
      <c r="F1393" s="28" t="s">
        <v>299</v>
      </c>
      <c r="I1393" s="32"/>
      <c r="J1393" s="32"/>
      <c r="K1393" s="33" t="s">
        <v>7698</v>
      </c>
      <c r="L1393" s="33" t="s">
        <v>7701</v>
      </c>
      <c r="N1393" s="33" t="s">
        <v>7698</v>
      </c>
      <c r="O1393" s="35" t="s">
        <v>7702</v>
      </c>
    </row>
    <row r="1394">
      <c r="A1394" s="38"/>
      <c r="B1394" s="28" t="s">
        <v>7703</v>
      </c>
      <c r="C1394" s="28" t="s">
        <v>7317</v>
      </c>
      <c r="D1394" s="29" t="s">
        <v>7704</v>
      </c>
      <c r="E1394" s="30" t="s">
        <v>7705</v>
      </c>
      <c r="F1394" s="28" t="s">
        <v>7706</v>
      </c>
      <c r="I1394" s="32"/>
      <c r="J1394" s="32"/>
      <c r="K1394" s="33" t="s">
        <v>7703</v>
      </c>
      <c r="L1394" s="33" t="s">
        <v>7707</v>
      </c>
      <c r="N1394" s="33" t="s">
        <v>7703</v>
      </c>
      <c r="O1394" s="35" t="s">
        <v>7316</v>
      </c>
    </row>
    <row r="1395">
      <c r="A1395" s="38"/>
      <c r="B1395" s="28" t="s">
        <v>7708</v>
      </c>
      <c r="C1395" s="28" t="s">
        <v>7322</v>
      </c>
      <c r="D1395" s="29" t="s">
        <v>7709</v>
      </c>
      <c r="E1395" s="30" t="s">
        <v>7710</v>
      </c>
      <c r="F1395" s="28" t="s">
        <v>7711</v>
      </c>
      <c r="I1395" s="32"/>
      <c r="J1395" s="32"/>
      <c r="K1395" s="33" t="s">
        <v>7708</v>
      </c>
      <c r="L1395" s="33" t="s">
        <v>7712</v>
      </c>
      <c r="N1395" s="33" t="s">
        <v>7708</v>
      </c>
      <c r="O1395" s="35" t="s">
        <v>7321</v>
      </c>
    </row>
    <row r="1396">
      <c r="A1396" s="38"/>
      <c r="B1396" s="28" t="s">
        <v>7713</v>
      </c>
      <c r="C1396" s="28" t="s">
        <v>7327</v>
      </c>
      <c r="D1396" s="29" t="s">
        <v>7714</v>
      </c>
      <c r="E1396" s="30" t="s">
        <v>7715</v>
      </c>
      <c r="F1396" s="28" t="s">
        <v>7716</v>
      </c>
      <c r="I1396" s="32"/>
      <c r="J1396" s="32"/>
      <c r="K1396" s="33" t="s">
        <v>7713</v>
      </c>
      <c r="L1396" s="33" t="s">
        <v>7717</v>
      </c>
      <c r="N1396" s="33" t="s">
        <v>7713</v>
      </c>
      <c r="O1396" s="35" t="s">
        <v>7326</v>
      </c>
    </row>
    <row r="1397">
      <c r="A1397" s="38"/>
      <c r="B1397" s="28" t="s">
        <v>7718</v>
      </c>
      <c r="C1397" s="28" t="s">
        <v>7331</v>
      </c>
      <c r="D1397" s="29" t="s">
        <v>7719</v>
      </c>
      <c r="E1397" s="30" t="s">
        <v>7720</v>
      </c>
      <c r="F1397" s="28" t="s">
        <v>7721</v>
      </c>
      <c r="I1397" s="32"/>
      <c r="J1397" s="32"/>
      <c r="K1397" s="33" t="s">
        <v>7718</v>
      </c>
      <c r="L1397" s="33" t="s">
        <v>7722</v>
      </c>
      <c r="N1397" s="33" t="s">
        <v>7718</v>
      </c>
      <c r="O1397" s="35"/>
    </row>
    <row r="1398">
      <c r="A1398" s="38"/>
      <c r="B1398" s="28" t="s">
        <v>7723</v>
      </c>
      <c r="C1398" s="28" t="s">
        <v>7724</v>
      </c>
      <c r="D1398" s="29" t="s">
        <v>7725</v>
      </c>
      <c r="E1398" s="30" t="s">
        <v>7726</v>
      </c>
      <c r="F1398" s="28" t="s">
        <v>7727</v>
      </c>
      <c r="I1398" s="32"/>
      <c r="J1398" s="32"/>
      <c r="K1398" s="33" t="s">
        <v>7723</v>
      </c>
      <c r="L1398" s="33" t="s">
        <v>7728</v>
      </c>
      <c r="N1398" s="33" t="s">
        <v>7723</v>
      </c>
      <c r="O1398" s="47" t="s">
        <v>7729</v>
      </c>
    </row>
    <row r="1399">
      <c r="A1399" s="38"/>
      <c r="B1399" s="28" t="s">
        <v>7730</v>
      </c>
      <c r="C1399" s="28" t="s">
        <v>7731</v>
      </c>
      <c r="D1399" s="29" t="s">
        <v>7732</v>
      </c>
      <c r="E1399" s="30"/>
      <c r="F1399" s="28" t="s">
        <v>7733</v>
      </c>
      <c r="I1399" s="32"/>
      <c r="J1399" s="32"/>
      <c r="K1399" s="33" t="s">
        <v>7730</v>
      </c>
      <c r="L1399" s="33" t="s">
        <v>7734</v>
      </c>
      <c r="N1399" s="33" t="s">
        <v>7730</v>
      </c>
      <c r="O1399" s="35"/>
    </row>
    <row r="1400">
      <c r="A1400" s="38"/>
      <c r="B1400" s="28" t="s">
        <v>7735</v>
      </c>
      <c r="C1400" s="28" t="s">
        <v>7335</v>
      </c>
      <c r="D1400" s="29" t="s">
        <v>7736</v>
      </c>
      <c r="E1400" s="30" t="s">
        <v>7737</v>
      </c>
      <c r="F1400" s="28" t="s">
        <v>7738</v>
      </c>
      <c r="I1400" s="32"/>
      <c r="J1400" s="32"/>
      <c r="K1400" s="33" t="s">
        <v>7735</v>
      </c>
      <c r="L1400" s="33" t="s">
        <v>7739</v>
      </c>
      <c r="N1400" s="33" t="s">
        <v>7735</v>
      </c>
      <c r="O1400" s="35"/>
    </row>
    <row r="1401">
      <c r="A1401" s="38"/>
      <c r="B1401" s="28" t="s">
        <v>7740</v>
      </c>
      <c r="C1401" s="28" t="s">
        <v>7741</v>
      </c>
      <c r="D1401" s="29" t="s">
        <v>7742</v>
      </c>
      <c r="E1401" s="30"/>
      <c r="F1401" s="28" t="s">
        <v>7743</v>
      </c>
      <c r="I1401" s="32"/>
      <c r="J1401" s="32"/>
      <c r="K1401" s="33" t="s">
        <v>7740</v>
      </c>
      <c r="L1401" s="33" t="s">
        <v>7744</v>
      </c>
      <c r="N1401" s="33" t="s">
        <v>7740</v>
      </c>
      <c r="O1401" s="35"/>
    </row>
    <row r="1402">
      <c r="A1402" s="38"/>
      <c r="B1402" s="28" t="s">
        <v>7745</v>
      </c>
      <c r="C1402" s="28" t="s">
        <v>7349</v>
      </c>
      <c r="D1402" s="29" t="s">
        <v>7746</v>
      </c>
      <c r="E1402" s="30" t="s">
        <v>7003</v>
      </c>
      <c r="F1402" s="28" t="s">
        <v>7747</v>
      </c>
      <c r="I1402" s="32"/>
      <c r="J1402" s="32"/>
      <c r="K1402" s="33" t="s">
        <v>7745</v>
      </c>
      <c r="L1402" s="33" t="s">
        <v>7748</v>
      </c>
      <c r="N1402" s="33" t="s">
        <v>7745</v>
      </c>
      <c r="O1402" s="35" t="s">
        <v>7348</v>
      </c>
    </row>
    <row r="1403">
      <c r="A1403" s="38"/>
      <c r="B1403" s="28" t="s">
        <v>7749</v>
      </c>
      <c r="C1403" s="28" t="s">
        <v>7750</v>
      </c>
      <c r="D1403" s="29" t="s">
        <v>7751</v>
      </c>
      <c r="E1403" s="30" t="s">
        <v>7752</v>
      </c>
      <c r="F1403" s="28" t="s">
        <v>7753</v>
      </c>
      <c r="I1403" s="32"/>
      <c r="J1403" s="32"/>
      <c r="K1403" s="33" t="s">
        <v>7749</v>
      </c>
      <c r="L1403" s="33" t="s">
        <v>7754</v>
      </c>
      <c r="N1403" s="33" t="s">
        <v>7749</v>
      </c>
      <c r="O1403" s="35"/>
    </row>
    <row r="1404">
      <c r="A1404" s="38"/>
      <c r="B1404" s="28" t="s">
        <v>7755</v>
      </c>
      <c r="C1404" s="28" t="s">
        <v>7353</v>
      </c>
      <c r="D1404" s="29" t="s">
        <v>7756</v>
      </c>
      <c r="E1404" s="30" t="s">
        <v>7757</v>
      </c>
      <c r="F1404" s="28" t="s">
        <v>7758</v>
      </c>
      <c r="I1404" s="32"/>
      <c r="J1404" s="32"/>
      <c r="K1404" s="33" t="s">
        <v>7755</v>
      </c>
      <c r="L1404" s="33" t="s">
        <v>7759</v>
      </c>
      <c r="N1404" s="33" t="s">
        <v>7755</v>
      </c>
      <c r="O1404" s="35"/>
    </row>
    <row r="1405">
      <c r="A1405" s="38"/>
      <c r="B1405" s="28" t="s">
        <v>7760</v>
      </c>
      <c r="C1405" s="28" t="s">
        <v>7359</v>
      </c>
      <c r="D1405" s="29" t="s">
        <v>7761</v>
      </c>
      <c r="E1405" s="30" t="s">
        <v>7762</v>
      </c>
      <c r="F1405" s="28" t="s">
        <v>7763</v>
      </c>
      <c r="I1405" s="32"/>
      <c r="J1405" s="32"/>
      <c r="K1405" s="33" t="s">
        <v>7760</v>
      </c>
      <c r="L1405" s="33" t="s">
        <v>7764</v>
      </c>
      <c r="N1405" s="33" t="s">
        <v>7760</v>
      </c>
      <c r="O1405" s="35"/>
    </row>
    <row r="1406">
      <c r="A1406" s="38"/>
      <c r="B1406" s="28" t="s">
        <v>7765</v>
      </c>
      <c r="C1406" s="28" t="s">
        <v>7378</v>
      </c>
      <c r="D1406" s="29" t="s">
        <v>7766</v>
      </c>
      <c r="E1406" s="54" t="s">
        <v>7767</v>
      </c>
      <c r="F1406" s="28" t="s">
        <v>7768</v>
      </c>
      <c r="I1406" s="32"/>
      <c r="J1406" s="32"/>
      <c r="K1406" s="33" t="s">
        <v>7765</v>
      </c>
      <c r="L1406" s="33" t="s">
        <v>7769</v>
      </c>
      <c r="N1406" s="33" t="s">
        <v>7765</v>
      </c>
      <c r="O1406" s="35" t="s">
        <v>7377</v>
      </c>
    </row>
    <row r="1407">
      <c r="A1407" s="38"/>
      <c r="B1407" s="28" t="s">
        <v>7770</v>
      </c>
      <c r="C1407" s="28" t="s">
        <v>7771</v>
      </c>
      <c r="D1407" s="29" t="s">
        <v>7772</v>
      </c>
      <c r="E1407" s="30"/>
      <c r="F1407" s="28" t="s">
        <v>7773</v>
      </c>
      <c r="I1407" s="32"/>
      <c r="J1407" s="32"/>
      <c r="K1407" s="33" t="s">
        <v>7770</v>
      </c>
      <c r="L1407" s="33" t="s">
        <v>7774</v>
      </c>
      <c r="N1407" s="33" t="s">
        <v>7770</v>
      </c>
      <c r="O1407" s="35"/>
    </row>
    <row r="1408">
      <c r="A1408" s="38"/>
      <c r="B1408" s="28" t="s">
        <v>7775</v>
      </c>
      <c r="C1408" s="28" t="s">
        <v>7776</v>
      </c>
      <c r="D1408" s="29" t="s">
        <v>7777</v>
      </c>
      <c r="E1408" s="54" t="s">
        <v>7778</v>
      </c>
      <c r="F1408" s="28" t="s">
        <v>7779</v>
      </c>
      <c r="I1408" s="32"/>
      <c r="J1408" s="32"/>
      <c r="K1408" s="33" t="s">
        <v>7775</v>
      </c>
      <c r="L1408" s="33" t="s">
        <v>7780</v>
      </c>
      <c r="N1408" s="33" t="s">
        <v>7775</v>
      </c>
      <c r="O1408" s="35"/>
    </row>
    <row r="1409">
      <c r="A1409" s="38"/>
      <c r="B1409" s="28" t="s">
        <v>7781</v>
      </c>
      <c r="C1409" s="28" t="s">
        <v>7383</v>
      </c>
      <c r="D1409" s="29" t="s">
        <v>7782</v>
      </c>
      <c r="E1409" s="30"/>
      <c r="F1409" s="28" t="s">
        <v>7783</v>
      </c>
      <c r="I1409" s="32"/>
      <c r="J1409" s="32"/>
      <c r="K1409" s="33" t="s">
        <v>7781</v>
      </c>
      <c r="L1409" s="33" t="s">
        <v>7784</v>
      </c>
      <c r="N1409" s="33" t="s">
        <v>7781</v>
      </c>
      <c r="O1409" s="35" t="s">
        <v>7382</v>
      </c>
    </row>
    <row r="1410">
      <c r="A1410" s="38"/>
      <c r="B1410" s="28" t="s">
        <v>7785</v>
      </c>
      <c r="C1410" s="28" t="s">
        <v>7388</v>
      </c>
      <c r="D1410" s="29" t="s">
        <v>7786</v>
      </c>
      <c r="E1410" s="30" t="s">
        <v>7787</v>
      </c>
      <c r="F1410" s="28" t="s">
        <v>7788</v>
      </c>
      <c r="I1410" s="32"/>
      <c r="J1410" s="32"/>
      <c r="K1410" s="33" t="s">
        <v>7785</v>
      </c>
      <c r="L1410" s="33" t="s">
        <v>7789</v>
      </c>
      <c r="N1410" s="33" t="s">
        <v>7785</v>
      </c>
      <c r="O1410" s="35" t="s">
        <v>7387</v>
      </c>
    </row>
    <row r="1411">
      <c r="A1411" s="38"/>
      <c r="B1411" s="28" t="s">
        <v>7790</v>
      </c>
      <c r="C1411" s="28" t="s">
        <v>7393</v>
      </c>
      <c r="D1411" s="29" t="s">
        <v>7791</v>
      </c>
      <c r="E1411" s="30" t="s">
        <v>7792</v>
      </c>
      <c r="F1411" s="28" t="s">
        <v>7793</v>
      </c>
      <c r="I1411" s="32"/>
      <c r="J1411" s="32"/>
      <c r="K1411" s="33" t="s">
        <v>7790</v>
      </c>
      <c r="L1411" s="33" t="s">
        <v>7794</v>
      </c>
      <c r="N1411" s="33" t="s">
        <v>7790</v>
      </c>
      <c r="O1411" s="35" t="s">
        <v>7392</v>
      </c>
    </row>
    <row r="1412">
      <c r="A1412" s="38"/>
      <c r="B1412" s="28" t="s">
        <v>7795</v>
      </c>
      <c r="C1412" s="28" t="s">
        <v>7398</v>
      </c>
      <c r="D1412" s="29" t="s">
        <v>7796</v>
      </c>
      <c r="E1412" s="30" t="s">
        <v>7797</v>
      </c>
      <c r="F1412" s="28" t="s">
        <v>7798</v>
      </c>
      <c r="I1412" s="32"/>
      <c r="J1412" s="32"/>
      <c r="K1412" s="33" t="s">
        <v>7795</v>
      </c>
      <c r="L1412" s="33" t="s">
        <v>7799</v>
      </c>
      <c r="N1412" s="33" t="s">
        <v>7795</v>
      </c>
      <c r="O1412" s="35" t="s">
        <v>7397</v>
      </c>
    </row>
    <row r="1413">
      <c r="A1413" s="38"/>
      <c r="B1413" s="28" t="s">
        <v>7800</v>
      </c>
      <c r="C1413" s="28" t="s">
        <v>7407</v>
      </c>
      <c r="D1413" s="29" t="s">
        <v>7801</v>
      </c>
      <c r="E1413" s="30"/>
      <c r="F1413" s="28" t="s">
        <v>7802</v>
      </c>
      <c r="I1413" s="32"/>
      <c r="J1413" s="32"/>
      <c r="K1413" s="33" t="s">
        <v>7800</v>
      </c>
      <c r="L1413" s="33" t="s">
        <v>7803</v>
      </c>
      <c r="N1413" s="33" t="s">
        <v>7800</v>
      </c>
      <c r="O1413" s="35" t="s">
        <v>548</v>
      </c>
    </row>
    <row r="1414">
      <c r="A1414" s="38"/>
      <c r="B1414" s="28" t="s">
        <v>7804</v>
      </c>
      <c r="C1414" s="28" t="s">
        <v>7414</v>
      </c>
      <c r="D1414" s="29" t="s">
        <v>7805</v>
      </c>
      <c r="E1414" s="30" t="s">
        <v>7806</v>
      </c>
      <c r="F1414" s="28" t="s">
        <v>7807</v>
      </c>
      <c r="I1414" s="32"/>
      <c r="J1414" s="32"/>
      <c r="K1414" s="33" t="s">
        <v>7804</v>
      </c>
      <c r="L1414" s="33" t="s">
        <v>7808</v>
      </c>
      <c r="N1414" s="33" t="s">
        <v>7804</v>
      </c>
      <c r="O1414" s="35" t="s">
        <v>7413</v>
      </c>
    </row>
    <row r="1415">
      <c r="A1415" s="38"/>
      <c r="B1415" s="28" t="s">
        <v>7809</v>
      </c>
      <c r="C1415" s="28" t="s">
        <v>7810</v>
      </c>
      <c r="D1415" s="29" t="s">
        <v>7811</v>
      </c>
      <c r="E1415" s="30"/>
      <c r="F1415" s="28" t="s">
        <v>7812</v>
      </c>
      <c r="I1415" s="32"/>
      <c r="J1415" s="32"/>
      <c r="K1415" s="33" t="s">
        <v>7809</v>
      </c>
      <c r="L1415" s="33" t="s">
        <v>7813</v>
      </c>
      <c r="N1415" s="33" t="s">
        <v>7809</v>
      </c>
      <c r="O1415" s="35"/>
    </row>
    <row r="1416">
      <c r="A1416" s="38"/>
      <c r="B1416" s="28" t="s">
        <v>7814</v>
      </c>
      <c r="C1416" s="28" t="s">
        <v>7815</v>
      </c>
      <c r="D1416" s="29" t="s">
        <v>7816</v>
      </c>
      <c r="E1416" s="30" t="s">
        <v>7817</v>
      </c>
      <c r="F1416" s="28" t="s">
        <v>7818</v>
      </c>
      <c r="I1416" s="32"/>
      <c r="J1416" s="32"/>
      <c r="K1416" s="33" t="s">
        <v>7814</v>
      </c>
      <c r="L1416" s="33" t="s">
        <v>7819</v>
      </c>
      <c r="N1416" s="33" t="s">
        <v>7814</v>
      </c>
      <c r="O1416" s="35"/>
    </row>
    <row r="1417">
      <c r="A1417" s="38"/>
      <c r="B1417" s="28" t="s">
        <v>7820</v>
      </c>
      <c r="C1417" s="28" t="s">
        <v>7821</v>
      </c>
      <c r="D1417" s="29" t="s">
        <v>7822</v>
      </c>
      <c r="E1417" s="30"/>
      <c r="F1417" s="28" t="s">
        <v>7823</v>
      </c>
      <c r="I1417" s="32"/>
      <c r="J1417" s="32"/>
      <c r="K1417" s="33" t="s">
        <v>7820</v>
      </c>
      <c r="L1417" s="33" t="s">
        <v>7824</v>
      </c>
      <c r="N1417" s="33" t="s">
        <v>7820</v>
      </c>
      <c r="O1417" s="35" t="s">
        <v>7825</v>
      </c>
    </row>
    <row r="1418">
      <c r="A1418" s="38"/>
      <c r="B1418" s="28" t="s">
        <v>7826</v>
      </c>
      <c r="C1418" s="28" t="s">
        <v>7827</v>
      </c>
      <c r="D1418" s="29" t="s">
        <v>7828</v>
      </c>
      <c r="E1418" s="30" t="s">
        <v>7829</v>
      </c>
      <c r="F1418" s="28" t="s">
        <v>7830</v>
      </c>
      <c r="I1418" s="32"/>
      <c r="J1418" s="32"/>
      <c r="K1418" s="33" t="s">
        <v>7826</v>
      </c>
      <c r="L1418" s="33" t="s">
        <v>7831</v>
      </c>
      <c r="N1418" s="33" t="s">
        <v>7826</v>
      </c>
      <c r="O1418" s="35" t="s">
        <v>7832</v>
      </c>
    </row>
    <row r="1419">
      <c r="A1419" s="38"/>
      <c r="B1419" s="28" t="s">
        <v>7833</v>
      </c>
      <c r="C1419" s="28" t="s">
        <v>7435</v>
      </c>
      <c r="D1419" s="60" t="s">
        <v>7834</v>
      </c>
      <c r="E1419" s="30" t="s">
        <v>7835</v>
      </c>
      <c r="F1419" s="28" t="s">
        <v>7836</v>
      </c>
      <c r="I1419" s="32"/>
      <c r="J1419" s="32"/>
      <c r="K1419" s="33" t="s">
        <v>7833</v>
      </c>
      <c r="L1419" s="33" t="s">
        <v>7837</v>
      </c>
      <c r="N1419" s="33" t="s">
        <v>7833</v>
      </c>
      <c r="O1419" s="35"/>
    </row>
    <row r="1420">
      <c r="A1420" s="38"/>
      <c r="B1420" s="28" t="s">
        <v>7838</v>
      </c>
      <c r="C1420" s="28" t="s">
        <v>7440</v>
      </c>
      <c r="D1420" s="29" t="s">
        <v>7839</v>
      </c>
      <c r="E1420" s="30"/>
      <c r="F1420" s="28" t="s">
        <v>7840</v>
      </c>
      <c r="I1420" s="32"/>
      <c r="J1420" s="32"/>
      <c r="K1420" s="33" t="s">
        <v>7838</v>
      </c>
      <c r="L1420" s="33" t="s">
        <v>7841</v>
      </c>
      <c r="N1420" s="33" t="s">
        <v>7838</v>
      </c>
      <c r="O1420" s="47" t="s">
        <v>7842</v>
      </c>
    </row>
    <row r="1421">
      <c r="A1421" s="38"/>
      <c r="B1421" s="28" t="s">
        <v>7843</v>
      </c>
      <c r="C1421" s="28" t="s">
        <v>7844</v>
      </c>
      <c r="D1421" s="29" t="s">
        <v>7845</v>
      </c>
      <c r="E1421" s="30" t="s">
        <v>7846</v>
      </c>
      <c r="F1421" s="28" t="s">
        <v>7847</v>
      </c>
      <c r="I1421" s="32"/>
      <c r="J1421" s="32"/>
      <c r="K1421" s="33" t="s">
        <v>7843</v>
      </c>
      <c r="L1421" s="33" t="s">
        <v>7848</v>
      </c>
      <c r="N1421" s="33" t="s">
        <v>7843</v>
      </c>
      <c r="O1421" s="47" t="s">
        <v>7849</v>
      </c>
    </row>
    <row r="1422">
      <c r="A1422" s="38"/>
      <c r="B1422" s="28" t="s">
        <v>7850</v>
      </c>
      <c r="C1422" s="28" t="s">
        <v>7851</v>
      </c>
      <c r="D1422" s="29" t="s">
        <v>7852</v>
      </c>
      <c r="E1422" s="30"/>
      <c r="F1422" s="28" t="s">
        <v>7853</v>
      </c>
      <c r="I1422" s="32"/>
      <c r="J1422" s="32"/>
      <c r="K1422" s="33" t="s">
        <v>7850</v>
      </c>
      <c r="L1422" s="33" t="s">
        <v>7854</v>
      </c>
      <c r="N1422" s="33" t="s">
        <v>7850</v>
      </c>
      <c r="O1422" s="35" t="s">
        <v>7855</v>
      </c>
    </row>
    <row r="1423">
      <c r="A1423" s="38"/>
      <c r="B1423" s="28" t="s">
        <v>7856</v>
      </c>
      <c r="C1423" s="28" t="s">
        <v>7451</v>
      </c>
      <c r="D1423" s="29" t="s">
        <v>7857</v>
      </c>
      <c r="E1423" s="30" t="s">
        <v>7858</v>
      </c>
      <c r="F1423" s="28" t="s">
        <v>7859</v>
      </c>
      <c r="I1423" s="32"/>
      <c r="J1423" s="32"/>
      <c r="K1423" s="33" t="s">
        <v>7856</v>
      </c>
      <c r="L1423" s="33" t="s">
        <v>7860</v>
      </c>
      <c r="N1423" s="33" t="s">
        <v>7856</v>
      </c>
      <c r="O1423" s="35" t="s">
        <v>7450</v>
      </c>
    </row>
    <row r="1424">
      <c r="A1424" s="38"/>
      <c r="B1424" s="28" t="s">
        <v>7861</v>
      </c>
      <c r="C1424" s="28" t="s">
        <v>7862</v>
      </c>
      <c r="D1424" s="29" t="s">
        <v>7863</v>
      </c>
      <c r="E1424" s="30" t="s">
        <v>7864</v>
      </c>
      <c r="F1424" s="28" t="s">
        <v>7865</v>
      </c>
      <c r="I1424" s="32"/>
      <c r="J1424" s="32"/>
      <c r="K1424" s="33" t="s">
        <v>7861</v>
      </c>
      <c r="L1424" s="33" t="s">
        <v>7866</v>
      </c>
      <c r="N1424" s="33" t="s">
        <v>7861</v>
      </c>
      <c r="O1424" s="35" t="s">
        <v>7867</v>
      </c>
    </row>
    <row r="1425">
      <c r="A1425" s="38"/>
      <c r="B1425" s="28" t="s">
        <v>7868</v>
      </c>
      <c r="C1425" s="28" t="s">
        <v>7456</v>
      </c>
      <c r="D1425" s="29" t="s">
        <v>7869</v>
      </c>
      <c r="E1425" s="30" t="s">
        <v>7870</v>
      </c>
      <c r="F1425" s="28" t="s">
        <v>7871</v>
      </c>
      <c r="I1425" s="32"/>
      <c r="J1425" s="32"/>
      <c r="K1425" s="33" t="s">
        <v>7868</v>
      </c>
      <c r="L1425" s="33" t="s">
        <v>7872</v>
      </c>
      <c r="N1425" s="33" t="s">
        <v>7868</v>
      </c>
      <c r="O1425" s="35" t="s">
        <v>7455</v>
      </c>
    </row>
    <row r="1426">
      <c r="A1426" s="38"/>
      <c r="B1426" s="28" t="s">
        <v>7873</v>
      </c>
      <c r="C1426" s="28" t="s">
        <v>7463</v>
      </c>
      <c r="D1426" s="29" t="s">
        <v>7874</v>
      </c>
      <c r="E1426" s="30" t="s">
        <v>7875</v>
      </c>
      <c r="F1426" s="28" t="s">
        <v>7876</v>
      </c>
      <c r="I1426" s="32"/>
      <c r="J1426" s="32"/>
      <c r="K1426" s="33" t="s">
        <v>7873</v>
      </c>
      <c r="L1426" s="33" t="s">
        <v>7877</v>
      </c>
      <c r="N1426" s="33" t="s">
        <v>7873</v>
      </c>
      <c r="O1426" s="47" t="s">
        <v>7878</v>
      </c>
    </row>
    <row r="1427">
      <c r="A1427" s="38"/>
      <c r="B1427" s="28" t="s">
        <v>7879</v>
      </c>
      <c r="C1427" s="28" t="s">
        <v>7880</v>
      </c>
      <c r="D1427" s="29" t="s">
        <v>7881</v>
      </c>
      <c r="E1427" s="30"/>
      <c r="F1427" s="28" t="s">
        <v>7882</v>
      </c>
      <c r="I1427" s="32"/>
      <c r="J1427" s="32"/>
      <c r="K1427" s="33" t="s">
        <v>7879</v>
      </c>
      <c r="L1427" s="33" t="s">
        <v>7883</v>
      </c>
      <c r="N1427" s="33" t="s">
        <v>7879</v>
      </c>
      <c r="O1427" s="35"/>
    </row>
    <row r="1428">
      <c r="A1428" s="38"/>
      <c r="B1428" s="28" t="s">
        <v>7884</v>
      </c>
      <c r="C1428" s="28" t="s">
        <v>7474</v>
      </c>
      <c r="D1428" s="29" t="s">
        <v>7885</v>
      </c>
      <c r="E1428" s="30" t="s">
        <v>7886</v>
      </c>
      <c r="F1428" s="28" t="s">
        <v>7887</v>
      </c>
      <c r="I1428" s="32"/>
      <c r="J1428" s="32"/>
      <c r="K1428" s="33" t="s">
        <v>7884</v>
      </c>
      <c r="L1428" s="33" t="s">
        <v>7888</v>
      </c>
      <c r="N1428" s="33" t="s">
        <v>7884</v>
      </c>
      <c r="O1428" s="35" t="s">
        <v>7473</v>
      </c>
    </row>
    <row r="1429">
      <c r="A1429" s="38"/>
      <c r="B1429" s="28" t="s">
        <v>7889</v>
      </c>
      <c r="C1429" s="28" t="s">
        <v>7890</v>
      </c>
      <c r="D1429" s="29" t="s">
        <v>7891</v>
      </c>
      <c r="E1429" s="30" t="s">
        <v>7892</v>
      </c>
      <c r="F1429" s="28" t="s">
        <v>7893</v>
      </c>
      <c r="I1429" s="32"/>
      <c r="J1429" s="32"/>
      <c r="K1429" s="33" t="s">
        <v>7889</v>
      </c>
      <c r="L1429" s="33" t="s">
        <v>7894</v>
      </c>
      <c r="N1429" s="33" t="s">
        <v>7889</v>
      </c>
      <c r="O1429" s="35" t="s">
        <v>7895</v>
      </c>
    </row>
    <row r="1430">
      <c r="A1430" s="38"/>
      <c r="B1430" s="28" t="s">
        <v>7896</v>
      </c>
      <c r="C1430" s="28" t="s">
        <v>7897</v>
      </c>
      <c r="D1430" s="29" t="s">
        <v>7898</v>
      </c>
      <c r="E1430" s="30" t="s">
        <v>7899</v>
      </c>
      <c r="F1430" s="28" t="s">
        <v>7900</v>
      </c>
      <c r="I1430" s="32"/>
      <c r="J1430" s="32"/>
      <c r="K1430" s="33" t="s">
        <v>7896</v>
      </c>
      <c r="L1430" s="33" t="s">
        <v>7901</v>
      </c>
      <c r="N1430" s="33" t="s">
        <v>7896</v>
      </c>
      <c r="O1430" s="35"/>
    </row>
    <row r="1431">
      <c r="A1431" s="38"/>
      <c r="B1431" s="28" t="s">
        <v>7902</v>
      </c>
      <c r="C1431" s="28" t="s">
        <v>7480</v>
      </c>
      <c r="D1431" s="29" t="s">
        <v>7903</v>
      </c>
      <c r="E1431" s="30" t="s">
        <v>7899</v>
      </c>
      <c r="F1431" s="28" t="s">
        <v>7904</v>
      </c>
      <c r="I1431" s="32"/>
      <c r="J1431" s="32"/>
      <c r="K1431" s="33" t="s">
        <v>7902</v>
      </c>
      <c r="L1431" s="33" t="s">
        <v>7905</v>
      </c>
      <c r="N1431" s="33" t="s">
        <v>7902</v>
      </c>
      <c r="O1431" s="35" t="s">
        <v>7479</v>
      </c>
    </row>
    <row r="1432">
      <c r="A1432" s="38"/>
      <c r="B1432" s="28" t="s">
        <v>7906</v>
      </c>
      <c r="C1432" s="28" t="s">
        <v>7907</v>
      </c>
      <c r="D1432" s="29" t="s">
        <v>7908</v>
      </c>
      <c r="E1432" s="30"/>
      <c r="F1432" s="28" t="s">
        <v>7909</v>
      </c>
      <c r="I1432" s="32"/>
      <c r="J1432" s="32"/>
      <c r="K1432" s="33" t="s">
        <v>7906</v>
      </c>
      <c r="L1432" s="33" t="s">
        <v>7910</v>
      </c>
      <c r="N1432" s="33" t="s">
        <v>7906</v>
      </c>
      <c r="O1432" s="35" t="s">
        <v>7911</v>
      </c>
    </row>
    <row r="1433">
      <c r="A1433" s="38"/>
      <c r="B1433" s="28" t="s">
        <v>7912</v>
      </c>
      <c r="C1433" s="28" t="s">
        <v>7485</v>
      </c>
      <c r="D1433" s="60" t="s">
        <v>7913</v>
      </c>
      <c r="E1433" s="30" t="s">
        <v>7914</v>
      </c>
      <c r="F1433" s="28" t="s">
        <v>7915</v>
      </c>
      <c r="I1433" s="32"/>
      <c r="J1433" s="32"/>
      <c r="K1433" s="33" t="s">
        <v>7912</v>
      </c>
      <c r="L1433" s="33" t="s">
        <v>7916</v>
      </c>
      <c r="N1433" s="33" t="s">
        <v>7912</v>
      </c>
      <c r="O1433" s="35"/>
    </row>
    <row r="1434">
      <c r="A1434" s="38"/>
      <c r="B1434" s="28" t="s">
        <v>7917</v>
      </c>
      <c r="C1434" s="28" t="s">
        <v>7918</v>
      </c>
      <c r="D1434" s="29" t="s">
        <v>7919</v>
      </c>
      <c r="E1434" s="54" t="s">
        <v>7920</v>
      </c>
      <c r="F1434" s="28" t="s">
        <v>7921</v>
      </c>
      <c r="I1434" s="32"/>
      <c r="J1434" s="32"/>
      <c r="K1434" s="33" t="s">
        <v>7917</v>
      </c>
      <c r="L1434" s="33" t="s">
        <v>7922</v>
      </c>
      <c r="N1434" s="33" t="s">
        <v>7917</v>
      </c>
      <c r="O1434" s="35"/>
    </row>
    <row r="1435">
      <c r="A1435" s="38"/>
      <c r="B1435" s="28" t="s">
        <v>7923</v>
      </c>
      <c r="C1435" s="28" t="s">
        <v>7492</v>
      </c>
      <c r="D1435" s="29" t="s">
        <v>7924</v>
      </c>
      <c r="E1435" s="30" t="s">
        <v>7925</v>
      </c>
      <c r="F1435" s="28" t="s">
        <v>7926</v>
      </c>
      <c r="I1435" s="32"/>
      <c r="J1435" s="32"/>
      <c r="K1435" s="33" t="s">
        <v>7923</v>
      </c>
      <c r="L1435" s="33" t="s">
        <v>7927</v>
      </c>
      <c r="N1435" s="33" t="s">
        <v>7923</v>
      </c>
      <c r="O1435" s="35" t="s">
        <v>7491</v>
      </c>
    </row>
    <row r="1436">
      <c r="A1436" s="38"/>
      <c r="B1436" s="28" t="s">
        <v>7928</v>
      </c>
      <c r="C1436" s="28" t="s">
        <v>7497</v>
      </c>
      <c r="D1436" s="29" t="s">
        <v>7929</v>
      </c>
      <c r="E1436" s="30" t="s">
        <v>7930</v>
      </c>
      <c r="F1436" s="28" t="s">
        <v>7931</v>
      </c>
      <c r="I1436" s="32"/>
      <c r="J1436" s="32"/>
      <c r="K1436" s="33" t="s">
        <v>7928</v>
      </c>
      <c r="L1436" s="33" t="s">
        <v>7932</v>
      </c>
      <c r="N1436" s="33" t="s">
        <v>7928</v>
      </c>
      <c r="O1436" s="35" t="s">
        <v>7496</v>
      </c>
    </row>
    <row r="1437">
      <c r="A1437" s="38"/>
      <c r="B1437" s="28" t="s">
        <v>7933</v>
      </c>
      <c r="C1437" s="28" t="s">
        <v>7502</v>
      </c>
      <c r="D1437" s="29" t="s">
        <v>7934</v>
      </c>
      <c r="E1437" s="30" t="s">
        <v>7935</v>
      </c>
      <c r="F1437" s="28" t="s">
        <v>7936</v>
      </c>
      <c r="I1437" s="32"/>
      <c r="J1437" s="32"/>
      <c r="K1437" s="33" t="s">
        <v>7933</v>
      </c>
      <c r="L1437" s="33" t="s">
        <v>7937</v>
      </c>
      <c r="N1437" s="33" t="s">
        <v>7933</v>
      </c>
      <c r="O1437" s="35" t="s">
        <v>7501</v>
      </c>
    </row>
    <row r="1438">
      <c r="A1438" s="38"/>
      <c r="B1438" s="28" t="s">
        <v>7938</v>
      </c>
      <c r="C1438" s="28" t="s">
        <v>7509</v>
      </c>
      <c r="D1438" s="29" t="s">
        <v>7939</v>
      </c>
      <c r="E1438" s="30" t="s">
        <v>7940</v>
      </c>
      <c r="F1438" s="28" t="s">
        <v>7941</v>
      </c>
      <c r="I1438" s="32"/>
      <c r="J1438" s="32"/>
      <c r="K1438" s="33" t="s">
        <v>7938</v>
      </c>
      <c r="L1438" s="33" t="s">
        <v>7942</v>
      </c>
      <c r="N1438" s="33" t="s">
        <v>7938</v>
      </c>
      <c r="O1438" s="35" t="s">
        <v>7508</v>
      </c>
    </row>
    <row r="1439">
      <c r="A1439" s="38"/>
      <c r="B1439" s="28" t="s">
        <v>7943</v>
      </c>
      <c r="C1439" s="28" t="s">
        <v>7515</v>
      </c>
      <c r="D1439" s="29" t="s">
        <v>7944</v>
      </c>
      <c r="E1439" s="30" t="s">
        <v>7940</v>
      </c>
      <c r="F1439" s="28" t="s">
        <v>7945</v>
      </c>
      <c r="I1439" s="32"/>
      <c r="J1439" s="32"/>
      <c r="K1439" s="33" t="s">
        <v>7943</v>
      </c>
      <c r="L1439" s="33" t="s">
        <v>7946</v>
      </c>
      <c r="N1439" s="33" t="s">
        <v>7943</v>
      </c>
      <c r="O1439" s="35" t="s">
        <v>7514</v>
      </c>
    </row>
    <row r="1440">
      <c r="A1440" s="38"/>
      <c r="B1440" s="28" t="s">
        <v>7947</v>
      </c>
      <c r="C1440" s="28" t="s">
        <v>7521</v>
      </c>
      <c r="D1440" s="29" t="s">
        <v>7948</v>
      </c>
      <c r="E1440" s="30"/>
      <c r="F1440" s="28" t="s">
        <v>7949</v>
      </c>
      <c r="I1440" s="32"/>
      <c r="J1440" s="32"/>
      <c r="K1440" s="33" t="s">
        <v>7947</v>
      </c>
      <c r="L1440" s="33" t="s">
        <v>7950</v>
      </c>
      <c r="N1440" s="33" t="s">
        <v>7947</v>
      </c>
      <c r="O1440" s="35" t="s">
        <v>7520</v>
      </c>
    </row>
    <row r="1441">
      <c r="A1441" s="38"/>
      <c r="B1441" s="28" t="s">
        <v>7951</v>
      </c>
      <c r="C1441" s="28" t="s">
        <v>7527</v>
      </c>
      <c r="D1441" s="29" t="s">
        <v>7952</v>
      </c>
      <c r="E1441" s="30"/>
      <c r="F1441" s="28" t="s">
        <v>7953</v>
      </c>
      <c r="I1441" s="32"/>
      <c r="J1441" s="32"/>
      <c r="K1441" s="33" t="s">
        <v>7951</v>
      </c>
      <c r="L1441" s="33" t="s">
        <v>7954</v>
      </c>
      <c r="N1441" s="33" t="s">
        <v>7951</v>
      </c>
      <c r="O1441" s="35" t="s">
        <v>7526</v>
      </c>
    </row>
    <row r="1442">
      <c r="A1442" s="38"/>
      <c r="B1442" s="28" t="s">
        <v>7955</v>
      </c>
      <c r="C1442" s="28" t="s">
        <v>7533</v>
      </c>
      <c r="D1442" s="29" t="s">
        <v>7956</v>
      </c>
      <c r="E1442" s="30" t="s">
        <v>7957</v>
      </c>
      <c r="F1442" s="28" t="s">
        <v>7958</v>
      </c>
      <c r="I1442" s="32"/>
      <c r="J1442" s="32"/>
      <c r="K1442" s="33" t="s">
        <v>7955</v>
      </c>
      <c r="L1442" s="33" t="s">
        <v>7959</v>
      </c>
      <c r="N1442" s="33" t="s">
        <v>7955</v>
      </c>
      <c r="O1442" s="35" t="s">
        <v>7532</v>
      </c>
    </row>
    <row r="1443">
      <c r="A1443" s="38"/>
      <c r="B1443" s="28" t="s">
        <v>7960</v>
      </c>
      <c r="C1443" s="28" t="s">
        <v>7538</v>
      </c>
      <c r="D1443" s="29" t="s">
        <v>7961</v>
      </c>
      <c r="E1443" s="30" t="s">
        <v>7962</v>
      </c>
      <c r="F1443" s="28" t="s">
        <v>7963</v>
      </c>
      <c r="I1443" s="32"/>
      <c r="J1443" s="32"/>
      <c r="K1443" s="33" t="s">
        <v>7960</v>
      </c>
      <c r="L1443" s="33" t="s">
        <v>7964</v>
      </c>
      <c r="N1443" s="33" t="s">
        <v>7960</v>
      </c>
      <c r="O1443" s="35"/>
    </row>
    <row r="1444">
      <c r="A1444" s="38"/>
      <c r="B1444" s="28" t="s">
        <v>7965</v>
      </c>
      <c r="C1444" s="28" t="s">
        <v>7544</v>
      </c>
      <c r="D1444" s="29" t="s">
        <v>7966</v>
      </c>
      <c r="E1444" s="30" t="s">
        <v>7967</v>
      </c>
      <c r="F1444" s="28" t="s">
        <v>7968</v>
      </c>
      <c r="I1444" s="32"/>
      <c r="J1444" s="32"/>
      <c r="K1444" s="33" t="s">
        <v>7965</v>
      </c>
      <c r="L1444" s="33" t="s">
        <v>7969</v>
      </c>
      <c r="N1444" s="33" t="s">
        <v>7965</v>
      </c>
      <c r="O1444" s="35" t="s">
        <v>7543</v>
      </c>
    </row>
    <row r="1445">
      <c r="A1445" s="38"/>
      <c r="B1445" s="28" t="s">
        <v>7970</v>
      </c>
      <c r="C1445" s="28" t="s">
        <v>7971</v>
      </c>
      <c r="D1445" s="29" t="s">
        <v>7972</v>
      </c>
      <c r="E1445" s="30" t="s">
        <v>7973</v>
      </c>
      <c r="F1445" s="28" t="s">
        <v>7974</v>
      </c>
      <c r="I1445" s="32"/>
      <c r="J1445" s="32"/>
      <c r="K1445" s="33" t="s">
        <v>7970</v>
      </c>
      <c r="L1445" s="33" t="s">
        <v>7975</v>
      </c>
      <c r="N1445" s="33" t="s">
        <v>7970</v>
      </c>
      <c r="O1445" s="35" t="s">
        <v>7976</v>
      </c>
    </row>
    <row r="1446">
      <c r="A1446" s="38"/>
      <c r="B1446" s="28" t="s">
        <v>7977</v>
      </c>
      <c r="C1446" s="28" t="s">
        <v>7550</v>
      </c>
      <c r="D1446" s="29" t="s">
        <v>7978</v>
      </c>
      <c r="E1446" s="30"/>
      <c r="F1446" s="28" t="s">
        <v>7979</v>
      </c>
      <c r="I1446" s="32"/>
      <c r="J1446" s="32"/>
      <c r="K1446" s="33" t="s">
        <v>7977</v>
      </c>
      <c r="L1446" s="33" t="s">
        <v>7980</v>
      </c>
      <c r="N1446" s="33" t="s">
        <v>7977</v>
      </c>
      <c r="O1446" s="35" t="s">
        <v>7549</v>
      </c>
    </row>
    <row r="1447">
      <c r="A1447" s="38"/>
      <c r="B1447" s="28" t="s">
        <v>7981</v>
      </c>
      <c r="C1447" s="28" t="s">
        <v>7982</v>
      </c>
      <c r="D1447" s="29" t="s">
        <v>7983</v>
      </c>
      <c r="E1447" s="30" t="s">
        <v>7984</v>
      </c>
      <c r="F1447" s="28" t="s">
        <v>7985</v>
      </c>
      <c r="I1447" s="32"/>
      <c r="J1447" s="32"/>
      <c r="K1447" s="33" t="s">
        <v>7981</v>
      </c>
      <c r="L1447" s="33" t="s">
        <v>7986</v>
      </c>
      <c r="N1447" s="33" t="s">
        <v>7981</v>
      </c>
      <c r="O1447" s="35" t="s">
        <v>7987</v>
      </c>
    </row>
    <row r="1448">
      <c r="A1448" s="38"/>
      <c r="B1448" s="28" t="s">
        <v>7988</v>
      </c>
      <c r="C1448" s="28" t="s">
        <v>7989</v>
      </c>
      <c r="D1448" s="29" t="s">
        <v>7990</v>
      </c>
      <c r="E1448" s="30" t="s">
        <v>7991</v>
      </c>
      <c r="F1448" s="28" t="s">
        <v>7992</v>
      </c>
      <c r="I1448" s="32"/>
      <c r="J1448" s="32"/>
      <c r="K1448" s="33" t="s">
        <v>7988</v>
      </c>
      <c r="L1448" s="33" t="s">
        <v>7993</v>
      </c>
      <c r="N1448" s="33" t="s">
        <v>7988</v>
      </c>
      <c r="O1448" s="35" t="s">
        <v>7994</v>
      </c>
    </row>
    <row r="1449">
      <c r="A1449" s="38"/>
      <c r="B1449" s="28" t="s">
        <v>7995</v>
      </c>
      <c r="C1449" s="28" t="s">
        <v>7574</v>
      </c>
      <c r="D1449" s="29" t="s">
        <v>7996</v>
      </c>
      <c r="E1449" s="30" t="s">
        <v>7997</v>
      </c>
      <c r="F1449" s="28" t="s">
        <v>7998</v>
      </c>
      <c r="I1449" s="32"/>
      <c r="J1449" s="32"/>
      <c r="K1449" s="33" t="s">
        <v>7995</v>
      </c>
      <c r="L1449" s="33" t="s">
        <v>7999</v>
      </c>
      <c r="N1449" s="33" t="s">
        <v>7995</v>
      </c>
      <c r="O1449" s="35" t="s">
        <v>7573</v>
      </c>
    </row>
    <row r="1450">
      <c r="A1450" s="38"/>
      <c r="B1450" s="28" t="s">
        <v>8000</v>
      </c>
      <c r="C1450" s="28" t="s">
        <v>7580</v>
      </c>
      <c r="D1450" s="29" t="s">
        <v>8001</v>
      </c>
      <c r="E1450" s="30" t="s">
        <v>8002</v>
      </c>
      <c r="F1450" s="28" t="s">
        <v>8003</v>
      </c>
      <c r="I1450" s="32"/>
      <c r="J1450" s="32"/>
      <c r="K1450" s="33" t="s">
        <v>8000</v>
      </c>
      <c r="L1450" s="33" t="s">
        <v>8004</v>
      </c>
      <c r="N1450" s="33" t="s">
        <v>8000</v>
      </c>
      <c r="O1450" s="35" t="s">
        <v>7579</v>
      </c>
    </row>
    <row r="1451">
      <c r="A1451" s="38"/>
      <c r="B1451" s="28" t="s">
        <v>8005</v>
      </c>
      <c r="C1451" s="28" t="s">
        <v>8006</v>
      </c>
      <c r="D1451" s="29" t="s">
        <v>8007</v>
      </c>
      <c r="E1451" s="30" t="s">
        <v>8008</v>
      </c>
      <c r="F1451" s="28" t="s">
        <v>8009</v>
      </c>
      <c r="I1451" s="32"/>
      <c r="J1451" s="32"/>
      <c r="K1451" s="33" t="s">
        <v>8005</v>
      </c>
      <c r="L1451" s="33" t="s">
        <v>8010</v>
      </c>
      <c r="N1451" s="33" t="s">
        <v>8005</v>
      </c>
      <c r="O1451" s="35" t="s">
        <v>8011</v>
      </c>
    </row>
    <row r="1452">
      <c r="A1452" s="38"/>
      <c r="B1452" s="28" t="s">
        <v>8012</v>
      </c>
      <c r="C1452" s="28" t="s">
        <v>7586</v>
      </c>
      <c r="D1452" s="29" t="s">
        <v>8013</v>
      </c>
      <c r="E1452" s="30"/>
      <c r="F1452" s="28" t="s">
        <v>8014</v>
      </c>
      <c r="I1452" s="32"/>
      <c r="J1452" s="32"/>
      <c r="K1452" s="33" t="s">
        <v>8012</v>
      </c>
      <c r="L1452" s="33" t="s">
        <v>8015</v>
      </c>
      <c r="N1452" s="33" t="s">
        <v>8012</v>
      </c>
      <c r="O1452" s="35"/>
    </row>
    <row r="1453">
      <c r="A1453" s="38"/>
      <c r="B1453" s="28" t="s">
        <v>8016</v>
      </c>
      <c r="C1453" s="28" t="s">
        <v>7592</v>
      </c>
      <c r="D1453" s="29" t="s">
        <v>8017</v>
      </c>
      <c r="E1453" s="30" t="s">
        <v>8018</v>
      </c>
      <c r="F1453" s="28" t="s">
        <v>8019</v>
      </c>
      <c r="I1453" s="32"/>
      <c r="J1453" s="32"/>
      <c r="K1453" s="33" t="s">
        <v>8016</v>
      </c>
      <c r="L1453" s="33" t="s">
        <v>8020</v>
      </c>
      <c r="N1453" s="33" t="s">
        <v>8016</v>
      </c>
      <c r="O1453" s="35"/>
    </row>
    <row r="1454">
      <c r="A1454" s="38"/>
      <c r="B1454" s="28" t="s">
        <v>8021</v>
      </c>
      <c r="C1454" s="28" t="s">
        <v>7599</v>
      </c>
      <c r="D1454" s="29" t="s">
        <v>8022</v>
      </c>
      <c r="E1454" s="30"/>
      <c r="F1454" s="28" t="s">
        <v>8023</v>
      </c>
      <c r="I1454" s="32"/>
      <c r="J1454" s="32"/>
      <c r="K1454" s="33" t="s">
        <v>8021</v>
      </c>
      <c r="L1454" s="33" t="s">
        <v>8024</v>
      </c>
      <c r="N1454" s="33" t="s">
        <v>8021</v>
      </c>
      <c r="O1454" s="35" t="s">
        <v>7598</v>
      </c>
    </row>
    <row r="1455">
      <c r="A1455" s="38"/>
      <c r="B1455" s="28" t="s">
        <v>8025</v>
      </c>
      <c r="C1455" s="28" t="s">
        <v>7607</v>
      </c>
      <c r="D1455" s="29" t="s">
        <v>8026</v>
      </c>
      <c r="E1455" s="30" t="s">
        <v>8027</v>
      </c>
      <c r="F1455" s="28" t="s">
        <v>8028</v>
      </c>
      <c r="I1455" s="32"/>
      <c r="J1455" s="32"/>
      <c r="K1455" s="33" t="s">
        <v>8025</v>
      </c>
      <c r="L1455" s="33" t="s">
        <v>8029</v>
      </c>
      <c r="N1455" s="33" t="s">
        <v>8025</v>
      </c>
      <c r="O1455" s="35"/>
    </row>
    <row r="1456">
      <c r="A1456" s="38"/>
      <c r="B1456" s="28" t="s">
        <v>8030</v>
      </c>
      <c r="C1456" s="28" t="s">
        <v>7613</v>
      </c>
      <c r="D1456" s="29" t="s">
        <v>8031</v>
      </c>
      <c r="E1456" s="54" t="s">
        <v>8032</v>
      </c>
      <c r="F1456" s="28" t="s">
        <v>8033</v>
      </c>
      <c r="I1456" s="32"/>
      <c r="J1456" s="32"/>
      <c r="K1456" s="33" t="s">
        <v>8030</v>
      </c>
      <c r="L1456" s="33" t="s">
        <v>8034</v>
      </c>
      <c r="N1456" s="33" t="s">
        <v>8030</v>
      </c>
      <c r="O1456" s="35" t="s">
        <v>7612</v>
      </c>
    </row>
    <row r="1457">
      <c r="A1457" s="38"/>
      <c r="B1457" s="28" t="s">
        <v>8035</v>
      </c>
      <c r="C1457" s="28" t="s">
        <v>7620</v>
      </c>
      <c r="D1457" s="29" t="s">
        <v>8036</v>
      </c>
      <c r="E1457" s="30"/>
      <c r="F1457" s="28" t="s">
        <v>8037</v>
      </c>
      <c r="I1457" s="32"/>
      <c r="J1457" s="32"/>
      <c r="K1457" s="33" t="s">
        <v>8035</v>
      </c>
      <c r="L1457" s="33" t="s">
        <v>8038</v>
      </c>
      <c r="N1457" s="33" t="s">
        <v>8035</v>
      </c>
      <c r="O1457" s="35" t="s">
        <v>7619</v>
      </c>
    </row>
    <row r="1458">
      <c r="A1458" s="38"/>
      <c r="B1458" s="28" t="s">
        <v>8039</v>
      </c>
      <c r="C1458" s="28" t="s">
        <v>7633</v>
      </c>
      <c r="D1458" s="29" t="s">
        <v>8040</v>
      </c>
      <c r="E1458" s="30" t="s">
        <v>8041</v>
      </c>
      <c r="F1458" s="28" t="s">
        <v>8042</v>
      </c>
      <c r="I1458" s="32"/>
      <c r="J1458" s="32"/>
      <c r="K1458" s="33" t="s">
        <v>8039</v>
      </c>
      <c r="L1458" s="33" t="s">
        <v>8043</v>
      </c>
      <c r="N1458" s="33" t="s">
        <v>8039</v>
      </c>
      <c r="O1458" s="35" t="s">
        <v>7632</v>
      </c>
    </row>
    <row r="1459">
      <c r="A1459" s="38"/>
      <c r="B1459" s="28" t="s">
        <v>8044</v>
      </c>
      <c r="C1459" s="28" t="s">
        <v>8045</v>
      </c>
      <c r="D1459" s="29" t="s">
        <v>8046</v>
      </c>
      <c r="E1459" s="30"/>
      <c r="F1459" s="28" t="s">
        <v>8047</v>
      </c>
      <c r="I1459" s="32"/>
      <c r="J1459" s="32"/>
      <c r="K1459" s="33" t="s">
        <v>8044</v>
      </c>
      <c r="L1459" s="33" t="s">
        <v>8048</v>
      </c>
      <c r="N1459" s="33" t="s">
        <v>8044</v>
      </c>
      <c r="O1459" s="35" t="s">
        <v>8049</v>
      </c>
    </row>
    <row r="1460">
      <c r="A1460" s="38"/>
      <c r="B1460" s="28" t="s">
        <v>8050</v>
      </c>
      <c r="C1460" s="28" t="s">
        <v>7639</v>
      </c>
      <c r="D1460" s="29" t="s">
        <v>8051</v>
      </c>
      <c r="E1460" s="30" t="s">
        <v>8052</v>
      </c>
      <c r="F1460" s="28" t="s">
        <v>8053</v>
      </c>
      <c r="I1460" s="32"/>
      <c r="J1460" s="32"/>
      <c r="K1460" s="33" t="s">
        <v>8050</v>
      </c>
      <c r="L1460" s="33" t="s">
        <v>8054</v>
      </c>
      <c r="N1460" s="33" t="s">
        <v>8050</v>
      </c>
      <c r="O1460" s="35"/>
    </row>
    <row r="1461">
      <c r="A1461" s="38"/>
      <c r="B1461" s="28" t="s">
        <v>8055</v>
      </c>
      <c r="C1461" s="28" t="s">
        <v>7644</v>
      </c>
      <c r="D1461" s="29" t="s">
        <v>8056</v>
      </c>
      <c r="E1461" s="54" t="s">
        <v>8057</v>
      </c>
      <c r="F1461" s="28" t="s">
        <v>8058</v>
      </c>
      <c r="I1461" s="32"/>
      <c r="J1461" s="32"/>
      <c r="K1461" s="33" t="s">
        <v>8055</v>
      </c>
      <c r="L1461" s="33" t="s">
        <v>8059</v>
      </c>
      <c r="N1461" s="33" t="s">
        <v>8055</v>
      </c>
      <c r="O1461" s="35" t="s">
        <v>7643</v>
      </c>
    </row>
    <row r="1462">
      <c r="A1462" s="38"/>
      <c r="B1462" s="28" t="s">
        <v>8060</v>
      </c>
      <c r="C1462" s="28" t="s">
        <v>7655</v>
      </c>
      <c r="D1462" s="29" t="s">
        <v>8061</v>
      </c>
      <c r="E1462" s="30" t="s">
        <v>8062</v>
      </c>
      <c r="F1462" s="28" t="s">
        <v>8063</v>
      </c>
      <c r="I1462" s="32"/>
      <c r="J1462" s="32"/>
      <c r="K1462" s="33" t="s">
        <v>8060</v>
      </c>
      <c r="L1462" s="33" t="s">
        <v>8064</v>
      </c>
      <c r="N1462" s="33" t="s">
        <v>8060</v>
      </c>
      <c r="O1462" s="35" t="s">
        <v>7654</v>
      </c>
    </row>
    <row r="1463">
      <c r="A1463" s="38"/>
      <c r="B1463" s="28" t="s">
        <v>8065</v>
      </c>
      <c r="C1463" s="28" t="s">
        <v>7667</v>
      </c>
      <c r="D1463" s="29" t="s">
        <v>8066</v>
      </c>
      <c r="E1463" s="30" t="s">
        <v>8067</v>
      </c>
      <c r="F1463" s="28" t="s">
        <v>8068</v>
      </c>
      <c r="I1463" s="32"/>
      <c r="J1463" s="32"/>
      <c r="K1463" s="33" t="s">
        <v>8065</v>
      </c>
      <c r="L1463" s="33" t="s">
        <v>8069</v>
      </c>
      <c r="N1463" s="33" t="s">
        <v>8065</v>
      </c>
      <c r="O1463" s="47" t="s">
        <v>8070</v>
      </c>
    </row>
    <row r="1464">
      <c r="A1464" s="38"/>
      <c r="B1464" s="28" t="s">
        <v>8071</v>
      </c>
      <c r="C1464" s="28" t="s">
        <v>7674</v>
      </c>
      <c r="D1464" s="29" t="s">
        <v>8072</v>
      </c>
      <c r="E1464" s="30" t="s">
        <v>8073</v>
      </c>
      <c r="F1464" s="28" t="s">
        <v>8074</v>
      </c>
      <c r="I1464" s="32"/>
      <c r="J1464" s="32"/>
      <c r="K1464" s="33" t="s">
        <v>8071</v>
      </c>
      <c r="L1464" s="33" t="s">
        <v>8075</v>
      </c>
      <c r="N1464" s="33" t="s">
        <v>8071</v>
      </c>
      <c r="O1464" s="35" t="s">
        <v>7673</v>
      </c>
    </row>
    <row r="1465">
      <c r="A1465" s="38"/>
      <c r="B1465" s="28" t="s">
        <v>8076</v>
      </c>
      <c r="C1465" s="28" t="s">
        <v>7680</v>
      </c>
      <c r="D1465" s="29" t="s">
        <v>8077</v>
      </c>
      <c r="E1465" s="30" t="s">
        <v>8078</v>
      </c>
      <c r="F1465" s="28" t="s">
        <v>8079</v>
      </c>
      <c r="I1465" s="32"/>
      <c r="J1465" s="32"/>
      <c r="K1465" s="33" t="s">
        <v>8076</v>
      </c>
      <c r="L1465" s="33" t="s">
        <v>8080</v>
      </c>
      <c r="N1465" s="33" t="s">
        <v>8076</v>
      </c>
      <c r="O1465" s="35" t="s">
        <v>7679</v>
      </c>
    </row>
    <row r="1466">
      <c r="A1466" s="38"/>
      <c r="B1466" s="28" t="s">
        <v>8081</v>
      </c>
      <c r="C1466" s="28" t="s">
        <v>8082</v>
      </c>
      <c r="D1466" s="29" t="s">
        <v>8083</v>
      </c>
      <c r="E1466" s="30" t="s">
        <v>8084</v>
      </c>
      <c r="F1466" s="28" t="s">
        <v>8085</v>
      </c>
      <c r="I1466" s="32"/>
      <c r="J1466" s="32"/>
      <c r="K1466" s="33" t="s">
        <v>8081</v>
      </c>
      <c r="L1466" s="33" t="s">
        <v>8086</v>
      </c>
      <c r="N1466" s="33" t="s">
        <v>8081</v>
      </c>
      <c r="O1466" s="35"/>
    </row>
    <row r="1467">
      <c r="A1467" s="38"/>
      <c r="B1467" s="28" t="s">
        <v>8087</v>
      </c>
      <c r="C1467" s="28" t="s">
        <v>7684</v>
      </c>
      <c r="D1467" s="29" t="s">
        <v>8088</v>
      </c>
      <c r="E1467" s="30"/>
      <c r="F1467" s="28" t="s">
        <v>8089</v>
      </c>
      <c r="I1467" s="32"/>
      <c r="J1467" s="32"/>
      <c r="K1467" s="33" t="s">
        <v>8087</v>
      </c>
      <c r="L1467" s="33" t="s">
        <v>8090</v>
      </c>
      <c r="N1467" s="33" t="s">
        <v>8087</v>
      </c>
      <c r="O1467" s="35"/>
    </row>
    <row r="1468">
      <c r="A1468" s="38"/>
      <c r="B1468" s="28" t="s">
        <v>8091</v>
      </c>
      <c r="C1468" s="28" t="s">
        <v>7688</v>
      </c>
      <c r="D1468" s="29" t="s">
        <v>8092</v>
      </c>
      <c r="E1468" s="30" t="s">
        <v>8093</v>
      </c>
      <c r="F1468" s="28" t="s">
        <v>8094</v>
      </c>
      <c r="I1468" s="32"/>
      <c r="J1468" s="32"/>
      <c r="K1468" s="33" t="s">
        <v>8091</v>
      </c>
      <c r="L1468" s="33" t="s">
        <v>8095</v>
      </c>
      <c r="N1468" s="33" t="s">
        <v>8091</v>
      </c>
      <c r="O1468" s="35"/>
    </row>
    <row r="1469">
      <c r="A1469" s="38"/>
      <c r="B1469" s="28" t="s">
        <v>8096</v>
      </c>
      <c r="C1469" s="28" t="s">
        <v>7696</v>
      </c>
      <c r="D1469" s="29" t="s">
        <v>8097</v>
      </c>
      <c r="E1469" s="30" t="s">
        <v>8098</v>
      </c>
      <c r="F1469" s="28" t="s">
        <v>8099</v>
      </c>
      <c r="I1469" s="32"/>
      <c r="J1469" s="32"/>
      <c r="K1469" s="33" t="s">
        <v>8096</v>
      </c>
      <c r="L1469" s="33" t="s">
        <v>8100</v>
      </c>
      <c r="N1469" s="33" t="s">
        <v>8096</v>
      </c>
      <c r="O1469" s="35"/>
    </row>
    <row r="1470">
      <c r="A1470" s="38"/>
      <c r="B1470" s="28" t="s">
        <v>8101</v>
      </c>
      <c r="C1470" s="28" t="s">
        <v>7711</v>
      </c>
      <c r="D1470" s="29" t="s">
        <v>8102</v>
      </c>
      <c r="E1470" s="30" t="s">
        <v>8103</v>
      </c>
      <c r="F1470" s="28" t="s">
        <v>8104</v>
      </c>
      <c r="I1470" s="32"/>
      <c r="J1470" s="32"/>
      <c r="K1470" s="33" t="s">
        <v>8101</v>
      </c>
      <c r="L1470" s="33" t="s">
        <v>8105</v>
      </c>
      <c r="N1470" s="33" t="s">
        <v>8101</v>
      </c>
      <c r="O1470" s="35" t="s">
        <v>7710</v>
      </c>
    </row>
    <row r="1471">
      <c r="A1471" s="38"/>
      <c r="B1471" s="28" t="s">
        <v>8106</v>
      </c>
      <c r="C1471" s="28" t="s">
        <v>8107</v>
      </c>
      <c r="D1471" s="29" t="s">
        <v>8108</v>
      </c>
      <c r="E1471" s="30" t="s">
        <v>8109</v>
      </c>
      <c r="F1471" s="28" t="s">
        <v>8110</v>
      </c>
      <c r="I1471" s="32"/>
      <c r="J1471" s="32"/>
      <c r="K1471" s="33" t="s">
        <v>8106</v>
      </c>
      <c r="L1471" s="33" t="s">
        <v>8111</v>
      </c>
      <c r="N1471" s="33" t="s">
        <v>8106</v>
      </c>
      <c r="O1471" s="35"/>
    </row>
    <row r="1472">
      <c r="A1472" s="38"/>
      <c r="B1472" s="28" t="s">
        <v>8112</v>
      </c>
      <c r="C1472" s="28" t="s">
        <v>7716</v>
      </c>
      <c r="D1472" s="29" t="s">
        <v>8113</v>
      </c>
      <c r="E1472" s="30"/>
      <c r="F1472" s="28" t="s">
        <v>8114</v>
      </c>
      <c r="I1472" s="32"/>
      <c r="J1472" s="32"/>
      <c r="K1472" s="33" t="s">
        <v>8112</v>
      </c>
      <c r="L1472" s="33" t="s">
        <v>8115</v>
      </c>
      <c r="N1472" s="33" t="s">
        <v>8112</v>
      </c>
      <c r="O1472" s="35" t="s">
        <v>7715</v>
      </c>
    </row>
    <row r="1473">
      <c r="A1473" s="38"/>
      <c r="B1473" s="28" t="s">
        <v>8116</v>
      </c>
      <c r="C1473" s="28" t="s">
        <v>7721</v>
      </c>
      <c r="D1473" s="29" t="s">
        <v>8117</v>
      </c>
      <c r="E1473" s="30"/>
      <c r="F1473" s="28" t="s">
        <v>8118</v>
      </c>
      <c r="I1473" s="32"/>
      <c r="J1473" s="32"/>
      <c r="K1473" s="33" t="s">
        <v>8116</v>
      </c>
      <c r="L1473" s="33" t="s">
        <v>8119</v>
      </c>
      <c r="N1473" s="33" t="s">
        <v>8116</v>
      </c>
      <c r="O1473" s="35" t="s">
        <v>7720</v>
      </c>
    </row>
    <row r="1474">
      <c r="A1474" s="38"/>
      <c r="B1474" s="28" t="s">
        <v>8120</v>
      </c>
      <c r="C1474" s="28" t="s">
        <v>7727</v>
      </c>
      <c r="D1474" s="29" t="s">
        <v>8121</v>
      </c>
      <c r="E1474" s="30" t="s">
        <v>8122</v>
      </c>
      <c r="F1474" s="28" t="s">
        <v>8123</v>
      </c>
      <c r="I1474" s="32"/>
      <c r="J1474" s="32"/>
      <c r="K1474" s="33" t="s">
        <v>8120</v>
      </c>
      <c r="L1474" s="33" t="s">
        <v>8124</v>
      </c>
      <c r="N1474" s="33" t="s">
        <v>8120</v>
      </c>
      <c r="O1474" s="35" t="s">
        <v>7726</v>
      </c>
    </row>
    <row r="1475">
      <c r="A1475" s="38"/>
      <c r="B1475" s="28" t="s">
        <v>8125</v>
      </c>
      <c r="C1475" s="28" t="s">
        <v>8126</v>
      </c>
      <c r="D1475" s="29" t="s">
        <v>8127</v>
      </c>
      <c r="E1475" s="30" t="s">
        <v>8128</v>
      </c>
      <c r="F1475" s="28" t="s">
        <v>8129</v>
      </c>
      <c r="I1475" s="32"/>
      <c r="J1475" s="32"/>
      <c r="K1475" s="33" t="s">
        <v>8125</v>
      </c>
      <c r="L1475" s="33" t="s">
        <v>8130</v>
      </c>
      <c r="N1475" s="33" t="s">
        <v>8125</v>
      </c>
      <c r="O1475" s="35"/>
    </row>
    <row r="1476">
      <c r="A1476" s="38"/>
      <c r="B1476" s="28" t="s">
        <v>8131</v>
      </c>
      <c r="C1476" s="28" t="s">
        <v>7738</v>
      </c>
      <c r="D1476" s="29" t="s">
        <v>8132</v>
      </c>
      <c r="E1476" s="30" t="s">
        <v>8133</v>
      </c>
      <c r="F1476" s="28" t="s">
        <v>8134</v>
      </c>
      <c r="I1476" s="32"/>
      <c r="J1476" s="32"/>
      <c r="K1476" s="33" t="s">
        <v>8131</v>
      </c>
      <c r="L1476" s="33" t="s">
        <v>8135</v>
      </c>
      <c r="N1476" s="33" t="s">
        <v>8131</v>
      </c>
      <c r="O1476" s="35" t="s">
        <v>7737</v>
      </c>
    </row>
    <row r="1477">
      <c r="A1477" s="38"/>
      <c r="B1477" s="28" t="s">
        <v>8136</v>
      </c>
      <c r="C1477" s="28" t="s">
        <v>7743</v>
      </c>
      <c r="D1477" s="29" t="s">
        <v>8137</v>
      </c>
      <c r="E1477" s="30"/>
      <c r="F1477" s="28" t="s">
        <v>8138</v>
      </c>
      <c r="I1477" s="32"/>
      <c r="J1477" s="32"/>
      <c r="K1477" s="33" t="s">
        <v>8136</v>
      </c>
      <c r="L1477" s="33" t="s">
        <v>8139</v>
      </c>
      <c r="N1477" s="33" t="s">
        <v>8136</v>
      </c>
      <c r="O1477" s="35"/>
    </row>
    <row r="1478">
      <c r="A1478" s="38"/>
      <c r="B1478" s="28" t="s">
        <v>8140</v>
      </c>
      <c r="C1478" s="28" t="s">
        <v>8141</v>
      </c>
      <c r="D1478" s="61" t="s">
        <v>8142</v>
      </c>
      <c r="E1478" s="30"/>
      <c r="F1478" s="28" t="s">
        <v>8143</v>
      </c>
      <c r="I1478" s="32"/>
      <c r="J1478" s="32"/>
      <c r="K1478" s="33" t="s">
        <v>8140</v>
      </c>
      <c r="L1478" s="33" t="s">
        <v>8144</v>
      </c>
      <c r="N1478" s="33" t="s">
        <v>8140</v>
      </c>
      <c r="O1478" s="35" t="s">
        <v>8145</v>
      </c>
    </row>
    <row r="1479">
      <c r="A1479" s="38"/>
      <c r="B1479" s="28" t="s">
        <v>8146</v>
      </c>
      <c r="C1479" s="28" t="s">
        <v>8147</v>
      </c>
      <c r="D1479" s="29" t="s">
        <v>8148</v>
      </c>
      <c r="E1479" s="30"/>
      <c r="F1479" s="28" t="s">
        <v>8149</v>
      </c>
      <c r="I1479" s="32"/>
      <c r="J1479" s="32"/>
      <c r="K1479" s="33" t="s">
        <v>8146</v>
      </c>
      <c r="L1479" s="33" t="s">
        <v>8150</v>
      </c>
      <c r="N1479" s="33" t="s">
        <v>8146</v>
      </c>
      <c r="O1479" s="35" t="s">
        <v>8151</v>
      </c>
    </row>
    <row r="1480">
      <c r="A1480" s="38"/>
      <c r="B1480" s="28" t="s">
        <v>8152</v>
      </c>
      <c r="C1480" s="28" t="s">
        <v>7747</v>
      </c>
      <c r="D1480" s="29" t="s">
        <v>8153</v>
      </c>
      <c r="E1480" s="54" t="s">
        <v>8154</v>
      </c>
      <c r="F1480" s="28" t="s">
        <v>8155</v>
      </c>
      <c r="I1480" s="32"/>
      <c r="J1480" s="32"/>
      <c r="K1480" s="33" t="s">
        <v>8152</v>
      </c>
      <c r="L1480" s="33" t="s">
        <v>8156</v>
      </c>
      <c r="N1480" s="33" t="s">
        <v>8152</v>
      </c>
      <c r="O1480" s="35" t="s">
        <v>7003</v>
      </c>
    </row>
    <row r="1481">
      <c r="A1481" s="38"/>
      <c r="B1481" s="28" t="s">
        <v>8157</v>
      </c>
      <c r="C1481" s="28" t="s">
        <v>7753</v>
      </c>
      <c r="D1481" s="29" t="s">
        <v>8158</v>
      </c>
      <c r="E1481" s="30"/>
      <c r="F1481" s="28" t="s">
        <v>8159</v>
      </c>
      <c r="I1481" s="32"/>
      <c r="J1481" s="32"/>
      <c r="K1481" s="33" t="s">
        <v>8157</v>
      </c>
      <c r="L1481" s="33" t="s">
        <v>8160</v>
      </c>
      <c r="N1481" s="33" t="s">
        <v>8157</v>
      </c>
      <c r="O1481" s="35" t="s">
        <v>7752</v>
      </c>
    </row>
    <row r="1482">
      <c r="A1482" s="38"/>
      <c r="B1482" s="28" t="s">
        <v>8161</v>
      </c>
      <c r="C1482" s="28" t="s">
        <v>8162</v>
      </c>
      <c r="D1482" s="60" t="s">
        <v>8163</v>
      </c>
      <c r="E1482" s="30"/>
      <c r="F1482" s="28" t="s">
        <v>8164</v>
      </c>
      <c r="I1482" s="32"/>
      <c r="J1482" s="32"/>
      <c r="K1482" s="33" t="s">
        <v>8161</v>
      </c>
      <c r="L1482" s="33" t="s">
        <v>8165</v>
      </c>
      <c r="N1482" s="33" t="s">
        <v>8161</v>
      </c>
      <c r="O1482" s="47" t="s">
        <v>8166</v>
      </c>
    </row>
    <row r="1483">
      <c r="A1483" s="38"/>
      <c r="B1483" s="28" t="s">
        <v>8167</v>
      </c>
      <c r="C1483" s="28" t="s">
        <v>7758</v>
      </c>
      <c r="D1483" s="29" t="s">
        <v>8168</v>
      </c>
      <c r="E1483" s="30" t="s">
        <v>8169</v>
      </c>
      <c r="F1483" s="28" t="s">
        <v>8170</v>
      </c>
      <c r="I1483" s="32"/>
      <c r="J1483" s="32"/>
      <c r="K1483" s="33" t="s">
        <v>8167</v>
      </c>
      <c r="L1483" s="33" t="s">
        <v>8171</v>
      </c>
      <c r="N1483" s="33" t="s">
        <v>8167</v>
      </c>
      <c r="O1483" s="35" t="s">
        <v>7757</v>
      </c>
    </row>
    <row r="1484">
      <c r="A1484" s="38"/>
      <c r="B1484" s="28" t="s">
        <v>8172</v>
      </c>
      <c r="C1484" s="28" t="s">
        <v>7763</v>
      </c>
      <c r="D1484" s="29" t="s">
        <v>8173</v>
      </c>
      <c r="E1484" s="30" t="s">
        <v>8174</v>
      </c>
      <c r="F1484" s="28" t="s">
        <v>8175</v>
      </c>
      <c r="I1484" s="32"/>
      <c r="J1484" s="32"/>
      <c r="K1484" s="33" t="s">
        <v>8172</v>
      </c>
      <c r="L1484" s="33" t="s">
        <v>8176</v>
      </c>
      <c r="N1484" s="33" t="s">
        <v>8172</v>
      </c>
      <c r="O1484" s="35" t="s">
        <v>7762</v>
      </c>
    </row>
    <row r="1485">
      <c r="A1485" s="38"/>
      <c r="B1485" s="28" t="s">
        <v>8177</v>
      </c>
      <c r="C1485" s="28" t="s">
        <v>7768</v>
      </c>
      <c r="D1485" s="29" t="s">
        <v>8178</v>
      </c>
      <c r="E1485" s="30" t="s">
        <v>8179</v>
      </c>
      <c r="F1485" s="28" t="s">
        <v>8180</v>
      </c>
      <c r="I1485" s="32"/>
      <c r="J1485" s="32"/>
      <c r="K1485" s="33" t="s">
        <v>8177</v>
      </c>
      <c r="L1485" s="33" t="s">
        <v>8181</v>
      </c>
      <c r="N1485" s="33" t="s">
        <v>8177</v>
      </c>
      <c r="O1485" s="47" t="s">
        <v>8182</v>
      </c>
    </row>
    <row r="1486">
      <c r="A1486" s="38"/>
      <c r="B1486" s="28" t="s">
        <v>8183</v>
      </c>
      <c r="C1486" s="28" t="s">
        <v>7773</v>
      </c>
      <c r="D1486" s="29" t="s">
        <v>8184</v>
      </c>
      <c r="E1486" s="30" t="s">
        <v>8185</v>
      </c>
      <c r="F1486" s="28" t="s">
        <v>8186</v>
      </c>
      <c r="I1486" s="32"/>
      <c r="J1486" s="32"/>
      <c r="K1486" s="33" t="s">
        <v>8183</v>
      </c>
      <c r="L1486" s="33" t="s">
        <v>8187</v>
      </c>
      <c r="N1486" s="33" t="s">
        <v>8183</v>
      </c>
      <c r="O1486" s="35"/>
    </row>
    <row r="1487">
      <c r="A1487" s="38"/>
      <c r="B1487" s="28" t="s">
        <v>8188</v>
      </c>
      <c r="C1487" s="28" t="s">
        <v>8189</v>
      </c>
      <c r="D1487" s="29" t="s">
        <v>8190</v>
      </c>
      <c r="E1487" s="30" t="s">
        <v>8191</v>
      </c>
      <c r="F1487" s="28" t="s">
        <v>8192</v>
      </c>
      <c r="I1487" s="32"/>
      <c r="J1487" s="32"/>
      <c r="K1487" s="33" t="s">
        <v>8188</v>
      </c>
      <c r="L1487" s="33" t="s">
        <v>8193</v>
      </c>
      <c r="N1487" s="33" t="s">
        <v>8188</v>
      </c>
      <c r="O1487" s="35" t="s">
        <v>8194</v>
      </c>
    </row>
    <row r="1488">
      <c r="A1488" s="38"/>
      <c r="B1488" s="28" t="s">
        <v>8195</v>
      </c>
      <c r="C1488" s="28" t="s">
        <v>7783</v>
      </c>
      <c r="D1488" s="29" t="s">
        <v>8196</v>
      </c>
      <c r="E1488" s="30" t="s">
        <v>8197</v>
      </c>
      <c r="F1488" s="28" t="s">
        <v>8198</v>
      </c>
      <c r="I1488" s="32"/>
      <c r="J1488" s="32"/>
      <c r="K1488" s="33" t="s">
        <v>8195</v>
      </c>
      <c r="L1488" s="33" t="s">
        <v>8199</v>
      </c>
      <c r="N1488" s="33" t="s">
        <v>8195</v>
      </c>
      <c r="O1488" s="35"/>
    </row>
    <row r="1489">
      <c r="A1489" s="38"/>
      <c r="B1489" s="28" t="s">
        <v>8200</v>
      </c>
      <c r="C1489" s="28" t="s">
        <v>7788</v>
      </c>
      <c r="D1489" s="60" t="s">
        <v>8201</v>
      </c>
      <c r="E1489" s="30" t="s">
        <v>8202</v>
      </c>
      <c r="F1489" s="28" t="s">
        <v>8203</v>
      </c>
      <c r="I1489" s="32"/>
      <c r="J1489" s="32"/>
      <c r="K1489" s="33" t="s">
        <v>8200</v>
      </c>
      <c r="L1489" s="33" t="s">
        <v>8204</v>
      </c>
      <c r="N1489" s="33" t="s">
        <v>8200</v>
      </c>
      <c r="O1489" s="35" t="s">
        <v>7787</v>
      </c>
    </row>
    <row r="1490">
      <c r="A1490" s="38"/>
      <c r="B1490" s="28" t="s">
        <v>8205</v>
      </c>
      <c r="C1490" s="28" t="s">
        <v>7798</v>
      </c>
      <c r="D1490" s="29" t="s">
        <v>8206</v>
      </c>
      <c r="E1490" s="30"/>
      <c r="F1490" s="28" t="s">
        <v>8207</v>
      </c>
      <c r="I1490" s="32"/>
      <c r="J1490" s="32"/>
      <c r="K1490" s="33" t="s">
        <v>8205</v>
      </c>
      <c r="L1490" s="33" t="s">
        <v>8208</v>
      </c>
      <c r="N1490" s="33" t="s">
        <v>8205</v>
      </c>
      <c r="O1490" s="35" t="s">
        <v>7797</v>
      </c>
    </row>
    <row r="1491">
      <c r="A1491" s="38"/>
      <c r="B1491" s="28" t="s">
        <v>8209</v>
      </c>
      <c r="C1491" s="28" t="s">
        <v>7807</v>
      </c>
      <c r="D1491" s="29" t="s">
        <v>8210</v>
      </c>
      <c r="E1491" s="30" t="s">
        <v>8211</v>
      </c>
      <c r="F1491" s="28" t="s">
        <v>8212</v>
      </c>
      <c r="I1491" s="32"/>
      <c r="J1491" s="32"/>
      <c r="K1491" s="33" t="s">
        <v>8209</v>
      </c>
      <c r="L1491" s="33" t="s">
        <v>8213</v>
      </c>
      <c r="N1491" s="33" t="s">
        <v>8209</v>
      </c>
      <c r="O1491" s="35" t="s">
        <v>7806</v>
      </c>
    </row>
    <row r="1492">
      <c r="A1492" s="38"/>
      <c r="B1492" s="28" t="s">
        <v>8214</v>
      </c>
      <c r="C1492" s="28" t="s">
        <v>8215</v>
      </c>
      <c r="D1492" s="29" t="s">
        <v>8216</v>
      </c>
      <c r="E1492" s="30"/>
      <c r="F1492" s="28" t="s">
        <v>8217</v>
      </c>
      <c r="I1492" s="32"/>
      <c r="J1492" s="32"/>
      <c r="K1492" s="33" t="s">
        <v>8214</v>
      </c>
      <c r="L1492" s="33" t="s">
        <v>8218</v>
      </c>
      <c r="N1492" s="33" t="s">
        <v>8214</v>
      </c>
      <c r="O1492" s="35" t="s">
        <v>8219</v>
      </c>
    </row>
    <row r="1493">
      <c r="A1493" s="38"/>
      <c r="B1493" s="28" t="s">
        <v>8220</v>
      </c>
      <c r="C1493" s="28" t="s">
        <v>8221</v>
      </c>
      <c r="D1493" s="29" t="s">
        <v>8222</v>
      </c>
      <c r="E1493" s="30" t="s">
        <v>8223</v>
      </c>
      <c r="F1493" s="28" t="s">
        <v>8224</v>
      </c>
      <c r="I1493" s="32"/>
      <c r="J1493" s="32"/>
      <c r="K1493" s="33" t="s">
        <v>8220</v>
      </c>
      <c r="L1493" s="33" t="s">
        <v>8225</v>
      </c>
      <c r="N1493" s="33" t="s">
        <v>8220</v>
      </c>
      <c r="O1493" s="35" t="s">
        <v>8226</v>
      </c>
    </row>
    <row r="1494">
      <c r="A1494" s="38"/>
      <c r="B1494" s="28" t="s">
        <v>8227</v>
      </c>
      <c r="C1494" s="28" t="s">
        <v>7818</v>
      </c>
      <c r="D1494" s="29" t="s">
        <v>8228</v>
      </c>
      <c r="E1494" s="54" t="s">
        <v>8229</v>
      </c>
      <c r="F1494" s="28" t="s">
        <v>8230</v>
      </c>
      <c r="I1494" s="32"/>
      <c r="J1494" s="32"/>
      <c r="K1494" s="33" t="s">
        <v>8227</v>
      </c>
      <c r="L1494" s="33" t="s">
        <v>8231</v>
      </c>
      <c r="N1494" s="33" t="s">
        <v>8227</v>
      </c>
      <c r="O1494" s="35" t="s">
        <v>7817</v>
      </c>
    </row>
    <row r="1495">
      <c r="A1495" s="38"/>
      <c r="B1495" s="28" t="s">
        <v>8232</v>
      </c>
      <c r="C1495" s="28" t="s">
        <v>7823</v>
      </c>
      <c r="D1495" s="29" t="s">
        <v>8233</v>
      </c>
      <c r="E1495" s="54" t="s">
        <v>8234</v>
      </c>
      <c r="F1495" s="28" t="s">
        <v>8235</v>
      </c>
      <c r="I1495" s="32"/>
      <c r="J1495" s="32"/>
      <c r="K1495" s="33" t="s">
        <v>8232</v>
      </c>
      <c r="L1495" s="33" t="s">
        <v>8236</v>
      </c>
      <c r="N1495" s="33" t="s">
        <v>8232</v>
      </c>
      <c r="O1495" s="35"/>
    </row>
    <row r="1496">
      <c r="A1496" s="38"/>
      <c r="B1496" s="28" t="s">
        <v>8237</v>
      </c>
      <c r="C1496" s="28" t="s">
        <v>7830</v>
      </c>
      <c r="D1496" s="29" t="s">
        <v>8238</v>
      </c>
      <c r="E1496" s="30"/>
      <c r="F1496" s="28" t="s">
        <v>8239</v>
      </c>
      <c r="I1496" s="32"/>
      <c r="J1496" s="32"/>
      <c r="K1496" s="33" t="s">
        <v>8237</v>
      </c>
      <c r="L1496" s="33" t="s">
        <v>8240</v>
      </c>
      <c r="N1496" s="33" t="s">
        <v>8237</v>
      </c>
      <c r="O1496" s="35" t="s">
        <v>7829</v>
      </c>
    </row>
    <row r="1497">
      <c r="A1497" s="38"/>
      <c r="B1497" s="28" t="s">
        <v>8241</v>
      </c>
      <c r="C1497" s="28" t="s">
        <v>7840</v>
      </c>
      <c r="D1497" s="29" t="s">
        <v>8242</v>
      </c>
      <c r="E1497" s="30" t="s">
        <v>8243</v>
      </c>
      <c r="F1497" s="28" t="s">
        <v>8244</v>
      </c>
      <c r="I1497" s="32"/>
      <c r="J1497" s="32"/>
      <c r="K1497" s="33" t="s">
        <v>8241</v>
      </c>
      <c r="L1497" s="33" t="s">
        <v>8245</v>
      </c>
      <c r="N1497" s="33" t="s">
        <v>8241</v>
      </c>
      <c r="O1497" s="35"/>
    </row>
    <row r="1498">
      <c r="A1498" s="38"/>
      <c r="B1498" s="28" t="s">
        <v>8246</v>
      </c>
      <c r="C1498" s="28" t="s">
        <v>8247</v>
      </c>
      <c r="D1498" s="29" t="s">
        <v>8248</v>
      </c>
      <c r="E1498" s="30" t="s">
        <v>8249</v>
      </c>
      <c r="F1498" s="28" t="s">
        <v>8250</v>
      </c>
      <c r="I1498" s="32"/>
      <c r="J1498" s="32"/>
      <c r="K1498" s="33" t="s">
        <v>8246</v>
      </c>
      <c r="L1498" s="33" t="s">
        <v>8251</v>
      </c>
      <c r="N1498" s="33" t="s">
        <v>8246</v>
      </c>
      <c r="O1498" s="35" t="s">
        <v>8252</v>
      </c>
    </row>
    <row r="1499">
      <c r="A1499" s="38"/>
      <c r="B1499" s="28" t="s">
        <v>8253</v>
      </c>
      <c r="C1499" s="28" t="s">
        <v>7859</v>
      </c>
      <c r="D1499" s="29" t="s">
        <v>8254</v>
      </c>
      <c r="E1499" s="30"/>
      <c r="F1499" s="28" t="s">
        <v>8255</v>
      </c>
      <c r="I1499" s="32"/>
      <c r="J1499" s="32"/>
      <c r="K1499" s="33" t="s">
        <v>8253</v>
      </c>
      <c r="L1499" s="33" t="s">
        <v>8256</v>
      </c>
      <c r="N1499" s="33" t="s">
        <v>8253</v>
      </c>
      <c r="O1499" s="35" t="s">
        <v>7858</v>
      </c>
    </row>
    <row r="1500">
      <c r="A1500" s="38"/>
      <c r="B1500" s="28" t="s">
        <v>8257</v>
      </c>
      <c r="C1500" s="28" t="s">
        <v>7871</v>
      </c>
      <c r="D1500" s="29" t="s">
        <v>8258</v>
      </c>
      <c r="E1500" s="30"/>
      <c r="F1500" s="28" t="s">
        <v>8259</v>
      </c>
      <c r="I1500" s="32"/>
      <c r="J1500" s="32"/>
      <c r="K1500" s="33" t="s">
        <v>8257</v>
      </c>
      <c r="L1500" s="33" t="s">
        <v>8260</v>
      </c>
      <c r="N1500" s="33" t="s">
        <v>8257</v>
      </c>
      <c r="O1500" s="35" t="s">
        <v>7870</v>
      </c>
    </row>
    <row r="1501">
      <c r="A1501" s="38"/>
      <c r="B1501" s="28" t="s">
        <v>8261</v>
      </c>
      <c r="C1501" s="28" t="s">
        <v>7876</v>
      </c>
      <c r="D1501" s="29" t="s">
        <v>8262</v>
      </c>
      <c r="E1501" s="30"/>
      <c r="F1501" s="28" t="s">
        <v>8263</v>
      </c>
      <c r="I1501" s="32"/>
      <c r="J1501" s="32"/>
      <c r="K1501" s="33" t="s">
        <v>8261</v>
      </c>
      <c r="L1501" s="33" t="s">
        <v>8264</v>
      </c>
      <c r="N1501" s="33" t="s">
        <v>8261</v>
      </c>
      <c r="O1501" s="35" t="s">
        <v>7875</v>
      </c>
    </row>
    <row r="1502">
      <c r="A1502" s="38"/>
      <c r="B1502" s="28" t="s">
        <v>8265</v>
      </c>
      <c r="C1502" s="28" t="s">
        <v>8266</v>
      </c>
      <c r="D1502" s="29" t="s">
        <v>8267</v>
      </c>
      <c r="E1502" s="30" t="s">
        <v>8268</v>
      </c>
      <c r="F1502" s="28" t="s">
        <v>8269</v>
      </c>
      <c r="I1502" s="32"/>
      <c r="J1502" s="32"/>
      <c r="K1502" s="33" t="s">
        <v>8265</v>
      </c>
      <c r="L1502" s="33" t="s">
        <v>8270</v>
      </c>
      <c r="N1502" s="33" t="s">
        <v>8265</v>
      </c>
      <c r="O1502" s="35"/>
    </row>
    <row r="1503">
      <c r="A1503" s="38"/>
      <c r="B1503" s="28" t="s">
        <v>8271</v>
      </c>
      <c r="C1503" s="28" t="s">
        <v>8272</v>
      </c>
      <c r="D1503" s="29" t="s">
        <v>8273</v>
      </c>
      <c r="E1503" s="30" t="s">
        <v>8274</v>
      </c>
      <c r="F1503" s="28" t="s">
        <v>8275</v>
      </c>
      <c r="I1503" s="32"/>
      <c r="J1503" s="32"/>
      <c r="K1503" s="33" t="s">
        <v>8271</v>
      </c>
      <c r="L1503" s="33" t="s">
        <v>8276</v>
      </c>
      <c r="N1503" s="33" t="s">
        <v>8271</v>
      </c>
      <c r="O1503" s="35" t="s">
        <v>8277</v>
      </c>
    </row>
    <row r="1504">
      <c r="A1504" s="38"/>
      <c r="B1504" s="28" t="s">
        <v>8278</v>
      </c>
      <c r="C1504" s="28" t="s">
        <v>7893</v>
      </c>
      <c r="D1504" s="29" t="s">
        <v>8279</v>
      </c>
      <c r="E1504" s="30" t="s">
        <v>8280</v>
      </c>
      <c r="F1504" s="28" t="s">
        <v>8281</v>
      </c>
      <c r="I1504" s="32"/>
      <c r="J1504" s="32"/>
      <c r="K1504" s="33" t="s">
        <v>8278</v>
      </c>
      <c r="L1504" s="33" t="s">
        <v>8282</v>
      </c>
      <c r="N1504" s="33" t="s">
        <v>8278</v>
      </c>
      <c r="O1504" s="35" t="s">
        <v>7892</v>
      </c>
    </row>
    <row r="1505">
      <c r="A1505" s="38"/>
      <c r="B1505" s="28" t="s">
        <v>8283</v>
      </c>
      <c r="C1505" s="28" t="s">
        <v>7909</v>
      </c>
      <c r="D1505" s="29" t="s">
        <v>8284</v>
      </c>
      <c r="E1505" s="30" t="s">
        <v>8285</v>
      </c>
      <c r="F1505" s="28" t="s">
        <v>8286</v>
      </c>
      <c r="I1505" s="32"/>
      <c r="J1505" s="32"/>
      <c r="K1505" s="33" t="s">
        <v>8283</v>
      </c>
      <c r="L1505" s="33" t="s">
        <v>8287</v>
      </c>
      <c r="N1505" s="33" t="s">
        <v>8283</v>
      </c>
      <c r="O1505" s="35"/>
    </row>
    <row r="1506">
      <c r="A1506" s="38"/>
      <c r="B1506" s="28" t="s">
        <v>8288</v>
      </c>
      <c r="C1506" s="28" t="s">
        <v>7915</v>
      </c>
      <c r="D1506" s="29" t="s">
        <v>8289</v>
      </c>
      <c r="E1506" s="30" t="s">
        <v>8290</v>
      </c>
      <c r="F1506" s="28" t="s">
        <v>8291</v>
      </c>
      <c r="I1506" s="32"/>
      <c r="J1506" s="32"/>
      <c r="K1506" s="33" t="s">
        <v>8288</v>
      </c>
      <c r="L1506" s="33" t="s">
        <v>8292</v>
      </c>
      <c r="N1506" s="33" t="s">
        <v>8288</v>
      </c>
      <c r="O1506" s="35" t="s">
        <v>7914</v>
      </c>
    </row>
    <row r="1507">
      <c r="A1507" s="38"/>
      <c r="B1507" s="28" t="s">
        <v>8293</v>
      </c>
      <c r="C1507" s="28" t="s">
        <v>8294</v>
      </c>
      <c r="D1507" s="29" t="s">
        <v>8295</v>
      </c>
      <c r="E1507" s="30"/>
      <c r="F1507" s="28" t="s">
        <v>8296</v>
      </c>
      <c r="I1507" s="32"/>
      <c r="J1507" s="32"/>
      <c r="K1507" s="33" t="s">
        <v>8293</v>
      </c>
      <c r="L1507" s="33" t="s">
        <v>8297</v>
      </c>
      <c r="N1507" s="33" t="s">
        <v>8293</v>
      </c>
      <c r="O1507" s="35"/>
    </row>
    <row r="1508">
      <c r="A1508" s="38"/>
      <c r="B1508" s="28" t="s">
        <v>8298</v>
      </c>
      <c r="C1508" s="28" t="s">
        <v>8299</v>
      </c>
      <c r="D1508" s="29" t="s">
        <v>8300</v>
      </c>
      <c r="E1508" s="30" t="s">
        <v>8301</v>
      </c>
      <c r="F1508" s="28" t="s">
        <v>8302</v>
      </c>
      <c r="I1508" s="32"/>
      <c r="J1508" s="32"/>
      <c r="K1508" s="33" t="s">
        <v>8298</v>
      </c>
      <c r="L1508" s="33" t="s">
        <v>8303</v>
      </c>
      <c r="N1508" s="33" t="s">
        <v>8298</v>
      </c>
      <c r="O1508" s="35"/>
    </row>
    <row r="1509">
      <c r="A1509" s="38"/>
      <c r="B1509" s="28" t="s">
        <v>8304</v>
      </c>
      <c r="C1509" s="28" t="s">
        <v>7921</v>
      </c>
      <c r="D1509" s="29" t="s">
        <v>8305</v>
      </c>
      <c r="E1509" s="30"/>
      <c r="F1509" s="28" t="s">
        <v>8306</v>
      </c>
      <c r="I1509" s="32"/>
      <c r="J1509" s="32"/>
      <c r="K1509" s="33" t="s">
        <v>8304</v>
      </c>
      <c r="L1509" s="33" t="s">
        <v>8307</v>
      </c>
      <c r="N1509" s="33" t="s">
        <v>8304</v>
      </c>
      <c r="O1509" s="47" t="s">
        <v>8308</v>
      </c>
    </row>
    <row r="1510">
      <c r="A1510" s="38"/>
      <c r="B1510" s="28" t="s">
        <v>8309</v>
      </c>
      <c r="C1510" s="28" t="s">
        <v>7931</v>
      </c>
      <c r="D1510" s="29" t="s">
        <v>8310</v>
      </c>
      <c r="E1510" s="30" t="s">
        <v>8311</v>
      </c>
      <c r="F1510" s="28" t="s">
        <v>8312</v>
      </c>
      <c r="I1510" s="32"/>
      <c r="J1510" s="32"/>
      <c r="K1510" s="33" t="s">
        <v>8309</v>
      </c>
      <c r="L1510" s="33" t="s">
        <v>8313</v>
      </c>
      <c r="N1510" s="33" t="s">
        <v>8309</v>
      </c>
      <c r="O1510" s="35" t="s">
        <v>7930</v>
      </c>
    </row>
    <row r="1511">
      <c r="A1511" s="38"/>
      <c r="B1511" s="28" t="s">
        <v>8314</v>
      </c>
      <c r="C1511" s="28" t="s">
        <v>8315</v>
      </c>
      <c r="D1511" s="29" t="s">
        <v>8316</v>
      </c>
      <c r="E1511" s="30" t="s">
        <v>8317</v>
      </c>
      <c r="F1511" s="28" t="s">
        <v>8318</v>
      </c>
      <c r="I1511" s="32"/>
      <c r="J1511" s="32"/>
      <c r="K1511" s="33" t="s">
        <v>8314</v>
      </c>
      <c r="L1511" s="33" t="s">
        <v>8319</v>
      </c>
      <c r="N1511" s="33" t="s">
        <v>8314</v>
      </c>
      <c r="O1511" s="35"/>
    </row>
    <row r="1512">
      <c r="A1512" s="38"/>
      <c r="B1512" s="28" t="s">
        <v>8320</v>
      </c>
      <c r="C1512" s="28" t="s">
        <v>7936</v>
      </c>
      <c r="D1512" s="29" t="s">
        <v>8321</v>
      </c>
      <c r="E1512" s="30" t="s">
        <v>6454</v>
      </c>
      <c r="F1512" s="28" t="s">
        <v>8322</v>
      </c>
      <c r="I1512" s="32"/>
      <c r="J1512" s="32"/>
      <c r="K1512" s="33" t="s">
        <v>8320</v>
      </c>
      <c r="L1512" s="33" t="s">
        <v>8323</v>
      </c>
      <c r="N1512" s="33" t="s">
        <v>8320</v>
      </c>
      <c r="O1512" s="35" t="s">
        <v>7935</v>
      </c>
    </row>
    <row r="1513">
      <c r="A1513" s="38"/>
      <c r="B1513" s="28" t="s">
        <v>8324</v>
      </c>
      <c r="C1513" s="28" t="s">
        <v>7941</v>
      </c>
      <c r="D1513" s="29" t="s">
        <v>8325</v>
      </c>
      <c r="E1513" s="30"/>
      <c r="F1513" s="28" t="s">
        <v>8326</v>
      </c>
      <c r="I1513" s="32"/>
      <c r="J1513" s="32"/>
      <c r="K1513" s="33" t="s">
        <v>8324</v>
      </c>
      <c r="L1513" s="33" t="s">
        <v>8327</v>
      </c>
      <c r="N1513" s="33" t="s">
        <v>8324</v>
      </c>
      <c r="O1513" s="35" t="s">
        <v>7940</v>
      </c>
    </row>
    <row r="1514">
      <c r="A1514" s="38"/>
      <c r="B1514" s="28" t="s">
        <v>8328</v>
      </c>
      <c r="C1514" s="28" t="s">
        <v>7945</v>
      </c>
      <c r="D1514" s="29" t="s">
        <v>8329</v>
      </c>
      <c r="E1514" s="30" t="s">
        <v>8330</v>
      </c>
      <c r="F1514" s="28" t="s">
        <v>8331</v>
      </c>
      <c r="I1514" s="32"/>
      <c r="J1514" s="32"/>
      <c r="K1514" s="33" t="s">
        <v>8328</v>
      </c>
      <c r="L1514" s="33" t="s">
        <v>8332</v>
      </c>
      <c r="N1514" s="33" t="s">
        <v>8328</v>
      </c>
      <c r="O1514" s="35" t="s">
        <v>7940</v>
      </c>
    </row>
    <row r="1515">
      <c r="A1515" s="38"/>
      <c r="B1515" s="28" t="s">
        <v>8333</v>
      </c>
      <c r="C1515" s="28" t="s">
        <v>8334</v>
      </c>
      <c r="D1515" s="29" t="s">
        <v>8335</v>
      </c>
      <c r="E1515" s="30" t="s">
        <v>8336</v>
      </c>
      <c r="F1515" s="28" t="s">
        <v>8337</v>
      </c>
      <c r="I1515" s="32"/>
      <c r="J1515" s="32"/>
      <c r="K1515" s="33" t="s">
        <v>8333</v>
      </c>
      <c r="L1515" s="33" t="s">
        <v>8338</v>
      </c>
      <c r="N1515" s="33" t="s">
        <v>8333</v>
      </c>
      <c r="O1515" s="35" t="s">
        <v>7940</v>
      </c>
    </row>
    <row r="1516">
      <c r="A1516" s="38"/>
      <c r="B1516" s="28" t="s">
        <v>8339</v>
      </c>
      <c r="C1516" s="28" t="s">
        <v>7949</v>
      </c>
      <c r="D1516" s="29" t="s">
        <v>8340</v>
      </c>
      <c r="E1516" s="30" t="s">
        <v>8341</v>
      </c>
      <c r="F1516" s="28" t="s">
        <v>8342</v>
      </c>
      <c r="I1516" s="32"/>
      <c r="J1516" s="32"/>
      <c r="K1516" s="33" t="s">
        <v>8339</v>
      </c>
      <c r="L1516" s="33" t="s">
        <v>8343</v>
      </c>
      <c r="N1516" s="33" t="s">
        <v>8339</v>
      </c>
      <c r="O1516" s="35"/>
    </row>
    <row r="1517">
      <c r="A1517" s="38"/>
      <c r="B1517" s="28" t="s">
        <v>8344</v>
      </c>
      <c r="C1517" s="28" t="s">
        <v>7953</v>
      </c>
      <c r="D1517" s="29" t="s">
        <v>8345</v>
      </c>
      <c r="E1517" s="30" t="s">
        <v>8346</v>
      </c>
      <c r="F1517" s="28" t="s">
        <v>8347</v>
      </c>
      <c r="I1517" s="32"/>
      <c r="J1517" s="32"/>
      <c r="K1517" s="33" t="s">
        <v>8344</v>
      </c>
      <c r="L1517" s="33" t="s">
        <v>8348</v>
      </c>
      <c r="N1517" s="33" t="s">
        <v>8344</v>
      </c>
      <c r="O1517" s="35"/>
    </row>
    <row r="1518">
      <c r="A1518" s="38"/>
      <c r="B1518" s="28" t="s">
        <v>8349</v>
      </c>
      <c r="C1518" s="28" t="s">
        <v>8350</v>
      </c>
      <c r="D1518" s="29" t="s">
        <v>8351</v>
      </c>
      <c r="E1518" s="30" t="s">
        <v>8352</v>
      </c>
      <c r="F1518" s="28" t="s">
        <v>8353</v>
      </c>
      <c r="I1518" s="32"/>
      <c r="J1518" s="32"/>
      <c r="K1518" s="33" t="s">
        <v>8349</v>
      </c>
      <c r="L1518" s="33" t="s">
        <v>8354</v>
      </c>
      <c r="N1518" s="33" t="s">
        <v>8349</v>
      </c>
      <c r="O1518" s="47" t="s">
        <v>8355</v>
      </c>
    </row>
    <row r="1519">
      <c r="A1519" s="38"/>
      <c r="B1519" s="28" t="s">
        <v>8356</v>
      </c>
      <c r="C1519" s="28" t="s">
        <v>7958</v>
      </c>
      <c r="D1519" s="29" t="s">
        <v>8357</v>
      </c>
      <c r="E1519" s="30"/>
      <c r="F1519" s="28" t="s">
        <v>8358</v>
      </c>
      <c r="I1519" s="32"/>
      <c r="J1519" s="32"/>
      <c r="K1519" s="33" t="s">
        <v>8356</v>
      </c>
      <c r="L1519" s="33" t="s">
        <v>8359</v>
      </c>
      <c r="N1519" s="33" t="s">
        <v>8356</v>
      </c>
      <c r="O1519" s="35" t="s">
        <v>7957</v>
      </c>
    </row>
    <row r="1520">
      <c r="A1520" s="38"/>
      <c r="B1520" s="28" t="s">
        <v>8360</v>
      </c>
      <c r="C1520" s="28" t="s">
        <v>8361</v>
      </c>
      <c r="D1520" s="29" t="s">
        <v>8362</v>
      </c>
      <c r="E1520" s="30" t="s">
        <v>8363</v>
      </c>
      <c r="F1520" s="28" t="s">
        <v>8364</v>
      </c>
      <c r="I1520" s="32"/>
      <c r="J1520" s="32"/>
      <c r="K1520" s="33" t="s">
        <v>8360</v>
      </c>
      <c r="L1520" s="33" t="s">
        <v>8365</v>
      </c>
      <c r="N1520" s="33" t="s">
        <v>8360</v>
      </c>
      <c r="O1520" s="35" t="s">
        <v>8366</v>
      </c>
    </row>
    <row r="1521">
      <c r="A1521" s="38"/>
      <c r="B1521" s="28" t="s">
        <v>8367</v>
      </c>
      <c r="C1521" s="28" t="s">
        <v>8368</v>
      </c>
      <c r="D1521" s="29" t="s">
        <v>8369</v>
      </c>
      <c r="E1521" s="30" t="s">
        <v>8370</v>
      </c>
      <c r="F1521" s="28" t="s">
        <v>8371</v>
      </c>
      <c r="I1521" s="32"/>
      <c r="J1521" s="32"/>
      <c r="K1521" s="33" t="s">
        <v>8367</v>
      </c>
      <c r="L1521" s="33" t="s">
        <v>8372</v>
      </c>
      <c r="N1521" s="33" t="s">
        <v>8367</v>
      </c>
      <c r="O1521" s="35" t="s">
        <v>8373</v>
      </c>
    </row>
    <row r="1522">
      <c r="A1522" s="38"/>
      <c r="B1522" s="28" t="s">
        <v>8374</v>
      </c>
      <c r="C1522" s="28" t="s">
        <v>7963</v>
      </c>
      <c r="D1522" s="29" t="s">
        <v>8375</v>
      </c>
      <c r="E1522" s="30" t="s">
        <v>8376</v>
      </c>
      <c r="F1522" s="28" t="s">
        <v>8377</v>
      </c>
      <c r="I1522" s="32"/>
      <c r="J1522" s="32"/>
      <c r="K1522" s="33" t="s">
        <v>8374</v>
      </c>
      <c r="L1522" s="33" t="s">
        <v>8378</v>
      </c>
      <c r="N1522" s="33" t="s">
        <v>8374</v>
      </c>
      <c r="O1522" s="35" t="s">
        <v>7962</v>
      </c>
    </row>
    <row r="1523">
      <c r="A1523" s="38"/>
      <c r="B1523" s="28" t="s">
        <v>8379</v>
      </c>
      <c r="C1523" s="28" t="s">
        <v>7968</v>
      </c>
      <c r="D1523" s="29" t="s">
        <v>8380</v>
      </c>
      <c r="E1523" s="30"/>
      <c r="F1523" s="28" t="s">
        <v>8381</v>
      </c>
      <c r="I1523" s="32"/>
      <c r="J1523" s="32"/>
      <c r="K1523" s="33" t="s">
        <v>8379</v>
      </c>
      <c r="L1523" s="33" t="s">
        <v>8382</v>
      </c>
      <c r="N1523" s="33" t="s">
        <v>8379</v>
      </c>
      <c r="O1523" s="35" t="s">
        <v>7967</v>
      </c>
    </row>
    <row r="1524">
      <c r="A1524" s="38"/>
      <c r="B1524" s="28" t="s">
        <v>8383</v>
      </c>
      <c r="C1524" s="28" t="s">
        <v>8384</v>
      </c>
      <c r="D1524" s="29" t="s">
        <v>8385</v>
      </c>
      <c r="E1524" s="30" t="s">
        <v>8386</v>
      </c>
      <c r="F1524" s="28" t="s">
        <v>8387</v>
      </c>
      <c r="I1524" s="32"/>
      <c r="J1524" s="32"/>
      <c r="K1524" s="33" t="s">
        <v>8383</v>
      </c>
      <c r="L1524" s="33" t="s">
        <v>8388</v>
      </c>
      <c r="N1524" s="33" t="s">
        <v>8383</v>
      </c>
      <c r="O1524" s="35" t="s">
        <v>8389</v>
      </c>
    </row>
    <row r="1525">
      <c r="A1525" s="38"/>
      <c r="B1525" s="28" t="s">
        <v>8390</v>
      </c>
      <c r="C1525" s="28" t="s">
        <v>8391</v>
      </c>
      <c r="D1525" s="29" t="s">
        <v>8392</v>
      </c>
      <c r="E1525" s="30" t="s">
        <v>692</v>
      </c>
      <c r="F1525" s="28" t="s">
        <v>687</v>
      </c>
      <c r="I1525" s="32"/>
      <c r="J1525" s="32"/>
      <c r="K1525" s="33" t="s">
        <v>8390</v>
      </c>
      <c r="L1525" s="33" t="s">
        <v>8393</v>
      </c>
      <c r="N1525" s="33" t="s">
        <v>8390</v>
      </c>
      <c r="O1525" s="35"/>
    </row>
    <row r="1526">
      <c r="A1526" s="38"/>
      <c r="B1526" s="28" t="s">
        <v>8394</v>
      </c>
      <c r="C1526" s="28" t="s">
        <v>7992</v>
      </c>
      <c r="D1526" s="29" t="s">
        <v>8395</v>
      </c>
      <c r="E1526" s="30" t="s">
        <v>8396</v>
      </c>
      <c r="F1526" s="28" t="s">
        <v>8397</v>
      </c>
      <c r="I1526" s="32"/>
      <c r="J1526" s="32"/>
      <c r="K1526" s="33" t="s">
        <v>8394</v>
      </c>
      <c r="L1526" s="33" t="s">
        <v>8398</v>
      </c>
      <c r="N1526" s="33" t="s">
        <v>8394</v>
      </c>
      <c r="O1526" s="35" t="s">
        <v>7991</v>
      </c>
    </row>
    <row r="1527">
      <c r="A1527" s="38"/>
      <c r="B1527" s="28" t="s">
        <v>8399</v>
      </c>
      <c r="C1527" s="28" t="s">
        <v>7998</v>
      </c>
      <c r="D1527" s="29" t="s">
        <v>8400</v>
      </c>
      <c r="E1527" s="30" t="s">
        <v>8401</v>
      </c>
      <c r="F1527" s="28" t="s">
        <v>8402</v>
      </c>
      <c r="I1527" s="32"/>
      <c r="J1527" s="32"/>
      <c r="K1527" s="33" t="s">
        <v>8399</v>
      </c>
      <c r="L1527" s="33" t="s">
        <v>8403</v>
      </c>
      <c r="N1527" s="33" t="s">
        <v>8399</v>
      </c>
      <c r="O1527" s="35" t="s">
        <v>7997</v>
      </c>
    </row>
    <row r="1528">
      <c r="A1528" s="38"/>
      <c r="B1528" s="28" t="s">
        <v>8404</v>
      </c>
      <c r="C1528" s="28" t="s">
        <v>8405</v>
      </c>
      <c r="D1528" s="29" t="s">
        <v>8406</v>
      </c>
      <c r="E1528" s="30" t="s">
        <v>8407</v>
      </c>
      <c r="F1528" s="28" t="s">
        <v>8408</v>
      </c>
      <c r="I1528" s="32"/>
      <c r="J1528" s="32"/>
      <c r="K1528" s="33" t="s">
        <v>8404</v>
      </c>
      <c r="L1528" s="33" t="s">
        <v>8409</v>
      </c>
      <c r="N1528" s="33" t="s">
        <v>8404</v>
      </c>
      <c r="O1528" s="35"/>
    </row>
    <row r="1529">
      <c r="A1529" s="38"/>
      <c r="B1529" s="28" t="s">
        <v>8410</v>
      </c>
      <c r="C1529" s="28" t="s">
        <v>8003</v>
      </c>
      <c r="D1529" s="29" t="s">
        <v>8411</v>
      </c>
      <c r="E1529" s="30" t="s">
        <v>8412</v>
      </c>
      <c r="F1529" s="28" t="s">
        <v>8413</v>
      </c>
      <c r="I1529" s="32"/>
      <c r="J1529" s="32"/>
      <c r="K1529" s="33" t="s">
        <v>8410</v>
      </c>
      <c r="L1529" s="33" t="s">
        <v>8414</v>
      </c>
      <c r="N1529" s="33" t="s">
        <v>8410</v>
      </c>
      <c r="O1529" s="35" t="s">
        <v>8002</v>
      </c>
    </row>
    <row r="1530">
      <c r="A1530" s="38"/>
      <c r="B1530" s="28" t="s">
        <v>8415</v>
      </c>
      <c r="C1530" s="28" t="s">
        <v>8009</v>
      </c>
      <c r="D1530" s="29" t="s">
        <v>8416</v>
      </c>
      <c r="E1530" s="30" t="s">
        <v>8417</v>
      </c>
      <c r="F1530" s="28" t="s">
        <v>8418</v>
      </c>
      <c r="I1530" s="32"/>
      <c r="J1530" s="32"/>
      <c r="K1530" s="33" t="s">
        <v>8415</v>
      </c>
      <c r="L1530" s="33" t="s">
        <v>8419</v>
      </c>
      <c r="N1530" s="33" t="s">
        <v>8415</v>
      </c>
      <c r="O1530" s="35" t="s">
        <v>8008</v>
      </c>
    </row>
    <row r="1531">
      <c r="A1531" s="38"/>
      <c r="B1531" s="28" t="s">
        <v>8420</v>
      </c>
      <c r="C1531" s="28" t="s">
        <v>8421</v>
      </c>
      <c r="D1531" s="29" t="s">
        <v>8422</v>
      </c>
      <c r="E1531" s="30" t="s">
        <v>8423</v>
      </c>
      <c r="F1531" s="28" t="s">
        <v>8424</v>
      </c>
      <c r="I1531" s="32"/>
      <c r="J1531" s="32"/>
      <c r="K1531" s="33" t="s">
        <v>8420</v>
      </c>
      <c r="L1531" s="33" t="s">
        <v>8425</v>
      </c>
      <c r="N1531" s="33" t="s">
        <v>8420</v>
      </c>
      <c r="O1531" s="35" t="s">
        <v>8426</v>
      </c>
    </row>
    <row r="1532">
      <c r="A1532" s="38"/>
      <c r="B1532" s="28" t="s">
        <v>8427</v>
      </c>
      <c r="C1532" s="28" t="s">
        <v>8428</v>
      </c>
      <c r="D1532" s="29" t="s">
        <v>8429</v>
      </c>
      <c r="E1532" s="30"/>
      <c r="F1532" s="28" t="s">
        <v>8430</v>
      </c>
      <c r="I1532" s="32"/>
      <c r="J1532" s="32"/>
      <c r="K1532" s="33" t="s">
        <v>8427</v>
      </c>
      <c r="L1532" s="33" t="s">
        <v>8431</v>
      </c>
      <c r="N1532" s="33" t="s">
        <v>8427</v>
      </c>
      <c r="O1532" s="35" t="s">
        <v>8432</v>
      </c>
    </row>
    <row r="1533">
      <c r="A1533" s="38"/>
      <c r="B1533" s="28" t="s">
        <v>8433</v>
      </c>
      <c r="C1533" s="28" t="s">
        <v>8019</v>
      </c>
      <c r="D1533" s="29" t="s">
        <v>8434</v>
      </c>
      <c r="E1533" s="30"/>
      <c r="F1533" s="28" t="s">
        <v>8435</v>
      </c>
      <c r="I1533" s="32"/>
      <c r="J1533" s="32"/>
      <c r="K1533" s="33" t="s">
        <v>8433</v>
      </c>
      <c r="L1533" s="33" t="s">
        <v>8436</v>
      </c>
      <c r="N1533" s="33" t="s">
        <v>8433</v>
      </c>
      <c r="O1533" s="35" t="s">
        <v>8018</v>
      </c>
    </row>
    <row r="1534">
      <c r="A1534" s="38"/>
      <c r="B1534" s="28" t="s">
        <v>8437</v>
      </c>
      <c r="C1534" s="28" t="s">
        <v>8438</v>
      </c>
      <c r="D1534" s="29" t="s">
        <v>8439</v>
      </c>
      <c r="E1534" s="30" t="s">
        <v>8440</v>
      </c>
      <c r="F1534" s="28" t="s">
        <v>8441</v>
      </c>
      <c r="I1534" s="32"/>
      <c r="J1534" s="32"/>
      <c r="K1534" s="33" t="s">
        <v>8437</v>
      </c>
      <c r="L1534" s="33" t="s">
        <v>8442</v>
      </c>
      <c r="N1534" s="33" t="s">
        <v>8437</v>
      </c>
      <c r="O1534" s="35" t="s">
        <v>8443</v>
      </c>
    </row>
    <row r="1535">
      <c r="A1535" s="38"/>
      <c r="B1535" s="28" t="s">
        <v>8444</v>
      </c>
      <c r="C1535" s="28" t="s">
        <v>8028</v>
      </c>
      <c r="D1535" s="29" t="s">
        <v>8445</v>
      </c>
      <c r="E1535" s="54" t="s">
        <v>8446</v>
      </c>
      <c r="F1535" s="28" t="s">
        <v>8447</v>
      </c>
      <c r="I1535" s="32"/>
      <c r="J1535" s="32"/>
      <c r="K1535" s="33" t="s">
        <v>8444</v>
      </c>
      <c r="L1535" s="33" t="s">
        <v>8448</v>
      </c>
      <c r="N1535" s="33" t="s">
        <v>8444</v>
      </c>
      <c r="O1535" s="35" t="s">
        <v>8027</v>
      </c>
    </row>
    <row r="1536">
      <c r="A1536" s="38"/>
      <c r="B1536" s="28" t="s">
        <v>8449</v>
      </c>
      <c r="C1536" s="28" t="s">
        <v>8033</v>
      </c>
      <c r="D1536" s="29" t="s">
        <v>8450</v>
      </c>
      <c r="E1536" s="30" t="s">
        <v>8451</v>
      </c>
      <c r="F1536" s="28" t="s">
        <v>8452</v>
      </c>
      <c r="I1536" s="32"/>
      <c r="J1536" s="32"/>
      <c r="K1536" s="33" t="s">
        <v>8449</v>
      </c>
      <c r="L1536" s="33" t="s">
        <v>8453</v>
      </c>
      <c r="N1536" s="33" t="s">
        <v>8449</v>
      </c>
      <c r="O1536" s="47" t="s">
        <v>8454</v>
      </c>
    </row>
    <row r="1537">
      <c r="A1537" s="38"/>
      <c r="B1537" s="28" t="s">
        <v>8455</v>
      </c>
      <c r="C1537" s="28" t="s">
        <v>8456</v>
      </c>
      <c r="D1537" s="29" t="s">
        <v>8457</v>
      </c>
      <c r="E1537" s="30" t="s">
        <v>8458</v>
      </c>
      <c r="F1537" s="28" t="s">
        <v>8459</v>
      </c>
      <c r="I1537" s="32"/>
      <c r="J1537" s="32"/>
      <c r="K1537" s="33" t="s">
        <v>8455</v>
      </c>
      <c r="L1537" s="33" t="s">
        <v>8460</v>
      </c>
      <c r="N1537" s="33" t="s">
        <v>8455</v>
      </c>
      <c r="O1537" s="35" t="s">
        <v>8461</v>
      </c>
    </row>
    <row r="1538">
      <c r="A1538" s="38"/>
      <c r="B1538" s="28" t="s">
        <v>8462</v>
      </c>
      <c r="C1538" s="28" t="s">
        <v>8463</v>
      </c>
      <c r="D1538" s="29" t="s">
        <v>8464</v>
      </c>
      <c r="E1538" s="30"/>
      <c r="F1538" s="28" t="s">
        <v>8465</v>
      </c>
      <c r="I1538" s="32"/>
      <c r="J1538" s="32"/>
      <c r="K1538" s="33" t="s">
        <v>8462</v>
      </c>
      <c r="L1538" s="33" t="s">
        <v>8466</v>
      </c>
      <c r="N1538" s="33" t="s">
        <v>8462</v>
      </c>
      <c r="O1538" s="35" t="s">
        <v>8467</v>
      </c>
    </row>
    <row r="1539">
      <c r="A1539" s="38"/>
      <c r="B1539" s="28" t="s">
        <v>8468</v>
      </c>
      <c r="C1539" s="28" t="s">
        <v>8469</v>
      </c>
      <c r="D1539" s="29" t="s">
        <v>8470</v>
      </c>
      <c r="E1539" s="30"/>
      <c r="F1539" s="28" t="s">
        <v>8471</v>
      </c>
      <c r="I1539" s="32"/>
      <c r="J1539" s="32"/>
      <c r="K1539" s="33" t="s">
        <v>8468</v>
      </c>
      <c r="L1539" s="33" t="s">
        <v>8472</v>
      </c>
      <c r="N1539" s="33" t="s">
        <v>8468</v>
      </c>
      <c r="O1539" s="35" t="s">
        <v>8473</v>
      </c>
    </row>
    <row r="1540">
      <c r="A1540" s="38"/>
      <c r="B1540" s="28" t="s">
        <v>8474</v>
      </c>
      <c r="C1540" s="28" t="s">
        <v>8037</v>
      </c>
      <c r="D1540" s="29" t="s">
        <v>8475</v>
      </c>
      <c r="E1540" s="30"/>
      <c r="F1540" s="28" t="s">
        <v>8476</v>
      </c>
      <c r="I1540" s="32"/>
      <c r="J1540" s="32"/>
      <c r="K1540" s="33" t="s">
        <v>8474</v>
      </c>
      <c r="L1540" s="33" t="s">
        <v>8477</v>
      </c>
      <c r="N1540" s="33" t="s">
        <v>8474</v>
      </c>
      <c r="O1540" s="35"/>
    </row>
    <row r="1541">
      <c r="A1541" s="38"/>
      <c r="B1541" s="28" t="s">
        <v>8478</v>
      </c>
      <c r="C1541" s="28" t="s">
        <v>8042</v>
      </c>
      <c r="D1541" s="29" t="s">
        <v>8479</v>
      </c>
      <c r="E1541" s="30"/>
      <c r="F1541" s="28" t="s">
        <v>8480</v>
      </c>
      <c r="I1541" s="32"/>
      <c r="J1541" s="32"/>
      <c r="K1541" s="33" t="s">
        <v>8478</v>
      </c>
      <c r="L1541" s="33" t="s">
        <v>8481</v>
      </c>
      <c r="N1541" s="33" t="s">
        <v>8478</v>
      </c>
      <c r="O1541" s="35" t="s">
        <v>8041</v>
      </c>
    </row>
    <row r="1542">
      <c r="A1542" s="38"/>
      <c r="B1542" s="28" t="s">
        <v>8482</v>
      </c>
      <c r="C1542" s="28" t="s">
        <v>8047</v>
      </c>
      <c r="D1542" s="29" t="s">
        <v>8483</v>
      </c>
      <c r="E1542" s="30" t="s">
        <v>8484</v>
      </c>
      <c r="F1542" s="28" t="s">
        <v>8485</v>
      </c>
      <c r="I1542" s="32"/>
      <c r="J1542" s="32"/>
      <c r="K1542" s="33" t="s">
        <v>8482</v>
      </c>
      <c r="L1542" s="33" t="s">
        <v>8486</v>
      </c>
      <c r="N1542" s="33" t="s">
        <v>8482</v>
      </c>
      <c r="O1542" s="47" t="s">
        <v>8487</v>
      </c>
    </row>
    <row r="1543">
      <c r="A1543" s="38"/>
      <c r="B1543" s="28" t="s">
        <v>8488</v>
      </c>
      <c r="C1543" s="28" t="s">
        <v>8063</v>
      </c>
      <c r="D1543" s="29" t="s">
        <v>8489</v>
      </c>
      <c r="E1543" s="30" t="s">
        <v>8490</v>
      </c>
      <c r="F1543" s="28" t="s">
        <v>8491</v>
      </c>
      <c r="I1543" s="32"/>
      <c r="J1543" s="32"/>
      <c r="K1543" s="33" t="s">
        <v>8488</v>
      </c>
      <c r="L1543" s="33" t="s">
        <v>8492</v>
      </c>
      <c r="N1543" s="33" t="s">
        <v>8488</v>
      </c>
      <c r="O1543" s="35" t="s">
        <v>8062</v>
      </c>
    </row>
    <row r="1544">
      <c r="A1544" s="38"/>
      <c r="B1544" s="28" t="s">
        <v>8493</v>
      </c>
      <c r="C1544" s="28" t="s">
        <v>8068</v>
      </c>
      <c r="D1544" s="29" t="s">
        <v>8494</v>
      </c>
      <c r="E1544" s="30" t="s">
        <v>8495</v>
      </c>
      <c r="F1544" s="28" t="s">
        <v>8496</v>
      </c>
      <c r="I1544" s="32"/>
      <c r="J1544" s="32"/>
      <c r="K1544" s="33" t="s">
        <v>8493</v>
      </c>
      <c r="L1544" s="33" t="s">
        <v>8497</v>
      </c>
      <c r="N1544" s="33" t="s">
        <v>8493</v>
      </c>
      <c r="O1544" s="35" t="s">
        <v>8067</v>
      </c>
    </row>
    <row r="1545">
      <c r="A1545" s="38"/>
      <c r="B1545" s="28" t="s">
        <v>8498</v>
      </c>
      <c r="C1545" s="28" t="s">
        <v>8499</v>
      </c>
      <c r="D1545" s="29" t="s">
        <v>8500</v>
      </c>
      <c r="E1545" s="30" t="s">
        <v>8501</v>
      </c>
      <c r="F1545" s="28" t="s">
        <v>8502</v>
      </c>
      <c r="I1545" s="32"/>
      <c r="J1545" s="32"/>
      <c r="K1545" s="33" t="s">
        <v>8498</v>
      </c>
      <c r="L1545" s="33" t="s">
        <v>8503</v>
      </c>
      <c r="N1545" s="33" t="s">
        <v>8498</v>
      </c>
      <c r="O1545" s="35"/>
    </row>
    <row r="1546">
      <c r="A1546" s="38"/>
      <c r="B1546" s="28" t="s">
        <v>8504</v>
      </c>
      <c r="C1546" s="28" t="s">
        <v>8079</v>
      </c>
      <c r="D1546" s="29" t="s">
        <v>8505</v>
      </c>
      <c r="E1546" s="30" t="s">
        <v>8506</v>
      </c>
      <c r="F1546" s="28" t="s">
        <v>8507</v>
      </c>
      <c r="I1546" s="32"/>
      <c r="J1546" s="32"/>
      <c r="K1546" s="33" t="s">
        <v>8504</v>
      </c>
      <c r="L1546" s="33" t="s">
        <v>8508</v>
      </c>
      <c r="N1546" s="33" t="s">
        <v>8504</v>
      </c>
      <c r="O1546" s="35" t="s">
        <v>8078</v>
      </c>
    </row>
    <row r="1547">
      <c r="A1547" s="38"/>
      <c r="B1547" s="28" t="s">
        <v>8509</v>
      </c>
      <c r="C1547" s="28" t="s">
        <v>8510</v>
      </c>
      <c r="D1547" s="29" t="s">
        <v>8511</v>
      </c>
      <c r="E1547" s="30"/>
      <c r="F1547" s="28" t="s">
        <v>8512</v>
      </c>
      <c r="I1547" s="32"/>
      <c r="J1547" s="32"/>
      <c r="K1547" s="33" t="s">
        <v>8509</v>
      </c>
      <c r="L1547" s="33" t="s">
        <v>8513</v>
      </c>
      <c r="N1547" s="33" t="s">
        <v>8509</v>
      </c>
      <c r="O1547" s="35"/>
    </row>
    <row r="1548">
      <c r="A1548" s="38"/>
      <c r="B1548" s="28" t="s">
        <v>8514</v>
      </c>
      <c r="C1548" s="28" t="s">
        <v>8085</v>
      </c>
      <c r="D1548" s="29" t="s">
        <v>8515</v>
      </c>
      <c r="E1548" s="30"/>
      <c r="F1548" s="28" t="s">
        <v>8516</v>
      </c>
      <c r="I1548" s="32"/>
      <c r="J1548" s="32"/>
      <c r="K1548" s="33" t="s">
        <v>8514</v>
      </c>
      <c r="L1548" s="33" t="s">
        <v>8517</v>
      </c>
      <c r="N1548" s="33" t="s">
        <v>8514</v>
      </c>
      <c r="O1548" s="35" t="s">
        <v>8084</v>
      </c>
    </row>
    <row r="1549">
      <c r="A1549" s="38"/>
      <c r="B1549" s="28" t="s">
        <v>8518</v>
      </c>
      <c r="C1549" s="28" t="s">
        <v>8089</v>
      </c>
      <c r="D1549" s="29" t="s">
        <v>8519</v>
      </c>
      <c r="E1549" s="30" t="s">
        <v>8520</v>
      </c>
      <c r="F1549" s="28" t="s">
        <v>8521</v>
      </c>
      <c r="I1549" s="32"/>
      <c r="J1549" s="32"/>
      <c r="K1549" s="33" t="s">
        <v>8518</v>
      </c>
      <c r="L1549" s="33" t="s">
        <v>8522</v>
      </c>
      <c r="N1549" s="33" t="s">
        <v>8518</v>
      </c>
      <c r="O1549" s="35"/>
    </row>
    <row r="1550">
      <c r="A1550" s="38"/>
      <c r="B1550" s="28" t="s">
        <v>8523</v>
      </c>
      <c r="C1550" s="28" t="s">
        <v>8524</v>
      </c>
      <c r="D1550" s="29" t="s">
        <v>8525</v>
      </c>
      <c r="E1550" s="30" t="s">
        <v>8526</v>
      </c>
      <c r="F1550" s="28" t="s">
        <v>8527</v>
      </c>
      <c r="I1550" s="32"/>
      <c r="J1550" s="32"/>
      <c r="K1550" s="33" t="s">
        <v>8523</v>
      </c>
      <c r="L1550" s="33" t="s">
        <v>8528</v>
      </c>
      <c r="N1550" s="33" t="s">
        <v>8523</v>
      </c>
      <c r="O1550" s="35" t="s">
        <v>8529</v>
      </c>
    </row>
    <row r="1551">
      <c r="A1551" s="38"/>
      <c r="B1551" s="28" t="s">
        <v>8530</v>
      </c>
      <c r="C1551" s="28" t="s">
        <v>8531</v>
      </c>
      <c r="D1551" s="29" t="s">
        <v>8532</v>
      </c>
      <c r="E1551" s="30"/>
      <c r="F1551" s="28" t="s">
        <v>8533</v>
      </c>
      <c r="I1551" s="32"/>
      <c r="J1551" s="32"/>
      <c r="K1551" s="33" t="s">
        <v>8530</v>
      </c>
      <c r="L1551" s="33" t="s">
        <v>8534</v>
      </c>
      <c r="N1551" s="33" t="s">
        <v>8530</v>
      </c>
      <c r="O1551" s="35" t="s">
        <v>8535</v>
      </c>
    </row>
    <row r="1552">
      <c r="A1552" s="38"/>
      <c r="B1552" s="28" t="s">
        <v>8536</v>
      </c>
      <c r="C1552" s="28" t="s">
        <v>8094</v>
      </c>
      <c r="D1552" s="29" t="s">
        <v>8537</v>
      </c>
      <c r="E1552" s="30" t="s">
        <v>8538</v>
      </c>
      <c r="F1552" s="28" t="s">
        <v>8539</v>
      </c>
      <c r="I1552" s="32"/>
      <c r="J1552" s="32"/>
      <c r="K1552" s="33" t="s">
        <v>8536</v>
      </c>
      <c r="L1552" s="33" t="s">
        <v>8540</v>
      </c>
      <c r="N1552" s="33" t="s">
        <v>8536</v>
      </c>
      <c r="O1552" s="35" t="s">
        <v>8093</v>
      </c>
    </row>
    <row r="1553">
      <c r="A1553" s="38"/>
      <c r="B1553" s="28" t="s">
        <v>8541</v>
      </c>
      <c r="C1553" s="28" t="s">
        <v>8099</v>
      </c>
      <c r="D1553" s="29" t="s">
        <v>8542</v>
      </c>
      <c r="E1553" s="30"/>
      <c r="F1553" s="28" t="s">
        <v>8543</v>
      </c>
      <c r="I1553" s="32"/>
      <c r="J1553" s="32"/>
      <c r="K1553" s="33" t="s">
        <v>8541</v>
      </c>
      <c r="L1553" s="33" t="s">
        <v>8544</v>
      </c>
      <c r="N1553" s="33" t="s">
        <v>8541</v>
      </c>
      <c r="O1553" s="35" t="s">
        <v>8098</v>
      </c>
    </row>
    <row r="1554">
      <c r="A1554" s="38"/>
      <c r="B1554" s="28" t="s">
        <v>8545</v>
      </c>
      <c r="C1554" s="28" t="s">
        <v>8110</v>
      </c>
      <c r="D1554" s="29" t="s">
        <v>8546</v>
      </c>
      <c r="E1554" s="30" t="s">
        <v>8547</v>
      </c>
      <c r="F1554" s="28" t="s">
        <v>8548</v>
      </c>
      <c r="I1554" s="32"/>
      <c r="J1554" s="32"/>
      <c r="K1554" s="33" t="s">
        <v>8545</v>
      </c>
      <c r="L1554" s="33" t="s">
        <v>8549</v>
      </c>
      <c r="N1554" s="33" t="s">
        <v>8545</v>
      </c>
      <c r="O1554" s="35" t="s">
        <v>8109</v>
      </c>
    </row>
    <row r="1555">
      <c r="A1555" s="38"/>
      <c r="B1555" s="28" t="s">
        <v>8550</v>
      </c>
      <c r="C1555" s="28" t="s">
        <v>8114</v>
      </c>
      <c r="D1555" s="29" t="s">
        <v>8551</v>
      </c>
      <c r="E1555" s="30" t="s">
        <v>8552</v>
      </c>
      <c r="F1555" s="28" t="s">
        <v>8553</v>
      </c>
      <c r="I1555" s="32"/>
      <c r="J1555" s="32"/>
      <c r="K1555" s="33" t="s">
        <v>8550</v>
      </c>
      <c r="L1555" s="33" t="s">
        <v>8554</v>
      </c>
      <c r="N1555" s="33" t="s">
        <v>8550</v>
      </c>
      <c r="O1555" s="35"/>
    </row>
    <row r="1556">
      <c r="A1556" s="38"/>
      <c r="B1556" s="28" t="s">
        <v>8555</v>
      </c>
      <c r="C1556" s="28" t="s">
        <v>8118</v>
      </c>
      <c r="D1556" s="29" t="s">
        <v>8556</v>
      </c>
      <c r="E1556" s="54" t="s">
        <v>8557</v>
      </c>
      <c r="F1556" s="28" t="s">
        <v>8558</v>
      </c>
      <c r="I1556" s="32"/>
      <c r="J1556" s="32"/>
      <c r="K1556" s="33" t="s">
        <v>8555</v>
      </c>
      <c r="L1556" s="33" t="s">
        <v>8559</v>
      </c>
      <c r="N1556" s="33" t="s">
        <v>8555</v>
      </c>
      <c r="O1556" s="35"/>
    </row>
    <row r="1557">
      <c r="A1557" s="38"/>
      <c r="B1557" s="28" t="s">
        <v>8560</v>
      </c>
      <c r="C1557" s="28" t="s">
        <v>8129</v>
      </c>
      <c r="D1557" s="29" t="s">
        <v>8561</v>
      </c>
      <c r="E1557" s="30"/>
      <c r="F1557" s="28" t="s">
        <v>8562</v>
      </c>
      <c r="I1557" s="32"/>
      <c r="J1557" s="32"/>
      <c r="K1557" s="33" t="s">
        <v>8560</v>
      </c>
      <c r="L1557" s="33" t="s">
        <v>8563</v>
      </c>
      <c r="N1557" s="33" t="s">
        <v>8560</v>
      </c>
      <c r="O1557" s="35" t="s">
        <v>8128</v>
      </c>
    </row>
    <row r="1558">
      <c r="A1558" s="38"/>
      <c r="B1558" s="28" t="s">
        <v>8564</v>
      </c>
      <c r="C1558" s="28" t="s">
        <v>8143</v>
      </c>
      <c r="D1558" s="29" t="s">
        <v>8565</v>
      </c>
      <c r="E1558" s="30"/>
      <c r="F1558" s="28" t="s">
        <v>8566</v>
      </c>
      <c r="I1558" s="32"/>
      <c r="J1558" s="32"/>
      <c r="K1558" s="33" t="s">
        <v>8564</v>
      </c>
      <c r="L1558" s="33" t="s">
        <v>8567</v>
      </c>
      <c r="N1558" s="33" t="s">
        <v>8564</v>
      </c>
      <c r="O1558" s="35"/>
    </row>
    <row r="1559">
      <c r="A1559" s="38"/>
      <c r="B1559" s="28" t="s">
        <v>8568</v>
      </c>
      <c r="C1559" s="28" t="s">
        <v>8149</v>
      </c>
      <c r="D1559" s="29" t="s">
        <v>8569</v>
      </c>
      <c r="E1559" s="30" t="s">
        <v>8570</v>
      </c>
      <c r="F1559" s="28" t="s">
        <v>8571</v>
      </c>
      <c r="I1559" s="32"/>
      <c r="J1559" s="32"/>
      <c r="K1559" s="33" t="s">
        <v>8568</v>
      </c>
      <c r="L1559" s="33" t="s">
        <v>8572</v>
      </c>
      <c r="N1559" s="33" t="s">
        <v>8568</v>
      </c>
      <c r="O1559" s="35"/>
    </row>
    <row r="1560">
      <c r="A1560" s="38"/>
      <c r="B1560" s="28" t="s">
        <v>8573</v>
      </c>
      <c r="C1560" s="28" t="s">
        <v>8164</v>
      </c>
      <c r="D1560" s="29" t="s">
        <v>8574</v>
      </c>
      <c r="E1560" s="30" t="s">
        <v>8575</v>
      </c>
      <c r="F1560" s="28" t="s">
        <v>8576</v>
      </c>
      <c r="I1560" s="32"/>
      <c r="J1560" s="32"/>
      <c r="K1560" s="33" t="s">
        <v>8573</v>
      </c>
      <c r="L1560" s="33" t="s">
        <v>8577</v>
      </c>
      <c r="N1560" s="33" t="s">
        <v>8573</v>
      </c>
      <c r="O1560" s="47" t="s">
        <v>8578</v>
      </c>
    </row>
    <row r="1561">
      <c r="A1561" s="38"/>
      <c r="B1561" s="28" t="s">
        <v>8579</v>
      </c>
      <c r="C1561" s="28" t="s">
        <v>8580</v>
      </c>
      <c r="D1561" s="29" t="s">
        <v>8581</v>
      </c>
      <c r="E1561" s="30" t="s">
        <v>8582</v>
      </c>
      <c r="F1561" s="28" t="s">
        <v>8583</v>
      </c>
      <c r="I1561" s="32"/>
      <c r="J1561" s="32"/>
      <c r="K1561" s="33" t="s">
        <v>8579</v>
      </c>
      <c r="L1561" s="33" t="s">
        <v>8584</v>
      </c>
      <c r="N1561" s="33" t="s">
        <v>8579</v>
      </c>
      <c r="O1561" s="35" t="s">
        <v>8585</v>
      </c>
    </row>
    <row r="1562">
      <c r="A1562" s="38"/>
      <c r="B1562" s="28" t="s">
        <v>8586</v>
      </c>
      <c r="C1562" s="28" t="s">
        <v>8170</v>
      </c>
      <c r="D1562" s="29" t="s">
        <v>8587</v>
      </c>
      <c r="E1562" s="30" t="s">
        <v>8588</v>
      </c>
      <c r="F1562" s="28" t="s">
        <v>8589</v>
      </c>
      <c r="I1562" s="32"/>
      <c r="J1562" s="32"/>
      <c r="K1562" s="33" t="s">
        <v>8586</v>
      </c>
      <c r="L1562" s="33" t="s">
        <v>8590</v>
      </c>
      <c r="N1562" s="33" t="s">
        <v>8586</v>
      </c>
      <c r="O1562" s="35" t="s">
        <v>8169</v>
      </c>
    </row>
    <row r="1563">
      <c r="A1563" s="38"/>
      <c r="B1563" s="28" t="s">
        <v>8591</v>
      </c>
      <c r="C1563" s="28" t="s">
        <v>8180</v>
      </c>
      <c r="D1563" s="29" t="s">
        <v>8592</v>
      </c>
      <c r="E1563" s="30" t="s">
        <v>8593</v>
      </c>
      <c r="F1563" s="28" t="s">
        <v>8594</v>
      </c>
      <c r="I1563" s="32"/>
      <c r="J1563" s="32"/>
      <c r="K1563" s="33" t="s">
        <v>8591</v>
      </c>
      <c r="L1563" s="33" t="s">
        <v>8595</v>
      </c>
      <c r="N1563" s="33" t="s">
        <v>8591</v>
      </c>
      <c r="O1563" s="35" t="s">
        <v>8179</v>
      </c>
    </row>
    <row r="1564">
      <c r="A1564" s="38"/>
      <c r="B1564" s="28" t="s">
        <v>8596</v>
      </c>
      <c r="C1564" s="28" t="s">
        <v>8186</v>
      </c>
      <c r="D1564" s="29" t="s">
        <v>8597</v>
      </c>
      <c r="E1564" s="30" t="s">
        <v>8598</v>
      </c>
      <c r="F1564" s="28" t="s">
        <v>8599</v>
      </c>
      <c r="I1564" s="32"/>
      <c r="J1564" s="32"/>
      <c r="K1564" s="33" t="s">
        <v>8596</v>
      </c>
      <c r="L1564" s="33" t="s">
        <v>8600</v>
      </c>
      <c r="N1564" s="33" t="s">
        <v>8596</v>
      </c>
      <c r="O1564" s="35" t="s">
        <v>8185</v>
      </c>
    </row>
    <row r="1565">
      <c r="A1565" s="38"/>
      <c r="B1565" s="28" t="s">
        <v>8601</v>
      </c>
      <c r="C1565" s="28" t="s">
        <v>8602</v>
      </c>
      <c r="D1565" s="29" t="s">
        <v>8603</v>
      </c>
      <c r="E1565" s="30" t="s">
        <v>8604</v>
      </c>
      <c r="F1565" s="28" t="s">
        <v>8605</v>
      </c>
      <c r="I1565" s="32"/>
      <c r="J1565" s="32"/>
      <c r="K1565" s="33" t="s">
        <v>8601</v>
      </c>
      <c r="L1565" s="33" t="s">
        <v>8606</v>
      </c>
      <c r="N1565" s="33" t="s">
        <v>8601</v>
      </c>
      <c r="O1565" s="35"/>
    </row>
    <row r="1566">
      <c r="A1566" s="38"/>
      <c r="B1566" s="28" t="s">
        <v>8607</v>
      </c>
      <c r="C1566" s="28" t="s">
        <v>8608</v>
      </c>
      <c r="D1566" s="29" t="s">
        <v>8609</v>
      </c>
      <c r="E1566" s="30" t="s">
        <v>8610</v>
      </c>
      <c r="F1566" s="28" t="s">
        <v>8611</v>
      </c>
      <c r="I1566" s="32"/>
      <c r="J1566" s="32"/>
      <c r="K1566" s="33" t="s">
        <v>8607</v>
      </c>
      <c r="L1566" s="33" t="s">
        <v>8612</v>
      </c>
      <c r="N1566" s="33" t="s">
        <v>8607</v>
      </c>
      <c r="O1566" s="35"/>
    </row>
    <row r="1567">
      <c r="A1567" s="38"/>
      <c r="B1567" s="28" t="s">
        <v>8613</v>
      </c>
      <c r="C1567" s="28" t="s">
        <v>8614</v>
      </c>
      <c r="D1567" s="29" t="s">
        <v>8615</v>
      </c>
      <c r="E1567" s="30"/>
      <c r="F1567" s="28" t="s">
        <v>8616</v>
      </c>
      <c r="I1567" s="32"/>
      <c r="J1567" s="32"/>
      <c r="K1567" s="33" t="s">
        <v>8613</v>
      </c>
      <c r="L1567" s="33" t="s">
        <v>8617</v>
      </c>
      <c r="N1567" s="33" t="s">
        <v>8613</v>
      </c>
      <c r="O1567" s="35"/>
    </row>
    <row r="1568">
      <c r="A1568" s="38"/>
      <c r="B1568" s="28" t="s">
        <v>8618</v>
      </c>
      <c r="C1568" s="28" t="s">
        <v>8198</v>
      </c>
      <c r="D1568" s="29" t="s">
        <v>8619</v>
      </c>
      <c r="E1568" s="30" t="s">
        <v>8620</v>
      </c>
      <c r="F1568" s="28" t="s">
        <v>8621</v>
      </c>
      <c r="I1568" s="32"/>
      <c r="J1568" s="32"/>
      <c r="K1568" s="33" t="s">
        <v>8618</v>
      </c>
      <c r="L1568" s="33" t="s">
        <v>8622</v>
      </c>
      <c r="N1568" s="33" t="s">
        <v>8618</v>
      </c>
      <c r="O1568" s="35" t="s">
        <v>8197</v>
      </c>
    </row>
    <row r="1569">
      <c r="A1569" s="38"/>
      <c r="B1569" s="28" t="s">
        <v>8623</v>
      </c>
      <c r="C1569" s="28" t="s">
        <v>8203</v>
      </c>
      <c r="D1569" s="29" t="s">
        <v>8624</v>
      </c>
      <c r="E1569" s="30" t="s">
        <v>8625</v>
      </c>
      <c r="F1569" s="28" t="s">
        <v>8626</v>
      </c>
      <c r="I1569" s="32"/>
      <c r="J1569" s="32"/>
      <c r="K1569" s="33" t="s">
        <v>8623</v>
      </c>
      <c r="L1569" s="33" t="s">
        <v>8627</v>
      </c>
      <c r="N1569" s="33" t="s">
        <v>8623</v>
      </c>
      <c r="O1569" s="35" t="s">
        <v>8202</v>
      </c>
    </row>
    <row r="1570">
      <c r="A1570" s="38"/>
      <c r="B1570" s="28" t="s">
        <v>8628</v>
      </c>
      <c r="C1570" s="28" t="s">
        <v>8212</v>
      </c>
      <c r="D1570" s="29" t="s">
        <v>8629</v>
      </c>
      <c r="E1570" s="30"/>
      <c r="F1570" s="28" t="s">
        <v>8630</v>
      </c>
      <c r="I1570" s="32"/>
      <c r="J1570" s="32"/>
      <c r="K1570" s="33" t="s">
        <v>8628</v>
      </c>
      <c r="L1570" s="33" t="s">
        <v>8631</v>
      </c>
      <c r="N1570" s="33" t="s">
        <v>8628</v>
      </c>
      <c r="O1570" s="35" t="s">
        <v>8211</v>
      </c>
    </row>
    <row r="1571">
      <c r="A1571" s="38"/>
      <c r="B1571" s="28" t="s">
        <v>8632</v>
      </c>
      <c r="C1571" s="28" t="s">
        <v>8230</v>
      </c>
      <c r="D1571" s="29" t="s">
        <v>8633</v>
      </c>
      <c r="E1571" s="30" t="s">
        <v>8634</v>
      </c>
      <c r="F1571" s="28" t="s">
        <v>8635</v>
      </c>
      <c r="I1571" s="32"/>
      <c r="J1571" s="32"/>
      <c r="K1571" s="33" t="s">
        <v>8632</v>
      </c>
      <c r="L1571" s="33" t="s">
        <v>8636</v>
      </c>
      <c r="N1571" s="33" t="s">
        <v>8632</v>
      </c>
      <c r="O1571" s="35"/>
    </row>
    <row r="1572">
      <c r="A1572" s="38"/>
      <c r="B1572" s="28" t="s">
        <v>8637</v>
      </c>
      <c r="C1572" s="28" t="s">
        <v>8235</v>
      </c>
      <c r="D1572" s="29" t="s">
        <v>8638</v>
      </c>
      <c r="E1572" s="30"/>
      <c r="F1572" s="28" t="s">
        <v>8639</v>
      </c>
      <c r="I1572" s="32"/>
      <c r="J1572" s="32"/>
      <c r="K1572" s="33" t="s">
        <v>8637</v>
      </c>
      <c r="L1572" s="33" t="s">
        <v>8640</v>
      </c>
      <c r="N1572" s="33" t="s">
        <v>8637</v>
      </c>
      <c r="O1572" s="35" t="s">
        <v>8641</v>
      </c>
    </row>
    <row r="1573">
      <c r="A1573" s="38"/>
      <c r="B1573" s="28" t="s">
        <v>8642</v>
      </c>
      <c r="C1573" s="28" t="s">
        <v>8239</v>
      </c>
      <c r="D1573" s="29" t="s">
        <v>8643</v>
      </c>
      <c r="E1573" s="30" t="s">
        <v>8644</v>
      </c>
      <c r="F1573" s="28" t="s">
        <v>8645</v>
      </c>
      <c r="I1573" s="32"/>
      <c r="J1573" s="32"/>
      <c r="K1573" s="33" t="s">
        <v>8642</v>
      </c>
      <c r="L1573" s="33" t="s">
        <v>8646</v>
      </c>
      <c r="N1573" s="33" t="s">
        <v>8642</v>
      </c>
      <c r="O1573" s="35"/>
    </row>
    <row r="1574">
      <c r="A1574" s="38"/>
      <c r="B1574" s="28" t="s">
        <v>8647</v>
      </c>
      <c r="C1574" s="28" t="s">
        <v>8244</v>
      </c>
      <c r="D1574" s="29" t="s">
        <v>8648</v>
      </c>
      <c r="E1574" s="30" t="s">
        <v>8649</v>
      </c>
      <c r="F1574" s="28" t="s">
        <v>8650</v>
      </c>
      <c r="I1574" s="32"/>
      <c r="J1574" s="32"/>
      <c r="K1574" s="33" t="s">
        <v>8647</v>
      </c>
      <c r="L1574" s="33" t="s">
        <v>8651</v>
      </c>
      <c r="N1574" s="33" t="s">
        <v>8647</v>
      </c>
      <c r="O1574" s="35" t="s">
        <v>8243</v>
      </c>
    </row>
    <row r="1575">
      <c r="A1575" s="38"/>
      <c r="B1575" s="28" t="s">
        <v>8652</v>
      </c>
      <c r="C1575" s="28" t="s">
        <v>8653</v>
      </c>
      <c r="D1575" s="29" t="s">
        <v>8654</v>
      </c>
      <c r="E1575" s="30" t="s">
        <v>8655</v>
      </c>
      <c r="F1575" s="28" t="s">
        <v>8656</v>
      </c>
      <c r="I1575" s="32"/>
      <c r="J1575" s="32"/>
      <c r="K1575" s="33" t="s">
        <v>8652</v>
      </c>
      <c r="L1575" s="33" t="s">
        <v>8657</v>
      </c>
      <c r="N1575" s="33" t="s">
        <v>8652</v>
      </c>
      <c r="O1575" s="47" t="s">
        <v>8658</v>
      </c>
    </row>
    <row r="1576">
      <c r="A1576" s="38"/>
      <c r="B1576" s="28" t="s">
        <v>8659</v>
      </c>
      <c r="C1576" s="28" t="s">
        <v>8660</v>
      </c>
      <c r="D1576" s="29" t="s">
        <v>8661</v>
      </c>
      <c r="E1576" s="30" t="s">
        <v>8662</v>
      </c>
      <c r="F1576" s="28" t="s">
        <v>8663</v>
      </c>
      <c r="I1576" s="32"/>
      <c r="J1576" s="32"/>
      <c r="K1576" s="33" t="s">
        <v>8659</v>
      </c>
      <c r="L1576" s="33" t="s">
        <v>8664</v>
      </c>
      <c r="N1576" s="33" t="s">
        <v>8659</v>
      </c>
      <c r="O1576" s="35" t="s">
        <v>8665</v>
      </c>
    </row>
    <row r="1577">
      <c r="A1577" s="38"/>
      <c r="B1577" s="28" t="s">
        <v>8666</v>
      </c>
      <c r="C1577" s="28" t="s">
        <v>8250</v>
      </c>
      <c r="D1577" s="29" t="s">
        <v>8667</v>
      </c>
      <c r="E1577" s="30"/>
      <c r="F1577" s="28" t="s">
        <v>8668</v>
      </c>
      <c r="I1577" s="32"/>
      <c r="J1577" s="32"/>
      <c r="K1577" s="33" t="s">
        <v>8666</v>
      </c>
      <c r="L1577" s="33" t="s">
        <v>8669</v>
      </c>
      <c r="N1577" s="33" t="s">
        <v>8666</v>
      </c>
      <c r="O1577" s="35" t="s">
        <v>8249</v>
      </c>
    </row>
    <row r="1578">
      <c r="A1578" s="38"/>
      <c r="B1578" s="28" t="s">
        <v>8670</v>
      </c>
      <c r="C1578" s="28" t="s">
        <v>8255</v>
      </c>
      <c r="D1578" s="29" t="s">
        <v>8671</v>
      </c>
      <c r="E1578" s="30" t="s">
        <v>8672</v>
      </c>
      <c r="F1578" s="28" t="s">
        <v>8673</v>
      </c>
      <c r="I1578" s="32"/>
      <c r="J1578" s="32"/>
      <c r="K1578" s="33" t="s">
        <v>8670</v>
      </c>
      <c r="L1578" s="33" t="s">
        <v>8674</v>
      </c>
      <c r="N1578" s="33" t="s">
        <v>8670</v>
      </c>
      <c r="O1578" s="35"/>
    </row>
    <row r="1579">
      <c r="A1579" s="38"/>
      <c r="B1579" s="28" t="s">
        <v>8675</v>
      </c>
      <c r="C1579" s="28" t="s">
        <v>8269</v>
      </c>
      <c r="D1579" s="29" t="s">
        <v>8676</v>
      </c>
      <c r="E1579" s="30"/>
      <c r="F1579" s="28" t="s">
        <v>8677</v>
      </c>
      <c r="I1579" s="32"/>
      <c r="J1579" s="32"/>
      <c r="K1579" s="33" t="s">
        <v>8675</v>
      </c>
      <c r="L1579" s="33" t="s">
        <v>8678</v>
      </c>
      <c r="N1579" s="33" t="s">
        <v>8675</v>
      </c>
      <c r="O1579" s="35" t="s">
        <v>8268</v>
      </c>
    </row>
    <row r="1580">
      <c r="A1580" s="38"/>
      <c r="B1580" s="28" t="s">
        <v>8679</v>
      </c>
      <c r="C1580" s="28" t="s">
        <v>8680</v>
      </c>
      <c r="D1580" s="29" t="s">
        <v>8681</v>
      </c>
      <c r="E1580" s="30" t="s">
        <v>8682</v>
      </c>
      <c r="F1580" s="28" t="s">
        <v>8683</v>
      </c>
      <c r="I1580" s="32"/>
      <c r="J1580" s="32"/>
      <c r="K1580" s="33" t="s">
        <v>8679</v>
      </c>
      <c r="L1580" s="33" t="s">
        <v>8684</v>
      </c>
      <c r="N1580" s="33" t="s">
        <v>8679</v>
      </c>
      <c r="O1580" s="47" t="s">
        <v>8685</v>
      </c>
    </row>
    <row r="1581">
      <c r="A1581" s="38"/>
      <c r="B1581" s="28" t="s">
        <v>8686</v>
      </c>
      <c r="C1581" s="28" t="s">
        <v>8687</v>
      </c>
      <c r="D1581" s="29" t="s">
        <v>8688</v>
      </c>
      <c r="E1581" s="30"/>
      <c r="F1581" s="28" t="s">
        <v>8689</v>
      </c>
      <c r="I1581" s="32"/>
      <c r="J1581" s="32"/>
      <c r="K1581" s="33" t="s">
        <v>8686</v>
      </c>
      <c r="L1581" s="33" t="s">
        <v>8690</v>
      </c>
      <c r="N1581" s="33" t="s">
        <v>8686</v>
      </c>
      <c r="O1581" s="35"/>
    </row>
    <row r="1582">
      <c r="A1582" s="38"/>
      <c r="B1582" s="28" t="s">
        <v>8691</v>
      </c>
      <c r="C1582" s="28" t="s">
        <v>8281</v>
      </c>
      <c r="D1582" s="29" t="s">
        <v>8692</v>
      </c>
      <c r="E1582" s="30"/>
      <c r="F1582" s="28" t="s">
        <v>8693</v>
      </c>
      <c r="I1582" s="32"/>
      <c r="J1582" s="32"/>
      <c r="K1582" s="33" t="s">
        <v>8691</v>
      </c>
      <c r="L1582" s="33" t="s">
        <v>8694</v>
      </c>
      <c r="N1582" s="33" t="s">
        <v>8691</v>
      </c>
      <c r="O1582" s="35" t="s">
        <v>8280</v>
      </c>
    </row>
    <row r="1583">
      <c r="A1583" s="38"/>
      <c r="B1583" s="28" t="s">
        <v>8695</v>
      </c>
      <c r="C1583" s="28" t="s">
        <v>8286</v>
      </c>
      <c r="D1583" s="29" t="s">
        <v>8696</v>
      </c>
      <c r="E1583" s="30" t="s">
        <v>8697</v>
      </c>
      <c r="F1583" s="28" t="s">
        <v>8698</v>
      </c>
      <c r="I1583" s="32"/>
      <c r="J1583" s="32"/>
      <c r="K1583" s="33" t="s">
        <v>8695</v>
      </c>
      <c r="L1583" s="33" t="s">
        <v>8699</v>
      </c>
      <c r="N1583" s="33" t="s">
        <v>8695</v>
      </c>
      <c r="O1583" s="35" t="s">
        <v>8285</v>
      </c>
    </row>
    <row r="1584">
      <c r="A1584" s="38"/>
      <c r="B1584" s="28" t="s">
        <v>8700</v>
      </c>
      <c r="C1584" s="28" t="s">
        <v>8306</v>
      </c>
      <c r="D1584" s="29" t="s">
        <v>8701</v>
      </c>
      <c r="E1584" s="30" t="s">
        <v>8702</v>
      </c>
      <c r="F1584" s="28" t="s">
        <v>8703</v>
      </c>
      <c r="I1584" s="32"/>
      <c r="J1584" s="32"/>
      <c r="K1584" s="33" t="s">
        <v>8700</v>
      </c>
      <c r="L1584" s="33" t="s">
        <v>8704</v>
      </c>
      <c r="N1584" s="33" t="s">
        <v>8700</v>
      </c>
      <c r="O1584" s="35"/>
    </row>
    <row r="1585">
      <c r="A1585" s="38"/>
      <c r="B1585" s="28" t="s">
        <v>8705</v>
      </c>
      <c r="C1585" s="28" t="s">
        <v>8312</v>
      </c>
      <c r="D1585" s="29" t="s">
        <v>8706</v>
      </c>
      <c r="E1585" s="54" t="s">
        <v>8707</v>
      </c>
      <c r="F1585" s="28" t="s">
        <v>8708</v>
      </c>
      <c r="I1585" s="32"/>
      <c r="J1585" s="32"/>
      <c r="K1585" s="33" t="s">
        <v>8705</v>
      </c>
      <c r="L1585" s="33" t="s">
        <v>8709</v>
      </c>
      <c r="N1585" s="33" t="s">
        <v>8705</v>
      </c>
      <c r="O1585" s="35" t="s">
        <v>8311</v>
      </c>
    </row>
    <row r="1586">
      <c r="A1586" s="38"/>
      <c r="B1586" s="28" t="s">
        <v>8710</v>
      </c>
      <c r="C1586" s="28" t="s">
        <v>8322</v>
      </c>
      <c r="D1586" s="29" t="s">
        <v>8711</v>
      </c>
      <c r="E1586" s="30" t="s">
        <v>8712</v>
      </c>
      <c r="F1586" s="28" t="s">
        <v>8713</v>
      </c>
      <c r="I1586" s="32"/>
      <c r="J1586" s="32"/>
      <c r="K1586" s="33" t="s">
        <v>8710</v>
      </c>
      <c r="L1586" s="33" t="s">
        <v>8714</v>
      </c>
      <c r="N1586" s="33" t="s">
        <v>8710</v>
      </c>
      <c r="O1586" s="35" t="s">
        <v>6454</v>
      </c>
    </row>
    <row r="1587">
      <c r="A1587" s="38"/>
      <c r="B1587" s="28" t="s">
        <v>8715</v>
      </c>
      <c r="C1587" s="28" t="s">
        <v>8331</v>
      </c>
      <c r="D1587" s="29" t="s">
        <v>8716</v>
      </c>
      <c r="E1587" s="30"/>
      <c r="F1587" s="28" t="s">
        <v>8717</v>
      </c>
      <c r="I1587" s="32"/>
      <c r="J1587" s="32"/>
      <c r="K1587" s="33" t="s">
        <v>8715</v>
      </c>
      <c r="L1587" s="33" t="s">
        <v>8718</v>
      </c>
      <c r="N1587" s="33" t="s">
        <v>8715</v>
      </c>
      <c r="O1587" s="35" t="s">
        <v>8330</v>
      </c>
    </row>
    <row r="1588">
      <c r="A1588" s="38"/>
      <c r="B1588" s="28" t="s">
        <v>8719</v>
      </c>
      <c r="C1588" s="28" t="s">
        <v>8720</v>
      </c>
      <c r="D1588" s="29" t="s">
        <v>8721</v>
      </c>
      <c r="E1588" s="30" t="s">
        <v>8722</v>
      </c>
      <c r="F1588" s="28" t="s">
        <v>8723</v>
      </c>
      <c r="I1588" s="32"/>
      <c r="J1588" s="32"/>
      <c r="K1588" s="33" t="s">
        <v>8719</v>
      </c>
      <c r="L1588" s="33" t="s">
        <v>8724</v>
      </c>
      <c r="N1588" s="33" t="s">
        <v>8719</v>
      </c>
      <c r="O1588" s="35"/>
    </row>
    <row r="1589">
      <c r="A1589" s="38"/>
      <c r="B1589" s="28" t="s">
        <v>8725</v>
      </c>
      <c r="C1589" s="28" t="s">
        <v>8337</v>
      </c>
      <c r="D1589" s="29" t="s">
        <v>8726</v>
      </c>
      <c r="E1589" s="54" t="s">
        <v>8727</v>
      </c>
      <c r="F1589" s="28" t="s">
        <v>8728</v>
      </c>
      <c r="I1589" s="32"/>
      <c r="J1589" s="32"/>
      <c r="K1589" s="33" t="s">
        <v>8725</v>
      </c>
      <c r="L1589" s="33" t="s">
        <v>8729</v>
      </c>
      <c r="N1589" s="33" t="s">
        <v>8725</v>
      </c>
      <c r="O1589" s="35" t="s">
        <v>8336</v>
      </c>
    </row>
    <row r="1590">
      <c r="A1590" s="38"/>
      <c r="B1590" s="28" t="s">
        <v>8730</v>
      </c>
      <c r="C1590" s="28" t="s">
        <v>8731</v>
      </c>
      <c r="D1590" s="29" t="s">
        <v>8732</v>
      </c>
      <c r="E1590" s="30"/>
      <c r="F1590" s="28" t="s">
        <v>8733</v>
      </c>
      <c r="I1590" s="32"/>
      <c r="J1590" s="32"/>
      <c r="K1590" s="33" t="s">
        <v>8730</v>
      </c>
      <c r="L1590" s="33" t="s">
        <v>8734</v>
      </c>
      <c r="N1590" s="33" t="s">
        <v>8730</v>
      </c>
      <c r="O1590" s="35" t="s">
        <v>8735</v>
      </c>
    </row>
    <row r="1591">
      <c r="A1591" s="38"/>
      <c r="B1591" s="28" t="s">
        <v>8736</v>
      </c>
      <c r="C1591" s="28" t="s">
        <v>8737</v>
      </c>
      <c r="D1591" s="29" t="s">
        <v>8738</v>
      </c>
      <c r="E1591" s="30" t="s">
        <v>8739</v>
      </c>
      <c r="F1591" s="28" t="s">
        <v>8740</v>
      </c>
      <c r="I1591" s="32"/>
      <c r="J1591" s="32"/>
      <c r="K1591" s="33" t="s">
        <v>8736</v>
      </c>
      <c r="L1591" s="33" t="s">
        <v>8741</v>
      </c>
      <c r="N1591" s="33" t="s">
        <v>8736</v>
      </c>
      <c r="O1591" s="35"/>
    </row>
    <row r="1592">
      <c r="A1592" s="38"/>
      <c r="B1592" s="28" t="s">
        <v>8742</v>
      </c>
      <c r="C1592" s="28" t="s">
        <v>8358</v>
      </c>
      <c r="D1592" s="29" t="s">
        <v>8743</v>
      </c>
      <c r="E1592" s="30" t="s">
        <v>8744</v>
      </c>
      <c r="F1592" s="28" t="s">
        <v>8745</v>
      </c>
      <c r="I1592" s="32"/>
      <c r="J1592" s="32"/>
      <c r="K1592" s="33" t="s">
        <v>8742</v>
      </c>
      <c r="L1592" s="33" t="s">
        <v>8746</v>
      </c>
      <c r="N1592" s="33" t="s">
        <v>8742</v>
      </c>
      <c r="O1592" s="35"/>
    </row>
    <row r="1593">
      <c r="A1593" s="38"/>
      <c r="B1593" s="28" t="s">
        <v>8747</v>
      </c>
      <c r="C1593" s="28" t="s">
        <v>8748</v>
      </c>
      <c r="D1593" s="29" t="s">
        <v>8749</v>
      </c>
      <c r="E1593" s="30" t="s">
        <v>8750</v>
      </c>
      <c r="F1593" s="28" t="s">
        <v>8751</v>
      </c>
      <c r="I1593" s="32"/>
      <c r="J1593" s="32"/>
      <c r="K1593" s="33" t="s">
        <v>8747</v>
      </c>
      <c r="L1593" s="33" t="s">
        <v>8752</v>
      </c>
      <c r="N1593" s="33" t="s">
        <v>8747</v>
      </c>
      <c r="O1593" s="35" t="s">
        <v>8753</v>
      </c>
    </row>
    <row r="1594">
      <c r="A1594" s="38"/>
      <c r="B1594" s="28" t="s">
        <v>8754</v>
      </c>
      <c r="C1594" s="28" t="s">
        <v>8755</v>
      </c>
      <c r="D1594" s="29" t="s">
        <v>8756</v>
      </c>
      <c r="E1594" s="30" t="s">
        <v>8757</v>
      </c>
      <c r="F1594" s="28" t="s">
        <v>8758</v>
      </c>
      <c r="I1594" s="32"/>
      <c r="J1594" s="32"/>
      <c r="K1594" s="33" t="s">
        <v>8754</v>
      </c>
      <c r="L1594" s="33" t="s">
        <v>8759</v>
      </c>
      <c r="N1594" s="33" t="s">
        <v>8754</v>
      </c>
      <c r="O1594" s="35" t="s">
        <v>8760</v>
      </c>
    </row>
    <row r="1595">
      <c r="A1595" s="38"/>
      <c r="B1595" s="28" t="s">
        <v>8761</v>
      </c>
      <c r="C1595" s="28" t="s">
        <v>8762</v>
      </c>
      <c r="D1595" s="29" t="s">
        <v>8763</v>
      </c>
      <c r="E1595" s="30" t="s">
        <v>8764</v>
      </c>
      <c r="F1595" s="28" t="s">
        <v>8765</v>
      </c>
      <c r="I1595" s="32"/>
      <c r="J1595" s="32"/>
      <c r="K1595" s="33" t="s">
        <v>8761</v>
      </c>
      <c r="L1595" s="33" t="s">
        <v>8766</v>
      </c>
      <c r="N1595" s="33" t="s">
        <v>8761</v>
      </c>
      <c r="O1595" s="35" t="s">
        <v>8767</v>
      </c>
    </row>
    <row r="1596">
      <c r="A1596" s="38"/>
      <c r="B1596" s="28" t="s">
        <v>8768</v>
      </c>
      <c r="C1596" s="28" t="s">
        <v>8769</v>
      </c>
      <c r="D1596" s="29" t="s">
        <v>8770</v>
      </c>
      <c r="E1596" s="30"/>
      <c r="F1596" s="28" t="s">
        <v>8771</v>
      </c>
      <c r="I1596" s="32"/>
      <c r="J1596" s="32"/>
      <c r="K1596" s="33" t="s">
        <v>8768</v>
      </c>
      <c r="L1596" s="33" t="s">
        <v>8772</v>
      </c>
      <c r="N1596" s="33" t="s">
        <v>8768</v>
      </c>
      <c r="O1596" s="47" t="s">
        <v>8773</v>
      </c>
    </row>
    <row r="1597">
      <c r="A1597" s="38"/>
      <c r="B1597" s="28" t="s">
        <v>8774</v>
      </c>
      <c r="C1597" s="28" t="s">
        <v>8364</v>
      </c>
      <c r="D1597" s="29" t="s">
        <v>8775</v>
      </c>
      <c r="E1597" s="30" t="s">
        <v>8776</v>
      </c>
      <c r="F1597" s="28" t="s">
        <v>8777</v>
      </c>
      <c r="I1597" s="32"/>
      <c r="J1597" s="32"/>
      <c r="K1597" s="33" t="s">
        <v>8774</v>
      </c>
      <c r="L1597" s="33" t="s">
        <v>8778</v>
      </c>
      <c r="N1597" s="33" t="s">
        <v>8774</v>
      </c>
      <c r="O1597" s="35" t="s">
        <v>8363</v>
      </c>
    </row>
    <row r="1598">
      <c r="A1598" s="38"/>
      <c r="B1598" s="28" t="s">
        <v>8779</v>
      </c>
      <c r="C1598" s="28" t="s">
        <v>8780</v>
      </c>
      <c r="D1598" s="29" t="s">
        <v>8781</v>
      </c>
      <c r="E1598" s="30" t="s">
        <v>8782</v>
      </c>
      <c r="F1598" s="28" t="s">
        <v>8783</v>
      </c>
      <c r="I1598" s="32"/>
      <c r="J1598" s="32"/>
      <c r="K1598" s="33" t="s">
        <v>8779</v>
      </c>
      <c r="L1598" s="33" t="s">
        <v>8784</v>
      </c>
      <c r="N1598" s="33" t="s">
        <v>8779</v>
      </c>
      <c r="O1598" s="35" t="s">
        <v>8785</v>
      </c>
    </row>
    <row r="1599">
      <c r="A1599" s="38"/>
      <c r="B1599" s="28" t="s">
        <v>8786</v>
      </c>
      <c r="C1599" s="28" t="s">
        <v>8381</v>
      </c>
      <c r="D1599" s="29" t="s">
        <v>8787</v>
      </c>
      <c r="E1599" s="30" t="s">
        <v>8788</v>
      </c>
      <c r="F1599" s="28" t="s">
        <v>8789</v>
      </c>
      <c r="I1599" s="32"/>
      <c r="J1599" s="32"/>
      <c r="K1599" s="33" t="s">
        <v>8786</v>
      </c>
      <c r="L1599" s="33" t="s">
        <v>8790</v>
      </c>
      <c r="N1599" s="33" t="s">
        <v>8786</v>
      </c>
      <c r="O1599" s="35"/>
    </row>
    <row r="1600">
      <c r="A1600" s="38"/>
      <c r="B1600" s="28" t="s">
        <v>8791</v>
      </c>
      <c r="C1600" s="28" t="s">
        <v>8387</v>
      </c>
      <c r="D1600" s="29" t="s">
        <v>8792</v>
      </c>
      <c r="E1600" s="30"/>
      <c r="F1600" s="28" t="s">
        <v>8793</v>
      </c>
      <c r="I1600" s="32"/>
      <c r="J1600" s="32"/>
      <c r="K1600" s="33" t="s">
        <v>8791</v>
      </c>
      <c r="L1600" s="33" t="s">
        <v>8794</v>
      </c>
      <c r="N1600" s="33" t="s">
        <v>8791</v>
      </c>
      <c r="O1600" s="35" t="s">
        <v>8386</v>
      </c>
    </row>
    <row r="1601">
      <c r="A1601" s="38"/>
      <c r="B1601" s="28" t="s">
        <v>8795</v>
      </c>
      <c r="C1601" s="28" t="s">
        <v>8796</v>
      </c>
      <c r="D1601" s="29" t="s">
        <v>8797</v>
      </c>
      <c r="E1601" s="54" t="s">
        <v>8798</v>
      </c>
      <c r="F1601" s="28" t="s">
        <v>8799</v>
      </c>
      <c r="I1601" s="32"/>
      <c r="J1601" s="32"/>
      <c r="K1601" s="33" t="s">
        <v>8795</v>
      </c>
      <c r="L1601" s="33" t="s">
        <v>8800</v>
      </c>
      <c r="N1601" s="33" t="s">
        <v>8795</v>
      </c>
      <c r="O1601" s="35" t="s">
        <v>8801</v>
      </c>
    </row>
    <row r="1602">
      <c r="A1602" s="38"/>
      <c r="B1602" s="28" t="s">
        <v>8802</v>
      </c>
      <c r="C1602" s="28" t="s">
        <v>8803</v>
      </c>
      <c r="D1602" s="29" t="s">
        <v>8804</v>
      </c>
      <c r="E1602" s="30"/>
      <c r="F1602" s="28" t="s">
        <v>8805</v>
      </c>
      <c r="I1602" s="32"/>
      <c r="J1602" s="32"/>
      <c r="K1602" s="33" t="s">
        <v>8802</v>
      </c>
      <c r="L1602" s="33" t="s">
        <v>8806</v>
      </c>
      <c r="N1602" s="33" t="s">
        <v>8802</v>
      </c>
      <c r="O1602" s="35" t="s">
        <v>8807</v>
      </c>
    </row>
    <row r="1603">
      <c r="A1603" s="38"/>
      <c r="B1603" s="28" t="s">
        <v>8808</v>
      </c>
      <c r="C1603" s="28" t="s">
        <v>8402</v>
      </c>
      <c r="D1603" s="29" t="s">
        <v>8809</v>
      </c>
      <c r="E1603" s="30"/>
      <c r="F1603" s="28" t="s">
        <v>8810</v>
      </c>
      <c r="I1603" s="32"/>
      <c r="J1603" s="32"/>
      <c r="K1603" s="33" t="s">
        <v>8808</v>
      </c>
      <c r="L1603" s="33" t="s">
        <v>8811</v>
      </c>
      <c r="N1603" s="33" t="s">
        <v>8808</v>
      </c>
      <c r="O1603" s="35" t="s">
        <v>8401</v>
      </c>
    </row>
    <row r="1604">
      <c r="A1604" s="38"/>
      <c r="B1604" s="28" t="s">
        <v>8812</v>
      </c>
      <c r="C1604" s="28" t="s">
        <v>8813</v>
      </c>
      <c r="D1604" s="29" t="s">
        <v>8814</v>
      </c>
      <c r="E1604" s="30" t="s">
        <v>8815</v>
      </c>
      <c r="F1604" s="28" t="s">
        <v>8816</v>
      </c>
      <c r="I1604" s="32"/>
      <c r="J1604" s="32"/>
      <c r="K1604" s="33" t="s">
        <v>8812</v>
      </c>
      <c r="L1604" s="33" t="s">
        <v>8817</v>
      </c>
      <c r="N1604" s="33" t="s">
        <v>8812</v>
      </c>
      <c r="O1604" s="47" t="s">
        <v>8818</v>
      </c>
    </row>
    <row r="1605">
      <c r="A1605" s="38"/>
      <c r="B1605" s="28" t="s">
        <v>8819</v>
      </c>
      <c r="C1605" s="28" t="s">
        <v>8424</v>
      </c>
      <c r="D1605" s="29" t="s">
        <v>8820</v>
      </c>
      <c r="E1605" s="30" t="s">
        <v>8821</v>
      </c>
      <c r="F1605" s="28" t="s">
        <v>8822</v>
      </c>
      <c r="I1605" s="32"/>
      <c r="J1605" s="32"/>
      <c r="K1605" s="33" t="s">
        <v>8819</v>
      </c>
      <c r="L1605" s="33" t="s">
        <v>8823</v>
      </c>
      <c r="N1605" s="33" t="s">
        <v>8819</v>
      </c>
      <c r="O1605" s="35" t="s">
        <v>8423</v>
      </c>
    </row>
    <row r="1606">
      <c r="A1606" s="38"/>
      <c r="B1606" s="28" t="s">
        <v>8824</v>
      </c>
      <c r="C1606" s="28" t="s">
        <v>8430</v>
      </c>
      <c r="D1606" s="29" t="s">
        <v>8825</v>
      </c>
      <c r="E1606" s="30" t="s">
        <v>8826</v>
      </c>
      <c r="F1606" s="28" t="s">
        <v>8827</v>
      </c>
      <c r="I1606" s="32"/>
      <c r="J1606" s="32"/>
      <c r="K1606" s="33" t="s">
        <v>8824</v>
      </c>
      <c r="L1606" s="33" t="s">
        <v>8828</v>
      </c>
      <c r="N1606" s="33" t="s">
        <v>8824</v>
      </c>
      <c r="O1606" s="35"/>
    </row>
    <row r="1607">
      <c r="A1607" s="38"/>
      <c r="B1607" s="28" t="s">
        <v>8829</v>
      </c>
      <c r="C1607" s="28" t="s">
        <v>8830</v>
      </c>
      <c r="D1607" s="29" t="s">
        <v>8831</v>
      </c>
      <c r="E1607" s="30" t="s">
        <v>8826</v>
      </c>
      <c r="F1607" s="28" t="s">
        <v>8832</v>
      </c>
      <c r="I1607" s="32"/>
      <c r="J1607" s="32"/>
      <c r="K1607" s="33" t="s">
        <v>8829</v>
      </c>
      <c r="L1607" s="33" t="s">
        <v>8833</v>
      </c>
      <c r="N1607" s="33" t="s">
        <v>8829</v>
      </c>
      <c r="O1607" s="35"/>
    </row>
    <row r="1608">
      <c r="A1608" s="38"/>
      <c r="B1608" s="28" t="s">
        <v>8834</v>
      </c>
      <c r="C1608" s="28" t="s">
        <v>8835</v>
      </c>
      <c r="D1608" s="29" t="s">
        <v>8836</v>
      </c>
      <c r="E1608" s="30"/>
      <c r="F1608" s="28" t="s">
        <v>8837</v>
      </c>
      <c r="I1608" s="32"/>
      <c r="J1608" s="32"/>
      <c r="K1608" s="33" t="s">
        <v>8834</v>
      </c>
      <c r="L1608" s="33" t="s">
        <v>8838</v>
      </c>
      <c r="N1608" s="33" t="s">
        <v>8834</v>
      </c>
      <c r="O1608" s="35" t="s">
        <v>8839</v>
      </c>
    </row>
    <row r="1609">
      <c r="A1609" s="38"/>
      <c r="B1609" s="28" t="s">
        <v>8840</v>
      </c>
      <c r="C1609" s="28" t="s">
        <v>8435</v>
      </c>
      <c r="D1609" s="29" t="s">
        <v>8841</v>
      </c>
      <c r="E1609" s="30" t="s">
        <v>8842</v>
      </c>
      <c r="F1609" s="28" t="s">
        <v>8843</v>
      </c>
      <c r="I1609" s="32"/>
      <c r="J1609" s="32"/>
      <c r="K1609" s="33" t="s">
        <v>8840</v>
      </c>
      <c r="L1609" s="33" t="s">
        <v>8844</v>
      </c>
      <c r="N1609" s="33" t="s">
        <v>8840</v>
      </c>
      <c r="O1609" s="35"/>
    </row>
    <row r="1610">
      <c r="A1610" s="38"/>
      <c r="B1610" s="28" t="s">
        <v>8845</v>
      </c>
      <c r="C1610" s="28" t="s">
        <v>8441</v>
      </c>
      <c r="D1610" s="29" t="s">
        <v>8846</v>
      </c>
      <c r="E1610" s="30" t="s">
        <v>8847</v>
      </c>
      <c r="F1610" s="28" t="s">
        <v>8848</v>
      </c>
      <c r="I1610" s="32"/>
      <c r="J1610" s="32"/>
      <c r="K1610" s="33" t="s">
        <v>8845</v>
      </c>
      <c r="L1610" s="33" t="s">
        <v>8849</v>
      </c>
      <c r="N1610" s="33" t="s">
        <v>8845</v>
      </c>
      <c r="O1610" s="35" t="s">
        <v>8440</v>
      </c>
    </row>
    <row r="1611">
      <c r="A1611" s="38"/>
      <c r="B1611" s="28" t="s">
        <v>8850</v>
      </c>
      <c r="C1611" s="28" t="s">
        <v>8452</v>
      </c>
      <c r="D1611" s="29" t="s">
        <v>8851</v>
      </c>
      <c r="E1611" s="30"/>
      <c r="F1611" s="28" t="s">
        <v>8852</v>
      </c>
      <c r="I1611" s="32"/>
      <c r="J1611" s="32"/>
      <c r="K1611" s="33" t="s">
        <v>8850</v>
      </c>
      <c r="L1611" s="33" t="s">
        <v>8853</v>
      </c>
      <c r="N1611" s="33" t="s">
        <v>8850</v>
      </c>
      <c r="O1611" s="35" t="s">
        <v>8451</v>
      </c>
    </row>
    <row r="1612">
      <c r="A1612" s="38"/>
      <c r="B1612" s="28" t="s">
        <v>8854</v>
      </c>
      <c r="C1612" s="28" t="s">
        <v>8459</v>
      </c>
      <c r="D1612" s="29" t="s">
        <v>8855</v>
      </c>
      <c r="E1612" s="30" t="s">
        <v>8856</v>
      </c>
      <c r="F1612" s="28" t="s">
        <v>8857</v>
      </c>
      <c r="I1612" s="32"/>
      <c r="J1612" s="32"/>
      <c r="K1612" s="33" t="s">
        <v>8854</v>
      </c>
      <c r="L1612" s="33" t="s">
        <v>8858</v>
      </c>
      <c r="N1612" s="33" t="s">
        <v>8854</v>
      </c>
      <c r="O1612" s="35" t="s">
        <v>8458</v>
      </c>
    </row>
    <row r="1613">
      <c r="A1613" s="38"/>
      <c r="B1613" s="28" t="s">
        <v>8859</v>
      </c>
      <c r="C1613" s="28" t="s">
        <v>8860</v>
      </c>
      <c r="D1613" s="29" t="s">
        <v>8861</v>
      </c>
      <c r="E1613" s="30" t="s">
        <v>8862</v>
      </c>
      <c r="F1613" s="28" t="s">
        <v>8863</v>
      </c>
      <c r="I1613" s="32"/>
      <c r="J1613" s="32"/>
      <c r="K1613" s="33" t="s">
        <v>8859</v>
      </c>
      <c r="L1613" s="33" t="s">
        <v>8864</v>
      </c>
      <c r="N1613" s="33" t="s">
        <v>8859</v>
      </c>
      <c r="O1613" s="47" t="s">
        <v>8865</v>
      </c>
    </row>
    <row r="1614">
      <c r="A1614" s="38"/>
      <c r="B1614" s="28" t="s">
        <v>8866</v>
      </c>
      <c r="C1614" s="28" t="s">
        <v>8471</v>
      </c>
      <c r="D1614" s="29" t="s">
        <v>8867</v>
      </c>
      <c r="E1614" s="30" t="s">
        <v>8868</v>
      </c>
      <c r="F1614" s="28" t="s">
        <v>8869</v>
      </c>
      <c r="I1614" s="32"/>
      <c r="J1614" s="32"/>
      <c r="K1614" s="33" t="s">
        <v>8866</v>
      </c>
      <c r="L1614" s="33" t="s">
        <v>8870</v>
      </c>
      <c r="N1614" s="33" t="s">
        <v>8866</v>
      </c>
      <c r="O1614" s="35"/>
    </row>
    <row r="1615">
      <c r="A1615" s="38"/>
      <c r="B1615" s="28" t="s">
        <v>8871</v>
      </c>
      <c r="C1615" s="28" t="s">
        <v>8872</v>
      </c>
      <c r="D1615" s="29" t="s">
        <v>8873</v>
      </c>
      <c r="E1615" s="30" t="s">
        <v>8874</v>
      </c>
      <c r="F1615" s="28" t="s">
        <v>8875</v>
      </c>
      <c r="I1615" s="32"/>
      <c r="J1615" s="32"/>
      <c r="K1615" s="33" t="s">
        <v>8871</v>
      </c>
      <c r="L1615" s="33" t="s">
        <v>8876</v>
      </c>
      <c r="N1615" s="33" t="s">
        <v>8871</v>
      </c>
      <c r="O1615" s="35" t="s">
        <v>8877</v>
      </c>
    </row>
    <row r="1616">
      <c r="A1616" s="38"/>
      <c r="B1616" s="28" t="s">
        <v>8878</v>
      </c>
      <c r="C1616" s="28" t="s">
        <v>8480</v>
      </c>
      <c r="D1616" s="29" t="s">
        <v>8879</v>
      </c>
      <c r="E1616" s="30" t="s">
        <v>8880</v>
      </c>
      <c r="F1616" s="28" t="s">
        <v>8881</v>
      </c>
      <c r="I1616" s="32"/>
      <c r="J1616" s="32"/>
      <c r="K1616" s="33" t="s">
        <v>8878</v>
      </c>
      <c r="L1616" s="33" t="s">
        <v>8882</v>
      </c>
      <c r="N1616" s="33" t="s">
        <v>8878</v>
      </c>
      <c r="O1616" s="35"/>
    </row>
    <row r="1617">
      <c r="A1617" s="38"/>
      <c r="B1617" s="28" t="s">
        <v>8883</v>
      </c>
      <c r="C1617" s="28" t="s">
        <v>8485</v>
      </c>
      <c r="D1617" s="29" t="s">
        <v>8884</v>
      </c>
      <c r="E1617" s="30" t="s">
        <v>8885</v>
      </c>
      <c r="F1617" s="28" t="s">
        <v>8886</v>
      </c>
      <c r="I1617" s="32"/>
      <c r="J1617" s="32"/>
      <c r="K1617" s="33" t="s">
        <v>8883</v>
      </c>
      <c r="L1617" s="33" t="s">
        <v>8887</v>
      </c>
      <c r="N1617" s="33" t="s">
        <v>8883</v>
      </c>
      <c r="O1617" s="35" t="s">
        <v>8484</v>
      </c>
    </row>
    <row r="1618">
      <c r="A1618" s="38"/>
      <c r="B1618" s="28" t="s">
        <v>8888</v>
      </c>
      <c r="C1618" s="28" t="s">
        <v>8491</v>
      </c>
      <c r="D1618" s="29" t="s">
        <v>8889</v>
      </c>
      <c r="E1618" s="30" t="s">
        <v>8890</v>
      </c>
      <c r="F1618" s="28" t="s">
        <v>8891</v>
      </c>
      <c r="I1618" s="32"/>
      <c r="J1618" s="32"/>
      <c r="K1618" s="33" t="s">
        <v>8888</v>
      </c>
      <c r="L1618" s="33" t="s">
        <v>8892</v>
      </c>
      <c r="N1618" s="33" t="s">
        <v>8888</v>
      </c>
      <c r="O1618" s="35" t="s">
        <v>8490</v>
      </c>
    </row>
    <row r="1619">
      <c r="A1619" s="38"/>
      <c r="B1619" s="28" t="s">
        <v>8893</v>
      </c>
      <c r="C1619" s="28" t="s">
        <v>8496</v>
      </c>
      <c r="D1619" s="29" t="s">
        <v>8894</v>
      </c>
      <c r="E1619" s="54" t="s">
        <v>8895</v>
      </c>
      <c r="F1619" s="28" t="s">
        <v>8896</v>
      </c>
      <c r="I1619" s="32"/>
      <c r="J1619" s="32"/>
      <c r="K1619" s="33" t="s">
        <v>8893</v>
      </c>
      <c r="L1619" s="33" t="s">
        <v>8897</v>
      </c>
      <c r="N1619" s="33" t="s">
        <v>8893</v>
      </c>
      <c r="O1619" s="35" t="s">
        <v>8495</v>
      </c>
    </row>
    <row r="1620">
      <c r="A1620" s="38"/>
      <c r="B1620" s="28" t="s">
        <v>8898</v>
      </c>
      <c r="C1620" s="28" t="s">
        <v>8502</v>
      </c>
      <c r="D1620" s="29" t="s">
        <v>8899</v>
      </c>
      <c r="E1620" s="30"/>
      <c r="F1620" s="28" t="s">
        <v>8900</v>
      </c>
      <c r="I1620" s="32"/>
      <c r="J1620" s="32"/>
      <c r="K1620" s="33" t="s">
        <v>8898</v>
      </c>
      <c r="L1620" s="33" t="s">
        <v>8901</v>
      </c>
      <c r="N1620" s="33" t="s">
        <v>8898</v>
      </c>
      <c r="O1620" s="35" t="s">
        <v>8501</v>
      </c>
    </row>
    <row r="1621">
      <c r="A1621" s="38"/>
      <c r="B1621" s="28" t="s">
        <v>8902</v>
      </c>
      <c r="C1621" s="28" t="s">
        <v>8903</v>
      </c>
      <c r="D1621" s="29" t="s">
        <v>8904</v>
      </c>
      <c r="E1621" s="30"/>
      <c r="F1621" s="28" t="s">
        <v>8905</v>
      </c>
      <c r="I1621" s="32"/>
      <c r="J1621" s="32"/>
      <c r="K1621" s="33" t="s">
        <v>8902</v>
      </c>
      <c r="L1621" s="33" t="s">
        <v>8906</v>
      </c>
      <c r="N1621" s="33" t="s">
        <v>8902</v>
      </c>
      <c r="O1621" s="35" t="s">
        <v>8907</v>
      </c>
    </row>
    <row r="1622">
      <c r="A1622" s="38"/>
      <c r="B1622" s="28" t="s">
        <v>8908</v>
      </c>
      <c r="C1622" s="28" t="s">
        <v>8909</v>
      </c>
      <c r="D1622" s="29" t="s">
        <v>8910</v>
      </c>
      <c r="E1622" s="30"/>
      <c r="F1622" s="28" t="s">
        <v>8911</v>
      </c>
      <c r="I1622" s="32"/>
      <c r="J1622" s="32"/>
      <c r="K1622" s="33" t="s">
        <v>8908</v>
      </c>
      <c r="L1622" s="33" t="s">
        <v>8912</v>
      </c>
      <c r="N1622" s="33" t="s">
        <v>8908</v>
      </c>
      <c r="O1622" s="35"/>
    </row>
    <row r="1623">
      <c r="A1623" s="38"/>
      <c r="B1623" s="28" t="s">
        <v>8913</v>
      </c>
      <c r="C1623" s="28" t="s">
        <v>8516</v>
      </c>
      <c r="D1623" s="29" t="s">
        <v>8914</v>
      </c>
      <c r="E1623" s="30" t="s">
        <v>8915</v>
      </c>
      <c r="F1623" s="28" t="s">
        <v>8916</v>
      </c>
      <c r="I1623" s="32"/>
      <c r="J1623" s="32"/>
      <c r="K1623" s="33" t="s">
        <v>8913</v>
      </c>
      <c r="L1623" s="33" t="s">
        <v>8917</v>
      </c>
      <c r="N1623" s="33" t="s">
        <v>8913</v>
      </c>
      <c r="O1623" s="35"/>
    </row>
    <row r="1624">
      <c r="A1624" s="38"/>
      <c r="B1624" s="28" t="s">
        <v>8918</v>
      </c>
      <c r="C1624" s="28" t="s">
        <v>8521</v>
      </c>
      <c r="D1624" s="29" t="s">
        <v>8919</v>
      </c>
      <c r="E1624" s="30" t="s">
        <v>8920</v>
      </c>
      <c r="F1624" s="28" t="s">
        <v>8921</v>
      </c>
      <c r="I1624" s="32"/>
      <c r="J1624" s="32"/>
      <c r="K1624" s="33" t="s">
        <v>8918</v>
      </c>
      <c r="L1624" s="33" t="s">
        <v>8922</v>
      </c>
      <c r="N1624" s="33" t="s">
        <v>8918</v>
      </c>
      <c r="O1624" s="35" t="s">
        <v>8520</v>
      </c>
    </row>
    <row r="1625">
      <c r="A1625" s="38"/>
      <c r="B1625" s="28" t="s">
        <v>8923</v>
      </c>
      <c r="C1625" s="28" t="s">
        <v>8527</v>
      </c>
      <c r="D1625" s="29" t="s">
        <v>8924</v>
      </c>
      <c r="E1625" s="54" t="s">
        <v>8925</v>
      </c>
      <c r="F1625" s="28" t="s">
        <v>8926</v>
      </c>
      <c r="I1625" s="32"/>
      <c r="J1625" s="32"/>
      <c r="K1625" s="33" t="s">
        <v>8923</v>
      </c>
      <c r="L1625" s="33" t="s">
        <v>8927</v>
      </c>
      <c r="N1625" s="33" t="s">
        <v>8923</v>
      </c>
      <c r="O1625" s="35" t="s">
        <v>8526</v>
      </c>
    </row>
    <row r="1626">
      <c r="A1626" s="38"/>
      <c r="B1626" s="28" t="s">
        <v>8928</v>
      </c>
      <c r="C1626" s="28" t="s">
        <v>8929</v>
      </c>
      <c r="D1626" s="29" t="s">
        <v>8930</v>
      </c>
      <c r="E1626" s="30" t="s">
        <v>8931</v>
      </c>
      <c r="F1626" s="28" t="s">
        <v>8932</v>
      </c>
      <c r="I1626" s="32"/>
      <c r="J1626" s="32"/>
      <c r="K1626" s="33" t="s">
        <v>8928</v>
      </c>
      <c r="L1626" s="33" t="s">
        <v>8933</v>
      </c>
      <c r="N1626" s="33" t="s">
        <v>8928</v>
      </c>
      <c r="O1626" s="35"/>
    </row>
    <row r="1627">
      <c r="A1627" s="38"/>
      <c r="B1627" s="28" t="s">
        <v>8934</v>
      </c>
      <c r="C1627" s="28" t="s">
        <v>8533</v>
      </c>
      <c r="D1627" s="29" t="s">
        <v>8935</v>
      </c>
      <c r="E1627" s="30"/>
      <c r="F1627" s="28" t="s">
        <v>8936</v>
      </c>
      <c r="I1627" s="32"/>
      <c r="J1627" s="32"/>
      <c r="K1627" s="33" t="s">
        <v>8934</v>
      </c>
      <c r="L1627" s="33" t="s">
        <v>8937</v>
      </c>
      <c r="N1627" s="33" t="s">
        <v>8934</v>
      </c>
      <c r="O1627" s="35"/>
    </row>
    <row r="1628">
      <c r="A1628" s="38"/>
      <c r="B1628" s="28" t="s">
        <v>8938</v>
      </c>
      <c r="C1628" s="28" t="s">
        <v>8539</v>
      </c>
      <c r="D1628" s="29" t="s">
        <v>8939</v>
      </c>
      <c r="E1628" s="54" t="s">
        <v>1248</v>
      </c>
      <c r="F1628" s="28" t="s">
        <v>1244</v>
      </c>
      <c r="I1628" s="32"/>
      <c r="J1628" s="32"/>
      <c r="K1628" s="33" t="s">
        <v>8938</v>
      </c>
      <c r="L1628" s="33" t="s">
        <v>8940</v>
      </c>
      <c r="N1628" s="33" t="s">
        <v>8938</v>
      </c>
      <c r="O1628" s="35" t="s">
        <v>8538</v>
      </c>
    </row>
    <row r="1629">
      <c r="A1629" s="38"/>
      <c r="B1629" s="28" t="s">
        <v>8941</v>
      </c>
      <c r="C1629" s="28" t="s">
        <v>8543</v>
      </c>
      <c r="D1629" s="29" t="s">
        <v>8942</v>
      </c>
      <c r="E1629" s="54" t="s">
        <v>8943</v>
      </c>
      <c r="F1629" s="28" t="s">
        <v>8944</v>
      </c>
      <c r="I1629" s="32"/>
      <c r="J1629" s="32"/>
      <c r="K1629" s="33" t="s">
        <v>8941</v>
      </c>
      <c r="L1629" s="33" t="s">
        <v>8945</v>
      </c>
      <c r="N1629" s="33" t="s">
        <v>8941</v>
      </c>
      <c r="O1629" s="35"/>
    </row>
    <row r="1630">
      <c r="A1630" s="38"/>
      <c r="B1630" s="28" t="s">
        <v>8946</v>
      </c>
      <c r="C1630" s="28" t="s">
        <v>8548</v>
      </c>
      <c r="D1630" s="29" t="s">
        <v>8947</v>
      </c>
      <c r="E1630" s="30" t="s">
        <v>8948</v>
      </c>
      <c r="F1630" s="28" t="s">
        <v>8949</v>
      </c>
      <c r="I1630" s="32"/>
      <c r="J1630" s="32"/>
      <c r="K1630" s="33" t="s">
        <v>8946</v>
      </c>
      <c r="L1630" s="33" t="s">
        <v>8950</v>
      </c>
      <c r="N1630" s="33" t="s">
        <v>8946</v>
      </c>
      <c r="O1630" s="35" t="s">
        <v>8547</v>
      </c>
    </row>
    <row r="1631">
      <c r="A1631" s="38"/>
      <c r="B1631" s="28" t="s">
        <v>8951</v>
      </c>
      <c r="C1631" s="28" t="s">
        <v>8553</v>
      </c>
      <c r="D1631" s="29" t="s">
        <v>8952</v>
      </c>
      <c r="E1631" s="30" t="s">
        <v>8953</v>
      </c>
      <c r="F1631" s="28" t="s">
        <v>8954</v>
      </c>
      <c r="I1631" s="32"/>
      <c r="J1631" s="32"/>
      <c r="K1631" s="33" t="s">
        <v>8951</v>
      </c>
      <c r="L1631" s="33" t="s">
        <v>8955</v>
      </c>
      <c r="N1631" s="33" t="s">
        <v>8951</v>
      </c>
      <c r="O1631" s="35" t="s">
        <v>8552</v>
      </c>
    </row>
    <row r="1632">
      <c r="A1632" s="38"/>
      <c r="B1632" s="28" t="s">
        <v>8956</v>
      </c>
      <c r="C1632" s="28" t="s">
        <v>8558</v>
      </c>
      <c r="D1632" s="29" t="s">
        <v>8957</v>
      </c>
      <c r="E1632" s="30" t="s">
        <v>8953</v>
      </c>
      <c r="F1632" s="28" t="s">
        <v>8958</v>
      </c>
      <c r="I1632" s="32"/>
      <c r="J1632" s="32"/>
      <c r="K1632" s="33" t="s">
        <v>8956</v>
      </c>
      <c r="L1632" s="33" t="s">
        <v>8959</v>
      </c>
      <c r="N1632" s="33" t="s">
        <v>8956</v>
      </c>
      <c r="O1632" s="47" t="s">
        <v>8960</v>
      </c>
    </row>
    <row r="1633">
      <c r="A1633" s="38"/>
      <c r="B1633" s="28" t="s">
        <v>8961</v>
      </c>
      <c r="C1633" s="28" t="s">
        <v>8562</v>
      </c>
      <c r="D1633" s="29" t="s">
        <v>8962</v>
      </c>
      <c r="E1633" s="30" t="s">
        <v>8963</v>
      </c>
      <c r="F1633" s="28" t="s">
        <v>8964</v>
      </c>
      <c r="I1633" s="32"/>
      <c r="J1633" s="32"/>
      <c r="K1633" s="33" t="s">
        <v>8961</v>
      </c>
      <c r="L1633" s="33" t="s">
        <v>8965</v>
      </c>
      <c r="N1633" s="33" t="s">
        <v>8961</v>
      </c>
      <c r="O1633" s="35"/>
    </row>
    <row r="1634">
      <c r="A1634" s="38"/>
      <c r="B1634" s="28" t="s">
        <v>8966</v>
      </c>
      <c r="C1634" s="28" t="s">
        <v>8967</v>
      </c>
      <c r="D1634" s="29" t="s">
        <v>8968</v>
      </c>
      <c r="E1634" s="30"/>
      <c r="F1634" s="28" t="s">
        <v>8969</v>
      </c>
      <c r="I1634" s="32"/>
      <c r="J1634" s="32"/>
      <c r="K1634" s="33" t="s">
        <v>8966</v>
      </c>
      <c r="L1634" s="33" t="s">
        <v>8970</v>
      </c>
      <c r="N1634" s="33" t="s">
        <v>8966</v>
      </c>
      <c r="O1634" s="35"/>
    </row>
    <row r="1635">
      <c r="A1635" s="38"/>
      <c r="B1635" s="28" t="s">
        <v>8971</v>
      </c>
      <c r="C1635" s="28" t="s">
        <v>8571</v>
      </c>
      <c r="D1635" s="29" t="s">
        <v>8972</v>
      </c>
      <c r="E1635" s="30" t="s">
        <v>8973</v>
      </c>
      <c r="F1635" s="28" t="s">
        <v>8974</v>
      </c>
      <c r="I1635" s="32"/>
      <c r="J1635" s="32"/>
      <c r="K1635" s="33" t="s">
        <v>8971</v>
      </c>
      <c r="L1635" s="33" t="s">
        <v>8975</v>
      </c>
      <c r="N1635" s="33" t="s">
        <v>8971</v>
      </c>
      <c r="O1635" s="35" t="s">
        <v>8570</v>
      </c>
    </row>
    <row r="1636">
      <c r="A1636" s="38"/>
      <c r="B1636" s="28" t="s">
        <v>8976</v>
      </c>
      <c r="C1636" s="28" t="s">
        <v>8576</v>
      </c>
      <c r="D1636" s="29" t="s">
        <v>8977</v>
      </c>
      <c r="E1636" s="30"/>
      <c r="F1636" s="28" t="s">
        <v>8978</v>
      </c>
      <c r="I1636" s="32"/>
      <c r="J1636" s="32"/>
      <c r="K1636" s="33" t="s">
        <v>8976</v>
      </c>
      <c r="L1636" s="33" t="s">
        <v>8979</v>
      </c>
      <c r="N1636" s="33" t="s">
        <v>8976</v>
      </c>
      <c r="O1636" s="35" t="s">
        <v>8575</v>
      </c>
    </row>
    <row r="1637">
      <c r="A1637" s="38"/>
      <c r="B1637" s="28" t="s">
        <v>8980</v>
      </c>
      <c r="C1637" s="28" t="s">
        <v>8583</v>
      </c>
      <c r="D1637" s="29" t="s">
        <v>8981</v>
      </c>
      <c r="E1637" s="30" t="s">
        <v>8982</v>
      </c>
      <c r="F1637" s="28" t="s">
        <v>8983</v>
      </c>
      <c r="I1637" s="32"/>
      <c r="J1637" s="32"/>
      <c r="K1637" s="33" t="s">
        <v>8980</v>
      </c>
      <c r="L1637" s="33" t="s">
        <v>8984</v>
      </c>
      <c r="N1637" s="33" t="s">
        <v>8980</v>
      </c>
      <c r="O1637" s="35" t="s">
        <v>8582</v>
      </c>
    </row>
    <row r="1638">
      <c r="A1638" s="38"/>
      <c r="B1638" s="28" t="s">
        <v>8985</v>
      </c>
      <c r="C1638" s="28" t="s">
        <v>8589</v>
      </c>
      <c r="D1638" s="29" t="s">
        <v>8986</v>
      </c>
      <c r="E1638" s="30" t="s">
        <v>8987</v>
      </c>
      <c r="F1638" s="28" t="s">
        <v>8988</v>
      </c>
      <c r="I1638" s="32"/>
      <c r="J1638" s="32"/>
      <c r="K1638" s="33" t="s">
        <v>8985</v>
      </c>
      <c r="L1638" s="33" t="s">
        <v>8989</v>
      </c>
      <c r="N1638" s="33" t="s">
        <v>8985</v>
      </c>
      <c r="O1638" s="35" t="s">
        <v>8588</v>
      </c>
    </row>
    <row r="1639">
      <c r="A1639" s="38"/>
      <c r="B1639" s="28" t="s">
        <v>8990</v>
      </c>
      <c r="C1639" s="28" t="s">
        <v>8594</v>
      </c>
      <c r="D1639" s="29" t="s">
        <v>8991</v>
      </c>
      <c r="E1639" s="30" t="s">
        <v>8992</v>
      </c>
      <c r="F1639" s="28" t="s">
        <v>8993</v>
      </c>
      <c r="I1639" s="32"/>
      <c r="J1639" s="32"/>
      <c r="K1639" s="33" t="s">
        <v>8990</v>
      </c>
      <c r="L1639" s="33" t="s">
        <v>8994</v>
      </c>
      <c r="N1639" s="33" t="s">
        <v>8990</v>
      </c>
      <c r="O1639" s="35" t="s">
        <v>8593</v>
      </c>
    </row>
    <row r="1640">
      <c r="A1640" s="38"/>
      <c r="B1640" s="28" t="s">
        <v>8995</v>
      </c>
      <c r="C1640" s="28" t="s">
        <v>8611</v>
      </c>
      <c r="D1640" s="29" t="s">
        <v>8996</v>
      </c>
      <c r="E1640" s="30"/>
      <c r="F1640" s="28" t="s">
        <v>8997</v>
      </c>
      <c r="I1640" s="32"/>
      <c r="J1640" s="32"/>
      <c r="K1640" s="33" t="s">
        <v>8995</v>
      </c>
      <c r="L1640" s="33" t="s">
        <v>8998</v>
      </c>
      <c r="N1640" s="33" t="s">
        <v>8995</v>
      </c>
      <c r="O1640" s="35" t="s">
        <v>8610</v>
      </c>
    </row>
    <row r="1641">
      <c r="A1641" s="38"/>
      <c r="B1641" s="28" t="s">
        <v>8999</v>
      </c>
      <c r="C1641" s="28" t="s">
        <v>8616</v>
      </c>
      <c r="D1641" s="29" t="s">
        <v>9000</v>
      </c>
      <c r="E1641" s="30" t="s">
        <v>9001</v>
      </c>
      <c r="F1641" s="28" t="s">
        <v>9002</v>
      </c>
      <c r="I1641" s="32"/>
      <c r="J1641" s="32"/>
      <c r="K1641" s="33" t="s">
        <v>8999</v>
      </c>
      <c r="L1641" s="33" t="s">
        <v>9003</v>
      </c>
      <c r="N1641" s="33" t="s">
        <v>8999</v>
      </c>
      <c r="O1641" s="35"/>
    </row>
    <row r="1642">
      <c r="A1642" s="38"/>
      <c r="B1642" s="28" t="s">
        <v>9004</v>
      </c>
      <c r="C1642" s="28" t="s">
        <v>8621</v>
      </c>
      <c r="D1642" s="29" t="s">
        <v>9005</v>
      </c>
      <c r="E1642" s="54" t="s">
        <v>9006</v>
      </c>
      <c r="F1642" s="28" t="s">
        <v>9007</v>
      </c>
      <c r="I1642" s="32"/>
      <c r="J1642" s="32"/>
      <c r="K1642" s="33" t="s">
        <v>9004</v>
      </c>
      <c r="L1642" s="33" t="s">
        <v>9008</v>
      </c>
      <c r="N1642" s="33" t="s">
        <v>9004</v>
      </c>
      <c r="O1642" s="35" t="s">
        <v>8620</v>
      </c>
    </row>
    <row r="1643">
      <c r="A1643" s="38"/>
      <c r="B1643" s="28" t="s">
        <v>9009</v>
      </c>
      <c r="C1643" s="28" t="s">
        <v>9010</v>
      </c>
      <c r="D1643" s="29" t="s">
        <v>9011</v>
      </c>
      <c r="E1643" s="54" t="s">
        <v>9012</v>
      </c>
      <c r="F1643" s="28" t="s">
        <v>9013</v>
      </c>
      <c r="I1643" s="32"/>
      <c r="J1643" s="32"/>
      <c r="K1643" s="33" t="s">
        <v>9009</v>
      </c>
      <c r="L1643" s="33" t="s">
        <v>9014</v>
      </c>
      <c r="N1643" s="33" t="s">
        <v>9009</v>
      </c>
      <c r="O1643" s="47" t="s">
        <v>9015</v>
      </c>
    </row>
    <row r="1644">
      <c r="A1644" s="38"/>
      <c r="B1644" s="28" t="s">
        <v>9016</v>
      </c>
      <c r="C1644" s="28" t="s">
        <v>9017</v>
      </c>
      <c r="D1644" s="29" t="s">
        <v>9018</v>
      </c>
      <c r="E1644" s="54" t="s">
        <v>9019</v>
      </c>
      <c r="F1644" s="28" t="s">
        <v>9020</v>
      </c>
      <c r="I1644" s="32"/>
      <c r="J1644" s="32"/>
      <c r="K1644" s="33" t="s">
        <v>9016</v>
      </c>
      <c r="L1644" s="33" t="s">
        <v>9021</v>
      </c>
      <c r="N1644" s="33" t="s">
        <v>9016</v>
      </c>
      <c r="O1644" s="35"/>
    </row>
    <row r="1645">
      <c r="A1645" s="38"/>
      <c r="B1645" s="28" t="s">
        <v>9022</v>
      </c>
      <c r="C1645" s="28" t="s">
        <v>8626</v>
      </c>
      <c r="D1645" s="29" t="s">
        <v>9023</v>
      </c>
      <c r="E1645" s="30" t="s">
        <v>9024</v>
      </c>
      <c r="F1645" s="28" t="s">
        <v>9025</v>
      </c>
      <c r="I1645" s="32"/>
      <c r="J1645" s="32"/>
      <c r="K1645" s="33" t="s">
        <v>9022</v>
      </c>
      <c r="L1645" s="33" t="s">
        <v>9026</v>
      </c>
      <c r="N1645" s="33" t="s">
        <v>9022</v>
      </c>
      <c r="O1645" s="35" t="s">
        <v>8625</v>
      </c>
    </row>
    <row r="1646">
      <c r="A1646" s="38"/>
      <c r="B1646" s="28" t="s">
        <v>9027</v>
      </c>
      <c r="C1646" s="28" t="s">
        <v>8630</v>
      </c>
      <c r="D1646" s="29" t="s">
        <v>9028</v>
      </c>
      <c r="E1646" s="30"/>
      <c r="F1646" s="28" t="s">
        <v>9029</v>
      </c>
      <c r="I1646" s="32"/>
      <c r="J1646" s="32"/>
      <c r="K1646" s="33" t="s">
        <v>9027</v>
      </c>
      <c r="L1646" s="33" t="s">
        <v>9030</v>
      </c>
      <c r="N1646" s="33" t="s">
        <v>9027</v>
      </c>
      <c r="O1646" s="35"/>
    </row>
    <row r="1647">
      <c r="A1647" s="38"/>
      <c r="B1647" s="28" t="s">
        <v>9031</v>
      </c>
      <c r="C1647" s="28" t="s">
        <v>8635</v>
      </c>
      <c r="D1647" s="29" t="s">
        <v>9032</v>
      </c>
      <c r="E1647" s="30"/>
      <c r="F1647" s="28" t="s">
        <v>9033</v>
      </c>
      <c r="I1647" s="32"/>
      <c r="J1647" s="32"/>
      <c r="K1647" s="33" t="s">
        <v>9031</v>
      </c>
      <c r="L1647" s="33" t="s">
        <v>9034</v>
      </c>
      <c r="N1647" s="33" t="s">
        <v>9031</v>
      </c>
      <c r="O1647" s="35" t="s">
        <v>8634</v>
      </c>
    </row>
    <row r="1648">
      <c r="A1648" s="38"/>
      <c r="B1648" s="28" t="s">
        <v>9035</v>
      </c>
      <c r="C1648" s="28" t="s">
        <v>9036</v>
      </c>
      <c r="D1648" s="29" t="s">
        <v>9037</v>
      </c>
      <c r="E1648" s="30"/>
      <c r="F1648" s="28" t="s">
        <v>9038</v>
      </c>
      <c r="I1648" s="32"/>
      <c r="J1648" s="32"/>
      <c r="K1648" s="33" t="s">
        <v>9035</v>
      </c>
      <c r="L1648" s="33" t="s">
        <v>9039</v>
      </c>
      <c r="N1648" s="33" t="s">
        <v>9035</v>
      </c>
      <c r="O1648" s="35" t="s">
        <v>9040</v>
      </c>
    </row>
    <row r="1649">
      <c r="A1649" s="38"/>
      <c r="B1649" s="28" t="s">
        <v>9041</v>
      </c>
      <c r="C1649" s="28" t="s">
        <v>8639</v>
      </c>
      <c r="D1649" s="29" t="s">
        <v>9042</v>
      </c>
      <c r="E1649" s="30" t="s">
        <v>9043</v>
      </c>
      <c r="F1649" s="28" t="s">
        <v>9044</v>
      </c>
      <c r="I1649" s="32"/>
      <c r="J1649" s="32"/>
      <c r="K1649" s="33" t="s">
        <v>9041</v>
      </c>
      <c r="L1649" s="33" t="s">
        <v>9045</v>
      </c>
      <c r="N1649" s="33" t="s">
        <v>9041</v>
      </c>
      <c r="O1649" s="35"/>
    </row>
    <row r="1650">
      <c r="A1650" s="38"/>
      <c r="B1650" s="28" t="s">
        <v>9046</v>
      </c>
      <c r="C1650" s="28" t="s">
        <v>8645</v>
      </c>
      <c r="D1650" s="29" t="s">
        <v>9047</v>
      </c>
      <c r="E1650" s="30" t="s">
        <v>9048</v>
      </c>
      <c r="F1650" s="28" t="s">
        <v>9049</v>
      </c>
      <c r="I1650" s="32"/>
      <c r="J1650" s="32"/>
      <c r="K1650" s="33" t="s">
        <v>9046</v>
      </c>
      <c r="L1650" s="33" t="s">
        <v>9050</v>
      </c>
      <c r="N1650" s="33" t="s">
        <v>9046</v>
      </c>
      <c r="O1650" s="35" t="s">
        <v>8644</v>
      </c>
    </row>
    <row r="1651">
      <c r="A1651" s="38"/>
      <c r="B1651" s="28" t="s">
        <v>9051</v>
      </c>
      <c r="C1651" s="28" t="s">
        <v>9052</v>
      </c>
      <c r="D1651" s="29" t="s">
        <v>9053</v>
      </c>
      <c r="E1651" s="30" t="s">
        <v>9054</v>
      </c>
      <c r="F1651" s="28" t="s">
        <v>9055</v>
      </c>
      <c r="I1651" s="32"/>
      <c r="J1651" s="32"/>
      <c r="K1651" s="33" t="s">
        <v>9051</v>
      </c>
      <c r="L1651" s="33" t="s">
        <v>9056</v>
      </c>
      <c r="N1651" s="33" t="s">
        <v>9051</v>
      </c>
      <c r="O1651" s="35" t="s">
        <v>9057</v>
      </c>
    </row>
    <row r="1652">
      <c r="A1652" s="38"/>
      <c r="B1652" s="28" t="s">
        <v>9058</v>
      </c>
      <c r="C1652" s="28" t="s">
        <v>9059</v>
      </c>
      <c r="D1652" s="29" t="s">
        <v>9060</v>
      </c>
      <c r="E1652" s="30"/>
      <c r="F1652" s="28" t="s">
        <v>9061</v>
      </c>
      <c r="I1652" s="32"/>
      <c r="J1652" s="32"/>
      <c r="K1652" s="33" t="s">
        <v>9058</v>
      </c>
      <c r="L1652" s="33" t="s">
        <v>9062</v>
      </c>
      <c r="N1652" s="33" t="s">
        <v>9058</v>
      </c>
      <c r="O1652" s="35" t="s">
        <v>9063</v>
      </c>
    </row>
    <row r="1653">
      <c r="A1653" s="38"/>
      <c r="B1653" s="28" t="s">
        <v>9064</v>
      </c>
      <c r="C1653" s="28" t="s">
        <v>8650</v>
      </c>
      <c r="D1653" s="29" t="s">
        <v>9065</v>
      </c>
      <c r="E1653" s="30" t="s">
        <v>9066</v>
      </c>
      <c r="F1653" s="28" t="s">
        <v>9067</v>
      </c>
      <c r="I1653" s="32"/>
      <c r="J1653" s="32"/>
      <c r="K1653" s="33" t="s">
        <v>9064</v>
      </c>
      <c r="L1653" s="33" t="s">
        <v>9068</v>
      </c>
      <c r="N1653" s="33" t="s">
        <v>9064</v>
      </c>
      <c r="O1653" s="35" t="s">
        <v>8649</v>
      </c>
    </row>
    <row r="1654">
      <c r="A1654" s="38"/>
      <c r="B1654" s="28" t="s">
        <v>9069</v>
      </c>
      <c r="C1654" s="28" t="s">
        <v>8656</v>
      </c>
      <c r="D1654" s="29" t="s">
        <v>9070</v>
      </c>
      <c r="E1654" s="30" t="s">
        <v>9066</v>
      </c>
      <c r="F1654" s="28" t="s">
        <v>9071</v>
      </c>
      <c r="I1654" s="32"/>
      <c r="J1654" s="32"/>
      <c r="K1654" s="33" t="s">
        <v>9069</v>
      </c>
      <c r="L1654" s="33" t="s">
        <v>9072</v>
      </c>
      <c r="N1654" s="33" t="s">
        <v>9069</v>
      </c>
      <c r="O1654" s="35" t="s">
        <v>8655</v>
      </c>
    </row>
    <row r="1655">
      <c r="A1655" s="38"/>
      <c r="B1655" s="28" t="s">
        <v>9073</v>
      </c>
      <c r="C1655" s="28" t="s">
        <v>9074</v>
      </c>
      <c r="D1655" s="29" t="s">
        <v>9075</v>
      </c>
      <c r="E1655" s="30"/>
      <c r="F1655" s="28" t="s">
        <v>9076</v>
      </c>
      <c r="I1655" s="32"/>
      <c r="J1655" s="32"/>
      <c r="K1655" s="33" t="s">
        <v>9073</v>
      </c>
      <c r="L1655" s="33" t="s">
        <v>9077</v>
      </c>
      <c r="N1655" s="33" t="s">
        <v>9073</v>
      </c>
      <c r="O1655" s="35" t="s">
        <v>9078</v>
      </c>
    </row>
    <row r="1656">
      <c r="A1656" s="38"/>
      <c r="B1656" s="28" t="s">
        <v>9079</v>
      </c>
      <c r="C1656" s="28" t="s">
        <v>9080</v>
      </c>
      <c r="D1656" s="29" t="s">
        <v>9081</v>
      </c>
      <c r="E1656" s="30"/>
      <c r="F1656" s="28" t="s">
        <v>9082</v>
      </c>
      <c r="I1656" s="32"/>
      <c r="J1656" s="32"/>
      <c r="K1656" s="33" t="s">
        <v>9079</v>
      </c>
      <c r="L1656" s="33" t="s">
        <v>9083</v>
      </c>
      <c r="N1656" s="33" t="s">
        <v>9079</v>
      </c>
      <c r="O1656" s="35" t="s">
        <v>9084</v>
      </c>
    </row>
    <row r="1657">
      <c r="A1657" s="38"/>
      <c r="B1657" s="28" t="s">
        <v>9085</v>
      </c>
      <c r="C1657" s="28" t="s">
        <v>8663</v>
      </c>
      <c r="D1657" s="29" t="s">
        <v>9086</v>
      </c>
      <c r="E1657" s="30" t="s">
        <v>9087</v>
      </c>
      <c r="F1657" s="28" t="s">
        <v>9088</v>
      </c>
      <c r="I1657" s="32"/>
      <c r="J1657" s="32"/>
      <c r="K1657" s="33" t="s">
        <v>9085</v>
      </c>
      <c r="L1657" s="33" t="s">
        <v>9089</v>
      </c>
      <c r="N1657" s="33" t="s">
        <v>9085</v>
      </c>
      <c r="O1657" s="35" t="s">
        <v>8662</v>
      </c>
    </row>
    <row r="1658">
      <c r="A1658" s="38"/>
      <c r="B1658" s="28" t="s">
        <v>9090</v>
      </c>
      <c r="C1658" s="28" t="s">
        <v>9091</v>
      </c>
      <c r="D1658" s="29" t="s">
        <v>9092</v>
      </c>
      <c r="E1658" s="30" t="s">
        <v>9093</v>
      </c>
      <c r="F1658" s="28" t="s">
        <v>9094</v>
      </c>
      <c r="I1658" s="32"/>
      <c r="J1658" s="32"/>
      <c r="K1658" s="33" t="s">
        <v>9090</v>
      </c>
      <c r="L1658" s="33" t="s">
        <v>9095</v>
      </c>
      <c r="N1658" s="33" t="s">
        <v>9090</v>
      </c>
      <c r="O1658" s="35"/>
    </row>
    <row r="1659">
      <c r="A1659" s="38"/>
      <c r="B1659" s="28" t="s">
        <v>9096</v>
      </c>
      <c r="C1659" s="28" t="s">
        <v>8668</v>
      </c>
      <c r="D1659" s="29" t="s">
        <v>9097</v>
      </c>
      <c r="E1659" s="30" t="s">
        <v>9098</v>
      </c>
      <c r="F1659" s="28" t="s">
        <v>9099</v>
      </c>
      <c r="I1659" s="32"/>
      <c r="J1659" s="32"/>
      <c r="K1659" s="33" t="s">
        <v>9096</v>
      </c>
      <c r="L1659" s="33" t="s">
        <v>9100</v>
      </c>
      <c r="N1659" s="33" t="s">
        <v>9096</v>
      </c>
      <c r="O1659" s="35"/>
    </row>
    <row r="1660">
      <c r="A1660" s="38"/>
      <c r="B1660" s="28" t="s">
        <v>9101</v>
      </c>
      <c r="C1660" s="28" t="s">
        <v>9102</v>
      </c>
      <c r="D1660" s="29" t="s">
        <v>9103</v>
      </c>
      <c r="E1660" s="30" t="s">
        <v>9104</v>
      </c>
      <c r="F1660" s="28" t="s">
        <v>9105</v>
      </c>
      <c r="I1660" s="32"/>
      <c r="J1660" s="32"/>
      <c r="K1660" s="33" t="s">
        <v>9101</v>
      </c>
      <c r="L1660" s="33" t="s">
        <v>9106</v>
      </c>
      <c r="N1660" s="33" t="s">
        <v>9101</v>
      </c>
      <c r="O1660" s="35" t="s">
        <v>9107</v>
      </c>
    </row>
    <row r="1661">
      <c r="A1661" s="38"/>
      <c r="B1661" s="28" t="s">
        <v>9108</v>
      </c>
      <c r="C1661" s="28" t="s">
        <v>8683</v>
      </c>
      <c r="D1661" s="29" t="s">
        <v>9109</v>
      </c>
      <c r="E1661" s="30" t="s">
        <v>9110</v>
      </c>
      <c r="F1661" s="28" t="s">
        <v>9111</v>
      </c>
      <c r="I1661" s="32"/>
      <c r="J1661" s="32"/>
      <c r="K1661" s="33" t="s">
        <v>9108</v>
      </c>
      <c r="L1661" s="33" t="s">
        <v>9112</v>
      </c>
      <c r="N1661" s="33" t="s">
        <v>9108</v>
      </c>
      <c r="O1661" s="35" t="s">
        <v>8682</v>
      </c>
    </row>
    <row r="1662">
      <c r="A1662" s="38"/>
      <c r="B1662" s="28" t="s">
        <v>9113</v>
      </c>
      <c r="C1662" s="28" t="s">
        <v>9114</v>
      </c>
      <c r="D1662" s="29" t="s">
        <v>9115</v>
      </c>
      <c r="E1662" s="30"/>
      <c r="F1662" s="28" t="s">
        <v>9116</v>
      </c>
      <c r="I1662" s="32"/>
      <c r="J1662" s="32"/>
      <c r="K1662" s="33" t="s">
        <v>9113</v>
      </c>
      <c r="L1662" s="33" t="s">
        <v>9117</v>
      </c>
      <c r="N1662" s="33" t="s">
        <v>9113</v>
      </c>
      <c r="O1662" s="35" t="s">
        <v>9118</v>
      </c>
    </row>
    <row r="1663">
      <c r="A1663" s="38"/>
      <c r="B1663" s="28" t="s">
        <v>9119</v>
      </c>
      <c r="C1663" s="28" t="s">
        <v>9120</v>
      </c>
      <c r="D1663" s="29" t="s">
        <v>9121</v>
      </c>
      <c r="E1663" s="30" t="s">
        <v>9122</v>
      </c>
      <c r="F1663" s="28" t="s">
        <v>9123</v>
      </c>
      <c r="I1663" s="32"/>
      <c r="J1663" s="32"/>
      <c r="K1663" s="33" t="s">
        <v>9119</v>
      </c>
      <c r="L1663" s="33" t="s">
        <v>9124</v>
      </c>
      <c r="N1663" s="33" t="s">
        <v>9119</v>
      </c>
      <c r="O1663" s="35" t="s">
        <v>9125</v>
      </c>
    </row>
    <row r="1664">
      <c r="A1664" s="38"/>
      <c r="B1664" s="28" t="s">
        <v>9126</v>
      </c>
      <c r="C1664" s="28" t="s">
        <v>8713</v>
      </c>
      <c r="D1664" s="29" t="s">
        <v>9127</v>
      </c>
      <c r="E1664" s="30" t="s">
        <v>9128</v>
      </c>
      <c r="F1664" s="28" t="s">
        <v>9129</v>
      </c>
      <c r="I1664" s="32"/>
      <c r="J1664" s="32"/>
      <c r="K1664" s="33" t="s">
        <v>9126</v>
      </c>
      <c r="L1664" s="33" t="s">
        <v>9130</v>
      </c>
      <c r="N1664" s="33" t="s">
        <v>9126</v>
      </c>
      <c r="O1664" s="35" t="s">
        <v>8712</v>
      </c>
    </row>
    <row r="1665">
      <c r="A1665" s="38"/>
      <c r="B1665" s="28" t="s">
        <v>9131</v>
      </c>
      <c r="C1665" s="28" t="s">
        <v>8717</v>
      </c>
      <c r="D1665" s="29" t="s">
        <v>9132</v>
      </c>
      <c r="E1665" s="30"/>
      <c r="F1665" s="28" t="s">
        <v>9133</v>
      </c>
      <c r="I1665" s="32"/>
      <c r="J1665" s="32"/>
      <c r="K1665" s="33" t="s">
        <v>9131</v>
      </c>
      <c r="L1665" s="33" t="s">
        <v>9134</v>
      </c>
      <c r="N1665" s="33" t="s">
        <v>9131</v>
      </c>
      <c r="O1665" s="35"/>
    </row>
    <row r="1666">
      <c r="A1666" s="38"/>
      <c r="B1666" s="28" t="s">
        <v>9135</v>
      </c>
      <c r="C1666" s="28" t="s">
        <v>8723</v>
      </c>
      <c r="D1666" s="29" t="s">
        <v>9136</v>
      </c>
      <c r="E1666" s="30" t="s">
        <v>9137</v>
      </c>
      <c r="F1666" s="28" t="s">
        <v>9138</v>
      </c>
      <c r="I1666" s="32"/>
      <c r="J1666" s="32"/>
      <c r="K1666" s="33" t="s">
        <v>9135</v>
      </c>
      <c r="L1666" s="33" t="s">
        <v>9139</v>
      </c>
      <c r="N1666" s="33" t="s">
        <v>9135</v>
      </c>
      <c r="O1666" s="35" t="s">
        <v>8722</v>
      </c>
    </row>
    <row r="1667">
      <c r="A1667" s="38"/>
      <c r="B1667" s="28" t="s">
        <v>9140</v>
      </c>
      <c r="C1667" s="28" t="s">
        <v>8728</v>
      </c>
      <c r="D1667" s="29" t="s">
        <v>9141</v>
      </c>
      <c r="E1667" s="30" t="s">
        <v>9142</v>
      </c>
      <c r="F1667" s="28" t="s">
        <v>9143</v>
      </c>
      <c r="I1667" s="32"/>
      <c r="J1667" s="32"/>
      <c r="K1667" s="33" t="s">
        <v>9140</v>
      </c>
      <c r="L1667" s="33" t="s">
        <v>9144</v>
      </c>
      <c r="N1667" s="33" t="s">
        <v>9140</v>
      </c>
      <c r="O1667" s="35"/>
    </row>
    <row r="1668">
      <c r="A1668" s="38"/>
      <c r="B1668" s="28" t="s">
        <v>9145</v>
      </c>
      <c r="C1668" s="28" t="s">
        <v>9146</v>
      </c>
      <c r="D1668" s="29" t="s">
        <v>9147</v>
      </c>
      <c r="E1668" s="30"/>
      <c r="F1668" s="28" t="s">
        <v>9148</v>
      </c>
      <c r="I1668" s="32"/>
      <c r="J1668" s="32"/>
      <c r="K1668" s="33" t="s">
        <v>9145</v>
      </c>
      <c r="L1668" s="33" t="s">
        <v>9149</v>
      </c>
      <c r="N1668" s="33" t="s">
        <v>9145</v>
      </c>
      <c r="O1668" s="35" t="s">
        <v>9150</v>
      </c>
    </row>
    <row r="1669">
      <c r="A1669" s="38"/>
      <c r="B1669" s="28" t="s">
        <v>9151</v>
      </c>
      <c r="C1669" s="28" t="s">
        <v>8733</v>
      </c>
      <c r="D1669" s="29" t="s">
        <v>9152</v>
      </c>
      <c r="E1669" s="30" t="s">
        <v>9153</v>
      </c>
      <c r="F1669" s="28" t="s">
        <v>9154</v>
      </c>
      <c r="I1669" s="32"/>
      <c r="J1669" s="32"/>
      <c r="K1669" s="33" t="s">
        <v>9151</v>
      </c>
      <c r="L1669" s="33" t="s">
        <v>9155</v>
      </c>
      <c r="N1669" s="33" t="s">
        <v>9151</v>
      </c>
      <c r="O1669" s="35"/>
    </row>
    <row r="1670">
      <c r="A1670" s="38"/>
      <c r="B1670" s="28" t="s">
        <v>9156</v>
      </c>
      <c r="C1670" s="28" t="s">
        <v>9157</v>
      </c>
      <c r="D1670" s="29" t="s">
        <v>9158</v>
      </c>
      <c r="E1670" s="30"/>
      <c r="F1670" s="28" t="s">
        <v>9159</v>
      </c>
      <c r="I1670" s="32"/>
      <c r="J1670" s="32"/>
      <c r="K1670" s="33" t="s">
        <v>9156</v>
      </c>
      <c r="L1670" s="33" t="s">
        <v>9160</v>
      </c>
      <c r="N1670" s="33" t="s">
        <v>9156</v>
      </c>
      <c r="O1670" s="47" t="s">
        <v>9161</v>
      </c>
    </row>
    <row r="1671">
      <c r="A1671" s="38"/>
      <c r="B1671" s="28" t="s">
        <v>9162</v>
      </c>
      <c r="C1671" s="28" t="s">
        <v>8740</v>
      </c>
      <c r="D1671" s="29" t="s">
        <v>9163</v>
      </c>
      <c r="E1671" s="30"/>
      <c r="F1671" s="28" t="s">
        <v>694</v>
      </c>
      <c r="I1671" s="32"/>
      <c r="J1671" s="32"/>
      <c r="K1671" s="33" t="s">
        <v>9162</v>
      </c>
      <c r="L1671" s="33" t="s">
        <v>9164</v>
      </c>
      <c r="N1671" s="33" t="s">
        <v>9162</v>
      </c>
      <c r="O1671" s="35" t="s">
        <v>8739</v>
      </c>
    </row>
    <row r="1672">
      <c r="A1672" s="38"/>
      <c r="B1672" s="28" t="s">
        <v>9165</v>
      </c>
      <c r="C1672" s="28" t="s">
        <v>9166</v>
      </c>
      <c r="D1672" s="29" t="s">
        <v>9167</v>
      </c>
      <c r="E1672" s="30" t="s">
        <v>9168</v>
      </c>
      <c r="F1672" s="28" t="s">
        <v>9169</v>
      </c>
      <c r="I1672" s="32"/>
      <c r="J1672" s="32"/>
      <c r="K1672" s="33" t="s">
        <v>9165</v>
      </c>
      <c r="L1672" s="33" t="s">
        <v>9170</v>
      </c>
      <c r="N1672" s="33" t="s">
        <v>9165</v>
      </c>
      <c r="O1672" s="35"/>
    </row>
    <row r="1673">
      <c r="A1673" s="38"/>
      <c r="B1673" s="28" t="s">
        <v>9171</v>
      </c>
      <c r="C1673" s="28" t="s">
        <v>8745</v>
      </c>
      <c r="D1673" s="29" t="s">
        <v>9172</v>
      </c>
      <c r="E1673" s="30" t="s">
        <v>9173</v>
      </c>
      <c r="F1673" s="28" t="s">
        <v>9174</v>
      </c>
      <c r="I1673" s="32"/>
      <c r="J1673" s="32"/>
      <c r="K1673" s="33" t="s">
        <v>9171</v>
      </c>
      <c r="L1673" s="33" t="s">
        <v>9175</v>
      </c>
      <c r="N1673" s="33" t="s">
        <v>9171</v>
      </c>
      <c r="O1673" s="35" t="s">
        <v>8744</v>
      </c>
    </row>
    <row r="1674">
      <c r="A1674" s="38"/>
      <c r="B1674" s="28" t="s">
        <v>9176</v>
      </c>
      <c r="C1674" s="28" t="s">
        <v>9177</v>
      </c>
      <c r="D1674" s="29" t="s">
        <v>9178</v>
      </c>
      <c r="E1674" s="30" t="s">
        <v>9179</v>
      </c>
      <c r="F1674" s="28" t="s">
        <v>9180</v>
      </c>
      <c r="I1674" s="32"/>
      <c r="J1674" s="32"/>
      <c r="K1674" s="33" t="s">
        <v>9176</v>
      </c>
      <c r="L1674" s="33" t="s">
        <v>9181</v>
      </c>
      <c r="N1674" s="33" t="s">
        <v>9176</v>
      </c>
      <c r="O1674" s="35"/>
    </row>
    <row r="1675">
      <c r="A1675" s="38"/>
      <c r="B1675" s="28" t="s">
        <v>9182</v>
      </c>
      <c r="C1675" s="28" t="s">
        <v>9183</v>
      </c>
      <c r="D1675" s="29" t="s">
        <v>9184</v>
      </c>
      <c r="E1675" s="30"/>
      <c r="F1675" s="28" t="s">
        <v>9185</v>
      </c>
      <c r="I1675" s="32"/>
      <c r="J1675" s="32"/>
      <c r="K1675" s="33" t="s">
        <v>9182</v>
      </c>
      <c r="L1675" s="33" t="s">
        <v>9186</v>
      </c>
      <c r="N1675" s="33" t="s">
        <v>9182</v>
      </c>
      <c r="O1675" s="35"/>
    </row>
    <row r="1676">
      <c r="A1676" s="38"/>
      <c r="B1676" s="28" t="s">
        <v>9187</v>
      </c>
      <c r="C1676" s="28" t="s">
        <v>9188</v>
      </c>
      <c r="D1676" s="29" t="s">
        <v>9189</v>
      </c>
      <c r="E1676" s="30"/>
      <c r="F1676" s="28" t="s">
        <v>9190</v>
      </c>
      <c r="I1676" s="32"/>
      <c r="J1676" s="32"/>
      <c r="K1676" s="33" t="s">
        <v>9187</v>
      </c>
      <c r="L1676" s="33" t="s">
        <v>9191</v>
      </c>
      <c r="N1676" s="33" t="s">
        <v>9187</v>
      </c>
      <c r="O1676" s="35" t="s">
        <v>9192</v>
      </c>
    </row>
    <row r="1677">
      <c r="A1677" s="38"/>
      <c r="B1677" s="28" t="s">
        <v>9193</v>
      </c>
      <c r="C1677" s="28" t="s">
        <v>8751</v>
      </c>
      <c r="D1677" s="29" t="s">
        <v>9194</v>
      </c>
      <c r="E1677" s="30" t="s">
        <v>9195</v>
      </c>
      <c r="F1677" s="28" t="s">
        <v>9196</v>
      </c>
      <c r="I1677" s="32"/>
      <c r="J1677" s="32"/>
      <c r="K1677" s="33" t="s">
        <v>9193</v>
      </c>
      <c r="L1677" s="33" t="s">
        <v>9197</v>
      </c>
      <c r="N1677" s="33" t="s">
        <v>9193</v>
      </c>
      <c r="O1677" s="35" t="s">
        <v>8750</v>
      </c>
    </row>
    <row r="1678">
      <c r="A1678" s="38"/>
      <c r="B1678" s="28" t="s">
        <v>9198</v>
      </c>
      <c r="C1678" s="28" t="s">
        <v>8758</v>
      </c>
      <c r="D1678" s="29" t="s">
        <v>9199</v>
      </c>
      <c r="E1678" s="30" t="s">
        <v>9200</v>
      </c>
      <c r="F1678" s="28" t="s">
        <v>9201</v>
      </c>
      <c r="I1678" s="32"/>
      <c r="J1678" s="32"/>
      <c r="K1678" s="33" t="s">
        <v>9198</v>
      </c>
      <c r="L1678" s="33" t="s">
        <v>9202</v>
      </c>
      <c r="N1678" s="33" t="s">
        <v>9198</v>
      </c>
      <c r="O1678" s="35" t="s">
        <v>8757</v>
      </c>
    </row>
    <row r="1679">
      <c r="A1679" s="38"/>
      <c r="B1679" s="28" t="s">
        <v>9203</v>
      </c>
      <c r="C1679" s="28" t="s">
        <v>9204</v>
      </c>
      <c r="D1679" s="29" t="s">
        <v>9205</v>
      </c>
      <c r="E1679" s="30" t="s">
        <v>9206</v>
      </c>
      <c r="F1679" s="28" t="s">
        <v>9207</v>
      </c>
      <c r="I1679" s="32"/>
      <c r="J1679" s="32"/>
      <c r="K1679" s="33" t="s">
        <v>9203</v>
      </c>
      <c r="L1679" s="33" t="s">
        <v>9208</v>
      </c>
      <c r="N1679" s="33" t="s">
        <v>9203</v>
      </c>
      <c r="O1679" s="35" t="s">
        <v>9209</v>
      </c>
    </row>
    <row r="1680">
      <c r="A1680" s="38"/>
      <c r="B1680" s="28" t="s">
        <v>9210</v>
      </c>
      <c r="C1680" s="28" t="s">
        <v>8765</v>
      </c>
      <c r="D1680" s="29" t="s">
        <v>9211</v>
      </c>
      <c r="E1680" s="30" t="s">
        <v>9212</v>
      </c>
      <c r="F1680" s="28" t="s">
        <v>9213</v>
      </c>
      <c r="I1680" s="32"/>
      <c r="J1680" s="32"/>
      <c r="K1680" s="33" t="s">
        <v>9210</v>
      </c>
      <c r="L1680" s="33" t="s">
        <v>9214</v>
      </c>
      <c r="N1680" s="33" t="s">
        <v>9210</v>
      </c>
      <c r="O1680" s="35" t="s">
        <v>8764</v>
      </c>
    </row>
    <row r="1681">
      <c r="A1681" s="38"/>
      <c r="B1681" s="28" t="s">
        <v>9215</v>
      </c>
      <c r="C1681" s="28" t="s">
        <v>8771</v>
      </c>
      <c r="D1681" s="29" t="s">
        <v>9216</v>
      </c>
      <c r="E1681" s="30" t="s">
        <v>9217</v>
      </c>
      <c r="F1681" s="28" t="s">
        <v>9218</v>
      </c>
      <c r="I1681" s="32"/>
      <c r="J1681" s="32"/>
      <c r="K1681" s="33" t="s">
        <v>9215</v>
      </c>
      <c r="L1681" s="33" t="s">
        <v>9219</v>
      </c>
      <c r="N1681" s="33" t="s">
        <v>9215</v>
      </c>
      <c r="O1681" s="35"/>
    </row>
    <row r="1682">
      <c r="A1682" s="38"/>
      <c r="B1682" s="28" t="s">
        <v>9220</v>
      </c>
      <c r="C1682" s="28" t="s">
        <v>9221</v>
      </c>
      <c r="D1682" s="29" t="s">
        <v>9222</v>
      </c>
      <c r="E1682" s="54" t="s">
        <v>9223</v>
      </c>
      <c r="F1682" s="28" t="s">
        <v>9224</v>
      </c>
      <c r="I1682" s="32"/>
      <c r="J1682" s="32"/>
      <c r="K1682" s="33" t="s">
        <v>9220</v>
      </c>
      <c r="L1682" s="33" t="s">
        <v>9225</v>
      </c>
      <c r="N1682" s="33" t="s">
        <v>9220</v>
      </c>
      <c r="O1682" s="35" t="s">
        <v>9226</v>
      </c>
    </row>
    <row r="1683">
      <c r="A1683" s="38"/>
      <c r="B1683" s="28" t="s">
        <v>9227</v>
      </c>
      <c r="C1683" s="28" t="s">
        <v>9228</v>
      </c>
      <c r="D1683" s="29" t="s">
        <v>9229</v>
      </c>
      <c r="E1683" s="30"/>
      <c r="F1683" s="28" t="s">
        <v>9230</v>
      </c>
      <c r="I1683" s="32"/>
      <c r="J1683" s="32"/>
      <c r="K1683" s="33" t="s">
        <v>9227</v>
      </c>
      <c r="L1683" s="33" t="s">
        <v>9231</v>
      </c>
      <c r="N1683" s="33" t="s">
        <v>9227</v>
      </c>
      <c r="O1683" s="35" t="s">
        <v>9232</v>
      </c>
    </row>
    <row r="1684">
      <c r="A1684" s="38"/>
      <c r="B1684" s="28" t="s">
        <v>9233</v>
      </c>
      <c r="C1684" s="28" t="s">
        <v>9234</v>
      </c>
      <c r="D1684" s="29" t="s">
        <v>9235</v>
      </c>
      <c r="E1684" s="54" t="s">
        <v>9236</v>
      </c>
      <c r="F1684" s="28" t="s">
        <v>9237</v>
      </c>
      <c r="I1684" s="32"/>
      <c r="J1684" s="32"/>
      <c r="K1684" s="33" t="s">
        <v>9233</v>
      </c>
      <c r="L1684" s="33" t="s">
        <v>9238</v>
      </c>
      <c r="N1684" s="33" t="s">
        <v>9233</v>
      </c>
      <c r="O1684" s="35" t="s">
        <v>9239</v>
      </c>
    </row>
    <row r="1685">
      <c r="A1685" s="38"/>
      <c r="B1685" s="28" t="s">
        <v>9240</v>
      </c>
      <c r="C1685" s="28" t="s">
        <v>9241</v>
      </c>
      <c r="D1685" s="29" t="s">
        <v>9242</v>
      </c>
      <c r="E1685" s="30" t="s">
        <v>9243</v>
      </c>
      <c r="F1685" s="28" t="s">
        <v>9244</v>
      </c>
      <c r="I1685" s="32"/>
      <c r="J1685" s="32"/>
      <c r="K1685" s="33" t="s">
        <v>9240</v>
      </c>
      <c r="L1685" s="33" t="s">
        <v>9245</v>
      </c>
      <c r="N1685" s="33" t="s">
        <v>9240</v>
      </c>
      <c r="O1685" s="35" t="s">
        <v>9246</v>
      </c>
    </row>
    <row r="1686">
      <c r="A1686" s="38"/>
      <c r="B1686" s="28" t="s">
        <v>9247</v>
      </c>
      <c r="C1686" s="28" t="s">
        <v>9248</v>
      </c>
      <c r="D1686" s="29" t="s">
        <v>9249</v>
      </c>
      <c r="E1686" s="30" t="s">
        <v>9250</v>
      </c>
      <c r="F1686" s="28" t="s">
        <v>9251</v>
      </c>
      <c r="I1686" s="32"/>
      <c r="J1686" s="32"/>
      <c r="K1686" s="33" t="s">
        <v>9247</v>
      </c>
      <c r="L1686" s="33" t="s">
        <v>9252</v>
      </c>
      <c r="N1686" s="33" t="s">
        <v>9247</v>
      </c>
      <c r="O1686" s="47" t="s">
        <v>9253</v>
      </c>
    </row>
    <row r="1687">
      <c r="A1687" s="38"/>
      <c r="B1687" s="28" t="s">
        <v>9254</v>
      </c>
      <c r="C1687" s="28" t="s">
        <v>8816</v>
      </c>
      <c r="D1687" s="29" t="s">
        <v>9255</v>
      </c>
      <c r="E1687" s="30" t="s">
        <v>9256</v>
      </c>
      <c r="F1687" s="28" t="s">
        <v>9257</v>
      </c>
      <c r="I1687" s="32"/>
      <c r="J1687" s="32"/>
      <c r="K1687" s="33" t="s">
        <v>9254</v>
      </c>
      <c r="L1687" s="33" t="s">
        <v>9258</v>
      </c>
      <c r="N1687" s="33" t="s">
        <v>9254</v>
      </c>
      <c r="O1687" s="35" t="s">
        <v>8815</v>
      </c>
    </row>
    <row r="1688">
      <c r="A1688" s="38"/>
      <c r="B1688" s="28" t="s">
        <v>9259</v>
      </c>
      <c r="C1688" s="28" t="s">
        <v>9260</v>
      </c>
      <c r="D1688" s="29" t="s">
        <v>9261</v>
      </c>
      <c r="E1688" s="30"/>
      <c r="F1688" s="28" t="s">
        <v>9262</v>
      </c>
      <c r="I1688" s="32"/>
      <c r="J1688" s="32"/>
      <c r="K1688" s="33" t="s">
        <v>9259</v>
      </c>
      <c r="L1688" s="33" t="s">
        <v>9263</v>
      </c>
      <c r="N1688" s="33" t="s">
        <v>9259</v>
      </c>
      <c r="O1688" s="47" t="s">
        <v>9264</v>
      </c>
    </row>
    <row r="1689">
      <c r="A1689" s="38"/>
      <c r="B1689" s="28" t="s">
        <v>9265</v>
      </c>
      <c r="C1689" s="28" t="s">
        <v>8822</v>
      </c>
      <c r="D1689" s="29" t="s">
        <v>9266</v>
      </c>
      <c r="E1689" s="30" t="s">
        <v>9267</v>
      </c>
      <c r="F1689" s="28" t="s">
        <v>9268</v>
      </c>
      <c r="I1689" s="32"/>
      <c r="J1689" s="32"/>
      <c r="K1689" s="33" t="s">
        <v>9265</v>
      </c>
      <c r="L1689" s="33" t="s">
        <v>9269</v>
      </c>
      <c r="N1689" s="33" t="s">
        <v>9265</v>
      </c>
      <c r="O1689" s="35" t="s">
        <v>8821</v>
      </c>
    </row>
    <row r="1690">
      <c r="A1690" s="38"/>
      <c r="B1690" s="28" t="s">
        <v>9270</v>
      </c>
      <c r="C1690" s="28" t="s">
        <v>9271</v>
      </c>
      <c r="D1690" s="29" t="s">
        <v>9272</v>
      </c>
      <c r="E1690" s="54" t="s">
        <v>9273</v>
      </c>
      <c r="F1690" s="28" t="s">
        <v>9274</v>
      </c>
      <c r="I1690" s="32"/>
      <c r="J1690" s="32"/>
      <c r="K1690" s="33" t="s">
        <v>9270</v>
      </c>
      <c r="L1690" s="33" t="s">
        <v>9275</v>
      </c>
      <c r="N1690" s="33" t="s">
        <v>9270</v>
      </c>
      <c r="O1690" s="35"/>
    </row>
    <row r="1691">
      <c r="A1691" s="38"/>
      <c r="B1691" s="28" t="s">
        <v>9276</v>
      </c>
      <c r="C1691" s="28" t="s">
        <v>9277</v>
      </c>
      <c r="D1691" s="29" t="s">
        <v>9278</v>
      </c>
      <c r="E1691" s="30"/>
      <c r="F1691" s="28" t="s">
        <v>9279</v>
      </c>
      <c r="I1691" s="32"/>
      <c r="J1691" s="32"/>
      <c r="K1691" s="33" t="s">
        <v>9276</v>
      </c>
      <c r="L1691" s="33" t="s">
        <v>9280</v>
      </c>
      <c r="N1691" s="33" t="s">
        <v>9276</v>
      </c>
      <c r="O1691" s="35" t="s">
        <v>9281</v>
      </c>
    </row>
    <row r="1692">
      <c r="A1692" s="38"/>
      <c r="B1692" s="28" t="s">
        <v>9282</v>
      </c>
      <c r="C1692" s="28" t="s">
        <v>9283</v>
      </c>
      <c r="D1692" s="29" t="s">
        <v>9284</v>
      </c>
      <c r="E1692" s="30" t="s">
        <v>9285</v>
      </c>
      <c r="F1692" s="28" t="s">
        <v>9286</v>
      </c>
      <c r="I1692" s="32"/>
      <c r="J1692" s="32"/>
      <c r="K1692" s="33" t="s">
        <v>9282</v>
      </c>
      <c r="L1692" s="33" t="s">
        <v>9287</v>
      </c>
      <c r="N1692" s="33" t="s">
        <v>9282</v>
      </c>
      <c r="O1692" s="35"/>
    </row>
    <row r="1693">
      <c r="A1693" s="38"/>
      <c r="B1693" s="28" t="s">
        <v>9288</v>
      </c>
      <c r="C1693" s="28" t="s">
        <v>8832</v>
      </c>
      <c r="D1693" s="29" t="s">
        <v>9289</v>
      </c>
      <c r="E1693" s="30" t="s">
        <v>9290</v>
      </c>
      <c r="F1693" s="28" t="s">
        <v>9291</v>
      </c>
      <c r="I1693" s="32"/>
      <c r="J1693" s="32"/>
      <c r="K1693" s="33" t="s">
        <v>9288</v>
      </c>
      <c r="L1693" s="33" t="s">
        <v>9292</v>
      </c>
      <c r="N1693" s="33" t="s">
        <v>9288</v>
      </c>
      <c r="O1693" s="35" t="s">
        <v>8826</v>
      </c>
    </row>
    <row r="1694">
      <c r="A1694" s="38"/>
      <c r="B1694" s="28" t="s">
        <v>9293</v>
      </c>
      <c r="C1694" s="28" t="s">
        <v>9294</v>
      </c>
      <c r="D1694" s="29" t="s">
        <v>9295</v>
      </c>
      <c r="E1694" s="30" t="s">
        <v>9296</v>
      </c>
      <c r="F1694" s="28" t="s">
        <v>9297</v>
      </c>
      <c r="I1694" s="32"/>
      <c r="J1694" s="32"/>
      <c r="K1694" s="33" t="s">
        <v>9293</v>
      </c>
      <c r="L1694" s="33" t="s">
        <v>9298</v>
      </c>
      <c r="N1694" s="33" t="s">
        <v>9293</v>
      </c>
      <c r="O1694" s="35" t="s">
        <v>9299</v>
      </c>
    </row>
    <row r="1695">
      <c r="A1695" s="38"/>
      <c r="B1695" s="28" t="s">
        <v>9300</v>
      </c>
      <c r="C1695" s="28" t="s">
        <v>9301</v>
      </c>
      <c r="D1695" s="29" t="s">
        <v>9302</v>
      </c>
      <c r="E1695" s="30" t="s">
        <v>9303</v>
      </c>
      <c r="F1695" s="28" t="s">
        <v>9304</v>
      </c>
      <c r="I1695" s="32"/>
      <c r="J1695" s="32"/>
      <c r="K1695" s="33" t="s">
        <v>9300</v>
      </c>
      <c r="L1695" s="33" t="s">
        <v>9305</v>
      </c>
      <c r="N1695" s="33" t="s">
        <v>9300</v>
      </c>
      <c r="O1695" s="35" t="s">
        <v>9306</v>
      </c>
    </row>
    <row r="1696">
      <c r="A1696" s="38"/>
      <c r="B1696" s="28" t="s">
        <v>9307</v>
      </c>
      <c r="C1696" s="28" t="s">
        <v>8848</v>
      </c>
      <c r="D1696" s="60" t="s">
        <v>9308</v>
      </c>
      <c r="E1696" s="30"/>
      <c r="F1696" s="28" t="s">
        <v>9309</v>
      </c>
      <c r="I1696" s="32"/>
      <c r="J1696" s="32"/>
      <c r="K1696" s="33" t="s">
        <v>9307</v>
      </c>
      <c r="L1696" s="33" t="s">
        <v>9310</v>
      </c>
      <c r="N1696" s="33" t="s">
        <v>9307</v>
      </c>
      <c r="O1696" s="35" t="s">
        <v>8847</v>
      </c>
    </row>
    <row r="1697">
      <c r="A1697" s="38"/>
      <c r="B1697" s="28" t="s">
        <v>9311</v>
      </c>
      <c r="C1697" s="28" t="s">
        <v>8852</v>
      </c>
      <c r="D1697" s="29" t="s">
        <v>9312</v>
      </c>
      <c r="E1697" s="30" t="s">
        <v>9313</v>
      </c>
      <c r="F1697" s="28" t="s">
        <v>9314</v>
      </c>
      <c r="I1697" s="32"/>
      <c r="J1697" s="32"/>
      <c r="K1697" s="33" t="s">
        <v>9311</v>
      </c>
      <c r="L1697" s="33" t="s">
        <v>9315</v>
      </c>
      <c r="N1697" s="33" t="s">
        <v>9311</v>
      </c>
      <c r="O1697" s="35"/>
    </row>
    <row r="1698">
      <c r="A1698" s="38"/>
      <c r="B1698" s="28" t="s">
        <v>9316</v>
      </c>
      <c r="C1698" s="28" t="s">
        <v>8857</v>
      </c>
      <c r="D1698" s="29" t="s">
        <v>9317</v>
      </c>
      <c r="E1698" s="30" t="s">
        <v>9318</v>
      </c>
      <c r="F1698" s="28" t="s">
        <v>9319</v>
      </c>
      <c r="I1698" s="32"/>
      <c r="J1698" s="32"/>
      <c r="K1698" s="33" t="s">
        <v>9316</v>
      </c>
      <c r="L1698" s="33" t="s">
        <v>9320</v>
      </c>
      <c r="N1698" s="33" t="s">
        <v>9316</v>
      </c>
      <c r="O1698" s="35" t="s">
        <v>8856</v>
      </c>
    </row>
    <row r="1699">
      <c r="A1699" s="38"/>
      <c r="B1699" s="28" t="s">
        <v>9321</v>
      </c>
      <c r="C1699" s="28" t="s">
        <v>8863</v>
      </c>
      <c r="D1699" s="29" t="s">
        <v>9322</v>
      </c>
      <c r="E1699" s="30" t="s">
        <v>9323</v>
      </c>
      <c r="F1699" s="28" t="s">
        <v>9324</v>
      </c>
      <c r="I1699" s="32"/>
      <c r="J1699" s="32"/>
      <c r="K1699" s="33" t="s">
        <v>9321</v>
      </c>
      <c r="L1699" s="33" t="s">
        <v>9325</v>
      </c>
      <c r="N1699" s="33" t="s">
        <v>9321</v>
      </c>
      <c r="O1699" s="35" t="s">
        <v>8862</v>
      </c>
    </row>
    <row r="1700">
      <c r="A1700" s="38"/>
      <c r="B1700" s="28" t="s">
        <v>9326</v>
      </c>
      <c r="C1700" s="28" t="s">
        <v>8869</v>
      </c>
      <c r="D1700" s="29" t="s">
        <v>9327</v>
      </c>
      <c r="E1700" s="30" t="s">
        <v>9328</v>
      </c>
      <c r="F1700" s="28" t="s">
        <v>9329</v>
      </c>
      <c r="I1700" s="32"/>
      <c r="J1700" s="32"/>
      <c r="K1700" s="33" t="s">
        <v>9326</v>
      </c>
      <c r="L1700" s="33" t="s">
        <v>9330</v>
      </c>
      <c r="N1700" s="33" t="s">
        <v>9326</v>
      </c>
      <c r="O1700" s="35" t="s">
        <v>8868</v>
      </c>
    </row>
    <row r="1701">
      <c r="A1701" s="38"/>
      <c r="B1701" s="28" t="s">
        <v>9331</v>
      </c>
      <c r="C1701" s="28" t="s">
        <v>8875</v>
      </c>
      <c r="D1701" s="29" t="s">
        <v>9332</v>
      </c>
      <c r="E1701" s="30" t="s">
        <v>9333</v>
      </c>
      <c r="F1701" s="28" t="s">
        <v>9334</v>
      </c>
      <c r="I1701" s="32"/>
      <c r="J1701" s="32"/>
      <c r="K1701" s="33" t="s">
        <v>9331</v>
      </c>
      <c r="L1701" s="33" t="s">
        <v>9335</v>
      </c>
      <c r="N1701" s="33" t="s">
        <v>9331</v>
      </c>
      <c r="O1701" s="35" t="s">
        <v>8874</v>
      </c>
    </row>
    <row r="1702">
      <c r="A1702" s="38"/>
      <c r="B1702" s="28" t="s">
        <v>9336</v>
      </c>
      <c r="C1702" s="28" t="s">
        <v>9337</v>
      </c>
      <c r="D1702" s="29" t="s">
        <v>9338</v>
      </c>
      <c r="E1702" s="54" t="s">
        <v>9339</v>
      </c>
      <c r="F1702" s="28" t="s">
        <v>9340</v>
      </c>
      <c r="I1702" s="32"/>
      <c r="J1702" s="32"/>
      <c r="K1702" s="33" t="s">
        <v>9336</v>
      </c>
      <c r="L1702" s="33" t="s">
        <v>9341</v>
      </c>
      <c r="N1702" s="33" t="s">
        <v>9336</v>
      </c>
      <c r="O1702" s="35" t="s">
        <v>9342</v>
      </c>
    </row>
    <row r="1703">
      <c r="A1703" s="38"/>
      <c r="B1703" s="28" t="s">
        <v>9343</v>
      </c>
      <c r="C1703" s="28" t="s">
        <v>9344</v>
      </c>
      <c r="D1703" s="29" t="s">
        <v>9345</v>
      </c>
      <c r="E1703" s="30" t="s">
        <v>9346</v>
      </c>
      <c r="F1703" s="28" t="s">
        <v>9347</v>
      </c>
      <c r="I1703" s="32"/>
      <c r="J1703" s="32"/>
      <c r="K1703" s="33" t="s">
        <v>9343</v>
      </c>
      <c r="L1703" s="33" t="s">
        <v>9348</v>
      </c>
      <c r="N1703" s="33" t="s">
        <v>9343</v>
      </c>
      <c r="O1703" s="35" t="s">
        <v>9349</v>
      </c>
    </row>
    <row r="1704">
      <c r="A1704" s="38"/>
      <c r="B1704" s="28" t="s">
        <v>9350</v>
      </c>
      <c r="C1704" s="28" t="s">
        <v>9351</v>
      </c>
      <c r="D1704" s="29" t="s">
        <v>9352</v>
      </c>
      <c r="E1704" s="30"/>
      <c r="F1704" s="28" t="s">
        <v>9353</v>
      </c>
      <c r="I1704" s="32"/>
      <c r="J1704" s="32"/>
      <c r="K1704" s="33" t="s">
        <v>9350</v>
      </c>
      <c r="L1704" s="33" t="s">
        <v>9354</v>
      </c>
      <c r="N1704" s="33" t="s">
        <v>9350</v>
      </c>
      <c r="O1704" s="35" t="s">
        <v>9355</v>
      </c>
    </row>
    <row r="1705">
      <c r="A1705" s="38"/>
      <c r="B1705" s="28" t="s">
        <v>9356</v>
      </c>
      <c r="C1705" s="28" t="s">
        <v>9357</v>
      </c>
      <c r="D1705" s="29" t="s">
        <v>9358</v>
      </c>
      <c r="E1705" s="30" t="s">
        <v>9359</v>
      </c>
      <c r="F1705" s="28" t="s">
        <v>9360</v>
      </c>
      <c r="I1705" s="32"/>
      <c r="J1705" s="32"/>
      <c r="K1705" s="33" t="s">
        <v>9356</v>
      </c>
      <c r="L1705" s="33" t="s">
        <v>9361</v>
      </c>
      <c r="N1705" s="33" t="s">
        <v>9356</v>
      </c>
      <c r="O1705" s="35" t="s">
        <v>9362</v>
      </c>
    </row>
    <row r="1706">
      <c r="A1706" s="38"/>
      <c r="B1706" s="28" t="s">
        <v>9363</v>
      </c>
      <c r="C1706" s="28" t="s">
        <v>8886</v>
      </c>
      <c r="D1706" s="29" t="s">
        <v>9364</v>
      </c>
      <c r="E1706" s="30"/>
      <c r="F1706" s="28" t="s">
        <v>9365</v>
      </c>
      <c r="I1706" s="32"/>
      <c r="J1706" s="32"/>
      <c r="K1706" s="33" t="s">
        <v>9363</v>
      </c>
      <c r="L1706" s="33" t="s">
        <v>9366</v>
      </c>
      <c r="N1706" s="33" t="s">
        <v>9363</v>
      </c>
      <c r="O1706" s="35" t="s">
        <v>8885</v>
      </c>
    </row>
    <row r="1707">
      <c r="A1707" s="38"/>
      <c r="B1707" s="28" t="s">
        <v>9367</v>
      </c>
      <c r="C1707" s="28" t="s">
        <v>9368</v>
      </c>
      <c r="D1707" s="29" t="s">
        <v>9369</v>
      </c>
      <c r="E1707" s="30"/>
      <c r="F1707" s="28" t="s">
        <v>9370</v>
      </c>
      <c r="I1707" s="32"/>
      <c r="J1707" s="32"/>
      <c r="K1707" s="33" t="s">
        <v>9367</v>
      </c>
      <c r="L1707" s="33" t="s">
        <v>9371</v>
      </c>
      <c r="N1707" s="33" t="s">
        <v>9367</v>
      </c>
      <c r="O1707" s="35" t="s">
        <v>9372</v>
      </c>
    </row>
    <row r="1708">
      <c r="A1708" s="38"/>
      <c r="B1708" s="28" t="s">
        <v>9373</v>
      </c>
      <c r="C1708" s="28" t="s">
        <v>9374</v>
      </c>
      <c r="D1708" s="29" t="s">
        <v>9375</v>
      </c>
      <c r="E1708" s="30"/>
      <c r="F1708" s="28" t="s">
        <v>9376</v>
      </c>
      <c r="I1708" s="32"/>
      <c r="J1708" s="32"/>
      <c r="K1708" s="33" t="s">
        <v>9373</v>
      </c>
      <c r="L1708" s="33" t="s">
        <v>9377</v>
      </c>
      <c r="N1708" s="33" t="s">
        <v>9373</v>
      </c>
      <c r="O1708" s="35"/>
    </row>
    <row r="1709">
      <c r="A1709" s="38"/>
      <c r="B1709" s="28" t="s">
        <v>9378</v>
      </c>
      <c r="C1709" s="28" t="s">
        <v>9379</v>
      </c>
      <c r="D1709" s="29" t="s">
        <v>9380</v>
      </c>
      <c r="E1709" s="30"/>
      <c r="F1709" s="28" t="s">
        <v>9381</v>
      </c>
      <c r="I1709" s="32"/>
      <c r="J1709" s="32"/>
      <c r="K1709" s="33" t="s">
        <v>9378</v>
      </c>
      <c r="L1709" s="33" t="s">
        <v>9382</v>
      </c>
      <c r="N1709" s="33" t="s">
        <v>9378</v>
      </c>
      <c r="O1709" s="35" t="s">
        <v>9383</v>
      </c>
    </row>
    <row r="1710">
      <c r="A1710" s="38"/>
      <c r="B1710" s="28" t="s">
        <v>9384</v>
      </c>
      <c r="C1710" s="28" t="s">
        <v>8900</v>
      </c>
      <c r="D1710" s="29" t="s">
        <v>9385</v>
      </c>
      <c r="E1710" s="30"/>
      <c r="F1710" s="28" t="s">
        <v>9386</v>
      </c>
      <c r="I1710" s="32"/>
      <c r="J1710" s="32"/>
      <c r="K1710" s="33" t="s">
        <v>9384</v>
      </c>
      <c r="L1710" s="33" t="s">
        <v>9387</v>
      </c>
      <c r="N1710" s="33" t="s">
        <v>9384</v>
      </c>
      <c r="O1710" s="35"/>
    </row>
    <row r="1711">
      <c r="A1711" s="38"/>
      <c r="B1711" s="28" t="s">
        <v>9388</v>
      </c>
      <c r="C1711" s="28" t="s">
        <v>9389</v>
      </c>
      <c r="D1711" s="29" t="s">
        <v>9390</v>
      </c>
      <c r="E1711" s="30"/>
      <c r="F1711" s="28" t="s">
        <v>9391</v>
      </c>
      <c r="I1711" s="32"/>
      <c r="J1711" s="32"/>
      <c r="K1711" s="33" t="s">
        <v>9388</v>
      </c>
      <c r="L1711" s="33" t="s">
        <v>9392</v>
      </c>
      <c r="N1711" s="33" t="s">
        <v>9388</v>
      </c>
      <c r="O1711" s="35"/>
    </row>
    <row r="1712">
      <c r="A1712" s="38"/>
      <c r="B1712" s="28" t="s">
        <v>9393</v>
      </c>
      <c r="C1712" s="28" t="s">
        <v>8905</v>
      </c>
      <c r="D1712" s="29" t="s">
        <v>9394</v>
      </c>
      <c r="E1712" s="30"/>
      <c r="F1712" s="28" t="s">
        <v>9395</v>
      </c>
      <c r="I1712" s="32"/>
      <c r="J1712" s="32"/>
      <c r="K1712" s="33" t="s">
        <v>9393</v>
      </c>
      <c r="L1712" s="33" t="s">
        <v>9396</v>
      </c>
      <c r="N1712" s="33" t="s">
        <v>9393</v>
      </c>
      <c r="O1712" s="35"/>
    </row>
    <row r="1713">
      <c r="A1713" s="38"/>
      <c r="B1713" s="28" t="s">
        <v>9397</v>
      </c>
      <c r="C1713" s="28" t="s">
        <v>8911</v>
      </c>
      <c r="D1713" s="29" t="s">
        <v>9398</v>
      </c>
      <c r="E1713" s="30"/>
      <c r="F1713" s="28" t="s">
        <v>9399</v>
      </c>
      <c r="I1713" s="32"/>
      <c r="J1713" s="32"/>
      <c r="K1713" s="33" t="s">
        <v>9397</v>
      </c>
      <c r="L1713" s="33" t="s">
        <v>9400</v>
      </c>
      <c r="N1713" s="33" t="s">
        <v>9397</v>
      </c>
      <c r="O1713" s="35"/>
    </row>
    <row r="1714">
      <c r="A1714" s="38"/>
      <c r="B1714" s="28" t="s">
        <v>9401</v>
      </c>
      <c r="C1714" s="28" t="s">
        <v>9402</v>
      </c>
      <c r="D1714" s="29" t="s">
        <v>9403</v>
      </c>
      <c r="E1714" s="30" t="s">
        <v>9404</v>
      </c>
      <c r="F1714" s="28" t="s">
        <v>9405</v>
      </c>
      <c r="I1714" s="32"/>
      <c r="J1714" s="32"/>
      <c r="K1714" s="33" t="s">
        <v>9401</v>
      </c>
      <c r="L1714" s="33" t="s">
        <v>9406</v>
      </c>
      <c r="N1714" s="33" t="s">
        <v>9401</v>
      </c>
      <c r="O1714" s="35"/>
    </row>
    <row r="1715">
      <c r="A1715" s="38"/>
      <c r="B1715" s="28" t="s">
        <v>9407</v>
      </c>
      <c r="C1715" s="28" t="s">
        <v>8921</v>
      </c>
      <c r="D1715" s="29" t="s">
        <v>9408</v>
      </c>
      <c r="E1715" s="30" t="s">
        <v>9409</v>
      </c>
      <c r="F1715" s="28" t="s">
        <v>9410</v>
      </c>
      <c r="I1715" s="32"/>
      <c r="J1715" s="32"/>
      <c r="K1715" s="33" t="s">
        <v>9407</v>
      </c>
      <c r="L1715" s="33" t="s">
        <v>9411</v>
      </c>
      <c r="N1715" s="33" t="s">
        <v>9407</v>
      </c>
      <c r="O1715" s="35" t="s">
        <v>8920</v>
      </c>
    </row>
    <row r="1716">
      <c r="A1716" s="38"/>
      <c r="B1716" s="28" t="s">
        <v>9412</v>
      </c>
      <c r="C1716" s="28" t="s">
        <v>8926</v>
      </c>
      <c r="D1716" s="29" t="s">
        <v>9413</v>
      </c>
      <c r="E1716" s="30" t="s">
        <v>3121</v>
      </c>
      <c r="F1716" s="28" t="s">
        <v>9414</v>
      </c>
      <c r="I1716" s="32"/>
      <c r="J1716" s="32"/>
      <c r="K1716" s="33" t="s">
        <v>9412</v>
      </c>
      <c r="L1716" s="33" t="s">
        <v>9415</v>
      </c>
      <c r="N1716" s="33" t="s">
        <v>9412</v>
      </c>
      <c r="O1716" s="35"/>
    </row>
    <row r="1717">
      <c r="A1717" s="38"/>
      <c r="B1717" s="28" t="s">
        <v>9416</v>
      </c>
      <c r="C1717" s="28" t="s">
        <v>8936</v>
      </c>
      <c r="D1717" s="29" t="s">
        <v>9417</v>
      </c>
      <c r="E1717" s="30" t="s">
        <v>9418</v>
      </c>
      <c r="F1717" s="28" t="s">
        <v>9419</v>
      </c>
      <c r="I1717" s="32"/>
      <c r="J1717" s="32"/>
      <c r="K1717" s="33" t="s">
        <v>9416</v>
      </c>
      <c r="L1717" s="33" t="s">
        <v>9420</v>
      </c>
      <c r="N1717" s="33" t="s">
        <v>9416</v>
      </c>
      <c r="O1717" s="35"/>
    </row>
    <row r="1718">
      <c r="A1718" s="38"/>
      <c r="B1718" s="28" t="s">
        <v>9421</v>
      </c>
      <c r="C1718" s="28" t="s">
        <v>9422</v>
      </c>
      <c r="D1718" s="29" t="s">
        <v>9423</v>
      </c>
      <c r="E1718" s="30" t="s">
        <v>9424</v>
      </c>
      <c r="F1718" s="28" t="s">
        <v>9425</v>
      </c>
      <c r="I1718" s="32"/>
      <c r="J1718" s="32"/>
      <c r="K1718" s="33" t="s">
        <v>9421</v>
      </c>
      <c r="L1718" s="33" t="s">
        <v>9426</v>
      </c>
      <c r="N1718" s="33" t="s">
        <v>9421</v>
      </c>
      <c r="O1718" s="35" t="s">
        <v>9427</v>
      </c>
    </row>
    <row r="1719">
      <c r="A1719" s="38"/>
      <c r="B1719" s="28" t="s">
        <v>9428</v>
      </c>
      <c r="C1719" s="28" t="s">
        <v>8944</v>
      </c>
      <c r="D1719" s="29" t="s">
        <v>9429</v>
      </c>
      <c r="E1719" s="54" t="s">
        <v>9430</v>
      </c>
      <c r="F1719" s="28" t="s">
        <v>9431</v>
      </c>
      <c r="I1719" s="32"/>
      <c r="J1719" s="32"/>
      <c r="K1719" s="33" t="s">
        <v>9428</v>
      </c>
      <c r="L1719" s="33" t="s">
        <v>9432</v>
      </c>
      <c r="N1719" s="33" t="s">
        <v>9428</v>
      </c>
      <c r="O1719" s="47" t="s">
        <v>9433</v>
      </c>
    </row>
    <row r="1720">
      <c r="A1720" s="38"/>
      <c r="B1720" s="28" t="s">
        <v>9434</v>
      </c>
      <c r="C1720" s="28" t="s">
        <v>8949</v>
      </c>
      <c r="D1720" s="29" t="s">
        <v>9435</v>
      </c>
      <c r="E1720" s="30" t="s">
        <v>150</v>
      </c>
      <c r="F1720" s="28" t="s">
        <v>143</v>
      </c>
      <c r="I1720" s="32"/>
      <c r="J1720" s="32"/>
      <c r="K1720" s="33" t="s">
        <v>9434</v>
      </c>
      <c r="L1720" s="33" t="s">
        <v>9436</v>
      </c>
      <c r="N1720" s="33" t="s">
        <v>9434</v>
      </c>
      <c r="O1720" s="35" t="s">
        <v>8948</v>
      </c>
    </row>
    <row r="1721">
      <c r="A1721" s="38"/>
      <c r="B1721" s="28" t="s">
        <v>9437</v>
      </c>
      <c r="C1721" s="28" t="s">
        <v>9438</v>
      </c>
      <c r="D1721" s="29" t="s">
        <v>9439</v>
      </c>
      <c r="E1721" s="30" t="s">
        <v>9440</v>
      </c>
      <c r="F1721" s="28" t="s">
        <v>9441</v>
      </c>
      <c r="I1721" s="32"/>
      <c r="J1721" s="32"/>
      <c r="K1721" s="33" t="s">
        <v>9437</v>
      </c>
      <c r="L1721" s="33" t="s">
        <v>9442</v>
      </c>
      <c r="N1721" s="33" t="s">
        <v>9437</v>
      </c>
      <c r="O1721" s="35"/>
    </row>
    <row r="1722">
      <c r="A1722" s="38"/>
      <c r="B1722" s="28" t="s">
        <v>9443</v>
      </c>
      <c r="C1722" s="28" t="s">
        <v>8954</v>
      </c>
      <c r="D1722" s="29" t="s">
        <v>9444</v>
      </c>
      <c r="E1722" s="54" t="s">
        <v>9445</v>
      </c>
      <c r="F1722" s="28" t="s">
        <v>9446</v>
      </c>
      <c r="I1722" s="32"/>
      <c r="J1722" s="32"/>
      <c r="K1722" s="33" t="s">
        <v>9443</v>
      </c>
      <c r="L1722" s="33" t="s">
        <v>9447</v>
      </c>
      <c r="N1722" s="33" t="s">
        <v>9443</v>
      </c>
      <c r="O1722" s="35" t="s">
        <v>8953</v>
      </c>
    </row>
    <row r="1723">
      <c r="A1723" s="38"/>
      <c r="B1723" s="28" t="s">
        <v>9448</v>
      </c>
      <c r="C1723" s="28" t="s">
        <v>8958</v>
      </c>
      <c r="D1723" s="29" t="s">
        <v>9449</v>
      </c>
      <c r="E1723" s="30" t="s">
        <v>9450</v>
      </c>
      <c r="F1723" s="28" t="s">
        <v>9451</v>
      </c>
      <c r="I1723" s="32"/>
      <c r="J1723" s="32"/>
      <c r="K1723" s="33" t="s">
        <v>9448</v>
      </c>
      <c r="L1723" s="33" t="s">
        <v>9452</v>
      </c>
      <c r="N1723" s="33" t="s">
        <v>9448</v>
      </c>
      <c r="O1723" s="35" t="s">
        <v>8953</v>
      </c>
    </row>
    <row r="1724">
      <c r="A1724" s="38"/>
      <c r="B1724" s="28" t="s">
        <v>9453</v>
      </c>
      <c r="C1724" s="28" t="s">
        <v>9454</v>
      </c>
      <c r="D1724" s="29" t="s">
        <v>9455</v>
      </c>
      <c r="E1724" s="30" t="s">
        <v>9456</v>
      </c>
      <c r="F1724" s="28" t="s">
        <v>9457</v>
      </c>
      <c r="I1724" s="32"/>
      <c r="J1724" s="32"/>
      <c r="K1724" s="33" t="s">
        <v>9453</v>
      </c>
      <c r="L1724" s="33" t="s">
        <v>9458</v>
      </c>
      <c r="N1724" s="33" t="s">
        <v>9453</v>
      </c>
      <c r="O1724" s="35" t="s">
        <v>9459</v>
      </c>
    </row>
    <row r="1725">
      <c r="A1725" s="38"/>
      <c r="B1725" s="28" t="s">
        <v>9460</v>
      </c>
      <c r="C1725" s="28" t="s">
        <v>8969</v>
      </c>
      <c r="D1725" s="29" t="s">
        <v>9461</v>
      </c>
      <c r="E1725" s="30" t="s">
        <v>9462</v>
      </c>
      <c r="F1725" s="28" t="s">
        <v>9463</v>
      </c>
      <c r="I1725" s="32"/>
      <c r="J1725" s="32"/>
      <c r="K1725" s="33" t="s">
        <v>9460</v>
      </c>
      <c r="L1725" s="33" t="s">
        <v>9464</v>
      </c>
      <c r="N1725" s="33" t="s">
        <v>9460</v>
      </c>
      <c r="O1725" s="47" t="s">
        <v>9465</v>
      </c>
    </row>
    <row r="1726">
      <c r="A1726" s="38"/>
      <c r="B1726" s="28" t="s">
        <v>9466</v>
      </c>
      <c r="C1726" s="28" t="s">
        <v>9467</v>
      </c>
      <c r="D1726" s="29" t="s">
        <v>9468</v>
      </c>
      <c r="E1726" s="30"/>
      <c r="F1726" s="28" t="s">
        <v>9469</v>
      </c>
      <c r="I1726" s="32"/>
      <c r="J1726" s="32"/>
      <c r="K1726" s="33" t="s">
        <v>9466</v>
      </c>
      <c r="L1726" s="33" t="s">
        <v>9470</v>
      </c>
      <c r="N1726" s="33" t="s">
        <v>9466</v>
      </c>
      <c r="O1726" s="35" t="s">
        <v>9471</v>
      </c>
    </row>
    <row r="1727">
      <c r="A1727" s="38"/>
      <c r="B1727" s="28" t="s">
        <v>9472</v>
      </c>
      <c r="C1727" s="28" t="s">
        <v>8978</v>
      </c>
      <c r="D1727" s="29" t="s">
        <v>9473</v>
      </c>
      <c r="E1727" s="30" t="s">
        <v>9474</v>
      </c>
      <c r="F1727" s="28" t="s">
        <v>9475</v>
      </c>
      <c r="I1727" s="32"/>
      <c r="J1727" s="32"/>
      <c r="K1727" s="33" t="s">
        <v>9472</v>
      </c>
      <c r="L1727" s="33" t="s">
        <v>9476</v>
      </c>
      <c r="N1727" s="33" t="s">
        <v>9472</v>
      </c>
      <c r="O1727" s="35"/>
    </row>
    <row r="1728">
      <c r="A1728" s="38"/>
      <c r="B1728" s="28" t="s">
        <v>9477</v>
      </c>
      <c r="C1728" s="28" t="s">
        <v>9478</v>
      </c>
      <c r="D1728" s="29" t="s">
        <v>9479</v>
      </c>
      <c r="E1728" s="30" t="s">
        <v>9480</v>
      </c>
      <c r="F1728" s="28" t="s">
        <v>9481</v>
      </c>
      <c r="I1728" s="32"/>
      <c r="J1728" s="32"/>
      <c r="K1728" s="33" t="s">
        <v>9477</v>
      </c>
      <c r="L1728" s="33" t="s">
        <v>9482</v>
      </c>
      <c r="N1728" s="33" t="s">
        <v>9477</v>
      </c>
      <c r="O1728" s="35"/>
    </row>
    <row r="1729">
      <c r="A1729" s="38"/>
      <c r="B1729" s="28" t="s">
        <v>9483</v>
      </c>
      <c r="C1729" s="28" t="s">
        <v>9484</v>
      </c>
      <c r="D1729" s="29" t="s">
        <v>9485</v>
      </c>
      <c r="E1729" s="30" t="s">
        <v>9486</v>
      </c>
      <c r="F1729" s="28" t="s">
        <v>9487</v>
      </c>
      <c r="I1729" s="32"/>
      <c r="J1729" s="32"/>
      <c r="K1729" s="33" t="s">
        <v>9483</v>
      </c>
      <c r="L1729" s="33" t="s">
        <v>9488</v>
      </c>
      <c r="N1729" s="33" t="s">
        <v>9483</v>
      </c>
      <c r="O1729" s="35" t="s">
        <v>9489</v>
      </c>
    </row>
    <row r="1730">
      <c r="A1730" s="38"/>
      <c r="B1730" s="28" t="s">
        <v>9490</v>
      </c>
      <c r="C1730" s="28" t="s">
        <v>9491</v>
      </c>
      <c r="D1730" s="29" t="s">
        <v>9492</v>
      </c>
      <c r="E1730" s="30" t="s">
        <v>9493</v>
      </c>
      <c r="F1730" s="28" t="s">
        <v>9494</v>
      </c>
      <c r="I1730" s="32"/>
      <c r="J1730" s="32"/>
      <c r="K1730" s="33" t="s">
        <v>9490</v>
      </c>
      <c r="L1730" s="33" t="s">
        <v>9495</v>
      </c>
      <c r="N1730" s="33" t="s">
        <v>9490</v>
      </c>
      <c r="O1730" s="35"/>
    </row>
    <row r="1731">
      <c r="A1731" s="38"/>
      <c r="B1731" s="28" t="s">
        <v>9496</v>
      </c>
      <c r="C1731" s="28" t="s">
        <v>8983</v>
      </c>
      <c r="D1731" s="29" t="s">
        <v>9497</v>
      </c>
      <c r="E1731" s="30" t="s">
        <v>9498</v>
      </c>
      <c r="F1731" s="28" t="s">
        <v>9499</v>
      </c>
      <c r="I1731" s="32"/>
      <c r="J1731" s="32"/>
      <c r="K1731" s="33" t="s">
        <v>9496</v>
      </c>
      <c r="L1731" s="33" t="s">
        <v>9500</v>
      </c>
      <c r="N1731" s="33" t="s">
        <v>9496</v>
      </c>
      <c r="O1731" s="35" t="s">
        <v>8982</v>
      </c>
    </row>
    <row r="1732">
      <c r="A1732" s="38"/>
      <c r="B1732" s="28" t="s">
        <v>9501</v>
      </c>
      <c r="C1732" s="28" t="s">
        <v>9502</v>
      </c>
      <c r="D1732" s="29" t="s">
        <v>9503</v>
      </c>
      <c r="E1732" s="30"/>
      <c r="F1732" s="28" t="s">
        <v>9504</v>
      </c>
      <c r="I1732" s="32"/>
      <c r="J1732" s="32"/>
      <c r="K1732" s="33" t="s">
        <v>9501</v>
      </c>
      <c r="L1732" s="33" t="s">
        <v>9505</v>
      </c>
      <c r="N1732" s="33" t="s">
        <v>9501</v>
      </c>
      <c r="O1732" s="35"/>
    </row>
    <row r="1733">
      <c r="A1733" s="38"/>
      <c r="B1733" s="28" t="s">
        <v>9506</v>
      </c>
      <c r="C1733" s="28" t="s">
        <v>8993</v>
      </c>
      <c r="D1733" s="29" t="s">
        <v>9507</v>
      </c>
      <c r="E1733" s="30" t="s">
        <v>9508</v>
      </c>
      <c r="F1733" s="28" t="s">
        <v>9509</v>
      </c>
      <c r="I1733" s="32"/>
      <c r="J1733" s="32"/>
      <c r="K1733" s="33" t="s">
        <v>9506</v>
      </c>
      <c r="L1733" s="33" t="s">
        <v>9510</v>
      </c>
      <c r="N1733" s="33" t="s">
        <v>9506</v>
      </c>
      <c r="O1733" s="35" t="s">
        <v>8992</v>
      </c>
    </row>
    <row r="1734">
      <c r="A1734" s="38"/>
      <c r="B1734" s="28" t="s">
        <v>9511</v>
      </c>
      <c r="C1734" s="28" t="s">
        <v>8997</v>
      </c>
      <c r="D1734" s="29" t="s">
        <v>9512</v>
      </c>
      <c r="E1734" s="30" t="s">
        <v>9513</v>
      </c>
      <c r="F1734" s="28" t="s">
        <v>9514</v>
      </c>
      <c r="I1734" s="32"/>
      <c r="J1734" s="32"/>
      <c r="K1734" s="33" t="s">
        <v>9511</v>
      </c>
      <c r="L1734" s="33" t="s">
        <v>9515</v>
      </c>
      <c r="N1734" s="33" t="s">
        <v>9511</v>
      </c>
      <c r="O1734" s="35"/>
    </row>
    <row r="1735">
      <c r="A1735" s="38"/>
      <c r="B1735" s="28" t="s">
        <v>9516</v>
      </c>
      <c r="C1735" s="28" t="s">
        <v>9517</v>
      </c>
      <c r="D1735" s="29" t="s">
        <v>9518</v>
      </c>
      <c r="E1735" s="30" t="s">
        <v>9519</v>
      </c>
      <c r="F1735" s="28" t="s">
        <v>9520</v>
      </c>
      <c r="I1735" s="32"/>
      <c r="J1735" s="32"/>
      <c r="K1735" s="33" t="s">
        <v>9516</v>
      </c>
      <c r="L1735" s="33" t="s">
        <v>9521</v>
      </c>
      <c r="N1735" s="33" t="s">
        <v>9516</v>
      </c>
      <c r="O1735" s="35"/>
    </row>
    <row r="1736">
      <c r="A1736" s="38"/>
      <c r="B1736" s="28" t="s">
        <v>9522</v>
      </c>
      <c r="C1736" s="28" t="s">
        <v>9007</v>
      </c>
      <c r="D1736" s="29" t="s">
        <v>9523</v>
      </c>
      <c r="E1736" s="30" t="s">
        <v>9524</v>
      </c>
      <c r="F1736" s="28" t="s">
        <v>9525</v>
      </c>
      <c r="I1736" s="32"/>
      <c r="J1736" s="32"/>
      <c r="K1736" s="33" t="s">
        <v>9522</v>
      </c>
      <c r="L1736" s="33" t="s">
        <v>9526</v>
      </c>
      <c r="N1736" s="33" t="s">
        <v>9522</v>
      </c>
      <c r="O1736" s="47" t="s">
        <v>9527</v>
      </c>
    </row>
    <row r="1737">
      <c r="A1737" s="38"/>
      <c r="B1737" s="28" t="s">
        <v>9528</v>
      </c>
      <c r="C1737" s="28" t="s">
        <v>9025</v>
      </c>
      <c r="D1737" s="29" t="s">
        <v>9529</v>
      </c>
      <c r="E1737" s="54" t="s">
        <v>9530</v>
      </c>
      <c r="F1737" s="28" t="s">
        <v>9531</v>
      </c>
      <c r="I1737" s="32"/>
      <c r="J1737" s="32"/>
      <c r="K1737" s="33" t="s">
        <v>9528</v>
      </c>
      <c r="L1737" s="33" t="s">
        <v>9532</v>
      </c>
      <c r="N1737" s="33" t="s">
        <v>9528</v>
      </c>
      <c r="O1737" s="35" t="s">
        <v>9024</v>
      </c>
    </row>
    <row r="1738">
      <c r="A1738" s="38"/>
      <c r="B1738" s="28" t="s">
        <v>9533</v>
      </c>
      <c r="C1738" s="28" t="s">
        <v>9534</v>
      </c>
      <c r="D1738" s="29" t="s">
        <v>9535</v>
      </c>
      <c r="E1738" s="30" t="s">
        <v>9536</v>
      </c>
      <c r="F1738" s="28" t="s">
        <v>9537</v>
      </c>
      <c r="I1738" s="32"/>
      <c r="J1738" s="32"/>
      <c r="K1738" s="33" t="s">
        <v>9533</v>
      </c>
      <c r="L1738" s="33" t="s">
        <v>9538</v>
      </c>
      <c r="N1738" s="33" t="s">
        <v>9533</v>
      </c>
      <c r="O1738" s="35" t="s">
        <v>9539</v>
      </c>
    </row>
    <row r="1739">
      <c r="A1739" s="38"/>
      <c r="B1739" s="28" t="s">
        <v>9540</v>
      </c>
      <c r="C1739" s="28" t="s">
        <v>9029</v>
      </c>
      <c r="D1739" s="29" t="s">
        <v>9541</v>
      </c>
      <c r="E1739" s="30" t="s">
        <v>9542</v>
      </c>
      <c r="F1739" s="28" t="s">
        <v>9543</v>
      </c>
      <c r="I1739" s="32"/>
      <c r="J1739" s="32"/>
      <c r="K1739" s="33" t="s">
        <v>9540</v>
      </c>
      <c r="L1739" s="33" t="s">
        <v>9544</v>
      </c>
      <c r="N1739" s="33" t="s">
        <v>9540</v>
      </c>
      <c r="O1739" s="35"/>
    </row>
    <row r="1740">
      <c r="A1740" s="38"/>
      <c r="B1740" s="28" t="s">
        <v>9545</v>
      </c>
      <c r="C1740" s="28" t="s">
        <v>9033</v>
      </c>
      <c r="D1740" s="29" t="s">
        <v>9546</v>
      </c>
      <c r="E1740" s="30" t="s">
        <v>9547</v>
      </c>
      <c r="F1740" s="28" t="s">
        <v>9548</v>
      </c>
      <c r="I1740" s="32"/>
      <c r="J1740" s="32"/>
      <c r="K1740" s="33" t="s">
        <v>9545</v>
      </c>
      <c r="L1740" s="33" t="s">
        <v>9549</v>
      </c>
      <c r="N1740" s="33" t="s">
        <v>9545</v>
      </c>
      <c r="O1740" s="35"/>
    </row>
    <row r="1741">
      <c r="A1741" s="38"/>
      <c r="B1741" s="28" t="s">
        <v>9550</v>
      </c>
      <c r="C1741" s="28" t="s">
        <v>9049</v>
      </c>
      <c r="D1741" s="29" t="s">
        <v>9551</v>
      </c>
      <c r="E1741" s="30" t="s">
        <v>9552</v>
      </c>
      <c r="F1741" s="28" t="s">
        <v>9553</v>
      </c>
      <c r="I1741" s="32"/>
      <c r="J1741" s="32"/>
      <c r="K1741" s="33" t="s">
        <v>9550</v>
      </c>
      <c r="L1741" s="33" t="s">
        <v>9554</v>
      </c>
      <c r="N1741" s="33" t="s">
        <v>9550</v>
      </c>
      <c r="O1741" s="35" t="s">
        <v>9048</v>
      </c>
    </row>
    <row r="1742">
      <c r="A1742" s="38"/>
      <c r="B1742" s="28" t="s">
        <v>9555</v>
      </c>
      <c r="C1742" s="28" t="s">
        <v>9055</v>
      </c>
      <c r="D1742" s="29" t="s">
        <v>9556</v>
      </c>
      <c r="E1742" s="30"/>
      <c r="F1742" s="28" t="s">
        <v>9557</v>
      </c>
      <c r="I1742" s="32"/>
      <c r="J1742" s="32"/>
      <c r="K1742" s="33" t="s">
        <v>9555</v>
      </c>
      <c r="L1742" s="33" t="s">
        <v>9558</v>
      </c>
      <c r="N1742" s="33" t="s">
        <v>9555</v>
      </c>
      <c r="O1742" s="35" t="s">
        <v>9054</v>
      </c>
    </row>
    <row r="1743">
      <c r="A1743" s="38"/>
      <c r="B1743" s="28" t="s">
        <v>9559</v>
      </c>
      <c r="C1743" s="28" t="s">
        <v>9560</v>
      </c>
      <c r="D1743" s="29" t="s">
        <v>9561</v>
      </c>
      <c r="E1743" s="30" t="s">
        <v>9562</v>
      </c>
      <c r="F1743" s="28" t="s">
        <v>9563</v>
      </c>
      <c r="I1743" s="32"/>
      <c r="J1743" s="32"/>
      <c r="K1743" s="33" t="s">
        <v>9559</v>
      </c>
      <c r="L1743" s="33" t="s">
        <v>9564</v>
      </c>
      <c r="N1743" s="33" t="s">
        <v>9559</v>
      </c>
      <c r="O1743" s="35"/>
    </row>
    <row r="1744">
      <c r="A1744" s="38"/>
      <c r="B1744" s="28" t="s">
        <v>9565</v>
      </c>
      <c r="C1744" s="28" t="s">
        <v>9094</v>
      </c>
      <c r="D1744" s="29" t="s">
        <v>9566</v>
      </c>
      <c r="E1744" s="30" t="s">
        <v>9567</v>
      </c>
      <c r="F1744" s="28" t="s">
        <v>9568</v>
      </c>
      <c r="I1744" s="32"/>
      <c r="J1744" s="32"/>
      <c r="K1744" s="33" t="s">
        <v>9565</v>
      </c>
      <c r="L1744" s="33" t="s">
        <v>9569</v>
      </c>
      <c r="N1744" s="33" t="s">
        <v>9565</v>
      </c>
      <c r="O1744" s="35" t="s">
        <v>9093</v>
      </c>
    </row>
    <row r="1745">
      <c r="A1745" s="38"/>
      <c r="B1745" s="28" t="s">
        <v>9570</v>
      </c>
      <c r="C1745" s="28" t="s">
        <v>9099</v>
      </c>
      <c r="D1745" s="29" t="s">
        <v>9571</v>
      </c>
      <c r="E1745" s="30"/>
      <c r="F1745" s="28" t="s">
        <v>9572</v>
      </c>
      <c r="I1745" s="32"/>
      <c r="J1745" s="32"/>
      <c r="K1745" s="33" t="s">
        <v>9570</v>
      </c>
      <c r="L1745" s="33" t="s">
        <v>9573</v>
      </c>
      <c r="N1745" s="33" t="s">
        <v>9570</v>
      </c>
      <c r="O1745" s="35" t="s">
        <v>9098</v>
      </c>
    </row>
    <row r="1746">
      <c r="A1746" s="38"/>
      <c r="B1746" s="28" t="s">
        <v>9574</v>
      </c>
      <c r="C1746" s="28" t="s">
        <v>9105</v>
      </c>
      <c r="D1746" s="29" t="s">
        <v>9575</v>
      </c>
      <c r="E1746" s="30" t="s">
        <v>9576</v>
      </c>
      <c r="F1746" s="28" t="s">
        <v>9577</v>
      </c>
      <c r="I1746" s="32"/>
      <c r="J1746" s="32"/>
      <c r="K1746" s="33" t="s">
        <v>9574</v>
      </c>
      <c r="L1746" s="33" t="s">
        <v>9578</v>
      </c>
      <c r="N1746" s="33" t="s">
        <v>9574</v>
      </c>
      <c r="O1746" s="35" t="s">
        <v>9104</v>
      </c>
    </row>
    <row r="1747">
      <c r="A1747" s="38"/>
      <c r="B1747" s="28" t="s">
        <v>9579</v>
      </c>
      <c r="C1747" s="28" t="s">
        <v>9111</v>
      </c>
      <c r="D1747" s="29" t="s">
        <v>9580</v>
      </c>
      <c r="E1747" s="30"/>
      <c r="F1747" s="28" t="s">
        <v>9581</v>
      </c>
      <c r="I1747" s="32"/>
      <c r="J1747" s="32"/>
      <c r="K1747" s="33" t="s">
        <v>9579</v>
      </c>
      <c r="L1747" s="33" t="s">
        <v>9582</v>
      </c>
      <c r="N1747" s="33" t="s">
        <v>9579</v>
      </c>
      <c r="O1747" s="35" t="s">
        <v>9110</v>
      </c>
    </row>
    <row r="1748">
      <c r="A1748" s="38"/>
      <c r="B1748" s="28" t="s">
        <v>9583</v>
      </c>
      <c r="C1748" s="28" t="s">
        <v>9584</v>
      </c>
      <c r="D1748" s="29" t="s">
        <v>9585</v>
      </c>
      <c r="E1748" s="30" t="s">
        <v>9586</v>
      </c>
      <c r="F1748" s="28" t="s">
        <v>9587</v>
      </c>
      <c r="I1748" s="32"/>
      <c r="J1748" s="32"/>
      <c r="K1748" s="33" t="s">
        <v>9583</v>
      </c>
      <c r="L1748" s="33" t="s">
        <v>9588</v>
      </c>
      <c r="N1748" s="33" t="s">
        <v>9583</v>
      </c>
      <c r="O1748" s="35"/>
    </row>
    <row r="1749">
      <c r="A1749" s="38"/>
      <c r="B1749" s="28" t="s">
        <v>9589</v>
      </c>
      <c r="C1749" s="28" t="s">
        <v>9116</v>
      </c>
      <c r="D1749" s="29" t="s">
        <v>9590</v>
      </c>
      <c r="E1749" s="30"/>
      <c r="F1749" s="28" t="s">
        <v>9591</v>
      </c>
      <c r="I1749" s="32"/>
      <c r="J1749" s="32"/>
      <c r="K1749" s="33" t="s">
        <v>9589</v>
      </c>
      <c r="L1749" s="33" t="s">
        <v>9592</v>
      </c>
      <c r="N1749" s="33" t="s">
        <v>9589</v>
      </c>
      <c r="O1749" s="35"/>
    </row>
    <row r="1750">
      <c r="A1750" s="38"/>
      <c r="B1750" s="28" t="s">
        <v>9593</v>
      </c>
      <c r="C1750" s="28" t="s">
        <v>9129</v>
      </c>
      <c r="D1750" s="29" t="s">
        <v>9594</v>
      </c>
      <c r="E1750" s="30"/>
      <c r="F1750" s="28" t="s">
        <v>9595</v>
      </c>
      <c r="I1750" s="32"/>
      <c r="J1750" s="32"/>
      <c r="K1750" s="33" t="s">
        <v>9593</v>
      </c>
      <c r="L1750" s="33" t="s">
        <v>9596</v>
      </c>
      <c r="N1750" s="33" t="s">
        <v>9593</v>
      </c>
      <c r="O1750" s="35" t="s">
        <v>9128</v>
      </c>
    </row>
    <row r="1751">
      <c r="A1751" s="38"/>
      <c r="B1751" s="28" t="s">
        <v>9597</v>
      </c>
      <c r="C1751" s="28" t="s">
        <v>9133</v>
      </c>
      <c r="D1751" s="29" t="s">
        <v>9598</v>
      </c>
      <c r="E1751" s="54" t="s">
        <v>9599</v>
      </c>
      <c r="F1751" s="28" t="s">
        <v>9600</v>
      </c>
      <c r="I1751" s="32"/>
      <c r="J1751" s="32"/>
      <c r="K1751" s="33" t="s">
        <v>9597</v>
      </c>
      <c r="L1751" s="33" t="s">
        <v>9601</v>
      </c>
      <c r="N1751" s="33" t="s">
        <v>9597</v>
      </c>
      <c r="O1751" s="35"/>
    </row>
    <row r="1752">
      <c r="A1752" s="38"/>
      <c r="B1752" s="28" t="s">
        <v>9602</v>
      </c>
      <c r="C1752" s="28" t="s">
        <v>9138</v>
      </c>
      <c r="D1752" s="29" t="s">
        <v>9603</v>
      </c>
      <c r="E1752" s="30" t="s">
        <v>9604</v>
      </c>
      <c r="F1752" s="28" t="s">
        <v>9605</v>
      </c>
      <c r="I1752" s="32"/>
      <c r="J1752" s="32"/>
      <c r="K1752" s="33" t="s">
        <v>9602</v>
      </c>
      <c r="L1752" s="33" t="s">
        <v>9606</v>
      </c>
      <c r="N1752" s="33" t="s">
        <v>9602</v>
      </c>
      <c r="O1752" s="35" t="s">
        <v>9137</v>
      </c>
    </row>
    <row r="1753">
      <c r="A1753" s="38"/>
      <c r="B1753" s="28" t="s">
        <v>9607</v>
      </c>
      <c r="C1753" s="28" t="s">
        <v>9608</v>
      </c>
      <c r="D1753" s="29" t="s">
        <v>9609</v>
      </c>
      <c r="E1753" s="30" t="s">
        <v>9610</v>
      </c>
      <c r="F1753" s="28" t="s">
        <v>9611</v>
      </c>
      <c r="I1753" s="32"/>
      <c r="J1753" s="32"/>
      <c r="K1753" s="33" t="s">
        <v>9607</v>
      </c>
      <c r="L1753" s="33" t="s">
        <v>9612</v>
      </c>
      <c r="N1753" s="33" t="s">
        <v>9607</v>
      </c>
      <c r="O1753" s="35" t="s">
        <v>9613</v>
      </c>
    </row>
    <row r="1754">
      <c r="A1754" s="38"/>
      <c r="B1754" s="28" t="s">
        <v>9614</v>
      </c>
      <c r="C1754" s="28" t="s">
        <v>9143</v>
      </c>
      <c r="D1754" s="29" t="s">
        <v>9615</v>
      </c>
      <c r="E1754" s="54" t="s">
        <v>9616</v>
      </c>
      <c r="F1754" s="28" t="s">
        <v>9617</v>
      </c>
      <c r="I1754" s="32"/>
      <c r="J1754" s="32"/>
      <c r="K1754" s="33" t="s">
        <v>9614</v>
      </c>
      <c r="L1754" s="33" t="s">
        <v>9618</v>
      </c>
      <c r="N1754" s="33" t="s">
        <v>9614</v>
      </c>
      <c r="O1754" s="35" t="s">
        <v>9142</v>
      </c>
    </row>
    <row r="1755">
      <c r="A1755" s="38"/>
      <c r="B1755" s="28" t="s">
        <v>9619</v>
      </c>
      <c r="C1755" s="28" t="s">
        <v>9148</v>
      </c>
      <c r="D1755" s="29" t="s">
        <v>9620</v>
      </c>
      <c r="E1755" s="30" t="s">
        <v>9621</v>
      </c>
      <c r="F1755" s="28" t="s">
        <v>9622</v>
      </c>
      <c r="I1755" s="32"/>
      <c r="J1755" s="32"/>
      <c r="K1755" s="33" t="s">
        <v>9619</v>
      </c>
      <c r="L1755" s="33" t="s">
        <v>9623</v>
      </c>
      <c r="N1755" s="33" t="s">
        <v>9619</v>
      </c>
      <c r="O1755" s="35"/>
    </row>
    <row r="1756">
      <c r="A1756" s="38"/>
      <c r="B1756" s="28" t="s">
        <v>9624</v>
      </c>
      <c r="C1756" s="28" t="s">
        <v>9169</v>
      </c>
      <c r="D1756" s="29" t="s">
        <v>9625</v>
      </c>
      <c r="E1756" s="30" t="s">
        <v>7649</v>
      </c>
      <c r="F1756" s="28" t="s">
        <v>9626</v>
      </c>
      <c r="I1756" s="32"/>
      <c r="J1756" s="32"/>
      <c r="K1756" s="33" t="s">
        <v>9624</v>
      </c>
      <c r="L1756" s="33" t="s">
        <v>9627</v>
      </c>
      <c r="N1756" s="33" t="s">
        <v>9624</v>
      </c>
      <c r="O1756" s="35" t="s">
        <v>9168</v>
      </c>
    </row>
    <row r="1757">
      <c r="A1757" s="38"/>
      <c r="B1757" s="28" t="s">
        <v>9628</v>
      </c>
      <c r="C1757" s="28" t="s">
        <v>9629</v>
      </c>
      <c r="D1757" s="29" t="s">
        <v>9630</v>
      </c>
      <c r="E1757" s="54" t="s">
        <v>9631</v>
      </c>
      <c r="F1757" s="28" t="s">
        <v>9632</v>
      </c>
      <c r="I1757" s="32"/>
      <c r="J1757" s="32"/>
      <c r="K1757" s="33" t="s">
        <v>9628</v>
      </c>
      <c r="L1757" s="33" t="s">
        <v>9633</v>
      </c>
      <c r="N1757" s="33" t="s">
        <v>9628</v>
      </c>
      <c r="O1757" s="35"/>
    </row>
    <row r="1758">
      <c r="A1758" s="38"/>
      <c r="B1758" s="28" t="s">
        <v>9634</v>
      </c>
      <c r="C1758" s="28" t="s">
        <v>9174</v>
      </c>
      <c r="D1758" s="29" t="s">
        <v>9635</v>
      </c>
      <c r="E1758" s="54" t="s">
        <v>9636</v>
      </c>
      <c r="F1758" s="28" t="s">
        <v>9637</v>
      </c>
      <c r="I1758" s="32"/>
      <c r="J1758" s="32"/>
      <c r="K1758" s="33" t="s">
        <v>9634</v>
      </c>
      <c r="L1758" s="33" t="s">
        <v>9638</v>
      </c>
      <c r="N1758" s="33" t="s">
        <v>9634</v>
      </c>
      <c r="O1758" s="35" t="s">
        <v>9173</v>
      </c>
    </row>
    <row r="1759">
      <c r="A1759" s="38"/>
      <c r="B1759" s="28" t="s">
        <v>9639</v>
      </c>
      <c r="C1759" s="28" t="s">
        <v>9640</v>
      </c>
      <c r="D1759" s="29" t="s">
        <v>9641</v>
      </c>
      <c r="E1759" s="30" t="s">
        <v>381</v>
      </c>
      <c r="F1759" s="28" t="s">
        <v>375</v>
      </c>
      <c r="I1759" s="32"/>
      <c r="J1759" s="32"/>
      <c r="K1759" s="33" t="s">
        <v>9639</v>
      </c>
      <c r="L1759" s="33" t="s">
        <v>9642</v>
      </c>
      <c r="N1759" s="33" t="s">
        <v>9639</v>
      </c>
      <c r="O1759" s="35" t="s">
        <v>9643</v>
      </c>
    </row>
    <row r="1760">
      <c r="A1760" s="38"/>
      <c r="B1760" s="28" t="s">
        <v>9644</v>
      </c>
      <c r="C1760" s="28" t="s">
        <v>9645</v>
      </c>
      <c r="D1760" s="29" t="s">
        <v>9646</v>
      </c>
      <c r="E1760" s="30"/>
      <c r="F1760" s="28" t="s">
        <v>9647</v>
      </c>
      <c r="I1760" s="32"/>
      <c r="J1760" s="32"/>
      <c r="K1760" s="33" t="s">
        <v>9644</v>
      </c>
      <c r="L1760" s="33" t="s">
        <v>9648</v>
      </c>
      <c r="N1760" s="33" t="s">
        <v>9644</v>
      </c>
      <c r="O1760" s="35" t="s">
        <v>9649</v>
      </c>
    </row>
    <row r="1761">
      <c r="A1761" s="38"/>
      <c r="B1761" s="28" t="s">
        <v>9650</v>
      </c>
      <c r="C1761" s="28" t="s">
        <v>9196</v>
      </c>
      <c r="D1761" s="29" t="s">
        <v>9651</v>
      </c>
      <c r="E1761" s="30"/>
      <c r="F1761" s="28" t="s">
        <v>9652</v>
      </c>
      <c r="I1761" s="32"/>
      <c r="J1761" s="32"/>
      <c r="K1761" s="33" t="s">
        <v>9650</v>
      </c>
      <c r="L1761" s="33" t="s">
        <v>9653</v>
      </c>
      <c r="N1761" s="33" t="s">
        <v>9650</v>
      </c>
      <c r="O1761" s="35" t="s">
        <v>9195</v>
      </c>
    </row>
    <row r="1762">
      <c r="A1762" s="38"/>
      <c r="B1762" s="28" t="s">
        <v>9654</v>
      </c>
      <c r="C1762" s="28" t="s">
        <v>9201</v>
      </c>
      <c r="D1762" s="29" t="s">
        <v>9655</v>
      </c>
      <c r="E1762" s="30" t="s">
        <v>9656</v>
      </c>
      <c r="F1762" s="28" t="s">
        <v>9657</v>
      </c>
      <c r="I1762" s="32"/>
      <c r="J1762" s="32"/>
      <c r="K1762" s="33" t="s">
        <v>9654</v>
      </c>
      <c r="L1762" s="33" t="s">
        <v>9658</v>
      </c>
      <c r="N1762" s="33" t="s">
        <v>9654</v>
      </c>
      <c r="O1762" s="35" t="s">
        <v>9200</v>
      </c>
    </row>
    <row r="1763">
      <c r="A1763" s="38"/>
      <c r="B1763" s="28" t="s">
        <v>9659</v>
      </c>
      <c r="C1763" s="28" t="s">
        <v>9207</v>
      </c>
      <c r="D1763" s="29" t="s">
        <v>9660</v>
      </c>
      <c r="E1763" s="54" t="s">
        <v>9661</v>
      </c>
      <c r="F1763" s="28" t="s">
        <v>9662</v>
      </c>
      <c r="I1763" s="32"/>
      <c r="J1763" s="32"/>
      <c r="K1763" s="33" t="s">
        <v>9659</v>
      </c>
      <c r="L1763" s="33" t="s">
        <v>9663</v>
      </c>
      <c r="N1763" s="33" t="s">
        <v>9659</v>
      </c>
      <c r="O1763" s="35" t="s">
        <v>9206</v>
      </c>
    </row>
    <row r="1764">
      <c r="A1764" s="38"/>
      <c r="B1764" s="28" t="s">
        <v>9664</v>
      </c>
      <c r="C1764" s="28" t="s">
        <v>9213</v>
      </c>
      <c r="D1764" s="29" t="s">
        <v>9665</v>
      </c>
      <c r="E1764" s="30" t="s">
        <v>9666</v>
      </c>
      <c r="F1764" s="28" t="s">
        <v>9667</v>
      </c>
      <c r="I1764" s="32"/>
      <c r="J1764" s="32"/>
      <c r="K1764" s="33" t="s">
        <v>9664</v>
      </c>
      <c r="L1764" s="33" t="s">
        <v>9668</v>
      </c>
      <c r="N1764" s="33" t="s">
        <v>9664</v>
      </c>
      <c r="O1764" s="35" t="s">
        <v>9212</v>
      </c>
    </row>
    <row r="1765">
      <c r="A1765" s="38"/>
      <c r="B1765" s="28" t="s">
        <v>9669</v>
      </c>
      <c r="C1765" s="28" t="s">
        <v>9670</v>
      </c>
      <c r="D1765" s="29" t="s">
        <v>9671</v>
      </c>
      <c r="E1765" s="30" t="s">
        <v>9672</v>
      </c>
      <c r="F1765" s="28" t="s">
        <v>9673</v>
      </c>
      <c r="I1765" s="32"/>
      <c r="J1765" s="32"/>
      <c r="K1765" s="33" t="s">
        <v>9669</v>
      </c>
      <c r="L1765" s="33" t="s">
        <v>9674</v>
      </c>
      <c r="N1765" s="33" t="s">
        <v>9669</v>
      </c>
      <c r="O1765" s="35" t="s">
        <v>9675</v>
      </c>
    </row>
    <row r="1766">
      <c r="A1766" s="38"/>
      <c r="B1766" s="28" t="s">
        <v>9676</v>
      </c>
      <c r="C1766" s="28" t="s">
        <v>9677</v>
      </c>
      <c r="D1766" s="29" t="s">
        <v>9678</v>
      </c>
      <c r="E1766" s="30" t="s">
        <v>9679</v>
      </c>
      <c r="F1766" s="28" t="s">
        <v>9680</v>
      </c>
      <c r="I1766" s="32"/>
      <c r="J1766" s="32"/>
      <c r="K1766" s="33" t="s">
        <v>9676</v>
      </c>
      <c r="L1766" s="33" t="s">
        <v>9681</v>
      </c>
      <c r="N1766" s="33" t="s">
        <v>9676</v>
      </c>
      <c r="O1766" s="35"/>
    </row>
    <row r="1767">
      <c r="A1767" s="38"/>
      <c r="B1767" s="28" t="s">
        <v>9682</v>
      </c>
      <c r="C1767" s="28" t="s">
        <v>9683</v>
      </c>
      <c r="D1767" s="29" t="s">
        <v>9684</v>
      </c>
      <c r="E1767" s="30"/>
      <c r="F1767" s="28" t="s">
        <v>9685</v>
      </c>
      <c r="I1767" s="32"/>
      <c r="J1767" s="32"/>
      <c r="K1767" s="33" t="s">
        <v>9682</v>
      </c>
      <c r="L1767" s="33" t="s">
        <v>9686</v>
      </c>
      <c r="N1767" s="33" t="s">
        <v>9682</v>
      </c>
      <c r="O1767" s="35" t="s">
        <v>9687</v>
      </c>
    </row>
    <row r="1768">
      <c r="A1768" s="38"/>
      <c r="B1768" s="28" t="s">
        <v>9688</v>
      </c>
      <c r="C1768" s="28" t="s">
        <v>9218</v>
      </c>
      <c r="D1768" s="29" t="s">
        <v>9689</v>
      </c>
      <c r="E1768" s="30" t="s">
        <v>439</v>
      </c>
      <c r="F1768" s="28" t="s">
        <v>9690</v>
      </c>
      <c r="I1768" s="32"/>
      <c r="J1768" s="32"/>
      <c r="K1768" s="33" t="s">
        <v>9688</v>
      </c>
      <c r="L1768" s="33" t="s">
        <v>9691</v>
      </c>
      <c r="N1768" s="33" t="s">
        <v>9688</v>
      </c>
      <c r="O1768" s="35" t="s">
        <v>9217</v>
      </c>
    </row>
    <row r="1769">
      <c r="A1769" s="38"/>
      <c r="B1769" s="28" t="s">
        <v>9692</v>
      </c>
      <c r="C1769" s="28" t="s">
        <v>9693</v>
      </c>
      <c r="D1769" s="29" t="s">
        <v>9694</v>
      </c>
      <c r="E1769" s="54" t="s">
        <v>9695</v>
      </c>
      <c r="F1769" s="28" t="s">
        <v>9696</v>
      </c>
      <c r="I1769" s="32"/>
      <c r="J1769" s="32"/>
      <c r="K1769" s="33" t="s">
        <v>9692</v>
      </c>
      <c r="L1769" s="33" t="s">
        <v>9697</v>
      </c>
      <c r="N1769" s="33" t="s">
        <v>9692</v>
      </c>
      <c r="O1769" s="47" t="s">
        <v>9698</v>
      </c>
    </row>
    <row r="1770">
      <c r="A1770" s="38"/>
      <c r="B1770" s="28" t="s">
        <v>9699</v>
      </c>
      <c r="C1770" s="28" t="s">
        <v>9224</v>
      </c>
      <c r="D1770" s="29" t="s">
        <v>9700</v>
      </c>
      <c r="E1770" s="30"/>
      <c r="F1770" s="28" t="s">
        <v>9701</v>
      </c>
      <c r="I1770" s="32"/>
      <c r="J1770" s="32"/>
      <c r="K1770" s="33" t="s">
        <v>9699</v>
      </c>
      <c r="L1770" s="33" t="s">
        <v>9702</v>
      </c>
      <c r="N1770" s="33" t="s">
        <v>9699</v>
      </c>
      <c r="O1770" s="47" t="s">
        <v>9703</v>
      </c>
    </row>
    <row r="1771">
      <c r="A1771" s="38"/>
      <c r="B1771" s="28" t="s">
        <v>9704</v>
      </c>
      <c r="C1771" s="28" t="s">
        <v>9705</v>
      </c>
      <c r="D1771" s="29" t="s">
        <v>9706</v>
      </c>
      <c r="E1771" s="54" t="s">
        <v>9707</v>
      </c>
      <c r="F1771" s="28" t="s">
        <v>9708</v>
      </c>
      <c r="I1771" s="32"/>
      <c r="J1771" s="32"/>
      <c r="K1771" s="33" t="s">
        <v>9704</v>
      </c>
      <c r="L1771" s="33" t="s">
        <v>9709</v>
      </c>
      <c r="N1771" s="33" t="s">
        <v>9704</v>
      </c>
      <c r="O1771" s="35" t="s">
        <v>9710</v>
      </c>
    </row>
    <row r="1772">
      <c r="A1772" s="38"/>
      <c r="B1772" s="28" t="s">
        <v>9711</v>
      </c>
      <c r="C1772" s="28" t="s">
        <v>9230</v>
      </c>
      <c r="D1772" s="29" t="s">
        <v>9712</v>
      </c>
      <c r="E1772" s="54" t="s">
        <v>9713</v>
      </c>
      <c r="F1772" s="28" t="s">
        <v>9714</v>
      </c>
      <c r="I1772" s="32"/>
      <c r="J1772" s="32"/>
      <c r="K1772" s="33" t="s">
        <v>9711</v>
      </c>
      <c r="L1772" s="33" t="s">
        <v>9715</v>
      </c>
      <c r="N1772" s="33" t="s">
        <v>9711</v>
      </c>
      <c r="O1772" s="35"/>
    </row>
    <row r="1773">
      <c r="A1773" s="38"/>
      <c r="B1773" s="28" t="s">
        <v>9716</v>
      </c>
      <c r="C1773" s="28" t="s">
        <v>9244</v>
      </c>
      <c r="D1773" s="29" t="s">
        <v>9717</v>
      </c>
      <c r="E1773" s="30" t="s">
        <v>9718</v>
      </c>
      <c r="F1773" s="28" t="s">
        <v>9719</v>
      </c>
      <c r="I1773" s="32"/>
      <c r="J1773" s="32"/>
      <c r="K1773" s="33" t="s">
        <v>9716</v>
      </c>
      <c r="L1773" s="33" t="s">
        <v>9720</v>
      </c>
      <c r="N1773" s="33" t="s">
        <v>9716</v>
      </c>
      <c r="O1773" s="35" t="s">
        <v>9243</v>
      </c>
    </row>
    <row r="1774">
      <c r="A1774" s="38"/>
      <c r="B1774" s="28" t="s">
        <v>9721</v>
      </c>
      <c r="C1774" s="28" t="s">
        <v>9722</v>
      </c>
      <c r="D1774" s="29" t="s">
        <v>9723</v>
      </c>
      <c r="E1774" s="30" t="s">
        <v>9724</v>
      </c>
      <c r="F1774" s="28" t="s">
        <v>9725</v>
      </c>
      <c r="I1774" s="32"/>
      <c r="J1774" s="32"/>
      <c r="K1774" s="33" t="s">
        <v>9721</v>
      </c>
      <c r="L1774" s="33" t="s">
        <v>9726</v>
      </c>
      <c r="N1774" s="33" t="s">
        <v>9721</v>
      </c>
      <c r="O1774" s="35" t="s">
        <v>9727</v>
      </c>
    </row>
    <row r="1775">
      <c r="A1775" s="38"/>
      <c r="B1775" s="28" t="s">
        <v>9728</v>
      </c>
      <c r="C1775" s="28" t="s">
        <v>9257</v>
      </c>
      <c r="D1775" s="29" t="s">
        <v>9729</v>
      </c>
      <c r="E1775" s="30" t="s">
        <v>591</v>
      </c>
      <c r="F1775" s="28" t="s">
        <v>9730</v>
      </c>
      <c r="I1775" s="32"/>
      <c r="J1775" s="32"/>
      <c r="K1775" s="33" t="s">
        <v>9728</v>
      </c>
      <c r="L1775" s="33" t="s">
        <v>9731</v>
      </c>
      <c r="N1775" s="33" t="s">
        <v>9728</v>
      </c>
      <c r="O1775" s="35" t="s">
        <v>9256</v>
      </c>
    </row>
    <row r="1776">
      <c r="A1776" s="38"/>
      <c r="B1776" s="28" t="s">
        <v>9732</v>
      </c>
      <c r="C1776" s="28" t="s">
        <v>9262</v>
      </c>
      <c r="D1776" s="29" t="s">
        <v>9733</v>
      </c>
      <c r="E1776" s="30" t="s">
        <v>9734</v>
      </c>
      <c r="F1776" s="28" t="s">
        <v>9735</v>
      </c>
      <c r="I1776" s="32"/>
      <c r="J1776" s="32"/>
      <c r="K1776" s="33" t="s">
        <v>9732</v>
      </c>
      <c r="L1776" s="33" t="s">
        <v>9736</v>
      </c>
      <c r="N1776" s="33" t="s">
        <v>9732</v>
      </c>
      <c r="O1776" s="35"/>
    </row>
    <row r="1777">
      <c r="A1777" s="38"/>
      <c r="B1777" s="28" t="s">
        <v>9737</v>
      </c>
      <c r="C1777" s="28" t="s">
        <v>9268</v>
      </c>
      <c r="D1777" s="29" t="s">
        <v>9738</v>
      </c>
      <c r="E1777" s="30" t="s">
        <v>9739</v>
      </c>
      <c r="F1777" s="28" t="s">
        <v>9740</v>
      </c>
      <c r="I1777" s="32"/>
      <c r="J1777" s="32"/>
      <c r="K1777" s="33" t="s">
        <v>9737</v>
      </c>
      <c r="L1777" s="33" t="s">
        <v>9741</v>
      </c>
      <c r="N1777" s="33" t="s">
        <v>9737</v>
      </c>
      <c r="O1777" s="35" t="s">
        <v>9267</v>
      </c>
    </row>
    <row r="1778">
      <c r="A1778" s="38"/>
      <c r="B1778" s="28" t="s">
        <v>9742</v>
      </c>
      <c r="C1778" s="28" t="s">
        <v>9743</v>
      </c>
      <c r="D1778" s="29" t="s">
        <v>9744</v>
      </c>
      <c r="E1778" s="30" t="s">
        <v>9745</v>
      </c>
      <c r="F1778" s="28" t="s">
        <v>9746</v>
      </c>
      <c r="I1778" s="32"/>
      <c r="J1778" s="32"/>
      <c r="K1778" s="33" t="s">
        <v>9742</v>
      </c>
      <c r="L1778" s="33" t="s">
        <v>9747</v>
      </c>
      <c r="N1778" s="33" t="s">
        <v>9742</v>
      </c>
      <c r="O1778" s="47" t="s">
        <v>9748</v>
      </c>
    </row>
    <row r="1779">
      <c r="A1779" s="38"/>
      <c r="B1779" s="28" t="s">
        <v>9749</v>
      </c>
      <c r="C1779" s="28" t="s">
        <v>9750</v>
      </c>
      <c r="D1779" s="29" t="s">
        <v>9751</v>
      </c>
      <c r="E1779" s="30" t="s">
        <v>9752</v>
      </c>
      <c r="F1779" s="28" t="s">
        <v>9753</v>
      </c>
      <c r="I1779" s="32"/>
      <c r="J1779" s="32"/>
      <c r="K1779" s="33" t="s">
        <v>9749</v>
      </c>
      <c r="L1779" s="33" t="s">
        <v>9754</v>
      </c>
      <c r="N1779" s="33" t="s">
        <v>9749</v>
      </c>
      <c r="O1779" s="35" t="s">
        <v>9755</v>
      </c>
    </row>
    <row r="1780">
      <c r="A1780" s="38"/>
      <c r="B1780" s="28" t="s">
        <v>9756</v>
      </c>
      <c r="C1780" s="28" t="s">
        <v>9304</v>
      </c>
      <c r="D1780" s="29" t="s">
        <v>9757</v>
      </c>
      <c r="E1780" s="30" t="s">
        <v>9758</v>
      </c>
      <c r="F1780" s="28" t="s">
        <v>9759</v>
      </c>
      <c r="I1780" s="32"/>
      <c r="J1780" s="32"/>
      <c r="K1780" s="33" t="s">
        <v>9756</v>
      </c>
      <c r="L1780" s="33" t="s">
        <v>9760</v>
      </c>
      <c r="N1780" s="33" t="s">
        <v>9756</v>
      </c>
      <c r="O1780" s="35" t="s">
        <v>9303</v>
      </c>
    </row>
    <row r="1781">
      <c r="A1781" s="38"/>
      <c r="B1781" s="28" t="s">
        <v>9761</v>
      </c>
      <c r="C1781" s="28" t="s">
        <v>9309</v>
      </c>
      <c r="D1781" s="29" t="s">
        <v>9762</v>
      </c>
      <c r="E1781" s="30" t="s">
        <v>9763</v>
      </c>
      <c r="F1781" s="28" t="s">
        <v>9764</v>
      </c>
      <c r="I1781" s="32"/>
      <c r="J1781" s="32"/>
      <c r="K1781" s="33" t="s">
        <v>9761</v>
      </c>
      <c r="L1781" s="33" t="s">
        <v>9765</v>
      </c>
      <c r="N1781" s="33" t="s">
        <v>9761</v>
      </c>
      <c r="O1781" s="35"/>
    </row>
    <row r="1782">
      <c r="A1782" s="38"/>
      <c r="B1782" s="28" t="s">
        <v>9766</v>
      </c>
      <c r="C1782" s="28" t="s">
        <v>9314</v>
      </c>
      <c r="D1782" s="29" t="s">
        <v>9767</v>
      </c>
      <c r="E1782" s="30"/>
      <c r="F1782" s="28" t="s">
        <v>9768</v>
      </c>
      <c r="I1782" s="32"/>
      <c r="J1782" s="32"/>
      <c r="K1782" s="33" t="s">
        <v>9766</v>
      </c>
      <c r="L1782" s="33" t="s">
        <v>9769</v>
      </c>
      <c r="N1782" s="33" t="s">
        <v>9766</v>
      </c>
      <c r="O1782" s="35" t="s">
        <v>9313</v>
      </c>
    </row>
    <row r="1783">
      <c r="A1783" s="38"/>
      <c r="B1783" s="28" t="s">
        <v>9770</v>
      </c>
      <c r="C1783" s="28" t="s">
        <v>9319</v>
      </c>
      <c r="D1783" s="29" t="s">
        <v>9771</v>
      </c>
      <c r="E1783" s="30" t="s">
        <v>9772</v>
      </c>
      <c r="F1783" s="28" t="s">
        <v>9773</v>
      </c>
      <c r="I1783" s="32"/>
      <c r="J1783" s="32"/>
      <c r="K1783" s="33" t="s">
        <v>9770</v>
      </c>
      <c r="L1783" s="33" t="s">
        <v>9774</v>
      </c>
      <c r="N1783" s="33" t="s">
        <v>9770</v>
      </c>
      <c r="O1783" s="35" t="s">
        <v>9318</v>
      </c>
    </row>
    <row r="1784">
      <c r="A1784" s="38"/>
      <c r="B1784" s="28" t="s">
        <v>9775</v>
      </c>
      <c r="C1784" s="28" t="s">
        <v>9776</v>
      </c>
      <c r="D1784" s="29" t="s">
        <v>9777</v>
      </c>
      <c r="E1784" s="30"/>
      <c r="F1784" s="28" t="s">
        <v>9778</v>
      </c>
      <c r="I1784" s="32"/>
      <c r="J1784" s="32"/>
      <c r="K1784" s="33" t="s">
        <v>9775</v>
      </c>
      <c r="L1784" s="33" t="s">
        <v>9779</v>
      </c>
      <c r="N1784" s="33" t="s">
        <v>9775</v>
      </c>
      <c r="O1784" s="47" t="s">
        <v>9780</v>
      </c>
    </row>
    <row r="1785">
      <c r="A1785" s="38"/>
      <c r="B1785" s="28" t="s">
        <v>9781</v>
      </c>
      <c r="C1785" s="28" t="s">
        <v>9782</v>
      </c>
      <c r="D1785" s="29" t="s">
        <v>9783</v>
      </c>
      <c r="E1785" s="30" t="s">
        <v>9784</v>
      </c>
      <c r="F1785" s="28" t="s">
        <v>9785</v>
      </c>
      <c r="I1785" s="32"/>
      <c r="J1785" s="32"/>
      <c r="K1785" s="33" t="s">
        <v>9781</v>
      </c>
      <c r="L1785" s="33" t="s">
        <v>9786</v>
      </c>
      <c r="N1785" s="33" t="s">
        <v>9781</v>
      </c>
      <c r="O1785" s="47" t="s">
        <v>9787</v>
      </c>
    </row>
    <row r="1786">
      <c r="A1786" s="38"/>
      <c r="B1786" s="28" t="s">
        <v>9788</v>
      </c>
      <c r="C1786" s="28" t="s">
        <v>9329</v>
      </c>
      <c r="D1786" s="29" t="s">
        <v>9789</v>
      </c>
      <c r="E1786" s="30" t="s">
        <v>9790</v>
      </c>
      <c r="F1786" s="28" t="s">
        <v>9791</v>
      </c>
      <c r="I1786" s="32"/>
      <c r="J1786" s="32"/>
      <c r="K1786" s="33" t="s">
        <v>9788</v>
      </c>
      <c r="L1786" s="33" t="s">
        <v>9792</v>
      </c>
      <c r="N1786" s="33" t="s">
        <v>9788</v>
      </c>
      <c r="O1786" s="35" t="s">
        <v>9328</v>
      </c>
    </row>
    <row r="1787">
      <c r="A1787" s="38"/>
      <c r="B1787" s="28" t="s">
        <v>9793</v>
      </c>
      <c r="C1787" s="28" t="s">
        <v>9334</v>
      </c>
      <c r="D1787" s="29" t="s">
        <v>9794</v>
      </c>
      <c r="E1787" s="30" t="s">
        <v>9795</v>
      </c>
      <c r="F1787" s="28" t="s">
        <v>9796</v>
      </c>
      <c r="I1787" s="32"/>
      <c r="J1787" s="32"/>
      <c r="K1787" s="33" t="s">
        <v>9793</v>
      </c>
      <c r="L1787" s="33" t="s">
        <v>9797</v>
      </c>
      <c r="N1787" s="33" t="s">
        <v>9793</v>
      </c>
      <c r="O1787" s="35" t="s">
        <v>9333</v>
      </c>
    </row>
    <row r="1788">
      <c r="A1788" s="38"/>
      <c r="B1788" s="28" t="s">
        <v>9798</v>
      </c>
      <c r="C1788" s="28" t="s">
        <v>9799</v>
      </c>
      <c r="D1788" s="29" t="s">
        <v>9800</v>
      </c>
      <c r="E1788" s="30"/>
      <c r="F1788" s="28" t="s">
        <v>9801</v>
      </c>
      <c r="I1788" s="32"/>
      <c r="J1788" s="32"/>
      <c r="K1788" s="33" t="s">
        <v>9798</v>
      </c>
      <c r="L1788" s="33" t="s">
        <v>9802</v>
      </c>
      <c r="N1788" s="33" t="s">
        <v>9798</v>
      </c>
      <c r="O1788" s="35" t="s">
        <v>9803</v>
      </c>
    </row>
    <row r="1789">
      <c r="A1789" s="38"/>
      <c r="B1789" s="28" t="s">
        <v>9804</v>
      </c>
      <c r="C1789" s="28" t="s">
        <v>9805</v>
      </c>
      <c r="D1789" s="29" t="s">
        <v>9806</v>
      </c>
      <c r="E1789" s="30"/>
      <c r="F1789" s="28" t="s">
        <v>9807</v>
      </c>
      <c r="I1789" s="32"/>
      <c r="J1789" s="32"/>
      <c r="K1789" s="33" t="s">
        <v>9804</v>
      </c>
      <c r="L1789" s="33" t="s">
        <v>9808</v>
      </c>
      <c r="N1789" s="33" t="s">
        <v>9804</v>
      </c>
      <c r="O1789" s="47" t="s">
        <v>9809</v>
      </c>
    </row>
    <row r="1790">
      <c r="A1790" s="38"/>
      <c r="B1790" s="28" t="s">
        <v>9810</v>
      </c>
      <c r="C1790" s="28" t="s">
        <v>9340</v>
      </c>
      <c r="D1790" s="29" t="s">
        <v>9811</v>
      </c>
      <c r="E1790" s="30" t="s">
        <v>9812</v>
      </c>
      <c r="F1790" s="28" t="s">
        <v>9813</v>
      </c>
      <c r="I1790" s="32"/>
      <c r="J1790" s="32"/>
      <c r="K1790" s="33" t="s">
        <v>9810</v>
      </c>
      <c r="L1790" s="33" t="s">
        <v>9814</v>
      </c>
      <c r="N1790" s="33" t="s">
        <v>9810</v>
      </c>
      <c r="O1790" s="47" t="s">
        <v>9815</v>
      </c>
    </row>
    <row r="1791">
      <c r="A1791" s="38"/>
      <c r="B1791" s="28" t="s">
        <v>9816</v>
      </c>
      <c r="C1791" s="28" t="s">
        <v>9817</v>
      </c>
      <c r="D1791" s="29" t="s">
        <v>9818</v>
      </c>
      <c r="E1791" s="54" t="s">
        <v>9819</v>
      </c>
      <c r="F1791" s="28" t="s">
        <v>9820</v>
      </c>
      <c r="I1791" s="32"/>
      <c r="J1791" s="32"/>
      <c r="K1791" s="33" t="s">
        <v>9816</v>
      </c>
      <c r="L1791" s="33" t="s">
        <v>9821</v>
      </c>
      <c r="N1791" s="33" t="s">
        <v>9816</v>
      </c>
      <c r="O1791" s="35" t="s">
        <v>9822</v>
      </c>
    </row>
    <row r="1792">
      <c r="A1792" s="38"/>
      <c r="B1792" s="28" t="s">
        <v>9823</v>
      </c>
      <c r="C1792" s="28" t="s">
        <v>9360</v>
      </c>
      <c r="D1792" s="29" t="s">
        <v>9824</v>
      </c>
      <c r="E1792" s="30"/>
      <c r="F1792" s="28" t="s">
        <v>9825</v>
      </c>
      <c r="I1792" s="32"/>
      <c r="J1792" s="32"/>
      <c r="K1792" s="33" t="s">
        <v>9823</v>
      </c>
      <c r="L1792" s="33" t="s">
        <v>9826</v>
      </c>
      <c r="N1792" s="33" t="s">
        <v>9823</v>
      </c>
      <c r="O1792" s="35" t="s">
        <v>9359</v>
      </c>
    </row>
    <row r="1793">
      <c r="A1793" s="38"/>
      <c r="B1793" s="28" t="s">
        <v>9827</v>
      </c>
      <c r="C1793" s="28" t="s">
        <v>9391</v>
      </c>
      <c r="D1793" s="29" t="s">
        <v>9828</v>
      </c>
      <c r="E1793" s="30"/>
      <c r="F1793" s="28" t="s">
        <v>9829</v>
      </c>
      <c r="I1793" s="32"/>
      <c r="J1793" s="32"/>
      <c r="K1793" s="33" t="s">
        <v>9827</v>
      </c>
      <c r="L1793" s="33" t="s">
        <v>9830</v>
      </c>
      <c r="N1793" s="33" t="s">
        <v>9827</v>
      </c>
      <c r="O1793" s="35"/>
    </row>
    <row r="1794">
      <c r="A1794" s="38"/>
      <c r="B1794" s="28" t="s">
        <v>9831</v>
      </c>
      <c r="C1794" s="28" t="s">
        <v>9399</v>
      </c>
      <c r="D1794" s="29" t="s">
        <v>9832</v>
      </c>
      <c r="E1794" s="30" t="s">
        <v>9833</v>
      </c>
      <c r="F1794" s="28" t="s">
        <v>9834</v>
      </c>
      <c r="I1794" s="32"/>
      <c r="J1794" s="32"/>
      <c r="K1794" s="33" t="s">
        <v>9831</v>
      </c>
      <c r="L1794" s="33" t="s">
        <v>9835</v>
      </c>
      <c r="N1794" s="33" t="s">
        <v>9831</v>
      </c>
      <c r="O1794" s="35"/>
    </row>
    <row r="1795">
      <c r="A1795" s="38"/>
      <c r="B1795" s="28" t="s">
        <v>9836</v>
      </c>
      <c r="C1795" s="28" t="s">
        <v>9837</v>
      </c>
      <c r="D1795" s="29" t="s">
        <v>9838</v>
      </c>
      <c r="E1795" s="30" t="s">
        <v>9839</v>
      </c>
      <c r="F1795" s="28" t="s">
        <v>9840</v>
      </c>
      <c r="I1795" s="32"/>
      <c r="J1795" s="32"/>
      <c r="K1795" s="33" t="s">
        <v>9836</v>
      </c>
      <c r="L1795" s="33" t="s">
        <v>9841</v>
      </c>
      <c r="N1795" s="33" t="s">
        <v>9836</v>
      </c>
      <c r="O1795" s="35" t="s">
        <v>9842</v>
      </c>
    </row>
    <row r="1796">
      <c r="A1796" s="38"/>
      <c r="B1796" s="28" t="s">
        <v>9843</v>
      </c>
      <c r="C1796" s="28" t="s">
        <v>9405</v>
      </c>
      <c r="D1796" s="29" t="s">
        <v>9844</v>
      </c>
      <c r="E1796" s="30" t="s">
        <v>9845</v>
      </c>
      <c r="F1796" s="28" t="s">
        <v>9846</v>
      </c>
      <c r="I1796" s="32"/>
      <c r="J1796" s="32"/>
      <c r="K1796" s="33" t="s">
        <v>9843</v>
      </c>
      <c r="L1796" s="33" t="s">
        <v>9847</v>
      </c>
      <c r="N1796" s="33" t="s">
        <v>9843</v>
      </c>
      <c r="O1796" s="35" t="s">
        <v>9404</v>
      </c>
    </row>
    <row r="1797">
      <c r="A1797" s="38"/>
      <c r="B1797" s="28" t="s">
        <v>9848</v>
      </c>
      <c r="C1797" s="28" t="s">
        <v>9414</v>
      </c>
      <c r="D1797" s="29" t="s">
        <v>9849</v>
      </c>
      <c r="E1797" s="30" t="s">
        <v>9850</v>
      </c>
      <c r="F1797" s="28" t="s">
        <v>9851</v>
      </c>
      <c r="I1797" s="32"/>
      <c r="J1797" s="32"/>
      <c r="K1797" s="33" t="s">
        <v>9848</v>
      </c>
      <c r="L1797" s="33" t="s">
        <v>9852</v>
      </c>
      <c r="N1797" s="33" t="s">
        <v>9848</v>
      </c>
      <c r="O1797" s="35" t="s">
        <v>3121</v>
      </c>
    </row>
    <row r="1798">
      <c r="A1798" s="38"/>
      <c r="B1798" s="28" t="s">
        <v>9853</v>
      </c>
      <c r="C1798" s="28" t="s">
        <v>9419</v>
      </c>
      <c r="D1798" s="29" t="s">
        <v>9854</v>
      </c>
      <c r="E1798" s="30"/>
      <c r="F1798" s="28" t="s">
        <v>9855</v>
      </c>
      <c r="I1798" s="32"/>
      <c r="J1798" s="32"/>
      <c r="K1798" s="33" t="s">
        <v>9853</v>
      </c>
      <c r="L1798" s="33" t="s">
        <v>9856</v>
      </c>
      <c r="N1798" s="33" t="s">
        <v>9853</v>
      </c>
      <c r="O1798" s="35" t="s">
        <v>9418</v>
      </c>
    </row>
    <row r="1799">
      <c r="A1799" s="38"/>
      <c r="B1799" s="28" t="s">
        <v>9857</v>
      </c>
      <c r="C1799" s="28" t="s">
        <v>9425</v>
      </c>
      <c r="D1799" s="29" t="s">
        <v>9858</v>
      </c>
      <c r="E1799" s="30" t="s">
        <v>9859</v>
      </c>
      <c r="F1799" s="28" t="s">
        <v>9860</v>
      </c>
      <c r="I1799" s="32"/>
      <c r="J1799" s="32"/>
      <c r="K1799" s="33" t="s">
        <v>9857</v>
      </c>
      <c r="L1799" s="33" t="s">
        <v>9861</v>
      </c>
      <c r="N1799" s="33" t="s">
        <v>9857</v>
      </c>
      <c r="O1799" s="35" t="s">
        <v>9424</v>
      </c>
    </row>
    <row r="1800">
      <c r="A1800" s="38"/>
      <c r="B1800" s="28" t="s">
        <v>9862</v>
      </c>
      <c r="C1800" s="28" t="s">
        <v>9863</v>
      </c>
      <c r="D1800" s="29" t="s">
        <v>9864</v>
      </c>
      <c r="E1800" s="30"/>
      <c r="F1800" s="28" t="s">
        <v>9865</v>
      </c>
      <c r="I1800" s="32"/>
      <c r="J1800" s="32"/>
      <c r="K1800" s="33" t="s">
        <v>9862</v>
      </c>
      <c r="L1800" s="33" t="s">
        <v>9866</v>
      </c>
      <c r="N1800" s="33" t="s">
        <v>9862</v>
      </c>
      <c r="O1800" s="35"/>
    </row>
    <row r="1801">
      <c r="A1801" s="38"/>
      <c r="B1801" s="28" t="s">
        <v>9867</v>
      </c>
      <c r="C1801" s="28" t="s">
        <v>9868</v>
      </c>
      <c r="D1801" s="29" t="s">
        <v>9869</v>
      </c>
      <c r="E1801" s="30" t="s">
        <v>9870</v>
      </c>
      <c r="F1801" s="28" t="s">
        <v>9871</v>
      </c>
      <c r="I1801" s="32"/>
      <c r="J1801" s="32"/>
      <c r="K1801" s="33" t="s">
        <v>9867</v>
      </c>
      <c r="L1801" s="33" t="s">
        <v>9872</v>
      </c>
      <c r="N1801" s="33" t="s">
        <v>9867</v>
      </c>
      <c r="O1801" s="35" t="s">
        <v>9873</v>
      </c>
    </row>
    <row r="1802">
      <c r="A1802" s="38"/>
      <c r="B1802" s="28" t="s">
        <v>9874</v>
      </c>
      <c r="C1802" s="28" t="s">
        <v>9441</v>
      </c>
      <c r="D1802" s="29" t="s">
        <v>9875</v>
      </c>
      <c r="E1802" s="30" t="s">
        <v>9876</v>
      </c>
      <c r="F1802" s="28" t="s">
        <v>9877</v>
      </c>
      <c r="I1802" s="32"/>
      <c r="J1802" s="32"/>
      <c r="K1802" s="33" t="s">
        <v>9874</v>
      </c>
      <c r="L1802" s="33" t="s">
        <v>9878</v>
      </c>
      <c r="N1802" s="33" t="s">
        <v>9874</v>
      </c>
      <c r="O1802" s="35" t="s">
        <v>9440</v>
      </c>
    </row>
    <row r="1803">
      <c r="A1803" s="38"/>
      <c r="B1803" s="28" t="s">
        <v>9879</v>
      </c>
      <c r="C1803" s="28" t="s">
        <v>9880</v>
      </c>
      <c r="D1803" s="29" t="s">
        <v>9881</v>
      </c>
      <c r="E1803" s="30"/>
      <c r="F1803" s="28" t="s">
        <v>9882</v>
      </c>
      <c r="I1803" s="32"/>
      <c r="J1803" s="32"/>
      <c r="K1803" s="33" t="s">
        <v>9879</v>
      </c>
      <c r="L1803" s="33" t="s">
        <v>9883</v>
      </c>
      <c r="N1803" s="33" t="s">
        <v>9879</v>
      </c>
      <c r="O1803" s="35" t="s">
        <v>9884</v>
      </c>
    </row>
    <row r="1804">
      <c r="A1804" s="38"/>
      <c r="B1804" s="28" t="s">
        <v>9885</v>
      </c>
      <c r="C1804" s="28" t="s">
        <v>9446</v>
      </c>
      <c r="D1804" s="29" t="s">
        <v>9886</v>
      </c>
      <c r="E1804" s="30" t="s">
        <v>9887</v>
      </c>
      <c r="F1804" s="28" t="s">
        <v>9888</v>
      </c>
      <c r="I1804" s="32"/>
      <c r="J1804" s="32"/>
      <c r="K1804" s="33" t="s">
        <v>9885</v>
      </c>
      <c r="L1804" s="33" t="s">
        <v>9889</v>
      </c>
      <c r="N1804" s="33" t="s">
        <v>9885</v>
      </c>
      <c r="O1804" s="47" t="s">
        <v>9890</v>
      </c>
    </row>
    <row r="1805">
      <c r="A1805" s="38"/>
      <c r="B1805" s="28" t="s">
        <v>9891</v>
      </c>
      <c r="C1805" s="28" t="s">
        <v>9451</v>
      </c>
      <c r="D1805" s="29" t="s">
        <v>9892</v>
      </c>
      <c r="E1805" s="30"/>
      <c r="F1805" s="28" t="s">
        <v>9893</v>
      </c>
      <c r="I1805" s="32"/>
      <c r="J1805" s="32"/>
      <c r="K1805" s="33" t="s">
        <v>9891</v>
      </c>
      <c r="L1805" s="33" t="s">
        <v>9894</v>
      </c>
      <c r="N1805" s="33" t="s">
        <v>9891</v>
      </c>
      <c r="O1805" s="35" t="s">
        <v>9450</v>
      </c>
    </row>
    <row r="1806">
      <c r="A1806" s="38"/>
      <c r="B1806" s="28" t="s">
        <v>9895</v>
      </c>
      <c r="C1806" s="28" t="s">
        <v>9457</v>
      </c>
      <c r="D1806" s="29" t="s">
        <v>9896</v>
      </c>
      <c r="E1806" s="30" t="s">
        <v>9897</v>
      </c>
      <c r="F1806" s="28" t="s">
        <v>9898</v>
      </c>
      <c r="I1806" s="32"/>
      <c r="J1806" s="32"/>
      <c r="K1806" s="33" t="s">
        <v>9895</v>
      </c>
      <c r="L1806" s="33" t="s">
        <v>9899</v>
      </c>
      <c r="N1806" s="33" t="s">
        <v>9895</v>
      </c>
      <c r="O1806" s="35" t="s">
        <v>9456</v>
      </c>
    </row>
    <row r="1807">
      <c r="A1807" s="38"/>
      <c r="B1807" s="28" t="s">
        <v>9900</v>
      </c>
      <c r="C1807" s="28" t="s">
        <v>9463</v>
      </c>
      <c r="D1807" s="29" t="s">
        <v>9901</v>
      </c>
      <c r="E1807" s="30" t="s">
        <v>9902</v>
      </c>
      <c r="F1807" s="28" t="s">
        <v>9903</v>
      </c>
      <c r="I1807" s="32"/>
      <c r="J1807" s="32"/>
      <c r="K1807" s="33" t="s">
        <v>9900</v>
      </c>
      <c r="L1807" s="33" t="s">
        <v>9904</v>
      </c>
      <c r="N1807" s="33" t="s">
        <v>9900</v>
      </c>
      <c r="O1807" s="35" t="s">
        <v>9462</v>
      </c>
    </row>
    <row r="1808">
      <c r="A1808" s="38"/>
      <c r="B1808" s="28" t="s">
        <v>9905</v>
      </c>
      <c r="C1808" s="28" t="s">
        <v>9475</v>
      </c>
      <c r="D1808" s="29" t="s">
        <v>9906</v>
      </c>
      <c r="E1808" s="30" t="s">
        <v>9907</v>
      </c>
      <c r="F1808" s="28" t="s">
        <v>9908</v>
      </c>
      <c r="I1808" s="32"/>
      <c r="J1808" s="32"/>
      <c r="K1808" s="33" t="s">
        <v>9905</v>
      </c>
      <c r="L1808" s="33" t="s">
        <v>9909</v>
      </c>
      <c r="N1808" s="33" t="s">
        <v>9905</v>
      </c>
      <c r="O1808" s="35" t="s">
        <v>9474</v>
      </c>
    </row>
    <row r="1809">
      <c r="A1809" s="38"/>
      <c r="B1809" s="28" t="s">
        <v>9910</v>
      </c>
      <c r="C1809" s="28" t="s">
        <v>9487</v>
      </c>
      <c r="D1809" s="29" t="s">
        <v>9911</v>
      </c>
      <c r="E1809" s="30" t="s">
        <v>9912</v>
      </c>
      <c r="F1809" s="28" t="s">
        <v>9913</v>
      </c>
      <c r="I1809" s="32"/>
      <c r="J1809" s="32"/>
      <c r="K1809" s="33" t="s">
        <v>9910</v>
      </c>
      <c r="L1809" s="33" t="s">
        <v>9914</v>
      </c>
      <c r="N1809" s="33" t="s">
        <v>9910</v>
      </c>
      <c r="O1809" s="35" t="s">
        <v>9486</v>
      </c>
    </row>
    <row r="1810">
      <c r="A1810" s="38"/>
      <c r="B1810" s="28" t="s">
        <v>9915</v>
      </c>
      <c r="C1810" s="28" t="s">
        <v>9916</v>
      </c>
      <c r="D1810" s="29" t="s">
        <v>9917</v>
      </c>
      <c r="E1810" s="30"/>
      <c r="F1810" s="28" t="s">
        <v>9918</v>
      </c>
      <c r="I1810" s="32"/>
      <c r="J1810" s="32"/>
      <c r="K1810" s="33" t="s">
        <v>9915</v>
      </c>
      <c r="L1810" s="33" t="s">
        <v>9919</v>
      </c>
      <c r="N1810" s="33" t="s">
        <v>9915</v>
      </c>
      <c r="O1810" s="35" t="s">
        <v>9493</v>
      </c>
    </row>
    <row r="1811">
      <c r="A1811" s="38"/>
      <c r="B1811" s="28" t="s">
        <v>9920</v>
      </c>
      <c r="C1811" s="28" t="s">
        <v>9499</v>
      </c>
      <c r="D1811" s="29" t="s">
        <v>9921</v>
      </c>
      <c r="E1811" s="30" t="s">
        <v>9922</v>
      </c>
      <c r="F1811" s="28" t="s">
        <v>9923</v>
      </c>
      <c r="I1811" s="32"/>
      <c r="J1811" s="32"/>
      <c r="K1811" s="33" t="s">
        <v>9920</v>
      </c>
      <c r="L1811" s="33" t="s">
        <v>9924</v>
      </c>
      <c r="N1811" s="33" t="s">
        <v>9920</v>
      </c>
      <c r="O1811" s="35" t="s">
        <v>9498</v>
      </c>
    </row>
    <row r="1812">
      <c r="A1812" s="38"/>
      <c r="B1812" s="28" t="s">
        <v>9925</v>
      </c>
      <c r="C1812" s="28" t="s">
        <v>9509</v>
      </c>
      <c r="D1812" s="29" t="s">
        <v>9926</v>
      </c>
      <c r="E1812" s="30" t="s">
        <v>277</v>
      </c>
      <c r="F1812" s="28" t="s">
        <v>271</v>
      </c>
      <c r="I1812" s="32"/>
      <c r="J1812" s="32"/>
      <c r="K1812" s="33" t="s">
        <v>9925</v>
      </c>
      <c r="L1812" s="33" t="s">
        <v>9927</v>
      </c>
      <c r="N1812" s="33" t="s">
        <v>9925</v>
      </c>
      <c r="O1812" s="35" t="s">
        <v>9508</v>
      </c>
    </row>
    <row r="1813">
      <c r="A1813" s="38"/>
      <c r="B1813" s="28" t="s">
        <v>9928</v>
      </c>
      <c r="C1813" s="28" t="s">
        <v>9514</v>
      </c>
      <c r="D1813" s="29" t="s">
        <v>9929</v>
      </c>
      <c r="E1813" s="30" t="s">
        <v>9930</v>
      </c>
      <c r="F1813" s="28" t="s">
        <v>9931</v>
      </c>
      <c r="I1813" s="32"/>
      <c r="J1813" s="32"/>
      <c r="K1813" s="33" t="s">
        <v>9928</v>
      </c>
      <c r="L1813" s="33" t="s">
        <v>9932</v>
      </c>
      <c r="N1813" s="33" t="s">
        <v>9928</v>
      </c>
      <c r="O1813" s="35" t="s">
        <v>9513</v>
      </c>
    </row>
    <row r="1814">
      <c r="A1814" s="38"/>
      <c r="B1814" s="28" t="s">
        <v>9933</v>
      </c>
      <c r="C1814" s="28" t="s">
        <v>9520</v>
      </c>
      <c r="D1814" s="29" t="s">
        <v>9934</v>
      </c>
      <c r="E1814" s="30"/>
      <c r="F1814" s="28" t="s">
        <v>9935</v>
      </c>
      <c r="I1814" s="32"/>
      <c r="J1814" s="32"/>
      <c r="K1814" s="33" t="s">
        <v>9933</v>
      </c>
      <c r="L1814" s="33" t="s">
        <v>9936</v>
      </c>
      <c r="N1814" s="33" t="s">
        <v>9933</v>
      </c>
      <c r="O1814" s="35" t="s">
        <v>9519</v>
      </c>
    </row>
    <row r="1815">
      <c r="A1815" s="38"/>
      <c r="B1815" s="28" t="s">
        <v>9937</v>
      </c>
      <c r="C1815" s="28" t="s">
        <v>9525</v>
      </c>
      <c r="D1815" s="29" t="s">
        <v>9938</v>
      </c>
      <c r="E1815" s="30" t="s">
        <v>9939</v>
      </c>
      <c r="F1815" s="28" t="s">
        <v>9940</v>
      </c>
      <c r="I1815" s="32"/>
      <c r="J1815" s="32"/>
      <c r="K1815" s="33" t="s">
        <v>9937</v>
      </c>
      <c r="L1815" s="33" t="s">
        <v>9941</v>
      </c>
      <c r="N1815" s="33" t="s">
        <v>9937</v>
      </c>
      <c r="O1815" s="35" t="s">
        <v>9524</v>
      </c>
    </row>
    <row r="1816">
      <c r="A1816" s="38"/>
      <c r="B1816" s="28" t="s">
        <v>9942</v>
      </c>
      <c r="C1816" s="28" t="s">
        <v>9531</v>
      </c>
      <c r="D1816" s="29" t="s">
        <v>9943</v>
      </c>
      <c r="E1816" s="30" t="s">
        <v>9944</v>
      </c>
      <c r="F1816" s="28" t="s">
        <v>9945</v>
      </c>
      <c r="I1816" s="32"/>
      <c r="J1816" s="32"/>
      <c r="K1816" s="33" t="s">
        <v>9942</v>
      </c>
      <c r="L1816" s="33" t="s">
        <v>9946</v>
      </c>
      <c r="N1816" s="33" t="s">
        <v>9942</v>
      </c>
      <c r="O1816" s="35"/>
    </row>
    <row r="1817">
      <c r="A1817" s="38"/>
      <c r="B1817" s="28" t="s">
        <v>9947</v>
      </c>
      <c r="C1817" s="28" t="s">
        <v>9543</v>
      </c>
      <c r="D1817" s="29" t="s">
        <v>9948</v>
      </c>
      <c r="E1817" s="30" t="s">
        <v>9949</v>
      </c>
      <c r="F1817" s="28" t="s">
        <v>9950</v>
      </c>
      <c r="I1817" s="32"/>
      <c r="J1817" s="32"/>
      <c r="K1817" s="33" t="s">
        <v>9947</v>
      </c>
      <c r="L1817" s="33" t="s">
        <v>9951</v>
      </c>
      <c r="N1817" s="33" t="s">
        <v>9947</v>
      </c>
      <c r="O1817" s="35" t="s">
        <v>9542</v>
      </c>
    </row>
    <row r="1818">
      <c r="A1818" s="38"/>
      <c r="B1818" s="28" t="s">
        <v>9952</v>
      </c>
      <c r="C1818" s="28" t="s">
        <v>9548</v>
      </c>
      <c r="D1818" s="29" t="s">
        <v>9953</v>
      </c>
      <c r="E1818" s="30" t="s">
        <v>9954</v>
      </c>
      <c r="F1818" s="28" t="s">
        <v>9955</v>
      </c>
      <c r="I1818" s="32"/>
      <c r="J1818" s="32"/>
      <c r="K1818" s="33" t="s">
        <v>9952</v>
      </c>
      <c r="L1818" s="33" t="s">
        <v>9956</v>
      </c>
      <c r="N1818" s="33" t="s">
        <v>9952</v>
      </c>
      <c r="O1818" s="35" t="s">
        <v>9547</v>
      </c>
    </row>
    <row r="1819">
      <c r="A1819" s="38"/>
      <c r="B1819" s="28" t="s">
        <v>9957</v>
      </c>
      <c r="C1819" s="28" t="s">
        <v>9553</v>
      </c>
      <c r="D1819" s="29" t="s">
        <v>9958</v>
      </c>
      <c r="E1819" s="30" t="s">
        <v>9959</v>
      </c>
      <c r="F1819" s="28" t="s">
        <v>9960</v>
      </c>
      <c r="I1819" s="32"/>
      <c r="J1819" s="32"/>
      <c r="K1819" s="33" t="s">
        <v>9957</v>
      </c>
      <c r="L1819" s="33" t="s">
        <v>9961</v>
      </c>
      <c r="N1819" s="33" t="s">
        <v>9957</v>
      </c>
      <c r="O1819" s="35" t="s">
        <v>9552</v>
      </c>
    </row>
    <row r="1820">
      <c r="A1820" s="38"/>
      <c r="B1820" s="28" t="s">
        <v>9962</v>
      </c>
      <c r="C1820" s="28" t="s">
        <v>9963</v>
      </c>
      <c r="D1820" s="29" t="s">
        <v>9964</v>
      </c>
      <c r="E1820" s="30" t="s">
        <v>345</v>
      </c>
      <c r="F1820" s="28" t="s">
        <v>338</v>
      </c>
      <c r="I1820" s="32"/>
      <c r="J1820" s="32"/>
      <c r="K1820" s="33" t="s">
        <v>9962</v>
      </c>
      <c r="L1820" s="33" t="s">
        <v>9965</v>
      </c>
      <c r="N1820" s="33" t="s">
        <v>9962</v>
      </c>
      <c r="O1820" s="35"/>
    </row>
    <row r="1821">
      <c r="A1821" s="38"/>
      <c r="B1821" s="28" t="s">
        <v>9966</v>
      </c>
      <c r="C1821" s="28" t="s">
        <v>9568</v>
      </c>
      <c r="D1821" s="29" t="s">
        <v>9967</v>
      </c>
      <c r="E1821" s="30" t="s">
        <v>345</v>
      </c>
      <c r="F1821" s="28" t="s">
        <v>9968</v>
      </c>
      <c r="I1821" s="32"/>
      <c r="J1821" s="32"/>
      <c r="K1821" s="33" t="s">
        <v>9966</v>
      </c>
      <c r="L1821" s="33" t="s">
        <v>9969</v>
      </c>
      <c r="N1821" s="33" t="s">
        <v>9966</v>
      </c>
      <c r="O1821" s="35" t="s">
        <v>9567</v>
      </c>
    </row>
    <row r="1822">
      <c r="A1822" s="38"/>
      <c r="B1822" s="28" t="s">
        <v>9970</v>
      </c>
      <c r="C1822" s="28" t="s">
        <v>9577</v>
      </c>
      <c r="D1822" s="29" t="s">
        <v>9971</v>
      </c>
      <c r="E1822" s="30"/>
      <c r="F1822" s="28" t="s">
        <v>9972</v>
      </c>
      <c r="I1822" s="32"/>
      <c r="J1822" s="32"/>
      <c r="K1822" s="33" t="s">
        <v>9970</v>
      </c>
      <c r="L1822" s="33" t="s">
        <v>9973</v>
      </c>
      <c r="N1822" s="33" t="s">
        <v>9970</v>
      </c>
      <c r="O1822" s="35" t="s">
        <v>9576</v>
      </c>
    </row>
    <row r="1823">
      <c r="A1823" s="38"/>
      <c r="B1823" s="28" t="s">
        <v>9974</v>
      </c>
      <c r="C1823" s="28" t="s">
        <v>9975</v>
      </c>
      <c r="D1823" s="29" t="s">
        <v>9976</v>
      </c>
      <c r="E1823" s="30" t="s">
        <v>9977</v>
      </c>
      <c r="F1823" s="28" t="s">
        <v>9978</v>
      </c>
      <c r="I1823" s="32"/>
      <c r="J1823" s="32"/>
      <c r="K1823" s="33" t="s">
        <v>9974</v>
      </c>
      <c r="L1823" s="33" t="s">
        <v>9979</v>
      </c>
      <c r="N1823" s="33" t="s">
        <v>9974</v>
      </c>
      <c r="O1823" s="35" t="s">
        <v>9980</v>
      </c>
    </row>
    <row r="1824">
      <c r="A1824" s="38"/>
      <c r="B1824" s="28" t="s">
        <v>9981</v>
      </c>
      <c r="C1824" s="28" t="s">
        <v>9581</v>
      </c>
      <c r="D1824" s="29" t="s">
        <v>9982</v>
      </c>
      <c r="E1824" s="30" t="s">
        <v>9983</v>
      </c>
      <c r="F1824" s="28" t="s">
        <v>9984</v>
      </c>
      <c r="I1824" s="32"/>
      <c r="J1824" s="32"/>
      <c r="K1824" s="33" t="s">
        <v>9981</v>
      </c>
      <c r="L1824" s="33" t="s">
        <v>9985</v>
      </c>
      <c r="N1824" s="33" t="s">
        <v>9981</v>
      </c>
      <c r="O1824" s="35"/>
    </row>
    <row r="1825">
      <c r="A1825" s="38"/>
      <c r="B1825" s="28" t="s">
        <v>9986</v>
      </c>
      <c r="C1825" s="28" t="s">
        <v>9587</v>
      </c>
      <c r="D1825" s="29" t="s">
        <v>9987</v>
      </c>
      <c r="E1825" s="30"/>
      <c r="F1825" s="28" t="s">
        <v>9988</v>
      </c>
      <c r="I1825" s="32"/>
      <c r="J1825" s="32"/>
      <c r="K1825" s="33" t="s">
        <v>9986</v>
      </c>
      <c r="L1825" s="33" t="s">
        <v>9989</v>
      </c>
      <c r="N1825" s="33" t="s">
        <v>9986</v>
      </c>
      <c r="O1825" s="35" t="s">
        <v>9586</v>
      </c>
    </row>
    <row r="1826">
      <c r="A1826" s="38"/>
      <c r="B1826" s="28" t="s">
        <v>9990</v>
      </c>
      <c r="C1826" s="28" t="s">
        <v>9991</v>
      </c>
      <c r="D1826" s="29" t="s">
        <v>9992</v>
      </c>
      <c r="E1826" s="30" t="s">
        <v>9993</v>
      </c>
      <c r="F1826" s="28" t="s">
        <v>9994</v>
      </c>
      <c r="I1826" s="32"/>
      <c r="J1826" s="32"/>
      <c r="K1826" s="33" t="s">
        <v>9990</v>
      </c>
      <c r="L1826" s="33" t="s">
        <v>9995</v>
      </c>
      <c r="N1826" s="33" t="s">
        <v>9990</v>
      </c>
      <c r="O1826" s="35"/>
    </row>
    <row r="1827">
      <c r="A1827" s="38"/>
      <c r="B1827" s="28" t="s">
        <v>9996</v>
      </c>
      <c r="C1827" s="28" t="s">
        <v>9997</v>
      </c>
      <c r="D1827" s="29" t="s">
        <v>9998</v>
      </c>
      <c r="E1827" s="30" t="s">
        <v>9999</v>
      </c>
      <c r="F1827" s="28" t="s">
        <v>10000</v>
      </c>
      <c r="I1827" s="32"/>
      <c r="J1827" s="32"/>
      <c r="K1827" s="33" t="s">
        <v>9996</v>
      </c>
      <c r="L1827" s="33" t="s">
        <v>10001</v>
      </c>
      <c r="N1827" s="33" t="s">
        <v>9996</v>
      </c>
      <c r="O1827" s="35" t="s">
        <v>10002</v>
      </c>
    </row>
    <row r="1828">
      <c r="A1828" s="38"/>
      <c r="B1828" s="28" t="s">
        <v>10003</v>
      </c>
      <c r="C1828" s="28" t="s">
        <v>9595</v>
      </c>
      <c r="D1828" s="29" t="s">
        <v>10004</v>
      </c>
      <c r="E1828" s="30"/>
      <c r="F1828" s="28" t="s">
        <v>10005</v>
      </c>
      <c r="I1828" s="32"/>
      <c r="J1828" s="32"/>
      <c r="K1828" s="33" t="s">
        <v>10003</v>
      </c>
      <c r="L1828" s="33" t="s">
        <v>10006</v>
      </c>
      <c r="N1828" s="33" t="s">
        <v>10003</v>
      </c>
      <c r="O1828" s="35"/>
    </row>
    <row r="1829">
      <c r="A1829" s="38"/>
      <c r="B1829" s="28" t="s">
        <v>10007</v>
      </c>
      <c r="C1829" s="28" t="s">
        <v>9605</v>
      </c>
      <c r="D1829" s="29" t="s">
        <v>10008</v>
      </c>
      <c r="E1829" s="30"/>
      <c r="F1829" s="28" t="s">
        <v>10009</v>
      </c>
      <c r="I1829" s="32"/>
      <c r="J1829" s="32"/>
      <c r="K1829" s="33" t="s">
        <v>10007</v>
      </c>
      <c r="L1829" s="33" t="s">
        <v>10010</v>
      </c>
      <c r="N1829" s="33" t="s">
        <v>10007</v>
      </c>
      <c r="O1829" s="35" t="s">
        <v>9604</v>
      </c>
    </row>
    <row r="1830">
      <c r="A1830" s="38"/>
      <c r="B1830" s="28" t="s">
        <v>10011</v>
      </c>
      <c r="C1830" s="28" t="s">
        <v>9622</v>
      </c>
      <c r="D1830" s="29" t="s">
        <v>10012</v>
      </c>
      <c r="E1830" s="30"/>
      <c r="F1830" s="28" t="s">
        <v>10013</v>
      </c>
      <c r="I1830" s="32"/>
      <c r="J1830" s="32"/>
      <c r="K1830" s="33" t="s">
        <v>10011</v>
      </c>
      <c r="L1830" s="33" t="s">
        <v>10014</v>
      </c>
      <c r="N1830" s="33" t="s">
        <v>10011</v>
      </c>
      <c r="O1830" s="35" t="s">
        <v>9621</v>
      </c>
    </row>
    <row r="1831">
      <c r="A1831" s="38"/>
      <c r="B1831" s="28" t="s">
        <v>10015</v>
      </c>
      <c r="C1831" s="28" t="s">
        <v>9637</v>
      </c>
      <c r="D1831" s="60" t="s">
        <v>10016</v>
      </c>
      <c r="E1831" s="30" t="s">
        <v>10017</v>
      </c>
      <c r="F1831" s="28" t="s">
        <v>10018</v>
      </c>
      <c r="I1831" s="32"/>
      <c r="J1831" s="32"/>
      <c r="K1831" s="33" t="s">
        <v>10015</v>
      </c>
      <c r="L1831" s="33" t="s">
        <v>10019</v>
      </c>
      <c r="N1831" s="33" t="s">
        <v>10015</v>
      </c>
      <c r="O1831" s="47" t="s">
        <v>10020</v>
      </c>
    </row>
    <row r="1832">
      <c r="A1832" s="38"/>
      <c r="B1832" s="28" t="s">
        <v>10021</v>
      </c>
      <c r="C1832" s="28" t="s">
        <v>10022</v>
      </c>
      <c r="D1832" s="29" t="s">
        <v>10023</v>
      </c>
      <c r="E1832" s="30"/>
      <c r="F1832" s="28" t="s">
        <v>10024</v>
      </c>
      <c r="I1832" s="32"/>
      <c r="J1832" s="32"/>
      <c r="K1832" s="33" t="s">
        <v>10021</v>
      </c>
      <c r="L1832" s="33" t="s">
        <v>10025</v>
      </c>
      <c r="N1832" s="33" t="s">
        <v>10021</v>
      </c>
      <c r="O1832" s="35" t="s">
        <v>10026</v>
      </c>
    </row>
    <row r="1833">
      <c r="A1833" s="38"/>
      <c r="B1833" s="28" t="s">
        <v>10027</v>
      </c>
      <c r="C1833" s="28" t="s">
        <v>9652</v>
      </c>
      <c r="D1833" s="29" t="s">
        <v>10028</v>
      </c>
      <c r="E1833" s="30" t="s">
        <v>10029</v>
      </c>
      <c r="F1833" s="28" t="s">
        <v>10030</v>
      </c>
      <c r="I1833" s="32"/>
      <c r="J1833" s="32"/>
      <c r="K1833" s="33" t="s">
        <v>10027</v>
      </c>
      <c r="L1833" s="33" t="s">
        <v>10031</v>
      </c>
      <c r="N1833" s="33" t="s">
        <v>10027</v>
      </c>
      <c r="O1833" s="35"/>
    </row>
    <row r="1834">
      <c r="A1834" s="38"/>
      <c r="B1834" s="28" t="s">
        <v>10032</v>
      </c>
      <c r="C1834" s="28" t="s">
        <v>9657</v>
      </c>
      <c r="D1834" s="29" t="s">
        <v>10033</v>
      </c>
      <c r="E1834" s="30"/>
      <c r="F1834" s="28" t="s">
        <v>10034</v>
      </c>
      <c r="I1834" s="32"/>
      <c r="J1834" s="32"/>
      <c r="K1834" s="33" t="s">
        <v>10032</v>
      </c>
      <c r="L1834" s="33" t="s">
        <v>10035</v>
      </c>
      <c r="N1834" s="33" t="s">
        <v>10032</v>
      </c>
      <c r="O1834" s="35" t="s">
        <v>9656</v>
      </c>
    </row>
    <row r="1835">
      <c r="A1835" s="38"/>
      <c r="B1835" s="28" t="s">
        <v>10036</v>
      </c>
      <c r="C1835" s="28" t="s">
        <v>9662</v>
      </c>
      <c r="D1835" s="29" t="s">
        <v>10037</v>
      </c>
      <c r="E1835" s="30" t="s">
        <v>10038</v>
      </c>
      <c r="F1835" s="28" t="s">
        <v>10039</v>
      </c>
      <c r="I1835" s="32"/>
      <c r="J1835" s="32"/>
      <c r="K1835" s="33" t="s">
        <v>10036</v>
      </c>
      <c r="L1835" s="33" t="s">
        <v>10040</v>
      </c>
      <c r="N1835" s="33" t="s">
        <v>10036</v>
      </c>
      <c r="O1835" s="47" t="s">
        <v>10041</v>
      </c>
    </row>
    <row r="1836">
      <c r="A1836" s="38"/>
      <c r="B1836" s="28" t="s">
        <v>10042</v>
      </c>
      <c r="C1836" s="28" t="s">
        <v>9667</v>
      </c>
      <c r="D1836" s="29" t="s">
        <v>10043</v>
      </c>
      <c r="E1836" s="30"/>
      <c r="F1836" s="28" t="s">
        <v>10044</v>
      </c>
      <c r="I1836" s="32"/>
      <c r="J1836" s="32"/>
      <c r="K1836" s="33" t="s">
        <v>10042</v>
      </c>
      <c r="L1836" s="33" t="s">
        <v>10045</v>
      </c>
      <c r="N1836" s="33" t="s">
        <v>10042</v>
      </c>
      <c r="O1836" s="35" t="s">
        <v>9666</v>
      </c>
    </row>
    <row r="1837">
      <c r="A1837" s="38"/>
      <c r="B1837" s="28" t="s">
        <v>10046</v>
      </c>
      <c r="C1837" s="28" t="s">
        <v>9685</v>
      </c>
      <c r="D1837" s="29" t="s">
        <v>10047</v>
      </c>
      <c r="E1837" s="30" t="s">
        <v>10048</v>
      </c>
      <c r="F1837" s="28" t="s">
        <v>10049</v>
      </c>
      <c r="I1837" s="32"/>
      <c r="J1837" s="32"/>
      <c r="K1837" s="33" t="s">
        <v>10046</v>
      </c>
      <c r="L1837" s="33" t="s">
        <v>10050</v>
      </c>
      <c r="N1837" s="33" t="s">
        <v>10046</v>
      </c>
      <c r="O1837" s="35"/>
    </row>
    <row r="1838">
      <c r="A1838" s="38"/>
      <c r="B1838" s="28" t="s">
        <v>10051</v>
      </c>
      <c r="C1838" s="28" t="s">
        <v>9696</v>
      </c>
      <c r="D1838" s="29" t="s">
        <v>10052</v>
      </c>
      <c r="E1838" s="30" t="s">
        <v>10048</v>
      </c>
      <c r="F1838" s="28" t="s">
        <v>10053</v>
      </c>
      <c r="I1838" s="32"/>
      <c r="J1838" s="32"/>
      <c r="K1838" s="33" t="s">
        <v>10051</v>
      </c>
      <c r="L1838" s="33" t="s">
        <v>10054</v>
      </c>
      <c r="N1838" s="33" t="s">
        <v>10051</v>
      </c>
      <c r="O1838" s="35"/>
    </row>
    <row r="1839">
      <c r="A1839" s="38"/>
      <c r="B1839" s="28" t="s">
        <v>10055</v>
      </c>
      <c r="C1839" s="28" t="s">
        <v>9701</v>
      </c>
      <c r="D1839" s="29" t="s">
        <v>10056</v>
      </c>
      <c r="E1839" s="30" t="s">
        <v>10057</v>
      </c>
      <c r="F1839" s="28" t="s">
        <v>10058</v>
      </c>
      <c r="I1839" s="32"/>
      <c r="J1839" s="32"/>
      <c r="K1839" s="33" t="s">
        <v>10055</v>
      </c>
      <c r="L1839" s="33" t="s">
        <v>10059</v>
      </c>
      <c r="N1839" s="33" t="s">
        <v>10055</v>
      </c>
      <c r="O1839" s="35"/>
    </row>
    <row r="1840">
      <c r="A1840" s="38"/>
      <c r="B1840" s="28" t="s">
        <v>10060</v>
      </c>
      <c r="C1840" s="28" t="s">
        <v>10061</v>
      </c>
      <c r="D1840" s="29" t="s">
        <v>10062</v>
      </c>
      <c r="E1840" s="30" t="s">
        <v>10063</v>
      </c>
      <c r="F1840" s="28" t="s">
        <v>10064</v>
      </c>
      <c r="I1840" s="32"/>
      <c r="J1840" s="32"/>
      <c r="K1840" s="33" t="s">
        <v>10060</v>
      </c>
      <c r="L1840" s="33" t="s">
        <v>10065</v>
      </c>
      <c r="N1840" s="33" t="s">
        <v>10060</v>
      </c>
      <c r="O1840" s="35"/>
    </row>
    <row r="1841">
      <c r="A1841" s="38"/>
      <c r="B1841" s="28" t="s">
        <v>10066</v>
      </c>
      <c r="C1841" s="28" t="s">
        <v>10067</v>
      </c>
      <c r="D1841" s="29" t="s">
        <v>10068</v>
      </c>
      <c r="E1841" s="30" t="s">
        <v>10069</v>
      </c>
      <c r="F1841" s="28" t="s">
        <v>10070</v>
      </c>
      <c r="I1841" s="32"/>
      <c r="J1841" s="32"/>
      <c r="K1841" s="33" t="s">
        <v>10066</v>
      </c>
      <c r="L1841" s="33" t="s">
        <v>10071</v>
      </c>
      <c r="N1841" s="33" t="s">
        <v>10066</v>
      </c>
      <c r="O1841" s="35"/>
    </row>
    <row r="1842">
      <c r="A1842" s="38"/>
      <c r="B1842" s="28" t="s">
        <v>10072</v>
      </c>
      <c r="C1842" s="28" t="s">
        <v>9719</v>
      </c>
      <c r="D1842" s="29" t="s">
        <v>10073</v>
      </c>
      <c r="E1842" s="30" t="s">
        <v>10074</v>
      </c>
      <c r="F1842" s="28" t="s">
        <v>10075</v>
      </c>
      <c r="I1842" s="32"/>
      <c r="J1842" s="32"/>
      <c r="K1842" s="33" t="s">
        <v>10072</v>
      </c>
      <c r="L1842" s="33" t="s">
        <v>10076</v>
      </c>
      <c r="N1842" s="33" t="s">
        <v>10072</v>
      </c>
      <c r="O1842" s="35" t="s">
        <v>9718</v>
      </c>
    </row>
    <row r="1843">
      <c r="A1843" s="38"/>
      <c r="B1843" s="28" t="s">
        <v>10077</v>
      </c>
      <c r="C1843" s="28" t="s">
        <v>9725</v>
      </c>
      <c r="D1843" s="29" t="s">
        <v>10078</v>
      </c>
      <c r="E1843" s="30" t="s">
        <v>10079</v>
      </c>
      <c r="F1843" s="28" t="s">
        <v>10080</v>
      </c>
      <c r="I1843" s="32"/>
      <c r="J1843" s="32"/>
      <c r="K1843" s="33" t="s">
        <v>10077</v>
      </c>
      <c r="L1843" s="33" t="s">
        <v>10081</v>
      </c>
      <c r="N1843" s="33" t="s">
        <v>10077</v>
      </c>
      <c r="O1843" s="35" t="s">
        <v>9724</v>
      </c>
    </row>
    <row r="1844">
      <c r="A1844" s="38"/>
      <c r="B1844" s="28" t="s">
        <v>10082</v>
      </c>
      <c r="C1844" s="28" t="s">
        <v>10083</v>
      </c>
      <c r="D1844" s="29" t="s">
        <v>10084</v>
      </c>
      <c r="E1844" s="30"/>
      <c r="F1844" s="28" t="s">
        <v>10085</v>
      </c>
      <c r="I1844" s="32"/>
      <c r="J1844" s="32"/>
      <c r="K1844" s="33" t="s">
        <v>10082</v>
      </c>
      <c r="L1844" s="33" t="s">
        <v>10086</v>
      </c>
      <c r="N1844" s="33" t="s">
        <v>10082</v>
      </c>
      <c r="O1844" s="35"/>
    </row>
    <row r="1845">
      <c r="A1845" s="38"/>
      <c r="B1845" s="28" t="s">
        <v>10087</v>
      </c>
      <c r="C1845" s="28" t="s">
        <v>10088</v>
      </c>
      <c r="D1845" s="29" t="s">
        <v>10089</v>
      </c>
      <c r="E1845" s="30" t="s">
        <v>10090</v>
      </c>
      <c r="F1845" s="28" t="s">
        <v>10091</v>
      </c>
      <c r="I1845" s="32"/>
      <c r="J1845" s="32"/>
      <c r="K1845" s="33" t="s">
        <v>10087</v>
      </c>
      <c r="L1845" s="33" t="s">
        <v>10092</v>
      </c>
      <c r="N1845" s="33" t="s">
        <v>10087</v>
      </c>
      <c r="O1845" s="35" t="s">
        <v>10093</v>
      </c>
    </row>
    <row r="1846">
      <c r="A1846" s="38"/>
      <c r="B1846" s="28" t="s">
        <v>10094</v>
      </c>
      <c r="C1846" s="28" t="s">
        <v>10095</v>
      </c>
      <c r="D1846" s="29" t="s">
        <v>10096</v>
      </c>
      <c r="E1846" s="30" t="s">
        <v>10097</v>
      </c>
      <c r="F1846" s="28" t="s">
        <v>10098</v>
      </c>
      <c r="I1846" s="32"/>
      <c r="J1846" s="32"/>
      <c r="K1846" s="33" t="s">
        <v>10094</v>
      </c>
      <c r="L1846" s="33" t="s">
        <v>10099</v>
      </c>
      <c r="N1846" s="33" t="s">
        <v>10094</v>
      </c>
      <c r="O1846" s="35" t="s">
        <v>10100</v>
      </c>
    </row>
    <row r="1847">
      <c r="A1847" s="38"/>
      <c r="B1847" s="28" t="s">
        <v>10101</v>
      </c>
      <c r="C1847" s="28" t="s">
        <v>10102</v>
      </c>
      <c r="D1847" s="29" t="s">
        <v>10103</v>
      </c>
      <c r="E1847" s="30"/>
      <c r="F1847" s="28" t="s">
        <v>10104</v>
      </c>
      <c r="I1847" s="32"/>
      <c r="J1847" s="32"/>
      <c r="K1847" s="33" t="s">
        <v>10101</v>
      </c>
      <c r="L1847" s="33" t="s">
        <v>10105</v>
      </c>
      <c r="N1847" s="33" t="s">
        <v>10101</v>
      </c>
      <c r="O1847" s="35"/>
    </row>
    <row r="1848">
      <c r="A1848" s="38"/>
      <c r="B1848" s="28" t="s">
        <v>10106</v>
      </c>
      <c r="C1848" s="28" t="s">
        <v>10107</v>
      </c>
      <c r="D1848" s="29" t="s">
        <v>10108</v>
      </c>
      <c r="E1848" s="30" t="s">
        <v>10109</v>
      </c>
      <c r="F1848" s="28" t="s">
        <v>10110</v>
      </c>
      <c r="I1848" s="32"/>
      <c r="J1848" s="32"/>
      <c r="K1848" s="33" t="s">
        <v>10106</v>
      </c>
      <c r="L1848" s="33" t="s">
        <v>10111</v>
      </c>
      <c r="N1848" s="33" t="s">
        <v>10106</v>
      </c>
      <c r="O1848" s="35"/>
    </row>
    <row r="1849">
      <c r="A1849" s="38"/>
      <c r="B1849" s="28" t="s">
        <v>10112</v>
      </c>
      <c r="C1849" s="28" t="s">
        <v>9753</v>
      </c>
      <c r="D1849" s="29" t="s">
        <v>10113</v>
      </c>
      <c r="E1849" s="30" t="s">
        <v>10114</v>
      </c>
      <c r="F1849" s="28" t="s">
        <v>10115</v>
      </c>
      <c r="I1849" s="32"/>
      <c r="J1849" s="32"/>
      <c r="K1849" s="33" t="s">
        <v>10112</v>
      </c>
      <c r="L1849" s="33" t="s">
        <v>10116</v>
      </c>
      <c r="N1849" s="33" t="s">
        <v>10112</v>
      </c>
      <c r="O1849" s="35" t="s">
        <v>9752</v>
      </c>
    </row>
    <row r="1850">
      <c r="A1850" s="38"/>
      <c r="B1850" s="28" t="s">
        <v>10117</v>
      </c>
      <c r="C1850" s="28" t="s">
        <v>10118</v>
      </c>
      <c r="D1850" s="29" t="s">
        <v>10119</v>
      </c>
      <c r="E1850" s="30" t="s">
        <v>10120</v>
      </c>
      <c r="F1850" s="28" t="s">
        <v>10121</v>
      </c>
      <c r="I1850" s="32"/>
      <c r="J1850" s="32"/>
      <c r="K1850" s="33" t="s">
        <v>10117</v>
      </c>
      <c r="L1850" s="33" t="s">
        <v>10122</v>
      </c>
      <c r="N1850" s="33" t="s">
        <v>10117</v>
      </c>
      <c r="O1850" s="35" t="s">
        <v>10123</v>
      </c>
    </row>
    <row r="1851">
      <c r="A1851" s="38"/>
      <c r="B1851" s="28" t="s">
        <v>10124</v>
      </c>
      <c r="C1851" s="28" t="s">
        <v>9759</v>
      </c>
      <c r="D1851" s="29" t="s">
        <v>10125</v>
      </c>
      <c r="E1851" s="30"/>
      <c r="F1851" s="28" t="s">
        <v>10126</v>
      </c>
      <c r="I1851" s="32"/>
      <c r="J1851" s="32"/>
      <c r="K1851" s="33" t="s">
        <v>10124</v>
      </c>
      <c r="L1851" s="33" t="s">
        <v>10127</v>
      </c>
      <c r="N1851" s="33" t="s">
        <v>10124</v>
      </c>
      <c r="O1851" s="35" t="s">
        <v>9758</v>
      </c>
    </row>
    <row r="1852">
      <c r="A1852" s="38"/>
      <c r="B1852" s="28" t="s">
        <v>10128</v>
      </c>
      <c r="C1852" s="28" t="s">
        <v>10129</v>
      </c>
      <c r="D1852" s="29" t="s">
        <v>10130</v>
      </c>
      <c r="E1852" s="30"/>
      <c r="F1852" s="28" t="s">
        <v>10131</v>
      </c>
      <c r="I1852" s="32"/>
      <c r="J1852" s="32"/>
      <c r="K1852" s="33" t="s">
        <v>10128</v>
      </c>
      <c r="L1852" s="33" t="s">
        <v>10132</v>
      </c>
      <c r="N1852" s="33" t="s">
        <v>10128</v>
      </c>
      <c r="O1852" s="35"/>
    </row>
    <row r="1853">
      <c r="A1853" s="38"/>
      <c r="B1853" s="28" t="s">
        <v>10133</v>
      </c>
      <c r="C1853" s="28" t="s">
        <v>9778</v>
      </c>
      <c r="D1853" s="29" t="s">
        <v>10134</v>
      </c>
      <c r="E1853" s="54" t="s">
        <v>10135</v>
      </c>
      <c r="F1853" s="28" t="s">
        <v>10136</v>
      </c>
      <c r="I1853" s="32"/>
      <c r="J1853" s="32"/>
      <c r="K1853" s="33" t="s">
        <v>10133</v>
      </c>
      <c r="L1853" s="33" t="s">
        <v>10137</v>
      </c>
      <c r="N1853" s="33" t="s">
        <v>10133</v>
      </c>
      <c r="O1853" s="35"/>
    </row>
    <row r="1854">
      <c r="A1854" s="38"/>
      <c r="B1854" s="28" t="s">
        <v>10138</v>
      </c>
      <c r="C1854" s="28" t="s">
        <v>10139</v>
      </c>
      <c r="D1854" s="29" t="s">
        <v>10140</v>
      </c>
      <c r="E1854" s="30" t="s">
        <v>10141</v>
      </c>
      <c r="F1854" s="28" t="s">
        <v>10142</v>
      </c>
      <c r="I1854" s="32"/>
      <c r="J1854" s="32"/>
      <c r="K1854" s="33" t="s">
        <v>10138</v>
      </c>
      <c r="L1854" s="33" t="s">
        <v>10143</v>
      </c>
      <c r="N1854" s="33" t="s">
        <v>10138</v>
      </c>
      <c r="O1854" s="47" t="s">
        <v>10144</v>
      </c>
    </row>
    <row r="1855">
      <c r="A1855" s="38"/>
      <c r="B1855" s="28" t="s">
        <v>10145</v>
      </c>
      <c r="C1855" s="28" t="s">
        <v>9791</v>
      </c>
      <c r="D1855" s="29" t="s">
        <v>10146</v>
      </c>
      <c r="E1855" s="30"/>
      <c r="F1855" s="28" t="s">
        <v>10147</v>
      </c>
      <c r="I1855" s="32"/>
      <c r="J1855" s="32"/>
      <c r="K1855" s="33" t="s">
        <v>10145</v>
      </c>
      <c r="L1855" s="33" t="s">
        <v>10148</v>
      </c>
      <c r="N1855" s="33" t="s">
        <v>10145</v>
      </c>
      <c r="O1855" s="35" t="s">
        <v>9790</v>
      </c>
    </row>
    <row r="1856">
      <c r="A1856" s="38"/>
      <c r="B1856" s="28" t="s">
        <v>10149</v>
      </c>
      <c r="C1856" s="28" t="s">
        <v>9796</v>
      </c>
      <c r="D1856" s="29" t="s">
        <v>10150</v>
      </c>
      <c r="E1856" s="30"/>
      <c r="F1856" s="28" t="s">
        <v>10151</v>
      </c>
      <c r="I1856" s="32"/>
      <c r="J1856" s="32"/>
      <c r="K1856" s="33" t="s">
        <v>10149</v>
      </c>
      <c r="L1856" s="33" t="s">
        <v>10152</v>
      </c>
      <c r="N1856" s="33" t="s">
        <v>10149</v>
      </c>
      <c r="O1856" s="35" t="s">
        <v>9795</v>
      </c>
    </row>
    <row r="1857">
      <c r="A1857" s="38"/>
      <c r="B1857" s="28" t="s">
        <v>10153</v>
      </c>
      <c r="C1857" s="28" t="s">
        <v>10154</v>
      </c>
      <c r="D1857" s="29" t="s">
        <v>10155</v>
      </c>
      <c r="E1857" s="30" t="s">
        <v>10156</v>
      </c>
      <c r="F1857" s="28" t="s">
        <v>10157</v>
      </c>
      <c r="I1857" s="32"/>
      <c r="J1857" s="32"/>
      <c r="K1857" s="33" t="s">
        <v>10153</v>
      </c>
      <c r="L1857" s="33" t="s">
        <v>10158</v>
      </c>
      <c r="N1857" s="33" t="s">
        <v>10153</v>
      </c>
      <c r="O1857" s="35"/>
    </row>
    <row r="1858">
      <c r="A1858" s="38"/>
      <c r="B1858" s="28" t="s">
        <v>10159</v>
      </c>
      <c r="C1858" s="28" t="s">
        <v>10160</v>
      </c>
      <c r="D1858" s="29" t="s">
        <v>10161</v>
      </c>
      <c r="E1858" s="30" t="s">
        <v>10162</v>
      </c>
      <c r="F1858" s="28" t="s">
        <v>10163</v>
      </c>
      <c r="I1858" s="32"/>
      <c r="J1858" s="32"/>
      <c r="K1858" s="33" t="s">
        <v>10159</v>
      </c>
      <c r="L1858" s="33" t="s">
        <v>10164</v>
      </c>
      <c r="N1858" s="33" t="s">
        <v>10159</v>
      </c>
      <c r="O1858" s="35"/>
    </row>
    <row r="1859">
      <c r="A1859" s="38"/>
      <c r="B1859" s="28" t="s">
        <v>10165</v>
      </c>
      <c r="C1859" s="28" t="s">
        <v>9813</v>
      </c>
      <c r="D1859" s="29" t="s">
        <v>10166</v>
      </c>
      <c r="E1859" s="30" t="s">
        <v>10167</v>
      </c>
      <c r="F1859" s="28" t="s">
        <v>10168</v>
      </c>
      <c r="I1859" s="32"/>
      <c r="J1859" s="32"/>
      <c r="K1859" s="33" t="s">
        <v>10165</v>
      </c>
      <c r="L1859" s="33" t="s">
        <v>10169</v>
      </c>
      <c r="N1859" s="33" t="s">
        <v>10165</v>
      </c>
      <c r="O1859" s="35" t="s">
        <v>9812</v>
      </c>
    </row>
    <row r="1860">
      <c r="A1860" s="38"/>
      <c r="B1860" s="28" t="s">
        <v>10170</v>
      </c>
      <c r="C1860" s="28" t="s">
        <v>10171</v>
      </c>
      <c r="D1860" s="29" t="s">
        <v>10172</v>
      </c>
      <c r="E1860" s="30"/>
      <c r="F1860" s="28" t="s">
        <v>10173</v>
      </c>
      <c r="I1860" s="32"/>
      <c r="J1860" s="32"/>
      <c r="K1860" s="33" t="s">
        <v>10170</v>
      </c>
      <c r="L1860" s="33" t="s">
        <v>10174</v>
      </c>
      <c r="N1860" s="33" t="s">
        <v>10170</v>
      </c>
      <c r="O1860" s="35" t="s">
        <v>10175</v>
      </c>
    </row>
    <row r="1861">
      <c r="A1861" s="38"/>
      <c r="B1861" s="28" t="s">
        <v>10176</v>
      </c>
      <c r="C1861" s="28" t="s">
        <v>10177</v>
      </c>
      <c r="D1861" s="29" t="s">
        <v>10178</v>
      </c>
      <c r="E1861" s="30" t="s">
        <v>10179</v>
      </c>
      <c r="F1861" s="28" t="s">
        <v>10180</v>
      </c>
      <c r="I1861" s="32"/>
      <c r="J1861" s="32"/>
      <c r="K1861" s="33" t="s">
        <v>10176</v>
      </c>
      <c r="L1861" s="33" t="s">
        <v>10181</v>
      </c>
      <c r="N1861" s="33" t="s">
        <v>10176</v>
      </c>
      <c r="O1861" s="35"/>
    </row>
    <row r="1862">
      <c r="A1862" s="38"/>
      <c r="B1862" s="28" t="s">
        <v>10182</v>
      </c>
      <c r="C1862" s="28" t="s">
        <v>9825</v>
      </c>
      <c r="D1862" s="29" t="s">
        <v>10183</v>
      </c>
      <c r="E1862" s="30"/>
      <c r="F1862" s="28" t="s">
        <v>10184</v>
      </c>
      <c r="I1862" s="32"/>
      <c r="J1862" s="32"/>
      <c r="K1862" s="33" t="s">
        <v>10182</v>
      </c>
      <c r="L1862" s="33" t="s">
        <v>10185</v>
      </c>
      <c r="N1862" s="33" t="s">
        <v>10182</v>
      </c>
      <c r="O1862" s="35"/>
    </row>
    <row r="1863">
      <c r="A1863" s="38"/>
      <c r="B1863" s="28" t="s">
        <v>10186</v>
      </c>
      <c r="C1863" s="28" t="s">
        <v>10187</v>
      </c>
      <c r="D1863" s="29" t="s">
        <v>10188</v>
      </c>
      <c r="E1863" s="30" t="s">
        <v>10189</v>
      </c>
      <c r="F1863" s="28" t="s">
        <v>10190</v>
      </c>
      <c r="I1863" s="32"/>
      <c r="J1863" s="32"/>
      <c r="K1863" s="33" t="s">
        <v>10186</v>
      </c>
      <c r="L1863" s="33" t="s">
        <v>10191</v>
      </c>
      <c r="N1863" s="33" t="s">
        <v>10186</v>
      </c>
      <c r="O1863" s="35" t="s">
        <v>10192</v>
      </c>
    </row>
    <row r="1864">
      <c r="A1864" s="38"/>
      <c r="B1864" s="28" t="s">
        <v>10193</v>
      </c>
      <c r="C1864" s="28" t="s">
        <v>9829</v>
      </c>
      <c r="D1864" s="29" t="s">
        <v>10194</v>
      </c>
      <c r="E1864" s="54" t="s">
        <v>10195</v>
      </c>
      <c r="F1864" s="28" t="s">
        <v>10196</v>
      </c>
      <c r="I1864" s="32"/>
      <c r="J1864" s="32"/>
      <c r="K1864" s="33" t="s">
        <v>10193</v>
      </c>
      <c r="L1864" s="33" t="s">
        <v>10197</v>
      </c>
      <c r="N1864" s="33" t="s">
        <v>10193</v>
      </c>
      <c r="O1864" s="35"/>
    </row>
    <row r="1865">
      <c r="A1865" s="38"/>
      <c r="B1865" s="28" t="s">
        <v>10198</v>
      </c>
      <c r="C1865" s="28" t="s">
        <v>9834</v>
      </c>
      <c r="D1865" s="29" t="s">
        <v>10199</v>
      </c>
      <c r="E1865" s="30"/>
      <c r="F1865" s="28" t="s">
        <v>10200</v>
      </c>
      <c r="I1865" s="32"/>
      <c r="J1865" s="32"/>
      <c r="K1865" s="33" t="s">
        <v>10198</v>
      </c>
      <c r="L1865" s="33" t="s">
        <v>10201</v>
      </c>
      <c r="N1865" s="33" t="s">
        <v>10198</v>
      </c>
      <c r="O1865" s="35" t="s">
        <v>9833</v>
      </c>
    </row>
    <row r="1866">
      <c r="A1866" s="38"/>
      <c r="B1866" s="28" t="s">
        <v>10202</v>
      </c>
      <c r="C1866" s="28" t="s">
        <v>10203</v>
      </c>
      <c r="D1866" s="29" t="s">
        <v>10204</v>
      </c>
      <c r="E1866" s="30" t="s">
        <v>10205</v>
      </c>
      <c r="F1866" s="28" t="s">
        <v>10206</v>
      </c>
      <c r="I1866" s="32"/>
      <c r="J1866" s="32"/>
      <c r="K1866" s="33" t="s">
        <v>10202</v>
      </c>
      <c r="L1866" s="33" t="s">
        <v>10207</v>
      </c>
      <c r="N1866" s="33" t="s">
        <v>10202</v>
      </c>
      <c r="O1866" s="35" t="s">
        <v>10208</v>
      </c>
    </row>
    <row r="1867">
      <c r="A1867" s="38"/>
      <c r="B1867" s="28" t="s">
        <v>10209</v>
      </c>
      <c r="C1867" s="28" t="s">
        <v>9851</v>
      </c>
      <c r="D1867" s="29" t="s">
        <v>10210</v>
      </c>
      <c r="E1867" s="30" t="s">
        <v>10211</v>
      </c>
      <c r="F1867" s="28" t="s">
        <v>10212</v>
      </c>
      <c r="I1867" s="32"/>
      <c r="J1867" s="32"/>
      <c r="K1867" s="33" t="s">
        <v>10209</v>
      </c>
      <c r="L1867" s="33" t="s">
        <v>10213</v>
      </c>
      <c r="N1867" s="33" t="s">
        <v>10209</v>
      </c>
      <c r="O1867" s="35" t="s">
        <v>9850</v>
      </c>
    </row>
    <row r="1868">
      <c r="A1868" s="38"/>
      <c r="B1868" s="28" t="s">
        <v>10214</v>
      </c>
      <c r="C1868" s="28" t="s">
        <v>9855</v>
      </c>
      <c r="D1868" s="29" t="s">
        <v>10215</v>
      </c>
      <c r="E1868" s="30" t="s">
        <v>10216</v>
      </c>
      <c r="F1868" s="28" t="s">
        <v>10217</v>
      </c>
      <c r="I1868" s="32"/>
      <c r="J1868" s="32"/>
      <c r="K1868" s="33" t="s">
        <v>10214</v>
      </c>
      <c r="L1868" s="33" t="s">
        <v>10218</v>
      </c>
      <c r="N1868" s="33" t="s">
        <v>10214</v>
      </c>
      <c r="O1868" s="35"/>
    </row>
    <row r="1869">
      <c r="A1869" s="38"/>
      <c r="B1869" s="28" t="s">
        <v>10219</v>
      </c>
      <c r="C1869" s="28" t="s">
        <v>10220</v>
      </c>
      <c r="D1869" s="29" t="s">
        <v>10221</v>
      </c>
      <c r="E1869" s="30"/>
      <c r="F1869" s="28" t="s">
        <v>10222</v>
      </c>
      <c r="I1869" s="32"/>
      <c r="J1869" s="32"/>
      <c r="K1869" s="33" t="s">
        <v>10219</v>
      </c>
      <c r="L1869" s="33" t="s">
        <v>10223</v>
      </c>
      <c r="N1869" s="33" t="s">
        <v>10219</v>
      </c>
      <c r="O1869" s="35" t="s">
        <v>10224</v>
      </c>
    </row>
    <row r="1870">
      <c r="A1870" s="38"/>
      <c r="B1870" s="28" t="s">
        <v>10225</v>
      </c>
      <c r="C1870" s="28" t="s">
        <v>10226</v>
      </c>
      <c r="D1870" s="29" t="s">
        <v>10227</v>
      </c>
      <c r="E1870" s="30" t="s">
        <v>10228</v>
      </c>
      <c r="F1870" s="28" t="s">
        <v>10229</v>
      </c>
      <c r="I1870" s="32"/>
      <c r="J1870" s="32"/>
      <c r="K1870" s="33" t="s">
        <v>10225</v>
      </c>
      <c r="L1870" s="33" t="s">
        <v>10230</v>
      </c>
      <c r="N1870" s="33" t="s">
        <v>10225</v>
      </c>
      <c r="O1870" s="35"/>
    </row>
    <row r="1871">
      <c r="A1871" s="38"/>
      <c r="B1871" s="28" t="s">
        <v>10231</v>
      </c>
      <c r="C1871" s="28" t="s">
        <v>9860</v>
      </c>
      <c r="D1871" s="29" t="s">
        <v>10232</v>
      </c>
      <c r="E1871" s="30" t="s">
        <v>10233</v>
      </c>
      <c r="F1871" s="28" t="s">
        <v>10234</v>
      </c>
      <c r="I1871" s="32"/>
      <c r="J1871" s="32"/>
      <c r="K1871" s="33" t="s">
        <v>10231</v>
      </c>
      <c r="L1871" s="33" t="s">
        <v>10235</v>
      </c>
      <c r="N1871" s="33" t="s">
        <v>10231</v>
      </c>
      <c r="O1871" s="35" t="s">
        <v>9859</v>
      </c>
    </row>
    <row r="1872">
      <c r="A1872" s="38"/>
      <c r="B1872" s="28" t="s">
        <v>10236</v>
      </c>
      <c r="C1872" s="28" t="s">
        <v>9865</v>
      </c>
      <c r="D1872" s="29" t="s">
        <v>10237</v>
      </c>
      <c r="E1872" s="30" t="s">
        <v>10238</v>
      </c>
      <c r="F1872" s="28" t="s">
        <v>10239</v>
      </c>
      <c r="I1872" s="32"/>
      <c r="J1872" s="32"/>
      <c r="K1872" s="33" t="s">
        <v>10236</v>
      </c>
      <c r="L1872" s="33" t="s">
        <v>10240</v>
      </c>
      <c r="N1872" s="33" t="s">
        <v>10236</v>
      </c>
      <c r="O1872" s="35"/>
    </row>
    <row r="1873">
      <c r="A1873" s="38"/>
      <c r="B1873" s="28" t="s">
        <v>10241</v>
      </c>
      <c r="C1873" s="28" t="s">
        <v>9871</v>
      </c>
      <c r="D1873" s="29" t="s">
        <v>10242</v>
      </c>
      <c r="E1873" s="30" t="s">
        <v>10243</v>
      </c>
      <c r="F1873" s="28" t="s">
        <v>10244</v>
      </c>
      <c r="I1873" s="32"/>
      <c r="J1873" s="32"/>
      <c r="K1873" s="33" t="s">
        <v>10241</v>
      </c>
      <c r="L1873" s="33" t="s">
        <v>10245</v>
      </c>
      <c r="N1873" s="33" t="s">
        <v>10241</v>
      </c>
      <c r="O1873" s="35" t="s">
        <v>9870</v>
      </c>
    </row>
    <row r="1874">
      <c r="A1874" s="38"/>
      <c r="B1874" s="28" t="s">
        <v>10246</v>
      </c>
      <c r="C1874" s="28" t="s">
        <v>10247</v>
      </c>
      <c r="D1874" s="29" t="s">
        <v>10248</v>
      </c>
      <c r="E1874" s="30" t="s">
        <v>10249</v>
      </c>
      <c r="F1874" s="28" t="s">
        <v>10250</v>
      </c>
      <c r="I1874" s="32"/>
      <c r="J1874" s="32"/>
      <c r="K1874" s="33" t="s">
        <v>10246</v>
      </c>
      <c r="L1874" s="33" t="s">
        <v>10251</v>
      </c>
      <c r="N1874" s="33" t="s">
        <v>10246</v>
      </c>
      <c r="O1874" s="35" t="s">
        <v>10252</v>
      </c>
    </row>
    <row r="1875">
      <c r="A1875" s="38"/>
      <c r="B1875" s="28" t="s">
        <v>10253</v>
      </c>
      <c r="C1875" s="28" t="s">
        <v>10254</v>
      </c>
      <c r="D1875" s="29" t="s">
        <v>10255</v>
      </c>
      <c r="E1875" s="30"/>
      <c r="F1875" s="28" t="s">
        <v>10256</v>
      </c>
      <c r="I1875" s="32"/>
      <c r="J1875" s="32"/>
      <c r="K1875" s="33" t="s">
        <v>10253</v>
      </c>
      <c r="L1875" s="33" t="s">
        <v>10257</v>
      </c>
      <c r="N1875" s="33" t="s">
        <v>10253</v>
      </c>
      <c r="O1875" s="35"/>
    </row>
    <row r="1876">
      <c r="A1876" s="38"/>
      <c r="B1876" s="28" t="s">
        <v>10258</v>
      </c>
      <c r="C1876" s="28" t="s">
        <v>10259</v>
      </c>
      <c r="D1876" s="29" t="s">
        <v>10260</v>
      </c>
      <c r="E1876" s="30" t="s">
        <v>10261</v>
      </c>
      <c r="F1876" s="28" t="s">
        <v>10262</v>
      </c>
      <c r="I1876" s="32"/>
      <c r="J1876" s="32"/>
      <c r="K1876" s="33" t="s">
        <v>10258</v>
      </c>
      <c r="L1876" s="33" t="s">
        <v>10263</v>
      </c>
      <c r="N1876" s="33" t="s">
        <v>10258</v>
      </c>
      <c r="O1876" s="35" t="s">
        <v>10264</v>
      </c>
    </row>
    <row r="1877">
      <c r="A1877" s="38"/>
      <c r="B1877" s="28" t="s">
        <v>10265</v>
      </c>
      <c r="C1877" s="28" t="s">
        <v>10266</v>
      </c>
      <c r="D1877" s="29" t="s">
        <v>10267</v>
      </c>
      <c r="E1877" s="30" t="s">
        <v>10268</v>
      </c>
      <c r="F1877" s="28" t="s">
        <v>10269</v>
      </c>
      <c r="I1877" s="32"/>
      <c r="J1877" s="32"/>
      <c r="K1877" s="33" t="s">
        <v>10265</v>
      </c>
      <c r="L1877" s="33" t="s">
        <v>10270</v>
      </c>
      <c r="N1877" s="33" t="s">
        <v>10265</v>
      </c>
      <c r="O1877" s="35"/>
    </row>
    <row r="1878">
      <c r="A1878" s="38"/>
      <c r="B1878" s="28" t="s">
        <v>10271</v>
      </c>
      <c r="C1878" s="28" t="s">
        <v>9888</v>
      </c>
      <c r="D1878" s="29" t="s">
        <v>10272</v>
      </c>
      <c r="E1878" s="30"/>
      <c r="F1878" s="28" t="s">
        <v>10273</v>
      </c>
      <c r="I1878" s="32"/>
      <c r="J1878" s="32"/>
      <c r="K1878" s="33" t="s">
        <v>10271</v>
      </c>
      <c r="L1878" s="33" t="s">
        <v>10274</v>
      </c>
      <c r="N1878" s="33" t="s">
        <v>10271</v>
      </c>
      <c r="O1878" s="35" t="s">
        <v>9887</v>
      </c>
    </row>
    <row r="1879">
      <c r="A1879" s="38"/>
      <c r="B1879" s="28" t="s">
        <v>10275</v>
      </c>
      <c r="C1879" s="28" t="s">
        <v>10276</v>
      </c>
      <c r="D1879" s="29" t="s">
        <v>10277</v>
      </c>
      <c r="E1879" s="30" t="s">
        <v>10278</v>
      </c>
      <c r="F1879" s="28" t="s">
        <v>10279</v>
      </c>
      <c r="I1879" s="32"/>
      <c r="J1879" s="32"/>
      <c r="K1879" s="33" t="s">
        <v>10275</v>
      </c>
      <c r="L1879" s="33" t="s">
        <v>10280</v>
      </c>
      <c r="N1879" s="33" t="s">
        <v>10275</v>
      </c>
      <c r="O1879" s="35"/>
    </row>
    <row r="1880">
      <c r="A1880" s="38"/>
      <c r="B1880" s="28" t="s">
        <v>10281</v>
      </c>
      <c r="C1880" s="28" t="s">
        <v>10282</v>
      </c>
      <c r="D1880" s="29" t="s">
        <v>10283</v>
      </c>
      <c r="E1880" s="30"/>
      <c r="F1880" s="28" t="s">
        <v>708</v>
      </c>
      <c r="I1880" s="32"/>
      <c r="J1880" s="32"/>
      <c r="K1880" s="33" t="s">
        <v>10281</v>
      </c>
      <c r="L1880" s="33" t="s">
        <v>10284</v>
      </c>
      <c r="N1880" s="33" t="s">
        <v>10281</v>
      </c>
      <c r="O1880" s="35" t="s">
        <v>10285</v>
      </c>
    </row>
    <row r="1881">
      <c r="A1881" s="38"/>
      <c r="B1881" s="28" t="s">
        <v>10286</v>
      </c>
      <c r="C1881" s="28" t="s">
        <v>10287</v>
      </c>
      <c r="D1881" s="29" t="s">
        <v>10288</v>
      </c>
      <c r="E1881" s="30" t="s">
        <v>10289</v>
      </c>
      <c r="F1881" s="28" t="s">
        <v>10290</v>
      </c>
      <c r="I1881" s="32"/>
      <c r="J1881" s="32"/>
      <c r="K1881" s="33" t="s">
        <v>10286</v>
      </c>
      <c r="L1881" s="33" t="s">
        <v>10291</v>
      </c>
      <c r="N1881" s="33" t="s">
        <v>10286</v>
      </c>
      <c r="O1881" s="35"/>
    </row>
    <row r="1882">
      <c r="A1882" s="38"/>
      <c r="B1882" s="28" t="s">
        <v>10292</v>
      </c>
      <c r="C1882" s="28" t="s">
        <v>10293</v>
      </c>
      <c r="D1882" s="29" t="s">
        <v>10294</v>
      </c>
      <c r="E1882" s="30" t="s">
        <v>10295</v>
      </c>
      <c r="F1882" s="28" t="s">
        <v>10296</v>
      </c>
      <c r="I1882" s="32"/>
      <c r="J1882" s="32"/>
      <c r="K1882" s="33" t="s">
        <v>10292</v>
      </c>
      <c r="L1882" s="33" t="s">
        <v>10297</v>
      </c>
      <c r="N1882" s="33" t="s">
        <v>10292</v>
      </c>
      <c r="O1882" s="35" t="s">
        <v>10298</v>
      </c>
    </row>
    <row r="1883">
      <c r="A1883" s="38"/>
      <c r="B1883" s="28" t="s">
        <v>10299</v>
      </c>
      <c r="C1883" s="28" t="s">
        <v>10300</v>
      </c>
      <c r="D1883" s="29" t="s">
        <v>10301</v>
      </c>
      <c r="E1883" s="30" t="s">
        <v>10302</v>
      </c>
      <c r="F1883" s="28" t="s">
        <v>10303</v>
      </c>
      <c r="I1883" s="32"/>
      <c r="J1883" s="32"/>
      <c r="K1883" s="33" t="s">
        <v>10299</v>
      </c>
      <c r="L1883" s="33" t="s">
        <v>10304</v>
      </c>
      <c r="N1883" s="33" t="s">
        <v>10299</v>
      </c>
      <c r="O1883" s="35"/>
    </row>
    <row r="1884">
      <c r="A1884" s="38"/>
      <c r="B1884" s="28" t="s">
        <v>10305</v>
      </c>
      <c r="C1884" s="28" t="s">
        <v>10306</v>
      </c>
      <c r="D1884" s="29" t="s">
        <v>10307</v>
      </c>
      <c r="E1884" s="30"/>
      <c r="F1884" s="28" t="s">
        <v>10308</v>
      </c>
      <c r="I1884" s="32"/>
      <c r="J1884" s="32"/>
      <c r="K1884" s="33" t="s">
        <v>10305</v>
      </c>
      <c r="L1884" s="33" t="s">
        <v>10309</v>
      </c>
      <c r="N1884" s="33" t="s">
        <v>10305</v>
      </c>
      <c r="O1884" s="35" t="s">
        <v>10310</v>
      </c>
    </row>
    <row r="1885">
      <c r="A1885" s="38"/>
      <c r="B1885" s="28" t="s">
        <v>10311</v>
      </c>
      <c r="C1885" s="28" t="s">
        <v>9898</v>
      </c>
      <c r="D1885" s="29" t="s">
        <v>10312</v>
      </c>
      <c r="E1885" s="30"/>
      <c r="F1885" s="28" t="s">
        <v>10313</v>
      </c>
      <c r="I1885" s="32"/>
      <c r="J1885" s="32"/>
      <c r="K1885" s="33" t="s">
        <v>10311</v>
      </c>
      <c r="L1885" s="33" t="s">
        <v>10314</v>
      </c>
      <c r="N1885" s="33" t="s">
        <v>10311</v>
      </c>
      <c r="O1885" s="35" t="s">
        <v>9897</v>
      </c>
    </row>
    <row r="1886">
      <c r="A1886" s="38"/>
      <c r="B1886" s="28" t="s">
        <v>10315</v>
      </c>
      <c r="C1886" s="28" t="s">
        <v>9908</v>
      </c>
      <c r="D1886" s="29" t="s">
        <v>10316</v>
      </c>
      <c r="E1886" s="30" t="s">
        <v>10317</v>
      </c>
      <c r="F1886" s="28" t="s">
        <v>10318</v>
      </c>
      <c r="I1886" s="32"/>
      <c r="J1886" s="32"/>
      <c r="K1886" s="33" t="s">
        <v>10315</v>
      </c>
      <c r="L1886" s="33" t="s">
        <v>10319</v>
      </c>
      <c r="N1886" s="33" t="s">
        <v>10315</v>
      </c>
      <c r="O1886" s="35" t="s">
        <v>9907</v>
      </c>
    </row>
    <row r="1887">
      <c r="A1887" s="38"/>
      <c r="B1887" s="28" t="s">
        <v>10320</v>
      </c>
      <c r="C1887" s="28" t="s">
        <v>9913</v>
      </c>
      <c r="D1887" s="29" t="s">
        <v>10321</v>
      </c>
      <c r="E1887" s="30" t="s">
        <v>10322</v>
      </c>
      <c r="F1887" s="28" t="s">
        <v>10323</v>
      </c>
      <c r="I1887" s="32"/>
      <c r="J1887" s="32"/>
      <c r="K1887" s="33" t="s">
        <v>10320</v>
      </c>
      <c r="L1887" s="33" t="s">
        <v>10324</v>
      </c>
      <c r="N1887" s="33" t="s">
        <v>10320</v>
      </c>
      <c r="O1887" s="35" t="s">
        <v>9912</v>
      </c>
    </row>
    <row r="1888">
      <c r="A1888" s="38"/>
      <c r="B1888" s="28" t="s">
        <v>10325</v>
      </c>
      <c r="C1888" s="28" t="s">
        <v>10326</v>
      </c>
      <c r="D1888" s="29" t="s">
        <v>10327</v>
      </c>
      <c r="E1888" s="30" t="s">
        <v>10328</v>
      </c>
      <c r="F1888" s="28" t="s">
        <v>10329</v>
      </c>
      <c r="I1888" s="32"/>
      <c r="J1888" s="32"/>
      <c r="K1888" s="33" t="s">
        <v>10325</v>
      </c>
      <c r="L1888" s="33" t="s">
        <v>10330</v>
      </c>
      <c r="N1888" s="33" t="s">
        <v>10325</v>
      </c>
      <c r="O1888" s="35"/>
    </row>
    <row r="1889">
      <c r="A1889" s="38"/>
      <c r="B1889" s="28" t="s">
        <v>10331</v>
      </c>
      <c r="C1889" s="28" t="s">
        <v>10332</v>
      </c>
      <c r="D1889" s="29" t="s">
        <v>10333</v>
      </c>
      <c r="E1889" s="30"/>
      <c r="F1889" s="28" t="s">
        <v>10334</v>
      </c>
      <c r="I1889" s="32"/>
      <c r="J1889" s="32"/>
      <c r="K1889" s="33" t="s">
        <v>10331</v>
      </c>
      <c r="L1889" s="33" t="s">
        <v>10335</v>
      </c>
      <c r="N1889" s="33" t="s">
        <v>10331</v>
      </c>
      <c r="O1889" s="35"/>
    </row>
    <row r="1890">
      <c r="A1890" s="38"/>
      <c r="B1890" s="28" t="s">
        <v>10336</v>
      </c>
      <c r="C1890" s="28" t="s">
        <v>9923</v>
      </c>
      <c r="D1890" s="29" t="s">
        <v>10337</v>
      </c>
      <c r="E1890" s="30" t="s">
        <v>10338</v>
      </c>
      <c r="F1890" s="28" t="s">
        <v>10339</v>
      </c>
      <c r="I1890" s="32"/>
      <c r="J1890" s="32"/>
      <c r="K1890" s="33" t="s">
        <v>10336</v>
      </c>
      <c r="L1890" s="33" t="s">
        <v>10340</v>
      </c>
      <c r="N1890" s="33" t="s">
        <v>10336</v>
      </c>
      <c r="O1890" s="35" t="s">
        <v>9922</v>
      </c>
    </row>
    <row r="1891">
      <c r="A1891" s="38"/>
      <c r="B1891" s="28" t="s">
        <v>10341</v>
      </c>
      <c r="C1891" s="28" t="s">
        <v>9940</v>
      </c>
      <c r="D1891" s="29" t="s">
        <v>10342</v>
      </c>
      <c r="E1891" s="30"/>
      <c r="F1891" s="28" t="s">
        <v>10343</v>
      </c>
      <c r="I1891" s="32"/>
      <c r="J1891" s="32"/>
      <c r="K1891" s="33" t="s">
        <v>10341</v>
      </c>
      <c r="L1891" s="33" t="s">
        <v>10344</v>
      </c>
      <c r="N1891" s="33" t="s">
        <v>10341</v>
      </c>
      <c r="O1891" s="35" t="s">
        <v>9939</v>
      </c>
    </row>
    <row r="1892">
      <c r="A1892" s="38"/>
      <c r="B1892" s="28" t="s">
        <v>10345</v>
      </c>
      <c r="C1892" s="28" t="s">
        <v>10346</v>
      </c>
      <c r="D1892" s="29" t="s">
        <v>10347</v>
      </c>
      <c r="E1892" s="30" t="s">
        <v>598</v>
      </c>
      <c r="F1892" s="28" t="s">
        <v>10348</v>
      </c>
      <c r="I1892" s="32"/>
      <c r="J1892" s="32"/>
      <c r="K1892" s="33" t="s">
        <v>10345</v>
      </c>
      <c r="L1892" s="33" t="s">
        <v>10349</v>
      </c>
      <c r="N1892" s="33" t="s">
        <v>10345</v>
      </c>
      <c r="O1892" s="35" t="s">
        <v>10350</v>
      </c>
    </row>
    <row r="1893">
      <c r="A1893" s="38"/>
      <c r="B1893" s="28" t="s">
        <v>10351</v>
      </c>
      <c r="C1893" s="28" t="s">
        <v>9955</v>
      </c>
      <c r="D1893" s="29" t="s">
        <v>10352</v>
      </c>
      <c r="E1893" s="30" t="s">
        <v>10353</v>
      </c>
      <c r="F1893" s="28" t="s">
        <v>10354</v>
      </c>
      <c r="I1893" s="32"/>
      <c r="J1893" s="32"/>
      <c r="K1893" s="33" t="s">
        <v>10351</v>
      </c>
      <c r="L1893" s="33" t="s">
        <v>10355</v>
      </c>
      <c r="N1893" s="33" t="s">
        <v>10351</v>
      </c>
      <c r="O1893" s="62" t="s">
        <v>10356</v>
      </c>
    </row>
    <row r="1894">
      <c r="A1894" s="38"/>
      <c r="B1894" s="28" t="s">
        <v>10357</v>
      </c>
      <c r="C1894" s="28" t="s">
        <v>9960</v>
      </c>
      <c r="D1894" s="29" t="s">
        <v>10358</v>
      </c>
      <c r="E1894" s="30" t="s">
        <v>10359</v>
      </c>
      <c r="F1894" s="28" t="s">
        <v>10360</v>
      </c>
      <c r="I1894" s="32"/>
      <c r="J1894" s="32"/>
      <c r="K1894" s="33" t="s">
        <v>10357</v>
      </c>
      <c r="L1894" s="33" t="s">
        <v>10361</v>
      </c>
      <c r="N1894" s="33" t="s">
        <v>10357</v>
      </c>
      <c r="O1894" s="35" t="s">
        <v>9959</v>
      </c>
    </row>
    <row r="1895">
      <c r="A1895" s="38"/>
      <c r="B1895" s="28" t="s">
        <v>10362</v>
      </c>
      <c r="C1895" s="28" t="s">
        <v>9978</v>
      </c>
      <c r="D1895" s="29" t="s">
        <v>10363</v>
      </c>
      <c r="E1895" s="30"/>
      <c r="F1895" s="28" t="s">
        <v>10364</v>
      </c>
      <c r="I1895" s="32"/>
      <c r="J1895" s="32"/>
      <c r="K1895" s="33" t="s">
        <v>10362</v>
      </c>
      <c r="L1895" s="33" t="s">
        <v>10365</v>
      </c>
      <c r="N1895" s="33" t="s">
        <v>10362</v>
      </c>
      <c r="O1895" s="35" t="s">
        <v>9977</v>
      </c>
    </row>
    <row r="1896">
      <c r="A1896" s="38"/>
      <c r="B1896" s="28" t="s">
        <v>10366</v>
      </c>
      <c r="C1896" s="28" t="s">
        <v>9984</v>
      </c>
      <c r="D1896" s="29" t="s">
        <v>10367</v>
      </c>
      <c r="E1896" s="30"/>
      <c r="F1896" s="28" t="s">
        <v>10368</v>
      </c>
      <c r="I1896" s="32"/>
      <c r="J1896" s="32"/>
      <c r="K1896" s="33" t="s">
        <v>10366</v>
      </c>
      <c r="L1896" s="33" t="s">
        <v>10369</v>
      </c>
      <c r="N1896" s="33" t="s">
        <v>10366</v>
      </c>
      <c r="O1896" s="35" t="s">
        <v>9983</v>
      </c>
    </row>
    <row r="1897">
      <c r="A1897" s="38"/>
      <c r="B1897" s="28" t="s">
        <v>10370</v>
      </c>
      <c r="C1897" s="28" t="s">
        <v>10371</v>
      </c>
      <c r="D1897" s="29" t="s">
        <v>10372</v>
      </c>
      <c r="E1897" s="30"/>
      <c r="F1897" s="28" t="s">
        <v>10373</v>
      </c>
      <c r="I1897" s="32"/>
      <c r="J1897" s="32"/>
      <c r="K1897" s="33" t="s">
        <v>10370</v>
      </c>
      <c r="L1897" s="33" t="s">
        <v>10374</v>
      </c>
      <c r="N1897" s="33" t="s">
        <v>10370</v>
      </c>
      <c r="O1897" s="35"/>
    </row>
    <row r="1898">
      <c r="A1898" s="38"/>
      <c r="B1898" s="28" t="s">
        <v>10375</v>
      </c>
      <c r="C1898" s="28" t="s">
        <v>9988</v>
      </c>
      <c r="D1898" s="29" t="s">
        <v>10376</v>
      </c>
      <c r="E1898" s="54" t="s">
        <v>10377</v>
      </c>
      <c r="F1898" s="28" t="s">
        <v>10378</v>
      </c>
      <c r="I1898" s="32"/>
      <c r="J1898" s="32"/>
      <c r="K1898" s="33" t="s">
        <v>10375</v>
      </c>
      <c r="L1898" s="33" t="s">
        <v>10379</v>
      </c>
      <c r="N1898" s="33" t="s">
        <v>10375</v>
      </c>
      <c r="O1898" s="35"/>
    </row>
    <row r="1899">
      <c r="A1899" s="38"/>
      <c r="B1899" s="28" t="s">
        <v>10380</v>
      </c>
      <c r="C1899" s="28" t="s">
        <v>9994</v>
      </c>
      <c r="D1899" s="29" t="s">
        <v>10381</v>
      </c>
      <c r="E1899" s="30" t="s">
        <v>10382</v>
      </c>
      <c r="F1899" s="28" t="s">
        <v>10383</v>
      </c>
      <c r="I1899" s="32"/>
      <c r="J1899" s="32"/>
      <c r="K1899" s="33" t="s">
        <v>10380</v>
      </c>
      <c r="L1899" s="33" t="s">
        <v>10384</v>
      </c>
      <c r="N1899" s="33" t="s">
        <v>10380</v>
      </c>
      <c r="O1899" s="35" t="s">
        <v>9993</v>
      </c>
    </row>
    <row r="1900">
      <c r="A1900" s="38"/>
      <c r="B1900" s="28" t="s">
        <v>10385</v>
      </c>
      <c r="C1900" s="28" t="s">
        <v>10000</v>
      </c>
      <c r="D1900" s="29" t="s">
        <v>10386</v>
      </c>
      <c r="E1900" s="30" t="s">
        <v>10387</v>
      </c>
      <c r="F1900" s="28" t="s">
        <v>10388</v>
      </c>
      <c r="I1900" s="32"/>
      <c r="J1900" s="32"/>
      <c r="K1900" s="33" t="s">
        <v>10385</v>
      </c>
      <c r="L1900" s="33" t="s">
        <v>10389</v>
      </c>
      <c r="N1900" s="33" t="s">
        <v>10385</v>
      </c>
      <c r="O1900" s="35" t="s">
        <v>9999</v>
      </c>
    </row>
    <row r="1901">
      <c r="A1901" s="38"/>
      <c r="B1901" s="28" t="s">
        <v>10390</v>
      </c>
      <c r="C1901" s="28" t="s">
        <v>10391</v>
      </c>
      <c r="D1901" s="29" t="s">
        <v>10392</v>
      </c>
      <c r="E1901" s="30" t="s">
        <v>10393</v>
      </c>
      <c r="F1901" s="28" t="s">
        <v>10394</v>
      </c>
      <c r="I1901" s="32"/>
      <c r="J1901" s="32"/>
      <c r="K1901" s="33" t="s">
        <v>10390</v>
      </c>
      <c r="L1901" s="33" t="s">
        <v>10395</v>
      </c>
      <c r="N1901" s="33" t="s">
        <v>10390</v>
      </c>
      <c r="O1901" s="35"/>
    </row>
    <row r="1902">
      <c r="A1902" s="38"/>
      <c r="B1902" s="28" t="s">
        <v>10396</v>
      </c>
      <c r="C1902" s="28" t="s">
        <v>10397</v>
      </c>
      <c r="D1902" s="29" t="s">
        <v>10398</v>
      </c>
      <c r="E1902" s="30" t="s">
        <v>10399</v>
      </c>
      <c r="F1902" s="28" t="s">
        <v>10400</v>
      </c>
      <c r="I1902" s="32"/>
      <c r="J1902" s="32"/>
      <c r="K1902" s="33" t="s">
        <v>10396</v>
      </c>
      <c r="L1902" s="33" t="s">
        <v>10401</v>
      </c>
      <c r="N1902" s="33" t="s">
        <v>10396</v>
      </c>
      <c r="O1902" s="35"/>
    </row>
    <row r="1903">
      <c r="A1903" s="38"/>
      <c r="B1903" s="28" t="s">
        <v>10402</v>
      </c>
      <c r="C1903" s="28" t="s">
        <v>10403</v>
      </c>
      <c r="D1903" s="29" t="s">
        <v>10404</v>
      </c>
      <c r="E1903" s="30"/>
      <c r="F1903" s="28" t="s">
        <v>10405</v>
      </c>
      <c r="I1903" s="32"/>
      <c r="J1903" s="32"/>
      <c r="K1903" s="33" t="s">
        <v>10402</v>
      </c>
      <c r="L1903" s="33" t="s">
        <v>10406</v>
      </c>
      <c r="N1903" s="33" t="s">
        <v>10402</v>
      </c>
      <c r="O1903" s="35" t="s">
        <v>10407</v>
      </c>
    </row>
    <row r="1904">
      <c r="A1904" s="38"/>
      <c r="B1904" s="28" t="s">
        <v>10408</v>
      </c>
      <c r="C1904" s="28" t="s">
        <v>10013</v>
      </c>
      <c r="D1904" s="29" t="s">
        <v>10409</v>
      </c>
      <c r="E1904" s="30" t="s">
        <v>10410</v>
      </c>
      <c r="F1904" s="28" t="s">
        <v>10411</v>
      </c>
      <c r="I1904" s="32"/>
      <c r="J1904" s="32"/>
      <c r="K1904" s="33" t="s">
        <v>10408</v>
      </c>
      <c r="L1904" s="33" t="s">
        <v>10412</v>
      </c>
      <c r="N1904" s="33" t="s">
        <v>10408</v>
      </c>
      <c r="O1904" s="35"/>
    </row>
    <row r="1905">
      <c r="A1905" s="38"/>
      <c r="B1905" s="28" t="s">
        <v>10413</v>
      </c>
      <c r="C1905" s="28" t="s">
        <v>10024</v>
      </c>
      <c r="D1905" s="29" t="s">
        <v>10414</v>
      </c>
      <c r="E1905" s="54" t="s">
        <v>10415</v>
      </c>
      <c r="F1905" s="28" t="s">
        <v>10416</v>
      </c>
      <c r="I1905" s="32"/>
      <c r="J1905" s="32"/>
      <c r="K1905" s="33" t="s">
        <v>10413</v>
      </c>
      <c r="L1905" s="33" t="s">
        <v>10417</v>
      </c>
      <c r="N1905" s="33" t="s">
        <v>10413</v>
      </c>
      <c r="O1905" s="35"/>
    </row>
    <row r="1906">
      <c r="A1906" s="38"/>
      <c r="B1906" s="28" t="s">
        <v>10418</v>
      </c>
      <c r="C1906" s="28" t="s">
        <v>10419</v>
      </c>
      <c r="D1906" s="29" t="s">
        <v>10420</v>
      </c>
      <c r="E1906" s="30" t="s">
        <v>241</v>
      </c>
      <c r="F1906" s="28" t="s">
        <v>235</v>
      </c>
      <c r="I1906" s="32"/>
      <c r="J1906" s="32"/>
      <c r="K1906" s="33" t="s">
        <v>10418</v>
      </c>
      <c r="L1906" s="33" t="s">
        <v>10421</v>
      </c>
      <c r="N1906" s="33" t="s">
        <v>10418</v>
      </c>
      <c r="O1906" s="35"/>
    </row>
    <row r="1907">
      <c r="A1907" s="38"/>
      <c r="B1907" s="28" t="s">
        <v>10422</v>
      </c>
      <c r="C1907" s="28" t="s">
        <v>10030</v>
      </c>
      <c r="D1907" s="29" t="s">
        <v>10423</v>
      </c>
      <c r="E1907" s="30" t="s">
        <v>10424</v>
      </c>
      <c r="F1907" s="28" t="s">
        <v>10425</v>
      </c>
      <c r="I1907" s="32"/>
      <c r="J1907" s="32"/>
      <c r="K1907" s="33" t="s">
        <v>10422</v>
      </c>
      <c r="L1907" s="33" t="s">
        <v>10426</v>
      </c>
      <c r="N1907" s="33" t="s">
        <v>10422</v>
      </c>
      <c r="O1907" s="35" t="s">
        <v>10029</v>
      </c>
    </row>
    <row r="1908">
      <c r="A1908" s="38"/>
      <c r="B1908" s="28" t="s">
        <v>10427</v>
      </c>
      <c r="C1908" s="28" t="s">
        <v>10034</v>
      </c>
      <c r="D1908" s="29" t="s">
        <v>10428</v>
      </c>
      <c r="E1908" s="30" t="s">
        <v>10429</v>
      </c>
      <c r="F1908" s="28" t="s">
        <v>10430</v>
      </c>
      <c r="I1908" s="32"/>
      <c r="J1908" s="32"/>
      <c r="K1908" s="33" t="s">
        <v>10427</v>
      </c>
      <c r="L1908" s="33" t="s">
        <v>10431</v>
      </c>
      <c r="N1908" s="33" t="s">
        <v>10427</v>
      </c>
      <c r="O1908" s="35"/>
    </row>
    <row r="1909">
      <c r="A1909" s="38"/>
      <c r="B1909" s="28" t="s">
        <v>10432</v>
      </c>
      <c r="C1909" s="28" t="s">
        <v>10039</v>
      </c>
      <c r="D1909" s="29" t="s">
        <v>10433</v>
      </c>
      <c r="E1909" s="30"/>
      <c r="F1909" s="28" t="s">
        <v>10434</v>
      </c>
      <c r="I1909" s="32"/>
      <c r="J1909" s="32"/>
      <c r="K1909" s="33" t="s">
        <v>10432</v>
      </c>
      <c r="L1909" s="33" t="s">
        <v>10435</v>
      </c>
      <c r="N1909" s="33" t="s">
        <v>10432</v>
      </c>
      <c r="O1909" s="35" t="s">
        <v>10038</v>
      </c>
    </row>
    <row r="1910">
      <c r="A1910" s="38"/>
      <c r="B1910" s="28" t="s">
        <v>10436</v>
      </c>
      <c r="C1910" s="28" t="s">
        <v>10049</v>
      </c>
      <c r="D1910" s="29" t="s">
        <v>10437</v>
      </c>
      <c r="E1910" s="30" t="s">
        <v>2784</v>
      </c>
      <c r="F1910" s="28" t="s">
        <v>10438</v>
      </c>
      <c r="I1910" s="32"/>
      <c r="J1910" s="32"/>
      <c r="K1910" s="33" t="s">
        <v>10436</v>
      </c>
      <c r="L1910" s="33" t="s">
        <v>10439</v>
      </c>
      <c r="N1910" s="33" t="s">
        <v>10436</v>
      </c>
      <c r="O1910" s="35" t="s">
        <v>10048</v>
      </c>
    </row>
    <row r="1911">
      <c r="A1911" s="38"/>
      <c r="B1911" s="28" t="s">
        <v>10440</v>
      </c>
      <c r="C1911" s="28" t="s">
        <v>10053</v>
      </c>
      <c r="D1911" s="29" t="s">
        <v>10441</v>
      </c>
      <c r="E1911" s="30" t="s">
        <v>10442</v>
      </c>
      <c r="F1911" s="28" t="s">
        <v>10443</v>
      </c>
      <c r="I1911" s="32"/>
      <c r="J1911" s="32"/>
      <c r="K1911" s="33" t="s">
        <v>10440</v>
      </c>
      <c r="L1911" s="33" t="s">
        <v>10444</v>
      </c>
      <c r="N1911" s="33" t="s">
        <v>10440</v>
      </c>
      <c r="O1911" s="35" t="s">
        <v>10048</v>
      </c>
    </row>
    <row r="1912">
      <c r="A1912" s="38"/>
      <c r="B1912" s="28" t="s">
        <v>10445</v>
      </c>
      <c r="C1912" s="28" t="s">
        <v>10064</v>
      </c>
      <c r="D1912" s="29" t="s">
        <v>10446</v>
      </c>
      <c r="E1912" s="30" t="s">
        <v>10447</v>
      </c>
      <c r="F1912" s="28" t="s">
        <v>10448</v>
      </c>
      <c r="I1912" s="32"/>
      <c r="J1912" s="32"/>
      <c r="K1912" s="33" t="s">
        <v>10445</v>
      </c>
      <c r="L1912" s="33" t="s">
        <v>10449</v>
      </c>
      <c r="N1912" s="33" t="s">
        <v>10445</v>
      </c>
      <c r="O1912" s="35" t="s">
        <v>10063</v>
      </c>
    </row>
    <row r="1913">
      <c r="A1913" s="38"/>
      <c r="B1913" s="28" t="s">
        <v>10450</v>
      </c>
      <c r="C1913" s="28" t="s">
        <v>10451</v>
      </c>
      <c r="D1913" s="29" t="s">
        <v>10452</v>
      </c>
      <c r="E1913" s="30"/>
      <c r="F1913" s="28" t="s">
        <v>10453</v>
      </c>
      <c r="I1913" s="32"/>
      <c r="J1913" s="32"/>
      <c r="K1913" s="33" t="s">
        <v>10450</v>
      </c>
      <c r="L1913" s="33" t="s">
        <v>10454</v>
      </c>
      <c r="N1913" s="33" t="s">
        <v>10450</v>
      </c>
      <c r="O1913" s="35" t="s">
        <v>10455</v>
      </c>
    </row>
    <row r="1914">
      <c r="A1914" s="38"/>
      <c r="B1914" s="28" t="s">
        <v>10456</v>
      </c>
      <c r="C1914" s="28" t="s">
        <v>10075</v>
      </c>
      <c r="D1914" s="29" t="s">
        <v>10457</v>
      </c>
      <c r="E1914" s="30" t="s">
        <v>10458</v>
      </c>
      <c r="F1914" s="28" t="s">
        <v>10459</v>
      </c>
      <c r="I1914" s="32"/>
      <c r="J1914" s="32"/>
      <c r="K1914" s="33" t="s">
        <v>10456</v>
      </c>
      <c r="L1914" s="33" t="s">
        <v>10460</v>
      </c>
      <c r="N1914" s="33" t="s">
        <v>10456</v>
      </c>
      <c r="O1914" s="35" t="s">
        <v>10074</v>
      </c>
    </row>
    <row r="1915">
      <c r="A1915" s="38"/>
      <c r="B1915" s="28" t="s">
        <v>10461</v>
      </c>
      <c r="C1915" s="28" t="s">
        <v>10098</v>
      </c>
      <c r="D1915" s="29" t="s">
        <v>10462</v>
      </c>
      <c r="E1915" s="30" t="s">
        <v>10463</v>
      </c>
      <c r="F1915" s="28" t="s">
        <v>10464</v>
      </c>
      <c r="I1915" s="32"/>
      <c r="J1915" s="32"/>
      <c r="K1915" s="33" t="s">
        <v>10461</v>
      </c>
      <c r="L1915" s="33" t="s">
        <v>10465</v>
      </c>
      <c r="N1915" s="33" t="s">
        <v>10461</v>
      </c>
      <c r="O1915" s="35" t="s">
        <v>10097</v>
      </c>
    </row>
    <row r="1916">
      <c r="A1916" s="38"/>
      <c r="B1916" s="28" t="s">
        <v>10466</v>
      </c>
      <c r="C1916" s="28" t="s">
        <v>10467</v>
      </c>
      <c r="D1916" s="29" t="s">
        <v>10468</v>
      </c>
      <c r="E1916" s="30" t="s">
        <v>10469</v>
      </c>
      <c r="F1916" s="28" t="s">
        <v>10470</v>
      </c>
      <c r="I1916" s="32"/>
      <c r="J1916" s="32"/>
      <c r="K1916" s="33" t="s">
        <v>10466</v>
      </c>
      <c r="L1916" s="33" t="s">
        <v>10471</v>
      </c>
      <c r="N1916" s="33" t="s">
        <v>10466</v>
      </c>
      <c r="O1916" s="35" t="s">
        <v>10472</v>
      </c>
    </row>
    <row r="1917">
      <c r="A1917" s="38"/>
      <c r="B1917" s="28" t="s">
        <v>10473</v>
      </c>
      <c r="C1917" s="28" t="s">
        <v>10110</v>
      </c>
      <c r="D1917" s="29" t="s">
        <v>10474</v>
      </c>
      <c r="E1917" s="30"/>
      <c r="F1917" s="28" t="s">
        <v>10475</v>
      </c>
      <c r="I1917" s="32"/>
      <c r="J1917" s="32"/>
      <c r="K1917" s="33" t="s">
        <v>10473</v>
      </c>
      <c r="L1917" s="33" t="s">
        <v>10476</v>
      </c>
      <c r="N1917" s="33" t="s">
        <v>10473</v>
      </c>
      <c r="O1917" s="35" t="s">
        <v>10109</v>
      </c>
    </row>
    <row r="1918">
      <c r="A1918" s="38"/>
      <c r="B1918" s="28" t="s">
        <v>10477</v>
      </c>
      <c r="C1918" s="28" t="s">
        <v>10115</v>
      </c>
      <c r="D1918" s="29" t="s">
        <v>10478</v>
      </c>
      <c r="E1918" s="30" t="s">
        <v>10479</v>
      </c>
      <c r="F1918" s="28" t="s">
        <v>10480</v>
      </c>
      <c r="I1918" s="32"/>
      <c r="J1918" s="32"/>
      <c r="K1918" s="33" t="s">
        <v>10477</v>
      </c>
      <c r="L1918" s="33" t="s">
        <v>10481</v>
      </c>
      <c r="N1918" s="33" t="s">
        <v>10477</v>
      </c>
      <c r="O1918" s="35" t="s">
        <v>10114</v>
      </c>
    </row>
    <row r="1919">
      <c r="A1919" s="38"/>
      <c r="B1919" s="28" t="s">
        <v>10482</v>
      </c>
      <c r="C1919" s="28" t="s">
        <v>10483</v>
      </c>
      <c r="D1919" s="29" t="s">
        <v>10484</v>
      </c>
      <c r="E1919" s="30"/>
      <c r="F1919" s="28" t="s">
        <v>10485</v>
      </c>
      <c r="I1919" s="32"/>
      <c r="J1919" s="32"/>
      <c r="K1919" s="33" t="s">
        <v>10482</v>
      </c>
      <c r="L1919" s="33" t="s">
        <v>10486</v>
      </c>
      <c r="N1919" s="33" t="s">
        <v>10482</v>
      </c>
      <c r="O1919" s="47" t="s">
        <v>10487</v>
      </c>
    </row>
    <row r="1920">
      <c r="A1920" s="38"/>
      <c r="B1920" s="28" t="s">
        <v>10488</v>
      </c>
      <c r="C1920" s="28" t="s">
        <v>10121</v>
      </c>
      <c r="D1920" s="29" t="s">
        <v>10489</v>
      </c>
      <c r="E1920" s="30" t="s">
        <v>10490</v>
      </c>
      <c r="F1920" s="28" t="s">
        <v>10491</v>
      </c>
      <c r="I1920" s="32"/>
      <c r="J1920" s="32"/>
      <c r="K1920" s="33" t="s">
        <v>10488</v>
      </c>
      <c r="L1920" s="33" t="s">
        <v>10492</v>
      </c>
      <c r="N1920" s="33" t="s">
        <v>10488</v>
      </c>
      <c r="O1920" s="35" t="s">
        <v>10120</v>
      </c>
    </row>
    <row r="1921">
      <c r="A1921" s="38"/>
      <c r="B1921" s="28" t="s">
        <v>10493</v>
      </c>
      <c r="C1921" s="28" t="s">
        <v>10126</v>
      </c>
      <c r="D1921" s="29" t="s">
        <v>10494</v>
      </c>
      <c r="E1921" s="30" t="s">
        <v>10495</v>
      </c>
      <c r="F1921" s="28" t="s">
        <v>10496</v>
      </c>
      <c r="I1921" s="32"/>
      <c r="J1921" s="32"/>
      <c r="K1921" s="33" t="s">
        <v>10493</v>
      </c>
      <c r="L1921" s="33" t="s">
        <v>10497</v>
      </c>
      <c r="N1921" s="33" t="s">
        <v>10493</v>
      </c>
      <c r="O1921" s="47" t="s">
        <v>10498</v>
      </c>
    </row>
    <row r="1922">
      <c r="A1922" s="38"/>
      <c r="B1922" s="28" t="s">
        <v>10499</v>
      </c>
      <c r="C1922" s="28" t="s">
        <v>10142</v>
      </c>
      <c r="D1922" s="29" t="s">
        <v>10500</v>
      </c>
      <c r="E1922" s="30"/>
      <c r="F1922" s="28" t="s">
        <v>10501</v>
      </c>
      <c r="I1922" s="32"/>
      <c r="J1922" s="32"/>
      <c r="K1922" s="33" t="s">
        <v>10499</v>
      </c>
      <c r="L1922" s="33" t="s">
        <v>10502</v>
      </c>
      <c r="N1922" s="33" t="s">
        <v>10499</v>
      </c>
      <c r="O1922" s="35" t="s">
        <v>10141</v>
      </c>
    </row>
    <row r="1923">
      <c r="A1923" s="38"/>
      <c r="B1923" s="28" t="s">
        <v>10503</v>
      </c>
      <c r="C1923" s="28" t="s">
        <v>10147</v>
      </c>
      <c r="D1923" s="29" t="s">
        <v>10504</v>
      </c>
      <c r="E1923" s="30" t="s">
        <v>10505</v>
      </c>
      <c r="F1923" s="28" t="s">
        <v>10506</v>
      </c>
      <c r="I1923" s="32"/>
      <c r="J1923" s="32"/>
      <c r="K1923" s="33" t="s">
        <v>10503</v>
      </c>
      <c r="L1923" s="33" t="s">
        <v>10507</v>
      </c>
      <c r="N1923" s="33" t="s">
        <v>10503</v>
      </c>
      <c r="O1923" s="35"/>
    </row>
    <row r="1924">
      <c r="A1924" s="38"/>
      <c r="B1924" s="28" t="s">
        <v>10508</v>
      </c>
      <c r="C1924" s="28" t="s">
        <v>10151</v>
      </c>
      <c r="D1924" s="29" t="s">
        <v>10509</v>
      </c>
      <c r="E1924" s="30" t="s">
        <v>10510</v>
      </c>
      <c r="F1924" s="28" t="s">
        <v>10511</v>
      </c>
      <c r="I1924" s="32"/>
      <c r="J1924" s="32"/>
      <c r="K1924" s="33" t="s">
        <v>10508</v>
      </c>
      <c r="L1924" s="33" t="s">
        <v>10512</v>
      </c>
      <c r="N1924" s="33" t="s">
        <v>10508</v>
      </c>
      <c r="O1924" s="35"/>
    </row>
    <row r="1925">
      <c r="A1925" s="38"/>
      <c r="B1925" s="28" t="s">
        <v>10513</v>
      </c>
      <c r="C1925" s="28" t="s">
        <v>10157</v>
      </c>
      <c r="D1925" s="29" t="s">
        <v>10514</v>
      </c>
      <c r="E1925" s="30" t="s">
        <v>10515</v>
      </c>
      <c r="F1925" s="28" t="s">
        <v>10516</v>
      </c>
      <c r="I1925" s="32"/>
      <c r="J1925" s="32"/>
      <c r="K1925" s="33" t="s">
        <v>10513</v>
      </c>
      <c r="L1925" s="33" t="s">
        <v>10517</v>
      </c>
      <c r="N1925" s="33" t="s">
        <v>10513</v>
      </c>
      <c r="O1925" s="35" t="s">
        <v>10156</v>
      </c>
    </row>
    <row r="1926">
      <c r="A1926" s="38"/>
      <c r="B1926" s="28" t="s">
        <v>10518</v>
      </c>
      <c r="C1926" s="28" t="s">
        <v>10519</v>
      </c>
      <c r="D1926" s="29" t="s">
        <v>10520</v>
      </c>
      <c r="E1926" s="30"/>
      <c r="F1926" s="28" t="s">
        <v>10521</v>
      </c>
      <c r="I1926" s="32"/>
      <c r="J1926" s="32"/>
      <c r="K1926" s="33" t="s">
        <v>10518</v>
      </c>
      <c r="L1926" s="33" t="s">
        <v>10522</v>
      </c>
      <c r="N1926" s="33" t="s">
        <v>10518</v>
      </c>
      <c r="O1926" s="35" t="s">
        <v>10523</v>
      </c>
    </row>
    <row r="1927">
      <c r="A1927" s="38"/>
      <c r="B1927" s="28" t="s">
        <v>10524</v>
      </c>
      <c r="C1927" s="28" t="s">
        <v>10525</v>
      </c>
      <c r="D1927" s="29" t="s">
        <v>10526</v>
      </c>
      <c r="E1927" s="30" t="s">
        <v>10527</v>
      </c>
      <c r="F1927" s="28" t="s">
        <v>10528</v>
      </c>
      <c r="I1927" s="32"/>
      <c r="J1927" s="32"/>
      <c r="K1927" s="33" t="s">
        <v>10524</v>
      </c>
      <c r="L1927" s="33" t="s">
        <v>10529</v>
      </c>
      <c r="N1927" s="33" t="s">
        <v>10524</v>
      </c>
      <c r="O1927" s="35"/>
    </row>
    <row r="1928">
      <c r="A1928" s="38"/>
      <c r="B1928" s="28" t="s">
        <v>10530</v>
      </c>
      <c r="C1928" s="28" t="s">
        <v>10173</v>
      </c>
      <c r="D1928" s="29" t="s">
        <v>10531</v>
      </c>
      <c r="E1928" s="30"/>
      <c r="F1928" s="28" t="s">
        <v>10532</v>
      </c>
      <c r="I1928" s="32"/>
      <c r="J1928" s="32"/>
      <c r="K1928" s="33" t="s">
        <v>10530</v>
      </c>
      <c r="L1928" s="33" t="s">
        <v>10533</v>
      </c>
      <c r="N1928" s="33" t="s">
        <v>10530</v>
      </c>
      <c r="O1928" s="35"/>
    </row>
    <row r="1929">
      <c r="A1929" s="38"/>
      <c r="B1929" s="28" t="s">
        <v>10534</v>
      </c>
      <c r="C1929" s="28" t="s">
        <v>10535</v>
      </c>
      <c r="D1929" s="29" t="s">
        <v>10536</v>
      </c>
      <c r="E1929" s="30" t="s">
        <v>10537</v>
      </c>
      <c r="F1929" s="28" t="s">
        <v>10538</v>
      </c>
      <c r="I1929" s="32"/>
      <c r="J1929" s="32"/>
      <c r="K1929" s="33" t="s">
        <v>10534</v>
      </c>
      <c r="L1929" s="33" t="s">
        <v>10539</v>
      </c>
      <c r="N1929" s="33" t="s">
        <v>10534</v>
      </c>
      <c r="O1929" s="35" t="s">
        <v>10540</v>
      </c>
    </row>
    <row r="1930">
      <c r="A1930" s="38"/>
      <c r="B1930" s="28" t="s">
        <v>10541</v>
      </c>
      <c r="C1930" s="28" t="s">
        <v>10542</v>
      </c>
      <c r="D1930" s="29" t="s">
        <v>10543</v>
      </c>
      <c r="E1930" s="54" t="s">
        <v>10544</v>
      </c>
      <c r="F1930" s="28" t="s">
        <v>10545</v>
      </c>
      <c r="I1930" s="32"/>
      <c r="J1930" s="32"/>
      <c r="K1930" s="33" t="s">
        <v>10541</v>
      </c>
      <c r="L1930" s="33" t="s">
        <v>10546</v>
      </c>
      <c r="N1930" s="33" t="s">
        <v>10541</v>
      </c>
      <c r="O1930" s="35"/>
    </row>
    <row r="1931">
      <c r="A1931" s="38"/>
      <c r="B1931" s="28" t="s">
        <v>10547</v>
      </c>
      <c r="C1931" s="28" t="s">
        <v>10548</v>
      </c>
      <c r="D1931" s="29" t="s">
        <v>10549</v>
      </c>
      <c r="E1931" s="30" t="s">
        <v>10550</v>
      </c>
      <c r="F1931" s="28" t="s">
        <v>10551</v>
      </c>
      <c r="I1931" s="32"/>
      <c r="J1931" s="32"/>
      <c r="K1931" s="33" t="s">
        <v>10547</v>
      </c>
      <c r="L1931" s="33" t="s">
        <v>10552</v>
      </c>
      <c r="N1931" s="33" t="s">
        <v>10547</v>
      </c>
      <c r="O1931" s="35" t="s">
        <v>10553</v>
      </c>
    </row>
    <row r="1932">
      <c r="A1932" s="38"/>
      <c r="B1932" s="28" t="s">
        <v>10554</v>
      </c>
      <c r="C1932" s="28" t="s">
        <v>10555</v>
      </c>
      <c r="D1932" s="29" t="s">
        <v>10556</v>
      </c>
      <c r="E1932" s="30" t="s">
        <v>7279</v>
      </c>
      <c r="F1932" s="28" t="s">
        <v>10557</v>
      </c>
      <c r="I1932" s="32"/>
      <c r="J1932" s="32"/>
      <c r="K1932" s="33" t="s">
        <v>10554</v>
      </c>
      <c r="L1932" s="33" t="s">
        <v>10558</v>
      </c>
      <c r="N1932" s="33" t="s">
        <v>10554</v>
      </c>
      <c r="O1932" s="35"/>
    </row>
    <row r="1933">
      <c r="A1933" s="38"/>
      <c r="B1933" s="28" t="s">
        <v>10559</v>
      </c>
      <c r="C1933" s="28" t="s">
        <v>10560</v>
      </c>
      <c r="D1933" s="29" t="s">
        <v>10561</v>
      </c>
      <c r="E1933" s="30" t="s">
        <v>10562</v>
      </c>
      <c r="F1933" s="28" t="s">
        <v>10563</v>
      </c>
      <c r="I1933" s="32"/>
      <c r="J1933" s="32"/>
      <c r="K1933" s="33" t="s">
        <v>10559</v>
      </c>
      <c r="L1933" s="33" t="s">
        <v>10564</v>
      </c>
      <c r="N1933" s="33" t="s">
        <v>10559</v>
      </c>
      <c r="O1933" s="35" t="s">
        <v>10565</v>
      </c>
    </row>
    <row r="1934">
      <c r="A1934" s="38"/>
      <c r="B1934" s="28" t="s">
        <v>10566</v>
      </c>
      <c r="C1934" s="28" t="s">
        <v>10190</v>
      </c>
      <c r="D1934" s="29" t="s">
        <v>10567</v>
      </c>
      <c r="E1934" s="30" t="s">
        <v>10568</v>
      </c>
      <c r="F1934" s="28" t="s">
        <v>10569</v>
      </c>
      <c r="I1934" s="32"/>
      <c r="J1934" s="32"/>
      <c r="K1934" s="33" t="s">
        <v>10566</v>
      </c>
      <c r="L1934" s="33" t="s">
        <v>10570</v>
      </c>
      <c r="N1934" s="33" t="s">
        <v>10566</v>
      </c>
      <c r="O1934" s="35" t="s">
        <v>10189</v>
      </c>
    </row>
    <row r="1935">
      <c r="A1935" s="38"/>
      <c r="B1935" s="28" t="s">
        <v>10571</v>
      </c>
      <c r="C1935" s="28" t="s">
        <v>10196</v>
      </c>
      <c r="D1935" s="29" t="s">
        <v>10572</v>
      </c>
      <c r="E1935" s="54" t="s">
        <v>10573</v>
      </c>
      <c r="F1935" s="28" t="s">
        <v>10574</v>
      </c>
      <c r="I1935" s="32"/>
      <c r="J1935" s="32"/>
      <c r="K1935" s="33" t="s">
        <v>10571</v>
      </c>
      <c r="L1935" s="33" t="s">
        <v>10575</v>
      </c>
      <c r="N1935" s="33" t="s">
        <v>10571</v>
      </c>
      <c r="O1935" s="47" t="s">
        <v>10576</v>
      </c>
    </row>
    <row r="1936">
      <c r="A1936" s="38"/>
      <c r="B1936" s="28" t="s">
        <v>10577</v>
      </c>
      <c r="C1936" s="28" t="s">
        <v>10578</v>
      </c>
      <c r="D1936" s="29" t="s">
        <v>10579</v>
      </c>
      <c r="E1936" s="30"/>
      <c r="F1936" s="28" t="s">
        <v>10580</v>
      </c>
      <c r="I1936" s="32"/>
      <c r="J1936" s="32"/>
      <c r="K1936" s="33" t="s">
        <v>10577</v>
      </c>
      <c r="L1936" s="33" t="s">
        <v>10581</v>
      </c>
      <c r="N1936" s="33" t="s">
        <v>10577</v>
      </c>
      <c r="O1936" s="35" t="s">
        <v>10582</v>
      </c>
    </row>
    <row r="1937">
      <c r="A1937" s="38"/>
      <c r="B1937" s="28" t="s">
        <v>10583</v>
      </c>
      <c r="C1937" s="28" t="s">
        <v>10206</v>
      </c>
      <c r="D1937" s="29" t="s">
        <v>10584</v>
      </c>
      <c r="E1937" s="30" t="s">
        <v>10585</v>
      </c>
      <c r="F1937" s="28" t="s">
        <v>10586</v>
      </c>
      <c r="I1937" s="32"/>
      <c r="J1937" s="32"/>
      <c r="K1937" s="33" t="s">
        <v>10583</v>
      </c>
      <c r="L1937" s="33" t="s">
        <v>10587</v>
      </c>
      <c r="N1937" s="33" t="s">
        <v>10583</v>
      </c>
      <c r="O1937" s="35" t="s">
        <v>10205</v>
      </c>
    </row>
    <row r="1938">
      <c r="A1938" s="38"/>
      <c r="B1938" s="28" t="s">
        <v>10588</v>
      </c>
      <c r="C1938" s="28" t="s">
        <v>10212</v>
      </c>
      <c r="D1938" s="29" t="s">
        <v>10589</v>
      </c>
      <c r="E1938" s="30" t="s">
        <v>10590</v>
      </c>
      <c r="F1938" s="28" t="s">
        <v>10591</v>
      </c>
      <c r="I1938" s="32"/>
      <c r="J1938" s="32"/>
      <c r="K1938" s="33" t="s">
        <v>10588</v>
      </c>
      <c r="L1938" s="33" t="s">
        <v>10592</v>
      </c>
      <c r="N1938" s="33" t="s">
        <v>10588</v>
      </c>
      <c r="O1938" s="35" t="s">
        <v>10211</v>
      </c>
    </row>
    <row r="1939">
      <c r="A1939" s="38"/>
      <c r="B1939" s="28" t="s">
        <v>10593</v>
      </c>
      <c r="C1939" s="28" t="s">
        <v>10217</v>
      </c>
      <c r="D1939" s="29" t="s">
        <v>10594</v>
      </c>
      <c r="E1939" s="30" t="s">
        <v>10595</v>
      </c>
      <c r="F1939" s="28" t="s">
        <v>10596</v>
      </c>
      <c r="I1939" s="32"/>
      <c r="J1939" s="32"/>
      <c r="K1939" s="33" t="s">
        <v>10593</v>
      </c>
      <c r="L1939" s="33" t="s">
        <v>10597</v>
      </c>
      <c r="N1939" s="33" t="s">
        <v>10593</v>
      </c>
      <c r="O1939" s="35" t="s">
        <v>10216</v>
      </c>
    </row>
    <row r="1940">
      <c r="A1940" s="38"/>
      <c r="B1940" s="28" t="s">
        <v>10598</v>
      </c>
      <c r="C1940" s="28" t="s">
        <v>10222</v>
      </c>
      <c r="D1940" s="29" t="s">
        <v>10599</v>
      </c>
      <c r="E1940" s="30" t="s">
        <v>10595</v>
      </c>
      <c r="F1940" s="28" t="s">
        <v>10600</v>
      </c>
      <c r="I1940" s="32"/>
      <c r="J1940" s="32"/>
      <c r="K1940" s="33" t="s">
        <v>10598</v>
      </c>
      <c r="L1940" s="33" t="s">
        <v>10601</v>
      </c>
      <c r="N1940" s="33" t="s">
        <v>10598</v>
      </c>
      <c r="O1940" s="35"/>
    </row>
    <row r="1941">
      <c r="A1941" s="38"/>
      <c r="B1941" s="28" t="s">
        <v>10602</v>
      </c>
      <c r="C1941" s="28" t="s">
        <v>10229</v>
      </c>
      <c r="D1941" s="29" t="s">
        <v>10603</v>
      </c>
      <c r="E1941" s="30" t="s">
        <v>10604</v>
      </c>
      <c r="F1941" s="28" t="s">
        <v>10605</v>
      </c>
      <c r="I1941" s="32"/>
      <c r="J1941" s="32"/>
      <c r="K1941" s="33" t="s">
        <v>10602</v>
      </c>
      <c r="L1941" s="33" t="s">
        <v>10606</v>
      </c>
      <c r="N1941" s="33" t="s">
        <v>10602</v>
      </c>
      <c r="O1941" s="35" t="s">
        <v>10228</v>
      </c>
    </row>
    <row r="1942">
      <c r="A1942" s="38"/>
      <c r="B1942" s="28" t="s">
        <v>10607</v>
      </c>
      <c r="C1942" s="28" t="s">
        <v>10608</v>
      </c>
      <c r="D1942" s="29" t="s">
        <v>10609</v>
      </c>
      <c r="E1942" s="30" t="s">
        <v>10610</v>
      </c>
      <c r="F1942" s="28" t="s">
        <v>10611</v>
      </c>
      <c r="I1942" s="32"/>
      <c r="J1942" s="32"/>
      <c r="K1942" s="33" t="s">
        <v>10607</v>
      </c>
      <c r="L1942" s="33" t="s">
        <v>10612</v>
      </c>
      <c r="N1942" s="33" t="s">
        <v>10607</v>
      </c>
      <c r="O1942" s="35" t="s">
        <v>10613</v>
      </c>
    </row>
    <row r="1943">
      <c r="A1943" s="38"/>
      <c r="B1943" s="28" t="s">
        <v>10614</v>
      </c>
      <c r="C1943" s="28" t="s">
        <v>10239</v>
      </c>
      <c r="D1943" s="29" t="s">
        <v>10615</v>
      </c>
      <c r="E1943" s="30" t="s">
        <v>10616</v>
      </c>
      <c r="F1943" s="28" t="s">
        <v>10617</v>
      </c>
      <c r="I1943" s="32"/>
      <c r="J1943" s="32"/>
      <c r="K1943" s="33" t="s">
        <v>10614</v>
      </c>
      <c r="L1943" s="33" t="s">
        <v>10618</v>
      </c>
      <c r="N1943" s="33" t="s">
        <v>10614</v>
      </c>
      <c r="O1943" s="35" t="s">
        <v>10238</v>
      </c>
    </row>
    <row r="1944">
      <c r="A1944" s="38"/>
      <c r="B1944" s="28" t="s">
        <v>10619</v>
      </c>
      <c r="C1944" s="28" t="s">
        <v>10620</v>
      </c>
      <c r="D1944" s="29" t="s">
        <v>10621</v>
      </c>
      <c r="E1944" s="30" t="s">
        <v>10622</v>
      </c>
      <c r="F1944" s="28" t="s">
        <v>10623</v>
      </c>
      <c r="I1944" s="32"/>
      <c r="J1944" s="32"/>
      <c r="K1944" s="33" t="s">
        <v>10619</v>
      </c>
      <c r="L1944" s="33" t="s">
        <v>10624</v>
      </c>
      <c r="N1944" s="33" t="s">
        <v>10619</v>
      </c>
      <c r="O1944" s="35" t="s">
        <v>10625</v>
      </c>
    </row>
    <row r="1945">
      <c r="A1945" s="38"/>
      <c r="B1945" s="28" t="s">
        <v>10626</v>
      </c>
      <c r="C1945" s="28" t="s">
        <v>10627</v>
      </c>
      <c r="D1945" s="29" t="s">
        <v>10628</v>
      </c>
      <c r="E1945" s="30" t="s">
        <v>10629</v>
      </c>
      <c r="F1945" s="28" t="s">
        <v>10630</v>
      </c>
      <c r="I1945" s="32"/>
      <c r="J1945" s="32"/>
      <c r="K1945" s="33" t="s">
        <v>10626</v>
      </c>
      <c r="L1945" s="33" t="s">
        <v>10631</v>
      </c>
      <c r="N1945" s="33" t="s">
        <v>10626</v>
      </c>
      <c r="O1945" s="35" t="s">
        <v>10632</v>
      </c>
    </row>
    <row r="1946">
      <c r="A1946" s="38"/>
      <c r="B1946" s="28" t="s">
        <v>10633</v>
      </c>
      <c r="C1946" s="28" t="s">
        <v>10262</v>
      </c>
      <c r="D1946" s="29" t="s">
        <v>10634</v>
      </c>
      <c r="E1946" s="30" t="s">
        <v>10635</v>
      </c>
      <c r="F1946" s="28" t="s">
        <v>10636</v>
      </c>
      <c r="I1946" s="32"/>
      <c r="J1946" s="32"/>
      <c r="K1946" s="33" t="s">
        <v>10633</v>
      </c>
      <c r="L1946" s="33" t="s">
        <v>10637</v>
      </c>
      <c r="N1946" s="33" t="s">
        <v>10633</v>
      </c>
      <c r="O1946" s="35" t="s">
        <v>10261</v>
      </c>
    </row>
    <row r="1947">
      <c r="A1947" s="38"/>
      <c r="B1947" s="28" t="s">
        <v>10638</v>
      </c>
      <c r="C1947" s="28" t="s">
        <v>10269</v>
      </c>
      <c r="D1947" s="29" t="s">
        <v>10639</v>
      </c>
      <c r="E1947" s="30" t="s">
        <v>10640</v>
      </c>
      <c r="F1947" s="28" t="s">
        <v>10641</v>
      </c>
      <c r="I1947" s="32"/>
      <c r="J1947" s="32"/>
      <c r="K1947" s="33" t="s">
        <v>10638</v>
      </c>
      <c r="L1947" s="33" t="s">
        <v>10642</v>
      </c>
      <c r="N1947" s="33" t="s">
        <v>10638</v>
      </c>
      <c r="O1947" s="35" t="s">
        <v>10268</v>
      </c>
    </row>
    <row r="1948">
      <c r="A1948" s="38"/>
      <c r="B1948" s="28" t="s">
        <v>10643</v>
      </c>
      <c r="C1948" s="28" t="s">
        <v>10273</v>
      </c>
      <c r="D1948" s="29" t="s">
        <v>10644</v>
      </c>
      <c r="E1948" s="30"/>
      <c r="F1948" s="28" t="s">
        <v>10645</v>
      </c>
      <c r="I1948" s="32"/>
      <c r="J1948" s="32"/>
      <c r="K1948" s="33" t="s">
        <v>10643</v>
      </c>
      <c r="L1948" s="33" t="s">
        <v>10646</v>
      </c>
      <c r="N1948" s="33" t="s">
        <v>10643</v>
      </c>
      <c r="O1948" s="35"/>
    </row>
    <row r="1949">
      <c r="A1949" s="38"/>
      <c r="B1949" s="28" t="s">
        <v>10647</v>
      </c>
      <c r="C1949" s="28" t="s">
        <v>10648</v>
      </c>
      <c r="D1949" s="29" t="s">
        <v>10649</v>
      </c>
      <c r="E1949" s="30"/>
      <c r="F1949" s="28" t="s">
        <v>10650</v>
      </c>
      <c r="I1949" s="32"/>
      <c r="J1949" s="32"/>
      <c r="K1949" s="33" t="s">
        <v>10647</v>
      </c>
      <c r="L1949" s="33" t="s">
        <v>10651</v>
      </c>
      <c r="N1949" s="33" t="s">
        <v>10647</v>
      </c>
      <c r="O1949" s="35" t="s">
        <v>10652</v>
      </c>
    </row>
    <row r="1950">
      <c r="A1950" s="38"/>
      <c r="B1950" s="28" t="s">
        <v>10653</v>
      </c>
      <c r="C1950" s="28" t="s">
        <v>10290</v>
      </c>
      <c r="D1950" s="29" t="s">
        <v>10654</v>
      </c>
      <c r="E1950" s="54" t="s">
        <v>10655</v>
      </c>
      <c r="F1950" s="28" t="s">
        <v>10656</v>
      </c>
      <c r="I1950" s="32"/>
      <c r="J1950" s="32"/>
      <c r="K1950" s="33" t="s">
        <v>10653</v>
      </c>
      <c r="L1950" s="33" t="s">
        <v>10657</v>
      </c>
      <c r="N1950" s="33" t="s">
        <v>10653</v>
      </c>
      <c r="O1950" s="35" t="s">
        <v>10289</v>
      </c>
    </row>
    <row r="1951">
      <c r="A1951" s="38"/>
      <c r="B1951" s="28" t="s">
        <v>10658</v>
      </c>
      <c r="C1951" s="28" t="s">
        <v>10303</v>
      </c>
      <c r="D1951" s="29" t="s">
        <v>10659</v>
      </c>
      <c r="E1951" s="30" t="s">
        <v>10660</v>
      </c>
      <c r="F1951" s="28" t="s">
        <v>10661</v>
      </c>
      <c r="I1951" s="32"/>
      <c r="J1951" s="32"/>
      <c r="K1951" s="33" t="s">
        <v>10658</v>
      </c>
      <c r="L1951" s="33" t="s">
        <v>10662</v>
      </c>
      <c r="N1951" s="33" t="s">
        <v>10658</v>
      </c>
      <c r="O1951" s="35" t="s">
        <v>10302</v>
      </c>
    </row>
    <row r="1952">
      <c r="A1952" s="38"/>
      <c r="B1952" s="28" t="s">
        <v>10663</v>
      </c>
      <c r="C1952" s="28" t="s">
        <v>10308</v>
      </c>
      <c r="D1952" s="29" t="s">
        <v>10664</v>
      </c>
      <c r="E1952" s="30"/>
      <c r="F1952" s="28" t="s">
        <v>10665</v>
      </c>
      <c r="I1952" s="32"/>
      <c r="J1952" s="32"/>
      <c r="K1952" s="33" t="s">
        <v>10663</v>
      </c>
      <c r="L1952" s="33" t="s">
        <v>10666</v>
      </c>
      <c r="N1952" s="33" t="s">
        <v>10663</v>
      </c>
      <c r="O1952" s="35"/>
    </row>
    <row r="1953">
      <c r="A1953" s="38"/>
      <c r="B1953" s="28" t="s">
        <v>10667</v>
      </c>
      <c r="C1953" s="28" t="s">
        <v>10668</v>
      </c>
      <c r="D1953" s="29" t="s">
        <v>10669</v>
      </c>
      <c r="E1953" s="30" t="s">
        <v>10670</v>
      </c>
      <c r="F1953" s="28" t="s">
        <v>10671</v>
      </c>
      <c r="I1953" s="32"/>
      <c r="J1953" s="32"/>
      <c r="K1953" s="33" t="s">
        <v>10667</v>
      </c>
      <c r="L1953" s="33" t="s">
        <v>10672</v>
      </c>
      <c r="N1953" s="33" t="s">
        <v>10667</v>
      </c>
      <c r="O1953" s="35" t="s">
        <v>10673</v>
      </c>
    </row>
    <row r="1954">
      <c r="A1954" s="38"/>
      <c r="B1954" s="28" t="s">
        <v>10674</v>
      </c>
      <c r="C1954" s="28" t="s">
        <v>10675</v>
      </c>
      <c r="D1954" s="29" t="s">
        <v>10676</v>
      </c>
      <c r="E1954" s="30"/>
      <c r="F1954" s="28" t="s">
        <v>368</v>
      </c>
      <c r="I1954" s="32"/>
      <c r="J1954" s="32"/>
      <c r="K1954" s="33" t="s">
        <v>10674</v>
      </c>
      <c r="L1954" s="33" t="s">
        <v>10677</v>
      </c>
      <c r="N1954" s="33" t="s">
        <v>10674</v>
      </c>
      <c r="O1954" s="35" t="s">
        <v>10678</v>
      </c>
    </row>
    <row r="1955">
      <c r="A1955" s="38"/>
      <c r="B1955" s="28" t="s">
        <v>10679</v>
      </c>
      <c r="C1955" s="28" t="s">
        <v>10313</v>
      </c>
      <c r="D1955" s="29" t="s">
        <v>10680</v>
      </c>
      <c r="E1955" s="30" t="s">
        <v>10681</v>
      </c>
      <c r="F1955" s="28" t="s">
        <v>10682</v>
      </c>
      <c r="I1955" s="32"/>
      <c r="J1955" s="32"/>
      <c r="K1955" s="33" t="s">
        <v>10679</v>
      </c>
      <c r="L1955" s="33" t="s">
        <v>10683</v>
      </c>
      <c r="N1955" s="33" t="s">
        <v>10679</v>
      </c>
      <c r="O1955" s="47" t="s">
        <v>10684</v>
      </c>
    </row>
    <row r="1956">
      <c r="A1956" s="38"/>
      <c r="B1956" s="28" t="s">
        <v>10685</v>
      </c>
      <c r="C1956" s="28" t="s">
        <v>10323</v>
      </c>
      <c r="D1956" s="29" t="s">
        <v>10686</v>
      </c>
      <c r="E1956" s="30" t="s">
        <v>10687</v>
      </c>
      <c r="F1956" s="28" t="s">
        <v>10688</v>
      </c>
      <c r="I1956" s="32"/>
      <c r="J1956" s="32"/>
      <c r="K1956" s="33" t="s">
        <v>10685</v>
      </c>
      <c r="L1956" s="33" t="s">
        <v>10689</v>
      </c>
      <c r="N1956" s="33" t="s">
        <v>10685</v>
      </c>
      <c r="O1956" s="35" t="s">
        <v>10322</v>
      </c>
    </row>
    <row r="1957">
      <c r="A1957" s="38"/>
      <c r="B1957" s="28" t="s">
        <v>10690</v>
      </c>
      <c r="C1957" s="28" t="s">
        <v>10329</v>
      </c>
      <c r="D1957" s="29" t="s">
        <v>10691</v>
      </c>
      <c r="E1957" s="30" t="s">
        <v>10692</v>
      </c>
      <c r="F1957" s="28" t="s">
        <v>10693</v>
      </c>
      <c r="I1957" s="32"/>
      <c r="J1957" s="32"/>
      <c r="K1957" s="33" t="s">
        <v>10690</v>
      </c>
      <c r="L1957" s="33" t="s">
        <v>10694</v>
      </c>
      <c r="N1957" s="33" t="s">
        <v>10690</v>
      </c>
      <c r="O1957" s="35" t="s">
        <v>10328</v>
      </c>
    </row>
    <row r="1958">
      <c r="A1958" s="38"/>
      <c r="B1958" s="28" t="s">
        <v>10695</v>
      </c>
      <c r="C1958" s="28" t="s">
        <v>10334</v>
      </c>
      <c r="D1958" s="29" t="s">
        <v>10696</v>
      </c>
      <c r="E1958" s="30" t="s">
        <v>10697</v>
      </c>
      <c r="F1958" s="28" t="s">
        <v>10698</v>
      </c>
      <c r="I1958" s="32"/>
      <c r="J1958" s="32"/>
      <c r="K1958" s="33" t="s">
        <v>10695</v>
      </c>
      <c r="L1958" s="33" t="s">
        <v>10699</v>
      </c>
      <c r="N1958" s="33" t="s">
        <v>10695</v>
      </c>
      <c r="O1958" s="35"/>
    </row>
    <row r="1959">
      <c r="A1959" s="38"/>
      <c r="B1959" s="28" t="s">
        <v>10700</v>
      </c>
      <c r="C1959" s="28" t="s">
        <v>10339</v>
      </c>
      <c r="D1959" s="29" t="s">
        <v>10701</v>
      </c>
      <c r="E1959" s="54" t="s">
        <v>10702</v>
      </c>
      <c r="F1959" s="28" t="s">
        <v>10703</v>
      </c>
      <c r="I1959" s="32"/>
      <c r="J1959" s="32"/>
      <c r="K1959" s="33" t="s">
        <v>10700</v>
      </c>
      <c r="L1959" s="33" t="s">
        <v>10704</v>
      </c>
      <c r="N1959" s="33" t="s">
        <v>10700</v>
      </c>
      <c r="O1959" s="35" t="s">
        <v>10338</v>
      </c>
    </row>
    <row r="1960">
      <c r="A1960" s="38"/>
      <c r="B1960" s="28" t="s">
        <v>10705</v>
      </c>
      <c r="C1960" s="28" t="s">
        <v>10343</v>
      </c>
      <c r="D1960" s="29" t="s">
        <v>10706</v>
      </c>
      <c r="E1960" s="30"/>
      <c r="F1960" s="28" t="s">
        <v>10707</v>
      </c>
      <c r="I1960" s="32"/>
      <c r="J1960" s="32"/>
      <c r="K1960" s="33" t="s">
        <v>10705</v>
      </c>
      <c r="L1960" s="33" t="s">
        <v>10708</v>
      </c>
      <c r="N1960" s="33" t="s">
        <v>10705</v>
      </c>
      <c r="O1960" s="35"/>
    </row>
    <row r="1961">
      <c r="A1961" s="38"/>
      <c r="B1961" s="28" t="s">
        <v>10709</v>
      </c>
      <c r="C1961" s="28" t="s">
        <v>10710</v>
      </c>
      <c r="D1961" s="29" t="s">
        <v>10711</v>
      </c>
      <c r="E1961" s="30" t="s">
        <v>10712</v>
      </c>
      <c r="F1961" s="28" t="s">
        <v>10713</v>
      </c>
      <c r="I1961" s="32"/>
      <c r="J1961" s="32"/>
      <c r="K1961" s="33" t="s">
        <v>10709</v>
      </c>
      <c r="L1961" s="33" t="s">
        <v>10714</v>
      </c>
      <c r="N1961" s="33" t="s">
        <v>10709</v>
      </c>
      <c r="O1961" s="35"/>
    </row>
    <row r="1962">
      <c r="A1962" s="38"/>
      <c r="B1962" s="28" t="s">
        <v>10715</v>
      </c>
      <c r="C1962" s="28" t="s">
        <v>10716</v>
      </c>
      <c r="D1962" s="29" t="s">
        <v>10717</v>
      </c>
      <c r="E1962" s="30" t="s">
        <v>10718</v>
      </c>
      <c r="F1962" s="28" t="s">
        <v>10719</v>
      </c>
      <c r="I1962" s="32"/>
      <c r="J1962" s="32"/>
      <c r="K1962" s="33" t="s">
        <v>10715</v>
      </c>
      <c r="L1962" s="33" t="s">
        <v>10720</v>
      </c>
      <c r="N1962" s="33" t="s">
        <v>10715</v>
      </c>
      <c r="O1962" s="47" t="s">
        <v>10721</v>
      </c>
    </row>
    <row r="1963">
      <c r="A1963" s="38"/>
      <c r="B1963" s="28" t="s">
        <v>10722</v>
      </c>
      <c r="C1963" s="28" t="s">
        <v>10354</v>
      </c>
      <c r="D1963" s="29" t="s">
        <v>10723</v>
      </c>
      <c r="E1963" s="30" t="s">
        <v>10724</v>
      </c>
      <c r="F1963" s="28" t="s">
        <v>10725</v>
      </c>
      <c r="I1963" s="32"/>
      <c r="J1963" s="32"/>
      <c r="K1963" s="33" t="s">
        <v>10722</v>
      </c>
      <c r="L1963" s="33" t="s">
        <v>10726</v>
      </c>
      <c r="N1963" s="33" t="s">
        <v>10722</v>
      </c>
      <c r="O1963" s="35" t="s">
        <v>10353</v>
      </c>
    </row>
    <row r="1964">
      <c r="A1964" s="38"/>
      <c r="B1964" s="28" t="s">
        <v>10727</v>
      </c>
      <c r="C1964" s="28" t="s">
        <v>10360</v>
      </c>
      <c r="D1964" s="29" t="s">
        <v>10728</v>
      </c>
      <c r="E1964" s="30" t="s">
        <v>10729</v>
      </c>
      <c r="F1964" s="28" t="s">
        <v>10730</v>
      </c>
      <c r="I1964" s="32"/>
      <c r="J1964" s="32"/>
      <c r="K1964" s="33" t="s">
        <v>10727</v>
      </c>
      <c r="L1964" s="33" t="s">
        <v>10731</v>
      </c>
      <c r="N1964" s="33" t="s">
        <v>10727</v>
      </c>
      <c r="O1964" s="35" t="s">
        <v>10359</v>
      </c>
    </row>
    <row r="1965">
      <c r="A1965" s="38"/>
      <c r="B1965" s="28" t="s">
        <v>10732</v>
      </c>
      <c r="C1965" s="28" t="s">
        <v>10368</v>
      </c>
      <c r="D1965" s="29" t="s">
        <v>10733</v>
      </c>
      <c r="E1965" s="54" t="s">
        <v>10734</v>
      </c>
      <c r="F1965" s="28" t="s">
        <v>10735</v>
      </c>
      <c r="I1965" s="32"/>
      <c r="J1965" s="32"/>
      <c r="K1965" s="33" t="s">
        <v>10732</v>
      </c>
      <c r="L1965" s="33" t="s">
        <v>10736</v>
      </c>
      <c r="N1965" s="33" t="s">
        <v>10732</v>
      </c>
      <c r="O1965" s="35"/>
    </row>
    <row r="1966">
      <c r="A1966" s="38"/>
      <c r="B1966" s="28" t="s">
        <v>10737</v>
      </c>
      <c r="C1966" s="28" t="s">
        <v>10378</v>
      </c>
      <c r="D1966" s="29" t="s">
        <v>10738</v>
      </c>
      <c r="E1966" s="54" t="s">
        <v>10739</v>
      </c>
      <c r="F1966" s="28" t="s">
        <v>10740</v>
      </c>
      <c r="I1966" s="32"/>
      <c r="J1966" s="32"/>
      <c r="K1966" s="33" t="s">
        <v>10737</v>
      </c>
      <c r="L1966" s="33" t="s">
        <v>10741</v>
      </c>
      <c r="N1966" s="33" t="s">
        <v>10737</v>
      </c>
      <c r="O1966" s="47" t="s">
        <v>10742</v>
      </c>
    </row>
    <row r="1967">
      <c r="A1967" s="38"/>
      <c r="B1967" s="28" t="s">
        <v>10743</v>
      </c>
      <c r="C1967" s="28" t="s">
        <v>10744</v>
      </c>
      <c r="D1967" s="29" t="s">
        <v>10745</v>
      </c>
      <c r="E1967" s="30" t="s">
        <v>10746</v>
      </c>
      <c r="F1967" s="28" t="s">
        <v>10747</v>
      </c>
      <c r="I1967" s="32"/>
      <c r="J1967" s="32"/>
      <c r="K1967" s="33" t="s">
        <v>10743</v>
      </c>
      <c r="L1967" s="33" t="s">
        <v>10748</v>
      </c>
      <c r="N1967" s="33" t="s">
        <v>10743</v>
      </c>
      <c r="O1967" s="47" t="s">
        <v>10749</v>
      </c>
    </row>
    <row r="1968">
      <c r="A1968" s="38"/>
      <c r="B1968" s="28" t="s">
        <v>10750</v>
      </c>
      <c r="C1968" s="28" t="s">
        <v>10388</v>
      </c>
      <c r="D1968" s="29" t="s">
        <v>10751</v>
      </c>
      <c r="E1968" s="30"/>
      <c r="F1968" s="28" t="s">
        <v>10752</v>
      </c>
      <c r="I1968" s="32"/>
      <c r="J1968" s="32"/>
      <c r="K1968" s="33" t="s">
        <v>10750</v>
      </c>
      <c r="L1968" s="33" t="s">
        <v>10753</v>
      </c>
      <c r="N1968" s="33" t="s">
        <v>10750</v>
      </c>
      <c r="O1968" s="35" t="s">
        <v>10387</v>
      </c>
    </row>
    <row r="1969">
      <c r="A1969" s="38"/>
      <c r="B1969" s="28" t="s">
        <v>10754</v>
      </c>
      <c r="C1969" s="28" t="s">
        <v>10394</v>
      </c>
      <c r="D1969" s="29" t="s">
        <v>10755</v>
      </c>
      <c r="E1969" s="30"/>
      <c r="F1969" s="28" t="s">
        <v>10756</v>
      </c>
      <c r="I1969" s="32"/>
      <c r="J1969" s="32"/>
      <c r="K1969" s="33" t="s">
        <v>10754</v>
      </c>
      <c r="L1969" s="33" t="s">
        <v>10757</v>
      </c>
      <c r="N1969" s="33" t="s">
        <v>10754</v>
      </c>
      <c r="O1969" s="35" t="s">
        <v>10393</v>
      </c>
    </row>
    <row r="1970">
      <c r="A1970" s="38"/>
      <c r="B1970" s="28" t="s">
        <v>10758</v>
      </c>
      <c r="C1970" s="28" t="s">
        <v>10759</v>
      </c>
      <c r="D1970" s="29" t="s">
        <v>10760</v>
      </c>
      <c r="E1970" s="30"/>
      <c r="F1970" s="28" t="s">
        <v>10761</v>
      </c>
      <c r="I1970" s="32"/>
      <c r="J1970" s="32"/>
      <c r="K1970" s="33" t="s">
        <v>10758</v>
      </c>
      <c r="L1970" s="33" t="s">
        <v>10762</v>
      </c>
      <c r="N1970" s="33" t="s">
        <v>10758</v>
      </c>
      <c r="O1970" s="47" t="s">
        <v>10763</v>
      </c>
    </row>
    <row r="1971">
      <c r="A1971" s="38"/>
      <c r="B1971" s="28" t="s">
        <v>10764</v>
      </c>
      <c r="C1971" s="28" t="s">
        <v>10400</v>
      </c>
      <c r="D1971" s="29" t="s">
        <v>10765</v>
      </c>
      <c r="E1971" s="30"/>
      <c r="F1971" s="28" t="s">
        <v>10766</v>
      </c>
      <c r="I1971" s="32"/>
      <c r="J1971" s="32"/>
      <c r="K1971" s="33" t="s">
        <v>10764</v>
      </c>
      <c r="L1971" s="33" t="s">
        <v>10767</v>
      </c>
      <c r="N1971" s="33" t="s">
        <v>10764</v>
      </c>
      <c r="O1971" s="35" t="s">
        <v>10399</v>
      </c>
    </row>
    <row r="1972">
      <c r="A1972" s="38"/>
      <c r="B1972" s="28" t="s">
        <v>10768</v>
      </c>
      <c r="C1972" s="28" t="s">
        <v>10416</v>
      </c>
      <c r="D1972" s="29" t="s">
        <v>10769</v>
      </c>
      <c r="E1972" s="30" t="s">
        <v>352</v>
      </c>
      <c r="F1972" s="28" t="s">
        <v>347</v>
      </c>
      <c r="I1972" s="32"/>
      <c r="J1972" s="32"/>
      <c r="K1972" s="33" t="s">
        <v>10768</v>
      </c>
      <c r="L1972" s="33" t="s">
        <v>10770</v>
      </c>
      <c r="N1972" s="33" t="s">
        <v>10768</v>
      </c>
      <c r="O1972" s="47" t="s">
        <v>10771</v>
      </c>
    </row>
    <row r="1973">
      <c r="A1973" s="38"/>
      <c r="B1973" s="28" t="s">
        <v>10772</v>
      </c>
      <c r="C1973" s="28" t="s">
        <v>10425</v>
      </c>
      <c r="D1973" s="29" t="s">
        <v>10773</v>
      </c>
      <c r="E1973" s="30" t="s">
        <v>10774</v>
      </c>
      <c r="F1973" s="28" t="s">
        <v>10775</v>
      </c>
      <c r="I1973" s="32"/>
      <c r="J1973" s="32"/>
      <c r="K1973" s="33" t="s">
        <v>10772</v>
      </c>
      <c r="L1973" s="33" t="s">
        <v>10776</v>
      </c>
      <c r="N1973" s="33" t="s">
        <v>10772</v>
      </c>
      <c r="O1973" s="35" t="s">
        <v>10424</v>
      </c>
    </row>
    <row r="1974">
      <c r="A1974" s="38"/>
      <c r="B1974" s="28" t="s">
        <v>10777</v>
      </c>
      <c r="C1974" s="28" t="s">
        <v>10778</v>
      </c>
      <c r="D1974" s="29" t="s">
        <v>10779</v>
      </c>
      <c r="E1974" s="30"/>
      <c r="F1974" s="28" t="s">
        <v>10780</v>
      </c>
      <c r="I1974" s="32"/>
      <c r="J1974" s="32"/>
      <c r="K1974" s="33" t="s">
        <v>10777</v>
      </c>
      <c r="L1974" s="33" t="s">
        <v>10781</v>
      </c>
      <c r="N1974" s="33" t="s">
        <v>10777</v>
      </c>
      <c r="O1974" s="35" t="s">
        <v>10782</v>
      </c>
    </row>
    <row r="1975">
      <c r="A1975" s="38"/>
      <c r="B1975" s="28" t="s">
        <v>10783</v>
      </c>
      <c r="C1975" s="28" t="s">
        <v>10784</v>
      </c>
      <c r="D1975" s="29" t="s">
        <v>10785</v>
      </c>
      <c r="E1975" s="30" t="s">
        <v>359</v>
      </c>
      <c r="F1975" s="28" t="s">
        <v>354</v>
      </c>
      <c r="I1975" s="32"/>
      <c r="J1975" s="32"/>
      <c r="K1975" s="33" t="s">
        <v>10783</v>
      </c>
      <c r="L1975" s="33" t="s">
        <v>10786</v>
      </c>
      <c r="N1975" s="33" t="s">
        <v>10783</v>
      </c>
      <c r="O1975" s="35" t="s">
        <v>10429</v>
      </c>
    </row>
    <row r="1976">
      <c r="A1976" s="38"/>
      <c r="B1976" s="28" t="s">
        <v>10787</v>
      </c>
      <c r="C1976" s="28" t="s">
        <v>10430</v>
      </c>
      <c r="D1976" s="29" t="s">
        <v>10788</v>
      </c>
      <c r="E1976" s="30" t="s">
        <v>10789</v>
      </c>
      <c r="F1976" s="28" t="s">
        <v>10790</v>
      </c>
      <c r="I1976" s="32"/>
      <c r="J1976" s="32"/>
      <c r="K1976" s="33" t="s">
        <v>10787</v>
      </c>
      <c r="L1976" s="33" t="s">
        <v>10791</v>
      </c>
      <c r="N1976" s="33" t="s">
        <v>10787</v>
      </c>
      <c r="O1976" s="35" t="s">
        <v>10429</v>
      </c>
    </row>
    <row r="1977">
      <c r="A1977" s="38"/>
      <c r="B1977" s="28" t="s">
        <v>10792</v>
      </c>
      <c r="C1977" s="28" t="s">
        <v>10434</v>
      </c>
      <c r="D1977" s="29" t="s">
        <v>10793</v>
      </c>
      <c r="E1977" s="30" t="s">
        <v>10794</v>
      </c>
      <c r="F1977" s="28" t="s">
        <v>10795</v>
      </c>
      <c r="I1977" s="32"/>
      <c r="J1977" s="32"/>
      <c r="K1977" s="33" t="s">
        <v>10792</v>
      </c>
      <c r="L1977" s="33" t="s">
        <v>10796</v>
      </c>
      <c r="N1977" s="33" t="s">
        <v>10792</v>
      </c>
      <c r="O1977" s="35"/>
    </row>
    <row r="1978">
      <c r="A1978" s="38"/>
      <c r="B1978" s="28" t="s">
        <v>10797</v>
      </c>
      <c r="C1978" s="28" t="s">
        <v>10438</v>
      </c>
      <c r="D1978" s="29" t="s">
        <v>10798</v>
      </c>
      <c r="E1978" s="30" t="s">
        <v>10794</v>
      </c>
      <c r="F1978" s="28" t="s">
        <v>10799</v>
      </c>
      <c r="I1978" s="32"/>
      <c r="J1978" s="32"/>
      <c r="K1978" s="33" t="s">
        <v>10797</v>
      </c>
      <c r="L1978" s="33" t="s">
        <v>10800</v>
      </c>
      <c r="N1978" s="33" t="s">
        <v>10797</v>
      </c>
      <c r="O1978" s="35" t="s">
        <v>2784</v>
      </c>
    </row>
    <row r="1979">
      <c r="A1979" s="38"/>
      <c r="B1979" s="28" t="s">
        <v>10801</v>
      </c>
      <c r="C1979" s="28" t="s">
        <v>10448</v>
      </c>
      <c r="D1979" s="29" t="s">
        <v>10802</v>
      </c>
      <c r="E1979" s="30" t="s">
        <v>10803</v>
      </c>
      <c r="F1979" s="28" t="s">
        <v>10804</v>
      </c>
      <c r="I1979" s="32"/>
      <c r="J1979" s="32"/>
      <c r="K1979" s="33" t="s">
        <v>10801</v>
      </c>
      <c r="L1979" s="33" t="s">
        <v>10805</v>
      </c>
      <c r="N1979" s="33" t="s">
        <v>10801</v>
      </c>
      <c r="O1979" s="35" t="s">
        <v>10447</v>
      </c>
    </row>
    <row r="1980">
      <c r="A1980" s="38"/>
      <c r="B1980" s="28" t="s">
        <v>10806</v>
      </c>
      <c r="C1980" s="28" t="s">
        <v>10453</v>
      </c>
      <c r="D1980" s="29" t="s">
        <v>10807</v>
      </c>
      <c r="E1980" s="30" t="s">
        <v>10808</v>
      </c>
      <c r="F1980" s="28" t="s">
        <v>10809</v>
      </c>
      <c r="I1980" s="32"/>
      <c r="J1980" s="32"/>
      <c r="K1980" s="33" t="s">
        <v>10806</v>
      </c>
      <c r="L1980" s="33" t="s">
        <v>10810</v>
      </c>
      <c r="N1980" s="33" t="s">
        <v>10806</v>
      </c>
      <c r="O1980" s="35"/>
    </row>
    <row r="1981">
      <c r="A1981" s="38"/>
      <c r="B1981" s="28" t="s">
        <v>10811</v>
      </c>
      <c r="C1981" s="28" t="s">
        <v>10459</v>
      </c>
      <c r="D1981" s="29" t="s">
        <v>10812</v>
      </c>
      <c r="E1981" s="30" t="s">
        <v>10813</v>
      </c>
      <c r="F1981" s="28" t="s">
        <v>10814</v>
      </c>
      <c r="I1981" s="32"/>
      <c r="J1981" s="32"/>
      <c r="K1981" s="33" t="s">
        <v>10811</v>
      </c>
      <c r="L1981" s="33" t="s">
        <v>10815</v>
      </c>
      <c r="N1981" s="33" t="s">
        <v>10811</v>
      </c>
      <c r="O1981" s="35" t="s">
        <v>10458</v>
      </c>
    </row>
    <row r="1982">
      <c r="A1982" s="38"/>
      <c r="B1982" s="28" t="s">
        <v>10816</v>
      </c>
      <c r="C1982" s="28" t="s">
        <v>10817</v>
      </c>
      <c r="D1982" s="29" t="s">
        <v>10818</v>
      </c>
      <c r="E1982" s="30"/>
      <c r="F1982" s="28" t="s">
        <v>10819</v>
      </c>
      <c r="I1982" s="32"/>
      <c r="J1982" s="32"/>
      <c r="K1982" s="33" t="s">
        <v>10816</v>
      </c>
      <c r="L1982" s="33" t="s">
        <v>10820</v>
      </c>
      <c r="N1982" s="33" t="s">
        <v>10816</v>
      </c>
      <c r="O1982" s="47" t="s">
        <v>10821</v>
      </c>
    </row>
    <row r="1983">
      <c r="A1983" s="38"/>
      <c r="B1983" s="28" t="s">
        <v>10822</v>
      </c>
      <c r="C1983" s="28" t="s">
        <v>10823</v>
      </c>
      <c r="D1983" s="29" t="s">
        <v>10824</v>
      </c>
      <c r="E1983" s="30"/>
      <c r="F1983" s="28" t="s">
        <v>10825</v>
      </c>
      <c r="I1983" s="32"/>
      <c r="J1983" s="32"/>
      <c r="K1983" s="33" t="s">
        <v>10822</v>
      </c>
      <c r="L1983" s="33" t="s">
        <v>10826</v>
      </c>
      <c r="N1983" s="33" t="s">
        <v>10822</v>
      </c>
      <c r="O1983" s="47" t="s">
        <v>10827</v>
      </c>
    </row>
    <row r="1984">
      <c r="A1984" s="38"/>
      <c r="B1984" s="28" t="s">
        <v>10828</v>
      </c>
      <c r="C1984" s="28" t="s">
        <v>10464</v>
      </c>
      <c r="D1984" s="29" t="s">
        <v>10829</v>
      </c>
      <c r="E1984" s="30"/>
      <c r="F1984" s="28" t="s">
        <v>10830</v>
      </c>
      <c r="I1984" s="32"/>
      <c r="J1984" s="32"/>
      <c r="K1984" s="33" t="s">
        <v>10828</v>
      </c>
      <c r="L1984" s="33" t="s">
        <v>10831</v>
      </c>
      <c r="N1984" s="33" t="s">
        <v>10828</v>
      </c>
      <c r="O1984" s="35" t="s">
        <v>10463</v>
      </c>
    </row>
    <row r="1985">
      <c r="A1985" s="38"/>
      <c r="B1985" s="28" t="s">
        <v>10832</v>
      </c>
      <c r="C1985" s="28" t="s">
        <v>10480</v>
      </c>
      <c r="D1985" s="29" t="s">
        <v>10833</v>
      </c>
      <c r="E1985" s="30"/>
      <c r="F1985" s="28" t="s">
        <v>10834</v>
      </c>
      <c r="I1985" s="32"/>
      <c r="J1985" s="32"/>
      <c r="K1985" s="33" t="s">
        <v>10832</v>
      </c>
      <c r="L1985" s="33" t="s">
        <v>10835</v>
      </c>
      <c r="N1985" s="33" t="s">
        <v>10832</v>
      </c>
      <c r="O1985" s="35" t="s">
        <v>10479</v>
      </c>
    </row>
    <row r="1986">
      <c r="A1986" s="38"/>
      <c r="B1986" s="28" t="s">
        <v>10836</v>
      </c>
      <c r="C1986" s="28" t="s">
        <v>10491</v>
      </c>
      <c r="D1986" s="29" t="s">
        <v>10837</v>
      </c>
      <c r="E1986" s="30" t="s">
        <v>10838</v>
      </c>
      <c r="F1986" s="28" t="s">
        <v>10839</v>
      </c>
      <c r="I1986" s="32"/>
      <c r="J1986" s="32"/>
      <c r="K1986" s="33" t="s">
        <v>10836</v>
      </c>
      <c r="L1986" s="33" t="s">
        <v>10840</v>
      </c>
      <c r="N1986" s="33" t="s">
        <v>10836</v>
      </c>
      <c r="O1986" s="35" t="s">
        <v>10490</v>
      </c>
    </row>
    <row r="1987">
      <c r="A1987" s="38"/>
      <c r="B1987" s="28" t="s">
        <v>10841</v>
      </c>
      <c r="C1987" s="28" t="s">
        <v>10496</v>
      </c>
      <c r="D1987" s="29" t="s">
        <v>10842</v>
      </c>
      <c r="E1987" s="30" t="s">
        <v>10843</v>
      </c>
      <c r="F1987" s="28" t="s">
        <v>10844</v>
      </c>
      <c r="I1987" s="32"/>
      <c r="J1987" s="32"/>
      <c r="K1987" s="33" t="s">
        <v>10841</v>
      </c>
      <c r="L1987" s="33" t="s">
        <v>10845</v>
      </c>
      <c r="N1987" s="33" t="s">
        <v>10841</v>
      </c>
      <c r="O1987" s="35" t="s">
        <v>10495</v>
      </c>
    </row>
    <row r="1988">
      <c r="A1988" s="38"/>
      <c r="B1988" s="28" t="s">
        <v>10846</v>
      </c>
      <c r="C1988" s="28" t="s">
        <v>10847</v>
      </c>
      <c r="D1988" s="29" t="s">
        <v>10848</v>
      </c>
      <c r="E1988" s="30" t="s">
        <v>10849</v>
      </c>
      <c r="F1988" s="28" t="s">
        <v>10850</v>
      </c>
      <c r="I1988" s="32"/>
      <c r="J1988" s="32"/>
      <c r="K1988" s="33" t="s">
        <v>10846</v>
      </c>
      <c r="L1988" s="33" t="s">
        <v>10851</v>
      </c>
      <c r="N1988" s="33" t="s">
        <v>10846</v>
      </c>
      <c r="O1988" s="35"/>
    </row>
    <row r="1989">
      <c r="A1989" s="38"/>
      <c r="B1989" s="28" t="s">
        <v>10852</v>
      </c>
      <c r="C1989" s="28" t="s">
        <v>10853</v>
      </c>
      <c r="D1989" s="29" t="s">
        <v>10854</v>
      </c>
      <c r="E1989" s="54" t="s">
        <v>10855</v>
      </c>
      <c r="F1989" s="28" t="s">
        <v>10856</v>
      </c>
      <c r="I1989" s="32"/>
      <c r="J1989" s="32"/>
      <c r="K1989" s="33" t="s">
        <v>10852</v>
      </c>
      <c r="L1989" s="33" t="s">
        <v>10857</v>
      </c>
      <c r="N1989" s="33" t="s">
        <v>10852</v>
      </c>
      <c r="O1989" s="35" t="s">
        <v>10858</v>
      </c>
    </row>
    <row r="1990">
      <c r="A1990" s="38"/>
      <c r="B1990" s="28" t="s">
        <v>10859</v>
      </c>
      <c r="C1990" s="28" t="s">
        <v>10511</v>
      </c>
      <c r="D1990" s="29" t="s">
        <v>10860</v>
      </c>
      <c r="E1990" s="30" t="s">
        <v>10861</v>
      </c>
      <c r="F1990" s="28" t="s">
        <v>10862</v>
      </c>
      <c r="I1990" s="32"/>
      <c r="J1990" s="32"/>
      <c r="K1990" s="33" t="s">
        <v>10859</v>
      </c>
      <c r="L1990" s="33" t="s">
        <v>10863</v>
      </c>
      <c r="N1990" s="33" t="s">
        <v>10859</v>
      </c>
      <c r="O1990" s="35" t="s">
        <v>10510</v>
      </c>
    </row>
    <row r="1991">
      <c r="A1991" s="38"/>
      <c r="B1991" s="28" t="s">
        <v>10864</v>
      </c>
      <c r="C1991" s="28" t="s">
        <v>10516</v>
      </c>
      <c r="D1991" s="29" t="s">
        <v>10865</v>
      </c>
      <c r="E1991" s="30"/>
      <c r="F1991" s="28" t="s">
        <v>10866</v>
      </c>
      <c r="I1991" s="32"/>
      <c r="J1991" s="32"/>
      <c r="K1991" s="33" t="s">
        <v>10864</v>
      </c>
      <c r="L1991" s="33" t="s">
        <v>10867</v>
      </c>
      <c r="N1991" s="33" t="s">
        <v>10864</v>
      </c>
      <c r="O1991" s="35" t="s">
        <v>10515</v>
      </c>
    </row>
    <row r="1992">
      <c r="A1992" s="38"/>
      <c r="B1992" s="28" t="s">
        <v>10868</v>
      </c>
      <c r="C1992" s="28" t="s">
        <v>10869</v>
      </c>
      <c r="D1992" s="29" t="s">
        <v>10870</v>
      </c>
      <c r="E1992" s="30"/>
      <c r="F1992" s="28" t="s">
        <v>10871</v>
      </c>
      <c r="I1992" s="32"/>
      <c r="J1992" s="32"/>
      <c r="K1992" s="33" t="s">
        <v>10868</v>
      </c>
      <c r="L1992" s="33" t="s">
        <v>10872</v>
      </c>
      <c r="N1992" s="33" t="s">
        <v>10868</v>
      </c>
      <c r="O1992" s="35" t="s">
        <v>10873</v>
      </c>
    </row>
    <row r="1993">
      <c r="A1993" s="38"/>
      <c r="B1993" s="28" t="s">
        <v>10874</v>
      </c>
      <c r="C1993" s="28" t="s">
        <v>10875</v>
      </c>
      <c r="D1993" s="29" t="s">
        <v>10876</v>
      </c>
      <c r="E1993" s="30"/>
      <c r="F1993" s="28" t="s">
        <v>10877</v>
      </c>
      <c r="I1993" s="32"/>
      <c r="J1993" s="32"/>
      <c r="K1993" s="33" t="s">
        <v>10874</v>
      </c>
      <c r="L1993" s="33" t="s">
        <v>10878</v>
      </c>
      <c r="N1993" s="33" t="s">
        <v>10874</v>
      </c>
      <c r="O1993" s="35"/>
    </row>
    <row r="1994">
      <c r="A1994" s="38"/>
      <c r="B1994" s="28" t="s">
        <v>10879</v>
      </c>
      <c r="C1994" s="28" t="s">
        <v>10521</v>
      </c>
      <c r="D1994" s="29" t="s">
        <v>10880</v>
      </c>
      <c r="E1994" s="54" t="s">
        <v>10881</v>
      </c>
      <c r="F1994" s="28" t="s">
        <v>10882</v>
      </c>
      <c r="I1994" s="32"/>
      <c r="J1994" s="32"/>
      <c r="K1994" s="33" t="s">
        <v>10879</v>
      </c>
      <c r="L1994" s="33" t="s">
        <v>10883</v>
      </c>
      <c r="N1994" s="33" t="s">
        <v>10879</v>
      </c>
      <c r="O1994" s="35"/>
    </row>
    <row r="1995">
      <c r="A1995" s="38"/>
      <c r="B1995" s="28" t="s">
        <v>10884</v>
      </c>
      <c r="C1995" s="28" t="s">
        <v>10885</v>
      </c>
      <c r="D1995" s="29" t="s">
        <v>10886</v>
      </c>
      <c r="E1995" s="30"/>
      <c r="F1995" s="28" t="s">
        <v>10887</v>
      </c>
      <c r="I1995" s="32"/>
      <c r="J1995" s="32"/>
      <c r="K1995" s="33" t="s">
        <v>10884</v>
      </c>
      <c r="L1995" s="33" t="s">
        <v>10888</v>
      </c>
      <c r="N1995" s="33" t="s">
        <v>10884</v>
      </c>
      <c r="O1995" s="35"/>
    </row>
    <row r="1996">
      <c r="A1996" s="38"/>
      <c r="B1996" s="28" t="s">
        <v>10889</v>
      </c>
      <c r="C1996" s="28" t="s">
        <v>10532</v>
      </c>
      <c r="D1996" s="29" t="s">
        <v>10890</v>
      </c>
      <c r="E1996" s="30"/>
      <c r="F1996" s="28" t="s">
        <v>10891</v>
      </c>
      <c r="I1996" s="32"/>
      <c r="J1996" s="32"/>
      <c r="K1996" s="33" t="s">
        <v>10889</v>
      </c>
      <c r="L1996" s="33" t="s">
        <v>10892</v>
      </c>
      <c r="N1996" s="33" t="s">
        <v>10889</v>
      </c>
      <c r="O1996" s="35"/>
    </row>
    <row r="1997">
      <c r="A1997" s="38"/>
      <c r="B1997" s="28" t="s">
        <v>10893</v>
      </c>
      <c r="C1997" s="28" t="s">
        <v>10538</v>
      </c>
      <c r="D1997" s="29" t="s">
        <v>10894</v>
      </c>
      <c r="E1997" s="30" t="s">
        <v>10895</v>
      </c>
      <c r="F1997" s="28" t="s">
        <v>10896</v>
      </c>
      <c r="I1997" s="32"/>
      <c r="J1997" s="32"/>
      <c r="K1997" s="33" t="s">
        <v>10893</v>
      </c>
      <c r="L1997" s="33" t="s">
        <v>10897</v>
      </c>
      <c r="N1997" s="33" t="s">
        <v>10893</v>
      </c>
      <c r="O1997" s="35" t="s">
        <v>10537</v>
      </c>
    </row>
    <row r="1998">
      <c r="A1998" s="38"/>
      <c r="B1998" s="28" t="s">
        <v>10898</v>
      </c>
      <c r="C1998" s="28" t="s">
        <v>10545</v>
      </c>
      <c r="D1998" s="29" t="s">
        <v>10899</v>
      </c>
      <c r="E1998" s="30"/>
      <c r="F1998" s="28" t="s">
        <v>10900</v>
      </c>
      <c r="I1998" s="32"/>
      <c r="J1998" s="32"/>
      <c r="K1998" s="33" t="s">
        <v>10898</v>
      </c>
      <c r="L1998" s="33" t="s">
        <v>10901</v>
      </c>
      <c r="N1998" s="33" t="s">
        <v>10898</v>
      </c>
      <c r="O1998" s="35"/>
    </row>
    <row r="1999">
      <c r="A1999" s="38"/>
      <c r="B1999" s="28" t="s">
        <v>10902</v>
      </c>
      <c r="C1999" s="28" t="s">
        <v>10903</v>
      </c>
      <c r="D1999" s="29" t="s">
        <v>10904</v>
      </c>
      <c r="E1999" s="30" t="s">
        <v>10905</v>
      </c>
      <c r="F1999" s="28" t="s">
        <v>10906</v>
      </c>
      <c r="I1999" s="32"/>
      <c r="J1999" s="32"/>
      <c r="K1999" s="33" t="s">
        <v>10902</v>
      </c>
      <c r="L1999" s="33" t="s">
        <v>10907</v>
      </c>
      <c r="N1999" s="33" t="s">
        <v>10902</v>
      </c>
      <c r="O1999" s="47" t="s">
        <v>10908</v>
      </c>
    </row>
    <row r="2000">
      <c r="A2000" s="38"/>
      <c r="B2000" s="28" t="s">
        <v>10909</v>
      </c>
      <c r="C2000" s="28" t="s">
        <v>10551</v>
      </c>
      <c r="D2000" s="29" t="s">
        <v>10910</v>
      </c>
      <c r="E2000" s="30" t="s">
        <v>10911</v>
      </c>
      <c r="F2000" s="28" t="s">
        <v>10912</v>
      </c>
      <c r="I2000" s="32"/>
      <c r="J2000" s="32"/>
      <c r="K2000" s="33" t="s">
        <v>10909</v>
      </c>
      <c r="L2000" s="33" t="s">
        <v>10913</v>
      </c>
      <c r="N2000" s="33" t="s">
        <v>10909</v>
      </c>
      <c r="O2000" s="35" t="s">
        <v>10550</v>
      </c>
    </row>
    <row r="2001">
      <c r="A2001" s="38"/>
      <c r="B2001" s="28" t="s">
        <v>10914</v>
      </c>
      <c r="C2001" s="28" t="s">
        <v>10557</v>
      </c>
      <c r="D2001" s="29" t="s">
        <v>10915</v>
      </c>
      <c r="E2001" s="30" t="s">
        <v>10916</v>
      </c>
      <c r="F2001" s="28" t="s">
        <v>10917</v>
      </c>
      <c r="I2001" s="32"/>
      <c r="J2001" s="32"/>
      <c r="K2001" s="33" t="s">
        <v>10914</v>
      </c>
      <c r="L2001" s="33" t="s">
        <v>10918</v>
      </c>
      <c r="N2001" s="33" t="s">
        <v>10914</v>
      </c>
      <c r="O2001" s="35" t="s">
        <v>7279</v>
      </c>
    </row>
    <row r="2002">
      <c r="A2002" s="38"/>
      <c r="B2002" s="28" t="s">
        <v>10919</v>
      </c>
      <c r="C2002" s="28" t="s">
        <v>10920</v>
      </c>
      <c r="D2002" s="29" t="s">
        <v>10921</v>
      </c>
      <c r="E2002" s="30" t="s">
        <v>10922</v>
      </c>
      <c r="F2002" s="28" t="s">
        <v>10923</v>
      </c>
      <c r="I2002" s="32"/>
      <c r="J2002" s="32"/>
      <c r="K2002" s="33" t="s">
        <v>10919</v>
      </c>
      <c r="L2002" s="33" t="s">
        <v>10924</v>
      </c>
      <c r="N2002" s="33" t="s">
        <v>10919</v>
      </c>
      <c r="O2002" s="35" t="s">
        <v>7279</v>
      </c>
    </row>
    <row r="2003">
      <c r="A2003" s="38"/>
      <c r="B2003" s="28" t="s">
        <v>10925</v>
      </c>
      <c r="C2003" s="28" t="s">
        <v>10563</v>
      </c>
      <c r="D2003" s="29" t="s">
        <v>10926</v>
      </c>
      <c r="E2003" s="30" t="s">
        <v>10927</v>
      </c>
      <c r="F2003" s="28" t="s">
        <v>10928</v>
      </c>
      <c r="I2003" s="32"/>
      <c r="J2003" s="32"/>
      <c r="K2003" s="33" t="s">
        <v>10925</v>
      </c>
      <c r="L2003" s="33" t="s">
        <v>10929</v>
      </c>
      <c r="N2003" s="33" t="s">
        <v>10925</v>
      </c>
      <c r="O2003" s="35" t="s">
        <v>10562</v>
      </c>
    </row>
    <row r="2004">
      <c r="A2004" s="38"/>
      <c r="B2004" s="28" t="s">
        <v>10930</v>
      </c>
      <c r="C2004" s="28" t="s">
        <v>10569</v>
      </c>
      <c r="D2004" s="29" t="s">
        <v>10931</v>
      </c>
      <c r="E2004" s="30"/>
      <c r="F2004" s="28" t="s">
        <v>10932</v>
      </c>
      <c r="I2004" s="32"/>
      <c r="J2004" s="32"/>
      <c r="K2004" s="33" t="s">
        <v>10930</v>
      </c>
      <c r="L2004" s="33" t="s">
        <v>10933</v>
      </c>
      <c r="N2004" s="33" t="s">
        <v>10930</v>
      </c>
      <c r="O2004" s="35" t="s">
        <v>10568</v>
      </c>
    </row>
    <row r="2005">
      <c r="A2005" s="38"/>
      <c r="B2005" s="28" t="s">
        <v>10934</v>
      </c>
      <c r="C2005" s="28" t="s">
        <v>10935</v>
      </c>
      <c r="D2005" s="29" t="s">
        <v>10936</v>
      </c>
      <c r="E2005" s="30"/>
      <c r="F2005" s="28" t="s">
        <v>10937</v>
      </c>
      <c r="I2005" s="32"/>
      <c r="J2005" s="32"/>
      <c r="K2005" s="33" t="s">
        <v>10934</v>
      </c>
      <c r="L2005" s="33" t="s">
        <v>10938</v>
      </c>
      <c r="N2005" s="33" t="s">
        <v>10934</v>
      </c>
      <c r="O2005" s="35" t="s">
        <v>10939</v>
      </c>
    </row>
    <row r="2006">
      <c r="A2006" s="38"/>
      <c r="B2006" s="28" t="s">
        <v>10940</v>
      </c>
      <c r="C2006" s="28" t="s">
        <v>10574</v>
      </c>
      <c r="D2006" s="29" t="s">
        <v>10941</v>
      </c>
      <c r="E2006" s="30"/>
      <c r="F2006" s="28" t="s">
        <v>10942</v>
      </c>
      <c r="I2006" s="32"/>
      <c r="J2006" s="32"/>
      <c r="K2006" s="33" t="s">
        <v>10940</v>
      </c>
      <c r="L2006" s="33" t="s">
        <v>10943</v>
      </c>
      <c r="N2006" s="33" t="s">
        <v>10940</v>
      </c>
      <c r="O2006" s="47" t="s">
        <v>10944</v>
      </c>
    </row>
    <row r="2007">
      <c r="A2007" s="38"/>
      <c r="B2007" s="28" t="s">
        <v>10945</v>
      </c>
      <c r="C2007" s="28" t="s">
        <v>10946</v>
      </c>
      <c r="D2007" s="29" t="s">
        <v>10947</v>
      </c>
      <c r="E2007" s="30"/>
      <c r="F2007" s="28" t="s">
        <v>10948</v>
      </c>
      <c r="I2007" s="32"/>
      <c r="J2007" s="32"/>
      <c r="K2007" s="33" t="s">
        <v>10945</v>
      </c>
      <c r="L2007" s="33" t="s">
        <v>10949</v>
      </c>
      <c r="N2007" s="33" t="s">
        <v>10945</v>
      </c>
      <c r="O2007" s="35" t="s">
        <v>10950</v>
      </c>
    </row>
    <row r="2008">
      <c r="A2008" s="38"/>
      <c r="B2008" s="28" t="s">
        <v>10951</v>
      </c>
      <c r="C2008" s="28" t="s">
        <v>10952</v>
      </c>
      <c r="D2008" s="29" t="s">
        <v>10953</v>
      </c>
      <c r="E2008" s="30" t="s">
        <v>10954</v>
      </c>
      <c r="F2008" s="28" t="s">
        <v>10955</v>
      </c>
      <c r="I2008" s="32"/>
      <c r="J2008" s="32"/>
      <c r="K2008" s="33" t="s">
        <v>10951</v>
      </c>
      <c r="L2008" s="33" t="s">
        <v>10956</v>
      </c>
      <c r="N2008" s="33" t="s">
        <v>10951</v>
      </c>
      <c r="O2008" s="47" t="s">
        <v>10957</v>
      </c>
    </row>
    <row r="2009">
      <c r="A2009" s="38"/>
      <c r="B2009" s="28" t="s">
        <v>10958</v>
      </c>
      <c r="C2009" s="28" t="s">
        <v>10959</v>
      </c>
      <c r="D2009" s="29" t="s">
        <v>10960</v>
      </c>
      <c r="E2009" s="30" t="s">
        <v>10961</v>
      </c>
      <c r="F2009" s="28" t="s">
        <v>10962</v>
      </c>
      <c r="I2009" s="32"/>
      <c r="J2009" s="32"/>
      <c r="K2009" s="33" t="s">
        <v>10958</v>
      </c>
      <c r="L2009" s="33" t="s">
        <v>10963</v>
      </c>
      <c r="N2009" s="33" t="s">
        <v>10958</v>
      </c>
      <c r="O2009" s="35"/>
    </row>
    <row r="2010">
      <c r="A2010" s="38"/>
      <c r="B2010" s="28" t="s">
        <v>10964</v>
      </c>
      <c r="C2010" s="28" t="s">
        <v>10580</v>
      </c>
      <c r="D2010" s="29" t="s">
        <v>10965</v>
      </c>
      <c r="E2010" s="30" t="s">
        <v>10966</v>
      </c>
      <c r="F2010" s="28" t="s">
        <v>10967</v>
      </c>
      <c r="I2010" s="32"/>
      <c r="J2010" s="32"/>
      <c r="K2010" s="33" t="s">
        <v>10964</v>
      </c>
      <c r="L2010" s="33" t="s">
        <v>10968</v>
      </c>
      <c r="N2010" s="33" t="s">
        <v>10964</v>
      </c>
      <c r="O2010" s="35"/>
    </row>
    <row r="2011">
      <c r="A2011" s="38"/>
      <c r="B2011" s="28" t="s">
        <v>10969</v>
      </c>
      <c r="C2011" s="28" t="s">
        <v>10586</v>
      </c>
      <c r="D2011" s="29" t="s">
        <v>10970</v>
      </c>
      <c r="E2011" s="30" t="s">
        <v>10971</v>
      </c>
      <c r="F2011" s="28" t="s">
        <v>10972</v>
      </c>
      <c r="I2011" s="32"/>
      <c r="J2011" s="32"/>
      <c r="K2011" s="33" t="s">
        <v>10969</v>
      </c>
      <c r="L2011" s="33" t="s">
        <v>10973</v>
      </c>
      <c r="N2011" s="33" t="s">
        <v>10969</v>
      </c>
      <c r="O2011" s="35" t="s">
        <v>10585</v>
      </c>
    </row>
    <row r="2012">
      <c r="A2012" s="38"/>
      <c r="B2012" s="28" t="s">
        <v>10974</v>
      </c>
      <c r="C2012" s="28" t="s">
        <v>10975</v>
      </c>
      <c r="D2012" s="29" t="s">
        <v>10976</v>
      </c>
      <c r="E2012" s="54" t="s">
        <v>10977</v>
      </c>
      <c r="F2012" s="28" t="s">
        <v>10978</v>
      </c>
      <c r="I2012" s="32"/>
      <c r="J2012" s="32"/>
      <c r="K2012" s="33" t="s">
        <v>10974</v>
      </c>
      <c r="L2012" s="33" t="s">
        <v>10979</v>
      </c>
      <c r="N2012" s="33" t="s">
        <v>10974</v>
      </c>
      <c r="O2012" s="35"/>
    </row>
    <row r="2013">
      <c r="A2013" s="38"/>
      <c r="B2013" s="28" t="s">
        <v>10980</v>
      </c>
      <c r="C2013" s="28" t="s">
        <v>10591</v>
      </c>
      <c r="D2013" s="29" t="s">
        <v>10981</v>
      </c>
      <c r="E2013" s="30"/>
      <c r="F2013" s="28" t="s">
        <v>10982</v>
      </c>
      <c r="I2013" s="32"/>
      <c r="J2013" s="32"/>
      <c r="K2013" s="33" t="s">
        <v>10980</v>
      </c>
      <c r="L2013" s="33" t="s">
        <v>10983</v>
      </c>
      <c r="N2013" s="33" t="s">
        <v>10980</v>
      </c>
      <c r="O2013" s="35" t="s">
        <v>10590</v>
      </c>
    </row>
    <row r="2014">
      <c r="A2014" s="38"/>
      <c r="B2014" s="28" t="s">
        <v>10984</v>
      </c>
      <c r="C2014" s="28" t="s">
        <v>10596</v>
      </c>
      <c r="D2014" s="29" t="s">
        <v>10985</v>
      </c>
      <c r="E2014" s="30" t="s">
        <v>10986</v>
      </c>
      <c r="F2014" s="28" t="s">
        <v>10987</v>
      </c>
      <c r="I2014" s="32"/>
      <c r="J2014" s="32"/>
      <c r="K2014" s="33" t="s">
        <v>10984</v>
      </c>
      <c r="L2014" s="33" t="s">
        <v>10988</v>
      </c>
      <c r="N2014" s="33" t="s">
        <v>10984</v>
      </c>
      <c r="O2014" s="35" t="s">
        <v>10595</v>
      </c>
    </row>
    <row r="2015">
      <c r="A2015" s="38"/>
      <c r="B2015" s="28" t="s">
        <v>10989</v>
      </c>
      <c r="C2015" s="28" t="s">
        <v>10605</v>
      </c>
      <c r="D2015" s="29" t="s">
        <v>10990</v>
      </c>
      <c r="E2015" s="30" t="s">
        <v>10991</v>
      </c>
      <c r="F2015" s="28" t="s">
        <v>10992</v>
      </c>
      <c r="I2015" s="32"/>
      <c r="J2015" s="32"/>
      <c r="K2015" s="33" t="s">
        <v>10989</v>
      </c>
      <c r="L2015" s="33" t="s">
        <v>10993</v>
      </c>
      <c r="N2015" s="33" t="s">
        <v>10989</v>
      </c>
      <c r="O2015" s="35" t="s">
        <v>10604</v>
      </c>
    </row>
    <row r="2016">
      <c r="A2016" s="38"/>
      <c r="B2016" s="28" t="s">
        <v>10994</v>
      </c>
      <c r="C2016" s="28" t="s">
        <v>10995</v>
      </c>
      <c r="D2016" s="29" t="s">
        <v>10996</v>
      </c>
      <c r="E2016" s="30"/>
      <c r="F2016" s="28" t="s">
        <v>10997</v>
      </c>
      <c r="I2016" s="32"/>
      <c r="J2016" s="32"/>
      <c r="K2016" s="33" t="s">
        <v>10994</v>
      </c>
      <c r="L2016" s="33" t="s">
        <v>10998</v>
      </c>
      <c r="N2016" s="33" t="s">
        <v>10994</v>
      </c>
      <c r="O2016" s="35" t="s">
        <v>10999</v>
      </c>
    </row>
    <row r="2017">
      <c r="A2017" s="38"/>
      <c r="B2017" s="28" t="s">
        <v>11000</v>
      </c>
      <c r="C2017" s="28" t="s">
        <v>11001</v>
      </c>
      <c r="D2017" s="29" t="s">
        <v>11002</v>
      </c>
      <c r="E2017" s="30" t="s">
        <v>11003</v>
      </c>
      <c r="F2017" s="28" t="s">
        <v>11004</v>
      </c>
      <c r="I2017" s="32"/>
      <c r="J2017" s="32"/>
      <c r="K2017" s="33" t="s">
        <v>11000</v>
      </c>
      <c r="L2017" s="33" t="s">
        <v>11005</v>
      </c>
      <c r="N2017" s="33" t="s">
        <v>11000</v>
      </c>
      <c r="O2017" s="35" t="s">
        <v>11006</v>
      </c>
    </row>
    <row r="2018">
      <c r="A2018" s="38"/>
      <c r="B2018" s="28" t="s">
        <v>11007</v>
      </c>
      <c r="C2018" s="28" t="s">
        <v>10617</v>
      </c>
      <c r="D2018" s="29" t="s">
        <v>11008</v>
      </c>
      <c r="E2018" s="30"/>
      <c r="F2018" s="28" t="s">
        <v>11009</v>
      </c>
      <c r="I2018" s="32"/>
      <c r="J2018" s="32"/>
      <c r="K2018" s="33" t="s">
        <v>11007</v>
      </c>
      <c r="L2018" s="33" t="s">
        <v>11010</v>
      </c>
      <c r="N2018" s="33" t="s">
        <v>11007</v>
      </c>
      <c r="O2018" s="35" t="s">
        <v>10616</v>
      </c>
    </row>
    <row r="2019">
      <c r="A2019" s="38"/>
      <c r="B2019" s="28" t="s">
        <v>11011</v>
      </c>
      <c r="C2019" s="28" t="s">
        <v>11012</v>
      </c>
      <c r="D2019" s="29" t="s">
        <v>11013</v>
      </c>
      <c r="E2019" s="54" t="s">
        <v>11014</v>
      </c>
      <c r="F2019" s="28" t="s">
        <v>11015</v>
      </c>
      <c r="I2019" s="32"/>
      <c r="J2019" s="32"/>
      <c r="K2019" s="33" t="s">
        <v>11011</v>
      </c>
      <c r="L2019" s="33" t="s">
        <v>11016</v>
      </c>
      <c r="N2019" s="33" t="s">
        <v>11011</v>
      </c>
      <c r="O2019" s="35"/>
    </row>
    <row r="2020">
      <c r="A2020" s="38"/>
      <c r="B2020" s="28" t="s">
        <v>11017</v>
      </c>
      <c r="C2020" s="28" t="s">
        <v>10623</v>
      </c>
      <c r="D2020" s="29" t="s">
        <v>11018</v>
      </c>
      <c r="E2020" s="30" t="s">
        <v>11019</v>
      </c>
      <c r="F2020" s="28" t="s">
        <v>11020</v>
      </c>
      <c r="I2020" s="32"/>
      <c r="J2020" s="32"/>
      <c r="K2020" s="33" t="s">
        <v>11017</v>
      </c>
      <c r="L2020" s="33" t="s">
        <v>11021</v>
      </c>
      <c r="N2020" s="33" t="s">
        <v>11017</v>
      </c>
      <c r="O2020" s="35" t="s">
        <v>10622</v>
      </c>
    </row>
    <row r="2021">
      <c r="A2021" s="38"/>
      <c r="B2021" s="28" t="s">
        <v>11022</v>
      </c>
      <c r="C2021" s="28" t="s">
        <v>11023</v>
      </c>
      <c r="D2021" s="29" t="s">
        <v>11024</v>
      </c>
      <c r="E2021" s="30" t="s">
        <v>11025</v>
      </c>
      <c r="F2021" s="28" t="s">
        <v>11026</v>
      </c>
      <c r="I2021" s="32"/>
      <c r="J2021" s="32"/>
      <c r="K2021" s="33" t="s">
        <v>11022</v>
      </c>
      <c r="L2021" s="33" t="s">
        <v>11027</v>
      </c>
      <c r="N2021" s="33" t="s">
        <v>11022</v>
      </c>
      <c r="O2021" s="35" t="s">
        <v>11028</v>
      </c>
    </row>
    <row r="2022">
      <c r="A2022" s="38"/>
      <c r="B2022" s="28" t="s">
        <v>11029</v>
      </c>
      <c r="C2022" s="28" t="s">
        <v>10630</v>
      </c>
      <c r="D2022" s="29" t="s">
        <v>11030</v>
      </c>
      <c r="E2022" s="30" t="s">
        <v>11031</v>
      </c>
      <c r="F2022" s="28" t="s">
        <v>11032</v>
      </c>
      <c r="I2022" s="32"/>
      <c r="J2022" s="32"/>
      <c r="K2022" s="33" t="s">
        <v>11029</v>
      </c>
      <c r="L2022" s="33" t="s">
        <v>11033</v>
      </c>
      <c r="N2022" s="33" t="s">
        <v>11029</v>
      </c>
      <c r="O2022" s="35" t="s">
        <v>10629</v>
      </c>
    </row>
    <row r="2023">
      <c r="A2023" s="38"/>
      <c r="B2023" s="28" t="s">
        <v>11034</v>
      </c>
      <c r="C2023" s="28" t="s">
        <v>11035</v>
      </c>
      <c r="D2023" s="29" t="s">
        <v>11036</v>
      </c>
      <c r="E2023" s="54" t="s">
        <v>11037</v>
      </c>
      <c r="F2023" s="28" t="s">
        <v>11038</v>
      </c>
      <c r="I2023" s="32"/>
      <c r="J2023" s="32"/>
      <c r="K2023" s="33" t="s">
        <v>11034</v>
      </c>
      <c r="L2023" s="33" t="s">
        <v>11039</v>
      </c>
      <c r="N2023" s="33" t="s">
        <v>11034</v>
      </c>
      <c r="O2023" s="35" t="s">
        <v>11040</v>
      </c>
    </row>
    <row r="2024">
      <c r="A2024" s="38"/>
      <c r="B2024" s="28" t="s">
        <v>11041</v>
      </c>
      <c r="C2024" s="28" t="s">
        <v>10636</v>
      </c>
      <c r="D2024" s="29" t="s">
        <v>11042</v>
      </c>
      <c r="E2024" s="30"/>
      <c r="F2024" s="28" t="s">
        <v>11043</v>
      </c>
      <c r="I2024" s="32"/>
      <c r="J2024" s="32"/>
      <c r="K2024" s="33" t="s">
        <v>11041</v>
      </c>
      <c r="L2024" s="33" t="s">
        <v>11044</v>
      </c>
      <c r="N2024" s="33" t="s">
        <v>11041</v>
      </c>
      <c r="O2024" s="35" t="s">
        <v>10635</v>
      </c>
    </row>
    <row r="2025">
      <c r="A2025" s="38"/>
      <c r="B2025" s="28" t="s">
        <v>11045</v>
      </c>
      <c r="C2025" s="28" t="s">
        <v>10665</v>
      </c>
      <c r="D2025" s="29" t="s">
        <v>11046</v>
      </c>
      <c r="E2025" s="30"/>
      <c r="F2025" s="28" t="s">
        <v>11047</v>
      </c>
      <c r="I2025" s="32"/>
      <c r="J2025" s="32"/>
      <c r="K2025" s="33" t="s">
        <v>11045</v>
      </c>
      <c r="L2025" s="33" t="s">
        <v>11048</v>
      </c>
      <c r="N2025" s="33" t="s">
        <v>11045</v>
      </c>
      <c r="O2025" s="35"/>
    </row>
    <row r="2026">
      <c r="A2026" s="38"/>
      <c r="B2026" s="28" t="s">
        <v>11049</v>
      </c>
      <c r="C2026" s="28" t="s">
        <v>10693</v>
      </c>
      <c r="D2026" s="29" t="s">
        <v>11050</v>
      </c>
      <c r="E2026" s="30" t="s">
        <v>11051</v>
      </c>
      <c r="F2026" s="28" t="s">
        <v>11052</v>
      </c>
      <c r="I2026" s="32"/>
      <c r="J2026" s="32"/>
      <c r="K2026" s="33" t="s">
        <v>11049</v>
      </c>
      <c r="L2026" s="33" t="s">
        <v>11053</v>
      </c>
      <c r="N2026" s="33" t="s">
        <v>11049</v>
      </c>
      <c r="O2026" s="35" t="s">
        <v>10692</v>
      </c>
    </row>
    <row r="2027">
      <c r="A2027" s="38"/>
      <c r="B2027" s="28" t="s">
        <v>11054</v>
      </c>
      <c r="C2027" s="28" t="s">
        <v>10698</v>
      </c>
      <c r="D2027" s="29" t="s">
        <v>11055</v>
      </c>
      <c r="E2027" s="30" t="s">
        <v>11056</v>
      </c>
      <c r="F2027" s="28" t="s">
        <v>11057</v>
      </c>
      <c r="I2027" s="32"/>
      <c r="J2027" s="32"/>
      <c r="K2027" s="33" t="s">
        <v>11054</v>
      </c>
      <c r="L2027" s="33" t="s">
        <v>11058</v>
      </c>
      <c r="N2027" s="33" t="s">
        <v>11054</v>
      </c>
      <c r="O2027" s="35" t="s">
        <v>10697</v>
      </c>
    </row>
    <row r="2028">
      <c r="A2028" s="38"/>
      <c r="B2028" s="28" t="s">
        <v>11059</v>
      </c>
      <c r="C2028" s="28" t="s">
        <v>11060</v>
      </c>
      <c r="D2028" s="29" t="s">
        <v>11061</v>
      </c>
      <c r="E2028" s="30"/>
      <c r="F2028" s="28" t="s">
        <v>11062</v>
      </c>
      <c r="I2028" s="32"/>
      <c r="J2028" s="32"/>
      <c r="K2028" s="33" t="s">
        <v>11059</v>
      </c>
      <c r="L2028" s="33" t="s">
        <v>11063</v>
      </c>
      <c r="N2028" s="33" t="s">
        <v>11059</v>
      </c>
      <c r="O2028" s="35" t="s">
        <v>11064</v>
      </c>
    </row>
    <row r="2029">
      <c r="A2029" s="38"/>
      <c r="B2029" s="28" t="s">
        <v>11065</v>
      </c>
      <c r="C2029" s="28" t="s">
        <v>10713</v>
      </c>
      <c r="D2029" s="29" t="s">
        <v>11066</v>
      </c>
      <c r="E2029" s="30"/>
      <c r="F2029" s="28" t="s">
        <v>11067</v>
      </c>
      <c r="I2029" s="32"/>
      <c r="J2029" s="32"/>
      <c r="K2029" s="33" t="s">
        <v>11065</v>
      </c>
      <c r="L2029" s="33" t="s">
        <v>11068</v>
      </c>
      <c r="N2029" s="33" t="s">
        <v>11065</v>
      </c>
      <c r="O2029" s="35" t="s">
        <v>10712</v>
      </c>
    </row>
    <row r="2030">
      <c r="A2030" s="38"/>
      <c r="B2030" s="28" t="s">
        <v>11069</v>
      </c>
      <c r="C2030" s="28" t="s">
        <v>10719</v>
      </c>
      <c r="D2030" s="29" t="s">
        <v>11070</v>
      </c>
      <c r="E2030" s="30" t="s">
        <v>11071</v>
      </c>
      <c r="F2030" s="28" t="s">
        <v>11072</v>
      </c>
      <c r="I2030" s="32"/>
      <c r="J2030" s="32"/>
      <c r="K2030" s="33" t="s">
        <v>11069</v>
      </c>
      <c r="L2030" s="33" t="s">
        <v>11073</v>
      </c>
      <c r="N2030" s="33" t="s">
        <v>11069</v>
      </c>
      <c r="O2030" s="35" t="s">
        <v>10718</v>
      </c>
    </row>
    <row r="2031">
      <c r="A2031" s="38"/>
      <c r="B2031" s="28" t="s">
        <v>11074</v>
      </c>
      <c r="C2031" s="28" t="s">
        <v>10725</v>
      </c>
      <c r="D2031" s="29" t="s">
        <v>11075</v>
      </c>
      <c r="E2031" s="30" t="s">
        <v>11076</v>
      </c>
      <c r="F2031" s="28" t="s">
        <v>11077</v>
      </c>
      <c r="I2031" s="32"/>
      <c r="J2031" s="32"/>
      <c r="K2031" s="33" t="s">
        <v>11074</v>
      </c>
      <c r="L2031" s="33" t="s">
        <v>11078</v>
      </c>
      <c r="N2031" s="33" t="s">
        <v>11074</v>
      </c>
      <c r="O2031" s="35" t="s">
        <v>10724</v>
      </c>
    </row>
    <row r="2032">
      <c r="A2032" s="38"/>
      <c r="B2032" s="28" t="s">
        <v>11079</v>
      </c>
      <c r="C2032" s="28" t="s">
        <v>10730</v>
      </c>
      <c r="D2032" s="29" t="s">
        <v>11080</v>
      </c>
      <c r="E2032" s="30" t="s">
        <v>11081</v>
      </c>
      <c r="F2032" s="28" t="s">
        <v>11082</v>
      </c>
      <c r="I2032" s="32"/>
      <c r="J2032" s="32"/>
      <c r="K2032" s="33" t="s">
        <v>11079</v>
      </c>
      <c r="L2032" s="33" t="s">
        <v>11083</v>
      </c>
      <c r="N2032" s="33" t="s">
        <v>11079</v>
      </c>
      <c r="O2032" s="35" t="s">
        <v>10729</v>
      </c>
    </row>
    <row r="2033">
      <c r="A2033" s="38"/>
      <c r="B2033" s="28" t="s">
        <v>11084</v>
      </c>
      <c r="C2033" s="28" t="s">
        <v>10735</v>
      </c>
      <c r="D2033" s="29" t="s">
        <v>11085</v>
      </c>
      <c r="E2033" s="30"/>
      <c r="F2033" s="28" t="s">
        <v>11086</v>
      </c>
      <c r="I2033" s="32"/>
      <c r="J2033" s="32"/>
      <c r="K2033" s="33" t="s">
        <v>11084</v>
      </c>
      <c r="L2033" s="33" t="s">
        <v>11087</v>
      </c>
      <c r="N2033" s="33" t="s">
        <v>11084</v>
      </c>
      <c r="O2033" s="47" t="s">
        <v>11088</v>
      </c>
    </row>
    <row r="2034">
      <c r="A2034" s="38"/>
      <c r="B2034" s="28" t="s">
        <v>11089</v>
      </c>
      <c r="C2034" s="28" t="s">
        <v>10752</v>
      </c>
      <c r="D2034" s="29" t="s">
        <v>11090</v>
      </c>
      <c r="E2034" s="30"/>
      <c r="F2034" s="28" t="s">
        <v>11091</v>
      </c>
      <c r="I2034" s="32"/>
      <c r="J2034" s="32"/>
      <c r="K2034" s="33" t="s">
        <v>11089</v>
      </c>
      <c r="L2034" s="33" t="s">
        <v>11092</v>
      </c>
      <c r="N2034" s="33" t="s">
        <v>11089</v>
      </c>
      <c r="O2034" s="35"/>
    </row>
    <row r="2035">
      <c r="A2035" s="38"/>
      <c r="B2035" s="28" t="s">
        <v>11093</v>
      </c>
      <c r="C2035" s="28" t="s">
        <v>11094</v>
      </c>
      <c r="D2035" s="29" t="s">
        <v>11095</v>
      </c>
      <c r="E2035" s="30" t="s">
        <v>11096</v>
      </c>
      <c r="F2035" s="28" t="s">
        <v>11097</v>
      </c>
      <c r="I2035" s="32"/>
      <c r="J2035" s="32"/>
      <c r="K2035" s="33" t="s">
        <v>11093</v>
      </c>
      <c r="L2035" s="33" t="s">
        <v>11098</v>
      </c>
      <c r="N2035" s="33" t="s">
        <v>11093</v>
      </c>
      <c r="O2035" s="35"/>
    </row>
    <row r="2036">
      <c r="A2036" s="38"/>
      <c r="B2036" s="28" t="s">
        <v>11099</v>
      </c>
      <c r="C2036" s="28" t="s">
        <v>11100</v>
      </c>
      <c r="D2036" s="29" t="s">
        <v>11101</v>
      </c>
      <c r="E2036" s="30"/>
      <c r="F2036" s="28" t="s">
        <v>11102</v>
      </c>
      <c r="I2036" s="32"/>
      <c r="J2036" s="32"/>
      <c r="K2036" s="33" t="s">
        <v>11099</v>
      </c>
      <c r="L2036" s="33" t="s">
        <v>11103</v>
      </c>
      <c r="N2036" s="33" t="s">
        <v>11099</v>
      </c>
      <c r="O2036" s="35" t="s">
        <v>11104</v>
      </c>
    </row>
    <row r="2037">
      <c r="A2037" s="38"/>
      <c r="B2037" s="28" t="s">
        <v>11105</v>
      </c>
      <c r="C2037" s="28" t="s">
        <v>11106</v>
      </c>
      <c r="D2037" s="29" t="s">
        <v>11107</v>
      </c>
      <c r="E2037" s="30" t="s">
        <v>11108</v>
      </c>
      <c r="F2037" s="28" t="s">
        <v>11109</v>
      </c>
      <c r="I2037" s="32"/>
      <c r="J2037" s="32"/>
      <c r="K2037" s="33" t="s">
        <v>11105</v>
      </c>
      <c r="L2037" s="33" t="s">
        <v>11110</v>
      </c>
      <c r="N2037" s="33" t="s">
        <v>11105</v>
      </c>
      <c r="O2037" s="35" t="s">
        <v>11111</v>
      </c>
    </row>
    <row r="2038">
      <c r="A2038" s="38"/>
      <c r="B2038" s="28" t="s">
        <v>11112</v>
      </c>
      <c r="C2038" s="28" t="s">
        <v>10775</v>
      </c>
      <c r="D2038" s="29" t="s">
        <v>11113</v>
      </c>
      <c r="E2038" s="30" t="s">
        <v>11114</v>
      </c>
      <c r="F2038" s="28" t="s">
        <v>11115</v>
      </c>
      <c r="I2038" s="32"/>
      <c r="J2038" s="32"/>
      <c r="K2038" s="33" t="s">
        <v>11112</v>
      </c>
      <c r="L2038" s="33" t="s">
        <v>11116</v>
      </c>
      <c r="N2038" s="33" t="s">
        <v>11112</v>
      </c>
      <c r="O2038" s="35" t="s">
        <v>10774</v>
      </c>
    </row>
    <row r="2039">
      <c r="A2039" s="38"/>
      <c r="B2039" s="28" t="s">
        <v>11117</v>
      </c>
      <c r="C2039" s="28" t="s">
        <v>10799</v>
      </c>
      <c r="D2039" s="29" t="s">
        <v>11118</v>
      </c>
      <c r="E2039" s="30"/>
      <c r="F2039" s="28" t="s">
        <v>11119</v>
      </c>
      <c r="I2039" s="32"/>
      <c r="J2039" s="32"/>
      <c r="K2039" s="33" t="s">
        <v>11117</v>
      </c>
      <c r="L2039" s="33" t="s">
        <v>11120</v>
      </c>
      <c r="N2039" s="33" t="s">
        <v>11117</v>
      </c>
      <c r="O2039" s="35" t="s">
        <v>10794</v>
      </c>
    </row>
    <row r="2040">
      <c r="A2040" s="38"/>
      <c r="B2040" s="28" t="s">
        <v>11121</v>
      </c>
      <c r="C2040" s="28" t="s">
        <v>11122</v>
      </c>
      <c r="D2040" s="29" t="s">
        <v>11123</v>
      </c>
      <c r="E2040" s="30" t="s">
        <v>366</v>
      </c>
      <c r="F2040" s="28" t="s">
        <v>361</v>
      </c>
      <c r="I2040" s="32"/>
      <c r="J2040" s="32"/>
      <c r="K2040" s="33" t="s">
        <v>11121</v>
      </c>
      <c r="L2040" s="33" t="s">
        <v>11124</v>
      </c>
      <c r="N2040" s="33" t="s">
        <v>11121</v>
      </c>
      <c r="O2040" s="35" t="s">
        <v>11125</v>
      </c>
    </row>
    <row r="2041">
      <c r="A2041" s="38"/>
      <c r="B2041" s="28" t="s">
        <v>11126</v>
      </c>
      <c r="C2041" s="28" t="s">
        <v>11127</v>
      </c>
      <c r="D2041" s="29" t="s">
        <v>11128</v>
      </c>
      <c r="E2041" s="30" t="s">
        <v>11129</v>
      </c>
      <c r="F2041" s="28" t="s">
        <v>11130</v>
      </c>
      <c r="I2041" s="32"/>
      <c r="J2041" s="32"/>
      <c r="K2041" s="33" t="s">
        <v>11126</v>
      </c>
      <c r="L2041" s="33" t="s">
        <v>11131</v>
      </c>
      <c r="N2041" s="33" t="s">
        <v>11126</v>
      </c>
      <c r="O2041" s="35" t="s">
        <v>11132</v>
      </c>
    </row>
    <row r="2042">
      <c r="A2042" s="38"/>
      <c r="B2042" s="28" t="s">
        <v>11133</v>
      </c>
      <c r="C2042" s="28" t="s">
        <v>10814</v>
      </c>
      <c r="D2042" s="29" t="s">
        <v>11134</v>
      </c>
      <c r="E2042" s="30" t="s">
        <v>11135</v>
      </c>
      <c r="F2042" s="28" t="s">
        <v>11136</v>
      </c>
      <c r="I2042" s="32"/>
      <c r="J2042" s="32"/>
      <c r="K2042" s="33" t="s">
        <v>11133</v>
      </c>
      <c r="L2042" s="33" t="s">
        <v>11137</v>
      </c>
      <c r="N2042" s="33" t="s">
        <v>11133</v>
      </c>
      <c r="O2042" s="35" t="s">
        <v>10813</v>
      </c>
    </row>
    <row r="2043">
      <c r="A2043" s="38"/>
      <c r="B2043" s="28" t="s">
        <v>11138</v>
      </c>
      <c r="C2043" s="28" t="s">
        <v>11139</v>
      </c>
      <c r="D2043" s="29" t="s">
        <v>11140</v>
      </c>
      <c r="E2043" s="30" t="s">
        <v>11141</v>
      </c>
      <c r="F2043" s="28" t="s">
        <v>11142</v>
      </c>
      <c r="I2043" s="32"/>
      <c r="J2043" s="32"/>
      <c r="K2043" s="33" t="s">
        <v>11138</v>
      </c>
      <c r="L2043" s="33" t="s">
        <v>11143</v>
      </c>
      <c r="N2043" s="33" t="s">
        <v>11138</v>
      </c>
      <c r="O2043" s="35" t="s">
        <v>11144</v>
      </c>
    </row>
    <row r="2044">
      <c r="A2044" s="38"/>
      <c r="B2044" s="28" t="s">
        <v>11145</v>
      </c>
      <c r="C2044" s="28" t="s">
        <v>10819</v>
      </c>
      <c r="D2044" s="29" t="s">
        <v>11146</v>
      </c>
      <c r="E2044" s="30" t="s">
        <v>11147</v>
      </c>
      <c r="F2044" s="28" t="s">
        <v>11148</v>
      </c>
      <c r="I2044" s="32"/>
      <c r="J2044" s="32"/>
      <c r="K2044" s="33" t="s">
        <v>11145</v>
      </c>
      <c r="L2044" s="33" t="s">
        <v>11149</v>
      </c>
      <c r="N2044" s="33" t="s">
        <v>11145</v>
      </c>
      <c r="O2044" s="35"/>
    </row>
    <row r="2045">
      <c r="A2045" s="38"/>
      <c r="B2045" s="28" t="s">
        <v>11150</v>
      </c>
      <c r="C2045" s="28" t="s">
        <v>10825</v>
      </c>
      <c r="D2045" s="29" t="s">
        <v>11151</v>
      </c>
      <c r="E2045" s="30" t="s">
        <v>11152</v>
      </c>
      <c r="F2045" s="28" t="s">
        <v>11153</v>
      </c>
      <c r="I2045" s="32"/>
      <c r="J2045" s="32"/>
      <c r="K2045" s="33" t="s">
        <v>11150</v>
      </c>
      <c r="L2045" s="33" t="s">
        <v>11154</v>
      </c>
      <c r="N2045" s="33" t="s">
        <v>11150</v>
      </c>
      <c r="O2045" s="35"/>
    </row>
    <row r="2046">
      <c r="A2046" s="38"/>
      <c r="B2046" s="28" t="s">
        <v>11155</v>
      </c>
      <c r="C2046" s="28" t="s">
        <v>11156</v>
      </c>
      <c r="D2046" s="29" t="s">
        <v>11157</v>
      </c>
      <c r="E2046" s="30" t="s">
        <v>11158</v>
      </c>
      <c r="F2046" s="28" t="s">
        <v>11159</v>
      </c>
      <c r="I2046" s="32"/>
      <c r="J2046" s="32"/>
      <c r="K2046" s="33" t="s">
        <v>11155</v>
      </c>
      <c r="L2046" s="33" t="s">
        <v>11160</v>
      </c>
      <c r="N2046" s="33" t="s">
        <v>11155</v>
      </c>
      <c r="O2046" s="35"/>
    </row>
    <row r="2047">
      <c r="A2047" s="38"/>
      <c r="B2047" s="28" t="s">
        <v>11161</v>
      </c>
      <c r="C2047" s="28" t="s">
        <v>10839</v>
      </c>
      <c r="D2047" s="29" t="s">
        <v>11162</v>
      </c>
      <c r="E2047" s="30" t="s">
        <v>11163</v>
      </c>
      <c r="F2047" s="28" t="s">
        <v>11164</v>
      </c>
      <c r="I2047" s="32"/>
      <c r="J2047" s="32"/>
      <c r="K2047" s="33" t="s">
        <v>11161</v>
      </c>
      <c r="L2047" s="33" t="s">
        <v>11165</v>
      </c>
      <c r="N2047" s="33" t="s">
        <v>11161</v>
      </c>
      <c r="O2047" s="35" t="s">
        <v>10838</v>
      </c>
    </row>
    <row r="2048">
      <c r="A2048" s="38"/>
      <c r="B2048" s="28" t="s">
        <v>11166</v>
      </c>
      <c r="C2048" s="28" t="s">
        <v>11167</v>
      </c>
      <c r="D2048" s="29" t="s">
        <v>11168</v>
      </c>
      <c r="E2048" s="54" t="s">
        <v>11169</v>
      </c>
      <c r="F2048" s="28" t="s">
        <v>11170</v>
      </c>
      <c r="I2048" s="32"/>
      <c r="J2048" s="32"/>
      <c r="K2048" s="33" t="s">
        <v>11166</v>
      </c>
      <c r="L2048" s="33" t="s">
        <v>11171</v>
      </c>
      <c r="N2048" s="33" t="s">
        <v>11166</v>
      </c>
      <c r="O2048" s="35"/>
    </row>
    <row r="2049">
      <c r="A2049" s="38"/>
      <c r="B2049" s="28" t="s">
        <v>11172</v>
      </c>
      <c r="C2049" s="28" t="s">
        <v>10844</v>
      </c>
      <c r="D2049" s="29" t="s">
        <v>11173</v>
      </c>
      <c r="E2049" s="30"/>
      <c r="F2049" s="28" t="s">
        <v>11174</v>
      </c>
      <c r="I2049" s="32"/>
      <c r="J2049" s="32"/>
      <c r="K2049" s="33" t="s">
        <v>11172</v>
      </c>
      <c r="L2049" s="33" t="s">
        <v>11175</v>
      </c>
      <c r="N2049" s="33" t="s">
        <v>11172</v>
      </c>
      <c r="O2049" s="35" t="s">
        <v>10843</v>
      </c>
    </row>
    <row r="2050">
      <c r="A2050" s="38"/>
      <c r="B2050" s="28" t="s">
        <v>11176</v>
      </c>
      <c r="C2050" s="28" t="s">
        <v>10850</v>
      </c>
      <c r="D2050" s="29" t="s">
        <v>11177</v>
      </c>
      <c r="E2050" s="30" t="s">
        <v>11178</v>
      </c>
      <c r="F2050" s="28" t="s">
        <v>11179</v>
      </c>
      <c r="I2050" s="32"/>
      <c r="J2050" s="32"/>
      <c r="K2050" s="33" t="s">
        <v>11176</v>
      </c>
      <c r="L2050" s="33" t="s">
        <v>11180</v>
      </c>
      <c r="N2050" s="33" t="s">
        <v>11176</v>
      </c>
      <c r="O2050" s="35" t="s">
        <v>10849</v>
      </c>
    </row>
    <row r="2051">
      <c r="A2051" s="38"/>
      <c r="B2051" s="28" t="s">
        <v>11181</v>
      </c>
      <c r="C2051" s="28" t="s">
        <v>10856</v>
      </c>
      <c r="D2051" s="29" t="s">
        <v>11182</v>
      </c>
      <c r="E2051" s="30"/>
      <c r="F2051" s="28" t="s">
        <v>11183</v>
      </c>
      <c r="I2051" s="32"/>
      <c r="J2051" s="32"/>
      <c r="K2051" s="33" t="s">
        <v>11181</v>
      </c>
      <c r="L2051" s="33" t="s">
        <v>11184</v>
      </c>
      <c r="N2051" s="33" t="s">
        <v>11181</v>
      </c>
      <c r="O2051" s="47" t="s">
        <v>11185</v>
      </c>
    </row>
    <row r="2052">
      <c r="A2052" s="38"/>
      <c r="B2052" s="28" t="s">
        <v>11186</v>
      </c>
      <c r="C2052" s="28" t="s">
        <v>10862</v>
      </c>
      <c r="D2052" s="29" t="s">
        <v>11187</v>
      </c>
      <c r="E2052" s="30" t="s">
        <v>11188</v>
      </c>
      <c r="F2052" s="28" t="s">
        <v>11189</v>
      </c>
      <c r="I2052" s="32"/>
      <c r="J2052" s="32"/>
      <c r="K2052" s="33" t="s">
        <v>11186</v>
      </c>
      <c r="L2052" s="33" t="s">
        <v>11190</v>
      </c>
      <c r="N2052" s="33" t="s">
        <v>11186</v>
      </c>
      <c r="O2052" s="35" t="s">
        <v>10861</v>
      </c>
    </row>
    <row r="2053">
      <c r="A2053" s="38"/>
      <c r="B2053" s="28" t="s">
        <v>11191</v>
      </c>
      <c r="C2053" s="28" t="s">
        <v>11192</v>
      </c>
      <c r="D2053" s="29" t="s">
        <v>11193</v>
      </c>
      <c r="E2053" s="30"/>
      <c r="F2053" s="28" t="s">
        <v>11194</v>
      </c>
      <c r="I2053" s="32"/>
      <c r="J2053" s="32"/>
      <c r="K2053" s="33" t="s">
        <v>11191</v>
      </c>
      <c r="L2053" s="33" t="s">
        <v>11195</v>
      </c>
      <c r="N2053" s="33" t="s">
        <v>11191</v>
      </c>
      <c r="O2053" s="35"/>
    </row>
    <row r="2054">
      <c r="A2054" s="38"/>
      <c r="B2054" s="28" t="s">
        <v>11196</v>
      </c>
      <c r="C2054" s="28" t="s">
        <v>10882</v>
      </c>
      <c r="D2054" s="29" t="s">
        <v>11197</v>
      </c>
      <c r="E2054" s="30"/>
      <c r="F2054" s="28" t="s">
        <v>11198</v>
      </c>
      <c r="I2054" s="32"/>
      <c r="J2054" s="32"/>
      <c r="K2054" s="33" t="s">
        <v>11196</v>
      </c>
      <c r="L2054" s="33" t="s">
        <v>11199</v>
      </c>
      <c r="N2054" s="33" t="s">
        <v>11196</v>
      </c>
      <c r="O2054" s="47" t="s">
        <v>11200</v>
      </c>
    </row>
    <row r="2055">
      <c r="A2055" s="38"/>
      <c r="B2055" s="28" t="s">
        <v>11201</v>
      </c>
      <c r="C2055" s="28" t="s">
        <v>10887</v>
      </c>
      <c r="D2055" s="29" t="s">
        <v>11202</v>
      </c>
      <c r="E2055" s="30" t="s">
        <v>11203</v>
      </c>
      <c r="F2055" s="28" t="s">
        <v>11204</v>
      </c>
      <c r="I2055" s="32"/>
      <c r="J2055" s="32"/>
      <c r="K2055" s="33" t="s">
        <v>11201</v>
      </c>
      <c r="L2055" s="33" t="s">
        <v>11205</v>
      </c>
      <c r="N2055" s="33" t="s">
        <v>11201</v>
      </c>
      <c r="O2055" s="35"/>
    </row>
    <row r="2056">
      <c r="A2056" s="38"/>
      <c r="B2056" s="28" t="s">
        <v>11206</v>
      </c>
      <c r="C2056" s="28" t="s">
        <v>11207</v>
      </c>
      <c r="D2056" s="29" t="s">
        <v>11208</v>
      </c>
      <c r="E2056" s="30" t="s">
        <v>11209</v>
      </c>
      <c r="F2056" s="28" t="s">
        <v>11210</v>
      </c>
      <c r="I2056" s="32"/>
      <c r="J2056" s="32"/>
      <c r="K2056" s="33" t="s">
        <v>11206</v>
      </c>
      <c r="L2056" s="33" t="s">
        <v>11211</v>
      </c>
      <c r="N2056" s="33" t="s">
        <v>11206</v>
      </c>
      <c r="O2056" s="35"/>
    </row>
    <row r="2057">
      <c r="A2057" s="38"/>
      <c r="B2057" s="28" t="s">
        <v>11212</v>
      </c>
      <c r="C2057" s="28" t="s">
        <v>11213</v>
      </c>
      <c r="D2057" s="29" t="s">
        <v>11214</v>
      </c>
      <c r="E2057" s="30"/>
      <c r="F2057" s="28" t="s">
        <v>11215</v>
      </c>
      <c r="I2057" s="32"/>
      <c r="J2057" s="32"/>
      <c r="K2057" s="33" t="s">
        <v>11212</v>
      </c>
      <c r="L2057" s="33" t="s">
        <v>11216</v>
      </c>
      <c r="N2057" s="33" t="s">
        <v>11212</v>
      </c>
      <c r="O2057" s="47" t="s">
        <v>11217</v>
      </c>
    </row>
    <row r="2058">
      <c r="A2058" s="38"/>
      <c r="B2058" s="28" t="s">
        <v>11218</v>
      </c>
      <c r="C2058" s="28" t="s">
        <v>10896</v>
      </c>
      <c r="D2058" s="29" t="s">
        <v>11219</v>
      </c>
      <c r="E2058" s="30"/>
      <c r="F2058" s="28" t="s">
        <v>720</v>
      </c>
      <c r="I2058" s="32"/>
      <c r="J2058" s="32"/>
      <c r="K2058" s="33" t="s">
        <v>11218</v>
      </c>
      <c r="L2058" s="33" t="s">
        <v>11220</v>
      </c>
      <c r="N2058" s="33" t="s">
        <v>11218</v>
      </c>
      <c r="O2058" s="35" t="s">
        <v>10895</v>
      </c>
    </row>
    <row r="2059">
      <c r="A2059" s="38"/>
      <c r="B2059" s="28" t="s">
        <v>11221</v>
      </c>
      <c r="C2059" s="28" t="s">
        <v>10900</v>
      </c>
      <c r="D2059" s="29" t="s">
        <v>11222</v>
      </c>
      <c r="E2059" s="30"/>
      <c r="F2059" s="28" t="s">
        <v>11223</v>
      </c>
      <c r="I2059" s="32"/>
      <c r="J2059" s="32"/>
      <c r="K2059" s="33" t="s">
        <v>11221</v>
      </c>
      <c r="L2059" s="33" t="s">
        <v>11224</v>
      </c>
      <c r="N2059" s="33" t="s">
        <v>11221</v>
      </c>
      <c r="O2059" s="47" t="s">
        <v>11225</v>
      </c>
    </row>
    <row r="2060">
      <c r="A2060" s="38"/>
      <c r="B2060" s="28" t="s">
        <v>11226</v>
      </c>
      <c r="C2060" s="28" t="s">
        <v>10906</v>
      </c>
      <c r="D2060" s="29" t="s">
        <v>11227</v>
      </c>
      <c r="E2060" s="30"/>
      <c r="F2060" s="28" t="s">
        <v>725</v>
      </c>
      <c r="I2060" s="32"/>
      <c r="J2060" s="32"/>
      <c r="K2060" s="33" t="s">
        <v>11226</v>
      </c>
      <c r="L2060" s="33" t="s">
        <v>11228</v>
      </c>
      <c r="N2060" s="33" t="s">
        <v>11226</v>
      </c>
      <c r="O2060" s="35" t="s">
        <v>10905</v>
      </c>
    </row>
    <row r="2061">
      <c r="A2061" s="38"/>
      <c r="B2061" s="28" t="s">
        <v>11229</v>
      </c>
      <c r="C2061" s="28" t="s">
        <v>11230</v>
      </c>
      <c r="D2061" s="29" t="s">
        <v>11231</v>
      </c>
      <c r="E2061" s="30" t="s">
        <v>11232</v>
      </c>
      <c r="F2061" s="28" t="s">
        <v>11233</v>
      </c>
      <c r="I2061" s="32"/>
      <c r="J2061" s="32"/>
      <c r="K2061" s="33" t="s">
        <v>11229</v>
      </c>
      <c r="L2061" s="33" t="s">
        <v>11234</v>
      </c>
      <c r="N2061" s="33" t="s">
        <v>11229</v>
      </c>
      <c r="O2061" s="47" t="s">
        <v>11235</v>
      </c>
    </row>
    <row r="2062">
      <c r="A2062" s="38"/>
      <c r="B2062" s="28" t="s">
        <v>11236</v>
      </c>
      <c r="C2062" s="28" t="s">
        <v>10923</v>
      </c>
      <c r="D2062" s="29" t="s">
        <v>11237</v>
      </c>
      <c r="E2062" s="30" t="s">
        <v>11238</v>
      </c>
      <c r="F2062" s="28" t="s">
        <v>11239</v>
      </c>
      <c r="I2062" s="32"/>
      <c r="J2062" s="32"/>
      <c r="K2062" s="33" t="s">
        <v>11236</v>
      </c>
      <c r="L2062" s="33" t="s">
        <v>11240</v>
      </c>
      <c r="N2062" s="33" t="s">
        <v>11236</v>
      </c>
      <c r="O2062" s="35" t="s">
        <v>10922</v>
      </c>
    </row>
    <row r="2063">
      <c r="A2063" s="38"/>
      <c r="B2063" s="28" t="s">
        <v>11241</v>
      </c>
      <c r="C2063" s="28" t="s">
        <v>11242</v>
      </c>
      <c r="D2063" s="29" t="s">
        <v>11243</v>
      </c>
      <c r="E2063" s="54" t="s">
        <v>11244</v>
      </c>
      <c r="F2063" s="28" t="s">
        <v>11245</v>
      </c>
      <c r="I2063" s="32"/>
      <c r="J2063" s="32"/>
      <c r="K2063" s="33" t="s">
        <v>11241</v>
      </c>
      <c r="L2063" s="33" t="s">
        <v>11246</v>
      </c>
      <c r="N2063" s="33" t="s">
        <v>11241</v>
      </c>
      <c r="O2063" s="35" t="s">
        <v>11247</v>
      </c>
    </row>
    <row r="2064">
      <c r="A2064" s="38"/>
      <c r="B2064" s="28" t="s">
        <v>11248</v>
      </c>
      <c r="C2064" s="28" t="s">
        <v>10928</v>
      </c>
      <c r="D2064" s="29" t="s">
        <v>11249</v>
      </c>
      <c r="E2064" s="30" t="s">
        <v>122</v>
      </c>
      <c r="F2064" s="28" t="s">
        <v>116</v>
      </c>
      <c r="I2064" s="32"/>
      <c r="J2064" s="32"/>
      <c r="K2064" s="33" t="s">
        <v>11248</v>
      </c>
      <c r="L2064" s="33" t="s">
        <v>11250</v>
      </c>
      <c r="N2064" s="33" t="s">
        <v>11248</v>
      </c>
      <c r="O2064" s="35" t="s">
        <v>10927</v>
      </c>
    </row>
    <row r="2065">
      <c r="A2065" s="38"/>
      <c r="B2065" s="28" t="s">
        <v>11251</v>
      </c>
      <c r="C2065" s="28" t="s">
        <v>11252</v>
      </c>
      <c r="D2065" s="29" t="s">
        <v>11253</v>
      </c>
      <c r="E2065" s="30" t="s">
        <v>11254</v>
      </c>
      <c r="F2065" s="28" t="s">
        <v>11255</v>
      </c>
      <c r="I2065" s="32"/>
      <c r="J2065" s="32"/>
      <c r="K2065" s="33" t="s">
        <v>11251</v>
      </c>
      <c r="L2065" s="33" t="s">
        <v>11256</v>
      </c>
      <c r="N2065" s="33" t="s">
        <v>11251</v>
      </c>
      <c r="O2065" s="35" t="s">
        <v>718</v>
      </c>
    </row>
    <row r="2066">
      <c r="A2066" s="38"/>
      <c r="B2066" s="28" t="s">
        <v>11257</v>
      </c>
      <c r="C2066" s="28" t="s">
        <v>11258</v>
      </c>
      <c r="D2066" s="29" t="s">
        <v>11259</v>
      </c>
      <c r="E2066" s="30" t="s">
        <v>11254</v>
      </c>
      <c r="F2066" s="28" t="s">
        <v>11260</v>
      </c>
      <c r="I2066" s="32"/>
      <c r="J2066" s="32"/>
      <c r="K2066" s="33" t="s">
        <v>11257</v>
      </c>
      <c r="L2066" s="33" t="s">
        <v>11261</v>
      </c>
      <c r="N2066" s="33" t="s">
        <v>11257</v>
      </c>
      <c r="O2066" s="35"/>
    </row>
    <row r="2067">
      <c r="A2067" s="38"/>
      <c r="B2067" s="28" t="s">
        <v>11262</v>
      </c>
      <c r="C2067" s="28" t="s">
        <v>11263</v>
      </c>
      <c r="D2067" s="29" t="s">
        <v>11264</v>
      </c>
      <c r="E2067" s="30" t="s">
        <v>11254</v>
      </c>
      <c r="F2067" s="28" t="s">
        <v>11265</v>
      </c>
      <c r="I2067" s="32"/>
      <c r="J2067" s="32"/>
      <c r="K2067" s="33" t="s">
        <v>11262</v>
      </c>
      <c r="L2067" s="33" t="s">
        <v>11266</v>
      </c>
      <c r="N2067" s="33" t="s">
        <v>11262</v>
      </c>
      <c r="O2067" s="35" t="s">
        <v>11267</v>
      </c>
    </row>
    <row r="2068">
      <c r="A2068" s="38"/>
      <c r="B2068" s="28" t="s">
        <v>11268</v>
      </c>
      <c r="C2068" s="28" t="s">
        <v>10967</v>
      </c>
      <c r="D2068" s="29" t="s">
        <v>11269</v>
      </c>
      <c r="E2068" s="30" t="s">
        <v>735</v>
      </c>
      <c r="F2068" s="28" t="s">
        <v>731</v>
      </c>
      <c r="I2068" s="32"/>
      <c r="J2068" s="32"/>
      <c r="K2068" s="33" t="s">
        <v>11268</v>
      </c>
      <c r="L2068" s="33" t="s">
        <v>11270</v>
      </c>
      <c r="N2068" s="33" t="s">
        <v>11268</v>
      </c>
      <c r="O2068" s="35" t="s">
        <v>10966</v>
      </c>
    </row>
    <row r="2069">
      <c r="A2069" s="38"/>
      <c r="B2069" s="28" t="s">
        <v>11271</v>
      </c>
      <c r="C2069" s="28" t="s">
        <v>10978</v>
      </c>
      <c r="D2069" s="29" t="s">
        <v>11272</v>
      </c>
      <c r="E2069" s="30" t="s">
        <v>11273</v>
      </c>
      <c r="F2069" s="28" t="s">
        <v>11274</v>
      </c>
      <c r="I2069" s="32"/>
      <c r="J2069" s="32"/>
      <c r="K2069" s="33" t="s">
        <v>11271</v>
      </c>
      <c r="L2069" s="33" t="s">
        <v>11275</v>
      </c>
      <c r="N2069" s="33" t="s">
        <v>11271</v>
      </c>
      <c r="O2069" s="47" t="s">
        <v>11276</v>
      </c>
    </row>
    <row r="2070">
      <c r="A2070" s="38"/>
      <c r="B2070" s="28" t="s">
        <v>11277</v>
      </c>
      <c r="C2070" s="28" t="s">
        <v>10982</v>
      </c>
      <c r="D2070" s="29" t="s">
        <v>11278</v>
      </c>
      <c r="E2070" s="30" t="s">
        <v>11279</v>
      </c>
      <c r="F2070" s="28" t="s">
        <v>11280</v>
      </c>
      <c r="I2070" s="32"/>
      <c r="J2070" s="32"/>
      <c r="K2070" s="33" t="s">
        <v>11277</v>
      </c>
      <c r="L2070" s="33" t="s">
        <v>11281</v>
      </c>
      <c r="N2070" s="33" t="s">
        <v>11277</v>
      </c>
      <c r="O2070" s="35"/>
    </row>
    <row r="2071">
      <c r="A2071" s="38"/>
      <c r="B2071" s="28" t="s">
        <v>11282</v>
      </c>
      <c r="C2071" s="28" t="s">
        <v>10987</v>
      </c>
      <c r="D2071" s="29" t="s">
        <v>11283</v>
      </c>
      <c r="E2071" s="30" t="s">
        <v>11284</v>
      </c>
      <c r="F2071" s="28" t="s">
        <v>11285</v>
      </c>
      <c r="I2071" s="32"/>
      <c r="J2071" s="32"/>
      <c r="K2071" s="33" t="s">
        <v>11282</v>
      </c>
      <c r="L2071" s="33" t="s">
        <v>11286</v>
      </c>
      <c r="N2071" s="33" t="s">
        <v>11282</v>
      </c>
      <c r="O2071" s="35" t="s">
        <v>10986</v>
      </c>
    </row>
    <row r="2072">
      <c r="A2072" s="38"/>
      <c r="B2072" s="28" t="s">
        <v>11287</v>
      </c>
      <c r="C2072" s="28" t="s">
        <v>10992</v>
      </c>
      <c r="D2072" s="29" t="s">
        <v>11288</v>
      </c>
      <c r="E2072" s="54" t="s">
        <v>11289</v>
      </c>
      <c r="F2072" s="28" t="s">
        <v>11290</v>
      </c>
      <c r="I2072" s="32"/>
      <c r="J2072" s="32"/>
      <c r="K2072" s="33" t="s">
        <v>11287</v>
      </c>
      <c r="L2072" s="33" t="s">
        <v>11291</v>
      </c>
      <c r="N2072" s="33" t="s">
        <v>11287</v>
      </c>
      <c r="O2072" s="35" t="s">
        <v>10991</v>
      </c>
    </row>
    <row r="2073">
      <c r="A2073" s="38"/>
      <c r="B2073" s="28" t="s">
        <v>11292</v>
      </c>
      <c r="C2073" s="28" t="s">
        <v>10997</v>
      </c>
      <c r="D2073" s="29" t="s">
        <v>11293</v>
      </c>
      <c r="E2073" s="30" t="s">
        <v>11294</v>
      </c>
      <c r="F2073" s="28" t="s">
        <v>11295</v>
      </c>
      <c r="I2073" s="32"/>
      <c r="J2073" s="32"/>
      <c r="K2073" s="33" t="s">
        <v>11292</v>
      </c>
      <c r="L2073" s="33" t="s">
        <v>11296</v>
      </c>
      <c r="N2073" s="33" t="s">
        <v>11292</v>
      </c>
      <c r="O2073" s="35"/>
    </row>
    <row r="2074">
      <c r="A2074" s="38"/>
      <c r="B2074" s="28" t="s">
        <v>11297</v>
      </c>
      <c r="C2074" s="28" t="s">
        <v>11020</v>
      </c>
      <c r="D2074" s="29" t="s">
        <v>11298</v>
      </c>
      <c r="E2074" s="30"/>
      <c r="F2074" s="28" t="s">
        <v>11299</v>
      </c>
      <c r="I2074" s="32"/>
      <c r="J2074" s="32"/>
      <c r="K2074" s="33" t="s">
        <v>11297</v>
      </c>
      <c r="L2074" s="33" t="s">
        <v>11300</v>
      </c>
      <c r="N2074" s="33" t="s">
        <v>11297</v>
      </c>
      <c r="O2074" s="35" t="s">
        <v>11019</v>
      </c>
    </row>
    <row r="2075">
      <c r="A2075" s="38"/>
      <c r="B2075" s="28" t="s">
        <v>11301</v>
      </c>
      <c r="C2075" s="28" t="s">
        <v>11302</v>
      </c>
      <c r="D2075" s="29" t="s">
        <v>11303</v>
      </c>
      <c r="E2075" s="30"/>
      <c r="F2075" s="28" t="s">
        <v>11304</v>
      </c>
      <c r="I2075" s="32"/>
      <c r="J2075" s="32"/>
      <c r="K2075" s="33" t="s">
        <v>11301</v>
      </c>
      <c r="L2075" s="33" t="s">
        <v>11305</v>
      </c>
      <c r="N2075" s="33" t="s">
        <v>11301</v>
      </c>
      <c r="O2075" s="35" t="s">
        <v>11306</v>
      </c>
    </row>
    <row r="2076">
      <c r="A2076" s="38"/>
      <c r="B2076" s="28" t="s">
        <v>11307</v>
      </c>
      <c r="C2076" s="28" t="s">
        <v>11047</v>
      </c>
      <c r="D2076" s="29" t="s">
        <v>11308</v>
      </c>
      <c r="E2076" s="30" t="s">
        <v>11309</v>
      </c>
      <c r="F2076" s="28" t="s">
        <v>11310</v>
      </c>
      <c r="I2076" s="32"/>
      <c r="J2076" s="32"/>
      <c r="K2076" s="33" t="s">
        <v>11307</v>
      </c>
      <c r="L2076" s="33" t="s">
        <v>11311</v>
      </c>
      <c r="N2076" s="33" t="s">
        <v>11307</v>
      </c>
      <c r="O2076" s="35"/>
    </row>
    <row r="2077">
      <c r="A2077" s="38"/>
      <c r="B2077" s="28" t="s">
        <v>11312</v>
      </c>
      <c r="C2077" s="28" t="s">
        <v>11067</v>
      </c>
      <c r="D2077" s="29" t="s">
        <v>11313</v>
      </c>
      <c r="E2077" s="30" t="s">
        <v>11314</v>
      </c>
      <c r="F2077" s="28" t="s">
        <v>11315</v>
      </c>
      <c r="I2077" s="32"/>
      <c r="J2077" s="32"/>
      <c r="K2077" s="33" t="s">
        <v>11312</v>
      </c>
      <c r="L2077" s="33" t="s">
        <v>11316</v>
      </c>
      <c r="N2077" s="33" t="s">
        <v>11312</v>
      </c>
      <c r="O2077" s="35"/>
    </row>
    <row r="2078">
      <c r="A2078" s="38"/>
      <c r="B2078" s="28" t="s">
        <v>11317</v>
      </c>
      <c r="C2078" s="28" t="s">
        <v>11318</v>
      </c>
      <c r="D2078" s="29" t="s">
        <v>11319</v>
      </c>
      <c r="E2078" s="30" t="s">
        <v>11320</v>
      </c>
      <c r="F2078" s="28" t="s">
        <v>11321</v>
      </c>
      <c r="I2078" s="32"/>
      <c r="J2078" s="32"/>
      <c r="K2078" s="33" t="s">
        <v>11317</v>
      </c>
      <c r="L2078" s="33" t="s">
        <v>11322</v>
      </c>
      <c r="N2078" s="33" t="s">
        <v>11317</v>
      </c>
      <c r="O2078" s="35" t="s">
        <v>11323</v>
      </c>
    </row>
    <row r="2079">
      <c r="A2079" s="38"/>
      <c r="B2079" s="28" t="s">
        <v>11324</v>
      </c>
      <c r="C2079" s="28" t="s">
        <v>11072</v>
      </c>
      <c r="D2079" s="29" t="s">
        <v>11325</v>
      </c>
      <c r="E2079" s="30" t="s">
        <v>4275</v>
      </c>
      <c r="F2079" s="28" t="s">
        <v>11326</v>
      </c>
      <c r="I2079" s="32"/>
      <c r="J2079" s="32"/>
      <c r="K2079" s="33" t="s">
        <v>11324</v>
      </c>
      <c r="L2079" s="33" t="s">
        <v>11327</v>
      </c>
      <c r="N2079" s="33" t="s">
        <v>11324</v>
      </c>
      <c r="O2079" s="35" t="s">
        <v>11071</v>
      </c>
    </row>
    <row r="2080">
      <c r="A2080" s="38"/>
      <c r="B2080" s="28" t="s">
        <v>11328</v>
      </c>
      <c r="C2080" s="28" t="s">
        <v>11082</v>
      </c>
      <c r="D2080" s="29" t="s">
        <v>11329</v>
      </c>
      <c r="E2080" s="30"/>
      <c r="F2080" s="28" t="s">
        <v>11330</v>
      </c>
      <c r="I2080" s="32"/>
      <c r="J2080" s="32"/>
      <c r="K2080" s="33" t="s">
        <v>11328</v>
      </c>
      <c r="L2080" s="33" t="s">
        <v>11331</v>
      </c>
      <c r="N2080" s="33" t="s">
        <v>11328</v>
      </c>
      <c r="O2080" s="35" t="s">
        <v>11081</v>
      </c>
    </row>
    <row r="2081">
      <c r="A2081" s="38"/>
      <c r="B2081" s="28" t="s">
        <v>11332</v>
      </c>
      <c r="C2081" s="28" t="s">
        <v>11086</v>
      </c>
      <c r="D2081" s="29" t="s">
        <v>11333</v>
      </c>
      <c r="E2081" s="54" t="s">
        <v>11334</v>
      </c>
      <c r="F2081" s="28" t="s">
        <v>11335</v>
      </c>
      <c r="I2081" s="32"/>
      <c r="J2081" s="32"/>
      <c r="K2081" s="33" t="s">
        <v>11332</v>
      </c>
      <c r="L2081" s="33" t="s">
        <v>11336</v>
      </c>
      <c r="N2081" s="33" t="s">
        <v>11332</v>
      </c>
      <c r="O2081" s="35"/>
    </row>
    <row r="2082">
      <c r="A2082" s="38"/>
      <c r="B2082" s="28" t="s">
        <v>11337</v>
      </c>
      <c r="C2082" s="28" t="s">
        <v>11097</v>
      </c>
      <c r="D2082" s="29" t="s">
        <v>11338</v>
      </c>
      <c r="E2082" s="30"/>
      <c r="F2082" s="28" t="s">
        <v>11339</v>
      </c>
      <c r="I2082" s="32"/>
      <c r="J2082" s="32"/>
      <c r="K2082" s="33" t="s">
        <v>11337</v>
      </c>
      <c r="L2082" s="33" t="s">
        <v>11340</v>
      </c>
      <c r="N2082" s="33" t="s">
        <v>11337</v>
      </c>
      <c r="O2082" s="35" t="s">
        <v>11096</v>
      </c>
    </row>
    <row r="2083">
      <c r="A2083" s="38"/>
      <c r="B2083" s="28" t="s">
        <v>11341</v>
      </c>
      <c r="C2083" s="28" t="s">
        <v>11342</v>
      </c>
      <c r="D2083" s="29" t="s">
        <v>11343</v>
      </c>
      <c r="E2083" s="30"/>
      <c r="F2083" s="28" t="s">
        <v>11344</v>
      </c>
      <c r="I2083" s="32"/>
      <c r="J2083" s="32"/>
      <c r="K2083" s="33" t="s">
        <v>11341</v>
      </c>
      <c r="L2083" s="33" t="s">
        <v>11345</v>
      </c>
      <c r="N2083" s="33" t="s">
        <v>11341</v>
      </c>
      <c r="O2083" s="35" t="s">
        <v>11346</v>
      </c>
    </row>
    <row r="2084">
      <c r="A2084" s="38"/>
      <c r="B2084" s="28" t="s">
        <v>11347</v>
      </c>
      <c r="C2084" s="28" t="s">
        <v>11102</v>
      </c>
      <c r="D2084" s="29" t="s">
        <v>11348</v>
      </c>
      <c r="E2084" s="30" t="s">
        <v>11349</v>
      </c>
      <c r="F2084" s="28" t="s">
        <v>11350</v>
      </c>
      <c r="I2084" s="32"/>
      <c r="J2084" s="32"/>
      <c r="K2084" s="33" t="s">
        <v>11347</v>
      </c>
      <c r="L2084" s="33" t="s">
        <v>11351</v>
      </c>
      <c r="N2084" s="33" t="s">
        <v>11347</v>
      </c>
      <c r="O2084" s="35"/>
    </row>
    <row r="2085">
      <c r="A2085" s="38"/>
      <c r="B2085" s="28" t="s">
        <v>11352</v>
      </c>
      <c r="C2085" s="28" t="s">
        <v>11353</v>
      </c>
      <c r="D2085" s="29" t="s">
        <v>11354</v>
      </c>
      <c r="E2085" s="30" t="s">
        <v>11355</v>
      </c>
      <c r="F2085" s="28" t="s">
        <v>11356</v>
      </c>
      <c r="I2085" s="32"/>
      <c r="J2085" s="32"/>
      <c r="K2085" s="33" t="s">
        <v>11352</v>
      </c>
      <c r="L2085" s="33" t="s">
        <v>11357</v>
      </c>
      <c r="N2085" s="33" t="s">
        <v>11352</v>
      </c>
      <c r="O2085" s="35"/>
    </row>
    <row r="2086">
      <c r="A2086" s="38"/>
      <c r="B2086" s="28" t="s">
        <v>11358</v>
      </c>
      <c r="C2086" s="28" t="s">
        <v>11109</v>
      </c>
      <c r="D2086" s="29" t="s">
        <v>11359</v>
      </c>
      <c r="E2086" s="30"/>
      <c r="F2086" s="28" t="s">
        <v>11360</v>
      </c>
      <c r="I2086" s="32"/>
      <c r="J2086" s="32"/>
      <c r="K2086" s="33" t="s">
        <v>11358</v>
      </c>
      <c r="L2086" s="33" t="s">
        <v>11361</v>
      </c>
      <c r="N2086" s="33" t="s">
        <v>11358</v>
      </c>
      <c r="O2086" s="35" t="s">
        <v>11108</v>
      </c>
    </row>
    <row r="2087">
      <c r="A2087" s="38"/>
      <c r="B2087" s="28" t="s">
        <v>11362</v>
      </c>
      <c r="C2087" s="28" t="s">
        <v>11363</v>
      </c>
      <c r="D2087" s="29" t="s">
        <v>11364</v>
      </c>
      <c r="E2087" s="30" t="s">
        <v>11365</v>
      </c>
      <c r="F2087" s="28" t="s">
        <v>11366</v>
      </c>
      <c r="I2087" s="32"/>
      <c r="J2087" s="32"/>
      <c r="K2087" s="33" t="s">
        <v>11362</v>
      </c>
      <c r="L2087" s="33" t="s">
        <v>11367</v>
      </c>
      <c r="N2087" s="33" t="s">
        <v>11362</v>
      </c>
      <c r="O2087" s="35"/>
    </row>
    <row r="2088">
      <c r="A2088" s="38"/>
      <c r="B2088" s="28" t="s">
        <v>11368</v>
      </c>
      <c r="C2088" s="28" t="s">
        <v>11130</v>
      </c>
      <c r="D2088" s="29" t="s">
        <v>11369</v>
      </c>
      <c r="E2088" s="30" t="s">
        <v>11370</v>
      </c>
      <c r="F2088" s="28" t="s">
        <v>11371</v>
      </c>
      <c r="I2088" s="32"/>
      <c r="J2088" s="32"/>
      <c r="K2088" s="33" t="s">
        <v>11368</v>
      </c>
      <c r="L2088" s="33" t="s">
        <v>11372</v>
      </c>
      <c r="N2088" s="33" t="s">
        <v>11368</v>
      </c>
      <c r="O2088" s="35" t="s">
        <v>11129</v>
      </c>
    </row>
    <row r="2089">
      <c r="A2089" s="38"/>
      <c r="B2089" s="28" t="s">
        <v>11373</v>
      </c>
      <c r="C2089" s="28" t="s">
        <v>11374</v>
      </c>
      <c r="D2089" s="29" t="s">
        <v>11375</v>
      </c>
      <c r="E2089" s="30" t="s">
        <v>11376</v>
      </c>
      <c r="F2089" s="28" t="s">
        <v>11377</v>
      </c>
      <c r="I2089" s="32"/>
      <c r="J2089" s="32"/>
      <c r="K2089" s="33" t="s">
        <v>11373</v>
      </c>
      <c r="L2089" s="33" t="s">
        <v>11378</v>
      </c>
      <c r="N2089" s="33" t="s">
        <v>11373</v>
      </c>
      <c r="O2089" s="35" t="s">
        <v>11379</v>
      </c>
    </row>
    <row r="2090">
      <c r="A2090" s="38"/>
      <c r="B2090" s="28" t="s">
        <v>11380</v>
      </c>
      <c r="C2090" s="28" t="s">
        <v>11381</v>
      </c>
      <c r="D2090" s="29" t="s">
        <v>11382</v>
      </c>
      <c r="E2090" s="54" t="s">
        <v>11383</v>
      </c>
      <c r="F2090" s="28" t="s">
        <v>11384</v>
      </c>
      <c r="I2090" s="32"/>
      <c r="J2090" s="32"/>
      <c r="K2090" s="33" t="s">
        <v>11380</v>
      </c>
      <c r="L2090" s="33" t="s">
        <v>11385</v>
      </c>
      <c r="N2090" s="33" t="s">
        <v>11380</v>
      </c>
      <c r="O2090" s="35" t="s">
        <v>11135</v>
      </c>
    </row>
    <row r="2091">
      <c r="A2091" s="38"/>
      <c r="B2091" s="28" t="s">
        <v>11386</v>
      </c>
      <c r="C2091" s="28" t="s">
        <v>11142</v>
      </c>
      <c r="D2091" s="29" t="s">
        <v>11387</v>
      </c>
      <c r="E2091" s="30" t="s">
        <v>11388</v>
      </c>
      <c r="F2091" s="28" t="s">
        <v>312</v>
      </c>
      <c r="I2091" s="32"/>
      <c r="J2091" s="32"/>
      <c r="K2091" s="33" t="s">
        <v>11386</v>
      </c>
      <c r="L2091" s="33" t="s">
        <v>11389</v>
      </c>
      <c r="N2091" s="33" t="s">
        <v>11386</v>
      </c>
      <c r="O2091" s="35" t="s">
        <v>11141</v>
      </c>
    </row>
    <row r="2092">
      <c r="A2092" s="38"/>
      <c r="B2092" s="28" t="s">
        <v>11390</v>
      </c>
      <c r="C2092" s="28" t="s">
        <v>11153</v>
      </c>
      <c r="D2092" s="29" t="s">
        <v>11391</v>
      </c>
      <c r="E2092" s="30"/>
      <c r="F2092" s="28" t="s">
        <v>11392</v>
      </c>
      <c r="I2092" s="32"/>
      <c r="J2092" s="32"/>
      <c r="K2092" s="33" t="s">
        <v>11390</v>
      </c>
      <c r="L2092" s="33" t="s">
        <v>11393</v>
      </c>
      <c r="N2092" s="33" t="s">
        <v>11390</v>
      </c>
      <c r="O2092" s="35" t="s">
        <v>11152</v>
      </c>
    </row>
    <row r="2093">
      <c r="A2093" s="38"/>
      <c r="B2093" s="28" t="s">
        <v>11394</v>
      </c>
      <c r="C2093" s="28" t="s">
        <v>11395</v>
      </c>
      <c r="D2093" s="29" t="s">
        <v>11396</v>
      </c>
      <c r="E2093" s="30"/>
      <c r="F2093" s="28" t="s">
        <v>11397</v>
      </c>
      <c r="I2093" s="32"/>
      <c r="J2093" s="32"/>
      <c r="K2093" s="33" t="s">
        <v>11394</v>
      </c>
      <c r="L2093" s="33" t="s">
        <v>11398</v>
      </c>
      <c r="N2093" s="33" t="s">
        <v>11394</v>
      </c>
      <c r="O2093" s="47" t="s">
        <v>11399</v>
      </c>
    </row>
    <row r="2094">
      <c r="A2094" s="38"/>
      <c r="B2094" s="28" t="s">
        <v>11400</v>
      </c>
      <c r="C2094" s="28" t="s">
        <v>11159</v>
      </c>
      <c r="D2094" s="29" t="s">
        <v>11401</v>
      </c>
      <c r="E2094" s="30"/>
      <c r="F2094" s="28" t="s">
        <v>11402</v>
      </c>
      <c r="I2094" s="32"/>
      <c r="J2094" s="32"/>
      <c r="K2094" s="33" t="s">
        <v>11400</v>
      </c>
      <c r="L2094" s="33" t="s">
        <v>11403</v>
      </c>
      <c r="N2094" s="33" t="s">
        <v>11400</v>
      </c>
      <c r="O2094" s="35" t="s">
        <v>11158</v>
      </c>
    </row>
    <row r="2095">
      <c r="A2095" s="38"/>
      <c r="B2095" s="28" t="s">
        <v>11404</v>
      </c>
      <c r="C2095" s="28" t="s">
        <v>11405</v>
      </c>
      <c r="D2095" s="29" t="s">
        <v>11406</v>
      </c>
      <c r="E2095" s="30" t="s">
        <v>11407</v>
      </c>
      <c r="F2095" s="28" t="s">
        <v>11408</v>
      </c>
      <c r="I2095" s="32"/>
      <c r="J2095" s="32"/>
      <c r="K2095" s="33" t="s">
        <v>11404</v>
      </c>
      <c r="L2095" s="33" t="s">
        <v>11409</v>
      </c>
      <c r="N2095" s="33" t="s">
        <v>11404</v>
      </c>
      <c r="O2095" s="47" t="s">
        <v>11410</v>
      </c>
    </row>
    <row r="2096">
      <c r="A2096" s="38"/>
      <c r="B2096" s="28" t="s">
        <v>11411</v>
      </c>
      <c r="C2096" s="28" t="s">
        <v>11164</v>
      </c>
      <c r="D2096" s="29" t="s">
        <v>11412</v>
      </c>
      <c r="E2096" s="30"/>
      <c r="F2096" s="28" t="s">
        <v>11413</v>
      </c>
      <c r="I2096" s="32"/>
      <c r="J2096" s="32"/>
      <c r="K2096" s="33" t="s">
        <v>11411</v>
      </c>
      <c r="L2096" s="33" t="s">
        <v>11414</v>
      </c>
      <c r="N2096" s="33" t="s">
        <v>11411</v>
      </c>
      <c r="O2096" s="35" t="s">
        <v>11163</v>
      </c>
    </row>
    <row r="2097">
      <c r="A2097" s="38"/>
      <c r="B2097" s="28" t="s">
        <v>11415</v>
      </c>
      <c r="C2097" s="28" t="s">
        <v>11170</v>
      </c>
      <c r="D2097" s="29" t="s">
        <v>11416</v>
      </c>
      <c r="E2097" s="54" t="s">
        <v>11417</v>
      </c>
      <c r="F2097" s="28" t="s">
        <v>11418</v>
      </c>
      <c r="I2097" s="32"/>
      <c r="J2097" s="32"/>
      <c r="K2097" s="33" t="s">
        <v>11415</v>
      </c>
      <c r="L2097" s="33" t="s">
        <v>11419</v>
      </c>
      <c r="N2097" s="33" t="s">
        <v>11415</v>
      </c>
      <c r="O2097" s="47" t="s">
        <v>11420</v>
      </c>
    </row>
    <row r="2098">
      <c r="A2098" s="38"/>
      <c r="B2098" s="28" t="s">
        <v>11421</v>
      </c>
      <c r="C2098" s="28" t="s">
        <v>11422</v>
      </c>
      <c r="D2098" s="29" t="s">
        <v>11423</v>
      </c>
      <c r="E2098" s="30"/>
      <c r="F2098" s="28" t="s">
        <v>11424</v>
      </c>
      <c r="I2098" s="32"/>
      <c r="J2098" s="32"/>
      <c r="K2098" s="33" t="s">
        <v>11421</v>
      </c>
      <c r="L2098" s="33" t="s">
        <v>11425</v>
      </c>
      <c r="N2098" s="33" t="s">
        <v>11421</v>
      </c>
      <c r="O2098" s="35"/>
    </row>
    <row r="2099">
      <c r="A2099" s="38"/>
      <c r="B2099" s="28" t="s">
        <v>11426</v>
      </c>
      <c r="C2099" s="28" t="s">
        <v>11427</v>
      </c>
      <c r="D2099" s="29" t="s">
        <v>11428</v>
      </c>
      <c r="E2099" s="30" t="s">
        <v>11429</v>
      </c>
      <c r="F2099" s="28" t="s">
        <v>11430</v>
      </c>
      <c r="I2099" s="32"/>
      <c r="J2099" s="32"/>
      <c r="K2099" s="33" t="s">
        <v>11426</v>
      </c>
      <c r="L2099" s="33" t="s">
        <v>11431</v>
      </c>
      <c r="N2099" s="33" t="s">
        <v>11426</v>
      </c>
      <c r="O2099" s="35" t="s">
        <v>11432</v>
      </c>
    </row>
    <row r="2100">
      <c r="A2100" s="38"/>
      <c r="B2100" s="28" t="s">
        <v>11433</v>
      </c>
      <c r="C2100" s="28" t="s">
        <v>11179</v>
      </c>
      <c r="D2100" s="29" t="s">
        <v>11434</v>
      </c>
      <c r="E2100" s="54" t="s">
        <v>11435</v>
      </c>
      <c r="F2100" s="28" t="s">
        <v>11436</v>
      </c>
      <c r="I2100" s="32"/>
      <c r="J2100" s="32"/>
      <c r="K2100" s="33" t="s">
        <v>11433</v>
      </c>
      <c r="L2100" s="33" t="s">
        <v>11437</v>
      </c>
      <c r="N2100" s="33" t="s">
        <v>11433</v>
      </c>
      <c r="O2100" s="35" t="s">
        <v>11178</v>
      </c>
    </row>
    <row r="2101">
      <c r="A2101" s="38"/>
      <c r="B2101" s="28" t="s">
        <v>11438</v>
      </c>
      <c r="C2101" s="28" t="s">
        <v>11189</v>
      </c>
      <c r="D2101" s="29" t="s">
        <v>11439</v>
      </c>
      <c r="E2101" s="30" t="s">
        <v>11440</v>
      </c>
      <c r="F2101" s="28" t="s">
        <v>11441</v>
      </c>
      <c r="I2101" s="32"/>
      <c r="J2101" s="32"/>
      <c r="K2101" s="33" t="s">
        <v>11438</v>
      </c>
      <c r="L2101" s="33" t="s">
        <v>11442</v>
      </c>
      <c r="N2101" s="33" t="s">
        <v>11438</v>
      </c>
      <c r="O2101" s="35" t="s">
        <v>11188</v>
      </c>
    </row>
    <row r="2102">
      <c r="A2102" s="38"/>
      <c r="B2102" s="28" t="s">
        <v>11443</v>
      </c>
      <c r="C2102" s="28" t="s">
        <v>11444</v>
      </c>
      <c r="D2102" s="29" t="s">
        <v>11445</v>
      </c>
      <c r="E2102" s="30"/>
      <c r="F2102" s="28" t="s">
        <v>11446</v>
      </c>
      <c r="I2102" s="32"/>
      <c r="J2102" s="32"/>
      <c r="K2102" s="33" t="s">
        <v>11443</v>
      </c>
      <c r="L2102" s="33" t="s">
        <v>11447</v>
      </c>
      <c r="N2102" s="33" t="s">
        <v>11443</v>
      </c>
      <c r="O2102" s="35" t="s">
        <v>11448</v>
      </c>
    </row>
    <row r="2103">
      <c r="A2103" s="38"/>
      <c r="B2103" s="28" t="s">
        <v>11449</v>
      </c>
      <c r="C2103" s="28" t="s">
        <v>11450</v>
      </c>
      <c r="D2103" s="29" t="s">
        <v>11451</v>
      </c>
      <c r="E2103" s="30"/>
      <c r="F2103" s="28" t="s">
        <v>11452</v>
      </c>
      <c r="I2103" s="32"/>
      <c r="J2103" s="32"/>
      <c r="K2103" s="33" t="s">
        <v>11449</v>
      </c>
      <c r="L2103" s="33" t="s">
        <v>11453</v>
      </c>
      <c r="N2103" s="33" t="s">
        <v>11449</v>
      </c>
      <c r="O2103" s="35" t="s">
        <v>11454</v>
      </c>
    </row>
    <row r="2104">
      <c r="A2104" s="38"/>
      <c r="B2104" s="28" t="s">
        <v>11455</v>
      </c>
      <c r="C2104" s="28" t="s">
        <v>11456</v>
      </c>
      <c r="D2104" s="29" t="s">
        <v>11457</v>
      </c>
      <c r="E2104" s="30" t="s">
        <v>11458</v>
      </c>
      <c r="F2104" s="28" t="s">
        <v>11459</v>
      </c>
      <c r="I2104" s="32"/>
      <c r="J2104" s="32"/>
      <c r="K2104" s="33" t="s">
        <v>11455</v>
      </c>
      <c r="L2104" s="33" t="s">
        <v>11460</v>
      </c>
      <c r="N2104" s="33" t="s">
        <v>11455</v>
      </c>
      <c r="O2104" s="35" t="s">
        <v>11461</v>
      </c>
    </row>
    <row r="2105">
      <c r="A2105" s="38"/>
      <c r="B2105" s="28" t="s">
        <v>11462</v>
      </c>
      <c r="C2105" s="28" t="s">
        <v>11204</v>
      </c>
      <c r="D2105" s="29" t="s">
        <v>11463</v>
      </c>
      <c r="E2105" s="30"/>
      <c r="F2105" s="28" t="s">
        <v>11464</v>
      </c>
      <c r="I2105" s="32"/>
      <c r="J2105" s="32"/>
      <c r="K2105" s="33" t="s">
        <v>11462</v>
      </c>
      <c r="L2105" s="33" t="s">
        <v>11465</v>
      </c>
      <c r="N2105" s="33" t="s">
        <v>11462</v>
      </c>
      <c r="O2105" s="35" t="s">
        <v>11203</v>
      </c>
    </row>
    <row r="2106">
      <c r="A2106" s="38"/>
      <c r="B2106" s="28" t="s">
        <v>11466</v>
      </c>
      <c r="C2106" s="28" t="s">
        <v>11210</v>
      </c>
      <c r="D2106" s="29" t="s">
        <v>11467</v>
      </c>
      <c r="E2106" s="54" t="s">
        <v>11468</v>
      </c>
      <c r="F2106" s="28" t="s">
        <v>11469</v>
      </c>
      <c r="I2106" s="32"/>
      <c r="J2106" s="32"/>
      <c r="K2106" s="33" t="s">
        <v>11466</v>
      </c>
      <c r="L2106" s="33" t="s">
        <v>11470</v>
      </c>
      <c r="N2106" s="33" t="s">
        <v>11466</v>
      </c>
      <c r="O2106" s="35" t="s">
        <v>11209</v>
      </c>
    </row>
    <row r="2107">
      <c r="A2107" s="38"/>
      <c r="B2107" s="28" t="s">
        <v>11471</v>
      </c>
      <c r="C2107" s="28" t="s">
        <v>11223</v>
      </c>
      <c r="D2107" s="29" t="s">
        <v>11472</v>
      </c>
      <c r="E2107" s="30" t="s">
        <v>11473</v>
      </c>
      <c r="F2107" s="28" t="s">
        <v>11474</v>
      </c>
      <c r="I2107" s="32"/>
      <c r="J2107" s="32"/>
      <c r="K2107" s="33" t="s">
        <v>11471</v>
      </c>
      <c r="L2107" s="33" t="s">
        <v>11475</v>
      </c>
      <c r="N2107" s="33" t="s">
        <v>11471</v>
      </c>
      <c r="O2107" s="35"/>
    </row>
    <row r="2108">
      <c r="A2108" s="38"/>
      <c r="B2108" s="28" t="s">
        <v>11476</v>
      </c>
      <c r="C2108" s="28" t="s">
        <v>11233</v>
      </c>
      <c r="D2108" s="29" t="s">
        <v>11477</v>
      </c>
      <c r="E2108" s="30" t="s">
        <v>11478</v>
      </c>
      <c r="F2108" s="28" t="s">
        <v>11479</v>
      </c>
      <c r="I2108" s="32"/>
      <c r="J2108" s="32"/>
      <c r="K2108" s="33" t="s">
        <v>11476</v>
      </c>
      <c r="L2108" s="33" t="s">
        <v>11480</v>
      </c>
      <c r="N2108" s="33" t="s">
        <v>11476</v>
      </c>
      <c r="O2108" s="35" t="s">
        <v>11232</v>
      </c>
    </row>
    <row r="2109">
      <c r="A2109" s="38"/>
      <c r="B2109" s="28" t="s">
        <v>11481</v>
      </c>
      <c r="C2109" s="28" t="s">
        <v>11239</v>
      </c>
      <c r="D2109" s="29" t="s">
        <v>11482</v>
      </c>
      <c r="E2109" s="54" t="s">
        <v>11483</v>
      </c>
      <c r="F2109" s="28" t="s">
        <v>11484</v>
      </c>
      <c r="I2109" s="32"/>
      <c r="J2109" s="32"/>
      <c r="K2109" s="33" t="s">
        <v>11481</v>
      </c>
      <c r="L2109" s="33" t="s">
        <v>11485</v>
      </c>
      <c r="N2109" s="33" t="s">
        <v>11481</v>
      </c>
      <c r="O2109" s="35" t="s">
        <v>11238</v>
      </c>
    </row>
    <row r="2110">
      <c r="A2110" s="38"/>
      <c r="B2110" s="28" t="s">
        <v>11486</v>
      </c>
      <c r="C2110" s="28" t="s">
        <v>11245</v>
      </c>
      <c r="D2110" s="29" t="s">
        <v>11487</v>
      </c>
      <c r="E2110" s="30" t="s">
        <v>11488</v>
      </c>
      <c r="F2110" s="28" t="s">
        <v>11489</v>
      </c>
      <c r="I2110" s="32"/>
      <c r="J2110" s="32"/>
      <c r="K2110" s="33" t="s">
        <v>11486</v>
      </c>
      <c r="L2110" s="33" t="s">
        <v>11490</v>
      </c>
      <c r="N2110" s="33" t="s">
        <v>11486</v>
      </c>
      <c r="O2110" s="47" t="s">
        <v>11491</v>
      </c>
    </row>
    <row r="2111">
      <c r="A2111" s="38"/>
      <c r="B2111" s="28" t="s">
        <v>11492</v>
      </c>
      <c r="C2111" s="28" t="s">
        <v>11493</v>
      </c>
      <c r="D2111" s="29" t="s">
        <v>11494</v>
      </c>
      <c r="E2111" s="54" t="s">
        <v>11495</v>
      </c>
      <c r="F2111" s="28" t="s">
        <v>11496</v>
      </c>
      <c r="I2111" s="32"/>
      <c r="J2111" s="32"/>
      <c r="K2111" s="33" t="s">
        <v>11492</v>
      </c>
      <c r="L2111" s="33" t="s">
        <v>11497</v>
      </c>
      <c r="N2111" s="33" t="s">
        <v>11492</v>
      </c>
      <c r="O2111" s="35"/>
    </row>
    <row r="2112">
      <c r="A2112" s="38"/>
      <c r="B2112" s="28" t="s">
        <v>11498</v>
      </c>
      <c r="C2112" s="28" t="s">
        <v>11255</v>
      </c>
      <c r="D2112" s="29" t="s">
        <v>11499</v>
      </c>
      <c r="E2112" s="54" t="s">
        <v>11500</v>
      </c>
      <c r="F2112" s="28" t="s">
        <v>11501</v>
      </c>
      <c r="I2112" s="32"/>
      <c r="J2112" s="32"/>
      <c r="K2112" s="33" t="s">
        <v>11498</v>
      </c>
      <c r="L2112" s="33" t="s">
        <v>11502</v>
      </c>
      <c r="N2112" s="33" t="s">
        <v>11498</v>
      </c>
      <c r="O2112" s="35" t="s">
        <v>11254</v>
      </c>
    </row>
    <row r="2113">
      <c r="A2113" s="38"/>
      <c r="B2113" s="28" t="s">
        <v>11503</v>
      </c>
      <c r="C2113" s="28" t="s">
        <v>11260</v>
      </c>
      <c r="D2113" s="29" t="s">
        <v>11504</v>
      </c>
      <c r="E2113" s="30" t="s">
        <v>11505</v>
      </c>
      <c r="F2113" s="28" t="s">
        <v>11506</v>
      </c>
      <c r="I2113" s="32"/>
      <c r="J2113" s="32"/>
      <c r="K2113" s="33" t="s">
        <v>11503</v>
      </c>
      <c r="L2113" s="33" t="s">
        <v>11507</v>
      </c>
      <c r="N2113" s="33" t="s">
        <v>11503</v>
      </c>
      <c r="O2113" s="35" t="s">
        <v>11254</v>
      </c>
    </row>
    <row r="2114">
      <c r="A2114" s="38"/>
      <c r="B2114" s="28" t="s">
        <v>11508</v>
      </c>
      <c r="C2114" s="28" t="s">
        <v>11265</v>
      </c>
      <c r="D2114" s="29" t="s">
        <v>11509</v>
      </c>
      <c r="E2114" s="54" t="s">
        <v>11510</v>
      </c>
      <c r="F2114" s="28" t="s">
        <v>11511</v>
      </c>
      <c r="I2114" s="32"/>
      <c r="J2114" s="32"/>
      <c r="K2114" s="33" t="s">
        <v>11508</v>
      </c>
      <c r="L2114" s="33" t="s">
        <v>11512</v>
      </c>
      <c r="N2114" s="33" t="s">
        <v>11508</v>
      </c>
      <c r="O2114" s="35" t="s">
        <v>11254</v>
      </c>
    </row>
    <row r="2115">
      <c r="A2115" s="38"/>
      <c r="B2115" s="28" t="s">
        <v>11513</v>
      </c>
      <c r="C2115" s="28" t="s">
        <v>11274</v>
      </c>
      <c r="D2115" s="29" t="s">
        <v>11514</v>
      </c>
      <c r="E2115" s="30" t="s">
        <v>11515</v>
      </c>
      <c r="F2115" s="28" t="s">
        <v>11516</v>
      </c>
      <c r="I2115" s="32"/>
      <c r="J2115" s="32"/>
      <c r="K2115" s="33" t="s">
        <v>11513</v>
      </c>
      <c r="L2115" s="33" t="s">
        <v>11517</v>
      </c>
      <c r="N2115" s="33" t="s">
        <v>11513</v>
      </c>
      <c r="O2115" s="35" t="s">
        <v>11273</v>
      </c>
    </row>
    <row r="2116">
      <c r="A2116" s="38"/>
      <c r="B2116" s="28" t="s">
        <v>11518</v>
      </c>
      <c r="C2116" s="28" t="s">
        <v>11280</v>
      </c>
      <c r="D2116" s="29" t="s">
        <v>11519</v>
      </c>
      <c r="E2116" s="30" t="s">
        <v>11520</v>
      </c>
      <c r="F2116" s="28" t="s">
        <v>11521</v>
      </c>
      <c r="I2116" s="32"/>
      <c r="J2116" s="32"/>
      <c r="K2116" s="33" t="s">
        <v>11518</v>
      </c>
      <c r="L2116" s="33" t="s">
        <v>11522</v>
      </c>
      <c r="N2116" s="33" t="s">
        <v>11518</v>
      </c>
      <c r="O2116" s="35" t="s">
        <v>11279</v>
      </c>
    </row>
    <row r="2117">
      <c r="A2117" s="38"/>
      <c r="B2117" s="28" t="s">
        <v>11523</v>
      </c>
      <c r="C2117" s="28" t="s">
        <v>11285</v>
      </c>
      <c r="D2117" s="29" t="s">
        <v>11524</v>
      </c>
      <c r="E2117" s="30" t="s">
        <v>11525</v>
      </c>
      <c r="F2117" s="28" t="s">
        <v>11526</v>
      </c>
      <c r="I2117" s="32"/>
      <c r="J2117" s="32"/>
      <c r="K2117" s="33" t="s">
        <v>11523</v>
      </c>
      <c r="L2117" s="33" t="s">
        <v>11527</v>
      </c>
      <c r="N2117" s="33" t="s">
        <v>11523</v>
      </c>
      <c r="O2117" s="35" t="s">
        <v>11284</v>
      </c>
    </row>
    <row r="2118">
      <c r="A2118" s="38"/>
      <c r="B2118" s="28" t="s">
        <v>11528</v>
      </c>
      <c r="C2118" s="28" t="s">
        <v>11529</v>
      </c>
      <c r="D2118" s="29" t="s">
        <v>11530</v>
      </c>
      <c r="E2118" s="30" t="s">
        <v>11531</v>
      </c>
      <c r="F2118" s="28" t="s">
        <v>11532</v>
      </c>
      <c r="I2118" s="32"/>
      <c r="J2118" s="32"/>
      <c r="K2118" s="33" t="s">
        <v>11528</v>
      </c>
      <c r="L2118" s="33" t="s">
        <v>11533</v>
      </c>
      <c r="N2118" s="33" t="s">
        <v>11528</v>
      </c>
      <c r="O2118" s="47" t="s">
        <v>11534</v>
      </c>
    </row>
    <row r="2119">
      <c r="A2119" s="38"/>
      <c r="B2119" s="28" t="s">
        <v>11535</v>
      </c>
      <c r="C2119" s="28" t="s">
        <v>11295</v>
      </c>
      <c r="D2119" s="29" t="s">
        <v>11536</v>
      </c>
      <c r="E2119" s="30"/>
      <c r="F2119" s="28" t="s">
        <v>11537</v>
      </c>
      <c r="I2119" s="32"/>
      <c r="J2119" s="32"/>
      <c r="K2119" s="33" t="s">
        <v>11535</v>
      </c>
      <c r="L2119" s="33" t="s">
        <v>11538</v>
      </c>
      <c r="N2119" s="33" t="s">
        <v>11535</v>
      </c>
      <c r="O2119" s="35" t="s">
        <v>11294</v>
      </c>
    </row>
    <row r="2120">
      <c r="A2120" s="38"/>
      <c r="B2120" s="28" t="s">
        <v>11539</v>
      </c>
      <c r="C2120" s="28" t="s">
        <v>11299</v>
      </c>
      <c r="D2120" s="29" t="s">
        <v>11540</v>
      </c>
      <c r="E2120" s="30" t="s">
        <v>11541</v>
      </c>
      <c r="F2120" s="28" t="s">
        <v>11542</v>
      </c>
      <c r="I2120" s="32"/>
      <c r="J2120" s="32"/>
      <c r="K2120" s="33" t="s">
        <v>11539</v>
      </c>
      <c r="L2120" s="33" t="s">
        <v>11543</v>
      </c>
      <c r="N2120" s="33" t="s">
        <v>11539</v>
      </c>
      <c r="O2120" s="35"/>
    </row>
    <row r="2121">
      <c r="A2121" s="38"/>
      <c r="B2121" s="28" t="s">
        <v>11544</v>
      </c>
      <c r="C2121" s="28" t="s">
        <v>11545</v>
      </c>
      <c r="D2121" s="29" t="s">
        <v>11546</v>
      </c>
      <c r="E2121" s="30" t="s">
        <v>11547</v>
      </c>
      <c r="F2121" s="28" t="s">
        <v>11548</v>
      </c>
      <c r="I2121" s="32"/>
      <c r="J2121" s="32"/>
      <c r="K2121" s="33" t="s">
        <v>11544</v>
      </c>
      <c r="L2121" s="33" t="s">
        <v>11549</v>
      </c>
      <c r="N2121" s="33" t="s">
        <v>11544</v>
      </c>
      <c r="O2121" s="35" t="s">
        <v>11550</v>
      </c>
    </row>
    <row r="2122">
      <c r="A2122" s="38"/>
      <c r="B2122" s="28" t="s">
        <v>11551</v>
      </c>
      <c r="C2122" s="28" t="s">
        <v>11304</v>
      </c>
      <c r="D2122" s="29" t="s">
        <v>11552</v>
      </c>
      <c r="E2122" s="54" t="s">
        <v>11553</v>
      </c>
      <c r="F2122" s="28" t="s">
        <v>11554</v>
      </c>
      <c r="I2122" s="32"/>
      <c r="J2122" s="32"/>
      <c r="K2122" s="33" t="s">
        <v>11551</v>
      </c>
      <c r="L2122" s="33" t="s">
        <v>11555</v>
      </c>
      <c r="N2122" s="33" t="s">
        <v>11551</v>
      </c>
      <c r="O2122" s="35"/>
    </row>
    <row r="2123">
      <c r="A2123" s="38"/>
      <c r="B2123" s="28" t="s">
        <v>11556</v>
      </c>
      <c r="C2123" s="28" t="s">
        <v>11310</v>
      </c>
      <c r="D2123" s="29" t="s">
        <v>11557</v>
      </c>
      <c r="E2123" s="30"/>
      <c r="F2123" s="28" t="s">
        <v>11558</v>
      </c>
      <c r="I2123" s="32"/>
      <c r="J2123" s="32"/>
      <c r="K2123" s="33" t="s">
        <v>11556</v>
      </c>
      <c r="L2123" s="33" t="s">
        <v>11559</v>
      </c>
      <c r="N2123" s="33" t="s">
        <v>11556</v>
      </c>
      <c r="O2123" s="35" t="s">
        <v>11309</v>
      </c>
    </row>
    <row r="2124">
      <c r="A2124" s="38"/>
      <c r="B2124" s="28" t="s">
        <v>11560</v>
      </c>
      <c r="C2124" s="28" t="s">
        <v>11315</v>
      </c>
      <c r="D2124" s="29" t="s">
        <v>11561</v>
      </c>
      <c r="E2124" s="30" t="s">
        <v>11562</v>
      </c>
      <c r="F2124" s="28" t="s">
        <v>11563</v>
      </c>
      <c r="I2124" s="32"/>
      <c r="J2124" s="32"/>
      <c r="K2124" s="33" t="s">
        <v>11560</v>
      </c>
      <c r="L2124" s="33" t="s">
        <v>11564</v>
      </c>
      <c r="N2124" s="33" t="s">
        <v>11560</v>
      </c>
      <c r="O2124" s="35" t="s">
        <v>11314</v>
      </c>
    </row>
    <row r="2125">
      <c r="A2125" s="38"/>
      <c r="B2125" s="28" t="s">
        <v>11565</v>
      </c>
      <c r="C2125" s="28" t="s">
        <v>11566</v>
      </c>
      <c r="D2125" s="29" t="s">
        <v>11567</v>
      </c>
      <c r="E2125" s="30"/>
      <c r="F2125" s="28" t="s">
        <v>11568</v>
      </c>
      <c r="I2125" s="32"/>
      <c r="J2125" s="32"/>
      <c r="K2125" s="33" t="s">
        <v>11565</v>
      </c>
      <c r="L2125" s="33" t="s">
        <v>11569</v>
      </c>
      <c r="N2125" s="33" t="s">
        <v>11565</v>
      </c>
      <c r="O2125" s="47" t="s">
        <v>11570</v>
      </c>
    </row>
    <row r="2126">
      <c r="A2126" s="38"/>
      <c r="B2126" s="28" t="s">
        <v>11571</v>
      </c>
      <c r="C2126" s="28" t="s">
        <v>11321</v>
      </c>
      <c r="D2126" s="29" t="s">
        <v>11572</v>
      </c>
      <c r="E2126" s="30"/>
      <c r="F2126" s="28" t="s">
        <v>11573</v>
      </c>
      <c r="I2126" s="32"/>
      <c r="J2126" s="32"/>
      <c r="K2126" s="33" t="s">
        <v>11571</v>
      </c>
      <c r="L2126" s="33" t="s">
        <v>11574</v>
      </c>
      <c r="N2126" s="33" t="s">
        <v>11571</v>
      </c>
      <c r="O2126" s="35" t="s">
        <v>11320</v>
      </c>
    </row>
    <row r="2127">
      <c r="A2127" s="38"/>
      <c r="B2127" s="28" t="s">
        <v>11575</v>
      </c>
      <c r="C2127" s="28" t="s">
        <v>11576</v>
      </c>
      <c r="D2127" s="29" t="s">
        <v>11577</v>
      </c>
      <c r="E2127" s="30" t="s">
        <v>11578</v>
      </c>
      <c r="F2127" s="28" t="s">
        <v>11579</v>
      </c>
      <c r="I2127" s="32"/>
      <c r="J2127" s="32"/>
      <c r="K2127" s="33" t="s">
        <v>11575</v>
      </c>
      <c r="L2127" s="33" t="s">
        <v>11580</v>
      </c>
      <c r="N2127" s="33" t="s">
        <v>11575</v>
      </c>
      <c r="O2127" s="35" t="s">
        <v>11581</v>
      </c>
    </row>
    <row r="2128">
      <c r="A2128" s="38"/>
      <c r="B2128" s="28" t="s">
        <v>11582</v>
      </c>
      <c r="C2128" s="28" t="s">
        <v>11326</v>
      </c>
      <c r="D2128" s="29" t="s">
        <v>11583</v>
      </c>
      <c r="E2128" s="30" t="s">
        <v>93</v>
      </c>
      <c r="F2128" s="28" t="s">
        <v>84</v>
      </c>
      <c r="I2128" s="32"/>
      <c r="J2128" s="32"/>
      <c r="K2128" s="33" t="s">
        <v>11582</v>
      </c>
      <c r="L2128" s="33" t="s">
        <v>11584</v>
      </c>
      <c r="N2128" s="33" t="s">
        <v>11582</v>
      </c>
      <c r="O2128" s="35" t="s">
        <v>4275</v>
      </c>
    </row>
    <row r="2129">
      <c r="A2129" s="38"/>
      <c r="B2129" s="28" t="s">
        <v>11585</v>
      </c>
      <c r="C2129" s="28" t="s">
        <v>11586</v>
      </c>
      <c r="D2129" s="29" t="s">
        <v>11587</v>
      </c>
      <c r="E2129" s="30"/>
      <c r="F2129" s="28" t="s">
        <v>11588</v>
      </c>
      <c r="I2129" s="32"/>
      <c r="J2129" s="32"/>
      <c r="K2129" s="33" t="s">
        <v>11585</v>
      </c>
      <c r="L2129" s="33" t="s">
        <v>11589</v>
      </c>
      <c r="N2129" s="33" t="s">
        <v>11585</v>
      </c>
      <c r="O2129" s="35"/>
    </row>
    <row r="2130">
      <c r="A2130" s="38"/>
      <c r="B2130" s="28" t="s">
        <v>11590</v>
      </c>
      <c r="C2130" s="28" t="s">
        <v>11350</v>
      </c>
      <c r="D2130" s="29" t="s">
        <v>11591</v>
      </c>
      <c r="E2130" s="30"/>
      <c r="F2130" s="28" t="s">
        <v>11592</v>
      </c>
      <c r="I2130" s="32"/>
      <c r="J2130" s="32"/>
      <c r="K2130" s="33" t="s">
        <v>11590</v>
      </c>
      <c r="L2130" s="33" t="s">
        <v>11593</v>
      </c>
      <c r="N2130" s="33" t="s">
        <v>11590</v>
      </c>
      <c r="O2130" s="35" t="s">
        <v>11349</v>
      </c>
    </row>
    <row r="2131">
      <c r="A2131" s="38"/>
      <c r="B2131" s="28" t="s">
        <v>11594</v>
      </c>
      <c r="C2131" s="28" t="s">
        <v>11595</v>
      </c>
      <c r="D2131" s="29" t="s">
        <v>11596</v>
      </c>
      <c r="E2131" s="30"/>
      <c r="F2131" s="28" t="s">
        <v>11597</v>
      </c>
      <c r="I2131" s="32"/>
      <c r="J2131" s="32"/>
      <c r="K2131" s="33" t="s">
        <v>11594</v>
      </c>
      <c r="L2131" s="33" t="s">
        <v>11598</v>
      </c>
      <c r="N2131" s="33" t="s">
        <v>11594</v>
      </c>
      <c r="O2131" s="35" t="s">
        <v>11599</v>
      </c>
    </row>
    <row r="2132">
      <c r="A2132" s="38"/>
      <c r="B2132" s="28" t="s">
        <v>11600</v>
      </c>
      <c r="C2132" s="28" t="s">
        <v>11601</v>
      </c>
      <c r="D2132" s="29" t="s">
        <v>11602</v>
      </c>
      <c r="E2132" s="30"/>
      <c r="F2132" s="28" t="s">
        <v>11603</v>
      </c>
      <c r="I2132" s="32"/>
      <c r="J2132" s="32"/>
      <c r="K2132" s="33" t="s">
        <v>11600</v>
      </c>
      <c r="L2132" s="33" t="s">
        <v>11604</v>
      </c>
      <c r="N2132" s="33" t="s">
        <v>11600</v>
      </c>
      <c r="O2132" s="35"/>
    </row>
    <row r="2133">
      <c r="A2133" s="38"/>
      <c r="B2133" s="28" t="s">
        <v>11605</v>
      </c>
      <c r="C2133" s="28" t="s">
        <v>11366</v>
      </c>
      <c r="D2133" s="29" t="s">
        <v>11606</v>
      </c>
      <c r="E2133" s="30" t="s">
        <v>11607</v>
      </c>
      <c r="F2133" s="28" t="s">
        <v>11608</v>
      </c>
      <c r="I2133" s="32"/>
      <c r="J2133" s="32"/>
      <c r="K2133" s="33" t="s">
        <v>11605</v>
      </c>
      <c r="L2133" s="33" t="s">
        <v>11609</v>
      </c>
      <c r="N2133" s="33" t="s">
        <v>11605</v>
      </c>
      <c r="O2133" s="35" t="s">
        <v>11365</v>
      </c>
    </row>
    <row r="2134">
      <c r="A2134" s="38"/>
      <c r="B2134" s="28" t="s">
        <v>11610</v>
      </c>
      <c r="C2134" s="28" t="s">
        <v>11371</v>
      </c>
      <c r="D2134" s="29" t="s">
        <v>11611</v>
      </c>
      <c r="E2134" s="30" t="s">
        <v>11612</v>
      </c>
      <c r="F2134" s="28" t="s">
        <v>11613</v>
      </c>
      <c r="I2134" s="32"/>
      <c r="J2134" s="32"/>
      <c r="K2134" s="33" t="s">
        <v>11610</v>
      </c>
      <c r="L2134" s="33" t="s">
        <v>11614</v>
      </c>
      <c r="N2134" s="33" t="s">
        <v>11610</v>
      </c>
      <c r="O2134" s="35" t="s">
        <v>11370</v>
      </c>
    </row>
    <row r="2135">
      <c r="A2135" s="38"/>
      <c r="B2135" s="28" t="s">
        <v>11615</v>
      </c>
      <c r="C2135" s="28" t="s">
        <v>11616</v>
      </c>
      <c r="D2135" s="29" t="s">
        <v>11617</v>
      </c>
      <c r="E2135" s="30"/>
      <c r="F2135" s="28" t="s">
        <v>11618</v>
      </c>
      <c r="I2135" s="32"/>
      <c r="J2135" s="32"/>
      <c r="K2135" s="33" t="s">
        <v>11615</v>
      </c>
      <c r="L2135" s="33" t="s">
        <v>11619</v>
      </c>
      <c r="N2135" s="33" t="s">
        <v>11615</v>
      </c>
      <c r="O2135" s="35" t="s">
        <v>11620</v>
      </c>
    </row>
    <row r="2136">
      <c r="A2136" s="38"/>
      <c r="B2136" s="28" t="s">
        <v>11621</v>
      </c>
      <c r="C2136" s="28" t="s">
        <v>11622</v>
      </c>
      <c r="D2136" s="29" t="s">
        <v>11623</v>
      </c>
      <c r="E2136" s="30" t="s">
        <v>11624</v>
      </c>
      <c r="F2136" s="28" t="s">
        <v>11625</v>
      </c>
      <c r="I2136" s="32"/>
      <c r="J2136" s="32"/>
      <c r="K2136" s="33" t="s">
        <v>11621</v>
      </c>
      <c r="L2136" s="33" t="s">
        <v>11626</v>
      </c>
      <c r="N2136" s="33" t="s">
        <v>11621</v>
      </c>
      <c r="O2136" s="35"/>
    </row>
    <row r="2137">
      <c r="A2137" s="38"/>
      <c r="B2137" s="28" t="s">
        <v>11627</v>
      </c>
      <c r="C2137" s="28" t="s">
        <v>11628</v>
      </c>
      <c r="D2137" s="29" t="s">
        <v>11629</v>
      </c>
      <c r="E2137" s="30" t="s">
        <v>11630</v>
      </c>
      <c r="F2137" s="28" t="s">
        <v>11631</v>
      </c>
      <c r="I2137" s="32"/>
      <c r="J2137" s="32"/>
      <c r="K2137" s="33" t="s">
        <v>11627</v>
      </c>
      <c r="L2137" s="33" t="s">
        <v>11632</v>
      </c>
      <c r="N2137" s="33" t="s">
        <v>11627</v>
      </c>
      <c r="O2137" s="35"/>
    </row>
    <row r="2138">
      <c r="A2138" s="38"/>
      <c r="B2138" s="28" t="s">
        <v>11633</v>
      </c>
      <c r="C2138" s="28" t="s">
        <v>11430</v>
      </c>
      <c r="D2138" s="29" t="s">
        <v>11634</v>
      </c>
      <c r="E2138" s="30" t="s">
        <v>11635</v>
      </c>
      <c r="F2138" s="28" t="s">
        <v>11636</v>
      </c>
      <c r="I2138" s="32"/>
      <c r="J2138" s="32"/>
      <c r="K2138" s="33" t="s">
        <v>11633</v>
      </c>
      <c r="L2138" s="33" t="s">
        <v>11637</v>
      </c>
      <c r="N2138" s="33" t="s">
        <v>11633</v>
      </c>
      <c r="O2138" s="35" t="s">
        <v>11429</v>
      </c>
    </row>
    <row r="2139">
      <c r="A2139" s="38"/>
      <c r="B2139" s="28" t="s">
        <v>11638</v>
      </c>
      <c r="C2139" s="28" t="s">
        <v>11441</v>
      </c>
      <c r="D2139" s="29" t="s">
        <v>11639</v>
      </c>
      <c r="E2139" s="30" t="s">
        <v>11635</v>
      </c>
      <c r="F2139" s="28" t="s">
        <v>11640</v>
      </c>
      <c r="I2139" s="32"/>
      <c r="J2139" s="32"/>
      <c r="K2139" s="33" t="s">
        <v>11638</v>
      </c>
      <c r="L2139" s="33" t="s">
        <v>11641</v>
      </c>
      <c r="N2139" s="33" t="s">
        <v>11638</v>
      </c>
      <c r="O2139" s="35" t="s">
        <v>11440</v>
      </c>
    </row>
    <row r="2140">
      <c r="A2140" s="38"/>
      <c r="B2140" s="28" t="s">
        <v>11642</v>
      </c>
      <c r="C2140" s="28" t="s">
        <v>11643</v>
      </c>
      <c r="D2140" s="29" t="s">
        <v>11644</v>
      </c>
      <c r="E2140" s="30"/>
      <c r="F2140" s="28" t="s">
        <v>11645</v>
      </c>
      <c r="I2140" s="32"/>
      <c r="J2140" s="32"/>
      <c r="K2140" s="33" t="s">
        <v>11642</v>
      </c>
      <c r="L2140" s="33" t="s">
        <v>11646</v>
      </c>
      <c r="N2140" s="33" t="s">
        <v>11642</v>
      </c>
      <c r="O2140" s="35"/>
    </row>
    <row r="2141">
      <c r="A2141" s="38"/>
      <c r="B2141" s="28" t="s">
        <v>11647</v>
      </c>
      <c r="C2141" s="28" t="s">
        <v>11459</v>
      </c>
      <c r="D2141" s="29" t="s">
        <v>11648</v>
      </c>
      <c r="E2141" s="30" t="s">
        <v>11649</v>
      </c>
      <c r="F2141" s="28" t="s">
        <v>11650</v>
      </c>
      <c r="I2141" s="32"/>
      <c r="J2141" s="32"/>
      <c r="K2141" s="33" t="s">
        <v>11647</v>
      </c>
      <c r="L2141" s="33" t="s">
        <v>11651</v>
      </c>
      <c r="N2141" s="33" t="s">
        <v>11647</v>
      </c>
      <c r="O2141" s="35" t="s">
        <v>11458</v>
      </c>
    </row>
    <row r="2142">
      <c r="A2142" s="38"/>
      <c r="B2142" s="28" t="s">
        <v>11652</v>
      </c>
      <c r="C2142" s="28" t="s">
        <v>11653</v>
      </c>
      <c r="D2142" s="29" t="s">
        <v>11654</v>
      </c>
      <c r="E2142" s="30" t="s">
        <v>11655</v>
      </c>
      <c r="F2142" s="28" t="s">
        <v>11656</v>
      </c>
      <c r="I2142" s="32"/>
      <c r="J2142" s="32"/>
      <c r="K2142" s="33" t="s">
        <v>11652</v>
      </c>
      <c r="L2142" s="33" t="s">
        <v>11657</v>
      </c>
      <c r="N2142" s="33" t="s">
        <v>11652</v>
      </c>
      <c r="O2142" s="35" t="s">
        <v>11658</v>
      </c>
    </row>
    <row r="2143">
      <c r="A2143" s="38"/>
      <c r="B2143" s="28" t="s">
        <v>11659</v>
      </c>
      <c r="C2143" s="28" t="s">
        <v>11469</v>
      </c>
      <c r="D2143" s="29" t="s">
        <v>11660</v>
      </c>
      <c r="E2143" s="30" t="s">
        <v>11661</v>
      </c>
      <c r="F2143" s="28" t="s">
        <v>11662</v>
      </c>
      <c r="I2143" s="32"/>
      <c r="J2143" s="32"/>
      <c r="K2143" s="33" t="s">
        <v>11659</v>
      </c>
      <c r="L2143" s="33" t="s">
        <v>11663</v>
      </c>
      <c r="N2143" s="33" t="s">
        <v>11659</v>
      </c>
      <c r="O2143" s="35"/>
    </row>
    <row r="2144">
      <c r="A2144" s="38"/>
      <c r="B2144" s="28" t="s">
        <v>11664</v>
      </c>
      <c r="C2144" s="28" t="s">
        <v>11474</v>
      </c>
      <c r="D2144" s="29" t="s">
        <v>11665</v>
      </c>
      <c r="E2144" s="30" t="s">
        <v>11666</v>
      </c>
      <c r="F2144" s="28" t="s">
        <v>11667</v>
      </c>
      <c r="I2144" s="32"/>
      <c r="J2144" s="32"/>
      <c r="K2144" s="33" t="s">
        <v>11664</v>
      </c>
      <c r="L2144" s="33" t="s">
        <v>11668</v>
      </c>
      <c r="N2144" s="33" t="s">
        <v>11664</v>
      </c>
      <c r="O2144" s="35" t="s">
        <v>11473</v>
      </c>
    </row>
    <row r="2145">
      <c r="A2145" s="38"/>
      <c r="B2145" s="28" t="s">
        <v>11669</v>
      </c>
      <c r="C2145" s="28" t="s">
        <v>11479</v>
      </c>
      <c r="D2145" s="29" t="s">
        <v>11670</v>
      </c>
      <c r="E2145" s="54" t="s">
        <v>11671</v>
      </c>
      <c r="F2145" s="28" t="s">
        <v>11672</v>
      </c>
      <c r="I2145" s="32"/>
      <c r="J2145" s="32"/>
      <c r="K2145" s="33" t="s">
        <v>11669</v>
      </c>
      <c r="L2145" s="33" t="s">
        <v>11673</v>
      </c>
      <c r="N2145" s="33" t="s">
        <v>11669</v>
      </c>
      <c r="O2145" s="35" t="s">
        <v>11478</v>
      </c>
    </row>
    <row r="2146">
      <c r="A2146" s="38"/>
      <c r="B2146" s="28" t="s">
        <v>11674</v>
      </c>
      <c r="C2146" s="28" t="s">
        <v>11489</v>
      </c>
      <c r="D2146" s="29" t="s">
        <v>11675</v>
      </c>
      <c r="E2146" s="30"/>
      <c r="F2146" s="28" t="s">
        <v>11676</v>
      </c>
      <c r="I2146" s="32"/>
      <c r="J2146" s="32"/>
      <c r="K2146" s="33" t="s">
        <v>11674</v>
      </c>
      <c r="L2146" s="33" t="s">
        <v>11677</v>
      </c>
      <c r="N2146" s="33" t="s">
        <v>11674</v>
      </c>
      <c r="O2146" s="35" t="s">
        <v>11488</v>
      </c>
    </row>
    <row r="2147">
      <c r="A2147" s="38"/>
      <c r="B2147" s="28" t="s">
        <v>11678</v>
      </c>
      <c r="C2147" s="28" t="s">
        <v>11501</v>
      </c>
      <c r="D2147" s="29" t="s">
        <v>11679</v>
      </c>
      <c r="E2147" s="30" t="s">
        <v>11680</v>
      </c>
      <c r="F2147" s="28" t="s">
        <v>11681</v>
      </c>
      <c r="I2147" s="32"/>
      <c r="J2147" s="32"/>
      <c r="K2147" s="33" t="s">
        <v>11678</v>
      </c>
      <c r="L2147" s="33" t="s">
        <v>11682</v>
      </c>
      <c r="N2147" s="33" t="s">
        <v>11678</v>
      </c>
      <c r="O2147" s="35"/>
    </row>
    <row r="2148">
      <c r="A2148" s="38"/>
      <c r="B2148" s="28" t="s">
        <v>11683</v>
      </c>
      <c r="C2148" s="28" t="s">
        <v>11506</v>
      </c>
      <c r="D2148" s="29" t="s">
        <v>11684</v>
      </c>
      <c r="E2148" s="30" t="s">
        <v>611</v>
      </c>
      <c r="F2148" s="28" t="s">
        <v>11685</v>
      </c>
      <c r="I2148" s="32"/>
      <c r="J2148" s="32"/>
      <c r="K2148" s="33" t="s">
        <v>11683</v>
      </c>
      <c r="L2148" s="33" t="s">
        <v>11686</v>
      </c>
      <c r="N2148" s="33" t="s">
        <v>11683</v>
      </c>
      <c r="O2148" s="35" t="s">
        <v>11505</v>
      </c>
    </row>
    <row r="2149">
      <c r="A2149" s="38"/>
      <c r="B2149" s="28" t="s">
        <v>11687</v>
      </c>
      <c r="C2149" s="28" t="s">
        <v>11688</v>
      </c>
      <c r="D2149" s="29" t="s">
        <v>11689</v>
      </c>
      <c r="E2149" s="30"/>
      <c r="F2149" s="28" t="s">
        <v>11690</v>
      </c>
      <c r="I2149" s="32"/>
      <c r="J2149" s="32"/>
      <c r="K2149" s="33" t="s">
        <v>11687</v>
      </c>
      <c r="L2149" s="33" t="s">
        <v>11691</v>
      </c>
      <c r="N2149" s="33" t="s">
        <v>11687</v>
      </c>
      <c r="O2149" s="35" t="s">
        <v>11692</v>
      </c>
    </row>
    <row r="2150">
      <c r="A2150" s="38"/>
      <c r="B2150" s="28" t="s">
        <v>11693</v>
      </c>
      <c r="C2150" s="28" t="s">
        <v>11694</v>
      </c>
      <c r="D2150" s="29" t="s">
        <v>11695</v>
      </c>
      <c r="E2150" s="30"/>
      <c r="F2150" s="28" t="s">
        <v>11696</v>
      </c>
      <c r="I2150" s="32"/>
      <c r="J2150" s="32"/>
      <c r="K2150" s="33" t="s">
        <v>11693</v>
      </c>
      <c r="L2150" s="33" t="s">
        <v>11697</v>
      </c>
      <c r="N2150" s="33" t="s">
        <v>11693</v>
      </c>
      <c r="O2150" s="35" t="s">
        <v>11698</v>
      </c>
    </row>
    <row r="2151">
      <c r="A2151" s="38"/>
      <c r="B2151" s="28" t="s">
        <v>11699</v>
      </c>
      <c r="C2151" s="28" t="s">
        <v>11516</v>
      </c>
      <c r="D2151" s="29" t="s">
        <v>11700</v>
      </c>
      <c r="E2151" s="30" t="s">
        <v>11701</v>
      </c>
      <c r="F2151" s="28" t="s">
        <v>11702</v>
      </c>
      <c r="I2151" s="32"/>
      <c r="J2151" s="32"/>
      <c r="K2151" s="33" t="s">
        <v>11699</v>
      </c>
      <c r="L2151" s="33" t="s">
        <v>11703</v>
      </c>
      <c r="N2151" s="33" t="s">
        <v>11699</v>
      </c>
      <c r="O2151" s="35" t="s">
        <v>11515</v>
      </c>
    </row>
    <row r="2152">
      <c r="A2152" s="38"/>
      <c r="B2152" s="28" t="s">
        <v>11704</v>
      </c>
      <c r="C2152" s="28" t="s">
        <v>11705</v>
      </c>
      <c r="D2152" s="29" t="s">
        <v>11706</v>
      </c>
      <c r="E2152" s="30" t="s">
        <v>11707</v>
      </c>
      <c r="F2152" s="28" t="s">
        <v>11708</v>
      </c>
      <c r="I2152" s="32"/>
      <c r="J2152" s="32"/>
      <c r="K2152" s="33" t="s">
        <v>11704</v>
      </c>
      <c r="L2152" s="33" t="s">
        <v>11709</v>
      </c>
      <c r="N2152" s="33" t="s">
        <v>11704</v>
      </c>
      <c r="O2152" s="35" t="s">
        <v>11710</v>
      </c>
    </row>
    <row r="2153">
      <c r="A2153" s="38"/>
      <c r="B2153" s="28" t="s">
        <v>11711</v>
      </c>
      <c r="C2153" s="28" t="s">
        <v>11712</v>
      </c>
      <c r="D2153" s="29" t="s">
        <v>11713</v>
      </c>
      <c r="E2153" s="30" t="s">
        <v>11714</v>
      </c>
      <c r="F2153" s="28" t="s">
        <v>11715</v>
      </c>
      <c r="I2153" s="32"/>
      <c r="J2153" s="32"/>
      <c r="K2153" s="33" t="s">
        <v>11711</v>
      </c>
      <c r="L2153" s="33" t="s">
        <v>11716</v>
      </c>
      <c r="N2153" s="33" t="s">
        <v>11711</v>
      </c>
      <c r="O2153" s="35"/>
    </row>
    <row r="2154">
      <c r="A2154" s="38"/>
      <c r="B2154" s="28" t="s">
        <v>11717</v>
      </c>
      <c r="C2154" s="28" t="s">
        <v>11526</v>
      </c>
      <c r="D2154" s="29" t="s">
        <v>11718</v>
      </c>
      <c r="E2154" s="30" t="s">
        <v>11719</v>
      </c>
      <c r="F2154" s="28" t="s">
        <v>11720</v>
      </c>
      <c r="I2154" s="32"/>
      <c r="J2154" s="32"/>
      <c r="K2154" s="33" t="s">
        <v>11717</v>
      </c>
      <c r="L2154" s="33" t="s">
        <v>11721</v>
      </c>
      <c r="N2154" s="33" t="s">
        <v>11717</v>
      </c>
      <c r="O2154" s="62" t="s">
        <v>11722</v>
      </c>
    </row>
    <row r="2155">
      <c r="A2155" s="38"/>
      <c r="B2155" s="28" t="s">
        <v>11723</v>
      </c>
      <c r="C2155" s="28" t="s">
        <v>11532</v>
      </c>
      <c r="D2155" s="29" t="s">
        <v>11724</v>
      </c>
      <c r="E2155" s="30" t="s">
        <v>11725</v>
      </c>
      <c r="F2155" s="28" t="s">
        <v>11726</v>
      </c>
      <c r="I2155" s="32"/>
      <c r="J2155" s="32"/>
      <c r="K2155" s="33" t="s">
        <v>11723</v>
      </c>
      <c r="L2155" s="33" t="s">
        <v>11727</v>
      </c>
      <c r="N2155" s="33" t="s">
        <v>11723</v>
      </c>
      <c r="O2155" s="35" t="s">
        <v>11531</v>
      </c>
    </row>
    <row r="2156">
      <c r="A2156" s="38"/>
      <c r="B2156" s="28" t="s">
        <v>11728</v>
      </c>
      <c r="C2156" s="28" t="s">
        <v>11542</v>
      </c>
      <c r="D2156" s="29" t="s">
        <v>11729</v>
      </c>
      <c r="E2156" s="30" t="s">
        <v>11730</v>
      </c>
      <c r="F2156" s="28" t="s">
        <v>11731</v>
      </c>
      <c r="I2156" s="32"/>
      <c r="J2156" s="32"/>
      <c r="K2156" s="33" t="s">
        <v>11728</v>
      </c>
      <c r="L2156" s="33" t="s">
        <v>11732</v>
      </c>
      <c r="N2156" s="33" t="s">
        <v>11728</v>
      </c>
      <c r="O2156" s="35" t="s">
        <v>11541</v>
      </c>
    </row>
    <row r="2157">
      <c r="A2157" s="38"/>
      <c r="B2157" s="28" t="s">
        <v>11733</v>
      </c>
      <c r="C2157" s="28" t="s">
        <v>11734</v>
      </c>
      <c r="D2157" s="29" t="s">
        <v>11735</v>
      </c>
      <c r="E2157" s="30" t="s">
        <v>11736</v>
      </c>
      <c r="F2157" s="28" t="s">
        <v>11737</v>
      </c>
      <c r="I2157" s="32"/>
      <c r="J2157" s="32"/>
      <c r="K2157" s="33" t="s">
        <v>11733</v>
      </c>
      <c r="L2157" s="33" t="s">
        <v>11738</v>
      </c>
      <c r="N2157" s="33" t="s">
        <v>11733</v>
      </c>
      <c r="O2157" s="35" t="s">
        <v>11739</v>
      </c>
    </row>
    <row r="2158">
      <c r="A2158" s="38"/>
      <c r="B2158" s="28" t="s">
        <v>11740</v>
      </c>
      <c r="C2158" s="28" t="s">
        <v>11741</v>
      </c>
      <c r="D2158" s="29" t="s">
        <v>11742</v>
      </c>
      <c r="E2158" s="30"/>
      <c r="F2158" s="28" t="s">
        <v>11743</v>
      </c>
      <c r="I2158" s="32"/>
      <c r="J2158" s="32"/>
      <c r="K2158" s="33" t="s">
        <v>11740</v>
      </c>
      <c r="L2158" s="33" t="s">
        <v>11744</v>
      </c>
      <c r="N2158" s="33" t="s">
        <v>11740</v>
      </c>
      <c r="O2158" s="35" t="s">
        <v>11745</v>
      </c>
    </row>
    <row r="2159">
      <c r="A2159" s="38"/>
      <c r="B2159" s="28" t="s">
        <v>11746</v>
      </c>
      <c r="C2159" s="28" t="s">
        <v>11747</v>
      </c>
      <c r="D2159" s="29" t="s">
        <v>11748</v>
      </c>
      <c r="E2159" s="30" t="s">
        <v>11749</v>
      </c>
      <c r="F2159" s="28" t="s">
        <v>11750</v>
      </c>
      <c r="I2159" s="32"/>
      <c r="J2159" s="32"/>
      <c r="K2159" s="33" t="s">
        <v>11746</v>
      </c>
      <c r="L2159" s="33" t="s">
        <v>11751</v>
      </c>
      <c r="N2159" s="33" t="s">
        <v>11746</v>
      </c>
      <c r="O2159" s="47" t="s">
        <v>11752</v>
      </c>
    </row>
    <row r="2160">
      <c r="A2160" s="38"/>
      <c r="B2160" s="28" t="s">
        <v>11753</v>
      </c>
      <c r="C2160" s="28" t="s">
        <v>11548</v>
      </c>
      <c r="D2160" s="29" t="s">
        <v>11754</v>
      </c>
      <c r="E2160" s="30" t="s">
        <v>11755</v>
      </c>
      <c r="F2160" s="28" t="s">
        <v>11756</v>
      </c>
      <c r="I2160" s="32"/>
      <c r="J2160" s="32"/>
      <c r="K2160" s="33" t="s">
        <v>11753</v>
      </c>
      <c r="L2160" s="33" t="s">
        <v>11757</v>
      </c>
      <c r="N2160" s="33" t="s">
        <v>11753</v>
      </c>
      <c r="O2160" s="35" t="s">
        <v>11547</v>
      </c>
    </row>
    <row r="2161">
      <c r="A2161" s="38"/>
      <c r="B2161" s="28" t="s">
        <v>11758</v>
      </c>
      <c r="C2161" s="28" t="s">
        <v>11759</v>
      </c>
      <c r="D2161" s="29" t="s">
        <v>11760</v>
      </c>
      <c r="E2161" s="30" t="s">
        <v>11755</v>
      </c>
      <c r="F2161" s="28" t="s">
        <v>11761</v>
      </c>
      <c r="I2161" s="32"/>
      <c r="J2161" s="32"/>
      <c r="K2161" s="33" t="s">
        <v>11758</v>
      </c>
      <c r="L2161" s="33" t="s">
        <v>11762</v>
      </c>
      <c r="N2161" s="33" t="s">
        <v>11758</v>
      </c>
      <c r="O2161" s="35"/>
    </row>
    <row r="2162">
      <c r="A2162" s="38"/>
      <c r="B2162" s="28" t="s">
        <v>11763</v>
      </c>
      <c r="C2162" s="28" t="s">
        <v>11764</v>
      </c>
      <c r="D2162" s="29" t="s">
        <v>11765</v>
      </c>
      <c r="E2162" s="30"/>
      <c r="F2162" s="28" t="s">
        <v>11766</v>
      </c>
      <c r="I2162" s="32"/>
      <c r="J2162" s="32"/>
      <c r="K2162" s="33" t="s">
        <v>11763</v>
      </c>
      <c r="L2162" s="33" t="s">
        <v>11767</v>
      </c>
      <c r="N2162" s="33" t="s">
        <v>11763</v>
      </c>
      <c r="O2162" s="35"/>
    </row>
    <row r="2163">
      <c r="A2163" s="38"/>
      <c r="B2163" s="28" t="s">
        <v>11768</v>
      </c>
      <c r="C2163" s="28" t="s">
        <v>11554</v>
      </c>
      <c r="D2163" s="29" t="s">
        <v>11769</v>
      </c>
      <c r="E2163" s="54" t="s">
        <v>11770</v>
      </c>
      <c r="F2163" s="28" t="s">
        <v>11771</v>
      </c>
      <c r="I2163" s="32"/>
      <c r="J2163" s="32"/>
      <c r="K2163" s="33" t="s">
        <v>11768</v>
      </c>
      <c r="L2163" s="33" t="s">
        <v>11772</v>
      </c>
      <c r="N2163" s="33" t="s">
        <v>11768</v>
      </c>
      <c r="O2163" s="47" t="s">
        <v>11773</v>
      </c>
    </row>
    <row r="2164">
      <c r="A2164" s="38"/>
      <c r="B2164" s="28" t="s">
        <v>11774</v>
      </c>
      <c r="C2164" s="28" t="s">
        <v>11558</v>
      </c>
      <c r="D2164" s="29" t="s">
        <v>11775</v>
      </c>
      <c r="E2164" s="30"/>
      <c r="F2164" s="28" t="s">
        <v>11776</v>
      </c>
      <c r="I2164" s="32"/>
      <c r="J2164" s="32"/>
      <c r="K2164" s="33" t="s">
        <v>11774</v>
      </c>
      <c r="L2164" s="33" t="s">
        <v>11777</v>
      </c>
      <c r="N2164" s="33" t="s">
        <v>11774</v>
      </c>
      <c r="O2164" s="47" t="s">
        <v>11778</v>
      </c>
    </row>
    <row r="2165">
      <c r="A2165" s="38"/>
      <c r="B2165" s="28" t="s">
        <v>11779</v>
      </c>
      <c r="C2165" s="28" t="s">
        <v>11563</v>
      </c>
      <c r="D2165" s="29" t="s">
        <v>11780</v>
      </c>
      <c r="E2165" s="30" t="s">
        <v>11781</v>
      </c>
      <c r="F2165" s="28" t="s">
        <v>11782</v>
      </c>
      <c r="I2165" s="32"/>
      <c r="J2165" s="32"/>
      <c r="K2165" s="33" t="s">
        <v>11779</v>
      </c>
      <c r="L2165" s="33" t="s">
        <v>11783</v>
      </c>
      <c r="N2165" s="33" t="s">
        <v>11779</v>
      </c>
      <c r="O2165" s="35" t="s">
        <v>11562</v>
      </c>
    </row>
    <row r="2166">
      <c r="A2166" s="38"/>
      <c r="B2166" s="28" t="s">
        <v>11784</v>
      </c>
      <c r="C2166" s="28" t="s">
        <v>11568</v>
      </c>
      <c r="D2166" s="29" t="s">
        <v>11785</v>
      </c>
      <c r="E2166" s="30" t="s">
        <v>11786</v>
      </c>
      <c r="F2166" s="28" t="s">
        <v>11787</v>
      </c>
      <c r="I2166" s="32"/>
      <c r="J2166" s="32"/>
      <c r="K2166" s="33" t="s">
        <v>11784</v>
      </c>
      <c r="L2166" s="33" t="s">
        <v>11788</v>
      </c>
      <c r="N2166" s="33" t="s">
        <v>11784</v>
      </c>
      <c r="O2166" s="35"/>
    </row>
    <row r="2167">
      <c r="A2167" s="38"/>
      <c r="B2167" s="28" t="s">
        <v>11789</v>
      </c>
      <c r="C2167" s="28" t="s">
        <v>11579</v>
      </c>
      <c r="D2167" s="29" t="s">
        <v>11790</v>
      </c>
      <c r="E2167" s="30" t="s">
        <v>11791</v>
      </c>
      <c r="F2167" s="28" t="s">
        <v>11792</v>
      </c>
      <c r="I2167" s="32"/>
      <c r="J2167" s="32"/>
      <c r="K2167" s="33" t="s">
        <v>11789</v>
      </c>
      <c r="L2167" s="33" t="s">
        <v>11793</v>
      </c>
      <c r="N2167" s="33" t="s">
        <v>11789</v>
      </c>
      <c r="O2167" s="35" t="s">
        <v>11578</v>
      </c>
    </row>
    <row r="2168">
      <c r="A2168" s="38"/>
      <c r="B2168" s="28" t="s">
        <v>11794</v>
      </c>
      <c r="C2168" s="28" t="s">
        <v>11795</v>
      </c>
      <c r="D2168" s="29" t="s">
        <v>11796</v>
      </c>
      <c r="E2168" s="30" t="s">
        <v>11797</v>
      </c>
      <c r="F2168" s="28" t="s">
        <v>11798</v>
      </c>
      <c r="I2168" s="32"/>
      <c r="J2168" s="32"/>
      <c r="K2168" s="33" t="s">
        <v>11794</v>
      </c>
      <c r="L2168" s="33" t="s">
        <v>11799</v>
      </c>
      <c r="N2168" s="33" t="s">
        <v>11794</v>
      </c>
      <c r="O2168" s="35"/>
    </row>
    <row r="2169">
      <c r="A2169" s="38"/>
      <c r="B2169" s="28" t="s">
        <v>11800</v>
      </c>
      <c r="C2169" s="28" t="s">
        <v>11592</v>
      </c>
      <c r="D2169" s="29" t="s">
        <v>11801</v>
      </c>
      <c r="E2169" s="30" t="s">
        <v>11802</v>
      </c>
      <c r="F2169" s="28" t="s">
        <v>11803</v>
      </c>
      <c r="I2169" s="32"/>
      <c r="J2169" s="32"/>
      <c r="K2169" s="33" t="s">
        <v>11800</v>
      </c>
      <c r="L2169" s="33" t="s">
        <v>11804</v>
      </c>
      <c r="N2169" s="33" t="s">
        <v>11800</v>
      </c>
      <c r="O2169" s="35"/>
    </row>
    <row r="2170">
      <c r="A2170" s="38"/>
      <c r="B2170" s="28" t="s">
        <v>11805</v>
      </c>
      <c r="C2170" s="28" t="s">
        <v>11597</v>
      </c>
      <c r="D2170" s="29" t="s">
        <v>11806</v>
      </c>
      <c r="E2170" s="30" t="s">
        <v>11807</v>
      </c>
      <c r="F2170" s="28" t="s">
        <v>11808</v>
      </c>
      <c r="I2170" s="32"/>
      <c r="J2170" s="32"/>
      <c r="K2170" s="33" t="s">
        <v>11805</v>
      </c>
      <c r="L2170" s="33" t="s">
        <v>11809</v>
      </c>
      <c r="N2170" s="33" t="s">
        <v>11805</v>
      </c>
      <c r="O2170" s="35"/>
    </row>
    <row r="2171">
      <c r="A2171" s="38"/>
      <c r="B2171" s="28" t="s">
        <v>11810</v>
      </c>
      <c r="C2171" s="28" t="s">
        <v>11603</v>
      </c>
      <c r="D2171" s="29" t="s">
        <v>11811</v>
      </c>
      <c r="E2171" s="54" t="s">
        <v>11812</v>
      </c>
      <c r="F2171" s="28" t="s">
        <v>11813</v>
      </c>
      <c r="I2171" s="32"/>
      <c r="J2171" s="32"/>
      <c r="K2171" s="33" t="s">
        <v>11810</v>
      </c>
      <c r="L2171" s="33" t="s">
        <v>11814</v>
      </c>
      <c r="N2171" s="33" t="s">
        <v>11810</v>
      </c>
      <c r="O2171" s="35"/>
    </row>
    <row r="2172">
      <c r="A2172" s="38"/>
      <c r="B2172" s="28" t="s">
        <v>11815</v>
      </c>
      <c r="C2172" s="28" t="s">
        <v>11613</v>
      </c>
      <c r="D2172" s="29" t="s">
        <v>11816</v>
      </c>
      <c r="E2172" s="54" t="s">
        <v>11817</v>
      </c>
      <c r="F2172" s="28" t="s">
        <v>11818</v>
      </c>
      <c r="I2172" s="32"/>
      <c r="J2172" s="32"/>
      <c r="K2172" s="33" t="s">
        <v>11815</v>
      </c>
      <c r="L2172" s="33" t="s">
        <v>11819</v>
      </c>
      <c r="N2172" s="33" t="s">
        <v>11815</v>
      </c>
      <c r="O2172" s="35" t="s">
        <v>11612</v>
      </c>
    </row>
    <row r="2173">
      <c r="A2173" s="38"/>
      <c r="B2173" s="28" t="s">
        <v>11820</v>
      </c>
      <c r="C2173" s="28" t="s">
        <v>11821</v>
      </c>
      <c r="D2173" s="29" t="s">
        <v>11822</v>
      </c>
      <c r="E2173" s="30"/>
      <c r="F2173" s="28" t="s">
        <v>742</v>
      </c>
      <c r="I2173" s="32"/>
      <c r="J2173" s="32"/>
      <c r="K2173" s="33" t="s">
        <v>11820</v>
      </c>
      <c r="L2173" s="33" t="s">
        <v>11823</v>
      </c>
      <c r="N2173" s="33" t="s">
        <v>11820</v>
      </c>
      <c r="O2173" s="35"/>
    </row>
    <row r="2174">
      <c r="A2174" s="38"/>
      <c r="B2174" s="28" t="s">
        <v>11824</v>
      </c>
      <c r="C2174" s="28" t="s">
        <v>11625</v>
      </c>
      <c r="D2174" s="29" t="s">
        <v>11825</v>
      </c>
      <c r="E2174" s="30"/>
      <c r="F2174" s="28" t="s">
        <v>11826</v>
      </c>
      <c r="I2174" s="32"/>
      <c r="J2174" s="32"/>
      <c r="K2174" s="33" t="s">
        <v>11824</v>
      </c>
      <c r="L2174" s="33" t="s">
        <v>11827</v>
      </c>
      <c r="N2174" s="33" t="s">
        <v>11824</v>
      </c>
      <c r="O2174" s="35" t="s">
        <v>11624</v>
      </c>
    </row>
    <row r="2175">
      <c r="A2175" s="38"/>
      <c r="B2175" s="28" t="s">
        <v>11828</v>
      </c>
      <c r="C2175" s="28" t="s">
        <v>11829</v>
      </c>
      <c r="D2175" s="29" t="s">
        <v>11830</v>
      </c>
      <c r="E2175" s="30"/>
      <c r="F2175" s="28" t="s">
        <v>11831</v>
      </c>
      <c r="I2175" s="32"/>
      <c r="J2175" s="32"/>
      <c r="K2175" s="33" t="s">
        <v>11828</v>
      </c>
      <c r="L2175" s="33" t="s">
        <v>11832</v>
      </c>
      <c r="N2175" s="33" t="s">
        <v>11828</v>
      </c>
      <c r="O2175" s="35" t="s">
        <v>11833</v>
      </c>
    </row>
    <row r="2176">
      <c r="A2176" s="38"/>
      <c r="B2176" s="28" t="s">
        <v>11834</v>
      </c>
      <c r="C2176" s="28" t="s">
        <v>11835</v>
      </c>
      <c r="D2176" s="29" t="s">
        <v>11836</v>
      </c>
      <c r="E2176" s="30" t="s">
        <v>11837</v>
      </c>
      <c r="F2176" s="28" t="s">
        <v>11838</v>
      </c>
      <c r="I2176" s="32"/>
      <c r="J2176" s="32"/>
      <c r="K2176" s="33" t="s">
        <v>11834</v>
      </c>
      <c r="L2176" s="33" t="s">
        <v>11839</v>
      </c>
      <c r="N2176" s="33" t="s">
        <v>11834</v>
      </c>
      <c r="O2176" s="35" t="s">
        <v>11840</v>
      </c>
    </row>
    <row r="2177">
      <c r="A2177" s="38"/>
      <c r="B2177" s="28" t="s">
        <v>11841</v>
      </c>
      <c r="C2177" s="28" t="s">
        <v>11636</v>
      </c>
      <c r="D2177" s="29" t="s">
        <v>11842</v>
      </c>
      <c r="E2177" s="30" t="s">
        <v>11843</v>
      </c>
      <c r="F2177" s="28" t="s">
        <v>11844</v>
      </c>
      <c r="I2177" s="32"/>
      <c r="J2177" s="32"/>
      <c r="K2177" s="33" t="s">
        <v>11841</v>
      </c>
      <c r="L2177" s="33" t="s">
        <v>11845</v>
      </c>
      <c r="N2177" s="33" t="s">
        <v>11841</v>
      </c>
      <c r="O2177" s="35" t="s">
        <v>11635</v>
      </c>
    </row>
    <row r="2178">
      <c r="A2178" s="38"/>
      <c r="B2178" s="28" t="s">
        <v>11846</v>
      </c>
      <c r="C2178" s="28" t="s">
        <v>11640</v>
      </c>
      <c r="D2178" s="29" t="s">
        <v>11847</v>
      </c>
      <c r="E2178" s="30" t="s">
        <v>11848</v>
      </c>
      <c r="F2178" s="28" t="s">
        <v>11849</v>
      </c>
      <c r="I2178" s="32"/>
      <c r="J2178" s="32"/>
      <c r="K2178" s="33" t="s">
        <v>11846</v>
      </c>
      <c r="L2178" s="33" t="s">
        <v>11850</v>
      </c>
      <c r="N2178" s="33" t="s">
        <v>11846</v>
      </c>
      <c r="O2178" s="35" t="s">
        <v>11635</v>
      </c>
    </row>
    <row r="2179">
      <c r="A2179" s="38"/>
      <c r="B2179" s="28" t="s">
        <v>11851</v>
      </c>
      <c r="C2179" s="28" t="s">
        <v>11645</v>
      </c>
      <c r="D2179" s="29" t="s">
        <v>11852</v>
      </c>
      <c r="E2179" s="30"/>
      <c r="F2179" s="28" t="s">
        <v>11853</v>
      </c>
      <c r="I2179" s="32"/>
      <c r="J2179" s="32"/>
      <c r="K2179" s="33" t="s">
        <v>11851</v>
      </c>
      <c r="L2179" s="33" t="s">
        <v>11854</v>
      </c>
      <c r="N2179" s="33" t="s">
        <v>11851</v>
      </c>
      <c r="O2179" s="35"/>
    </row>
    <row r="2180">
      <c r="A2180" s="38"/>
      <c r="B2180" s="28" t="s">
        <v>11855</v>
      </c>
      <c r="C2180" s="28" t="s">
        <v>11856</v>
      </c>
      <c r="D2180" s="29" t="s">
        <v>11857</v>
      </c>
      <c r="E2180" s="54" t="s">
        <v>11858</v>
      </c>
      <c r="F2180" s="28" t="s">
        <v>11859</v>
      </c>
      <c r="I2180" s="32"/>
      <c r="J2180" s="32"/>
      <c r="K2180" s="33" t="s">
        <v>11855</v>
      </c>
      <c r="L2180" s="33" t="s">
        <v>11860</v>
      </c>
      <c r="N2180" s="33" t="s">
        <v>11855</v>
      </c>
      <c r="O2180" s="47" t="s">
        <v>11861</v>
      </c>
    </row>
    <row r="2181">
      <c r="A2181" s="38"/>
      <c r="B2181" s="28" t="s">
        <v>11862</v>
      </c>
      <c r="C2181" s="28" t="s">
        <v>11656</v>
      </c>
      <c r="D2181" s="29" t="s">
        <v>11863</v>
      </c>
      <c r="E2181" s="30"/>
      <c r="F2181" s="28" t="s">
        <v>11864</v>
      </c>
      <c r="I2181" s="32"/>
      <c r="J2181" s="32"/>
      <c r="K2181" s="33" t="s">
        <v>11862</v>
      </c>
      <c r="L2181" s="33" t="s">
        <v>11865</v>
      </c>
      <c r="N2181" s="33" t="s">
        <v>11862</v>
      </c>
      <c r="O2181" s="35" t="s">
        <v>11655</v>
      </c>
    </row>
    <row r="2182">
      <c r="A2182" s="38"/>
      <c r="B2182" s="28" t="s">
        <v>11866</v>
      </c>
      <c r="C2182" s="28" t="s">
        <v>11867</v>
      </c>
      <c r="D2182" s="29" t="s">
        <v>11868</v>
      </c>
      <c r="E2182" s="54" t="s">
        <v>11869</v>
      </c>
      <c r="F2182" s="28" t="s">
        <v>11870</v>
      </c>
      <c r="I2182" s="32"/>
      <c r="J2182" s="32"/>
      <c r="K2182" s="33" t="s">
        <v>11866</v>
      </c>
      <c r="L2182" s="33" t="s">
        <v>11871</v>
      </c>
      <c r="N2182" s="33" t="s">
        <v>11866</v>
      </c>
      <c r="O2182" s="35" t="s">
        <v>11872</v>
      </c>
    </row>
    <row r="2183">
      <c r="A2183" s="38"/>
      <c r="B2183" s="28" t="s">
        <v>11873</v>
      </c>
      <c r="C2183" s="28" t="s">
        <v>11662</v>
      </c>
      <c r="D2183" s="29" t="s">
        <v>11874</v>
      </c>
      <c r="E2183" s="30" t="s">
        <v>11875</v>
      </c>
      <c r="F2183" s="28" t="s">
        <v>11876</v>
      </c>
      <c r="I2183" s="32"/>
      <c r="J2183" s="32"/>
      <c r="K2183" s="33" t="s">
        <v>11873</v>
      </c>
      <c r="L2183" s="33" t="s">
        <v>11877</v>
      </c>
      <c r="N2183" s="33" t="s">
        <v>11873</v>
      </c>
      <c r="O2183" s="35" t="s">
        <v>11661</v>
      </c>
    </row>
    <row r="2184">
      <c r="A2184" s="38"/>
      <c r="B2184" s="28" t="s">
        <v>11878</v>
      </c>
      <c r="C2184" s="28" t="s">
        <v>11667</v>
      </c>
      <c r="D2184" s="29" t="s">
        <v>11879</v>
      </c>
      <c r="E2184" s="30"/>
      <c r="F2184" s="28" t="s">
        <v>11880</v>
      </c>
      <c r="I2184" s="32"/>
      <c r="J2184" s="32"/>
      <c r="K2184" s="33" t="s">
        <v>11878</v>
      </c>
      <c r="L2184" s="33" t="s">
        <v>11881</v>
      </c>
      <c r="N2184" s="33" t="s">
        <v>11878</v>
      </c>
      <c r="O2184" s="35" t="s">
        <v>11666</v>
      </c>
    </row>
    <row r="2185">
      <c r="A2185" s="38"/>
      <c r="B2185" s="28" t="s">
        <v>11882</v>
      </c>
      <c r="C2185" s="28" t="s">
        <v>11883</v>
      </c>
      <c r="D2185" s="29" t="s">
        <v>11884</v>
      </c>
      <c r="E2185" s="30" t="s">
        <v>11885</v>
      </c>
      <c r="F2185" s="28" t="s">
        <v>11886</v>
      </c>
      <c r="I2185" s="32"/>
      <c r="J2185" s="32"/>
      <c r="K2185" s="33" t="s">
        <v>11882</v>
      </c>
      <c r="L2185" s="33" t="s">
        <v>11887</v>
      </c>
      <c r="N2185" s="33" t="s">
        <v>11882</v>
      </c>
      <c r="O2185" s="47" t="s">
        <v>11888</v>
      </c>
    </row>
    <row r="2186">
      <c r="A2186" s="38"/>
      <c r="B2186" s="28" t="s">
        <v>11889</v>
      </c>
      <c r="C2186" s="28" t="s">
        <v>11890</v>
      </c>
      <c r="D2186" s="29" t="s">
        <v>11891</v>
      </c>
      <c r="E2186" s="30"/>
      <c r="F2186" s="28" t="s">
        <v>11892</v>
      </c>
      <c r="I2186" s="32"/>
      <c r="J2186" s="32"/>
      <c r="K2186" s="33" t="s">
        <v>11889</v>
      </c>
      <c r="L2186" s="33" t="s">
        <v>11893</v>
      </c>
      <c r="N2186" s="33" t="s">
        <v>11889</v>
      </c>
      <c r="O2186" s="35"/>
    </row>
    <row r="2187">
      <c r="A2187" s="38"/>
      <c r="B2187" s="28" t="s">
        <v>11894</v>
      </c>
      <c r="C2187" s="28" t="s">
        <v>11895</v>
      </c>
      <c r="D2187" s="29" t="s">
        <v>11896</v>
      </c>
      <c r="E2187" s="30" t="s">
        <v>11897</v>
      </c>
      <c r="F2187" s="28" t="s">
        <v>11898</v>
      </c>
      <c r="I2187" s="32"/>
      <c r="J2187" s="32"/>
      <c r="K2187" s="33" t="s">
        <v>11894</v>
      </c>
      <c r="L2187" s="33" t="s">
        <v>11899</v>
      </c>
      <c r="N2187" s="33" t="s">
        <v>11894</v>
      </c>
      <c r="O2187" s="35" t="s">
        <v>11900</v>
      </c>
    </row>
    <row r="2188">
      <c r="A2188" s="38"/>
      <c r="B2188" s="28" t="s">
        <v>11901</v>
      </c>
      <c r="C2188" s="28" t="s">
        <v>11902</v>
      </c>
      <c r="D2188" s="29" t="s">
        <v>11903</v>
      </c>
      <c r="E2188" s="30" t="s">
        <v>11904</v>
      </c>
      <c r="F2188" s="28" t="s">
        <v>11905</v>
      </c>
      <c r="I2188" s="32"/>
      <c r="J2188" s="32"/>
      <c r="K2188" s="33" t="s">
        <v>11901</v>
      </c>
      <c r="L2188" s="33" t="s">
        <v>11906</v>
      </c>
      <c r="N2188" s="33" t="s">
        <v>11901</v>
      </c>
      <c r="O2188" s="35" t="s">
        <v>11907</v>
      </c>
    </row>
    <row r="2189">
      <c r="A2189" s="38"/>
      <c r="B2189" s="28" t="s">
        <v>11908</v>
      </c>
      <c r="C2189" s="28" t="s">
        <v>11702</v>
      </c>
      <c r="D2189" s="29" t="s">
        <v>11909</v>
      </c>
      <c r="E2189" s="30"/>
      <c r="F2189" s="28" t="s">
        <v>11910</v>
      </c>
      <c r="I2189" s="32"/>
      <c r="J2189" s="32"/>
      <c r="K2189" s="33" t="s">
        <v>11908</v>
      </c>
      <c r="L2189" s="33" t="s">
        <v>11911</v>
      </c>
      <c r="N2189" s="33" t="s">
        <v>11908</v>
      </c>
      <c r="O2189" s="35" t="s">
        <v>11701</v>
      </c>
    </row>
    <row r="2190">
      <c r="A2190" s="38"/>
      <c r="B2190" s="28" t="s">
        <v>11912</v>
      </c>
      <c r="C2190" s="28" t="s">
        <v>11913</v>
      </c>
      <c r="D2190" s="29" t="s">
        <v>11914</v>
      </c>
      <c r="E2190" s="30"/>
      <c r="F2190" s="28" t="s">
        <v>11915</v>
      </c>
      <c r="I2190" s="32"/>
      <c r="J2190" s="32"/>
      <c r="K2190" s="33" t="s">
        <v>11912</v>
      </c>
      <c r="L2190" s="33" t="s">
        <v>11916</v>
      </c>
      <c r="N2190" s="33" t="s">
        <v>11912</v>
      </c>
      <c r="O2190" s="35" t="s">
        <v>11917</v>
      </c>
    </row>
    <row r="2191">
      <c r="A2191" s="38"/>
      <c r="B2191" s="28" t="s">
        <v>11918</v>
      </c>
      <c r="C2191" s="28" t="s">
        <v>11919</v>
      </c>
      <c r="D2191" s="29" t="s">
        <v>11920</v>
      </c>
      <c r="E2191" s="30" t="s">
        <v>11921</v>
      </c>
      <c r="F2191" s="28" t="s">
        <v>11922</v>
      </c>
      <c r="I2191" s="32"/>
      <c r="J2191" s="32"/>
      <c r="K2191" s="33" t="s">
        <v>11918</v>
      </c>
      <c r="L2191" s="33" t="s">
        <v>11923</v>
      </c>
      <c r="N2191" s="33" t="s">
        <v>11918</v>
      </c>
      <c r="O2191" s="35"/>
    </row>
    <row r="2192">
      <c r="A2192" s="38"/>
      <c r="B2192" s="28" t="s">
        <v>11924</v>
      </c>
      <c r="C2192" s="28" t="s">
        <v>11708</v>
      </c>
      <c r="D2192" s="29" t="s">
        <v>11925</v>
      </c>
      <c r="E2192" s="30" t="s">
        <v>11926</v>
      </c>
      <c r="F2192" s="28" t="s">
        <v>11927</v>
      </c>
      <c r="I2192" s="32"/>
      <c r="J2192" s="32"/>
      <c r="K2192" s="33" t="s">
        <v>11924</v>
      </c>
      <c r="L2192" s="33" t="s">
        <v>11928</v>
      </c>
      <c r="N2192" s="33" t="s">
        <v>11924</v>
      </c>
      <c r="O2192" s="35" t="s">
        <v>11707</v>
      </c>
    </row>
    <row r="2193">
      <c r="A2193" s="38"/>
      <c r="B2193" s="28" t="s">
        <v>11929</v>
      </c>
      <c r="C2193" s="28" t="s">
        <v>11930</v>
      </c>
      <c r="D2193" s="60" t="s">
        <v>11931</v>
      </c>
      <c r="E2193" s="30" t="s">
        <v>11932</v>
      </c>
      <c r="F2193" s="28" t="s">
        <v>11933</v>
      </c>
      <c r="I2193" s="32"/>
      <c r="J2193" s="32"/>
      <c r="K2193" s="33" t="s">
        <v>11929</v>
      </c>
      <c r="L2193" s="33" t="s">
        <v>11934</v>
      </c>
      <c r="N2193" s="33" t="s">
        <v>11929</v>
      </c>
      <c r="O2193" s="35" t="s">
        <v>11935</v>
      </c>
    </row>
    <row r="2194">
      <c r="A2194" s="38"/>
      <c r="B2194" s="28" t="s">
        <v>11936</v>
      </c>
      <c r="C2194" s="28" t="s">
        <v>11937</v>
      </c>
      <c r="D2194" s="29" t="s">
        <v>11938</v>
      </c>
      <c r="E2194" s="54" t="s">
        <v>11939</v>
      </c>
      <c r="F2194" s="28" t="s">
        <v>305</v>
      </c>
      <c r="I2194" s="32"/>
      <c r="J2194" s="32"/>
      <c r="K2194" s="33" t="s">
        <v>11936</v>
      </c>
      <c r="L2194" s="33" t="s">
        <v>11940</v>
      </c>
      <c r="N2194" s="33" t="s">
        <v>11936</v>
      </c>
      <c r="O2194" s="35" t="s">
        <v>11941</v>
      </c>
    </row>
    <row r="2195">
      <c r="A2195" s="38"/>
      <c r="B2195" s="28" t="s">
        <v>11942</v>
      </c>
      <c r="C2195" s="28" t="s">
        <v>11943</v>
      </c>
      <c r="D2195" s="29" t="s">
        <v>11944</v>
      </c>
      <c r="E2195" s="30" t="s">
        <v>11945</v>
      </c>
      <c r="F2195" s="28" t="s">
        <v>11946</v>
      </c>
      <c r="I2195" s="32"/>
      <c r="J2195" s="32"/>
      <c r="K2195" s="33" t="s">
        <v>11942</v>
      </c>
      <c r="L2195" s="33" t="s">
        <v>11947</v>
      </c>
      <c r="N2195" s="33" t="s">
        <v>11942</v>
      </c>
      <c r="O2195" s="35"/>
    </row>
    <row r="2196">
      <c r="A2196" s="38"/>
      <c r="B2196" s="28" t="s">
        <v>11948</v>
      </c>
      <c r="C2196" s="28" t="s">
        <v>11715</v>
      </c>
      <c r="D2196" s="29" t="s">
        <v>11949</v>
      </c>
      <c r="E2196" s="30" t="s">
        <v>11950</v>
      </c>
      <c r="F2196" s="28" t="s">
        <v>11951</v>
      </c>
      <c r="I2196" s="32"/>
      <c r="J2196" s="32"/>
      <c r="K2196" s="33" t="s">
        <v>11948</v>
      </c>
      <c r="L2196" s="33" t="s">
        <v>11952</v>
      </c>
      <c r="N2196" s="33" t="s">
        <v>11948</v>
      </c>
      <c r="O2196" s="35" t="s">
        <v>11714</v>
      </c>
    </row>
    <row r="2197">
      <c r="A2197" s="38"/>
      <c r="B2197" s="28" t="s">
        <v>11953</v>
      </c>
      <c r="C2197" s="28" t="s">
        <v>11726</v>
      </c>
      <c r="D2197" s="29" t="s">
        <v>11954</v>
      </c>
      <c r="E2197" s="30" t="s">
        <v>11955</v>
      </c>
      <c r="F2197" s="28" t="s">
        <v>11956</v>
      </c>
      <c r="I2197" s="32"/>
      <c r="J2197" s="32"/>
      <c r="K2197" s="33" t="s">
        <v>11953</v>
      </c>
      <c r="L2197" s="33" t="s">
        <v>11957</v>
      </c>
      <c r="N2197" s="33" t="s">
        <v>11953</v>
      </c>
      <c r="O2197" s="35" t="s">
        <v>11725</v>
      </c>
    </row>
    <row r="2198">
      <c r="A2198" s="38"/>
      <c r="B2198" s="28" t="s">
        <v>11958</v>
      </c>
      <c r="C2198" s="28" t="s">
        <v>11731</v>
      </c>
      <c r="D2198" s="29" t="s">
        <v>11959</v>
      </c>
      <c r="E2198" s="30"/>
      <c r="F2198" s="28" t="s">
        <v>11960</v>
      </c>
      <c r="I2198" s="32"/>
      <c r="J2198" s="32"/>
      <c r="K2198" s="33" t="s">
        <v>11958</v>
      </c>
      <c r="L2198" s="33" t="s">
        <v>11961</v>
      </c>
      <c r="N2198" s="33" t="s">
        <v>11958</v>
      </c>
      <c r="O2198" s="35" t="s">
        <v>11730</v>
      </c>
    </row>
    <row r="2199">
      <c r="A2199" s="38"/>
      <c r="B2199" s="28" t="s">
        <v>11962</v>
      </c>
      <c r="C2199" s="28" t="s">
        <v>11963</v>
      </c>
      <c r="D2199" s="29" t="s">
        <v>11964</v>
      </c>
      <c r="E2199" s="30" t="s">
        <v>11965</v>
      </c>
      <c r="F2199" s="28" t="s">
        <v>11966</v>
      </c>
      <c r="I2199" s="32"/>
      <c r="J2199" s="32"/>
      <c r="K2199" s="33" t="s">
        <v>11962</v>
      </c>
      <c r="L2199" s="33" t="s">
        <v>11967</v>
      </c>
      <c r="N2199" s="33" t="s">
        <v>11962</v>
      </c>
      <c r="O2199" s="35" t="s">
        <v>11968</v>
      </c>
    </row>
    <row r="2200">
      <c r="A2200" s="38"/>
      <c r="B2200" s="28" t="s">
        <v>11969</v>
      </c>
      <c r="C2200" s="28" t="s">
        <v>11737</v>
      </c>
      <c r="D2200" s="29" t="s">
        <v>11970</v>
      </c>
      <c r="E2200" s="30" t="s">
        <v>11971</v>
      </c>
      <c r="F2200" s="28" t="s">
        <v>11972</v>
      </c>
      <c r="I2200" s="32"/>
      <c r="J2200" s="32"/>
      <c r="K2200" s="33" t="s">
        <v>11969</v>
      </c>
      <c r="L2200" s="33" t="s">
        <v>11973</v>
      </c>
      <c r="N2200" s="33" t="s">
        <v>11969</v>
      </c>
      <c r="O2200" s="35" t="s">
        <v>11736</v>
      </c>
    </row>
    <row r="2201">
      <c r="A2201" s="38"/>
      <c r="B2201" s="28" t="s">
        <v>11974</v>
      </c>
      <c r="C2201" s="28" t="s">
        <v>11743</v>
      </c>
      <c r="D2201" s="29" t="s">
        <v>11975</v>
      </c>
      <c r="E2201" s="30" t="s">
        <v>11976</v>
      </c>
      <c r="F2201" s="28" t="s">
        <v>11977</v>
      </c>
      <c r="I2201" s="32"/>
      <c r="J2201" s="32"/>
      <c r="K2201" s="33" t="s">
        <v>11974</v>
      </c>
      <c r="L2201" s="33" t="s">
        <v>11978</v>
      </c>
      <c r="N2201" s="33" t="s">
        <v>11974</v>
      </c>
      <c r="O2201" s="35"/>
    </row>
    <row r="2202">
      <c r="A2202" s="38"/>
      <c r="B2202" s="28" t="s">
        <v>11979</v>
      </c>
      <c r="C2202" s="28" t="s">
        <v>11750</v>
      </c>
      <c r="D2202" s="29" t="s">
        <v>11980</v>
      </c>
      <c r="E2202" s="30"/>
      <c r="F2202" s="28" t="s">
        <v>11981</v>
      </c>
      <c r="I2202" s="32"/>
      <c r="J2202" s="32"/>
      <c r="K2202" s="33" t="s">
        <v>11979</v>
      </c>
      <c r="L2202" s="33" t="s">
        <v>11982</v>
      </c>
      <c r="N2202" s="33" t="s">
        <v>11979</v>
      </c>
      <c r="O2202" s="35" t="s">
        <v>11749</v>
      </c>
    </row>
    <row r="2203">
      <c r="A2203" s="38"/>
      <c r="B2203" s="28" t="s">
        <v>11983</v>
      </c>
      <c r="C2203" s="28" t="s">
        <v>11984</v>
      </c>
      <c r="D2203" s="29" t="s">
        <v>11985</v>
      </c>
      <c r="E2203" s="30" t="s">
        <v>11986</v>
      </c>
      <c r="F2203" s="28" t="s">
        <v>11987</v>
      </c>
      <c r="I2203" s="32"/>
      <c r="J2203" s="32"/>
      <c r="K2203" s="33" t="s">
        <v>11983</v>
      </c>
      <c r="L2203" s="33" t="s">
        <v>11988</v>
      </c>
      <c r="N2203" s="33" t="s">
        <v>11983</v>
      </c>
      <c r="O2203" s="35"/>
    </row>
    <row r="2204">
      <c r="A2204" s="38"/>
      <c r="B2204" s="28" t="s">
        <v>11989</v>
      </c>
      <c r="C2204" s="28" t="s">
        <v>11761</v>
      </c>
      <c r="D2204" s="29" t="s">
        <v>11990</v>
      </c>
      <c r="E2204" s="30" t="s">
        <v>11991</v>
      </c>
      <c r="F2204" s="28" t="s">
        <v>11992</v>
      </c>
      <c r="I2204" s="32"/>
      <c r="J2204" s="32"/>
      <c r="K2204" s="33" t="s">
        <v>11989</v>
      </c>
      <c r="L2204" s="33" t="s">
        <v>11993</v>
      </c>
      <c r="N2204" s="33" t="s">
        <v>11989</v>
      </c>
      <c r="O2204" s="35" t="s">
        <v>11755</v>
      </c>
    </row>
    <row r="2205">
      <c r="A2205" s="38"/>
      <c r="B2205" s="28" t="s">
        <v>11994</v>
      </c>
      <c r="C2205" s="28" t="s">
        <v>11766</v>
      </c>
      <c r="D2205" s="29" t="s">
        <v>11995</v>
      </c>
      <c r="E2205" s="30"/>
      <c r="F2205" s="28" t="s">
        <v>11996</v>
      </c>
      <c r="I2205" s="32"/>
      <c r="J2205" s="32"/>
      <c r="K2205" s="33" t="s">
        <v>11994</v>
      </c>
      <c r="L2205" s="33" t="s">
        <v>11997</v>
      </c>
      <c r="N2205" s="33" t="s">
        <v>11994</v>
      </c>
      <c r="O2205" s="35"/>
    </row>
    <row r="2206">
      <c r="A2206" s="38"/>
      <c r="B2206" s="28" t="s">
        <v>11998</v>
      </c>
      <c r="C2206" s="28" t="s">
        <v>11771</v>
      </c>
      <c r="D2206" s="29" t="s">
        <v>11999</v>
      </c>
      <c r="E2206" s="30" t="s">
        <v>12000</v>
      </c>
      <c r="F2206" s="28" t="s">
        <v>12001</v>
      </c>
      <c r="I2206" s="32"/>
      <c r="J2206" s="32"/>
      <c r="K2206" s="33" t="s">
        <v>11998</v>
      </c>
      <c r="L2206" s="33" t="s">
        <v>12002</v>
      </c>
      <c r="N2206" s="33" t="s">
        <v>11998</v>
      </c>
      <c r="O2206" s="47" t="s">
        <v>12003</v>
      </c>
    </row>
    <row r="2207">
      <c r="A2207" s="38"/>
      <c r="B2207" s="28" t="s">
        <v>12004</v>
      </c>
      <c r="C2207" s="28" t="s">
        <v>11776</v>
      </c>
      <c r="D2207" s="29" t="s">
        <v>12005</v>
      </c>
      <c r="E2207" s="30" t="s">
        <v>12006</v>
      </c>
      <c r="F2207" s="28" t="s">
        <v>12007</v>
      </c>
      <c r="I2207" s="32"/>
      <c r="J2207" s="32"/>
      <c r="K2207" s="33" t="s">
        <v>12004</v>
      </c>
      <c r="L2207" s="33" t="s">
        <v>12008</v>
      </c>
      <c r="N2207" s="33" t="s">
        <v>12004</v>
      </c>
      <c r="O2207" s="35"/>
    </row>
    <row r="2208">
      <c r="A2208" s="38"/>
      <c r="B2208" s="28" t="s">
        <v>12009</v>
      </c>
      <c r="C2208" s="28" t="s">
        <v>11782</v>
      </c>
      <c r="D2208" s="29" t="s">
        <v>12010</v>
      </c>
      <c r="E2208" s="30"/>
      <c r="F2208" s="28" t="s">
        <v>12011</v>
      </c>
      <c r="I2208" s="32"/>
      <c r="J2208" s="32"/>
      <c r="K2208" s="33" t="s">
        <v>12009</v>
      </c>
      <c r="L2208" s="33" t="s">
        <v>12012</v>
      </c>
      <c r="N2208" s="33" t="s">
        <v>12009</v>
      </c>
      <c r="O2208" s="35" t="s">
        <v>11781</v>
      </c>
    </row>
    <row r="2209">
      <c r="A2209" s="38"/>
      <c r="B2209" s="28" t="s">
        <v>12013</v>
      </c>
      <c r="C2209" s="28" t="s">
        <v>11787</v>
      </c>
      <c r="D2209" s="29" t="s">
        <v>12014</v>
      </c>
      <c r="E2209" s="30" t="s">
        <v>12015</v>
      </c>
      <c r="F2209" s="28" t="s">
        <v>12016</v>
      </c>
      <c r="I2209" s="32"/>
      <c r="J2209" s="32"/>
      <c r="K2209" s="33" t="s">
        <v>12013</v>
      </c>
      <c r="L2209" s="33" t="s">
        <v>12017</v>
      </c>
      <c r="N2209" s="33" t="s">
        <v>12013</v>
      </c>
      <c r="O2209" s="35" t="s">
        <v>11786</v>
      </c>
    </row>
    <row r="2210">
      <c r="A2210" s="38"/>
      <c r="B2210" s="28" t="s">
        <v>12018</v>
      </c>
      <c r="C2210" s="28" t="s">
        <v>11798</v>
      </c>
      <c r="D2210" s="29" t="s">
        <v>12019</v>
      </c>
      <c r="E2210" s="30" t="s">
        <v>12020</v>
      </c>
      <c r="F2210" s="28" t="s">
        <v>12021</v>
      </c>
      <c r="I2210" s="32"/>
      <c r="J2210" s="32"/>
      <c r="K2210" s="33" t="s">
        <v>12018</v>
      </c>
      <c r="L2210" s="33" t="s">
        <v>12022</v>
      </c>
      <c r="N2210" s="33" t="s">
        <v>12018</v>
      </c>
      <c r="O2210" s="35" t="s">
        <v>11797</v>
      </c>
    </row>
    <row r="2211">
      <c r="A2211" s="38"/>
      <c r="B2211" s="28" t="s">
        <v>12023</v>
      </c>
      <c r="C2211" s="28" t="s">
        <v>11803</v>
      </c>
      <c r="D2211" s="29" t="s">
        <v>12024</v>
      </c>
      <c r="E2211" s="30" t="s">
        <v>12025</v>
      </c>
      <c r="F2211" s="28" t="s">
        <v>12026</v>
      </c>
      <c r="I2211" s="32"/>
      <c r="J2211" s="32"/>
      <c r="K2211" s="33" t="s">
        <v>12023</v>
      </c>
      <c r="L2211" s="33" t="s">
        <v>12027</v>
      </c>
      <c r="N2211" s="33" t="s">
        <v>12023</v>
      </c>
      <c r="O2211" s="35" t="s">
        <v>11802</v>
      </c>
    </row>
    <row r="2212">
      <c r="A2212" s="38"/>
      <c r="B2212" s="28" t="s">
        <v>12028</v>
      </c>
      <c r="C2212" s="28" t="s">
        <v>11818</v>
      </c>
      <c r="D2212" s="29" t="s">
        <v>12029</v>
      </c>
      <c r="E2212" s="30"/>
      <c r="F2212" s="28" t="s">
        <v>12030</v>
      </c>
      <c r="I2212" s="32"/>
      <c r="J2212" s="32"/>
      <c r="K2212" s="33" t="s">
        <v>12028</v>
      </c>
      <c r="L2212" s="33" t="s">
        <v>12031</v>
      </c>
      <c r="N2212" s="33" t="s">
        <v>12028</v>
      </c>
      <c r="O2212" s="47" t="s">
        <v>12032</v>
      </c>
    </row>
    <row r="2213">
      <c r="A2213" s="38"/>
      <c r="B2213" s="28" t="s">
        <v>12033</v>
      </c>
      <c r="C2213" s="28" t="s">
        <v>12034</v>
      </c>
      <c r="D2213" s="29" t="s">
        <v>12035</v>
      </c>
      <c r="E2213" s="54" t="s">
        <v>12036</v>
      </c>
      <c r="F2213" s="28" t="s">
        <v>12037</v>
      </c>
      <c r="I2213" s="32"/>
      <c r="J2213" s="32"/>
      <c r="K2213" s="33" t="s">
        <v>12033</v>
      </c>
      <c r="L2213" s="33" t="s">
        <v>12038</v>
      </c>
      <c r="N2213" s="33" t="s">
        <v>12033</v>
      </c>
      <c r="O2213" s="35"/>
    </row>
    <row r="2214">
      <c r="A2214" s="38"/>
      <c r="B2214" s="28" t="s">
        <v>12039</v>
      </c>
      <c r="C2214" s="28" t="s">
        <v>12040</v>
      </c>
      <c r="D2214" s="29" t="s">
        <v>12041</v>
      </c>
      <c r="E2214" s="30"/>
      <c r="F2214" s="28" t="s">
        <v>12042</v>
      </c>
      <c r="I2214" s="32"/>
      <c r="J2214" s="32"/>
      <c r="K2214" s="33" t="s">
        <v>12039</v>
      </c>
      <c r="L2214" s="33" t="s">
        <v>12043</v>
      </c>
      <c r="N2214" s="33" t="s">
        <v>12039</v>
      </c>
      <c r="O2214" s="35" t="s">
        <v>12044</v>
      </c>
    </row>
    <row r="2215">
      <c r="A2215" s="38"/>
      <c r="B2215" s="28" t="s">
        <v>12045</v>
      </c>
      <c r="C2215" s="28" t="s">
        <v>11831</v>
      </c>
      <c r="D2215" s="29" t="s">
        <v>12046</v>
      </c>
      <c r="E2215" s="30" t="s">
        <v>12047</v>
      </c>
      <c r="F2215" s="28" t="s">
        <v>12048</v>
      </c>
      <c r="I2215" s="32"/>
      <c r="J2215" s="32"/>
      <c r="K2215" s="33" t="s">
        <v>12045</v>
      </c>
      <c r="L2215" s="33" t="s">
        <v>12049</v>
      </c>
      <c r="N2215" s="33" t="s">
        <v>12045</v>
      </c>
      <c r="O2215" s="35"/>
    </row>
    <row r="2216">
      <c r="A2216" s="38"/>
      <c r="B2216" s="28" t="s">
        <v>12050</v>
      </c>
      <c r="C2216" s="28" t="s">
        <v>12051</v>
      </c>
      <c r="D2216" s="29" t="s">
        <v>12052</v>
      </c>
      <c r="E2216" s="30" t="s">
        <v>439</v>
      </c>
      <c r="F2216" s="28" t="s">
        <v>434</v>
      </c>
      <c r="I2216" s="32"/>
      <c r="J2216" s="32"/>
      <c r="K2216" s="33" t="s">
        <v>12050</v>
      </c>
      <c r="L2216" s="33" t="s">
        <v>12053</v>
      </c>
      <c r="N2216" s="33" t="s">
        <v>12050</v>
      </c>
      <c r="O2216" s="35"/>
    </row>
    <row r="2217">
      <c r="A2217" s="38"/>
      <c r="B2217" s="28" t="s">
        <v>12054</v>
      </c>
      <c r="C2217" s="28" t="s">
        <v>12055</v>
      </c>
      <c r="D2217" s="29" t="s">
        <v>12056</v>
      </c>
      <c r="E2217" s="30" t="s">
        <v>12057</v>
      </c>
      <c r="F2217" s="28" t="s">
        <v>12058</v>
      </c>
      <c r="I2217" s="32"/>
      <c r="J2217" s="32"/>
      <c r="K2217" s="33" t="s">
        <v>12054</v>
      </c>
      <c r="L2217" s="33" t="s">
        <v>12059</v>
      </c>
      <c r="N2217" s="33" t="s">
        <v>12054</v>
      </c>
      <c r="O2217" s="35" t="s">
        <v>12060</v>
      </c>
    </row>
    <row r="2218">
      <c r="A2218" s="38"/>
      <c r="B2218" s="28" t="s">
        <v>12061</v>
      </c>
      <c r="C2218" s="28" t="s">
        <v>11838</v>
      </c>
      <c r="D2218" s="29" t="s">
        <v>12062</v>
      </c>
      <c r="E2218" s="30"/>
      <c r="F2218" s="28" t="s">
        <v>12063</v>
      </c>
      <c r="I2218" s="32"/>
      <c r="J2218" s="32"/>
      <c r="K2218" s="33" t="s">
        <v>12061</v>
      </c>
      <c r="L2218" s="33" t="s">
        <v>12064</v>
      </c>
      <c r="N2218" s="33" t="s">
        <v>12061</v>
      </c>
      <c r="O2218" s="35" t="s">
        <v>11837</v>
      </c>
    </row>
    <row r="2219">
      <c r="A2219" s="38"/>
      <c r="B2219" s="28" t="s">
        <v>12065</v>
      </c>
      <c r="C2219" s="28" t="s">
        <v>11844</v>
      </c>
      <c r="D2219" s="29" t="s">
        <v>12066</v>
      </c>
      <c r="E2219" s="30" t="s">
        <v>12067</v>
      </c>
      <c r="F2219" s="28" t="s">
        <v>12068</v>
      </c>
      <c r="I2219" s="32"/>
      <c r="J2219" s="32"/>
      <c r="K2219" s="33" t="s">
        <v>12065</v>
      </c>
      <c r="L2219" s="33" t="s">
        <v>12069</v>
      </c>
      <c r="N2219" s="33" t="s">
        <v>12065</v>
      </c>
      <c r="O2219" s="35" t="s">
        <v>11843</v>
      </c>
    </row>
    <row r="2220">
      <c r="A2220" s="38"/>
      <c r="B2220" s="28" t="s">
        <v>12070</v>
      </c>
      <c r="C2220" s="28" t="s">
        <v>11849</v>
      </c>
      <c r="D2220" s="29" t="s">
        <v>12071</v>
      </c>
      <c r="E2220" s="30"/>
      <c r="F2220" s="28" t="s">
        <v>12072</v>
      </c>
      <c r="I2220" s="32"/>
      <c r="J2220" s="32"/>
      <c r="K2220" s="33" t="s">
        <v>12070</v>
      </c>
      <c r="L2220" s="33" t="s">
        <v>12073</v>
      </c>
      <c r="N2220" s="33" t="s">
        <v>12070</v>
      </c>
      <c r="O2220" s="35" t="s">
        <v>11848</v>
      </c>
    </row>
    <row r="2221">
      <c r="A2221" s="38"/>
      <c r="B2221" s="28" t="s">
        <v>12074</v>
      </c>
      <c r="C2221" s="28" t="s">
        <v>12075</v>
      </c>
      <c r="D2221" s="29" t="s">
        <v>12076</v>
      </c>
      <c r="E2221" s="30" t="s">
        <v>12077</v>
      </c>
      <c r="F2221" s="28" t="s">
        <v>12078</v>
      </c>
      <c r="I2221" s="32"/>
      <c r="J2221" s="32"/>
      <c r="K2221" s="33" t="s">
        <v>12074</v>
      </c>
      <c r="L2221" s="33" t="s">
        <v>12079</v>
      </c>
      <c r="N2221" s="33" t="s">
        <v>12074</v>
      </c>
      <c r="O2221" s="35" t="s">
        <v>12080</v>
      </c>
    </row>
    <row r="2222">
      <c r="A2222" s="38"/>
      <c r="B2222" s="28" t="s">
        <v>12081</v>
      </c>
      <c r="C2222" s="28" t="s">
        <v>12082</v>
      </c>
      <c r="D2222" s="29" t="s">
        <v>12083</v>
      </c>
      <c r="E2222" s="30" t="s">
        <v>395</v>
      </c>
      <c r="F2222" s="28" t="s">
        <v>390</v>
      </c>
      <c r="I2222" s="32"/>
      <c r="J2222" s="32"/>
      <c r="K2222" s="33" t="s">
        <v>12081</v>
      </c>
      <c r="L2222" s="33" t="s">
        <v>12084</v>
      </c>
      <c r="N2222" s="33" t="s">
        <v>12081</v>
      </c>
      <c r="O2222" s="35" t="s">
        <v>12085</v>
      </c>
    </row>
    <row r="2223">
      <c r="A2223" s="38"/>
      <c r="B2223" s="28" t="s">
        <v>12086</v>
      </c>
      <c r="C2223" s="28" t="s">
        <v>11853</v>
      </c>
      <c r="D2223" s="29" t="s">
        <v>12087</v>
      </c>
      <c r="E2223" s="30"/>
      <c r="F2223" s="28" t="s">
        <v>12088</v>
      </c>
      <c r="I2223" s="32"/>
      <c r="J2223" s="32"/>
      <c r="K2223" s="33" t="s">
        <v>12086</v>
      </c>
      <c r="L2223" s="33" t="s">
        <v>12089</v>
      </c>
      <c r="N2223" s="33" t="s">
        <v>12086</v>
      </c>
      <c r="O2223" s="35"/>
    </row>
    <row r="2224">
      <c r="A2224" s="38"/>
      <c r="B2224" s="28" t="s">
        <v>12090</v>
      </c>
      <c r="C2224" s="28" t="s">
        <v>12091</v>
      </c>
      <c r="D2224" s="29" t="s">
        <v>12092</v>
      </c>
      <c r="E2224" s="30" t="s">
        <v>12093</v>
      </c>
      <c r="F2224" s="28" t="s">
        <v>12094</v>
      </c>
      <c r="I2224" s="32"/>
      <c r="J2224" s="32"/>
      <c r="K2224" s="33" t="s">
        <v>12090</v>
      </c>
      <c r="L2224" s="33" t="s">
        <v>12095</v>
      </c>
      <c r="N2224" s="33" t="s">
        <v>12090</v>
      </c>
      <c r="O2224" s="35" t="s">
        <v>12096</v>
      </c>
    </row>
    <row r="2225">
      <c r="A2225" s="38"/>
      <c r="B2225" s="28" t="s">
        <v>12097</v>
      </c>
      <c r="C2225" s="28" t="s">
        <v>11859</v>
      </c>
      <c r="D2225" s="29" t="s">
        <v>12098</v>
      </c>
      <c r="E2225" s="30" t="s">
        <v>12099</v>
      </c>
      <c r="F2225" s="28" t="s">
        <v>12100</v>
      </c>
      <c r="I2225" s="32"/>
      <c r="J2225" s="32"/>
      <c r="K2225" s="33" t="s">
        <v>12097</v>
      </c>
      <c r="L2225" s="33" t="s">
        <v>12101</v>
      </c>
      <c r="N2225" s="33" t="s">
        <v>12097</v>
      </c>
      <c r="O2225" s="35"/>
    </row>
    <row r="2226">
      <c r="A2226" s="38"/>
      <c r="B2226" s="28" t="s">
        <v>12102</v>
      </c>
      <c r="C2226" s="28" t="s">
        <v>11864</v>
      </c>
      <c r="D2226" s="29" t="s">
        <v>12103</v>
      </c>
      <c r="E2226" s="54" t="s">
        <v>12104</v>
      </c>
      <c r="F2226" s="28" t="s">
        <v>12105</v>
      </c>
      <c r="I2226" s="32"/>
      <c r="J2226" s="32"/>
      <c r="K2226" s="33" t="s">
        <v>12102</v>
      </c>
      <c r="L2226" s="33" t="s">
        <v>12106</v>
      </c>
      <c r="N2226" s="33" t="s">
        <v>12102</v>
      </c>
      <c r="O2226" s="35"/>
    </row>
    <row r="2227">
      <c r="A2227" s="38"/>
      <c r="B2227" s="28" t="s">
        <v>12107</v>
      </c>
      <c r="C2227" s="28" t="s">
        <v>12108</v>
      </c>
      <c r="D2227" s="29" t="s">
        <v>12109</v>
      </c>
      <c r="E2227" s="30" t="s">
        <v>12110</v>
      </c>
      <c r="F2227" s="28" t="s">
        <v>12111</v>
      </c>
      <c r="I2227" s="32"/>
      <c r="J2227" s="32"/>
      <c r="K2227" s="33" t="s">
        <v>12107</v>
      </c>
      <c r="L2227" s="33" t="s">
        <v>12112</v>
      </c>
      <c r="N2227" s="33" t="s">
        <v>12107</v>
      </c>
      <c r="O2227" s="35"/>
    </row>
    <row r="2228">
      <c r="A2228" s="38"/>
      <c r="B2228" s="28" t="s">
        <v>12113</v>
      </c>
      <c r="C2228" s="28" t="s">
        <v>12114</v>
      </c>
      <c r="D2228" s="29" t="s">
        <v>12115</v>
      </c>
      <c r="E2228" s="30" t="s">
        <v>12116</v>
      </c>
      <c r="F2228" s="28" t="s">
        <v>12117</v>
      </c>
      <c r="I2228" s="32"/>
      <c r="J2228" s="32"/>
      <c r="K2228" s="33" t="s">
        <v>12113</v>
      </c>
      <c r="L2228" s="33" t="s">
        <v>12118</v>
      </c>
      <c r="N2228" s="33" t="s">
        <v>12113</v>
      </c>
      <c r="O2228" s="35"/>
    </row>
    <row r="2229">
      <c r="A2229" s="38"/>
      <c r="B2229" s="28" t="s">
        <v>12119</v>
      </c>
      <c r="C2229" s="28" t="s">
        <v>11880</v>
      </c>
      <c r="D2229" s="29" t="s">
        <v>12120</v>
      </c>
      <c r="E2229" s="30" t="s">
        <v>12121</v>
      </c>
      <c r="F2229" s="28" t="s">
        <v>12122</v>
      </c>
      <c r="I2229" s="32"/>
      <c r="J2229" s="32"/>
      <c r="K2229" s="33" t="s">
        <v>12119</v>
      </c>
      <c r="L2229" s="33" t="s">
        <v>12123</v>
      </c>
      <c r="N2229" s="33" t="s">
        <v>12119</v>
      </c>
      <c r="O2229" s="35"/>
    </row>
    <row r="2230">
      <c r="A2230" s="38"/>
      <c r="B2230" s="28" t="s">
        <v>12124</v>
      </c>
      <c r="C2230" s="28" t="s">
        <v>11886</v>
      </c>
      <c r="D2230" s="29" t="s">
        <v>12125</v>
      </c>
      <c r="E2230" s="30" t="s">
        <v>12126</v>
      </c>
      <c r="F2230" s="28" t="s">
        <v>12127</v>
      </c>
      <c r="I2230" s="32"/>
      <c r="J2230" s="32"/>
      <c r="K2230" s="33" t="s">
        <v>12124</v>
      </c>
      <c r="L2230" s="33" t="s">
        <v>12128</v>
      </c>
      <c r="N2230" s="33" t="s">
        <v>12124</v>
      </c>
      <c r="O2230" s="35" t="s">
        <v>11885</v>
      </c>
    </row>
    <row r="2231">
      <c r="A2231" s="38"/>
      <c r="B2231" s="28" t="s">
        <v>12129</v>
      </c>
      <c r="C2231" s="28" t="s">
        <v>12130</v>
      </c>
      <c r="D2231" s="29" t="s">
        <v>12131</v>
      </c>
      <c r="E2231" s="30" t="s">
        <v>12132</v>
      </c>
      <c r="F2231" s="28" t="s">
        <v>12133</v>
      </c>
      <c r="I2231" s="32"/>
      <c r="J2231" s="32"/>
      <c r="K2231" s="33" t="s">
        <v>12129</v>
      </c>
      <c r="L2231" s="33" t="s">
        <v>12134</v>
      </c>
      <c r="N2231" s="33" t="s">
        <v>12129</v>
      </c>
      <c r="O2231" s="35" t="s">
        <v>11885</v>
      </c>
    </row>
    <row r="2232">
      <c r="A2232" s="38"/>
      <c r="B2232" s="28" t="s">
        <v>12135</v>
      </c>
      <c r="C2232" s="28" t="s">
        <v>12136</v>
      </c>
      <c r="D2232" s="29" t="s">
        <v>12137</v>
      </c>
      <c r="E2232" s="30" t="s">
        <v>12138</v>
      </c>
      <c r="F2232" s="28" t="s">
        <v>12139</v>
      </c>
      <c r="I2232" s="32"/>
      <c r="J2232" s="32"/>
      <c r="K2232" s="33" t="s">
        <v>12135</v>
      </c>
      <c r="L2232" s="33" t="s">
        <v>12140</v>
      </c>
      <c r="N2232" s="33" t="s">
        <v>12135</v>
      </c>
      <c r="O2232" s="35" t="s">
        <v>12141</v>
      </c>
    </row>
    <row r="2233">
      <c r="A2233" s="38"/>
      <c r="B2233" s="28" t="s">
        <v>12142</v>
      </c>
      <c r="C2233" s="28" t="s">
        <v>12143</v>
      </c>
      <c r="D2233" s="29" t="s">
        <v>12144</v>
      </c>
      <c r="E2233" s="30" t="s">
        <v>12145</v>
      </c>
      <c r="F2233" s="28" t="s">
        <v>12146</v>
      </c>
      <c r="I2233" s="32"/>
      <c r="J2233" s="32"/>
      <c r="K2233" s="33" t="s">
        <v>12142</v>
      </c>
      <c r="L2233" s="33" t="s">
        <v>12147</v>
      </c>
      <c r="N2233" s="33" t="s">
        <v>12142</v>
      </c>
      <c r="O2233" s="35" t="s">
        <v>12148</v>
      </c>
    </row>
    <row r="2234">
      <c r="A2234" s="38"/>
      <c r="B2234" s="28" t="s">
        <v>12149</v>
      </c>
      <c r="C2234" s="28" t="s">
        <v>11898</v>
      </c>
      <c r="D2234" s="29" t="s">
        <v>12150</v>
      </c>
      <c r="E2234" s="30"/>
      <c r="F2234" s="28" t="s">
        <v>12151</v>
      </c>
      <c r="I2234" s="32"/>
      <c r="J2234" s="32"/>
      <c r="K2234" s="33" t="s">
        <v>12149</v>
      </c>
      <c r="L2234" s="33" t="s">
        <v>12152</v>
      </c>
      <c r="N2234" s="33" t="s">
        <v>12149</v>
      </c>
      <c r="O2234" s="35" t="s">
        <v>11897</v>
      </c>
    </row>
    <row r="2235">
      <c r="A2235" s="38"/>
      <c r="B2235" s="28" t="s">
        <v>12153</v>
      </c>
      <c r="C2235" s="28" t="s">
        <v>11905</v>
      </c>
      <c r="D2235" s="29" t="s">
        <v>12154</v>
      </c>
      <c r="E2235" s="30" t="s">
        <v>12155</v>
      </c>
      <c r="F2235" s="28" t="s">
        <v>12156</v>
      </c>
      <c r="I2235" s="32"/>
      <c r="J2235" s="32"/>
      <c r="K2235" s="33" t="s">
        <v>12153</v>
      </c>
      <c r="L2235" s="33" t="s">
        <v>12157</v>
      </c>
      <c r="N2235" s="33" t="s">
        <v>12153</v>
      </c>
      <c r="O2235" s="35" t="s">
        <v>11904</v>
      </c>
    </row>
    <row r="2236">
      <c r="A2236" s="38"/>
      <c r="B2236" s="28" t="s">
        <v>12158</v>
      </c>
      <c r="C2236" s="28" t="s">
        <v>12159</v>
      </c>
      <c r="D2236" s="29" t="s">
        <v>12160</v>
      </c>
      <c r="E2236" s="30"/>
      <c r="F2236" s="28" t="s">
        <v>12161</v>
      </c>
      <c r="I2236" s="32"/>
      <c r="J2236" s="32"/>
      <c r="K2236" s="33" t="s">
        <v>12158</v>
      </c>
      <c r="L2236" s="33" t="s">
        <v>12162</v>
      </c>
      <c r="N2236" s="33" t="s">
        <v>12158</v>
      </c>
      <c r="O2236" s="35" t="s">
        <v>12163</v>
      </c>
    </row>
    <row r="2237">
      <c r="A2237" s="38"/>
      <c r="B2237" s="28" t="s">
        <v>12164</v>
      </c>
      <c r="C2237" s="28" t="s">
        <v>12165</v>
      </c>
      <c r="D2237" s="29" t="s">
        <v>12166</v>
      </c>
      <c r="E2237" s="30" t="s">
        <v>12167</v>
      </c>
      <c r="F2237" s="28" t="s">
        <v>12168</v>
      </c>
      <c r="I2237" s="32"/>
      <c r="J2237" s="32"/>
      <c r="K2237" s="33" t="s">
        <v>12164</v>
      </c>
      <c r="L2237" s="33" t="s">
        <v>12169</v>
      </c>
      <c r="N2237" s="33" t="s">
        <v>12164</v>
      </c>
      <c r="O2237" s="47" t="s">
        <v>12170</v>
      </c>
    </row>
    <row r="2238">
      <c r="A2238" s="38"/>
      <c r="B2238" s="28" t="s">
        <v>12171</v>
      </c>
      <c r="C2238" s="28" t="s">
        <v>11922</v>
      </c>
      <c r="D2238" s="29" t="s">
        <v>12172</v>
      </c>
      <c r="E2238" s="30" t="s">
        <v>12173</v>
      </c>
      <c r="F2238" s="28" t="s">
        <v>12174</v>
      </c>
      <c r="I2238" s="32"/>
      <c r="J2238" s="32"/>
      <c r="K2238" s="33" t="s">
        <v>12171</v>
      </c>
      <c r="L2238" s="33" t="s">
        <v>12175</v>
      </c>
      <c r="N2238" s="33" t="s">
        <v>12171</v>
      </c>
      <c r="O2238" s="35" t="s">
        <v>11921</v>
      </c>
    </row>
    <row r="2239">
      <c r="A2239" s="38"/>
      <c r="B2239" s="28" t="s">
        <v>12176</v>
      </c>
      <c r="C2239" s="28" t="s">
        <v>11927</v>
      </c>
      <c r="D2239" s="29" t="s">
        <v>12177</v>
      </c>
      <c r="E2239" s="30" t="s">
        <v>12178</v>
      </c>
      <c r="F2239" s="28" t="s">
        <v>12179</v>
      </c>
      <c r="I2239" s="32"/>
      <c r="J2239" s="32"/>
      <c r="K2239" s="33" t="s">
        <v>12176</v>
      </c>
      <c r="L2239" s="33" t="s">
        <v>12180</v>
      </c>
      <c r="N2239" s="33" t="s">
        <v>12176</v>
      </c>
      <c r="O2239" s="35" t="s">
        <v>11926</v>
      </c>
    </row>
    <row r="2240">
      <c r="A2240" s="38"/>
      <c r="B2240" s="28" t="s">
        <v>12181</v>
      </c>
      <c r="C2240" s="28" t="s">
        <v>11946</v>
      </c>
      <c r="D2240" s="29" t="s">
        <v>12182</v>
      </c>
      <c r="E2240" s="30" t="s">
        <v>12183</v>
      </c>
      <c r="F2240" s="28" t="s">
        <v>12184</v>
      </c>
      <c r="I2240" s="32"/>
      <c r="J2240" s="32"/>
      <c r="K2240" s="33" t="s">
        <v>12181</v>
      </c>
      <c r="L2240" s="33" t="s">
        <v>12185</v>
      </c>
      <c r="N2240" s="33" t="s">
        <v>12181</v>
      </c>
      <c r="O2240" s="35" t="s">
        <v>11945</v>
      </c>
    </row>
    <row r="2241">
      <c r="A2241" s="38"/>
      <c r="B2241" s="28" t="s">
        <v>12186</v>
      </c>
      <c r="C2241" s="28" t="s">
        <v>12187</v>
      </c>
      <c r="D2241" s="29" t="s">
        <v>12188</v>
      </c>
      <c r="E2241" s="30" t="s">
        <v>447</v>
      </c>
      <c r="F2241" s="28" t="s">
        <v>441</v>
      </c>
      <c r="I2241" s="32"/>
      <c r="J2241" s="32"/>
      <c r="K2241" s="33" t="s">
        <v>12186</v>
      </c>
      <c r="L2241" s="33" t="s">
        <v>12189</v>
      </c>
      <c r="N2241" s="33" t="s">
        <v>12186</v>
      </c>
      <c r="O2241" s="35" t="s">
        <v>12190</v>
      </c>
    </row>
    <row r="2242">
      <c r="A2242" s="38"/>
      <c r="B2242" s="28" t="s">
        <v>12191</v>
      </c>
      <c r="C2242" s="28" t="s">
        <v>11951</v>
      </c>
      <c r="D2242" s="29" t="s">
        <v>12192</v>
      </c>
      <c r="E2242" s="30"/>
      <c r="F2242" s="28" t="s">
        <v>12193</v>
      </c>
      <c r="I2242" s="32"/>
      <c r="J2242" s="32"/>
      <c r="K2242" s="33" t="s">
        <v>12191</v>
      </c>
      <c r="L2242" s="33" t="s">
        <v>12194</v>
      </c>
      <c r="N2242" s="33" t="s">
        <v>12191</v>
      </c>
      <c r="O2242" s="35" t="s">
        <v>11950</v>
      </c>
    </row>
    <row r="2243">
      <c r="A2243" s="38"/>
      <c r="B2243" s="28" t="s">
        <v>12195</v>
      </c>
      <c r="C2243" s="28" t="s">
        <v>11956</v>
      </c>
      <c r="D2243" s="29" t="s">
        <v>12196</v>
      </c>
      <c r="E2243" s="30" t="s">
        <v>5896</v>
      </c>
      <c r="F2243" s="28" t="s">
        <v>12197</v>
      </c>
      <c r="I2243" s="32"/>
      <c r="J2243" s="32"/>
      <c r="K2243" s="33" t="s">
        <v>12195</v>
      </c>
      <c r="L2243" s="33" t="s">
        <v>12198</v>
      </c>
      <c r="N2243" s="33" t="s">
        <v>12195</v>
      </c>
      <c r="O2243" s="35" t="s">
        <v>11955</v>
      </c>
    </row>
    <row r="2244">
      <c r="A2244" s="38"/>
      <c r="B2244" s="28" t="s">
        <v>12199</v>
      </c>
      <c r="C2244" s="28" t="s">
        <v>12200</v>
      </c>
      <c r="D2244" s="29" t="s">
        <v>12201</v>
      </c>
      <c r="E2244" s="54" t="s">
        <v>12202</v>
      </c>
      <c r="F2244" s="28" t="s">
        <v>12203</v>
      </c>
      <c r="I2244" s="32"/>
      <c r="J2244" s="32"/>
      <c r="K2244" s="33" t="s">
        <v>12199</v>
      </c>
      <c r="L2244" s="33" t="s">
        <v>12204</v>
      </c>
      <c r="N2244" s="33" t="s">
        <v>12199</v>
      </c>
      <c r="O2244" s="47" t="s">
        <v>12205</v>
      </c>
    </row>
    <row r="2245">
      <c r="A2245" s="38"/>
      <c r="B2245" s="28" t="s">
        <v>12206</v>
      </c>
      <c r="C2245" s="28" t="s">
        <v>12207</v>
      </c>
      <c r="D2245" s="29" t="s">
        <v>12208</v>
      </c>
      <c r="E2245" s="30"/>
      <c r="F2245" s="28" t="s">
        <v>12209</v>
      </c>
      <c r="I2245" s="32"/>
      <c r="J2245" s="32"/>
      <c r="K2245" s="33" t="s">
        <v>12206</v>
      </c>
      <c r="L2245" s="33" t="s">
        <v>12210</v>
      </c>
      <c r="N2245" s="33" t="s">
        <v>12206</v>
      </c>
      <c r="O2245" s="35" t="s">
        <v>12211</v>
      </c>
    </row>
    <row r="2246">
      <c r="A2246" s="38"/>
      <c r="B2246" s="28" t="s">
        <v>12212</v>
      </c>
      <c r="C2246" s="28" t="s">
        <v>11960</v>
      </c>
      <c r="D2246" s="29" t="s">
        <v>12213</v>
      </c>
      <c r="E2246" s="30" t="s">
        <v>12214</v>
      </c>
      <c r="F2246" s="28" t="s">
        <v>12215</v>
      </c>
      <c r="I2246" s="32"/>
      <c r="J2246" s="32"/>
      <c r="K2246" s="33" t="s">
        <v>12212</v>
      </c>
      <c r="L2246" s="33" t="s">
        <v>12216</v>
      </c>
      <c r="N2246" s="33" t="s">
        <v>12212</v>
      </c>
      <c r="O2246" s="35"/>
    </row>
    <row r="2247">
      <c r="A2247" s="38"/>
      <c r="B2247" s="28" t="s">
        <v>12217</v>
      </c>
      <c r="C2247" s="28" t="s">
        <v>11966</v>
      </c>
      <c r="D2247" s="29" t="s">
        <v>12218</v>
      </c>
      <c r="E2247" s="30" t="s">
        <v>12219</v>
      </c>
      <c r="F2247" s="28" t="s">
        <v>12220</v>
      </c>
      <c r="I2247" s="32"/>
      <c r="J2247" s="32"/>
      <c r="K2247" s="33" t="s">
        <v>12217</v>
      </c>
      <c r="L2247" s="33" t="s">
        <v>12221</v>
      </c>
      <c r="N2247" s="33" t="s">
        <v>12217</v>
      </c>
      <c r="O2247" s="35" t="s">
        <v>11965</v>
      </c>
    </row>
    <row r="2248">
      <c r="A2248" s="38"/>
      <c r="B2248" s="28" t="s">
        <v>12222</v>
      </c>
      <c r="C2248" s="28" t="s">
        <v>11977</v>
      </c>
      <c r="D2248" s="29" t="s">
        <v>12223</v>
      </c>
      <c r="E2248" s="30" t="s">
        <v>12224</v>
      </c>
      <c r="F2248" s="28" t="s">
        <v>12225</v>
      </c>
      <c r="I2248" s="32"/>
      <c r="J2248" s="32"/>
      <c r="K2248" s="33" t="s">
        <v>12222</v>
      </c>
      <c r="L2248" s="33" t="s">
        <v>12226</v>
      </c>
      <c r="N2248" s="33" t="s">
        <v>12222</v>
      </c>
      <c r="O2248" s="35" t="s">
        <v>11976</v>
      </c>
    </row>
    <row r="2249">
      <c r="A2249" s="38"/>
      <c r="B2249" s="28" t="s">
        <v>12227</v>
      </c>
      <c r="C2249" s="28" t="s">
        <v>12228</v>
      </c>
      <c r="D2249" s="29" t="s">
        <v>12229</v>
      </c>
      <c r="E2249" s="30"/>
      <c r="F2249" s="28" t="s">
        <v>12230</v>
      </c>
      <c r="I2249" s="32"/>
      <c r="J2249" s="32"/>
      <c r="K2249" s="33" t="s">
        <v>12227</v>
      </c>
      <c r="L2249" s="33" t="s">
        <v>12231</v>
      </c>
      <c r="N2249" s="33" t="s">
        <v>12227</v>
      </c>
      <c r="O2249" s="35"/>
    </row>
    <row r="2250">
      <c r="A2250" s="38"/>
      <c r="B2250" s="28" t="s">
        <v>12232</v>
      </c>
      <c r="C2250" s="28" t="s">
        <v>11981</v>
      </c>
      <c r="D2250" s="29" t="s">
        <v>12233</v>
      </c>
      <c r="E2250" s="30" t="s">
        <v>12234</v>
      </c>
      <c r="F2250" s="28" t="s">
        <v>12235</v>
      </c>
      <c r="I2250" s="32"/>
      <c r="J2250" s="32"/>
      <c r="K2250" s="33" t="s">
        <v>12232</v>
      </c>
      <c r="L2250" s="33" t="s">
        <v>12236</v>
      </c>
      <c r="N2250" s="33" t="s">
        <v>12232</v>
      </c>
      <c r="O2250" s="35"/>
    </row>
    <row r="2251">
      <c r="A2251" s="38"/>
      <c r="B2251" s="28" t="s">
        <v>12237</v>
      </c>
      <c r="C2251" s="28" t="s">
        <v>12238</v>
      </c>
      <c r="D2251" s="29" t="s">
        <v>12239</v>
      </c>
      <c r="E2251" s="30" t="s">
        <v>12240</v>
      </c>
      <c r="F2251" s="28" t="s">
        <v>12241</v>
      </c>
      <c r="I2251" s="32"/>
      <c r="J2251" s="32"/>
      <c r="K2251" s="33" t="s">
        <v>12237</v>
      </c>
      <c r="L2251" s="33" t="s">
        <v>12242</v>
      </c>
      <c r="N2251" s="33" t="s">
        <v>12237</v>
      </c>
      <c r="O2251" s="47" t="s">
        <v>12243</v>
      </c>
    </row>
    <row r="2252">
      <c r="A2252" s="38"/>
      <c r="B2252" s="28" t="s">
        <v>12244</v>
      </c>
      <c r="C2252" s="28" t="s">
        <v>11987</v>
      </c>
      <c r="D2252" s="29" t="s">
        <v>12245</v>
      </c>
      <c r="E2252" s="30"/>
      <c r="F2252" s="28" t="s">
        <v>12246</v>
      </c>
      <c r="I2252" s="32"/>
      <c r="J2252" s="32"/>
      <c r="K2252" s="33" t="s">
        <v>12244</v>
      </c>
      <c r="L2252" s="33" t="s">
        <v>12247</v>
      </c>
      <c r="N2252" s="33" t="s">
        <v>12244</v>
      </c>
      <c r="O2252" s="35" t="s">
        <v>11986</v>
      </c>
    </row>
    <row r="2253">
      <c r="A2253" s="38"/>
      <c r="B2253" s="28" t="s">
        <v>12248</v>
      </c>
      <c r="C2253" s="28" t="s">
        <v>11992</v>
      </c>
      <c r="D2253" s="29" t="s">
        <v>12249</v>
      </c>
      <c r="E2253" s="30"/>
      <c r="F2253" s="28" t="s">
        <v>12250</v>
      </c>
      <c r="I2253" s="32"/>
      <c r="J2253" s="32"/>
      <c r="K2253" s="33" t="s">
        <v>12248</v>
      </c>
      <c r="L2253" s="33" t="s">
        <v>12251</v>
      </c>
      <c r="N2253" s="33" t="s">
        <v>12248</v>
      </c>
      <c r="O2253" s="35" t="s">
        <v>11991</v>
      </c>
    </row>
    <row r="2254">
      <c r="A2254" s="38"/>
      <c r="B2254" s="28" t="s">
        <v>12252</v>
      </c>
      <c r="C2254" s="28" t="s">
        <v>12001</v>
      </c>
      <c r="D2254" s="29" t="s">
        <v>12253</v>
      </c>
      <c r="E2254" s="30" t="s">
        <v>12254</v>
      </c>
      <c r="F2254" s="28" t="s">
        <v>12255</v>
      </c>
      <c r="I2254" s="32"/>
      <c r="J2254" s="32"/>
      <c r="K2254" s="33" t="s">
        <v>12252</v>
      </c>
      <c r="L2254" s="33" t="s">
        <v>12256</v>
      </c>
      <c r="N2254" s="33" t="s">
        <v>12252</v>
      </c>
      <c r="O2254" s="35" t="s">
        <v>12000</v>
      </c>
    </row>
    <row r="2255">
      <c r="A2255" s="38"/>
      <c r="B2255" s="28" t="s">
        <v>12257</v>
      </c>
      <c r="C2255" s="28" t="s">
        <v>12011</v>
      </c>
      <c r="D2255" s="29" t="s">
        <v>12258</v>
      </c>
      <c r="E2255" s="30" t="s">
        <v>12259</v>
      </c>
      <c r="F2255" s="28" t="s">
        <v>12260</v>
      </c>
      <c r="I2255" s="32"/>
      <c r="J2255" s="32"/>
      <c r="K2255" s="33" t="s">
        <v>12257</v>
      </c>
      <c r="L2255" s="33" t="s">
        <v>12261</v>
      </c>
      <c r="N2255" s="33" t="s">
        <v>12257</v>
      </c>
      <c r="O2255" s="35"/>
    </row>
    <row r="2256">
      <c r="A2256" s="38"/>
      <c r="B2256" s="28" t="s">
        <v>12262</v>
      </c>
      <c r="C2256" s="28" t="s">
        <v>12016</v>
      </c>
      <c r="D2256" s="29" t="s">
        <v>12263</v>
      </c>
      <c r="E2256" s="30"/>
      <c r="F2256" s="28" t="s">
        <v>12264</v>
      </c>
      <c r="I2256" s="32"/>
      <c r="J2256" s="32"/>
      <c r="K2256" s="33" t="s">
        <v>12262</v>
      </c>
      <c r="L2256" s="33" t="s">
        <v>12265</v>
      </c>
      <c r="N2256" s="33" t="s">
        <v>12262</v>
      </c>
      <c r="O2256" s="35" t="s">
        <v>12015</v>
      </c>
    </row>
    <row r="2257">
      <c r="A2257" s="38"/>
      <c r="B2257" s="28" t="s">
        <v>12266</v>
      </c>
      <c r="C2257" s="28" t="s">
        <v>12267</v>
      </c>
      <c r="D2257" s="29" t="s">
        <v>12268</v>
      </c>
      <c r="E2257" s="30" t="s">
        <v>12269</v>
      </c>
      <c r="F2257" s="28" t="s">
        <v>12270</v>
      </c>
      <c r="I2257" s="32"/>
      <c r="J2257" s="32"/>
      <c r="K2257" s="33" t="s">
        <v>12266</v>
      </c>
      <c r="L2257" s="33" t="s">
        <v>12271</v>
      </c>
      <c r="N2257" s="33" t="s">
        <v>12266</v>
      </c>
      <c r="O2257" s="35"/>
    </row>
    <row r="2258">
      <c r="A2258" s="38"/>
      <c r="B2258" s="28" t="s">
        <v>12272</v>
      </c>
      <c r="C2258" s="28" t="s">
        <v>12273</v>
      </c>
      <c r="D2258" s="29" t="s">
        <v>12274</v>
      </c>
      <c r="E2258" s="30"/>
      <c r="F2258" s="28" t="s">
        <v>12275</v>
      </c>
      <c r="I2258" s="32"/>
      <c r="J2258" s="32"/>
      <c r="K2258" s="33" t="s">
        <v>12272</v>
      </c>
      <c r="L2258" s="33" t="s">
        <v>12276</v>
      </c>
      <c r="N2258" s="33" t="s">
        <v>12272</v>
      </c>
      <c r="O2258" s="35" t="s">
        <v>12277</v>
      </c>
    </row>
    <row r="2259">
      <c r="A2259" s="38"/>
      <c r="B2259" s="28" t="s">
        <v>12278</v>
      </c>
      <c r="C2259" s="28" t="s">
        <v>12026</v>
      </c>
      <c r="D2259" s="29" t="s">
        <v>12279</v>
      </c>
      <c r="E2259" s="30"/>
      <c r="F2259" s="28" t="s">
        <v>12280</v>
      </c>
      <c r="I2259" s="32"/>
      <c r="J2259" s="32"/>
      <c r="K2259" s="33" t="s">
        <v>12278</v>
      </c>
      <c r="L2259" s="33" t="s">
        <v>12281</v>
      </c>
      <c r="N2259" s="33" t="s">
        <v>12278</v>
      </c>
      <c r="O2259" s="35" t="s">
        <v>12025</v>
      </c>
    </row>
    <row r="2260">
      <c r="A2260" s="38"/>
      <c r="B2260" s="28" t="s">
        <v>12282</v>
      </c>
      <c r="C2260" s="28" t="s">
        <v>12030</v>
      </c>
      <c r="D2260" s="29" t="s">
        <v>12283</v>
      </c>
      <c r="E2260" s="30" t="s">
        <v>12284</v>
      </c>
      <c r="F2260" s="28" t="s">
        <v>12285</v>
      </c>
      <c r="I2260" s="32"/>
      <c r="J2260" s="32"/>
      <c r="K2260" s="33" t="s">
        <v>12282</v>
      </c>
      <c r="L2260" s="33" t="s">
        <v>12286</v>
      </c>
      <c r="N2260" s="33" t="s">
        <v>12282</v>
      </c>
      <c r="O2260" s="35"/>
    </row>
    <row r="2261">
      <c r="A2261" s="38"/>
      <c r="B2261" s="28" t="s">
        <v>12287</v>
      </c>
      <c r="C2261" s="28" t="s">
        <v>12037</v>
      </c>
      <c r="D2261" s="29" t="s">
        <v>12288</v>
      </c>
      <c r="E2261" s="54" t="s">
        <v>12289</v>
      </c>
      <c r="F2261" s="28" t="s">
        <v>12290</v>
      </c>
      <c r="I2261" s="32"/>
      <c r="J2261" s="32"/>
      <c r="K2261" s="33" t="s">
        <v>12287</v>
      </c>
      <c r="L2261" s="33" t="s">
        <v>12291</v>
      </c>
      <c r="N2261" s="33" t="s">
        <v>12287</v>
      </c>
      <c r="O2261" s="35"/>
    </row>
    <row r="2262">
      <c r="A2262" s="38"/>
      <c r="B2262" s="28" t="s">
        <v>12292</v>
      </c>
      <c r="C2262" s="28" t="s">
        <v>12042</v>
      </c>
      <c r="D2262" s="29" t="s">
        <v>12293</v>
      </c>
      <c r="E2262" s="30" t="s">
        <v>12294</v>
      </c>
      <c r="F2262" s="28" t="s">
        <v>12295</v>
      </c>
      <c r="I2262" s="32"/>
      <c r="J2262" s="32"/>
      <c r="K2262" s="33" t="s">
        <v>12292</v>
      </c>
      <c r="L2262" s="33" t="s">
        <v>12296</v>
      </c>
      <c r="N2262" s="33" t="s">
        <v>12292</v>
      </c>
      <c r="O2262" s="35"/>
    </row>
    <row r="2263">
      <c r="A2263" s="38"/>
      <c r="B2263" s="28" t="s">
        <v>12297</v>
      </c>
      <c r="C2263" s="28" t="s">
        <v>12298</v>
      </c>
      <c r="D2263" s="29" t="s">
        <v>12299</v>
      </c>
      <c r="E2263" s="30" t="s">
        <v>12300</v>
      </c>
      <c r="F2263" s="28" t="s">
        <v>12301</v>
      </c>
      <c r="I2263" s="32"/>
      <c r="J2263" s="32"/>
      <c r="K2263" s="33" t="s">
        <v>12297</v>
      </c>
      <c r="L2263" s="33" t="s">
        <v>12302</v>
      </c>
      <c r="N2263" s="33" t="s">
        <v>12297</v>
      </c>
      <c r="O2263" s="35" t="s">
        <v>12303</v>
      </c>
    </row>
    <row r="2264">
      <c r="A2264" s="38"/>
      <c r="B2264" s="28" t="s">
        <v>12304</v>
      </c>
      <c r="C2264" s="28" t="s">
        <v>12048</v>
      </c>
      <c r="D2264" s="29" t="s">
        <v>12305</v>
      </c>
      <c r="E2264" s="30" t="s">
        <v>12306</v>
      </c>
      <c r="F2264" s="28" t="s">
        <v>12307</v>
      </c>
      <c r="I2264" s="32"/>
      <c r="J2264" s="32"/>
      <c r="K2264" s="33" t="s">
        <v>12304</v>
      </c>
      <c r="L2264" s="33" t="s">
        <v>12308</v>
      </c>
      <c r="N2264" s="33" t="s">
        <v>12304</v>
      </c>
      <c r="O2264" s="35" t="s">
        <v>12047</v>
      </c>
    </row>
    <row r="2265">
      <c r="A2265" s="38"/>
      <c r="B2265" s="28" t="s">
        <v>12309</v>
      </c>
      <c r="C2265" s="28" t="s">
        <v>12058</v>
      </c>
      <c r="D2265" s="29" t="s">
        <v>12310</v>
      </c>
      <c r="E2265" s="30" t="s">
        <v>12311</v>
      </c>
      <c r="F2265" s="28" t="s">
        <v>12312</v>
      </c>
      <c r="I2265" s="32"/>
      <c r="J2265" s="32"/>
      <c r="K2265" s="33" t="s">
        <v>12309</v>
      </c>
      <c r="L2265" s="33" t="s">
        <v>12313</v>
      </c>
      <c r="N2265" s="33" t="s">
        <v>12309</v>
      </c>
      <c r="O2265" s="35" t="s">
        <v>12057</v>
      </c>
    </row>
    <row r="2266">
      <c r="A2266" s="38"/>
      <c r="B2266" s="28" t="s">
        <v>12314</v>
      </c>
      <c r="C2266" s="28" t="s">
        <v>12315</v>
      </c>
      <c r="D2266" s="29" t="s">
        <v>12316</v>
      </c>
      <c r="E2266" s="30" t="s">
        <v>12317</v>
      </c>
      <c r="F2266" s="28" t="s">
        <v>12318</v>
      </c>
      <c r="I2266" s="32"/>
      <c r="J2266" s="32"/>
      <c r="K2266" s="33" t="s">
        <v>12314</v>
      </c>
      <c r="L2266" s="33" t="s">
        <v>12319</v>
      </c>
      <c r="N2266" s="33" t="s">
        <v>12314</v>
      </c>
      <c r="O2266" s="35" t="s">
        <v>12320</v>
      </c>
    </row>
    <row r="2267">
      <c r="A2267" s="38"/>
      <c r="B2267" s="28" t="s">
        <v>12321</v>
      </c>
      <c r="C2267" s="28" t="s">
        <v>12322</v>
      </c>
      <c r="D2267" s="29" t="s">
        <v>12323</v>
      </c>
      <c r="E2267" s="30" t="s">
        <v>12324</v>
      </c>
      <c r="F2267" s="28" t="s">
        <v>12325</v>
      </c>
      <c r="I2267" s="32"/>
      <c r="J2267" s="32"/>
      <c r="K2267" s="33" t="s">
        <v>12321</v>
      </c>
      <c r="L2267" s="33" t="s">
        <v>12326</v>
      </c>
      <c r="N2267" s="33" t="s">
        <v>12321</v>
      </c>
      <c r="O2267" s="35"/>
    </row>
    <row r="2268">
      <c r="A2268" s="38"/>
      <c r="B2268" s="28" t="s">
        <v>12327</v>
      </c>
      <c r="C2268" s="28" t="s">
        <v>12068</v>
      </c>
      <c r="D2268" s="29" t="s">
        <v>12328</v>
      </c>
      <c r="E2268" s="54" t="s">
        <v>12329</v>
      </c>
      <c r="F2268" s="28" t="s">
        <v>12330</v>
      </c>
      <c r="I2268" s="32"/>
      <c r="J2268" s="32"/>
      <c r="K2268" s="33" t="s">
        <v>12327</v>
      </c>
      <c r="L2268" s="33" t="s">
        <v>12331</v>
      </c>
      <c r="N2268" s="33" t="s">
        <v>12327</v>
      </c>
      <c r="O2268" s="35" t="s">
        <v>12067</v>
      </c>
    </row>
    <row r="2269">
      <c r="A2269" s="38"/>
      <c r="B2269" s="28" t="s">
        <v>12332</v>
      </c>
      <c r="C2269" s="28" t="s">
        <v>12072</v>
      </c>
      <c r="D2269" s="29" t="s">
        <v>12333</v>
      </c>
      <c r="E2269" s="30" t="s">
        <v>12334</v>
      </c>
      <c r="F2269" s="28" t="s">
        <v>12335</v>
      </c>
      <c r="I2269" s="32"/>
      <c r="J2269" s="32"/>
      <c r="K2269" s="33" t="s">
        <v>12332</v>
      </c>
      <c r="L2269" s="33" t="s">
        <v>12336</v>
      </c>
      <c r="N2269" s="33" t="s">
        <v>12332</v>
      </c>
      <c r="O2269" s="35"/>
    </row>
    <row r="2270">
      <c r="A2270" s="38"/>
      <c r="B2270" s="28" t="s">
        <v>12337</v>
      </c>
      <c r="C2270" s="28" t="s">
        <v>12078</v>
      </c>
      <c r="D2270" s="29" t="s">
        <v>12338</v>
      </c>
      <c r="E2270" s="30" t="s">
        <v>12339</v>
      </c>
      <c r="F2270" s="28" t="s">
        <v>12340</v>
      </c>
      <c r="I2270" s="32"/>
      <c r="J2270" s="32"/>
      <c r="K2270" s="33" t="s">
        <v>12337</v>
      </c>
      <c r="L2270" s="33" t="s">
        <v>12341</v>
      </c>
      <c r="N2270" s="33" t="s">
        <v>12337</v>
      </c>
      <c r="O2270" s="35" t="s">
        <v>12077</v>
      </c>
    </row>
    <row r="2271">
      <c r="A2271" s="38"/>
      <c r="B2271" s="28" t="s">
        <v>12342</v>
      </c>
      <c r="C2271" s="28" t="s">
        <v>12343</v>
      </c>
      <c r="D2271" s="29" t="s">
        <v>12344</v>
      </c>
      <c r="E2271" s="30" t="s">
        <v>12345</v>
      </c>
      <c r="F2271" s="28" t="s">
        <v>12346</v>
      </c>
      <c r="I2271" s="32"/>
      <c r="J2271" s="32"/>
      <c r="K2271" s="33" t="s">
        <v>12342</v>
      </c>
      <c r="L2271" s="33" t="s">
        <v>12347</v>
      </c>
      <c r="N2271" s="33" t="s">
        <v>12342</v>
      </c>
      <c r="O2271" s="35" t="s">
        <v>12348</v>
      </c>
    </row>
    <row r="2272">
      <c r="A2272" s="38"/>
      <c r="B2272" s="28" t="s">
        <v>12349</v>
      </c>
      <c r="C2272" s="28" t="s">
        <v>12094</v>
      </c>
      <c r="D2272" s="29" t="s">
        <v>12350</v>
      </c>
      <c r="E2272" s="30"/>
      <c r="F2272" s="28" t="s">
        <v>12351</v>
      </c>
      <c r="I2272" s="32"/>
      <c r="J2272" s="32"/>
      <c r="K2272" s="33" t="s">
        <v>12349</v>
      </c>
      <c r="L2272" s="33" t="s">
        <v>12352</v>
      </c>
      <c r="N2272" s="33" t="s">
        <v>12349</v>
      </c>
      <c r="O2272" s="35" t="s">
        <v>12093</v>
      </c>
    </row>
    <row r="2273">
      <c r="A2273" s="38"/>
      <c r="B2273" s="28" t="s">
        <v>12353</v>
      </c>
      <c r="C2273" s="28" t="s">
        <v>12354</v>
      </c>
      <c r="D2273" s="29" t="s">
        <v>12355</v>
      </c>
      <c r="E2273" s="30" t="s">
        <v>12356</v>
      </c>
      <c r="F2273" s="28" t="s">
        <v>12357</v>
      </c>
      <c r="I2273" s="32"/>
      <c r="J2273" s="32"/>
      <c r="K2273" s="33" t="s">
        <v>12353</v>
      </c>
      <c r="L2273" s="33" t="s">
        <v>12358</v>
      </c>
      <c r="N2273" s="33" t="s">
        <v>12353</v>
      </c>
      <c r="O2273" s="35"/>
    </row>
    <row r="2274">
      <c r="A2274" s="38"/>
      <c r="B2274" s="28" t="s">
        <v>12359</v>
      </c>
      <c r="C2274" s="28" t="s">
        <v>12360</v>
      </c>
      <c r="D2274" s="29" t="s">
        <v>12361</v>
      </c>
      <c r="E2274" s="30" t="s">
        <v>12362</v>
      </c>
      <c r="F2274" s="28" t="s">
        <v>12363</v>
      </c>
      <c r="I2274" s="32"/>
      <c r="J2274" s="32"/>
      <c r="K2274" s="33" t="s">
        <v>12359</v>
      </c>
      <c r="L2274" s="33" t="s">
        <v>12364</v>
      </c>
      <c r="N2274" s="33" t="s">
        <v>12359</v>
      </c>
      <c r="O2274" s="35"/>
    </row>
    <row r="2275">
      <c r="A2275" s="38"/>
      <c r="B2275" s="28" t="s">
        <v>12365</v>
      </c>
      <c r="C2275" s="28" t="s">
        <v>12111</v>
      </c>
      <c r="D2275" s="29" t="s">
        <v>12366</v>
      </c>
      <c r="E2275" s="30"/>
      <c r="F2275" s="28" t="s">
        <v>12367</v>
      </c>
      <c r="I2275" s="32"/>
      <c r="J2275" s="32"/>
      <c r="K2275" s="33" t="s">
        <v>12365</v>
      </c>
      <c r="L2275" s="33" t="s">
        <v>12368</v>
      </c>
      <c r="N2275" s="33" t="s">
        <v>12365</v>
      </c>
      <c r="O2275" s="35" t="s">
        <v>12110</v>
      </c>
    </row>
    <row r="2276">
      <c r="A2276" s="38"/>
      <c r="B2276" s="28" t="s">
        <v>12369</v>
      </c>
      <c r="C2276" s="28" t="s">
        <v>12117</v>
      </c>
      <c r="D2276" s="29" t="s">
        <v>12370</v>
      </c>
      <c r="E2276" s="30" t="s">
        <v>12371</v>
      </c>
      <c r="F2276" s="28" t="s">
        <v>12372</v>
      </c>
      <c r="I2276" s="32"/>
      <c r="J2276" s="32"/>
      <c r="K2276" s="33" t="s">
        <v>12369</v>
      </c>
      <c r="L2276" s="33" t="s">
        <v>12373</v>
      </c>
      <c r="N2276" s="33" t="s">
        <v>12369</v>
      </c>
      <c r="O2276" s="35" t="s">
        <v>12116</v>
      </c>
    </row>
    <row r="2277">
      <c r="A2277" s="38"/>
      <c r="B2277" s="28" t="s">
        <v>12374</v>
      </c>
      <c r="C2277" s="28" t="s">
        <v>12127</v>
      </c>
      <c r="D2277" s="29" t="s">
        <v>12375</v>
      </c>
      <c r="E2277" s="30" t="s">
        <v>12376</v>
      </c>
      <c r="F2277" s="28" t="s">
        <v>12377</v>
      </c>
      <c r="I2277" s="32"/>
      <c r="J2277" s="32"/>
      <c r="K2277" s="33" t="s">
        <v>12374</v>
      </c>
      <c r="L2277" s="33" t="s">
        <v>12378</v>
      </c>
      <c r="N2277" s="33" t="s">
        <v>12374</v>
      </c>
      <c r="O2277" s="35" t="s">
        <v>12126</v>
      </c>
    </row>
    <row r="2278">
      <c r="A2278" s="38"/>
      <c r="B2278" s="28" t="s">
        <v>12379</v>
      </c>
      <c r="C2278" s="28" t="s">
        <v>12380</v>
      </c>
      <c r="D2278" s="29" t="s">
        <v>12381</v>
      </c>
      <c r="E2278" s="30"/>
      <c r="F2278" s="28" t="s">
        <v>12382</v>
      </c>
      <c r="I2278" s="32"/>
      <c r="J2278" s="32"/>
      <c r="K2278" s="33" t="s">
        <v>12379</v>
      </c>
      <c r="L2278" s="33" t="s">
        <v>12383</v>
      </c>
      <c r="N2278" s="33" t="s">
        <v>12379</v>
      </c>
      <c r="O2278" s="35" t="s">
        <v>12384</v>
      </c>
    </row>
    <row r="2279">
      <c r="A2279" s="38"/>
      <c r="B2279" s="28" t="s">
        <v>12385</v>
      </c>
      <c r="C2279" s="28" t="s">
        <v>12133</v>
      </c>
      <c r="D2279" s="29" t="s">
        <v>12386</v>
      </c>
      <c r="E2279" s="30" t="s">
        <v>12387</v>
      </c>
      <c r="F2279" s="28" t="s">
        <v>12388</v>
      </c>
      <c r="I2279" s="32"/>
      <c r="J2279" s="32"/>
      <c r="K2279" s="33" t="s">
        <v>12385</v>
      </c>
      <c r="L2279" s="33" t="s">
        <v>12389</v>
      </c>
      <c r="N2279" s="33" t="s">
        <v>12385</v>
      </c>
      <c r="O2279" s="35" t="s">
        <v>12132</v>
      </c>
    </row>
    <row r="2280">
      <c r="A2280" s="38"/>
      <c r="B2280" s="28" t="s">
        <v>12390</v>
      </c>
      <c r="C2280" s="28" t="s">
        <v>12139</v>
      </c>
      <c r="D2280" s="29" t="s">
        <v>12391</v>
      </c>
      <c r="E2280" s="30"/>
      <c r="F2280" s="28" t="s">
        <v>12392</v>
      </c>
      <c r="I2280" s="32"/>
      <c r="J2280" s="32"/>
      <c r="K2280" s="33" t="s">
        <v>12390</v>
      </c>
      <c r="L2280" s="33" t="s">
        <v>12393</v>
      </c>
      <c r="N2280" s="33" t="s">
        <v>12390</v>
      </c>
      <c r="O2280" s="35" t="s">
        <v>12138</v>
      </c>
    </row>
    <row r="2281">
      <c r="A2281" s="38"/>
      <c r="B2281" s="28" t="s">
        <v>12394</v>
      </c>
      <c r="C2281" s="28" t="s">
        <v>12146</v>
      </c>
      <c r="D2281" s="29" t="s">
        <v>12395</v>
      </c>
      <c r="E2281" s="30"/>
      <c r="F2281" s="28" t="s">
        <v>12396</v>
      </c>
      <c r="I2281" s="32"/>
      <c r="J2281" s="32"/>
      <c r="K2281" s="33" t="s">
        <v>12394</v>
      </c>
      <c r="L2281" s="33" t="s">
        <v>12397</v>
      </c>
      <c r="N2281" s="33" t="s">
        <v>12394</v>
      </c>
      <c r="O2281" s="35" t="s">
        <v>12145</v>
      </c>
    </row>
    <row r="2282">
      <c r="A2282" s="38"/>
      <c r="B2282" s="28" t="s">
        <v>12398</v>
      </c>
      <c r="C2282" s="28" t="s">
        <v>12151</v>
      </c>
      <c r="D2282" s="29" t="s">
        <v>12399</v>
      </c>
      <c r="E2282" s="30"/>
      <c r="F2282" s="28" t="s">
        <v>12400</v>
      </c>
      <c r="I2282" s="32"/>
      <c r="J2282" s="32"/>
      <c r="K2282" s="33" t="s">
        <v>12398</v>
      </c>
      <c r="L2282" s="33" t="s">
        <v>12401</v>
      </c>
      <c r="N2282" s="33" t="s">
        <v>12398</v>
      </c>
      <c r="O2282" s="35"/>
    </row>
    <row r="2283">
      <c r="A2283" s="38"/>
      <c r="B2283" s="28" t="s">
        <v>12402</v>
      </c>
      <c r="C2283" s="28" t="s">
        <v>12403</v>
      </c>
      <c r="D2283" s="29" t="s">
        <v>12404</v>
      </c>
      <c r="E2283" s="54" t="s">
        <v>12405</v>
      </c>
      <c r="F2283" s="28" t="s">
        <v>12406</v>
      </c>
      <c r="I2283" s="32"/>
      <c r="J2283" s="32"/>
      <c r="K2283" s="33" t="s">
        <v>12402</v>
      </c>
      <c r="L2283" s="33" t="s">
        <v>12407</v>
      </c>
      <c r="N2283" s="33" t="s">
        <v>12402</v>
      </c>
      <c r="O2283" s="35" t="s">
        <v>12408</v>
      </c>
    </row>
    <row r="2284">
      <c r="A2284" s="38"/>
      <c r="B2284" s="28" t="s">
        <v>12409</v>
      </c>
      <c r="C2284" s="28" t="s">
        <v>12168</v>
      </c>
      <c r="D2284" s="29" t="s">
        <v>12410</v>
      </c>
      <c r="E2284" s="30"/>
      <c r="F2284" s="28" t="s">
        <v>12411</v>
      </c>
      <c r="I2284" s="32"/>
      <c r="J2284" s="32"/>
      <c r="K2284" s="33" t="s">
        <v>12409</v>
      </c>
      <c r="L2284" s="33" t="s">
        <v>12412</v>
      </c>
      <c r="N2284" s="33" t="s">
        <v>12409</v>
      </c>
      <c r="O2284" s="35" t="s">
        <v>12167</v>
      </c>
    </row>
    <row r="2285">
      <c r="A2285" s="38"/>
      <c r="B2285" s="28" t="s">
        <v>12413</v>
      </c>
      <c r="C2285" s="28" t="s">
        <v>12174</v>
      </c>
      <c r="D2285" s="29" t="s">
        <v>12414</v>
      </c>
      <c r="E2285" s="30" t="s">
        <v>12415</v>
      </c>
      <c r="F2285" s="28" t="s">
        <v>12416</v>
      </c>
      <c r="I2285" s="32"/>
      <c r="J2285" s="32"/>
      <c r="K2285" s="33" t="s">
        <v>12413</v>
      </c>
      <c r="L2285" s="33" t="s">
        <v>12417</v>
      </c>
      <c r="N2285" s="33" t="s">
        <v>12413</v>
      </c>
      <c r="O2285" s="35" t="s">
        <v>12173</v>
      </c>
    </row>
    <row r="2286">
      <c r="A2286" s="38"/>
      <c r="B2286" s="28" t="s">
        <v>12418</v>
      </c>
      <c r="C2286" s="28" t="s">
        <v>12179</v>
      </c>
      <c r="D2286" s="29" t="s">
        <v>12419</v>
      </c>
      <c r="E2286" s="30"/>
      <c r="F2286" s="28" t="s">
        <v>12420</v>
      </c>
      <c r="I2286" s="32"/>
      <c r="J2286" s="32"/>
      <c r="K2286" s="33" t="s">
        <v>12418</v>
      </c>
      <c r="L2286" s="33" t="s">
        <v>12421</v>
      </c>
      <c r="N2286" s="33" t="s">
        <v>12418</v>
      </c>
      <c r="O2286" s="35" t="s">
        <v>12178</v>
      </c>
    </row>
    <row r="2287">
      <c r="A2287" s="38"/>
      <c r="B2287" s="28" t="s">
        <v>12422</v>
      </c>
      <c r="C2287" s="28" t="s">
        <v>12423</v>
      </c>
      <c r="D2287" s="29" t="s">
        <v>12424</v>
      </c>
      <c r="E2287" s="30"/>
      <c r="F2287" s="28" t="s">
        <v>12425</v>
      </c>
      <c r="I2287" s="32"/>
      <c r="J2287" s="32"/>
      <c r="K2287" s="33" t="s">
        <v>12422</v>
      </c>
      <c r="L2287" s="33" t="s">
        <v>12426</v>
      </c>
      <c r="N2287" s="33" t="s">
        <v>12422</v>
      </c>
      <c r="O2287" s="35" t="s">
        <v>12427</v>
      </c>
    </row>
    <row r="2288">
      <c r="A2288" s="38"/>
      <c r="B2288" s="28" t="s">
        <v>12428</v>
      </c>
      <c r="C2288" s="28" t="s">
        <v>12429</v>
      </c>
      <c r="D2288" s="29" t="s">
        <v>12430</v>
      </c>
      <c r="E2288" s="30" t="s">
        <v>12431</v>
      </c>
      <c r="F2288" s="28" t="s">
        <v>12432</v>
      </c>
      <c r="I2288" s="32"/>
      <c r="J2288" s="32"/>
      <c r="K2288" s="33" t="s">
        <v>12428</v>
      </c>
      <c r="L2288" s="33" t="s">
        <v>12433</v>
      </c>
      <c r="N2288" s="33" t="s">
        <v>12428</v>
      </c>
      <c r="O2288" s="35"/>
    </row>
    <row r="2289">
      <c r="A2289" s="38"/>
      <c r="B2289" s="28" t="s">
        <v>12434</v>
      </c>
      <c r="C2289" s="28" t="s">
        <v>12203</v>
      </c>
      <c r="D2289" s="29" t="s">
        <v>12435</v>
      </c>
      <c r="E2289" s="30"/>
      <c r="F2289" s="28" t="s">
        <v>12436</v>
      </c>
      <c r="I2289" s="32"/>
      <c r="J2289" s="32"/>
      <c r="K2289" s="33" t="s">
        <v>12434</v>
      </c>
      <c r="L2289" s="33" t="s">
        <v>12437</v>
      </c>
      <c r="N2289" s="33" t="s">
        <v>12434</v>
      </c>
      <c r="O2289" s="35"/>
    </row>
    <row r="2290">
      <c r="A2290" s="38"/>
      <c r="B2290" s="28" t="s">
        <v>12438</v>
      </c>
      <c r="C2290" s="28" t="s">
        <v>12215</v>
      </c>
      <c r="D2290" s="29" t="s">
        <v>12439</v>
      </c>
      <c r="E2290" s="30"/>
      <c r="F2290" s="28" t="s">
        <v>12440</v>
      </c>
      <c r="I2290" s="32"/>
      <c r="J2290" s="32"/>
      <c r="K2290" s="33" t="s">
        <v>12438</v>
      </c>
      <c r="L2290" s="33" t="s">
        <v>12441</v>
      </c>
      <c r="N2290" s="33" t="s">
        <v>12438</v>
      </c>
      <c r="O2290" s="35" t="s">
        <v>12214</v>
      </c>
    </row>
    <row r="2291">
      <c r="A2291" s="38"/>
      <c r="B2291" s="28" t="s">
        <v>12442</v>
      </c>
      <c r="C2291" s="28" t="s">
        <v>12220</v>
      </c>
      <c r="D2291" s="29" t="s">
        <v>12443</v>
      </c>
      <c r="E2291" s="30" t="s">
        <v>12444</v>
      </c>
      <c r="F2291" s="28" t="s">
        <v>12445</v>
      </c>
      <c r="I2291" s="32"/>
      <c r="J2291" s="32"/>
      <c r="K2291" s="33" t="s">
        <v>12442</v>
      </c>
      <c r="L2291" s="33" t="s">
        <v>12446</v>
      </c>
      <c r="N2291" s="33" t="s">
        <v>12442</v>
      </c>
      <c r="O2291" s="35" t="s">
        <v>12219</v>
      </c>
    </row>
    <row r="2292">
      <c r="A2292" s="38"/>
      <c r="B2292" s="28" t="s">
        <v>12447</v>
      </c>
      <c r="C2292" s="28" t="s">
        <v>12448</v>
      </c>
      <c r="D2292" s="29" t="s">
        <v>12449</v>
      </c>
      <c r="E2292" s="54" t="s">
        <v>12450</v>
      </c>
      <c r="F2292" s="28" t="s">
        <v>12451</v>
      </c>
      <c r="I2292" s="32"/>
      <c r="J2292" s="32"/>
      <c r="K2292" s="33" t="s">
        <v>12447</v>
      </c>
      <c r="L2292" s="33" t="s">
        <v>12452</v>
      </c>
      <c r="N2292" s="33" t="s">
        <v>12447</v>
      </c>
      <c r="O2292" s="35"/>
    </row>
    <row r="2293">
      <c r="A2293" s="38"/>
      <c r="B2293" s="28" t="s">
        <v>12453</v>
      </c>
      <c r="C2293" s="28" t="s">
        <v>12235</v>
      </c>
      <c r="D2293" s="29" t="s">
        <v>12454</v>
      </c>
      <c r="E2293" s="30" t="s">
        <v>502</v>
      </c>
      <c r="F2293" s="28" t="s">
        <v>12455</v>
      </c>
      <c r="I2293" s="32"/>
      <c r="J2293" s="32"/>
      <c r="K2293" s="33" t="s">
        <v>12453</v>
      </c>
      <c r="L2293" s="33" t="s">
        <v>12456</v>
      </c>
      <c r="N2293" s="33" t="s">
        <v>12453</v>
      </c>
      <c r="O2293" s="35" t="s">
        <v>12234</v>
      </c>
    </row>
    <row r="2294">
      <c r="A2294" s="38"/>
      <c r="B2294" s="28" t="s">
        <v>12457</v>
      </c>
      <c r="C2294" s="28" t="s">
        <v>12241</v>
      </c>
      <c r="D2294" s="29" t="s">
        <v>12458</v>
      </c>
      <c r="E2294" s="30" t="s">
        <v>12459</v>
      </c>
      <c r="F2294" s="28" t="s">
        <v>12460</v>
      </c>
      <c r="I2294" s="32"/>
      <c r="J2294" s="32"/>
      <c r="K2294" s="33" t="s">
        <v>12457</v>
      </c>
      <c r="L2294" s="33" t="s">
        <v>12461</v>
      </c>
      <c r="N2294" s="33" t="s">
        <v>12457</v>
      </c>
      <c r="O2294" s="35" t="s">
        <v>12240</v>
      </c>
    </row>
    <row r="2295">
      <c r="A2295" s="38"/>
      <c r="B2295" s="28" t="s">
        <v>12462</v>
      </c>
      <c r="C2295" s="28" t="s">
        <v>12250</v>
      </c>
      <c r="D2295" s="29" t="s">
        <v>12463</v>
      </c>
      <c r="E2295" s="54" t="s">
        <v>12464</v>
      </c>
      <c r="F2295" s="28" t="s">
        <v>12465</v>
      </c>
      <c r="I2295" s="32"/>
      <c r="J2295" s="32"/>
      <c r="K2295" s="33" t="s">
        <v>12462</v>
      </c>
      <c r="L2295" s="33" t="s">
        <v>12466</v>
      </c>
      <c r="N2295" s="33" t="s">
        <v>12462</v>
      </c>
      <c r="O2295" s="35"/>
    </row>
    <row r="2296">
      <c r="A2296" s="38"/>
      <c r="B2296" s="28" t="s">
        <v>12467</v>
      </c>
      <c r="C2296" s="28" t="s">
        <v>12255</v>
      </c>
      <c r="D2296" s="29" t="s">
        <v>12468</v>
      </c>
      <c r="E2296" s="54" t="s">
        <v>12469</v>
      </c>
      <c r="F2296" s="28" t="s">
        <v>12470</v>
      </c>
      <c r="I2296" s="32"/>
      <c r="J2296" s="32"/>
      <c r="K2296" s="33" t="s">
        <v>12467</v>
      </c>
      <c r="L2296" s="33" t="s">
        <v>12471</v>
      </c>
      <c r="N2296" s="33" t="s">
        <v>12467</v>
      </c>
      <c r="O2296" s="35" t="s">
        <v>12254</v>
      </c>
    </row>
    <row r="2297">
      <c r="A2297" s="38"/>
      <c r="B2297" s="28" t="s">
        <v>12472</v>
      </c>
      <c r="C2297" s="28" t="s">
        <v>12260</v>
      </c>
      <c r="D2297" s="29" t="s">
        <v>12473</v>
      </c>
      <c r="E2297" s="30"/>
      <c r="F2297" s="28" t="s">
        <v>12474</v>
      </c>
      <c r="I2297" s="32"/>
      <c r="J2297" s="32"/>
      <c r="K2297" s="33" t="s">
        <v>12472</v>
      </c>
      <c r="L2297" s="33" t="s">
        <v>12475</v>
      </c>
      <c r="N2297" s="33" t="s">
        <v>12472</v>
      </c>
      <c r="O2297" s="35" t="s">
        <v>12259</v>
      </c>
    </row>
    <row r="2298">
      <c r="A2298" s="38"/>
      <c r="B2298" s="28" t="s">
        <v>12476</v>
      </c>
      <c r="C2298" s="28" t="s">
        <v>12270</v>
      </c>
      <c r="D2298" s="29" t="s">
        <v>12477</v>
      </c>
      <c r="E2298" s="54" t="s">
        <v>12478</v>
      </c>
      <c r="F2298" s="28" t="s">
        <v>12479</v>
      </c>
      <c r="I2298" s="32"/>
      <c r="J2298" s="32"/>
      <c r="K2298" s="33" t="s">
        <v>12476</v>
      </c>
      <c r="L2298" s="33" t="s">
        <v>12480</v>
      </c>
      <c r="N2298" s="33" t="s">
        <v>12476</v>
      </c>
      <c r="O2298" s="35" t="s">
        <v>12269</v>
      </c>
    </row>
    <row r="2299">
      <c r="A2299" s="38"/>
      <c r="B2299" s="28" t="s">
        <v>12481</v>
      </c>
      <c r="C2299" s="28" t="s">
        <v>12275</v>
      </c>
      <c r="D2299" s="29" t="s">
        <v>12482</v>
      </c>
      <c r="E2299" s="30" t="s">
        <v>12483</v>
      </c>
      <c r="F2299" s="28" t="s">
        <v>12484</v>
      </c>
      <c r="I2299" s="32"/>
      <c r="J2299" s="32"/>
      <c r="K2299" s="33" t="s">
        <v>12481</v>
      </c>
      <c r="L2299" s="33" t="s">
        <v>12485</v>
      </c>
      <c r="N2299" s="33" t="s">
        <v>12481</v>
      </c>
      <c r="O2299" s="47" t="s">
        <v>12486</v>
      </c>
    </row>
    <row r="2300">
      <c r="A2300" s="38"/>
      <c r="B2300" s="28" t="s">
        <v>12487</v>
      </c>
      <c r="C2300" s="28" t="s">
        <v>12280</v>
      </c>
      <c r="D2300" s="29" t="s">
        <v>12488</v>
      </c>
      <c r="E2300" s="30" t="s">
        <v>12489</v>
      </c>
      <c r="F2300" s="28" t="s">
        <v>12490</v>
      </c>
      <c r="I2300" s="32"/>
      <c r="J2300" s="32"/>
      <c r="K2300" s="33" t="s">
        <v>12487</v>
      </c>
      <c r="L2300" s="33" t="s">
        <v>12491</v>
      </c>
      <c r="N2300" s="33" t="s">
        <v>12487</v>
      </c>
      <c r="O2300" s="35"/>
    </row>
    <row r="2301">
      <c r="A2301" s="38"/>
      <c r="B2301" s="28" t="s">
        <v>12492</v>
      </c>
      <c r="C2301" s="28" t="s">
        <v>12290</v>
      </c>
      <c r="D2301" s="29" t="s">
        <v>12493</v>
      </c>
      <c r="E2301" s="30" t="s">
        <v>12494</v>
      </c>
      <c r="F2301" s="28" t="s">
        <v>12495</v>
      </c>
      <c r="I2301" s="32"/>
      <c r="J2301" s="32"/>
      <c r="K2301" s="33" t="s">
        <v>12492</v>
      </c>
      <c r="L2301" s="33" t="s">
        <v>12496</v>
      </c>
      <c r="N2301" s="33" t="s">
        <v>12492</v>
      </c>
      <c r="O2301" s="47" t="s">
        <v>12497</v>
      </c>
    </row>
    <row r="2302">
      <c r="A2302" s="38"/>
      <c r="B2302" s="28" t="s">
        <v>12498</v>
      </c>
      <c r="C2302" s="28" t="s">
        <v>12499</v>
      </c>
      <c r="D2302" s="29" t="s">
        <v>12500</v>
      </c>
      <c r="E2302" s="30" t="s">
        <v>8610</v>
      </c>
      <c r="F2302" s="28" t="s">
        <v>12501</v>
      </c>
      <c r="I2302" s="32"/>
      <c r="J2302" s="32"/>
      <c r="K2302" s="33" t="s">
        <v>12498</v>
      </c>
      <c r="L2302" s="33" t="s">
        <v>12502</v>
      </c>
      <c r="N2302" s="33" t="s">
        <v>12498</v>
      </c>
      <c r="O2302" s="35"/>
    </row>
    <row r="2303">
      <c r="A2303" s="38"/>
      <c r="B2303" s="28" t="s">
        <v>12503</v>
      </c>
      <c r="C2303" s="28" t="s">
        <v>12295</v>
      </c>
      <c r="D2303" s="29" t="s">
        <v>12504</v>
      </c>
      <c r="E2303" s="30" t="s">
        <v>8610</v>
      </c>
      <c r="F2303" s="28" t="s">
        <v>12505</v>
      </c>
      <c r="I2303" s="32"/>
      <c r="J2303" s="32"/>
      <c r="K2303" s="33" t="s">
        <v>12503</v>
      </c>
      <c r="L2303" s="33" t="s">
        <v>12506</v>
      </c>
      <c r="N2303" s="33" t="s">
        <v>12503</v>
      </c>
      <c r="O2303" s="35" t="s">
        <v>12294</v>
      </c>
    </row>
    <row r="2304">
      <c r="A2304" s="38"/>
      <c r="B2304" s="28" t="s">
        <v>12507</v>
      </c>
      <c r="C2304" s="28" t="s">
        <v>12307</v>
      </c>
      <c r="D2304" s="29" t="s">
        <v>12508</v>
      </c>
      <c r="E2304" s="30" t="s">
        <v>12509</v>
      </c>
      <c r="F2304" s="28" t="s">
        <v>12510</v>
      </c>
      <c r="I2304" s="32"/>
      <c r="J2304" s="32"/>
      <c r="K2304" s="33" t="s">
        <v>12507</v>
      </c>
      <c r="L2304" s="33" t="s">
        <v>12511</v>
      </c>
      <c r="N2304" s="33" t="s">
        <v>12507</v>
      </c>
      <c r="O2304" s="35" t="s">
        <v>12306</v>
      </c>
    </row>
    <row r="2305">
      <c r="A2305" s="38"/>
      <c r="B2305" s="28" t="s">
        <v>12512</v>
      </c>
      <c r="C2305" s="28" t="s">
        <v>12513</v>
      </c>
      <c r="D2305" s="29" t="s">
        <v>12514</v>
      </c>
      <c r="E2305" s="30"/>
      <c r="F2305" s="28" t="s">
        <v>12515</v>
      </c>
      <c r="I2305" s="32"/>
      <c r="J2305" s="32"/>
      <c r="K2305" s="33" t="s">
        <v>12512</v>
      </c>
      <c r="L2305" s="33" t="s">
        <v>12516</v>
      </c>
      <c r="N2305" s="33" t="s">
        <v>12512</v>
      </c>
      <c r="O2305" s="62" t="s">
        <v>12517</v>
      </c>
    </row>
    <row r="2306">
      <c r="A2306" s="38"/>
      <c r="B2306" s="28" t="s">
        <v>12518</v>
      </c>
      <c r="C2306" s="28" t="s">
        <v>12312</v>
      </c>
      <c r="D2306" s="29" t="s">
        <v>12519</v>
      </c>
      <c r="E2306" s="30"/>
      <c r="F2306" s="28" t="s">
        <v>12520</v>
      </c>
      <c r="I2306" s="32"/>
      <c r="J2306" s="32"/>
      <c r="K2306" s="33" t="s">
        <v>12518</v>
      </c>
      <c r="L2306" s="33" t="s">
        <v>12521</v>
      </c>
      <c r="N2306" s="33" t="s">
        <v>12518</v>
      </c>
      <c r="O2306" s="35" t="s">
        <v>12311</v>
      </c>
    </row>
    <row r="2307">
      <c r="A2307" s="38"/>
      <c r="B2307" s="28" t="s">
        <v>12522</v>
      </c>
      <c r="C2307" s="28" t="s">
        <v>12318</v>
      </c>
      <c r="D2307" s="29" t="s">
        <v>12523</v>
      </c>
      <c r="E2307" s="30" t="s">
        <v>12524</v>
      </c>
      <c r="F2307" s="28" t="s">
        <v>12525</v>
      </c>
      <c r="I2307" s="32"/>
      <c r="J2307" s="32"/>
      <c r="K2307" s="33" t="s">
        <v>12522</v>
      </c>
      <c r="L2307" s="33" t="s">
        <v>12526</v>
      </c>
      <c r="N2307" s="33" t="s">
        <v>12522</v>
      </c>
      <c r="O2307" s="35" t="s">
        <v>12317</v>
      </c>
    </row>
    <row r="2308">
      <c r="A2308" s="38"/>
      <c r="B2308" s="28" t="s">
        <v>12527</v>
      </c>
      <c r="C2308" s="28" t="s">
        <v>12330</v>
      </c>
      <c r="D2308" s="29" t="s">
        <v>12528</v>
      </c>
      <c r="E2308" s="30"/>
      <c r="F2308" s="28" t="s">
        <v>12529</v>
      </c>
      <c r="I2308" s="32"/>
      <c r="J2308" s="32"/>
      <c r="K2308" s="33" t="s">
        <v>12527</v>
      </c>
      <c r="L2308" s="33" t="s">
        <v>12530</v>
      </c>
      <c r="N2308" s="33" t="s">
        <v>12527</v>
      </c>
      <c r="O2308" s="35"/>
    </row>
    <row r="2309">
      <c r="A2309" s="38"/>
      <c r="B2309" s="28" t="s">
        <v>12531</v>
      </c>
      <c r="C2309" s="28" t="s">
        <v>12335</v>
      </c>
      <c r="D2309" s="29" t="s">
        <v>12532</v>
      </c>
      <c r="E2309" s="30"/>
      <c r="F2309" s="28" t="s">
        <v>12533</v>
      </c>
      <c r="I2309" s="32"/>
      <c r="J2309" s="32"/>
      <c r="K2309" s="33" t="s">
        <v>12531</v>
      </c>
      <c r="L2309" s="33" t="s">
        <v>12534</v>
      </c>
      <c r="N2309" s="33" t="s">
        <v>12531</v>
      </c>
      <c r="O2309" s="35" t="s">
        <v>12334</v>
      </c>
    </row>
    <row r="2310">
      <c r="A2310" s="38"/>
      <c r="B2310" s="28" t="s">
        <v>12535</v>
      </c>
      <c r="C2310" s="28" t="s">
        <v>12340</v>
      </c>
      <c r="D2310" s="29" t="s">
        <v>12536</v>
      </c>
      <c r="E2310" s="30"/>
      <c r="F2310" s="28" t="s">
        <v>12537</v>
      </c>
      <c r="I2310" s="32"/>
      <c r="J2310" s="32"/>
      <c r="K2310" s="33" t="s">
        <v>12535</v>
      </c>
      <c r="L2310" s="33" t="s">
        <v>12538</v>
      </c>
      <c r="N2310" s="33" t="s">
        <v>12535</v>
      </c>
      <c r="O2310" s="35" t="s">
        <v>12339</v>
      </c>
    </row>
    <row r="2311">
      <c r="A2311" s="38"/>
      <c r="B2311" s="28" t="s">
        <v>12539</v>
      </c>
      <c r="C2311" s="28" t="s">
        <v>12346</v>
      </c>
      <c r="D2311" s="29" t="s">
        <v>12540</v>
      </c>
      <c r="E2311" s="30" t="s">
        <v>12541</v>
      </c>
      <c r="F2311" s="28" t="s">
        <v>12542</v>
      </c>
      <c r="I2311" s="32"/>
      <c r="J2311" s="32"/>
      <c r="K2311" s="33" t="s">
        <v>12539</v>
      </c>
      <c r="L2311" s="33" t="s">
        <v>12543</v>
      </c>
      <c r="N2311" s="33" t="s">
        <v>12539</v>
      </c>
      <c r="O2311" s="35" t="s">
        <v>12345</v>
      </c>
    </row>
    <row r="2312">
      <c r="A2312" s="38"/>
      <c r="B2312" s="28" t="s">
        <v>12544</v>
      </c>
      <c r="C2312" s="28" t="s">
        <v>12357</v>
      </c>
      <c r="D2312" s="29" t="s">
        <v>12545</v>
      </c>
      <c r="E2312" s="30" t="s">
        <v>12546</v>
      </c>
      <c r="F2312" s="28" t="s">
        <v>12547</v>
      </c>
      <c r="I2312" s="32"/>
      <c r="J2312" s="32"/>
      <c r="K2312" s="33" t="s">
        <v>12544</v>
      </c>
      <c r="L2312" s="33" t="s">
        <v>12548</v>
      </c>
      <c r="N2312" s="33" t="s">
        <v>12544</v>
      </c>
      <c r="O2312" s="35" t="s">
        <v>12356</v>
      </c>
    </row>
    <row r="2313">
      <c r="A2313" s="38"/>
      <c r="B2313" s="28" t="s">
        <v>12549</v>
      </c>
      <c r="C2313" s="28" t="s">
        <v>12363</v>
      </c>
      <c r="D2313" s="29" t="s">
        <v>12550</v>
      </c>
      <c r="E2313" s="30" t="s">
        <v>5931</v>
      </c>
      <c r="F2313" s="28" t="s">
        <v>12551</v>
      </c>
      <c r="I2313" s="32"/>
      <c r="J2313" s="32"/>
      <c r="K2313" s="33" t="s">
        <v>12549</v>
      </c>
      <c r="L2313" s="33" t="s">
        <v>12552</v>
      </c>
      <c r="N2313" s="33" t="s">
        <v>12549</v>
      </c>
      <c r="O2313" s="35" t="s">
        <v>12362</v>
      </c>
    </row>
    <row r="2314">
      <c r="A2314" s="38"/>
      <c r="B2314" s="28" t="s">
        <v>12553</v>
      </c>
      <c r="C2314" s="28" t="s">
        <v>12372</v>
      </c>
      <c r="D2314" s="29" t="s">
        <v>12554</v>
      </c>
      <c r="E2314" s="30" t="s">
        <v>12555</v>
      </c>
      <c r="F2314" s="28" t="s">
        <v>12556</v>
      </c>
      <c r="I2314" s="32"/>
      <c r="J2314" s="32"/>
      <c r="K2314" s="33" t="s">
        <v>12553</v>
      </c>
      <c r="L2314" s="33" t="s">
        <v>12557</v>
      </c>
      <c r="N2314" s="33" t="s">
        <v>12553</v>
      </c>
      <c r="O2314" s="35" t="s">
        <v>12371</v>
      </c>
    </row>
    <row r="2315">
      <c r="A2315" s="38"/>
      <c r="B2315" s="28" t="s">
        <v>12558</v>
      </c>
      <c r="C2315" s="28" t="s">
        <v>12377</v>
      </c>
      <c r="D2315" s="29" t="s">
        <v>12559</v>
      </c>
      <c r="E2315" s="30"/>
      <c r="F2315" s="28" t="s">
        <v>12560</v>
      </c>
      <c r="I2315" s="32"/>
      <c r="J2315" s="32"/>
      <c r="K2315" s="33" t="s">
        <v>12558</v>
      </c>
      <c r="L2315" s="33" t="s">
        <v>12561</v>
      </c>
      <c r="N2315" s="33" t="s">
        <v>12558</v>
      </c>
      <c r="O2315" s="35" t="s">
        <v>12376</v>
      </c>
    </row>
    <row r="2316">
      <c r="A2316" s="38"/>
      <c r="B2316" s="28" t="s">
        <v>12562</v>
      </c>
      <c r="C2316" s="28" t="s">
        <v>12563</v>
      </c>
      <c r="D2316" s="29" t="s">
        <v>12564</v>
      </c>
      <c r="E2316" s="30" t="s">
        <v>12565</v>
      </c>
      <c r="F2316" s="28" t="s">
        <v>12566</v>
      </c>
      <c r="I2316" s="32"/>
      <c r="J2316" s="32"/>
      <c r="K2316" s="33" t="s">
        <v>12562</v>
      </c>
      <c r="L2316" s="33" t="s">
        <v>12567</v>
      </c>
      <c r="N2316" s="33" t="s">
        <v>12562</v>
      </c>
      <c r="O2316" s="35" t="s">
        <v>12568</v>
      </c>
    </row>
    <row r="2317">
      <c r="A2317" s="38"/>
      <c r="B2317" s="28" t="s">
        <v>12569</v>
      </c>
      <c r="C2317" s="28" t="s">
        <v>12388</v>
      </c>
      <c r="D2317" s="29" t="s">
        <v>12570</v>
      </c>
      <c r="E2317" s="30" t="s">
        <v>12565</v>
      </c>
      <c r="F2317" s="28" t="s">
        <v>12571</v>
      </c>
      <c r="I2317" s="32"/>
      <c r="J2317" s="32"/>
      <c r="K2317" s="33" t="s">
        <v>12569</v>
      </c>
      <c r="L2317" s="33" t="s">
        <v>12572</v>
      </c>
      <c r="N2317" s="33" t="s">
        <v>12569</v>
      </c>
      <c r="O2317" s="35" t="s">
        <v>12387</v>
      </c>
    </row>
    <row r="2318">
      <c r="A2318" s="38"/>
      <c r="B2318" s="28" t="s">
        <v>12573</v>
      </c>
      <c r="C2318" s="28" t="s">
        <v>12574</v>
      </c>
      <c r="D2318" s="29" t="s">
        <v>12575</v>
      </c>
      <c r="E2318" s="30" t="s">
        <v>12576</v>
      </c>
      <c r="F2318" s="28" t="s">
        <v>12577</v>
      </c>
      <c r="I2318" s="32"/>
      <c r="J2318" s="32"/>
      <c r="K2318" s="33" t="s">
        <v>12573</v>
      </c>
      <c r="L2318" s="33" t="s">
        <v>12578</v>
      </c>
      <c r="N2318" s="33" t="s">
        <v>12573</v>
      </c>
      <c r="O2318" s="35" t="s">
        <v>12579</v>
      </c>
    </row>
    <row r="2319">
      <c r="A2319" s="38"/>
      <c r="B2319" s="28" t="s">
        <v>12580</v>
      </c>
      <c r="C2319" s="28" t="s">
        <v>12392</v>
      </c>
      <c r="D2319" s="29" t="s">
        <v>12581</v>
      </c>
      <c r="E2319" s="30"/>
      <c r="F2319" s="28" t="s">
        <v>12582</v>
      </c>
      <c r="I2319" s="32"/>
      <c r="J2319" s="32"/>
      <c r="K2319" s="33" t="s">
        <v>12580</v>
      </c>
      <c r="L2319" s="33" t="s">
        <v>12583</v>
      </c>
      <c r="N2319" s="33" t="s">
        <v>12580</v>
      </c>
      <c r="O2319" s="35"/>
    </row>
    <row r="2320">
      <c r="A2320" s="38"/>
      <c r="B2320" s="28" t="s">
        <v>12584</v>
      </c>
      <c r="C2320" s="28" t="s">
        <v>12400</v>
      </c>
      <c r="D2320" s="29" t="s">
        <v>12585</v>
      </c>
      <c r="E2320" s="30" t="s">
        <v>12586</v>
      </c>
      <c r="F2320" s="28" t="s">
        <v>12587</v>
      </c>
      <c r="I2320" s="32"/>
      <c r="J2320" s="32"/>
      <c r="K2320" s="33" t="s">
        <v>12584</v>
      </c>
      <c r="L2320" s="33" t="s">
        <v>12588</v>
      </c>
      <c r="N2320" s="33" t="s">
        <v>12584</v>
      </c>
      <c r="O2320" s="35"/>
    </row>
    <row r="2321">
      <c r="A2321" s="38"/>
      <c r="B2321" s="28" t="s">
        <v>12589</v>
      </c>
      <c r="C2321" s="28" t="s">
        <v>12406</v>
      </c>
      <c r="D2321" s="29" t="s">
        <v>12590</v>
      </c>
      <c r="E2321" s="30" t="s">
        <v>12591</v>
      </c>
      <c r="F2321" s="28" t="s">
        <v>12592</v>
      </c>
      <c r="I2321" s="32"/>
      <c r="J2321" s="32"/>
      <c r="K2321" s="33" t="s">
        <v>12589</v>
      </c>
      <c r="L2321" s="33" t="s">
        <v>12593</v>
      </c>
      <c r="N2321" s="33" t="s">
        <v>12589</v>
      </c>
      <c r="O2321" s="47" t="s">
        <v>12594</v>
      </c>
    </row>
    <row r="2322">
      <c r="A2322" s="38"/>
      <c r="B2322" s="28" t="s">
        <v>12595</v>
      </c>
      <c r="C2322" s="28" t="s">
        <v>12411</v>
      </c>
      <c r="D2322" s="29" t="s">
        <v>12596</v>
      </c>
      <c r="E2322" s="30" t="s">
        <v>12597</v>
      </c>
      <c r="F2322" s="28" t="s">
        <v>12598</v>
      </c>
      <c r="I2322" s="32"/>
      <c r="J2322" s="32"/>
      <c r="K2322" s="33" t="s">
        <v>12595</v>
      </c>
      <c r="L2322" s="33" t="s">
        <v>12599</v>
      </c>
      <c r="N2322" s="33" t="s">
        <v>12595</v>
      </c>
      <c r="O2322" s="35"/>
    </row>
    <row r="2323">
      <c r="A2323" s="38"/>
      <c r="B2323" s="28" t="s">
        <v>12600</v>
      </c>
      <c r="C2323" s="28" t="s">
        <v>12601</v>
      </c>
      <c r="D2323" s="29" t="s">
        <v>12602</v>
      </c>
      <c r="E2323" s="30"/>
      <c r="F2323" s="28" t="s">
        <v>12603</v>
      </c>
      <c r="I2323" s="32"/>
      <c r="J2323" s="32"/>
      <c r="K2323" s="33" t="s">
        <v>12600</v>
      </c>
      <c r="L2323" s="33" t="s">
        <v>12604</v>
      </c>
      <c r="N2323" s="33" t="s">
        <v>12600</v>
      </c>
      <c r="O2323" s="35" t="s">
        <v>12605</v>
      </c>
    </row>
    <row r="2324">
      <c r="A2324" s="38"/>
      <c r="B2324" s="28" t="s">
        <v>12606</v>
      </c>
      <c r="C2324" s="28" t="s">
        <v>12607</v>
      </c>
      <c r="D2324" s="29" t="s">
        <v>12608</v>
      </c>
      <c r="E2324" s="30"/>
      <c r="F2324" s="28" t="s">
        <v>12609</v>
      </c>
      <c r="I2324" s="32"/>
      <c r="J2324" s="32"/>
      <c r="K2324" s="33" t="s">
        <v>12606</v>
      </c>
      <c r="L2324" s="33" t="s">
        <v>12610</v>
      </c>
      <c r="N2324" s="33" t="s">
        <v>12606</v>
      </c>
      <c r="O2324" s="35" t="s">
        <v>12611</v>
      </c>
    </row>
    <row r="2325">
      <c r="A2325" s="38"/>
      <c r="B2325" s="28" t="s">
        <v>12612</v>
      </c>
      <c r="C2325" s="28" t="s">
        <v>12613</v>
      </c>
      <c r="D2325" s="29" t="s">
        <v>12614</v>
      </c>
      <c r="E2325" s="30" t="s">
        <v>12615</v>
      </c>
      <c r="F2325" s="28" t="s">
        <v>12616</v>
      </c>
      <c r="I2325" s="32"/>
      <c r="J2325" s="32"/>
      <c r="K2325" s="33" t="s">
        <v>12612</v>
      </c>
      <c r="L2325" s="33" t="s">
        <v>12617</v>
      </c>
      <c r="N2325" s="33" t="s">
        <v>12612</v>
      </c>
      <c r="O2325" s="35"/>
    </row>
    <row r="2326">
      <c r="A2326" s="38"/>
      <c r="B2326" s="28" t="s">
        <v>12618</v>
      </c>
      <c r="C2326" s="28" t="s">
        <v>12619</v>
      </c>
      <c r="D2326" s="29" t="s">
        <v>12620</v>
      </c>
      <c r="E2326" s="30"/>
      <c r="F2326" s="28" t="s">
        <v>12621</v>
      </c>
      <c r="I2326" s="32"/>
      <c r="J2326" s="32"/>
      <c r="K2326" s="33" t="s">
        <v>12618</v>
      </c>
      <c r="L2326" s="33" t="s">
        <v>12622</v>
      </c>
      <c r="N2326" s="33" t="s">
        <v>12618</v>
      </c>
      <c r="O2326" s="35" t="s">
        <v>12623</v>
      </c>
    </row>
    <row r="2327">
      <c r="A2327" s="38"/>
      <c r="B2327" s="28" t="s">
        <v>12624</v>
      </c>
      <c r="C2327" s="28" t="s">
        <v>12432</v>
      </c>
      <c r="D2327" s="29" t="s">
        <v>12625</v>
      </c>
      <c r="E2327" s="30" t="s">
        <v>12626</v>
      </c>
      <c r="F2327" s="28" t="s">
        <v>12627</v>
      </c>
      <c r="I2327" s="32"/>
      <c r="J2327" s="32"/>
      <c r="K2327" s="33" t="s">
        <v>12624</v>
      </c>
      <c r="L2327" s="33" t="s">
        <v>12628</v>
      </c>
      <c r="N2327" s="33" t="s">
        <v>12624</v>
      </c>
      <c r="O2327" s="35" t="s">
        <v>12431</v>
      </c>
    </row>
    <row r="2328">
      <c r="A2328" s="38"/>
      <c r="B2328" s="28" t="s">
        <v>12629</v>
      </c>
      <c r="C2328" s="28" t="s">
        <v>12436</v>
      </c>
      <c r="D2328" s="29" t="s">
        <v>12630</v>
      </c>
      <c r="E2328" s="30"/>
      <c r="F2328" s="28" t="s">
        <v>12631</v>
      </c>
      <c r="I2328" s="32"/>
      <c r="J2328" s="32"/>
      <c r="K2328" s="33" t="s">
        <v>12629</v>
      </c>
      <c r="L2328" s="33" t="s">
        <v>12632</v>
      </c>
      <c r="N2328" s="33" t="s">
        <v>12629</v>
      </c>
      <c r="O2328" s="35"/>
    </row>
    <row r="2329">
      <c r="A2329" s="38"/>
      <c r="B2329" s="28" t="s">
        <v>12633</v>
      </c>
      <c r="C2329" s="28" t="s">
        <v>12634</v>
      </c>
      <c r="D2329" s="29" t="s">
        <v>12635</v>
      </c>
      <c r="E2329" s="30"/>
      <c r="F2329" s="28" t="s">
        <v>12636</v>
      </c>
      <c r="I2329" s="32"/>
      <c r="J2329" s="32"/>
      <c r="K2329" s="33" t="s">
        <v>12633</v>
      </c>
      <c r="L2329" s="33" t="s">
        <v>12637</v>
      </c>
      <c r="N2329" s="33" t="s">
        <v>12633</v>
      </c>
      <c r="O2329" s="35" t="s">
        <v>12638</v>
      </c>
    </row>
    <row r="2330">
      <c r="A2330" s="38"/>
      <c r="B2330" s="28" t="s">
        <v>12639</v>
      </c>
      <c r="C2330" s="28" t="s">
        <v>12440</v>
      </c>
      <c r="D2330" s="29" t="s">
        <v>12640</v>
      </c>
      <c r="E2330" s="30" t="s">
        <v>12641</v>
      </c>
      <c r="F2330" s="28" t="s">
        <v>12642</v>
      </c>
      <c r="I2330" s="32"/>
      <c r="J2330" s="32"/>
      <c r="K2330" s="33" t="s">
        <v>12639</v>
      </c>
      <c r="L2330" s="33" t="s">
        <v>12643</v>
      </c>
      <c r="N2330" s="33" t="s">
        <v>12639</v>
      </c>
      <c r="O2330" s="35"/>
    </row>
    <row r="2331">
      <c r="A2331" s="38"/>
      <c r="B2331" s="28" t="s">
        <v>12644</v>
      </c>
      <c r="C2331" s="28" t="s">
        <v>12451</v>
      </c>
      <c r="D2331" s="29" t="s">
        <v>12645</v>
      </c>
      <c r="E2331" s="30" t="s">
        <v>12646</v>
      </c>
      <c r="F2331" s="28" t="s">
        <v>12647</v>
      </c>
      <c r="I2331" s="32"/>
      <c r="J2331" s="32"/>
      <c r="K2331" s="33" t="s">
        <v>12644</v>
      </c>
      <c r="L2331" s="33" t="s">
        <v>12648</v>
      </c>
      <c r="N2331" s="33" t="s">
        <v>12644</v>
      </c>
      <c r="O2331" s="47" t="s">
        <v>12649</v>
      </c>
    </row>
    <row r="2332">
      <c r="A2332" s="38"/>
      <c r="B2332" s="28" t="s">
        <v>12650</v>
      </c>
      <c r="C2332" s="28" t="s">
        <v>12651</v>
      </c>
      <c r="D2332" s="29" t="s">
        <v>12652</v>
      </c>
      <c r="E2332" s="30" t="s">
        <v>12641</v>
      </c>
      <c r="F2332" s="28" t="s">
        <v>12653</v>
      </c>
      <c r="I2332" s="32"/>
      <c r="J2332" s="32"/>
      <c r="K2332" s="33" t="s">
        <v>12650</v>
      </c>
      <c r="L2332" s="33" t="s">
        <v>12654</v>
      </c>
      <c r="N2332" s="33" t="s">
        <v>12650</v>
      </c>
      <c r="O2332" s="35" t="s">
        <v>12655</v>
      </c>
    </row>
    <row r="2333">
      <c r="A2333" s="38"/>
      <c r="B2333" s="28" t="s">
        <v>12656</v>
      </c>
      <c r="C2333" s="28" t="s">
        <v>12657</v>
      </c>
      <c r="D2333" s="29" t="s">
        <v>12658</v>
      </c>
      <c r="E2333" s="30" t="s">
        <v>12659</v>
      </c>
      <c r="F2333" s="28" t="s">
        <v>12660</v>
      </c>
      <c r="I2333" s="32"/>
      <c r="J2333" s="32"/>
      <c r="K2333" s="33" t="s">
        <v>12656</v>
      </c>
      <c r="L2333" s="33" t="s">
        <v>12661</v>
      </c>
      <c r="N2333" s="33" t="s">
        <v>12656</v>
      </c>
      <c r="O2333" s="47" t="s">
        <v>12662</v>
      </c>
    </row>
    <row r="2334">
      <c r="A2334" s="38"/>
      <c r="B2334" s="28" t="s">
        <v>12663</v>
      </c>
      <c r="C2334" s="28" t="s">
        <v>12664</v>
      </c>
      <c r="D2334" s="29" t="s">
        <v>12665</v>
      </c>
      <c r="E2334" s="30"/>
      <c r="F2334" s="28" t="s">
        <v>12666</v>
      </c>
      <c r="I2334" s="32"/>
      <c r="J2334" s="32"/>
      <c r="K2334" s="33" t="s">
        <v>12663</v>
      </c>
      <c r="L2334" s="33" t="s">
        <v>12667</v>
      </c>
      <c r="N2334" s="33" t="s">
        <v>12663</v>
      </c>
      <c r="O2334" s="35"/>
    </row>
    <row r="2335">
      <c r="A2335" s="38"/>
      <c r="B2335" s="28" t="s">
        <v>12668</v>
      </c>
      <c r="C2335" s="28" t="s">
        <v>12460</v>
      </c>
      <c r="D2335" s="29" t="s">
        <v>12669</v>
      </c>
      <c r="E2335" s="30"/>
      <c r="F2335" s="28" t="s">
        <v>12670</v>
      </c>
      <c r="I2335" s="32"/>
      <c r="J2335" s="32"/>
      <c r="K2335" s="33" t="s">
        <v>12668</v>
      </c>
      <c r="L2335" s="33" t="s">
        <v>12671</v>
      </c>
      <c r="N2335" s="33" t="s">
        <v>12668</v>
      </c>
      <c r="O2335" s="35" t="s">
        <v>12459</v>
      </c>
    </row>
    <row r="2336">
      <c r="A2336" s="38"/>
      <c r="B2336" s="28" t="s">
        <v>12672</v>
      </c>
      <c r="C2336" s="28" t="s">
        <v>12673</v>
      </c>
      <c r="D2336" s="29" t="s">
        <v>12674</v>
      </c>
      <c r="E2336" s="54" t="s">
        <v>12675</v>
      </c>
      <c r="F2336" s="28" t="s">
        <v>12676</v>
      </c>
      <c r="I2336" s="32"/>
      <c r="J2336" s="32"/>
      <c r="K2336" s="33" t="s">
        <v>12672</v>
      </c>
      <c r="L2336" s="33" t="s">
        <v>12677</v>
      </c>
      <c r="N2336" s="33" t="s">
        <v>12672</v>
      </c>
      <c r="O2336" s="35"/>
    </row>
    <row r="2337">
      <c r="A2337" s="38"/>
      <c r="B2337" s="28" t="s">
        <v>12678</v>
      </c>
      <c r="C2337" s="28" t="s">
        <v>12465</v>
      </c>
      <c r="D2337" s="29" t="s">
        <v>12679</v>
      </c>
      <c r="E2337" s="30" t="s">
        <v>12680</v>
      </c>
      <c r="F2337" s="28" t="s">
        <v>12681</v>
      </c>
      <c r="I2337" s="32"/>
      <c r="J2337" s="32"/>
      <c r="K2337" s="33" t="s">
        <v>12678</v>
      </c>
      <c r="L2337" s="33" t="s">
        <v>12682</v>
      </c>
      <c r="N2337" s="33" t="s">
        <v>12678</v>
      </c>
      <c r="O2337" s="47" t="s">
        <v>12683</v>
      </c>
    </row>
    <row r="2338">
      <c r="A2338" s="38"/>
      <c r="B2338" s="28" t="s">
        <v>12684</v>
      </c>
      <c r="C2338" s="28" t="s">
        <v>12685</v>
      </c>
      <c r="D2338" s="29" t="s">
        <v>12686</v>
      </c>
      <c r="E2338" s="30" t="s">
        <v>12687</v>
      </c>
      <c r="F2338" s="28" t="s">
        <v>12688</v>
      </c>
      <c r="I2338" s="32"/>
      <c r="J2338" s="32"/>
      <c r="K2338" s="33" t="s">
        <v>12684</v>
      </c>
      <c r="L2338" s="33" t="s">
        <v>12689</v>
      </c>
      <c r="N2338" s="33" t="s">
        <v>12684</v>
      </c>
      <c r="O2338" s="35" t="s">
        <v>12690</v>
      </c>
    </row>
    <row r="2339">
      <c r="A2339" s="38"/>
      <c r="B2339" s="28" t="s">
        <v>12691</v>
      </c>
      <c r="C2339" s="28" t="s">
        <v>12692</v>
      </c>
      <c r="D2339" s="29" t="s">
        <v>12693</v>
      </c>
      <c r="E2339" s="30" t="s">
        <v>12694</v>
      </c>
      <c r="F2339" s="28" t="s">
        <v>12695</v>
      </c>
      <c r="I2339" s="32"/>
      <c r="J2339" s="32"/>
      <c r="K2339" s="33" t="s">
        <v>12691</v>
      </c>
      <c r="L2339" s="33" t="s">
        <v>12696</v>
      </c>
      <c r="N2339" s="33" t="s">
        <v>12691</v>
      </c>
      <c r="O2339" s="35"/>
    </row>
    <row r="2340">
      <c r="A2340" s="38"/>
      <c r="B2340" s="28" t="s">
        <v>12697</v>
      </c>
      <c r="C2340" s="28" t="s">
        <v>12698</v>
      </c>
      <c r="D2340" s="29" t="s">
        <v>12699</v>
      </c>
      <c r="E2340" s="30"/>
      <c r="F2340" s="28" t="s">
        <v>12700</v>
      </c>
      <c r="I2340" s="32"/>
      <c r="J2340" s="32"/>
      <c r="K2340" s="33" t="s">
        <v>12697</v>
      </c>
      <c r="L2340" s="33" t="s">
        <v>12701</v>
      </c>
      <c r="N2340" s="33" t="s">
        <v>12697</v>
      </c>
      <c r="O2340" s="47" t="s">
        <v>12702</v>
      </c>
    </row>
    <row r="2341">
      <c r="A2341" s="38"/>
      <c r="B2341" s="28" t="s">
        <v>12703</v>
      </c>
      <c r="C2341" s="28" t="s">
        <v>12484</v>
      </c>
      <c r="D2341" s="29" t="s">
        <v>12704</v>
      </c>
      <c r="E2341" s="30"/>
      <c r="F2341" s="28" t="s">
        <v>12705</v>
      </c>
      <c r="I2341" s="32"/>
      <c r="J2341" s="32"/>
      <c r="K2341" s="33" t="s">
        <v>12703</v>
      </c>
      <c r="L2341" s="33" t="s">
        <v>12706</v>
      </c>
      <c r="N2341" s="33" t="s">
        <v>12703</v>
      </c>
      <c r="O2341" s="35" t="s">
        <v>12483</v>
      </c>
    </row>
    <row r="2342">
      <c r="A2342" s="38"/>
      <c r="B2342" s="28" t="s">
        <v>12707</v>
      </c>
      <c r="C2342" s="28" t="s">
        <v>12490</v>
      </c>
      <c r="D2342" s="29" t="s">
        <v>12708</v>
      </c>
      <c r="E2342" s="30" t="s">
        <v>12709</v>
      </c>
      <c r="F2342" s="28" t="s">
        <v>12710</v>
      </c>
      <c r="I2342" s="32"/>
      <c r="J2342" s="32"/>
      <c r="K2342" s="33" t="s">
        <v>12707</v>
      </c>
      <c r="L2342" s="33" t="s">
        <v>12711</v>
      </c>
      <c r="N2342" s="33" t="s">
        <v>12707</v>
      </c>
      <c r="O2342" s="35" t="s">
        <v>12489</v>
      </c>
    </row>
    <row r="2343">
      <c r="A2343" s="38"/>
      <c r="B2343" s="28" t="s">
        <v>12712</v>
      </c>
      <c r="C2343" s="28" t="s">
        <v>12495</v>
      </c>
      <c r="D2343" s="29" t="s">
        <v>12713</v>
      </c>
      <c r="E2343" s="30" t="s">
        <v>12714</v>
      </c>
      <c r="F2343" s="28" t="s">
        <v>12715</v>
      </c>
      <c r="I2343" s="32"/>
      <c r="J2343" s="32"/>
      <c r="K2343" s="33" t="s">
        <v>12712</v>
      </c>
      <c r="L2343" s="33" t="s">
        <v>12716</v>
      </c>
      <c r="N2343" s="33" t="s">
        <v>12712</v>
      </c>
      <c r="O2343" s="35" t="s">
        <v>12494</v>
      </c>
    </row>
    <row r="2344">
      <c r="A2344" s="38"/>
      <c r="B2344" s="28" t="s">
        <v>12717</v>
      </c>
      <c r="C2344" s="28" t="s">
        <v>12505</v>
      </c>
      <c r="D2344" s="29" t="s">
        <v>12718</v>
      </c>
      <c r="E2344" s="30"/>
      <c r="F2344" s="28" t="s">
        <v>12719</v>
      </c>
      <c r="I2344" s="32"/>
      <c r="J2344" s="32"/>
      <c r="K2344" s="33" t="s">
        <v>12717</v>
      </c>
      <c r="L2344" s="33" t="s">
        <v>12720</v>
      </c>
      <c r="N2344" s="33" t="s">
        <v>12717</v>
      </c>
      <c r="O2344" s="35" t="s">
        <v>8610</v>
      </c>
    </row>
    <row r="2345">
      <c r="A2345" s="38"/>
      <c r="B2345" s="28" t="s">
        <v>12721</v>
      </c>
      <c r="C2345" s="28" t="s">
        <v>12510</v>
      </c>
      <c r="D2345" s="29" t="s">
        <v>12722</v>
      </c>
      <c r="E2345" s="30"/>
      <c r="F2345" s="28" t="s">
        <v>12723</v>
      </c>
      <c r="I2345" s="32"/>
      <c r="J2345" s="32"/>
      <c r="K2345" s="33" t="s">
        <v>12721</v>
      </c>
      <c r="L2345" s="33" t="s">
        <v>12724</v>
      </c>
      <c r="N2345" s="33" t="s">
        <v>12721</v>
      </c>
      <c r="O2345" s="35" t="s">
        <v>12509</v>
      </c>
    </row>
    <row r="2346">
      <c r="A2346" s="38"/>
      <c r="B2346" s="28" t="s">
        <v>12725</v>
      </c>
      <c r="C2346" s="28" t="s">
        <v>12515</v>
      </c>
      <c r="D2346" s="29" t="s">
        <v>12726</v>
      </c>
      <c r="E2346" s="30" t="s">
        <v>12727</v>
      </c>
      <c r="F2346" s="28" t="s">
        <v>12728</v>
      </c>
      <c r="I2346" s="32"/>
      <c r="J2346" s="32"/>
      <c r="K2346" s="33" t="s">
        <v>12725</v>
      </c>
      <c r="L2346" s="33" t="s">
        <v>12729</v>
      </c>
      <c r="N2346" s="33" t="s">
        <v>12725</v>
      </c>
      <c r="O2346" s="35"/>
    </row>
    <row r="2347">
      <c r="A2347" s="38"/>
      <c r="B2347" s="28" t="s">
        <v>12730</v>
      </c>
      <c r="C2347" s="28" t="s">
        <v>12520</v>
      </c>
      <c r="D2347" s="29" t="s">
        <v>12731</v>
      </c>
      <c r="E2347" s="30" t="s">
        <v>12732</v>
      </c>
      <c r="F2347" s="28" t="s">
        <v>12733</v>
      </c>
      <c r="I2347" s="32"/>
      <c r="J2347" s="32"/>
      <c r="K2347" s="33" t="s">
        <v>12730</v>
      </c>
      <c r="L2347" s="33" t="s">
        <v>12734</v>
      </c>
      <c r="N2347" s="33" t="s">
        <v>12730</v>
      </c>
      <c r="O2347" s="35"/>
    </row>
    <row r="2348">
      <c r="A2348" s="38"/>
      <c r="B2348" s="28" t="s">
        <v>12735</v>
      </c>
      <c r="C2348" s="28" t="s">
        <v>12525</v>
      </c>
      <c r="D2348" s="29" t="s">
        <v>12736</v>
      </c>
      <c r="E2348" s="30"/>
      <c r="F2348" s="28" t="s">
        <v>12737</v>
      </c>
      <c r="I2348" s="32"/>
      <c r="J2348" s="32"/>
      <c r="K2348" s="33" t="s">
        <v>12735</v>
      </c>
      <c r="L2348" s="33" t="s">
        <v>12738</v>
      </c>
      <c r="N2348" s="33" t="s">
        <v>12735</v>
      </c>
      <c r="O2348" s="35" t="s">
        <v>12524</v>
      </c>
    </row>
    <row r="2349">
      <c r="A2349" s="38"/>
      <c r="B2349" s="28" t="s">
        <v>12739</v>
      </c>
      <c r="C2349" s="28" t="s">
        <v>12529</v>
      </c>
      <c r="D2349" s="29" t="s">
        <v>12740</v>
      </c>
      <c r="E2349" s="30"/>
      <c r="F2349" s="28" t="s">
        <v>12741</v>
      </c>
      <c r="I2349" s="32"/>
      <c r="J2349" s="32"/>
      <c r="K2349" s="33" t="s">
        <v>12739</v>
      </c>
      <c r="L2349" s="33" t="s">
        <v>12742</v>
      </c>
      <c r="N2349" s="33" t="s">
        <v>12739</v>
      </c>
      <c r="O2349" s="35"/>
    </row>
    <row r="2350">
      <c r="A2350" s="38"/>
      <c r="B2350" s="28" t="s">
        <v>12743</v>
      </c>
      <c r="C2350" s="28" t="s">
        <v>12744</v>
      </c>
      <c r="D2350" s="29" t="s">
        <v>12745</v>
      </c>
      <c r="E2350" s="54" t="s">
        <v>12746</v>
      </c>
      <c r="F2350" s="28" t="s">
        <v>12747</v>
      </c>
      <c r="I2350" s="32"/>
      <c r="J2350" s="32"/>
      <c r="K2350" s="33" t="s">
        <v>12743</v>
      </c>
      <c r="L2350" s="33" t="s">
        <v>12748</v>
      </c>
      <c r="N2350" s="33" t="s">
        <v>12743</v>
      </c>
      <c r="O2350" s="35" t="s">
        <v>12749</v>
      </c>
    </row>
    <row r="2351">
      <c r="A2351" s="38"/>
      <c r="B2351" s="28" t="s">
        <v>12750</v>
      </c>
      <c r="C2351" s="28" t="s">
        <v>12751</v>
      </c>
      <c r="D2351" s="29" t="s">
        <v>12752</v>
      </c>
      <c r="E2351" s="30" t="s">
        <v>12753</v>
      </c>
      <c r="F2351" s="28" t="s">
        <v>12754</v>
      </c>
      <c r="I2351" s="32"/>
      <c r="J2351" s="32"/>
      <c r="K2351" s="33" t="s">
        <v>12750</v>
      </c>
      <c r="L2351" s="33" t="s">
        <v>12755</v>
      </c>
      <c r="N2351" s="33" t="s">
        <v>12750</v>
      </c>
      <c r="O2351" s="35" t="s">
        <v>12756</v>
      </c>
    </row>
    <row r="2352">
      <c r="A2352" s="38"/>
      <c r="B2352" s="28" t="s">
        <v>12757</v>
      </c>
      <c r="C2352" s="28" t="s">
        <v>12542</v>
      </c>
      <c r="D2352" s="29" t="s">
        <v>12758</v>
      </c>
      <c r="E2352" s="30" t="s">
        <v>12759</v>
      </c>
      <c r="F2352" s="28" t="s">
        <v>12760</v>
      </c>
      <c r="I2352" s="32"/>
      <c r="J2352" s="32"/>
      <c r="K2352" s="33" t="s">
        <v>12757</v>
      </c>
      <c r="L2352" s="33" t="s">
        <v>12761</v>
      </c>
      <c r="N2352" s="33" t="s">
        <v>12757</v>
      </c>
      <c r="O2352" s="35" t="s">
        <v>12541</v>
      </c>
    </row>
    <row r="2353">
      <c r="A2353" s="38"/>
      <c r="B2353" s="28" t="s">
        <v>12762</v>
      </c>
      <c r="C2353" s="28" t="s">
        <v>12547</v>
      </c>
      <c r="D2353" s="29" t="s">
        <v>12763</v>
      </c>
      <c r="E2353" s="54" t="s">
        <v>12764</v>
      </c>
      <c r="F2353" s="28" t="s">
        <v>12765</v>
      </c>
      <c r="I2353" s="32"/>
      <c r="J2353" s="32"/>
      <c r="K2353" s="33" t="s">
        <v>12762</v>
      </c>
      <c r="L2353" s="33" t="s">
        <v>12766</v>
      </c>
      <c r="N2353" s="33" t="s">
        <v>12762</v>
      </c>
      <c r="O2353" s="35" t="s">
        <v>12546</v>
      </c>
    </row>
    <row r="2354">
      <c r="A2354" s="38"/>
      <c r="B2354" s="28" t="s">
        <v>12767</v>
      </c>
      <c r="C2354" s="28" t="s">
        <v>12551</v>
      </c>
      <c r="D2354" s="29" t="s">
        <v>12768</v>
      </c>
      <c r="E2354" s="30" t="s">
        <v>12769</v>
      </c>
      <c r="F2354" s="28" t="s">
        <v>12770</v>
      </c>
      <c r="I2354" s="32"/>
      <c r="J2354" s="32"/>
      <c r="K2354" s="33" t="s">
        <v>12767</v>
      </c>
      <c r="L2354" s="33" t="s">
        <v>12771</v>
      </c>
      <c r="N2354" s="33" t="s">
        <v>12767</v>
      </c>
      <c r="O2354" s="35" t="s">
        <v>5931</v>
      </c>
    </row>
    <row r="2355">
      <c r="A2355" s="38"/>
      <c r="B2355" s="28" t="s">
        <v>12772</v>
      </c>
      <c r="C2355" s="28" t="s">
        <v>12556</v>
      </c>
      <c r="D2355" s="29" t="s">
        <v>12773</v>
      </c>
      <c r="E2355" s="30" t="s">
        <v>12774</v>
      </c>
      <c r="F2355" s="28" t="s">
        <v>12775</v>
      </c>
      <c r="I2355" s="32"/>
      <c r="J2355" s="32"/>
      <c r="K2355" s="33" t="s">
        <v>12772</v>
      </c>
      <c r="L2355" s="33" t="s">
        <v>12776</v>
      </c>
      <c r="N2355" s="33" t="s">
        <v>12772</v>
      </c>
      <c r="O2355" s="35" t="s">
        <v>12555</v>
      </c>
    </row>
    <row r="2356">
      <c r="A2356" s="38"/>
      <c r="B2356" s="28" t="s">
        <v>12777</v>
      </c>
      <c r="C2356" s="28" t="s">
        <v>12560</v>
      </c>
      <c r="D2356" s="29" t="s">
        <v>12778</v>
      </c>
      <c r="E2356" s="30"/>
      <c r="F2356" s="28" t="s">
        <v>12779</v>
      </c>
      <c r="I2356" s="32"/>
      <c r="J2356" s="32"/>
      <c r="K2356" s="33" t="s">
        <v>12777</v>
      </c>
      <c r="L2356" s="33" t="s">
        <v>12780</v>
      </c>
      <c r="N2356" s="33" t="s">
        <v>12777</v>
      </c>
      <c r="O2356" s="35"/>
    </row>
    <row r="2357">
      <c r="A2357" s="38"/>
      <c r="B2357" s="28" t="s">
        <v>12781</v>
      </c>
      <c r="C2357" s="28" t="s">
        <v>12566</v>
      </c>
      <c r="D2357" s="29" t="s">
        <v>12782</v>
      </c>
      <c r="E2357" s="30" t="s">
        <v>12783</v>
      </c>
      <c r="F2357" s="28" t="s">
        <v>12784</v>
      </c>
      <c r="I2357" s="32"/>
      <c r="J2357" s="32"/>
      <c r="K2357" s="33" t="s">
        <v>12781</v>
      </c>
      <c r="L2357" s="33" t="s">
        <v>12785</v>
      </c>
      <c r="N2357" s="33" t="s">
        <v>12781</v>
      </c>
      <c r="O2357" s="35" t="s">
        <v>12565</v>
      </c>
    </row>
    <row r="2358">
      <c r="A2358" s="38"/>
      <c r="B2358" s="28" t="s">
        <v>12786</v>
      </c>
      <c r="C2358" s="28" t="s">
        <v>12577</v>
      </c>
      <c r="D2358" s="29" t="s">
        <v>12787</v>
      </c>
      <c r="E2358" s="30" t="s">
        <v>12788</v>
      </c>
      <c r="F2358" s="28" t="s">
        <v>12789</v>
      </c>
      <c r="I2358" s="32"/>
      <c r="J2358" s="32"/>
      <c r="K2358" s="33" t="s">
        <v>12786</v>
      </c>
      <c r="L2358" s="33" t="s">
        <v>12790</v>
      </c>
      <c r="N2358" s="33" t="s">
        <v>12786</v>
      </c>
      <c r="O2358" s="35" t="s">
        <v>12576</v>
      </c>
    </row>
    <row r="2359">
      <c r="A2359" s="38"/>
      <c r="B2359" s="28" t="s">
        <v>12791</v>
      </c>
      <c r="C2359" s="28" t="s">
        <v>12792</v>
      </c>
      <c r="D2359" s="29" t="s">
        <v>12793</v>
      </c>
      <c r="E2359" s="30"/>
      <c r="F2359" s="28" t="s">
        <v>12794</v>
      </c>
      <c r="I2359" s="32"/>
      <c r="J2359" s="32"/>
      <c r="K2359" s="33" t="s">
        <v>12791</v>
      </c>
      <c r="L2359" s="33" t="s">
        <v>12795</v>
      </c>
      <c r="N2359" s="33" t="s">
        <v>12791</v>
      </c>
      <c r="O2359" s="47" t="s">
        <v>12796</v>
      </c>
    </row>
    <row r="2360">
      <c r="A2360" s="38"/>
      <c r="B2360" s="28" t="s">
        <v>12797</v>
      </c>
      <c r="C2360" s="28" t="s">
        <v>12592</v>
      </c>
      <c r="D2360" s="29" t="s">
        <v>12798</v>
      </c>
      <c r="E2360" s="30" t="s">
        <v>12799</v>
      </c>
      <c r="F2360" s="28" t="s">
        <v>12800</v>
      </c>
      <c r="I2360" s="32"/>
      <c r="J2360" s="32"/>
      <c r="K2360" s="33" t="s">
        <v>12797</v>
      </c>
      <c r="L2360" s="33" t="s">
        <v>12801</v>
      </c>
      <c r="N2360" s="33" t="s">
        <v>12797</v>
      </c>
      <c r="O2360" s="35" t="s">
        <v>12591</v>
      </c>
    </row>
    <row r="2361">
      <c r="A2361" s="38"/>
      <c r="B2361" s="28" t="s">
        <v>12802</v>
      </c>
      <c r="C2361" s="28" t="s">
        <v>12603</v>
      </c>
      <c r="D2361" s="29" t="s">
        <v>12803</v>
      </c>
      <c r="E2361" s="30" t="s">
        <v>12804</v>
      </c>
      <c r="F2361" s="28" t="s">
        <v>12805</v>
      </c>
      <c r="I2361" s="32"/>
      <c r="J2361" s="32"/>
      <c r="K2361" s="33" t="s">
        <v>12802</v>
      </c>
      <c r="L2361" s="33" t="s">
        <v>12806</v>
      </c>
      <c r="N2361" s="33" t="s">
        <v>12802</v>
      </c>
      <c r="O2361" s="35"/>
    </row>
    <row r="2362">
      <c r="A2362" s="38"/>
      <c r="B2362" s="28" t="s">
        <v>12807</v>
      </c>
      <c r="C2362" s="28" t="s">
        <v>12621</v>
      </c>
      <c r="D2362" s="29" t="s">
        <v>12808</v>
      </c>
      <c r="E2362" s="30"/>
      <c r="F2362" s="28" t="s">
        <v>12809</v>
      </c>
      <c r="I2362" s="32"/>
      <c r="J2362" s="32"/>
      <c r="K2362" s="33" t="s">
        <v>12807</v>
      </c>
      <c r="L2362" s="33" t="s">
        <v>12810</v>
      </c>
      <c r="N2362" s="33" t="s">
        <v>12807</v>
      </c>
      <c r="O2362" s="35"/>
    </row>
    <row r="2363">
      <c r="A2363" s="38"/>
      <c r="B2363" s="28" t="s">
        <v>12811</v>
      </c>
      <c r="C2363" s="28" t="s">
        <v>12627</v>
      </c>
      <c r="D2363" s="29" t="s">
        <v>12812</v>
      </c>
      <c r="E2363" s="30"/>
      <c r="F2363" s="28" t="s">
        <v>12813</v>
      </c>
      <c r="I2363" s="32"/>
      <c r="J2363" s="32"/>
      <c r="K2363" s="33" t="s">
        <v>12811</v>
      </c>
      <c r="L2363" s="33" t="s">
        <v>12814</v>
      </c>
      <c r="N2363" s="33" t="s">
        <v>12811</v>
      </c>
      <c r="O2363" s="35" t="s">
        <v>12626</v>
      </c>
    </row>
    <row r="2364">
      <c r="A2364" s="38"/>
      <c r="B2364" s="28" t="s">
        <v>12815</v>
      </c>
      <c r="C2364" s="28" t="s">
        <v>12816</v>
      </c>
      <c r="D2364" s="29" t="s">
        <v>12817</v>
      </c>
      <c r="E2364" s="30"/>
      <c r="F2364" s="28" t="s">
        <v>12818</v>
      </c>
      <c r="I2364" s="32"/>
      <c r="J2364" s="32"/>
      <c r="K2364" s="33" t="s">
        <v>12815</v>
      </c>
      <c r="L2364" s="33" t="s">
        <v>12819</v>
      </c>
      <c r="N2364" s="33" t="s">
        <v>12815</v>
      </c>
      <c r="O2364" s="35"/>
    </row>
    <row r="2365">
      <c r="A2365" s="38"/>
      <c r="B2365" s="28" t="s">
        <v>12820</v>
      </c>
      <c r="C2365" s="28" t="s">
        <v>12642</v>
      </c>
      <c r="D2365" s="29" t="s">
        <v>12821</v>
      </c>
      <c r="E2365" s="30" t="s">
        <v>12822</v>
      </c>
      <c r="F2365" s="28" t="s">
        <v>12823</v>
      </c>
      <c r="I2365" s="32"/>
      <c r="J2365" s="32"/>
      <c r="K2365" s="33" t="s">
        <v>12820</v>
      </c>
      <c r="L2365" s="33" t="s">
        <v>12824</v>
      </c>
      <c r="N2365" s="33" t="s">
        <v>12820</v>
      </c>
      <c r="O2365" s="35" t="s">
        <v>12641</v>
      </c>
    </row>
    <row r="2366">
      <c r="A2366" s="38"/>
      <c r="B2366" s="28" t="s">
        <v>12825</v>
      </c>
      <c r="C2366" s="28" t="s">
        <v>12647</v>
      </c>
      <c r="D2366" s="29" t="s">
        <v>12826</v>
      </c>
      <c r="E2366" s="30" t="s">
        <v>12822</v>
      </c>
      <c r="F2366" s="28" t="s">
        <v>12827</v>
      </c>
      <c r="I2366" s="32"/>
      <c r="J2366" s="32"/>
      <c r="K2366" s="33" t="s">
        <v>12825</v>
      </c>
      <c r="L2366" s="33" t="s">
        <v>12828</v>
      </c>
      <c r="N2366" s="33" t="s">
        <v>12825</v>
      </c>
      <c r="O2366" s="35" t="s">
        <v>12646</v>
      </c>
    </row>
    <row r="2367">
      <c r="A2367" s="38"/>
      <c r="B2367" s="28" t="s">
        <v>12829</v>
      </c>
      <c r="C2367" s="28" t="s">
        <v>12653</v>
      </c>
      <c r="D2367" s="29" t="s">
        <v>12830</v>
      </c>
      <c r="E2367" s="30" t="s">
        <v>12831</v>
      </c>
      <c r="F2367" s="28" t="s">
        <v>12832</v>
      </c>
      <c r="I2367" s="32"/>
      <c r="J2367" s="32"/>
      <c r="K2367" s="33" t="s">
        <v>12829</v>
      </c>
      <c r="L2367" s="33" t="s">
        <v>12833</v>
      </c>
      <c r="N2367" s="33" t="s">
        <v>12829</v>
      </c>
      <c r="O2367" s="35" t="s">
        <v>12641</v>
      </c>
    </row>
    <row r="2368">
      <c r="A2368" s="38"/>
      <c r="B2368" s="28" t="s">
        <v>12834</v>
      </c>
      <c r="C2368" s="28" t="s">
        <v>12835</v>
      </c>
      <c r="D2368" s="29" t="s">
        <v>12836</v>
      </c>
      <c r="E2368" s="30" t="s">
        <v>12837</v>
      </c>
      <c r="F2368" s="28" t="s">
        <v>12838</v>
      </c>
      <c r="I2368" s="32"/>
      <c r="J2368" s="32"/>
      <c r="K2368" s="33" t="s">
        <v>12834</v>
      </c>
      <c r="L2368" s="33" t="s">
        <v>12839</v>
      </c>
      <c r="N2368" s="33" t="s">
        <v>12834</v>
      </c>
      <c r="O2368" s="35" t="s">
        <v>12840</v>
      </c>
    </row>
    <row r="2369">
      <c r="A2369" s="38"/>
      <c r="B2369" s="28" t="s">
        <v>12841</v>
      </c>
      <c r="C2369" s="28" t="s">
        <v>12660</v>
      </c>
      <c r="D2369" s="29" t="s">
        <v>12842</v>
      </c>
      <c r="E2369" s="30" t="s">
        <v>12837</v>
      </c>
      <c r="F2369" s="28" t="s">
        <v>12843</v>
      </c>
      <c r="I2369" s="32"/>
      <c r="J2369" s="32"/>
      <c r="K2369" s="33" t="s">
        <v>12841</v>
      </c>
      <c r="L2369" s="33" t="s">
        <v>12844</v>
      </c>
      <c r="N2369" s="33" t="s">
        <v>12841</v>
      </c>
      <c r="O2369" s="35" t="s">
        <v>12659</v>
      </c>
    </row>
    <row r="2370">
      <c r="A2370" s="38"/>
      <c r="B2370" s="28" t="s">
        <v>12845</v>
      </c>
      <c r="C2370" s="28" t="s">
        <v>12666</v>
      </c>
      <c r="D2370" s="29" t="s">
        <v>12846</v>
      </c>
      <c r="E2370" s="30" t="s">
        <v>12847</v>
      </c>
      <c r="F2370" s="28" t="s">
        <v>12848</v>
      </c>
      <c r="I2370" s="32"/>
      <c r="J2370" s="32"/>
      <c r="K2370" s="33" t="s">
        <v>12845</v>
      </c>
      <c r="L2370" s="33" t="s">
        <v>12849</v>
      </c>
      <c r="N2370" s="33" t="s">
        <v>12845</v>
      </c>
      <c r="O2370" s="35"/>
    </row>
    <row r="2371">
      <c r="A2371" s="38"/>
      <c r="B2371" s="28" t="s">
        <v>12850</v>
      </c>
      <c r="C2371" s="28" t="s">
        <v>12851</v>
      </c>
      <c r="D2371" s="29" t="s">
        <v>12852</v>
      </c>
      <c r="E2371" s="30"/>
      <c r="F2371" s="28" t="s">
        <v>12853</v>
      </c>
      <c r="I2371" s="32"/>
      <c r="J2371" s="32"/>
      <c r="K2371" s="33" t="s">
        <v>12850</v>
      </c>
      <c r="L2371" s="33" t="s">
        <v>12854</v>
      </c>
      <c r="N2371" s="33" t="s">
        <v>12850</v>
      </c>
      <c r="O2371" s="35" t="s">
        <v>12855</v>
      </c>
    </row>
    <row r="2372">
      <c r="A2372" s="38"/>
      <c r="B2372" s="28" t="s">
        <v>12856</v>
      </c>
      <c r="C2372" s="28" t="s">
        <v>12676</v>
      </c>
      <c r="D2372" s="29" t="s">
        <v>12857</v>
      </c>
      <c r="E2372" s="30" t="s">
        <v>12858</v>
      </c>
      <c r="F2372" s="28" t="s">
        <v>12859</v>
      </c>
      <c r="I2372" s="32"/>
      <c r="J2372" s="32"/>
      <c r="K2372" s="33" t="s">
        <v>12856</v>
      </c>
      <c r="L2372" s="33" t="s">
        <v>12860</v>
      </c>
      <c r="N2372" s="33" t="s">
        <v>12856</v>
      </c>
      <c r="O2372" s="47" t="s">
        <v>12861</v>
      </c>
    </row>
    <row r="2373">
      <c r="A2373" s="38"/>
      <c r="B2373" s="28" t="s">
        <v>12862</v>
      </c>
      <c r="C2373" s="28" t="s">
        <v>12681</v>
      </c>
      <c r="D2373" s="29" t="s">
        <v>12863</v>
      </c>
      <c r="E2373" s="30"/>
      <c r="F2373" s="28" t="s">
        <v>12864</v>
      </c>
      <c r="I2373" s="32"/>
      <c r="J2373" s="32"/>
      <c r="K2373" s="33" t="s">
        <v>12862</v>
      </c>
      <c r="L2373" s="33" t="s">
        <v>12865</v>
      </c>
      <c r="N2373" s="33" t="s">
        <v>12862</v>
      </c>
      <c r="O2373" s="35" t="s">
        <v>12680</v>
      </c>
    </row>
    <row r="2374">
      <c r="A2374" s="38"/>
      <c r="B2374" s="28" t="s">
        <v>12866</v>
      </c>
      <c r="C2374" s="28" t="s">
        <v>12688</v>
      </c>
      <c r="D2374" s="29" t="s">
        <v>12867</v>
      </c>
      <c r="E2374" s="30" t="s">
        <v>12868</v>
      </c>
      <c r="F2374" s="28" t="s">
        <v>12869</v>
      </c>
      <c r="I2374" s="32"/>
      <c r="J2374" s="32"/>
      <c r="K2374" s="33" t="s">
        <v>12866</v>
      </c>
      <c r="L2374" s="33" t="s">
        <v>12870</v>
      </c>
      <c r="N2374" s="33" t="s">
        <v>12866</v>
      </c>
      <c r="O2374" s="35" t="s">
        <v>12687</v>
      </c>
    </row>
    <row r="2375">
      <c r="A2375" s="38"/>
      <c r="B2375" s="28" t="s">
        <v>12871</v>
      </c>
      <c r="C2375" s="28" t="s">
        <v>12695</v>
      </c>
      <c r="D2375" s="29" t="s">
        <v>12872</v>
      </c>
      <c r="E2375" s="30"/>
      <c r="F2375" s="28" t="s">
        <v>12873</v>
      </c>
      <c r="I2375" s="32"/>
      <c r="J2375" s="32"/>
      <c r="K2375" s="33" t="s">
        <v>12871</v>
      </c>
      <c r="L2375" s="33" t="s">
        <v>12874</v>
      </c>
      <c r="N2375" s="33" t="s">
        <v>12871</v>
      </c>
      <c r="O2375" s="35" t="s">
        <v>12694</v>
      </c>
    </row>
    <row r="2376">
      <c r="A2376" s="38"/>
      <c r="B2376" s="28" t="s">
        <v>12875</v>
      </c>
      <c r="C2376" s="28" t="s">
        <v>12876</v>
      </c>
      <c r="D2376" s="29" t="s">
        <v>12877</v>
      </c>
      <c r="E2376" s="30"/>
      <c r="F2376" s="28" t="s">
        <v>12878</v>
      </c>
      <c r="I2376" s="32"/>
      <c r="J2376" s="32"/>
      <c r="K2376" s="33" t="s">
        <v>12875</v>
      </c>
      <c r="L2376" s="33" t="s">
        <v>12879</v>
      </c>
      <c r="N2376" s="33" t="s">
        <v>12875</v>
      </c>
      <c r="O2376" s="35"/>
    </row>
    <row r="2377">
      <c r="A2377" s="38"/>
      <c r="B2377" s="28" t="s">
        <v>12880</v>
      </c>
      <c r="C2377" s="28" t="s">
        <v>12700</v>
      </c>
      <c r="D2377" s="29" t="s">
        <v>12881</v>
      </c>
      <c r="E2377" s="30" t="s">
        <v>12882</v>
      </c>
      <c r="F2377" s="28" t="s">
        <v>12883</v>
      </c>
      <c r="I2377" s="32"/>
      <c r="J2377" s="32"/>
      <c r="K2377" s="33" t="s">
        <v>12880</v>
      </c>
      <c r="L2377" s="33" t="s">
        <v>12884</v>
      </c>
      <c r="N2377" s="33" t="s">
        <v>12880</v>
      </c>
      <c r="O2377" s="47" t="s">
        <v>12885</v>
      </c>
    </row>
    <row r="2378">
      <c r="A2378" s="38"/>
      <c r="B2378" s="28" t="s">
        <v>12886</v>
      </c>
      <c r="C2378" s="28" t="s">
        <v>12887</v>
      </c>
      <c r="D2378" s="29" t="s">
        <v>12888</v>
      </c>
      <c r="E2378" s="30" t="s">
        <v>12889</v>
      </c>
      <c r="F2378" s="28" t="s">
        <v>12890</v>
      </c>
      <c r="I2378" s="32"/>
      <c r="J2378" s="32"/>
      <c r="K2378" s="33" t="s">
        <v>12886</v>
      </c>
      <c r="L2378" s="33" t="s">
        <v>12891</v>
      </c>
      <c r="N2378" s="33" t="s">
        <v>12886</v>
      </c>
      <c r="O2378" s="35" t="s">
        <v>12892</v>
      </c>
    </row>
    <row r="2379">
      <c r="A2379" s="38"/>
      <c r="B2379" s="28" t="s">
        <v>12893</v>
      </c>
      <c r="C2379" s="28" t="s">
        <v>12894</v>
      </c>
      <c r="D2379" s="29" t="s">
        <v>12895</v>
      </c>
      <c r="E2379" s="30" t="s">
        <v>12896</v>
      </c>
      <c r="F2379" s="28" t="s">
        <v>12897</v>
      </c>
      <c r="I2379" s="32"/>
      <c r="J2379" s="32"/>
      <c r="K2379" s="33" t="s">
        <v>12893</v>
      </c>
      <c r="L2379" s="33" t="s">
        <v>12898</v>
      </c>
      <c r="N2379" s="33" t="s">
        <v>12893</v>
      </c>
      <c r="O2379" s="35"/>
    </row>
    <row r="2380">
      <c r="A2380" s="38"/>
      <c r="B2380" s="28" t="s">
        <v>12899</v>
      </c>
      <c r="C2380" s="28" t="s">
        <v>12900</v>
      </c>
      <c r="D2380" s="29" t="s">
        <v>12901</v>
      </c>
      <c r="E2380" s="30" t="s">
        <v>12902</v>
      </c>
      <c r="F2380" s="28" t="s">
        <v>12903</v>
      </c>
      <c r="I2380" s="32"/>
      <c r="J2380" s="32"/>
      <c r="K2380" s="33" t="s">
        <v>12899</v>
      </c>
      <c r="L2380" s="33" t="s">
        <v>12904</v>
      </c>
      <c r="N2380" s="33" t="s">
        <v>12899</v>
      </c>
      <c r="O2380" s="35" t="s">
        <v>12905</v>
      </c>
    </row>
    <row r="2381">
      <c r="A2381" s="38"/>
      <c r="B2381" s="28" t="s">
        <v>12906</v>
      </c>
      <c r="C2381" s="28" t="s">
        <v>12715</v>
      </c>
      <c r="D2381" s="29" t="s">
        <v>12907</v>
      </c>
      <c r="E2381" s="30" t="s">
        <v>12908</v>
      </c>
      <c r="F2381" s="28" t="s">
        <v>12909</v>
      </c>
      <c r="I2381" s="32"/>
      <c r="J2381" s="32"/>
      <c r="K2381" s="33" t="s">
        <v>12906</v>
      </c>
      <c r="L2381" s="33" t="s">
        <v>12910</v>
      </c>
      <c r="N2381" s="33" t="s">
        <v>12906</v>
      </c>
      <c r="O2381" s="35" t="s">
        <v>12714</v>
      </c>
    </row>
    <row r="2382">
      <c r="A2382" s="38"/>
      <c r="B2382" s="28" t="s">
        <v>12911</v>
      </c>
      <c r="C2382" s="28" t="s">
        <v>12719</v>
      </c>
      <c r="D2382" s="29" t="s">
        <v>12912</v>
      </c>
      <c r="E2382" s="30" t="s">
        <v>12913</v>
      </c>
      <c r="F2382" s="28" t="s">
        <v>12914</v>
      </c>
      <c r="I2382" s="32"/>
      <c r="J2382" s="32"/>
      <c r="K2382" s="33" t="s">
        <v>12911</v>
      </c>
      <c r="L2382" s="33" t="s">
        <v>12915</v>
      </c>
      <c r="N2382" s="33" t="s">
        <v>12911</v>
      </c>
      <c r="O2382" s="35"/>
    </row>
    <row r="2383">
      <c r="A2383" s="38"/>
      <c r="B2383" s="28" t="s">
        <v>12916</v>
      </c>
      <c r="C2383" s="28" t="s">
        <v>12723</v>
      </c>
      <c r="D2383" s="29" t="s">
        <v>12917</v>
      </c>
      <c r="E2383" s="30"/>
      <c r="F2383" s="28" t="s">
        <v>12918</v>
      </c>
      <c r="I2383" s="32"/>
      <c r="J2383" s="32"/>
      <c r="K2383" s="33" t="s">
        <v>12916</v>
      </c>
      <c r="L2383" s="33" t="s">
        <v>12919</v>
      </c>
      <c r="N2383" s="33" t="s">
        <v>12916</v>
      </c>
      <c r="O2383" s="35"/>
    </row>
    <row r="2384">
      <c r="A2384" s="38"/>
      <c r="B2384" s="28" t="s">
        <v>12920</v>
      </c>
      <c r="C2384" s="28" t="s">
        <v>12728</v>
      </c>
      <c r="D2384" s="29" t="s">
        <v>12921</v>
      </c>
      <c r="E2384" s="30"/>
      <c r="F2384" s="28" t="s">
        <v>12922</v>
      </c>
      <c r="I2384" s="32"/>
      <c r="J2384" s="32"/>
      <c r="K2384" s="33" t="s">
        <v>12920</v>
      </c>
      <c r="L2384" s="33" t="s">
        <v>12923</v>
      </c>
      <c r="N2384" s="33" t="s">
        <v>12920</v>
      </c>
      <c r="O2384" s="35" t="s">
        <v>12727</v>
      </c>
    </row>
    <row r="2385">
      <c r="A2385" s="38"/>
      <c r="B2385" s="28" t="s">
        <v>12924</v>
      </c>
      <c r="C2385" s="28" t="s">
        <v>12733</v>
      </c>
      <c r="D2385" s="29" t="s">
        <v>12925</v>
      </c>
      <c r="E2385" s="30" t="s">
        <v>12926</v>
      </c>
      <c r="F2385" s="28" t="s">
        <v>12927</v>
      </c>
      <c r="I2385" s="32"/>
      <c r="J2385" s="32"/>
      <c r="K2385" s="33" t="s">
        <v>12924</v>
      </c>
      <c r="L2385" s="33" t="s">
        <v>12928</v>
      </c>
      <c r="N2385" s="33" t="s">
        <v>12924</v>
      </c>
      <c r="O2385" s="35" t="s">
        <v>12732</v>
      </c>
    </row>
    <row r="2386">
      <c r="A2386" s="38"/>
      <c r="B2386" s="28" t="s">
        <v>12929</v>
      </c>
      <c r="C2386" s="28" t="s">
        <v>12737</v>
      </c>
      <c r="D2386" s="29" t="s">
        <v>12930</v>
      </c>
      <c r="E2386" s="30" t="s">
        <v>12931</v>
      </c>
      <c r="F2386" s="28" t="s">
        <v>12932</v>
      </c>
      <c r="I2386" s="32"/>
      <c r="J2386" s="32"/>
      <c r="K2386" s="33" t="s">
        <v>12929</v>
      </c>
      <c r="L2386" s="33" t="s">
        <v>12933</v>
      </c>
      <c r="N2386" s="33" t="s">
        <v>12929</v>
      </c>
      <c r="O2386" s="35"/>
    </row>
    <row r="2387">
      <c r="A2387" s="38"/>
      <c r="B2387" s="28" t="s">
        <v>12934</v>
      </c>
      <c r="C2387" s="28" t="s">
        <v>12935</v>
      </c>
      <c r="D2387" s="29" t="s">
        <v>12936</v>
      </c>
      <c r="E2387" s="30" t="s">
        <v>12931</v>
      </c>
      <c r="F2387" s="28" t="s">
        <v>12937</v>
      </c>
      <c r="I2387" s="32"/>
      <c r="J2387" s="32"/>
      <c r="K2387" s="33" t="s">
        <v>12934</v>
      </c>
      <c r="L2387" s="33" t="s">
        <v>12938</v>
      </c>
      <c r="N2387" s="33" t="s">
        <v>12934</v>
      </c>
      <c r="O2387" s="35" t="s">
        <v>12939</v>
      </c>
    </row>
    <row r="2388">
      <c r="A2388" s="38"/>
      <c r="B2388" s="28" t="s">
        <v>12940</v>
      </c>
      <c r="C2388" s="28" t="s">
        <v>12941</v>
      </c>
      <c r="D2388" s="29" t="s">
        <v>12942</v>
      </c>
      <c r="E2388" s="54" t="s">
        <v>12943</v>
      </c>
      <c r="F2388" s="28" t="s">
        <v>12944</v>
      </c>
      <c r="I2388" s="32"/>
      <c r="J2388" s="32"/>
      <c r="K2388" s="33" t="s">
        <v>12940</v>
      </c>
      <c r="L2388" s="33" t="s">
        <v>12945</v>
      </c>
      <c r="N2388" s="33" t="s">
        <v>12940</v>
      </c>
      <c r="O2388" s="35" t="s">
        <v>12946</v>
      </c>
    </row>
    <row r="2389">
      <c r="A2389" s="38"/>
      <c r="B2389" s="28" t="s">
        <v>12947</v>
      </c>
      <c r="C2389" s="28" t="s">
        <v>12948</v>
      </c>
      <c r="D2389" s="29" t="s">
        <v>12949</v>
      </c>
      <c r="E2389" s="30" t="s">
        <v>12950</v>
      </c>
      <c r="F2389" s="28" t="s">
        <v>12951</v>
      </c>
      <c r="I2389" s="32"/>
      <c r="J2389" s="32"/>
      <c r="K2389" s="33" t="s">
        <v>12947</v>
      </c>
      <c r="L2389" s="33" t="s">
        <v>12952</v>
      </c>
      <c r="N2389" s="33" t="s">
        <v>12947</v>
      </c>
      <c r="O2389" s="35" t="s">
        <v>12953</v>
      </c>
    </row>
    <row r="2390">
      <c r="A2390" s="38"/>
      <c r="B2390" s="28" t="s">
        <v>12954</v>
      </c>
      <c r="C2390" s="28" t="s">
        <v>12754</v>
      </c>
      <c r="D2390" s="29" t="s">
        <v>12955</v>
      </c>
      <c r="E2390" s="30" t="s">
        <v>12956</v>
      </c>
      <c r="F2390" s="28" t="s">
        <v>12957</v>
      </c>
      <c r="I2390" s="32"/>
      <c r="J2390" s="32"/>
      <c r="K2390" s="33" t="s">
        <v>12954</v>
      </c>
      <c r="L2390" s="33" t="s">
        <v>12958</v>
      </c>
      <c r="N2390" s="33" t="s">
        <v>12954</v>
      </c>
      <c r="O2390" s="35" t="s">
        <v>12753</v>
      </c>
    </row>
    <row r="2391">
      <c r="A2391" s="38"/>
      <c r="B2391" s="28" t="s">
        <v>12959</v>
      </c>
      <c r="C2391" s="28" t="s">
        <v>12760</v>
      </c>
      <c r="D2391" s="29" t="s">
        <v>12960</v>
      </c>
      <c r="E2391" s="30" t="s">
        <v>12961</v>
      </c>
      <c r="F2391" s="28" t="s">
        <v>12962</v>
      </c>
      <c r="I2391" s="32"/>
      <c r="J2391" s="32"/>
      <c r="K2391" s="33" t="s">
        <v>12959</v>
      </c>
      <c r="L2391" s="33" t="s">
        <v>12963</v>
      </c>
      <c r="N2391" s="33" t="s">
        <v>12959</v>
      </c>
      <c r="O2391" s="35" t="s">
        <v>12759</v>
      </c>
    </row>
    <row r="2392">
      <c r="A2392" s="38"/>
      <c r="B2392" s="28" t="s">
        <v>12964</v>
      </c>
      <c r="C2392" s="28" t="s">
        <v>12765</v>
      </c>
      <c r="D2392" s="29" t="s">
        <v>12965</v>
      </c>
      <c r="E2392" s="30"/>
      <c r="F2392" s="28" t="s">
        <v>12966</v>
      </c>
      <c r="I2392" s="32"/>
      <c r="J2392" s="32"/>
      <c r="K2392" s="33" t="s">
        <v>12964</v>
      </c>
      <c r="L2392" s="33" t="s">
        <v>12967</v>
      </c>
      <c r="N2392" s="33" t="s">
        <v>12964</v>
      </c>
      <c r="O2392" s="47" t="s">
        <v>12968</v>
      </c>
    </row>
    <row r="2393">
      <c r="A2393" s="38"/>
      <c r="B2393" s="28" t="s">
        <v>12969</v>
      </c>
      <c r="C2393" s="28" t="s">
        <v>12775</v>
      </c>
      <c r="D2393" s="29" t="s">
        <v>12970</v>
      </c>
      <c r="E2393" s="54" t="s">
        <v>12971</v>
      </c>
      <c r="F2393" s="28" t="s">
        <v>12972</v>
      </c>
      <c r="I2393" s="32"/>
      <c r="J2393" s="32"/>
      <c r="K2393" s="33" t="s">
        <v>12969</v>
      </c>
      <c r="L2393" s="33" t="s">
        <v>12973</v>
      </c>
      <c r="N2393" s="33" t="s">
        <v>12969</v>
      </c>
      <c r="O2393" s="35" t="s">
        <v>12774</v>
      </c>
    </row>
    <row r="2394">
      <c r="A2394" s="38"/>
      <c r="B2394" s="28" t="s">
        <v>12974</v>
      </c>
      <c r="C2394" s="28" t="s">
        <v>12779</v>
      </c>
      <c r="D2394" s="29" t="s">
        <v>12975</v>
      </c>
      <c r="E2394" s="30" t="s">
        <v>12976</v>
      </c>
      <c r="F2394" s="28" t="s">
        <v>12977</v>
      </c>
      <c r="I2394" s="32"/>
      <c r="J2394" s="32"/>
      <c r="K2394" s="33" t="s">
        <v>12974</v>
      </c>
      <c r="L2394" s="33" t="s">
        <v>12978</v>
      </c>
      <c r="N2394" s="33" t="s">
        <v>12974</v>
      </c>
      <c r="O2394" s="35"/>
    </row>
    <row r="2395">
      <c r="A2395" s="38"/>
      <c r="B2395" s="28" t="s">
        <v>12979</v>
      </c>
      <c r="C2395" s="28" t="s">
        <v>12784</v>
      </c>
      <c r="D2395" s="29" t="s">
        <v>12980</v>
      </c>
      <c r="E2395" s="30"/>
      <c r="F2395" s="28" t="s">
        <v>12981</v>
      </c>
      <c r="I2395" s="32"/>
      <c r="J2395" s="32"/>
      <c r="K2395" s="33" t="s">
        <v>12979</v>
      </c>
      <c r="L2395" s="33" t="s">
        <v>12982</v>
      </c>
      <c r="N2395" s="33" t="s">
        <v>12979</v>
      </c>
      <c r="O2395" s="35" t="s">
        <v>12783</v>
      </c>
    </row>
    <row r="2396">
      <c r="A2396" s="38"/>
      <c r="B2396" s="28" t="s">
        <v>12983</v>
      </c>
      <c r="C2396" s="28" t="s">
        <v>12789</v>
      </c>
      <c r="D2396" s="29" t="s">
        <v>12984</v>
      </c>
      <c r="E2396" s="30" t="s">
        <v>12985</v>
      </c>
      <c r="F2396" s="28" t="s">
        <v>12986</v>
      </c>
      <c r="I2396" s="32"/>
      <c r="J2396" s="32"/>
      <c r="K2396" s="33" t="s">
        <v>12983</v>
      </c>
      <c r="L2396" s="33" t="s">
        <v>12987</v>
      </c>
      <c r="N2396" s="33" t="s">
        <v>12983</v>
      </c>
      <c r="O2396" s="35" t="s">
        <v>12788</v>
      </c>
    </row>
    <row r="2397">
      <c r="A2397" s="38"/>
      <c r="B2397" s="28" t="s">
        <v>12988</v>
      </c>
      <c r="C2397" s="28" t="s">
        <v>12794</v>
      </c>
      <c r="D2397" s="29" t="s">
        <v>12989</v>
      </c>
      <c r="E2397" s="54" t="s">
        <v>12990</v>
      </c>
      <c r="F2397" s="28" t="s">
        <v>12991</v>
      </c>
      <c r="I2397" s="32"/>
      <c r="J2397" s="32"/>
      <c r="K2397" s="33" t="s">
        <v>12988</v>
      </c>
      <c r="L2397" s="33" t="s">
        <v>12992</v>
      </c>
      <c r="N2397" s="33" t="s">
        <v>12988</v>
      </c>
      <c r="O2397" s="35"/>
    </row>
    <row r="2398">
      <c r="A2398" s="38"/>
      <c r="B2398" s="28" t="s">
        <v>12993</v>
      </c>
      <c r="C2398" s="28" t="s">
        <v>12800</v>
      </c>
      <c r="D2398" s="29" t="s">
        <v>12994</v>
      </c>
      <c r="E2398" s="30" t="s">
        <v>12995</v>
      </c>
      <c r="F2398" s="28" t="s">
        <v>12996</v>
      </c>
      <c r="I2398" s="32"/>
      <c r="J2398" s="32"/>
      <c r="K2398" s="33" t="s">
        <v>12993</v>
      </c>
      <c r="L2398" s="33" t="s">
        <v>12997</v>
      </c>
      <c r="N2398" s="33" t="s">
        <v>12993</v>
      </c>
      <c r="O2398" s="35" t="s">
        <v>12799</v>
      </c>
    </row>
    <row r="2399">
      <c r="A2399" s="38"/>
      <c r="B2399" s="28" t="s">
        <v>12998</v>
      </c>
      <c r="C2399" s="28" t="s">
        <v>12999</v>
      </c>
      <c r="D2399" s="29" t="s">
        <v>13000</v>
      </c>
      <c r="E2399" s="30" t="s">
        <v>13001</v>
      </c>
      <c r="F2399" s="28" t="s">
        <v>13002</v>
      </c>
      <c r="I2399" s="32"/>
      <c r="J2399" s="32"/>
      <c r="K2399" s="33" t="s">
        <v>12998</v>
      </c>
      <c r="L2399" s="33" t="s">
        <v>13003</v>
      </c>
      <c r="N2399" s="33" t="s">
        <v>12998</v>
      </c>
      <c r="O2399" s="35"/>
    </row>
    <row r="2400">
      <c r="A2400" s="38"/>
      <c r="B2400" s="28" t="s">
        <v>13004</v>
      </c>
      <c r="C2400" s="28" t="s">
        <v>13005</v>
      </c>
      <c r="D2400" s="29" t="s">
        <v>13006</v>
      </c>
      <c r="E2400" s="54" t="s">
        <v>13007</v>
      </c>
      <c r="F2400" s="28" t="s">
        <v>13008</v>
      </c>
      <c r="I2400" s="32"/>
      <c r="J2400" s="32"/>
      <c r="K2400" s="33" t="s">
        <v>13004</v>
      </c>
      <c r="L2400" s="33" t="s">
        <v>13009</v>
      </c>
      <c r="N2400" s="33" t="s">
        <v>13004</v>
      </c>
      <c r="O2400" s="35" t="s">
        <v>13010</v>
      </c>
    </row>
    <row r="2401">
      <c r="A2401" s="38"/>
      <c r="B2401" s="28" t="s">
        <v>13011</v>
      </c>
      <c r="C2401" s="28" t="s">
        <v>12809</v>
      </c>
      <c r="D2401" s="29" t="s">
        <v>13012</v>
      </c>
      <c r="E2401" s="30"/>
      <c r="F2401" s="28" t="s">
        <v>13013</v>
      </c>
      <c r="I2401" s="32"/>
      <c r="J2401" s="32"/>
      <c r="K2401" s="33" t="s">
        <v>13011</v>
      </c>
      <c r="L2401" s="33" t="s">
        <v>13014</v>
      </c>
      <c r="N2401" s="33" t="s">
        <v>13011</v>
      </c>
      <c r="O2401" s="35"/>
    </row>
    <row r="2402">
      <c r="A2402" s="38"/>
      <c r="B2402" s="28" t="s">
        <v>13015</v>
      </c>
      <c r="C2402" s="28" t="s">
        <v>13016</v>
      </c>
      <c r="D2402" s="29" t="s">
        <v>13017</v>
      </c>
      <c r="E2402" s="30" t="s">
        <v>13018</v>
      </c>
      <c r="F2402" s="28" t="s">
        <v>13019</v>
      </c>
      <c r="I2402" s="32"/>
      <c r="J2402" s="32"/>
      <c r="K2402" s="33" t="s">
        <v>13015</v>
      </c>
      <c r="L2402" s="33" t="s">
        <v>13020</v>
      </c>
      <c r="N2402" s="33" t="s">
        <v>13015</v>
      </c>
      <c r="O2402" s="35" t="s">
        <v>13021</v>
      </c>
    </row>
    <row r="2403">
      <c r="A2403" s="38"/>
      <c r="B2403" s="28" t="s">
        <v>13022</v>
      </c>
      <c r="C2403" s="28" t="s">
        <v>13023</v>
      </c>
      <c r="D2403" s="29" t="s">
        <v>13024</v>
      </c>
      <c r="E2403" s="30" t="s">
        <v>13025</v>
      </c>
      <c r="F2403" s="28" t="s">
        <v>13026</v>
      </c>
      <c r="I2403" s="32"/>
      <c r="J2403" s="32"/>
      <c r="K2403" s="33" t="s">
        <v>13022</v>
      </c>
      <c r="L2403" s="33" t="s">
        <v>13027</v>
      </c>
      <c r="N2403" s="33" t="s">
        <v>13022</v>
      </c>
      <c r="O2403" s="35" t="s">
        <v>13028</v>
      </c>
    </row>
    <row r="2404">
      <c r="A2404" s="38"/>
      <c r="B2404" s="28" t="s">
        <v>13029</v>
      </c>
      <c r="C2404" s="28" t="s">
        <v>12813</v>
      </c>
      <c r="D2404" s="29" t="s">
        <v>13030</v>
      </c>
      <c r="E2404" s="30" t="s">
        <v>13031</v>
      </c>
      <c r="F2404" s="28" t="s">
        <v>13032</v>
      </c>
      <c r="I2404" s="32"/>
      <c r="J2404" s="32"/>
      <c r="K2404" s="33" t="s">
        <v>13029</v>
      </c>
      <c r="L2404" s="33" t="s">
        <v>13033</v>
      </c>
      <c r="N2404" s="33" t="s">
        <v>13029</v>
      </c>
      <c r="O2404" s="35"/>
    </row>
    <row r="2405">
      <c r="A2405" s="38"/>
      <c r="B2405" s="28" t="s">
        <v>13034</v>
      </c>
      <c r="C2405" s="28" t="s">
        <v>12832</v>
      </c>
      <c r="D2405" s="29" t="s">
        <v>13035</v>
      </c>
      <c r="E2405" s="30" t="s">
        <v>13036</v>
      </c>
      <c r="F2405" s="28" t="s">
        <v>13037</v>
      </c>
      <c r="I2405" s="32"/>
      <c r="J2405" s="32"/>
      <c r="K2405" s="33" t="s">
        <v>13034</v>
      </c>
      <c r="L2405" s="33" t="s">
        <v>13038</v>
      </c>
      <c r="N2405" s="33" t="s">
        <v>13034</v>
      </c>
      <c r="O2405" s="35" t="s">
        <v>12831</v>
      </c>
    </row>
    <row r="2406">
      <c r="A2406" s="38"/>
      <c r="B2406" s="28" t="s">
        <v>13039</v>
      </c>
      <c r="C2406" s="28" t="s">
        <v>12848</v>
      </c>
      <c r="D2406" s="29" t="s">
        <v>13040</v>
      </c>
      <c r="E2406" s="30" t="s">
        <v>13041</v>
      </c>
      <c r="F2406" s="28" t="s">
        <v>13042</v>
      </c>
      <c r="I2406" s="32"/>
      <c r="J2406" s="32"/>
      <c r="K2406" s="33" t="s">
        <v>13039</v>
      </c>
      <c r="L2406" s="33" t="s">
        <v>13043</v>
      </c>
      <c r="N2406" s="33" t="s">
        <v>13039</v>
      </c>
      <c r="O2406" s="35" t="s">
        <v>12847</v>
      </c>
    </row>
    <row r="2407">
      <c r="A2407" s="38"/>
      <c r="B2407" s="28" t="s">
        <v>13044</v>
      </c>
      <c r="C2407" s="28" t="s">
        <v>12853</v>
      </c>
      <c r="D2407" s="29" t="s">
        <v>13045</v>
      </c>
      <c r="E2407" s="30"/>
      <c r="F2407" s="28" t="s">
        <v>13046</v>
      </c>
      <c r="I2407" s="32"/>
      <c r="J2407" s="32"/>
      <c r="K2407" s="33" t="s">
        <v>13044</v>
      </c>
      <c r="L2407" s="33" t="s">
        <v>13047</v>
      </c>
      <c r="N2407" s="33" t="s">
        <v>13044</v>
      </c>
      <c r="O2407" s="35"/>
    </row>
    <row r="2408">
      <c r="A2408" s="38"/>
      <c r="B2408" s="28" t="s">
        <v>13048</v>
      </c>
      <c r="C2408" s="28" t="s">
        <v>12859</v>
      </c>
      <c r="D2408" s="29" t="s">
        <v>13049</v>
      </c>
      <c r="E2408" s="30"/>
      <c r="F2408" s="28" t="s">
        <v>13050</v>
      </c>
      <c r="I2408" s="32"/>
      <c r="J2408" s="32"/>
      <c r="K2408" s="33" t="s">
        <v>13048</v>
      </c>
      <c r="L2408" s="33" t="s">
        <v>13051</v>
      </c>
      <c r="N2408" s="33" t="s">
        <v>13048</v>
      </c>
      <c r="O2408" s="35" t="s">
        <v>12858</v>
      </c>
    </row>
    <row r="2409">
      <c r="A2409" s="38"/>
      <c r="B2409" s="28" t="s">
        <v>13052</v>
      </c>
      <c r="C2409" s="28" t="s">
        <v>13053</v>
      </c>
      <c r="D2409" s="29" t="s">
        <v>13054</v>
      </c>
      <c r="E2409" s="30" t="s">
        <v>13055</v>
      </c>
      <c r="F2409" s="28" t="s">
        <v>13056</v>
      </c>
      <c r="I2409" s="32"/>
      <c r="J2409" s="32"/>
      <c r="K2409" s="33" t="s">
        <v>13052</v>
      </c>
      <c r="L2409" s="33" t="s">
        <v>13057</v>
      </c>
      <c r="N2409" s="33" t="s">
        <v>13052</v>
      </c>
      <c r="O2409" s="35" t="s">
        <v>13058</v>
      </c>
    </row>
    <row r="2410">
      <c r="A2410" s="38"/>
      <c r="B2410" s="28" t="s">
        <v>13059</v>
      </c>
      <c r="C2410" s="28" t="s">
        <v>12883</v>
      </c>
      <c r="D2410" s="29" t="s">
        <v>13060</v>
      </c>
      <c r="E2410" s="30"/>
      <c r="F2410" s="28" t="s">
        <v>13061</v>
      </c>
      <c r="I2410" s="32"/>
      <c r="J2410" s="32"/>
      <c r="K2410" s="33" t="s">
        <v>13059</v>
      </c>
      <c r="L2410" s="33" t="s">
        <v>13062</v>
      </c>
      <c r="N2410" s="33" t="s">
        <v>13059</v>
      </c>
      <c r="O2410" s="35" t="s">
        <v>12882</v>
      </c>
    </row>
    <row r="2411">
      <c r="A2411" s="38"/>
      <c r="B2411" s="28" t="s">
        <v>13063</v>
      </c>
      <c r="C2411" s="28" t="s">
        <v>12890</v>
      </c>
      <c r="D2411" s="29" t="s">
        <v>13064</v>
      </c>
      <c r="E2411" s="30" t="s">
        <v>13065</v>
      </c>
      <c r="F2411" s="28" t="s">
        <v>13066</v>
      </c>
      <c r="I2411" s="32"/>
      <c r="J2411" s="32"/>
      <c r="K2411" s="33" t="s">
        <v>13063</v>
      </c>
      <c r="L2411" s="33" t="s">
        <v>13067</v>
      </c>
      <c r="N2411" s="33" t="s">
        <v>13063</v>
      </c>
      <c r="O2411" s="35" t="s">
        <v>12889</v>
      </c>
    </row>
    <row r="2412">
      <c r="A2412" s="38"/>
      <c r="B2412" s="28" t="s">
        <v>13068</v>
      </c>
      <c r="C2412" s="28" t="s">
        <v>12903</v>
      </c>
      <c r="D2412" s="29" t="s">
        <v>13069</v>
      </c>
      <c r="E2412" s="54" t="s">
        <v>13070</v>
      </c>
      <c r="F2412" s="28" t="s">
        <v>13071</v>
      </c>
      <c r="I2412" s="32"/>
      <c r="J2412" s="32"/>
      <c r="K2412" s="33" t="s">
        <v>13068</v>
      </c>
      <c r="L2412" s="33" t="s">
        <v>13072</v>
      </c>
      <c r="N2412" s="33" t="s">
        <v>13068</v>
      </c>
      <c r="O2412" s="35" t="s">
        <v>12902</v>
      </c>
    </row>
    <row r="2413">
      <c r="A2413" s="38"/>
      <c r="B2413" s="28" t="s">
        <v>13073</v>
      </c>
      <c r="C2413" s="28" t="s">
        <v>13074</v>
      </c>
      <c r="D2413" s="29" t="s">
        <v>13075</v>
      </c>
      <c r="E2413" s="30"/>
      <c r="F2413" s="28" t="s">
        <v>13076</v>
      </c>
      <c r="I2413" s="32"/>
      <c r="J2413" s="32"/>
      <c r="K2413" s="33" t="s">
        <v>13073</v>
      </c>
      <c r="L2413" s="33" t="s">
        <v>13077</v>
      </c>
      <c r="N2413" s="33" t="s">
        <v>13073</v>
      </c>
      <c r="O2413" s="35"/>
    </row>
    <row r="2414">
      <c r="A2414" s="38"/>
      <c r="B2414" s="28" t="s">
        <v>13078</v>
      </c>
      <c r="C2414" s="28" t="s">
        <v>13079</v>
      </c>
      <c r="D2414" s="29" t="s">
        <v>13080</v>
      </c>
      <c r="E2414" s="30" t="s">
        <v>13081</v>
      </c>
      <c r="F2414" s="28" t="s">
        <v>13082</v>
      </c>
      <c r="I2414" s="32"/>
      <c r="J2414" s="32"/>
      <c r="K2414" s="33" t="s">
        <v>13078</v>
      </c>
      <c r="L2414" s="33" t="s">
        <v>13083</v>
      </c>
      <c r="N2414" s="33" t="s">
        <v>13078</v>
      </c>
      <c r="O2414" s="35"/>
    </row>
    <row r="2415">
      <c r="A2415" s="38"/>
      <c r="B2415" s="28" t="s">
        <v>13084</v>
      </c>
      <c r="C2415" s="28" t="s">
        <v>12909</v>
      </c>
      <c r="D2415" s="29" t="s">
        <v>13085</v>
      </c>
      <c r="E2415" s="30" t="s">
        <v>13086</v>
      </c>
      <c r="F2415" s="28" t="s">
        <v>13087</v>
      </c>
      <c r="I2415" s="32"/>
      <c r="J2415" s="32"/>
      <c r="K2415" s="33" t="s">
        <v>13084</v>
      </c>
      <c r="L2415" s="33" t="s">
        <v>13088</v>
      </c>
      <c r="N2415" s="33" t="s">
        <v>13084</v>
      </c>
      <c r="O2415" s="35" t="s">
        <v>12908</v>
      </c>
    </row>
    <row r="2416">
      <c r="A2416" s="38"/>
      <c r="B2416" s="28" t="s">
        <v>13089</v>
      </c>
      <c r="C2416" s="28" t="s">
        <v>13090</v>
      </c>
      <c r="D2416" s="29" t="s">
        <v>13091</v>
      </c>
      <c r="E2416" s="30" t="s">
        <v>13092</v>
      </c>
      <c r="F2416" s="28" t="s">
        <v>13093</v>
      </c>
      <c r="I2416" s="32"/>
      <c r="J2416" s="32"/>
      <c r="K2416" s="33" t="s">
        <v>13089</v>
      </c>
      <c r="L2416" s="33" t="s">
        <v>13094</v>
      </c>
      <c r="N2416" s="33" t="s">
        <v>13089</v>
      </c>
      <c r="O2416" s="35"/>
    </row>
    <row r="2417">
      <c r="A2417" s="38"/>
      <c r="B2417" s="28" t="s">
        <v>13095</v>
      </c>
      <c r="C2417" s="28" t="s">
        <v>12914</v>
      </c>
      <c r="D2417" s="29" t="s">
        <v>13096</v>
      </c>
      <c r="E2417" s="30" t="s">
        <v>759</v>
      </c>
      <c r="F2417" s="28" t="s">
        <v>754</v>
      </c>
      <c r="I2417" s="32"/>
      <c r="J2417" s="32"/>
      <c r="K2417" s="33" t="s">
        <v>13095</v>
      </c>
      <c r="L2417" s="33" t="s">
        <v>13097</v>
      </c>
      <c r="N2417" s="33" t="s">
        <v>13095</v>
      </c>
      <c r="O2417" s="35" t="s">
        <v>12913</v>
      </c>
    </row>
    <row r="2418">
      <c r="A2418" s="38"/>
      <c r="B2418" s="28" t="s">
        <v>13098</v>
      </c>
      <c r="C2418" s="28" t="s">
        <v>13099</v>
      </c>
      <c r="D2418" s="29" t="s">
        <v>13100</v>
      </c>
      <c r="E2418" s="30" t="s">
        <v>13101</v>
      </c>
      <c r="F2418" s="28" t="s">
        <v>13102</v>
      </c>
      <c r="I2418" s="32"/>
      <c r="J2418" s="32"/>
      <c r="K2418" s="33" t="s">
        <v>13098</v>
      </c>
      <c r="L2418" s="33" t="s">
        <v>13103</v>
      </c>
      <c r="N2418" s="33" t="s">
        <v>13098</v>
      </c>
      <c r="O2418" s="35"/>
    </row>
    <row r="2419">
      <c r="A2419" s="38"/>
      <c r="B2419" s="28" t="s">
        <v>13104</v>
      </c>
      <c r="C2419" s="28" t="s">
        <v>12937</v>
      </c>
      <c r="D2419" s="29" t="s">
        <v>13105</v>
      </c>
      <c r="E2419" s="30" t="s">
        <v>13106</v>
      </c>
      <c r="F2419" s="28" t="s">
        <v>13107</v>
      </c>
      <c r="I2419" s="32"/>
      <c r="J2419" s="32"/>
      <c r="K2419" s="33" t="s">
        <v>13104</v>
      </c>
      <c r="L2419" s="33" t="s">
        <v>13108</v>
      </c>
      <c r="N2419" s="33" t="s">
        <v>13104</v>
      </c>
      <c r="O2419" s="35" t="s">
        <v>12931</v>
      </c>
    </row>
    <row r="2420">
      <c r="A2420" s="38"/>
      <c r="B2420" s="28" t="s">
        <v>13109</v>
      </c>
      <c r="C2420" s="28" t="s">
        <v>12944</v>
      </c>
      <c r="D2420" s="29" t="s">
        <v>13110</v>
      </c>
      <c r="E2420" s="30" t="s">
        <v>13111</v>
      </c>
      <c r="F2420" s="28" t="s">
        <v>13112</v>
      </c>
      <c r="I2420" s="32"/>
      <c r="J2420" s="32"/>
      <c r="K2420" s="33" t="s">
        <v>13109</v>
      </c>
      <c r="L2420" s="33" t="s">
        <v>13113</v>
      </c>
      <c r="N2420" s="33" t="s">
        <v>13109</v>
      </c>
      <c r="O2420" s="47" t="s">
        <v>13114</v>
      </c>
    </row>
    <row r="2421">
      <c r="A2421" s="38"/>
      <c r="B2421" s="28" t="s">
        <v>13115</v>
      </c>
      <c r="C2421" s="28" t="s">
        <v>13116</v>
      </c>
      <c r="D2421" s="29" t="s">
        <v>13117</v>
      </c>
      <c r="E2421" s="30" t="s">
        <v>13118</v>
      </c>
      <c r="F2421" s="28" t="s">
        <v>13119</v>
      </c>
      <c r="I2421" s="32"/>
      <c r="J2421" s="32"/>
      <c r="K2421" s="33" t="s">
        <v>13115</v>
      </c>
      <c r="L2421" s="33" t="s">
        <v>13120</v>
      </c>
      <c r="N2421" s="33" t="s">
        <v>13115</v>
      </c>
      <c r="O2421" s="35" t="s">
        <v>13121</v>
      </c>
    </row>
    <row r="2422">
      <c r="A2422" s="38"/>
      <c r="B2422" s="28" t="s">
        <v>13122</v>
      </c>
      <c r="C2422" s="28" t="s">
        <v>12951</v>
      </c>
      <c r="D2422" s="29" t="s">
        <v>13123</v>
      </c>
      <c r="E2422" s="30"/>
      <c r="F2422" s="28" t="s">
        <v>13124</v>
      </c>
      <c r="I2422" s="32"/>
      <c r="J2422" s="32"/>
      <c r="K2422" s="33" t="s">
        <v>13122</v>
      </c>
      <c r="L2422" s="33" t="s">
        <v>13125</v>
      </c>
      <c r="N2422" s="33" t="s">
        <v>13122</v>
      </c>
      <c r="O2422" s="35" t="s">
        <v>12950</v>
      </c>
    </row>
    <row r="2423">
      <c r="A2423" s="38"/>
      <c r="B2423" s="28" t="s">
        <v>13126</v>
      </c>
      <c r="C2423" s="28" t="s">
        <v>12957</v>
      </c>
      <c r="D2423" s="29" t="s">
        <v>13127</v>
      </c>
      <c r="E2423" s="30" t="s">
        <v>13128</v>
      </c>
      <c r="F2423" s="28" t="s">
        <v>13129</v>
      </c>
      <c r="I2423" s="32"/>
      <c r="J2423" s="32"/>
      <c r="K2423" s="33" t="s">
        <v>13126</v>
      </c>
      <c r="L2423" s="33" t="s">
        <v>13130</v>
      </c>
      <c r="N2423" s="33" t="s">
        <v>13126</v>
      </c>
      <c r="O2423" s="35" t="s">
        <v>12956</v>
      </c>
    </row>
    <row r="2424">
      <c r="A2424" s="38"/>
      <c r="B2424" s="28" t="s">
        <v>13131</v>
      </c>
      <c r="C2424" s="28" t="s">
        <v>12962</v>
      </c>
      <c r="D2424" s="29" t="s">
        <v>13132</v>
      </c>
      <c r="E2424" s="30" t="s">
        <v>13133</v>
      </c>
      <c r="F2424" s="28" t="s">
        <v>13134</v>
      </c>
      <c r="I2424" s="32"/>
      <c r="J2424" s="32"/>
      <c r="K2424" s="33" t="s">
        <v>13131</v>
      </c>
      <c r="L2424" s="33" t="s">
        <v>13135</v>
      </c>
      <c r="N2424" s="33" t="s">
        <v>13131</v>
      </c>
      <c r="O2424" s="35" t="s">
        <v>12961</v>
      </c>
    </row>
    <row r="2425">
      <c r="A2425" s="38"/>
      <c r="B2425" s="28" t="s">
        <v>13136</v>
      </c>
      <c r="C2425" s="28" t="s">
        <v>12966</v>
      </c>
      <c r="D2425" s="29" t="s">
        <v>13137</v>
      </c>
      <c r="E2425" s="54" t="s">
        <v>13138</v>
      </c>
      <c r="F2425" s="28" t="s">
        <v>13139</v>
      </c>
      <c r="I2425" s="32"/>
      <c r="J2425" s="32"/>
      <c r="K2425" s="33" t="s">
        <v>13136</v>
      </c>
      <c r="L2425" s="33" t="s">
        <v>13140</v>
      </c>
      <c r="N2425" s="33" t="s">
        <v>13136</v>
      </c>
      <c r="O2425" s="35"/>
    </row>
    <row r="2426">
      <c r="A2426" s="38"/>
      <c r="B2426" s="28" t="s">
        <v>13141</v>
      </c>
      <c r="C2426" s="28" t="s">
        <v>12977</v>
      </c>
      <c r="D2426" s="29" t="s">
        <v>13142</v>
      </c>
      <c r="E2426" s="30" t="s">
        <v>13143</v>
      </c>
      <c r="F2426" s="28" t="s">
        <v>13144</v>
      </c>
      <c r="I2426" s="32"/>
      <c r="J2426" s="32"/>
      <c r="K2426" s="33" t="s">
        <v>13141</v>
      </c>
      <c r="L2426" s="33" t="s">
        <v>13145</v>
      </c>
      <c r="N2426" s="33" t="s">
        <v>13141</v>
      </c>
      <c r="O2426" s="35" t="s">
        <v>12976</v>
      </c>
    </row>
    <row r="2427">
      <c r="A2427" s="38"/>
      <c r="B2427" s="28" t="s">
        <v>13146</v>
      </c>
      <c r="C2427" s="28" t="s">
        <v>13147</v>
      </c>
      <c r="D2427" s="29" t="s">
        <v>13148</v>
      </c>
      <c r="E2427" s="30" t="s">
        <v>13149</v>
      </c>
      <c r="F2427" s="28" t="s">
        <v>13150</v>
      </c>
      <c r="I2427" s="32"/>
      <c r="J2427" s="32"/>
      <c r="K2427" s="33" t="s">
        <v>13146</v>
      </c>
      <c r="L2427" s="33" t="s">
        <v>13151</v>
      </c>
      <c r="N2427" s="33" t="s">
        <v>13146</v>
      </c>
      <c r="O2427" s="35" t="s">
        <v>13152</v>
      </c>
    </row>
    <row r="2428">
      <c r="A2428" s="38"/>
      <c r="B2428" s="28" t="s">
        <v>13153</v>
      </c>
      <c r="C2428" s="28" t="s">
        <v>13002</v>
      </c>
      <c r="D2428" s="29" t="s">
        <v>13154</v>
      </c>
      <c r="E2428" s="30"/>
      <c r="F2428" s="28" t="s">
        <v>13155</v>
      </c>
      <c r="I2428" s="32"/>
      <c r="J2428" s="32"/>
      <c r="K2428" s="33" t="s">
        <v>13153</v>
      </c>
      <c r="L2428" s="33" t="s">
        <v>13156</v>
      </c>
      <c r="N2428" s="33" t="s">
        <v>13153</v>
      </c>
      <c r="O2428" s="35" t="s">
        <v>13001</v>
      </c>
    </row>
    <row r="2429">
      <c r="A2429" s="38"/>
      <c r="B2429" s="28" t="s">
        <v>13157</v>
      </c>
      <c r="C2429" s="28" t="s">
        <v>13008</v>
      </c>
      <c r="D2429" s="29" t="s">
        <v>13158</v>
      </c>
      <c r="E2429" s="30"/>
      <c r="F2429" s="28" t="s">
        <v>13159</v>
      </c>
      <c r="I2429" s="32"/>
      <c r="J2429" s="32"/>
      <c r="K2429" s="33" t="s">
        <v>13157</v>
      </c>
      <c r="L2429" s="33" t="s">
        <v>13160</v>
      </c>
      <c r="N2429" s="33" t="s">
        <v>13157</v>
      </c>
      <c r="O2429" s="47" t="s">
        <v>13161</v>
      </c>
    </row>
    <row r="2430">
      <c r="A2430" s="38"/>
      <c r="B2430" s="28" t="s">
        <v>13162</v>
      </c>
      <c r="C2430" s="28" t="s">
        <v>13163</v>
      </c>
      <c r="D2430" s="29" t="s">
        <v>13164</v>
      </c>
      <c r="E2430" s="30" t="s">
        <v>13165</v>
      </c>
      <c r="F2430" s="28" t="s">
        <v>13166</v>
      </c>
      <c r="I2430" s="32"/>
      <c r="J2430" s="32"/>
      <c r="K2430" s="33" t="s">
        <v>13162</v>
      </c>
      <c r="L2430" s="33" t="s">
        <v>13167</v>
      </c>
      <c r="N2430" s="33" t="s">
        <v>13162</v>
      </c>
      <c r="O2430" s="35" t="s">
        <v>13028</v>
      </c>
    </row>
    <row r="2431">
      <c r="A2431" s="38"/>
      <c r="B2431" s="28" t="s">
        <v>13168</v>
      </c>
      <c r="C2431" s="28" t="s">
        <v>13013</v>
      </c>
      <c r="D2431" s="29" t="s">
        <v>13169</v>
      </c>
      <c r="E2431" s="30" t="s">
        <v>13170</v>
      </c>
      <c r="F2431" s="28" t="s">
        <v>13171</v>
      </c>
      <c r="I2431" s="32"/>
      <c r="J2431" s="32"/>
      <c r="K2431" s="33" t="s">
        <v>13168</v>
      </c>
      <c r="L2431" s="33" t="s">
        <v>13172</v>
      </c>
      <c r="N2431" s="33" t="s">
        <v>13168</v>
      </c>
      <c r="O2431" s="35"/>
    </row>
    <row r="2432">
      <c r="A2432" s="38"/>
      <c r="B2432" s="28" t="s">
        <v>13173</v>
      </c>
      <c r="C2432" s="28" t="s">
        <v>13174</v>
      </c>
      <c r="D2432" s="29" t="s">
        <v>13175</v>
      </c>
      <c r="E2432" s="30"/>
      <c r="F2432" s="28" t="s">
        <v>13176</v>
      </c>
      <c r="I2432" s="32"/>
      <c r="J2432" s="32"/>
      <c r="K2432" s="33" t="s">
        <v>13173</v>
      </c>
      <c r="L2432" s="33" t="s">
        <v>13177</v>
      </c>
      <c r="N2432" s="33" t="s">
        <v>13173</v>
      </c>
      <c r="O2432" s="35" t="s">
        <v>13178</v>
      </c>
    </row>
    <row r="2433">
      <c r="A2433" s="38"/>
      <c r="B2433" s="28" t="s">
        <v>13179</v>
      </c>
      <c r="C2433" s="28" t="s">
        <v>13032</v>
      </c>
      <c r="D2433" s="29" t="s">
        <v>13180</v>
      </c>
      <c r="E2433" s="30"/>
      <c r="F2433" s="28" t="s">
        <v>13181</v>
      </c>
      <c r="I2433" s="32"/>
      <c r="J2433" s="32"/>
      <c r="K2433" s="33" t="s">
        <v>13179</v>
      </c>
      <c r="L2433" s="33" t="s">
        <v>13182</v>
      </c>
      <c r="N2433" s="33" t="s">
        <v>13179</v>
      </c>
      <c r="O2433" s="35" t="s">
        <v>13031</v>
      </c>
    </row>
    <row r="2434">
      <c r="A2434" s="38"/>
      <c r="B2434" s="28" t="s">
        <v>13183</v>
      </c>
      <c r="C2434" s="28" t="s">
        <v>13184</v>
      </c>
      <c r="D2434" s="29" t="s">
        <v>13185</v>
      </c>
      <c r="E2434" s="30" t="s">
        <v>13186</v>
      </c>
      <c r="F2434" s="28" t="s">
        <v>13187</v>
      </c>
      <c r="I2434" s="32"/>
      <c r="J2434" s="32"/>
      <c r="K2434" s="33" t="s">
        <v>13183</v>
      </c>
      <c r="L2434" s="33" t="s">
        <v>13188</v>
      </c>
      <c r="N2434" s="33" t="s">
        <v>13183</v>
      </c>
      <c r="O2434" s="35"/>
    </row>
    <row r="2435">
      <c r="A2435" s="38"/>
      <c r="B2435" s="28" t="s">
        <v>13189</v>
      </c>
      <c r="C2435" s="28" t="s">
        <v>13037</v>
      </c>
      <c r="D2435" s="29" t="s">
        <v>13190</v>
      </c>
      <c r="E2435" s="54" t="s">
        <v>13191</v>
      </c>
      <c r="F2435" s="28" t="s">
        <v>13192</v>
      </c>
      <c r="I2435" s="32"/>
      <c r="J2435" s="32"/>
      <c r="K2435" s="33" t="s">
        <v>13189</v>
      </c>
      <c r="L2435" s="33" t="s">
        <v>13193</v>
      </c>
      <c r="N2435" s="33" t="s">
        <v>13189</v>
      </c>
      <c r="O2435" s="35" t="s">
        <v>13036</v>
      </c>
    </row>
    <row r="2436">
      <c r="A2436" s="38"/>
      <c r="B2436" s="28" t="s">
        <v>13194</v>
      </c>
      <c r="C2436" s="28" t="s">
        <v>13195</v>
      </c>
      <c r="D2436" s="29" t="s">
        <v>13196</v>
      </c>
      <c r="E2436" s="30" t="s">
        <v>13197</v>
      </c>
      <c r="F2436" s="28" t="s">
        <v>13198</v>
      </c>
      <c r="I2436" s="32"/>
      <c r="J2436" s="32"/>
      <c r="K2436" s="33" t="s">
        <v>13194</v>
      </c>
      <c r="L2436" s="33" t="s">
        <v>13199</v>
      </c>
      <c r="N2436" s="33" t="s">
        <v>13194</v>
      </c>
      <c r="O2436" s="35" t="s">
        <v>13200</v>
      </c>
    </row>
    <row r="2437">
      <c r="A2437" s="38"/>
      <c r="B2437" s="28" t="s">
        <v>13201</v>
      </c>
      <c r="C2437" s="28" t="s">
        <v>13202</v>
      </c>
      <c r="D2437" s="29" t="s">
        <v>13203</v>
      </c>
      <c r="E2437" s="30"/>
      <c r="F2437" s="28" t="s">
        <v>13204</v>
      </c>
      <c r="I2437" s="32"/>
      <c r="J2437" s="32"/>
      <c r="K2437" s="33" t="s">
        <v>13201</v>
      </c>
      <c r="L2437" s="33" t="s">
        <v>13205</v>
      </c>
      <c r="N2437" s="33" t="s">
        <v>13201</v>
      </c>
      <c r="O2437" s="35" t="s">
        <v>13206</v>
      </c>
    </row>
    <row r="2438">
      <c r="A2438" s="38"/>
      <c r="B2438" s="28" t="s">
        <v>13207</v>
      </c>
      <c r="C2438" s="28" t="s">
        <v>13042</v>
      </c>
      <c r="D2438" s="29" t="s">
        <v>13208</v>
      </c>
      <c r="E2438" s="30" t="s">
        <v>13209</v>
      </c>
      <c r="F2438" s="28" t="s">
        <v>13210</v>
      </c>
      <c r="I2438" s="32"/>
      <c r="J2438" s="32"/>
      <c r="K2438" s="33" t="s">
        <v>13207</v>
      </c>
      <c r="L2438" s="33" t="s">
        <v>13211</v>
      </c>
      <c r="N2438" s="33" t="s">
        <v>13207</v>
      </c>
      <c r="O2438" s="35" t="s">
        <v>13041</v>
      </c>
    </row>
    <row r="2439">
      <c r="A2439" s="38"/>
      <c r="B2439" s="28" t="s">
        <v>13212</v>
      </c>
      <c r="C2439" s="28" t="s">
        <v>13213</v>
      </c>
      <c r="D2439" s="29" t="s">
        <v>13214</v>
      </c>
      <c r="E2439" s="30" t="s">
        <v>13215</v>
      </c>
      <c r="F2439" s="28" t="s">
        <v>13216</v>
      </c>
      <c r="I2439" s="32"/>
      <c r="J2439" s="32"/>
      <c r="K2439" s="33" t="s">
        <v>13212</v>
      </c>
      <c r="L2439" s="33" t="s">
        <v>13217</v>
      </c>
      <c r="N2439" s="33" t="s">
        <v>13212</v>
      </c>
      <c r="O2439" s="47" t="s">
        <v>13218</v>
      </c>
    </row>
    <row r="2440">
      <c r="A2440" s="38"/>
      <c r="B2440" s="28" t="s">
        <v>13219</v>
      </c>
      <c r="C2440" s="28" t="s">
        <v>13220</v>
      </c>
      <c r="D2440" s="29" t="s">
        <v>13221</v>
      </c>
      <c r="E2440" s="30"/>
      <c r="F2440" s="28" t="s">
        <v>13222</v>
      </c>
      <c r="I2440" s="32"/>
      <c r="J2440" s="32"/>
      <c r="K2440" s="33" t="s">
        <v>13219</v>
      </c>
      <c r="L2440" s="33" t="s">
        <v>13223</v>
      </c>
      <c r="N2440" s="33" t="s">
        <v>13219</v>
      </c>
      <c r="O2440" s="35"/>
    </row>
    <row r="2441">
      <c r="A2441" s="38"/>
      <c r="B2441" s="28" t="s">
        <v>13224</v>
      </c>
      <c r="C2441" s="28" t="s">
        <v>13046</v>
      </c>
      <c r="D2441" s="29" t="s">
        <v>13225</v>
      </c>
      <c r="E2441" s="54" t="s">
        <v>13226</v>
      </c>
      <c r="F2441" s="28" t="s">
        <v>13227</v>
      </c>
      <c r="I2441" s="32"/>
      <c r="J2441" s="32"/>
      <c r="K2441" s="33" t="s">
        <v>13224</v>
      </c>
      <c r="L2441" s="33" t="s">
        <v>13228</v>
      </c>
      <c r="N2441" s="33" t="s">
        <v>13224</v>
      </c>
      <c r="O2441" s="35"/>
    </row>
    <row r="2442">
      <c r="A2442" s="38"/>
      <c r="B2442" s="28" t="s">
        <v>13229</v>
      </c>
      <c r="C2442" s="28" t="s">
        <v>13230</v>
      </c>
      <c r="D2442" s="29" t="s">
        <v>13231</v>
      </c>
      <c r="E2442" s="30" t="s">
        <v>13232</v>
      </c>
      <c r="F2442" s="28" t="s">
        <v>13233</v>
      </c>
      <c r="I2442" s="32"/>
      <c r="J2442" s="32"/>
      <c r="K2442" s="33" t="s">
        <v>13229</v>
      </c>
      <c r="L2442" s="33" t="s">
        <v>13234</v>
      </c>
      <c r="N2442" s="33" t="s">
        <v>13229</v>
      </c>
      <c r="O2442" s="35" t="s">
        <v>13235</v>
      </c>
    </row>
    <row r="2443">
      <c r="A2443" s="38"/>
      <c r="B2443" s="28" t="s">
        <v>13236</v>
      </c>
      <c r="C2443" s="28" t="s">
        <v>13237</v>
      </c>
      <c r="D2443" s="29" t="s">
        <v>13238</v>
      </c>
      <c r="E2443" s="30" t="s">
        <v>13239</v>
      </c>
      <c r="F2443" s="28" t="s">
        <v>13240</v>
      </c>
      <c r="I2443" s="32"/>
      <c r="J2443" s="32"/>
      <c r="K2443" s="33" t="s">
        <v>13236</v>
      </c>
      <c r="L2443" s="33" t="s">
        <v>13241</v>
      </c>
      <c r="N2443" s="33" t="s">
        <v>13236</v>
      </c>
      <c r="O2443" s="35" t="s">
        <v>13242</v>
      </c>
    </row>
    <row r="2444">
      <c r="A2444" s="38"/>
      <c r="B2444" s="28" t="s">
        <v>13243</v>
      </c>
      <c r="C2444" s="28" t="s">
        <v>13050</v>
      </c>
      <c r="D2444" s="29" t="s">
        <v>13244</v>
      </c>
      <c r="E2444" s="30" t="s">
        <v>13245</v>
      </c>
      <c r="F2444" s="28" t="s">
        <v>13246</v>
      </c>
      <c r="I2444" s="32"/>
      <c r="J2444" s="32"/>
      <c r="K2444" s="33" t="s">
        <v>13243</v>
      </c>
      <c r="L2444" s="33" t="s">
        <v>13247</v>
      </c>
      <c r="N2444" s="33" t="s">
        <v>13243</v>
      </c>
      <c r="O2444" s="35"/>
    </row>
    <row r="2445">
      <c r="A2445" s="38"/>
      <c r="B2445" s="28" t="s">
        <v>13248</v>
      </c>
      <c r="C2445" s="28" t="s">
        <v>13061</v>
      </c>
      <c r="D2445" s="29" t="s">
        <v>13249</v>
      </c>
      <c r="E2445" s="30"/>
      <c r="F2445" s="28" t="s">
        <v>13250</v>
      </c>
      <c r="I2445" s="32"/>
      <c r="J2445" s="32"/>
      <c r="K2445" s="33" t="s">
        <v>13248</v>
      </c>
      <c r="L2445" s="33" t="s">
        <v>13251</v>
      </c>
      <c r="N2445" s="33" t="s">
        <v>13248</v>
      </c>
      <c r="O2445" s="35"/>
    </row>
    <row r="2446">
      <c r="A2446" s="38"/>
      <c r="B2446" s="28" t="s">
        <v>13252</v>
      </c>
      <c r="C2446" s="28" t="s">
        <v>13253</v>
      </c>
      <c r="D2446" s="29" t="s">
        <v>13254</v>
      </c>
      <c r="E2446" s="30" t="s">
        <v>13255</v>
      </c>
      <c r="F2446" s="28" t="s">
        <v>13256</v>
      </c>
      <c r="I2446" s="32"/>
      <c r="J2446" s="32"/>
      <c r="K2446" s="33" t="s">
        <v>13252</v>
      </c>
      <c r="L2446" s="33" t="s">
        <v>13257</v>
      </c>
      <c r="N2446" s="33" t="s">
        <v>13252</v>
      </c>
      <c r="O2446" s="47" t="s">
        <v>13258</v>
      </c>
    </row>
    <row r="2447">
      <c r="A2447" s="38"/>
      <c r="B2447" s="28" t="s">
        <v>13259</v>
      </c>
      <c r="C2447" s="28" t="s">
        <v>13260</v>
      </c>
      <c r="D2447" s="29" t="s">
        <v>13261</v>
      </c>
      <c r="E2447" s="54" t="s">
        <v>13262</v>
      </c>
      <c r="F2447" s="28" t="s">
        <v>13263</v>
      </c>
      <c r="I2447" s="32"/>
      <c r="J2447" s="32"/>
      <c r="K2447" s="33" t="s">
        <v>13259</v>
      </c>
      <c r="L2447" s="33" t="s">
        <v>13264</v>
      </c>
      <c r="N2447" s="33" t="s">
        <v>13259</v>
      </c>
      <c r="O2447" s="35" t="s">
        <v>13265</v>
      </c>
    </row>
    <row r="2448">
      <c r="A2448" s="38"/>
      <c r="B2448" s="28" t="s">
        <v>13266</v>
      </c>
      <c r="C2448" s="28" t="s">
        <v>13087</v>
      </c>
      <c r="D2448" s="29" t="s">
        <v>13267</v>
      </c>
      <c r="E2448" s="30" t="s">
        <v>13268</v>
      </c>
      <c r="F2448" s="28" t="s">
        <v>13269</v>
      </c>
      <c r="I2448" s="32"/>
      <c r="J2448" s="32"/>
      <c r="K2448" s="33" t="s">
        <v>13266</v>
      </c>
      <c r="L2448" s="33" t="s">
        <v>13270</v>
      </c>
      <c r="N2448" s="33" t="s">
        <v>13266</v>
      </c>
      <c r="O2448" s="35" t="s">
        <v>13086</v>
      </c>
    </row>
    <row r="2449">
      <c r="A2449" s="38"/>
      <c r="B2449" s="28" t="s">
        <v>13271</v>
      </c>
      <c r="C2449" s="28" t="s">
        <v>13272</v>
      </c>
      <c r="D2449" s="29" t="s">
        <v>13273</v>
      </c>
      <c r="E2449" s="30" t="s">
        <v>13274</v>
      </c>
      <c r="F2449" s="28" t="s">
        <v>13275</v>
      </c>
      <c r="I2449" s="32"/>
      <c r="J2449" s="32"/>
      <c r="K2449" s="33" t="s">
        <v>13271</v>
      </c>
      <c r="L2449" s="33" t="s">
        <v>13276</v>
      </c>
      <c r="N2449" s="33" t="s">
        <v>13271</v>
      </c>
      <c r="O2449" s="35" t="s">
        <v>13277</v>
      </c>
    </row>
    <row r="2450">
      <c r="A2450" s="38"/>
      <c r="B2450" s="28" t="s">
        <v>13278</v>
      </c>
      <c r="C2450" s="28" t="s">
        <v>13279</v>
      </c>
      <c r="D2450" s="29" t="s">
        <v>13280</v>
      </c>
      <c r="E2450" s="30" t="s">
        <v>9795</v>
      </c>
      <c r="F2450" s="28" t="s">
        <v>13281</v>
      </c>
      <c r="I2450" s="32"/>
      <c r="J2450" s="32"/>
      <c r="K2450" s="33" t="s">
        <v>13278</v>
      </c>
      <c r="L2450" s="33" t="s">
        <v>13282</v>
      </c>
      <c r="N2450" s="33" t="s">
        <v>13278</v>
      </c>
      <c r="O2450" s="35" t="s">
        <v>13283</v>
      </c>
    </row>
    <row r="2451">
      <c r="A2451" s="38"/>
      <c r="B2451" s="28" t="s">
        <v>13284</v>
      </c>
      <c r="C2451" s="28" t="s">
        <v>13285</v>
      </c>
      <c r="D2451" s="29" t="s">
        <v>13286</v>
      </c>
      <c r="E2451" s="30"/>
      <c r="F2451" s="28" t="s">
        <v>13287</v>
      </c>
      <c r="I2451" s="32"/>
      <c r="J2451" s="32"/>
      <c r="K2451" s="33" t="s">
        <v>13284</v>
      </c>
      <c r="L2451" s="33" t="s">
        <v>13288</v>
      </c>
      <c r="N2451" s="33" t="s">
        <v>13284</v>
      </c>
      <c r="O2451" s="35"/>
    </row>
    <row r="2452">
      <c r="A2452" s="38"/>
      <c r="B2452" s="28" t="s">
        <v>13289</v>
      </c>
      <c r="C2452" s="28" t="s">
        <v>13290</v>
      </c>
      <c r="D2452" s="29" t="s">
        <v>13291</v>
      </c>
      <c r="E2452" s="30" t="s">
        <v>13292</v>
      </c>
      <c r="F2452" s="28" t="s">
        <v>13293</v>
      </c>
      <c r="I2452" s="32"/>
      <c r="J2452" s="32"/>
      <c r="K2452" s="33" t="s">
        <v>13289</v>
      </c>
      <c r="L2452" s="33" t="s">
        <v>13294</v>
      </c>
      <c r="N2452" s="33" t="s">
        <v>13289</v>
      </c>
      <c r="O2452" s="35" t="s">
        <v>13295</v>
      </c>
    </row>
    <row r="2453">
      <c r="A2453" s="38"/>
      <c r="B2453" s="28" t="s">
        <v>13296</v>
      </c>
      <c r="C2453" s="28" t="s">
        <v>13297</v>
      </c>
      <c r="D2453" s="29" t="s">
        <v>13298</v>
      </c>
      <c r="E2453" s="30"/>
      <c r="F2453" s="28" t="s">
        <v>13299</v>
      </c>
      <c r="I2453" s="32"/>
      <c r="J2453" s="32"/>
      <c r="K2453" s="33" t="s">
        <v>13296</v>
      </c>
      <c r="L2453" s="33" t="s">
        <v>13300</v>
      </c>
      <c r="N2453" s="33" t="s">
        <v>13296</v>
      </c>
      <c r="O2453" s="35" t="s">
        <v>13301</v>
      </c>
    </row>
    <row r="2454">
      <c r="A2454" s="38"/>
      <c r="B2454" s="28" t="s">
        <v>13302</v>
      </c>
      <c r="C2454" s="28" t="s">
        <v>13303</v>
      </c>
      <c r="D2454" s="29" t="s">
        <v>13304</v>
      </c>
      <c r="E2454" s="30" t="s">
        <v>13305</v>
      </c>
      <c r="F2454" s="28" t="s">
        <v>13306</v>
      </c>
      <c r="I2454" s="32"/>
      <c r="J2454" s="32"/>
      <c r="K2454" s="33" t="s">
        <v>13302</v>
      </c>
      <c r="L2454" s="33" t="s">
        <v>13307</v>
      </c>
      <c r="N2454" s="33" t="s">
        <v>13302</v>
      </c>
      <c r="O2454" s="35" t="s">
        <v>13308</v>
      </c>
    </row>
    <row r="2455">
      <c r="A2455" s="38"/>
      <c r="B2455" s="28" t="s">
        <v>13309</v>
      </c>
      <c r="C2455" s="28" t="s">
        <v>13310</v>
      </c>
      <c r="D2455" s="29" t="s">
        <v>13311</v>
      </c>
      <c r="E2455" s="30"/>
      <c r="F2455" s="28" t="s">
        <v>13312</v>
      </c>
      <c r="I2455" s="32"/>
      <c r="J2455" s="32"/>
      <c r="K2455" s="33" t="s">
        <v>13309</v>
      </c>
      <c r="L2455" s="33" t="s">
        <v>13313</v>
      </c>
      <c r="N2455" s="33" t="s">
        <v>13309</v>
      </c>
      <c r="O2455" s="35" t="s">
        <v>13314</v>
      </c>
    </row>
    <row r="2456">
      <c r="A2456" s="38"/>
      <c r="B2456" s="28" t="s">
        <v>13315</v>
      </c>
      <c r="C2456" s="28" t="s">
        <v>13316</v>
      </c>
      <c r="D2456" s="29" t="s">
        <v>13317</v>
      </c>
      <c r="E2456" s="30" t="s">
        <v>13318</v>
      </c>
      <c r="F2456" s="28" t="s">
        <v>13319</v>
      </c>
      <c r="I2456" s="32"/>
      <c r="J2456" s="32"/>
      <c r="K2456" s="33" t="s">
        <v>13315</v>
      </c>
      <c r="L2456" s="33" t="s">
        <v>13320</v>
      </c>
      <c r="N2456" s="33" t="s">
        <v>13315</v>
      </c>
      <c r="O2456" s="35" t="s">
        <v>13321</v>
      </c>
    </row>
    <row r="2457">
      <c r="A2457" s="38"/>
      <c r="B2457" s="28" t="s">
        <v>13322</v>
      </c>
      <c r="C2457" s="28" t="s">
        <v>13323</v>
      </c>
      <c r="D2457" s="29" t="s">
        <v>13324</v>
      </c>
      <c r="E2457" s="30" t="s">
        <v>13325</v>
      </c>
      <c r="F2457" s="28" t="s">
        <v>13326</v>
      </c>
      <c r="I2457" s="32"/>
      <c r="J2457" s="32"/>
      <c r="K2457" s="33" t="s">
        <v>13322</v>
      </c>
      <c r="L2457" s="33" t="s">
        <v>13327</v>
      </c>
      <c r="N2457" s="33" t="s">
        <v>13322</v>
      </c>
      <c r="O2457" s="35" t="s">
        <v>13328</v>
      </c>
    </row>
    <row r="2458">
      <c r="A2458" s="38"/>
      <c r="B2458" s="28" t="s">
        <v>13329</v>
      </c>
      <c r="C2458" s="28" t="s">
        <v>13330</v>
      </c>
      <c r="D2458" s="29" t="s">
        <v>13331</v>
      </c>
      <c r="E2458" s="30" t="s">
        <v>13332</v>
      </c>
      <c r="F2458" s="28" t="s">
        <v>13333</v>
      </c>
      <c r="I2458" s="32"/>
      <c r="J2458" s="32"/>
      <c r="K2458" s="33" t="s">
        <v>13329</v>
      </c>
      <c r="L2458" s="33" t="s">
        <v>13334</v>
      </c>
      <c r="N2458" s="33" t="s">
        <v>13329</v>
      </c>
      <c r="O2458" s="35"/>
    </row>
    <row r="2459">
      <c r="A2459" s="38"/>
      <c r="B2459" s="28" t="s">
        <v>13335</v>
      </c>
      <c r="C2459" s="28" t="s">
        <v>13336</v>
      </c>
      <c r="D2459" s="29" t="s">
        <v>13337</v>
      </c>
      <c r="E2459" s="30" t="s">
        <v>13332</v>
      </c>
      <c r="F2459" s="28" t="s">
        <v>13338</v>
      </c>
      <c r="I2459" s="32"/>
      <c r="J2459" s="32"/>
      <c r="K2459" s="33" t="s">
        <v>13335</v>
      </c>
      <c r="L2459" s="33" t="s">
        <v>13339</v>
      </c>
      <c r="N2459" s="33" t="s">
        <v>13335</v>
      </c>
      <c r="O2459" s="35" t="s">
        <v>13340</v>
      </c>
    </row>
    <row r="2460">
      <c r="A2460" s="38"/>
      <c r="B2460" s="28" t="s">
        <v>13341</v>
      </c>
      <c r="C2460" s="28" t="s">
        <v>13342</v>
      </c>
      <c r="D2460" s="29" t="s">
        <v>13343</v>
      </c>
      <c r="E2460" s="30" t="s">
        <v>13344</v>
      </c>
      <c r="F2460" s="28" t="s">
        <v>13345</v>
      </c>
      <c r="I2460" s="32"/>
      <c r="J2460" s="32"/>
      <c r="K2460" s="33" t="s">
        <v>13341</v>
      </c>
      <c r="L2460" s="33" t="s">
        <v>13346</v>
      </c>
      <c r="N2460" s="33" t="s">
        <v>13341</v>
      </c>
      <c r="O2460" s="35" t="s">
        <v>13086</v>
      </c>
    </row>
    <row r="2461">
      <c r="A2461" s="38"/>
      <c r="B2461" s="28" t="s">
        <v>13347</v>
      </c>
      <c r="C2461" s="28" t="s">
        <v>13348</v>
      </c>
      <c r="D2461" s="29" t="s">
        <v>13349</v>
      </c>
      <c r="E2461" s="30"/>
      <c r="F2461" s="28" t="s">
        <v>13350</v>
      </c>
      <c r="I2461" s="32"/>
      <c r="J2461" s="32"/>
      <c r="K2461" s="33" t="s">
        <v>13347</v>
      </c>
      <c r="L2461" s="33" t="s">
        <v>13351</v>
      </c>
      <c r="N2461" s="33" t="s">
        <v>13347</v>
      </c>
      <c r="O2461" s="35" t="s">
        <v>13352</v>
      </c>
    </row>
    <row r="2462">
      <c r="A2462" s="38"/>
      <c r="B2462" s="28" t="s">
        <v>13353</v>
      </c>
      <c r="C2462" s="28" t="s">
        <v>13102</v>
      </c>
      <c r="D2462" s="29" t="s">
        <v>13354</v>
      </c>
      <c r="E2462" s="30" t="s">
        <v>13355</v>
      </c>
      <c r="F2462" s="28" t="s">
        <v>13356</v>
      </c>
      <c r="I2462" s="32"/>
      <c r="J2462" s="32"/>
      <c r="K2462" s="33" t="s">
        <v>13353</v>
      </c>
      <c r="L2462" s="33" t="s">
        <v>13357</v>
      </c>
      <c r="N2462" s="33" t="s">
        <v>13353</v>
      </c>
      <c r="O2462" s="35" t="s">
        <v>13101</v>
      </c>
    </row>
    <row r="2463">
      <c r="A2463" s="38"/>
      <c r="B2463" s="28" t="s">
        <v>13358</v>
      </c>
      <c r="C2463" s="28" t="s">
        <v>13112</v>
      </c>
      <c r="D2463" s="29" t="s">
        <v>13359</v>
      </c>
      <c r="E2463" s="30" t="s">
        <v>13360</v>
      </c>
      <c r="F2463" s="28" t="s">
        <v>13361</v>
      </c>
      <c r="I2463" s="32"/>
      <c r="J2463" s="32"/>
      <c r="K2463" s="33" t="s">
        <v>13358</v>
      </c>
      <c r="L2463" s="33" t="s">
        <v>13362</v>
      </c>
      <c r="N2463" s="33" t="s">
        <v>13358</v>
      </c>
      <c r="O2463" s="35" t="s">
        <v>13111</v>
      </c>
    </row>
    <row r="2464">
      <c r="A2464" s="38"/>
      <c r="B2464" s="28" t="s">
        <v>13363</v>
      </c>
      <c r="C2464" s="28" t="s">
        <v>13119</v>
      </c>
      <c r="D2464" s="29" t="s">
        <v>13364</v>
      </c>
      <c r="E2464" s="30" t="s">
        <v>13365</v>
      </c>
      <c r="F2464" s="28" t="s">
        <v>13366</v>
      </c>
      <c r="I2464" s="32"/>
      <c r="J2464" s="32"/>
      <c r="K2464" s="33" t="s">
        <v>13363</v>
      </c>
      <c r="L2464" s="33" t="s">
        <v>13367</v>
      </c>
      <c r="N2464" s="33" t="s">
        <v>13363</v>
      </c>
      <c r="O2464" s="35" t="s">
        <v>13118</v>
      </c>
    </row>
    <row r="2465">
      <c r="A2465" s="38"/>
      <c r="B2465" s="28" t="s">
        <v>13368</v>
      </c>
      <c r="C2465" s="28" t="s">
        <v>13369</v>
      </c>
      <c r="D2465" s="29" t="s">
        <v>13370</v>
      </c>
      <c r="E2465" s="54" t="s">
        <v>13371</v>
      </c>
      <c r="F2465" s="28" t="s">
        <v>13372</v>
      </c>
      <c r="I2465" s="32"/>
      <c r="J2465" s="32"/>
      <c r="K2465" s="33" t="s">
        <v>13368</v>
      </c>
      <c r="L2465" s="33" t="s">
        <v>13373</v>
      </c>
      <c r="N2465" s="33" t="s">
        <v>13368</v>
      </c>
      <c r="O2465" s="35"/>
    </row>
    <row r="2466">
      <c r="A2466" s="38"/>
      <c r="B2466" s="28" t="s">
        <v>13374</v>
      </c>
      <c r="C2466" s="28" t="s">
        <v>13129</v>
      </c>
      <c r="D2466" s="29" t="s">
        <v>13375</v>
      </c>
      <c r="E2466" s="30" t="s">
        <v>13376</v>
      </c>
      <c r="F2466" s="28" t="s">
        <v>13377</v>
      </c>
      <c r="I2466" s="32"/>
      <c r="J2466" s="32"/>
      <c r="K2466" s="33" t="s">
        <v>13374</v>
      </c>
      <c r="L2466" s="33" t="s">
        <v>13378</v>
      </c>
      <c r="N2466" s="33" t="s">
        <v>13374</v>
      </c>
      <c r="O2466" s="35" t="s">
        <v>13128</v>
      </c>
    </row>
    <row r="2467">
      <c r="A2467" s="38"/>
      <c r="B2467" s="28" t="s">
        <v>13379</v>
      </c>
      <c r="C2467" s="28" t="s">
        <v>13380</v>
      </c>
      <c r="D2467" s="29" t="s">
        <v>13381</v>
      </c>
      <c r="E2467" s="30" t="s">
        <v>13382</v>
      </c>
      <c r="F2467" s="28" t="s">
        <v>13383</v>
      </c>
      <c r="I2467" s="32"/>
      <c r="J2467" s="32"/>
      <c r="K2467" s="33" t="s">
        <v>13379</v>
      </c>
      <c r="L2467" s="33" t="s">
        <v>13384</v>
      </c>
      <c r="N2467" s="33" t="s">
        <v>13379</v>
      </c>
      <c r="O2467" s="35"/>
    </row>
    <row r="2468">
      <c r="A2468" s="38"/>
      <c r="B2468" s="28" t="s">
        <v>13385</v>
      </c>
      <c r="C2468" s="28" t="s">
        <v>13139</v>
      </c>
      <c r="D2468" s="29" t="s">
        <v>13386</v>
      </c>
      <c r="E2468" s="30" t="s">
        <v>13387</v>
      </c>
      <c r="F2468" s="28" t="s">
        <v>13388</v>
      </c>
      <c r="I2468" s="32"/>
      <c r="J2468" s="32"/>
      <c r="K2468" s="33" t="s">
        <v>13385</v>
      </c>
      <c r="L2468" s="33" t="s">
        <v>13389</v>
      </c>
      <c r="N2468" s="33" t="s">
        <v>13385</v>
      </c>
      <c r="O2468" s="47" t="s">
        <v>13390</v>
      </c>
    </row>
    <row r="2469">
      <c r="A2469" s="38"/>
      <c r="B2469" s="28" t="s">
        <v>13391</v>
      </c>
      <c r="C2469" s="28" t="s">
        <v>13144</v>
      </c>
      <c r="D2469" s="29" t="s">
        <v>13392</v>
      </c>
      <c r="E2469" s="30" t="s">
        <v>13387</v>
      </c>
      <c r="F2469" s="28" t="s">
        <v>13393</v>
      </c>
      <c r="I2469" s="32"/>
      <c r="J2469" s="32"/>
      <c r="K2469" s="33" t="s">
        <v>13391</v>
      </c>
      <c r="L2469" s="33" t="s">
        <v>13394</v>
      </c>
      <c r="N2469" s="33" t="s">
        <v>13391</v>
      </c>
      <c r="O2469" s="35" t="s">
        <v>13143</v>
      </c>
    </row>
    <row r="2470">
      <c r="A2470" s="38"/>
      <c r="B2470" s="28" t="s">
        <v>13395</v>
      </c>
      <c r="C2470" s="28" t="s">
        <v>13150</v>
      </c>
      <c r="D2470" s="29" t="s">
        <v>13396</v>
      </c>
      <c r="E2470" s="30"/>
      <c r="F2470" s="28" t="s">
        <v>13397</v>
      </c>
      <c r="I2470" s="32"/>
      <c r="J2470" s="32"/>
      <c r="K2470" s="33" t="s">
        <v>13395</v>
      </c>
      <c r="L2470" s="33" t="s">
        <v>13398</v>
      </c>
      <c r="N2470" s="33" t="s">
        <v>13395</v>
      </c>
      <c r="O2470" s="35" t="s">
        <v>13149</v>
      </c>
    </row>
    <row r="2471">
      <c r="A2471" s="38"/>
      <c r="B2471" s="28" t="s">
        <v>13399</v>
      </c>
      <c r="C2471" s="28" t="s">
        <v>13400</v>
      </c>
      <c r="D2471" s="29" t="s">
        <v>13401</v>
      </c>
      <c r="E2471" s="30"/>
      <c r="F2471" s="28" t="s">
        <v>13402</v>
      </c>
      <c r="I2471" s="32"/>
      <c r="J2471" s="32"/>
      <c r="K2471" s="33" t="s">
        <v>13399</v>
      </c>
      <c r="L2471" s="33" t="s">
        <v>13403</v>
      </c>
      <c r="N2471" s="33" t="s">
        <v>13399</v>
      </c>
      <c r="O2471" s="35" t="s">
        <v>13404</v>
      </c>
    </row>
    <row r="2472">
      <c r="A2472" s="38"/>
      <c r="B2472" s="28" t="s">
        <v>13405</v>
      </c>
      <c r="C2472" s="28" t="s">
        <v>13406</v>
      </c>
      <c r="D2472" s="29" t="s">
        <v>13407</v>
      </c>
      <c r="E2472" s="30" t="s">
        <v>13408</v>
      </c>
      <c r="F2472" s="28" t="s">
        <v>13409</v>
      </c>
      <c r="I2472" s="32"/>
      <c r="J2472" s="32"/>
      <c r="K2472" s="33" t="s">
        <v>13405</v>
      </c>
      <c r="L2472" s="33" t="s">
        <v>13410</v>
      </c>
      <c r="N2472" s="33" t="s">
        <v>13405</v>
      </c>
      <c r="O2472" s="47" t="s">
        <v>13411</v>
      </c>
    </row>
    <row r="2473">
      <c r="A2473" s="38"/>
      <c r="B2473" s="28" t="s">
        <v>13412</v>
      </c>
      <c r="C2473" s="28" t="s">
        <v>13413</v>
      </c>
      <c r="D2473" s="29" t="s">
        <v>13414</v>
      </c>
      <c r="E2473" s="30"/>
      <c r="F2473" s="28" t="s">
        <v>13415</v>
      </c>
      <c r="I2473" s="32"/>
      <c r="J2473" s="32"/>
      <c r="K2473" s="33" t="s">
        <v>13412</v>
      </c>
      <c r="L2473" s="33" t="s">
        <v>13416</v>
      </c>
      <c r="N2473" s="33" t="s">
        <v>13412</v>
      </c>
      <c r="O2473" s="35"/>
    </row>
    <row r="2474">
      <c r="A2474" s="38"/>
      <c r="B2474" s="28" t="s">
        <v>13417</v>
      </c>
      <c r="C2474" s="28" t="s">
        <v>13418</v>
      </c>
      <c r="D2474" s="29" t="s">
        <v>13419</v>
      </c>
      <c r="E2474" s="30" t="s">
        <v>13420</v>
      </c>
      <c r="F2474" s="28" t="s">
        <v>13421</v>
      </c>
      <c r="I2474" s="32"/>
      <c r="J2474" s="32"/>
      <c r="K2474" s="33" t="s">
        <v>13417</v>
      </c>
      <c r="L2474" s="33" t="s">
        <v>13422</v>
      </c>
      <c r="N2474" s="33" t="s">
        <v>13417</v>
      </c>
      <c r="O2474" s="35" t="s">
        <v>13423</v>
      </c>
    </row>
    <row r="2475">
      <c r="A2475" s="38"/>
      <c r="B2475" s="28" t="s">
        <v>13424</v>
      </c>
      <c r="C2475" s="28" t="s">
        <v>13166</v>
      </c>
      <c r="D2475" s="29" t="s">
        <v>13425</v>
      </c>
      <c r="E2475" s="30"/>
      <c r="F2475" s="28" t="s">
        <v>13426</v>
      </c>
      <c r="I2475" s="32"/>
      <c r="J2475" s="32"/>
      <c r="K2475" s="33" t="s">
        <v>13424</v>
      </c>
      <c r="L2475" s="33" t="s">
        <v>13427</v>
      </c>
      <c r="N2475" s="33" t="s">
        <v>13424</v>
      </c>
      <c r="O2475" s="35" t="s">
        <v>13165</v>
      </c>
    </row>
    <row r="2476">
      <c r="A2476" s="38"/>
      <c r="B2476" s="28" t="s">
        <v>13428</v>
      </c>
      <c r="C2476" s="28" t="s">
        <v>13187</v>
      </c>
      <c r="D2476" s="29" t="s">
        <v>13429</v>
      </c>
      <c r="E2476" s="54" t="s">
        <v>13430</v>
      </c>
      <c r="F2476" s="28" t="s">
        <v>13431</v>
      </c>
      <c r="I2476" s="32"/>
      <c r="J2476" s="32"/>
      <c r="K2476" s="33" t="s">
        <v>13428</v>
      </c>
      <c r="L2476" s="33" t="s">
        <v>13432</v>
      </c>
      <c r="N2476" s="33" t="s">
        <v>13428</v>
      </c>
      <c r="O2476" s="35" t="s">
        <v>13186</v>
      </c>
    </row>
    <row r="2477">
      <c r="A2477" s="38"/>
      <c r="B2477" s="28" t="s">
        <v>13433</v>
      </c>
      <c r="C2477" s="28" t="s">
        <v>13192</v>
      </c>
      <c r="D2477" s="29" t="s">
        <v>13434</v>
      </c>
      <c r="E2477" s="30" t="s">
        <v>13435</v>
      </c>
      <c r="F2477" s="28" t="s">
        <v>13436</v>
      </c>
      <c r="I2477" s="32"/>
      <c r="J2477" s="32"/>
      <c r="K2477" s="33" t="s">
        <v>13433</v>
      </c>
      <c r="L2477" s="33" t="s">
        <v>13437</v>
      </c>
      <c r="N2477" s="33" t="s">
        <v>13433</v>
      </c>
      <c r="O2477" s="35"/>
    </row>
    <row r="2478">
      <c r="A2478" s="38"/>
      <c r="B2478" s="28" t="s">
        <v>13438</v>
      </c>
      <c r="C2478" s="28" t="s">
        <v>13198</v>
      </c>
      <c r="D2478" s="29" t="s">
        <v>13439</v>
      </c>
      <c r="E2478" s="54" t="s">
        <v>13440</v>
      </c>
      <c r="F2478" s="28" t="s">
        <v>13441</v>
      </c>
      <c r="I2478" s="32"/>
      <c r="J2478" s="32"/>
      <c r="K2478" s="33" t="s">
        <v>13438</v>
      </c>
      <c r="L2478" s="33" t="s">
        <v>13442</v>
      </c>
      <c r="N2478" s="33" t="s">
        <v>13438</v>
      </c>
      <c r="O2478" s="35" t="s">
        <v>13197</v>
      </c>
    </row>
    <row r="2479">
      <c r="A2479" s="38"/>
      <c r="B2479" s="28" t="s">
        <v>13443</v>
      </c>
      <c r="C2479" s="28" t="s">
        <v>13222</v>
      </c>
      <c r="D2479" s="29" t="s">
        <v>13444</v>
      </c>
      <c r="E2479" s="30" t="s">
        <v>13445</v>
      </c>
      <c r="F2479" s="28" t="s">
        <v>13446</v>
      </c>
      <c r="I2479" s="32"/>
      <c r="J2479" s="32"/>
      <c r="K2479" s="33" t="s">
        <v>13443</v>
      </c>
      <c r="L2479" s="33" t="s">
        <v>13447</v>
      </c>
      <c r="N2479" s="33" t="s">
        <v>13443</v>
      </c>
      <c r="O2479" s="35"/>
    </row>
    <row r="2480">
      <c r="A2480" s="38"/>
      <c r="B2480" s="28" t="s">
        <v>13448</v>
      </c>
      <c r="C2480" s="28" t="s">
        <v>13449</v>
      </c>
      <c r="D2480" s="29" t="s">
        <v>13450</v>
      </c>
      <c r="E2480" s="30" t="s">
        <v>13451</v>
      </c>
      <c r="F2480" s="28" t="s">
        <v>13452</v>
      </c>
      <c r="I2480" s="32"/>
      <c r="J2480" s="32"/>
      <c r="K2480" s="33" t="s">
        <v>13448</v>
      </c>
      <c r="L2480" s="33" t="s">
        <v>13453</v>
      </c>
      <c r="N2480" s="33" t="s">
        <v>13448</v>
      </c>
      <c r="O2480" s="35"/>
    </row>
    <row r="2481">
      <c r="A2481" s="38"/>
      <c r="B2481" s="28" t="s">
        <v>13454</v>
      </c>
      <c r="C2481" s="28" t="s">
        <v>13455</v>
      </c>
      <c r="D2481" s="29" t="s">
        <v>13456</v>
      </c>
      <c r="E2481" s="30" t="s">
        <v>618</v>
      </c>
      <c r="F2481" s="28" t="s">
        <v>13457</v>
      </c>
      <c r="I2481" s="32"/>
      <c r="J2481" s="32"/>
      <c r="K2481" s="33" t="s">
        <v>13454</v>
      </c>
      <c r="L2481" s="33" t="s">
        <v>13458</v>
      </c>
      <c r="N2481" s="33" t="s">
        <v>13454</v>
      </c>
      <c r="O2481" s="35"/>
    </row>
    <row r="2482">
      <c r="A2482" s="38"/>
      <c r="B2482" s="28" t="s">
        <v>13459</v>
      </c>
      <c r="C2482" s="28" t="s">
        <v>13233</v>
      </c>
      <c r="D2482" s="29" t="s">
        <v>13460</v>
      </c>
      <c r="E2482" s="54" t="s">
        <v>13461</v>
      </c>
      <c r="F2482" s="28" t="s">
        <v>13462</v>
      </c>
      <c r="I2482" s="32"/>
      <c r="J2482" s="32"/>
      <c r="K2482" s="33" t="s">
        <v>13459</v>
      </c>
      <c r="L2482" s="33" t="s">
        <v>13463</v>
      </c>
      <c r="N2482" s="33" t="s">
        <v>13459</v>
      </c>
      <c r="O2482" s="35" t="s">
        <v>13232</v>
      </c>
    </row>
    <row r="2483">
      <c r="A2483" s="38"/>
      <c r="B2483" s="28" t="s">
        <v>13464</v>
      </c>
      <c r="C2483" s="28" t="s">
        <v>13465</v>
      </c>
      <c r="D2483" s="29" t="s">
        <v>13466</v>
      </c>
      <c r="E2483" s="30"/>
      <c r="F2483" s="28" t="s">
        <v>13467</v>
      </c>
      <c r="I2483" s="32"/>
      <c r="J2483" s="32"/>
      <c r="K2483" s="33" t="s">
        <v>13464</v>
      </c>
      <c r="L2483" s="33" t="s">
        <v>13468</v>
      </c>
      <c r="N2483" s="33" t="s">
        <v>13464</v>
      </c>
      <c r="O2483" s="35"/>
    </row>
    <row r="2484">
      <c r="A2484" s="38"/>
      <c r="B2484" s="28" t="s">
        <v>13469</v>
      </c>
      <c r="C2484" s="28" t="s">
        <v>13470</v>
      </c>
      <c r="D2484" s="29" t="s">
        <v>13471</v>
      </c>
      <c r="E2484" s="30" t="s">
        <v>13472</v>
      </c>
      <c r="F2484" s="28" t="s">
        <v>13473</v>
      </c>
      <c r="I2484" s="32"/>
      <c r="J2484" s="32"/>
      <c r="K2484" s="33" t="s">
        <v>13469</v>
      </c>
      <c r="L2484" s="33" t="s">
        <v>13474</v>
      </c>
      <c r="N2484" s="33" t="s">
        <v>13469</v>
      </c>
      <c r="O2484" s="35"/>
    </row>
    <row r="2485">
      <c r="A2485" s="38"/>
      <c r="B2485" s="28" t="s">
        <v>13475</v>
      </c>
      <c r="C2485" s="28" t="s">
        <v>13246</v>
      </c>
      <c r="D2485" s="29" t="s">
        <v>13476</v>
      </c>
      <c r="E2485" s="30" t="s">
        <v>13477</v>
      </c>
      <c r="F2485" s="28" t="s">
        <v>13478</v>
      </c>
      <c r="I2485" s="32"/>
      <c r="J2485" s="32"/>
      <c r="K2485" s="33" t="s">
        <v>13475</v>
      </c>
      <c r="L2485" s="33" t="s">
        <v>13479</v>
      </c>
      <c r="N2485" s="33" t="s">
        <v>13475</v>
      </c>
      <c r="O2485" s="35" t="s">
        <v>13245</v>
      </c>
    </row>
    <row r="2486">
      <c r="A2486" s="38"/>
      <c r="B2486" s="28" t="s">
        <v>13480</v>
      </c>
      <c r="C2486" s="28" t="s">
        <v>13256</v>
      </c>
      <c r="D2486" s="29" t="s">
        <v>13481</v>
      </c>
      <c r="E2486" s="30" t="s">
        <v>13477</v>
      </c>
      <c r="F2486" s="28" t="s">
        <v>13482</v>
      </c>
      <c r="I2486" s="32"/>
      <c r="J2486" s="32"/>
      <c r="K2486" s="33" t="s">
        <v>13480</v>
      </c>
      <c r="L2486" s="33" t="s">
        <v>13483</v>
      </c>
      <c r="N2486" s="33" t="s">
        <v>13480</v>
      </c>
      <c r="O2486" s="35" t="s">
        <v>13255</v>
      </c>
    </row>
    <row r="2487">
      <c r="A2487" s="38"/>
      <c r="B2487" s="28" t="s">
        <v>13484</v>
      </c>
      <c r="C2487" s="28" t="s">
        <v>13485</v>
      </c>
      <c r="D2487" s="29" t="s">
        <v>13486</v>
      </c>
      <c r="E2487" s="30" t="s">
        <v>13487</v>
      </c>
      <c r="F2487" s="28" t="s">
        <v>13488</v>
      </c>
      <c r="I2487" s="32"/>
      <c r="J2487" s="32"/>
      <c r="K2487" s="33" t="s">
        <v>13484</v>
      </c>
      <c r="L2487" s="33" t="s">
        <v>13489</v>
      </c>
      <c r="N2487" s="33" t="s">
        <v>13484</v>
      </c>
      <c r="O2487" s="35" t="s">
        <v>13490</v>
      </c>
    </row>
    <row r="2488">
      <c r="A2488" s="38"/>
      <c r="B2488" s="28" t="s">
        <v>13491</v>
      </c>
      <c r="C2488" s="28" t="s">
        <v>13269</v>
      </c>
      <c r="D2488" s="29" t="s">
        <v>13492</v>
      </c>
      <c r="E2488" s="30"/>
      <c r="F2488" s="28" t="s">
        <v>13493</v>
      </c>
      <c r="I2488" s="32"/>
      <c r="J2488" s="32"/>
      <c r="K2488" s="33" t="s">
        <v>13491</v>
      </c>
      <c r="L2488" s="33" t="s">
        <v>13494</v>
      </c>
      <c r="N2488" s="33" t="s">
        <v>13491</v>
      </c>
      <c r="O2488" s="35" t="s">
        <v>13268</v>
      </c>
    </row>
    <row r="2489">
      <c r="A2489" s="38"/>
      <c r="B2489" s="28" t="s">
        <v>13495</v>
      </c>
      <c r="C2489" s="28" t="s">
        <v>13496</v>
      </c>
      <c r="D2489" s="29" t="s">
        <v>13497</v>
      </c>
      <c r="E2489" s="30"/>
      <c r="F2489" s="28" t="s">
        <v>13498</v>
      </c>
      <c r="I2489" s="32"/>
      <c r="J2489" s="32"/>
      <c r="K2489" s="33" t="s">
        <v>13495</v>
      </c>
      <c r="L2489" s="33" t="s">
        <v>13499</v>
      </c>
      <c r="N2489" s="33" t="s">
        <v>13495</v>
      </c>
      <c r="O2489" s="35"/>
    </row>
    <row r="2490">
      <c r="A2490" s="38"/>
      <c r="B2490" s="28" t="s">
        <v>13500</v>
      </c>
      <c r="C2490" s="28" t="s">
        <v>13501</v>
      </c>
      <c r="D2490" s="29" t="s">
        <v>13502</v>
      </c>
      <c r="E2490" s="30" t="s">
        <v>13503</v>
      </c>
      <c r="F2490" s="28" t="s">
        <v>13504</v>
      </c>
      <c r="I2490" s="32"/>
      <c r="J2490" s="32"/>
      <c r="K2490" s="33" t="s">
        <v>13500</v>
      </c>
      <c r="L2490" s="33" t="s">
        <v>13505</v>
      </c>
      <c r="N2490" s="33" t="s">
        <v>13500</v>
      </c>
      <c r="O2490" s="35"/>
    </row>
    <row r="2491">
      <c r="A2491" s="38"/>
      <c r="B2491" s="28" t="s">
        <v>13506</v>
      </c>
      <c r="C2491" s="28" t="s">
        <v>13293</v>
      </c>
      <c r="D2491" s="29" t="s">
        <v>13507</v>
      </c>
      <c r="E2491" s="30" t="s">
        <v>13508</v>
      </c>
      <c r="F2491" s="28" t="s">
        <v>13509</v>
      </c>
      <c r="I2491" s="32"/>
      <c r="J2491" s="32"/>
      <c r="K2491" s="33" t="s">
        <v>13506</v>
      </c>
      <c r="L2491" s="33" t="s">
        <v>13510</v>
      </c>
      <c r="N2491" s="33" t="s">
        <v>13506</v>
      </c>
      <c r="O2491" s="35" t="s">
        <v>13292</v>
      </c>
    </row>
    <row r="2492">
      <c r="A2492" s="38"/>
      <c r="B2492" s="28" t="s">
        <v>13511</v>
      </c>
      <c r="C2492" s="28" t="s">
        <v>13299</v>
      </c>
      <c r="D2492" s="29" t="s">
        <v>13512</v>
      </c>
      <c r="E2492" s="54" t="s">
        <v>13513</v>
      </c>
      <c r="F2492" s="28" t="s">
        <v>13514</v>
      </c>
      <c r="I2492" s="32"/>
      <c r="J2492" s="32"/>
      <c r="K2492" s="33" t="s">
        <v>13511</v>
      </c>
      <c r="L2492" s="33" t="s">
        <v>13515</v>
      </c>
      <c r="N2492" s="33" t="s">
        <v>13511</v>
      </c>
      <c r="O2492" s="35"/>
    </row>
    <row r="2493">
      <c r="A2493" s="38"/>
      <c r="B2493" s="28" t="s">
        <v>13516</v>
      </c>
      <c r="C2493" s="28" t="s">
        <v>13517</v>
      </c>
      <c r="D2493" s="29" t="s">
        <v>13518</v>
      </c>
      <c r="E2493" s="30" t="s">
        <v>13519</v>
      </c>
      <c r="F2493" s="28" t="s">
        <v>13520</v>
      </c>
      <c r="I2493" s="32"/>
      <c r="J2493" s="32"/>
      <c r="K2493" s="33" t="s">
        <v>13516</v>
      </c>
      <c r="L2493" s="33" t="s">
        <v>13521</v>
      </c>
      <c r="N2493" s="33" t="s">
        <v>13516</v>
      </c>
      <c r="O2493" s="35"/>
    </row>
    <row r="2494">
      <c r="A2494" s="38"/>
      <c r="B2494" s="28" t="s">
        <v>13522</v>
      </c>
      <c r="C2494" s="28" t="s">
        <v>13523</v>
      </c>
      <c r="D2494" s="29" t="s">
        <v>13524</v>
      </c>
      <c r="E2494" s="30" t="s">
        <v>13525</v>
      </c>
      <c r="F2494" s="28" t="s">
        <v>13526</v>
      </c>
      <c r="I2494" s="32"/>
      <c r="J2494" s="32"/>
      <c r="K2494" s="33" t="s">
        <v>13522</v>
      </c>
      <c r="L2494" s="33" t="s">
        <v>13527</v>
      </c>
      <c r="N2494" s="33" t="s">
        <v>13522</v>
      </c>
      <c r="O2494" s="35" t="s">
        <v>13528</v>
      </c>
    </row>
    <row r="2495">
      <c r="A2495" s="38"/>
      <c r="B2495" s="28" t="s">
        <v>13529</v>
      </c>
      <c r="C2495" s="28" t="s">
        <v>13530</v>
      </c>
      <c r="D2495" s="29" t="s">
        <v>13531</v>
      </c>
      <c r="E2495" s="30"/>
      <c r="F2495" s="28" t="s">
        <v>13532</v>
      </c>
      <c r="I2495" s="32"/>
      <c r="J2495" s="32"/>
      <c r="K2495" s="33" t="s">
        <v>13529</v>
      </c>
      <c r="L2495" s="33" t="s">
        <v>13533</v>
      </c>
      <c r="N2495" s="33" t="s">
        <v>13529</v>
      </c>
      <c r="O2495" s="35"/>
    </row>
    <row r="2496">
      <c r="A2496" s="38"/>
      <c r="B2496" s="28" t="s">
        <v>13534</v>
      </c>
      <c r="C2496" s="28" t="s">
        <v>13319</v>
      </c>
      <c r="D2496" s="29" t="s">
        <v>13535</v>
      </c>
      <c r="E2496" s="30" t="s">
        <v>13536</v>
      </c>
      <c r="F2496" s="28" t="s">
        <v>13537</v>
      </c>
      <c r="I2496" s="32"/>
      <c r="J2496" s="32"/>
      <c r="K2496" s="33" t="s">
        <v>13534</v>
      </c>
      <c r="L2496" s="33" t="s">
        <v>13538</v>
      </c>
      <c r="N2496" s="33" t="s">
        <v>13534</v>
      </c>
      <c r="O2496" s="35" t="s">
        <v>13318</v>
      </c>
    </row>
    <row r="2497">
      <c r="A2497" s="38"/>
      <c r="B2497" s="28" t="s">
        <v>13539</v>
      </c>
      <c r="C2497" s="28" t="s">
        <v>13326</v>
      </c>
      <c r="D2497" s="29" t="s">
        <v>13540</v>
      </c>
      <c r="E2497" s="30"/>
      <c r="F2497" s="28" t="s">
        <v>13541</v>
      </c>
      <c r="I2497" s="32"/>
      <c r="J2497" s="32"/>
      <c r="K2497" s="33" t="s">
        <v>13539</v>
      </c>
      <c r="L2497" s="33" t="s">
        <v>13542</v>
      </c>
      <c r="N2497" s="33" t="s">
        <v>13539</v>
      </c>
      <c r="O2497" s="35" t="s">
        <v>13325</v>
      </c>
    </row>
    <row r="2498">
      <c r="A2498" s="38"/>
      <c r="B2498" s="28" t="s">
        <v>13543</v>
      </c>
      <c r="C2498" s="28" t="s">
        <v>13333</v>
      </c>
      <c r="D2498" s="29" t="s">
        <v>13544</v>
      </c>
      <c r="E2498" s="30" t="s">
        <v>13545</v>
      </c>
      <c r="F2498" s="28" t="s">
        <v>13546</v>
      </c>
      <c r="I2498" s="32"/>
      <c r="J2498" s="32"/>
      <c r="K2498" s="33" t="s">
        <v>13543</v>
      </c>
      <c r="L2498" s="33" t="s">
        <v>13547</v>
      </c>
      <c r="N2498" s="33" t="s">
        <v>13543</v>
      </c>
      <c r="O2498" s="35" t="s">
        <v>13332</v>
      </c>
    </row>
    <row r="2499">
      <c r="A2499" s="38"/>
      <c r="B2499" s="28" t="s">
        <v>13548</v>
      </c>
      <c r="C2499" s="28" t="s">
        <v>13338</v>
      </c>
      <c r="D2499" s="29" t="s">
        <v>13549</v>
      </c>
      <c r="E2499" s="30"/>
      <c r="F2499" s="28" t="s">
        <v>13550</v>
      </c>
      <c r="I2499" s="32"/>
      <c r="J2499" s="32"/>
      <c r="K2499" s="33" t="s">
        <v>13548</v>
      </c>
      <c r="L2499" s="33" t="s">
        <v>13551</v>
      </c>
      <c r="N2499" s="33" t="s">
        <v>13548</v>
      </c>
      <c r="O2499" s="35" t="s">
        <v>13332</v>
      </c>
    </row>
    <row r="2500">
      <c r="A2500" s="38"/>
      <c r="B2500" s="28" t="s">
        <v>13552</v>
      </c>
      <c r="C2500" s="28" t="s">
        <v>13345</v>
      </c>
      <c r="D2500" s="29" t="s">
        <v>13553</v>
      </c>
      <c r="E2500" s="30"/>
      <c r="F2500" s="28" t="s">
        <v>13554</v>
      </c>
      <c r="I2500" s="32"/>
      <c r="J2500" s="32"/>
      <c r="K2500" s="33" t="s">
        <v>13552</v>
      </c>
      <c r="L2500" s="33" t="s">
        <v>13555</v>
      </c>
      <c r="N2500" s="33" t="s">
        <v>13552</v>
      </c>
      <c r="O2500" s="35" t="s">
        <v>13344</v>
      </c>
    </row>
    <row r="2501">
      <c r="A2501" s="38"/>
      <c r="B2501" s="28" t="s">
        <v>13556</v>
      </c>
      <c r="C2501" s="28" t="s">
        <v>13557</v>
      </c>
      <c r="D2501" s="29" t="s">
        <v>13558</v>
      </c>
      <c r="E2501" s="30" t="s">
        <v>13559</v>
      </c>
      <c r="F2501" s="28" t="s">
        <v>13560</v>
      </c>
      <c r="I2501" s="32"/>
      <c r="J2501" s="32"/>
      <c r="K2501" s="33" t="s">
        <v>13556</v>
      </c>
      <c r="L2501" s="33" t="s">
        <v>13561</v>
      </c>
      <c r="N2501" s="33" t="s">
        <v>13556</v>
      </c>
      <c r="O2501" s="35" t="s">
        <v>13562</v>
      </c>
    </row>
    <row r="2502">
      <c r="A2502" s="38"/>
      <c r="B2502" s="28" t="s">
        <v>13563</v>
      </c>
      <c r="C2502" s="28" t="s">
        <v>13350</v>
      </c>
      <c r="D2502" s="29" t="s">
        <v>13564</v>
      </c>
      <c r="E2502" s="30" t="s">
        <v>13565</v>
      </c>
      <c r="F2502" s="28" t="s">
        <v>13566</v>
      </c>
      <c r="I2502" s="32"/>
      <c r="J2502" s="32"/>
      <c r="K2502" s="33" t="s">
        <v>13563</v>
      </c>
      <c r="L2502" s="33" t="s">
        <v>13567</v>
      </c>
      <c r="N2502" s="33" t="s">
        <v>13563</v>
      </c>
      <c r="O2502" s="35"/>
    </row>
    <row r="2503">
      <c r="A2503" s="38"/>
      <c r="B2503" s="28" t="s">
        <v>13568</v>
      </c>
      <c r="C2503" s="28" t="s">
        <v>13356</v>
      </c>
      <c r="D2503" s="29" t="s">
        <v>13569</v>
      </c>
      <c r="E2503" s="30" t="s">
        <v>13570</v>
      </c>
      <c r="F2503" s="28" t="s">
        <v>13571</v>
      </c>
      <c r="I2503" s="32"/>
      <c r="J2503" s="32"/>
      <c r="K2503" s="33" t="s">
        <v>13568</v>
      </c>
      <c r="L2503" s="33" t="s">
        <v>13572</v>
      </c>
      <c r="N2503" s="33" t="s">
        <v>13568</v>
      </c>
      <c r="O2503" s="35" t="s">
        <v>13355</v>
      </c>
    </row>
    <row r="2504">
      <c r="A2504" s="38"/>
      <c r="B2504" s="28" t="s">
        <v>13573</v>
      </c>
      <c r="C2504" s="28" t="s">
        <v>13361</v>
      </c>
      <c r="D2504" s="29" t="s">
        <v>13574</v>
      </c>
      <c r="E2504" s="30" t="s">
        <v>13575</v>
      </c>
      <c r="F2504" s="28" t="s">
        <v>13576</v>
      </c>
      <c r="I2504" s="32"/>
      <c r="J2504" s="32"/>
      <c r="K2504" s="33" t="s">
        <v>13573</v>
      </c>
      <c r="L2504" s="33" t="s">
        <v>13577</v>
      </c>
      <c r="N2504" s="33" t="s">
        <v>13573</v>
      </c>
      <c r="O2504" s="35" t="s">
        <v>13360</v>
      </c>
    </row>
    <row r="2505">
      <c r="A2505" s="38"/>
      <c r="B2505" s="28" t="s">
        <v>13578</v>
      </c>
      <c r="C2505" s="28" t="s">
        <v>13377</v>
      </c>
      <c r="D2505" s="29" t="s">
        <v>13579</v>
      </c>
      <c r="E2505" s="30"/>
      <c r="F2505" s="28" t="s">
        <v>13580</v>
      </c>
      <c r="I2505" s="32"/>
      <c r="J2505" s="32"/>
      <c r="K2505" s="33" t="s">
        <v>13578</v>
      </c>
      <c r="L2505" s="33" t="s">
        <v>13581</v>
      </c>
      <c r="N2505" s="33" t="s">
        <v>13578</v>
      </c>
      <c r="O2505" s="35" t="s">
        <v>13376</v>
      </c>
    </row>
    <row r="2506">
      <c r="A2506" s="38"/>
      <c r="B2506" s="28" t="s">
        <v>13582</v>
      </c>
      <c r="C2506" s="28" t="s">
        <v>13583</v>
      </c>
      <c r="D2506" s="29" t="s">
        <v>13584</v>
      </c>
      <c r="E2506" s="30"/>
      <c r="F2506" s="28" t="s">
        <v>13585</v>
      </c>
      <c r="I2506" s="32"/>
      <c r="J2506" s="32"/>
      <c r="K2506" s="33" t="s">
        <v>13582</v>
      </c>
      <c r="L2506" s="33" t="s">
        <v>13586</v>
      </c>
      <c r="N2506" s="33" t="s">
        <v>13582</v>
      </c>
      <c r="O2506" s="35" t="s">
        <v>13587</v>
      </c>
    </row>
    <row r="2507">
      <c r="A2507" s="38"/>
      <c r="B2507" s="28" t="s">
        <v>13588</v>
      </c>
      <c r="C2507" s="28" t="s">
        <v>13589</v>
      </c>
      <c r="D2507" s="29" t="s">
        <v>13590</v>
      </c>
      <c r="E2507" s="30"/>
      <c r="F2507" s="28" t="s">
        <v>13591</v>
      </c>
      <c r="I2507" s="32"/>
      <c r="J2507" s="32"/>
      <c r="K2507" s="33" t="s">
        <v>13588</v>
      </c>
      <c r="L2507" s="33" t="s">
        <v>13592</v>
      </c>
      <c r="N2507" s="33" t="s">
        <v>13588</v>
      </c>
      <c r="O2507" s="35" t="s">
        <v>13593</v>
      </c>
    </row>
    <row r="2508">
      <c r="A2508" s="38"/>
      <c r="B2508" s="28" t="s">
        <v>13594</v>
      </c>
      <c r="C2508" s="28" t="s">
        <v>13595</v>
      </c>
      <c r="D2508" s="29" t="s">
        <v>13596</v>
      </c>
      <c r="E2508" s="30"/>
      <c r="F2508" s="28" t="s">
        <v>13597</v>
      </c>
      <c r="I2508" s="32"/>
      <c r="J2508" s="32"/>
      <c r="K2508" s="33" t="s">
        <v>13594</v>
      </c>
      <c r="L2508" s="33" t="s">
        <v>13598</v>
      </c>
      <c r="N2508" s="33" t="s">
        <v>13594</v>
      </c>
      <c r="O2508" s="35"/>
    </row>
    <row r="2509">
      <c r="A2509" s="38"/>
      <c r="B2509" s="28" t="s">
        <v>13599</v>
      </c>
      <c r="C2509" s="28" t="s">
        <v>13600</v>
      </c>
      <c r="D2509" s="29" t="s">
        <v>13601</v>
      </c>
      <c r="E2509" s="30" t="s">
        <v>13602</v>
      </c>
      <c r="F2509" s="28" t="s">
        <v>13603</v>
      </c>
      <c r="I2509" s="32"/>
      <c r="J2509" s="32"/>
      <c r="K2509" s="33" t="s">
        <v>13599</v>
      </c>
      <c r="L2509" s="33" t="s">
        <v>13604</v>
      </c>
      <c r="N2509" s="33" t="s">
        <v>13599</v>
      </c>
      <c r="O2509" s="35" t="s">
        <v>13605</v>
      </c>
    </row>
    <row r="2510">
      <c r="A2510" s="38"/>
      <c r="B2510" s="28" t="s">
        <v>13606</v>
      </c>
      <c r="C2510" s="28" t="s">
        <v>13383</v>
      </c>
      <c r="D2510" s="29" t="s">
        <v>13607</v>
      </c>
      <c r="E2510" s="30" t="s">
        <v>13608</v>
      </c>
      <c r="F2510" s="28" t="s">
        <v>13609</v>
      </c>
      <c r="I2510" s="32"/>
      <c r="J2510" s="32"/>
      <c r="K2510" s="33" t="s">
        <v>13606</v>
      </c>
      <c r="L2510" s="33" t="s">
        <v>13610</v>
      </c>
      <c r="N2510" s="33" t="s">
        <v>13606</v>
      </c>
      <c r="O2510" s="35" t="s">
        <v>13382</v>
      </c>
    </row>
    <row r="2511">
      <c r="A2511" s="38"/>
      <c r="B2511" s="28" t="s">
        <v>13611</v>
      </c>
      <c r="C2511" s="28" t="s">
        <v>13388</v>
      </c>
      <c r="D2511" s="29" t="s">
        <v>13612</v>
      </c>
      <c r="E2511" s="30"/>
      <c r="F2511" s="28" t="s">
        <v>13613</v>
      </c>
      <c r="I2511" s="32"/>
      <c r="J2511" s="32"/>
      <c r="K2511" s="33" t="s">
        <v>13611</v>
      </c>
      <c r="L2511" s="33" t="s">
        <v>13614</v>
      </c>
      <c r="N2511" s="33" t="s">
        <v>13611</v>
      </c>
      <c r="O2511" s="35" t="s">
        <v>13387</v>
      </c>
    </row>
    <row r="2512">
      <c r="A2512" s="38"/>
      <c r="B2512" s="28" t="s">
        <v>13615</v>
      </c>
      <c r="C2512" s="28" t="s">
        <v>13393</v>
      </c>
      <c r="D2512" s="29" t="s">
        <v>13616</v>
      </c>
      <c r="E2512" s="30" t="s">
        <v>13617</v>
      </c>
      <c r="F2512" s="28" t="s">
        <v>13618</v>
      </c>
      <c r="I2512" s="32"/>
      <c r="J2512" s="32"/>
      <c r="K2512" s="33" t="s">
        <v>13615</v>
      </c>
      <c r="L2512" s="33" t="s">
        <v>13619</v>
      </c>
      <c r="N2512" s="33" t="s">
        <v>13615</v>
      </c>
      <c r="O2512" s="35" t="s">
        <v>13387</v>
      </c>
    </row>
    <row r="2513">
      <c r="A2513" s="38"/>
      <c r="B2513" s="28" t="s">
        <v>13620</v>
      </c>
      <c r="C2513" s="28" t="s">
        <v>13397</v>
      </c>
      <c r="D2513" s="29" t="s">
        <v>13621</v>
      </c>
      <c r="E2513" s="30"/>
      <c r="F2513" s="28" t="s">
        <v>13622</v>
      </c>
      <c r="I2513" s="32"/>
      <c r="J2513" s="32"/>
      <c r="K2513" s="33" t="s">
        <v>13620</v>
      </c>
      <c r="L2513" s="33" t="s">
        <v>13623</v>
      </c>
      <c r="N2513" s="33" t="s">
        <v>13620</v>
      </c>
      <c r="O2513" s="35"/>
    </row>
    <row r="2514">
      <c r="A2514" s="38"/>
      <c r="B2514" s="28" t="s">
        <v>13624</v>
      </c>
      <c r="C2514" s="28" t="s">
        <v>13625</v>
      </c>
      <c r="D2514" s="29" t="s">
        <v>13626</v>
      </c>
      <c r="E2514" s="30"/>
      <c r="F2514" s="28" t="s">
        <v>13627</v>
      </c>
      <c r="I2514" s="32"/>
      <c r="J2514" s="32"/>
      <c r="K2514" s="33" t="s">
        <v>13624</v>
      </c>
      <c r="L2514" s="33" t="s">
        <v>13628</v>
      </c>
      <c r="N2514" s="33" t="s">
        <v>13624</v>
      </c>
      <c r="O2514" s="35"/>
    </row>
    <row r="2515">
      <c r="A2515" s="38"/>
      <c r="B2515" s="28" t="s">
        <v>13629</v>
      </c>
      <c r="C2515" s="28" t="s">
        <v>13402</v>
      </c>
      <c r="D2515" s="29" t="s">
        <v>13630</v>
      </c>
      <c r="E2515" s="30" t="s">
        <v>13631</v>
      </c>
      <c r="F2515" s="28" t="s">
        <v>13632</v>
      </c>
      <c r="I2515" s="32"/>
      <c r="J2515" s="32"/>
      <c r="K2515" s="33" t="s">
        <v>13629</v>
      </c>
      <c r="L2515" s="33" t="s">
        <v>13633</v>
      </c>
      <c r="N2515" s="33" t="s">
        <v>13629</v>
      </c>
      <c r="O2515" s="35"/>
    </row>
    <row r="2516">
      <c r="A2516" s="38"/>
      <c r="B2516" s="28" t="s">
        <v>13634</v>
      </c>
      <c r="C2516" s="28" t="s">
        <v>13635</v>
      </c>
      <c r="D2516" s="29" t="s">
        <v>13636</v>
      </c>
      <c r="E2516" s="30" t="s">
        <v>13637</v>
      </c>
      <c r="F2516" s="28" t="s">
        <v>13638</v>
      </c>
      <c r="I2516" s="32"/>
      <c r="J2516" s="32"/>
      <c r="K2516" s="33" t="s">
        <v>13634</v>
      </c>
      <c r="L2516" s="33" t="s">
        <v>13639</v>
      </c>
      <c r="N2516" s="33" t="s">
        <v>13634</v>
      </c>
      <c r="O2516" s="35" t="s">
        <v>13640</v>
      </c>
    </row>
    <row r="2517">
      <c r="A2517" s="38"/>
      <c r="B2517" s="28" t="s">
        <v>13641</v>
      </c>
      <c r="C2517" s="28" t="s">
        <v>13421</v>
      </c>
      <c r="D2517" s="60" t="s">
        <v>13642</v>
      </c>
      <c r="E2517" s="30" t="s">
        <v>13643</v>
      </c>
      <c r="F2517" s="28" t="s">
        <v>13644</v>
      </c>
      <c r="I2517" s="32"/>
      <c r="J2517" s="32"/>
      <c r="K2517" s="33" t="s">
        <v>13641</v>
      </c>
      <c r="L2517" s="33" t="s">
        <v>13645</v>
      </c>
      <c r="N2517" s="33" t="s">
        <v>13641</v>
      </c>
      <c r="O2517" s="35" t="s">
        <v>13420</v>
      </c>
    </row>
    <row r="2518">
      <c r="A2518" s="38"/>
      <c r="B2518" s="28" t="s">
        <v>13646</v>
      </c>
      <c r="C2518" s="28" t="s">
        <v>13647</v>
      </c>
      <c r="D2518" s="29" t="s">
        <v>13648</v>
      </c>
      <c r="E2518" s="30" t="s">
        <v>13649</v>
      </c>
      <c r="F2518" s="28" t="s">
        <v>13650</v>
      </c>
      <c r="I2518" s="32"/>
      <c r="J2518" s="32"/>
      <c r="K2518" s="33" t="s">
        <v>13646</v>
      </c>
      <c r="L2518" s="33" t="s">
        <v>13651</v>
      </c>
      <c r="N2518" s="33" t="s">
        <v>13646</v>
      </c>
      <c r="O2518" s="35" t="s">
        <v>13652</v>
      </c>
    </row>
    <row r="2519">
      <c r="A2519" s="38"/>
      <c r="B2519" s="28" t="s">
        <v>13653</v>
      </c>
      <c r="C2519" s="28" t="s">
        <v>13654</v>
      </c>
      <c r="D2519" s="29" t="s">
        <v>13655</v>
      </c>
      <c r="E2519" s="30"/>
      <c r="F2519" s="28" t="s">
        <v>13656</v>
      </c>
      <c r="I2519" s="32"/>
      <c r="J2519" s="32"/>
      <c r="K2519" s="33" t="s">
        <v>13653</v>
      </c>
      <c r="L2519" s="33" t="s">
        <v>13657</v>
      </c>
      <c r="N2519" s="33" t="s">
        <v>13653</v>
      </c>
      <c r="O2519" s="47" t="s">
        <v>13658</v>
      </c>
    </row>
    <row r="2520">
      <c r="A2520" s="38"/>
      <c r="B2520" s="28" t="s">
        <v>13659</v>
      </c>
      <c r="C2520" s="28" t="s">
        <v>13426</v>
      </c>
      <c r="D2520" s="29" t="s">
        <v>13660</v>
      </c>
      <c r="E2520" s="30" t="s">
        <v>13661</v>
      </c>
      <c r="F2520" s="28" t="s">
        <v>13662</v>
      </c>
      <c r="I2520" s="32"/>
      <c r="J2520" s="32"/>
      <c r="K2520" s="33" t="s">
        <v>13659</v>
      </c>
      <c r="L2520" s="33" t="s">
        <v>13663</v>
      </c>
      <c r="N2520" s="33" t="s">
        <v>13659</v>
      </c>
      <c r="O2520" s="35"/>
    </row>
    <row r="2521">
      <c r="A2521" s="38"/>
      <c r="B2521" s="28" t="s">
        <v>13664</v>
      </c>
      <c r="C2521" s="28" t="s">
        <v>13431</v>
      </c>
      <c r="D2521" s="29" t="s">
        <v>13665</v>
      </c>
      <c r="E2521" s="30" t="s">
        <v>432</v>
      </c>
      <c r="F2521" s="28" t="s">
        <v>13666</v>
      </c>
      <c r="I2521" s="32"/>
      <c r="J2521" s="32"/>
      <c r="K2521" s="33" t="s">
        <v>13664</v>
      </c>
      <c r="L2521" s="33" t="s">
        <v>13667</v>
      </c>
      <c r="N2521" s="33" t="s">
        <v>13664</v>
      </c>
      <c r="O2521" s="47" t="s">
        <v>13668</v>
      </c>
    </row>
    <row r="2522">
      <c r="A2522" s="38"/>
      <c r="B2522" s="28" t="s">
        <v>13669</v>
      </c>
      <c r="C2522" s="28" t="s">
        <v>13436</v>
      </c>
      <c r="D2522" s="29" t="s">
        <v>13670</v>
      </c>
      <c r="E2522" s="30" t="s">
        <v>432</v>
      </c>
      <c r="F2522" s="28" t="s">
        <v>427</v>
      </c>
      <c r="I2522" s="32"/>
      <c r="J2522" s="32"/>
      <c r="K2522" s="33" t="s">
        <v>13669</v>
      </c>
      <c r="L2522" s="33" t="s">
        <v>13671</v>
      </c>
      <c r="N2522" s="33" t="s">
        <v>13669</v>
      </c>
      <c r="O2522" s="35" t="s">
        <v>13435</v>
      </c>
    </row>
    <row r="2523">
      <c r="A2523" s="38"/>
      <c r="B2523" s="28" t="s">
        <v>13672</v>
      </c>
      <c r="C2523" s="28" t="s">
        <v>13673</v>
      </c>
      <c r="D2523" s="29" t="s">
        <v>13674</v>
      </c>
      <c r="E2523" s="30" t="s">
        <v>13675</v>
      </c>
      <c r="F2523" s="28" t="s">
        <v>13676</v>
      </c>
      <c r="I2523" s="32"/>
      <c r="J2523" s="32"/>
      <c r="K2523" s="33" t="s">
        <v>13672</v>
      </c>
      <c r="L2523" s="33" t="s">
        <v>13677</v>
      </c>
      <c r="N2523" s="33" t="s">
        <v>13672</v>
      </c>
      <c r="O2523" s="35" t="s">
        <v>13678</v>
      </c>
    </row>
    <row r="2524">
      <c r="A2524" s="38"/>
      <c r="B2524" s="28" t="s">
        <v>13679</v>
      </c>
      <c r="C2524" s="28" t="s">
        <v>13680</v>
      </c>
      <c r="D2524" s="29" t="s">
        <v>13681</v>
      </c>
      <c r="E2524" s="30" t="s">
        <v>13682</v>
      </c>
      <c r="F2524" s="28" t="s">
        <v>13683</v>
      </c>
      <c r="I2524" s="32"/>
      <c r="J2524" s="32"/>
      <c r="K2524" s="33" t="s">
        <v>13679</v>
      </c>
      <c r="L2524" s="33" t="s">
        <v>13684</v>
      </c>
      <c r="N2524" s="33" t="s">
        <v>13679</v>
      </c>
      <c r="O2524" s="47" t="s">
        <v>13685</v>
      </c>
    </row>
    <row r="2525">
      <c r="A2525" s="38"/>
      <c r="B2525" s="28" t="s">
        <v>13686</v>
      </c>
      <c r="C2525" s="28" t="s">
        <v>13446</v>
      </c>
      <c r="D2525" s="29" t="s">
        <v>13687</v>
      </c>
      <c r="E2525" s="30"/>
      <c r="F2525" s="28" t="s">
        <v>13688</v>
      </c>
      <c r="I2525" s="32"/>
      <c r="J2525" s="32"/>
      <c r="K2525" s="33" t="s">
        <v>13686</v>
      </c>
      <c r="L2525" s="33" t="s">
        <v>13689</v>
      </c>
      <c r="N2525" s="33" t="s">
        <v>13686</v>
      </c>
      <c r="O2525" s="35" t="s">
        <v>13445</v>
      </c>
    </row>
    <row r="2526">
      <c r="A2526" s="38"/>
      <c r="B2526" s="28" t="s">
        <v>13690</v>
      </c>
      <c r="C2526" s="28" t="s">
        <v>13691</v>
      </c>
      <c r="D2526" s="29" t="s">
        <v>13692</v>
      </c>
      <c r="E2526" s="30" t="s">
        <v>13693</v>
      </c>
      <c r="F2526" s="28" t="s">
        <v>13694</v>
      </c>
      <c r="I2526" s="32"/>
      <c r="J2526" s="32"/>
      <c r="K2526" s="33" t="s">
        <v>13690</v>
      </c>
      <c r="L2526" s="33" t="s">
        <v>13695</v>
      </c>
      <c r="N2526" s="33" t="s">
        <v>13690</v>
      </c>
      <c r="O2526" s="35" t="s">
        <v>13696</v>
      </c>
    </row>
    <row r="2527">
      <c r="A2527" s="38"/>
      <c r="B2527" s="28" t="s">
        <v>13697</v>
      </c>
      <c r="C2527" s="28" t="s">
        <v>13698</v>
      </c>
      <c r="D2527" s="29" t="s">
        <v>13699</v>
      </c>
      <c r="E2527" s="30"/>
      <c r="F2527" s="28" t="s">
        <v>13700</v>
      </c>
      <c r="I2527" s="32"/>
      <c r="J2527" s="32"/>
      <c r="K2527" s="33" t="s">
        <v>13697</v>
      </c>
      <c r="L2527" s="33" t="s">
        <v>13701</v>
      </c>
      <c r="N2527" s="33" t="s">
        <v>13697</v>
      </c>
      <c r="O2527" s="35"/>
    </row>
    <row r="2528">
      <c r="A2528" s="38"/>
      <c r="B2528" s="28" t="s">
        <v>13702</v>
      </c>
      <c r="C2528" s="28" t="s">
        <v>13703</v>
      </c>
      <c r="D2528" s="29" t="s">
        <v>13704</v>
      </c>
      <c r="E2528" s="30" t="s">
        <v>13705</v>
      </c>
      <c r="F2528" s="28" t="s">
        <v>13706</v>
      </c>
      <c r="I2528" s="32"/>
      <c r="J2528" s="32"/>
      <c r="K2528" s="33" t="s">
        <v>13702</v>
      </c>
      <c r="L2528" s="33" t="s">
        <v>13707</v>
      </c>
      <c r="N2528" s="33" t="s">
        <v>13702</v>
      </c>
      <c r="O2528" s="35"/>
    </row>
    <row r="2529">
      <c r="A2529" s="38"/>
      <c r="B2529" s="28" t="s">
        <v>13708</v>
      </c>
      <c r="C2529" s="28" t="s">
        <v>13709</v>
      </c>
      <c r="D2529" s="29" t="s">
        <v>13710</v>
      </c>
      <c r="E2529" s="30" t="s">
        <v>13711</v>
      </c>
      <c r="F2529" s="28" t="s">
        <v>13712</v>
      </c>
      <c r="I2529" s="32"/>
      <c r="J2529" s="32"/>
      <c r="K2529" s="33" t="s">
        <v>13708</v>
      </c>
      <c r="L2529" s="33" t="s">
        <v>13713</v>
      </c>
      <c r="N2529" s="33" t="s">
        <v>13708</v>
      </c>
      <c r="O2529" s="35"/>
    </row>
    <row r="2530">
      <c r="A2530" s="38"/>
      <c r="B2530" s="28" t="s">
        <v>13714</v>
      </c>
      <c r="C2530" s="28" t="s">
        <v>13509</v>
      </c>
      <c r="D2530" s="29" t="s">
        <v>13715</v>
      </c>
      <c r="E2530" s="30"/>
      <c r="F2530" s="28" t="s">
        <v>13716</v>
      </c>
      <c r="I2530" s="32"/>
      <c r="J2530" s="32"/>
      <c r="K2530" s="33" t="s">
        <v>13714</v>
      </c>
      <c r="L2530" s="33" t="s">
        <v>13717</v>
      </c>
      <c r="N2530" s="33" t="s">
        <v>13714</v>
      </c>
      <c r="O2530" s="35" t="s">
        <v>13508</v>
      </c>
    </row>
    <row r="2531">
      <c r="A2531" s="38"/>
      <c r="B2531" s="28" t="s">
        <v>13718</v>
      </c>
      <c r="C2531" s="28" t="s">
        <v>13719</v>
      </c>
      <c r="D2531" s="29" t="s">
        <v>13720</v>
      </c>
      <c r="E2531" s="54" t="s">
        <v>13721</v>
      </c>
      <c r="F2531" s="28" t="s">
        <v>13722</v>
      </c>
      <c r="I2531" s="32"/>
      <c r="J2531" s="32"/>
      <c r="K2531" s="33" t="s">
        <v>13718</v>
      </c>
      <c r="L2531" s="33" t="s">
        <v>13723</v>
      </c>
      <c r="N2531" s="33" t="s">
        <v>13718</v>
      </c>
      <c r="O2531" s="35"/>
    </row>
    <row r="2532">
      <c r="A2532" s="38"/>
      <c r="B2532" s="28" t="s">
        <v>13724</v>
      </c>
      <c r="C2532" s="28" t="s">
        <v>13537</v>
      </c>
      <c r="D2532" s="29" t="s">
        <v>13725</v>
      </c>
      <c r="E2532" s="30" t="s">
        <v>13726</v>
      </c>
      <c r="F2532" s="28" t="s">
        <v>13727</v>
      </c>
      <c r="I2532" s="32"/>
      <c r="J2532" s="32"/>
      <c r="K2532" s="33" t="s">
        <v>13724</v>
      </c>
      <c r="L2532" s="33" t="s">
        <v>13728</v>
      </c>
      <c r="N2532" s="33" t="s">
        <v>13724</v>
      </c>
      <c r="O2532" s="35" t="s">
        <v>13536</v>
      </c>
    </row>
    <row r="2533">
      <c r="A2533" s="38"/>
      <c r="B2533" s="28" t="s">
        <v>13729</v>
      </c>
      <c r="C2533" s="28" t="s">
        <v>13730</v>
      </c>
      <c r="D2533" s="29" t="s">
        <v>13731</v>
      </c>
      <c r="E2533" s="54" t="s">
        <v>13732</v>
      </c>
      <c r="F2533" s="28" t="s">
        <v>13733</v>
      </c>
      <c r="I2533" s="32"/>
      <c r="J2533" s="32"/>
      <c r="K2533" s="33" t="s">
        <v>13729</v>
      </c>
      <c r="L2533" s="33" t="s">
        <v>13734</v>
      </c>
      <c r="N2533" s="33" t="s">
        <v>13729</v>
      </c>
      <c r="O2533" s="35" t="s">
        <v>13735</v>
      </c>
    </row>
    <row r="2534">
      <c r="A2534" s="38"/>
      <c r="B2534" s="28" t="s">
        <v>13736</v>
      </c>
      <c r="C2534" s="28" t="s">
        <v>13737</v>
      </c>
      <c r="D2534" s="29" t="s">
        <v>13738</v>
      </c>
      <c r="E2534" s="30" t="s">
        <v>13739</v>
      </c>
      <c r="F2534" s="28" t="s">
        <v>13740</v>
      </c>
      <c r="I2534" s="32"/>
      <c r="J2534" s="32"/>
      <c r="K2534" s="33" t="s">
        <v>13736</v>
      </c>
      <c r="L2534" s="33" t="s">
        <v>13741</v>
      </c>
      <c r="N2534" s="33" t="s">
        <v>13736</v>
      </c>
      <c r="O2534" s="47" t="s">
        <v>13742</v>
      </c>
    </row>
    <row r="2535">
      <c r="A2535" s="38"/>
      <c r="B2535" s="28" t="s">
        <v>13743</v>
      </c>
      <c r="C2535" s="28" t="s">
        <v>13744</v>
      </c>
      <c r="D2535" s="29" t="s">
        <v>13745</v>
      </c>
      <c r="E2535" s="30" t="s">
        <v>13746</v>
      </c>
      <c r="F2535" s="28" t="s">
        <v>13747</v>
      </c>
      <c r="I2535" s="32"/>
      <c r="J2535" s="32"/>
      <c r="K2535" s="33" t="s">
        <v>13743</v>
      </c>
      <c r="L2535" s="33" t="s">
        <v>13748</v>
      </c>
      <c r="N2535" s="33" t="s">
        <v>13743</v>
      </c>
      <c r="O2535" s="35"/>
    </row>
    <row r="2536">
      <c r="A2536" s="38"/>
      <c r="B2536" s="28" t="s">
        <v>13749</v>
      </c>
      <c r="C2536" s="28" t="s">
        <v>13750</v>
      </c>
      <c r="D2536" s="29" t="s">
        <v>13751</v>
      </c>
      <c r="E2536" s="30" t="s">
        <v>13752</v>
      </c>
      <c r="F2536" s="28" t="s">
        <v>13753</v>
      </c>
      <c r="I2536" s="32"/>
      <c r="J2536" s="32"/>
      <c r="K2536" s="33" t="s">
        <v>13749</v>
      </c>
      <c r="L2536" s="33" t="s">
        <v>13754</v>
      </c>
      <c r="N2536" s="33" t="s">
        <v>13749</v>
      </c>
      <c r="O2536" s="47" t="s">
        <v>13755</v>
      </c>
    </row>
    <row r="2537">
      <c r="A2537" s="38"/>
      <c r="B2537" s="28" t="s">
        <v>13756</v>
      </c>
      <c r="C2537" s="28" t="s">
        <v>13757</v>
      </c>
      <c r="D2537" s="29" t="s">
        <v>13758</v>
      </c>
      <c r="E2537" s="30"/>
      <c r="F2537" s="28" t="s">
        <v>13759</v>
      </c>
      <c r="I2537" s="32"/>
      <c r="J2537" s="32"/>
      <c r="K2537" s="33" t="s">
        <v>13756</v>
      </c>
      <c r="L2537" s="33" t="s">
        <v>13760</v>
      </c>
      <c r="N2537" s="33" t="s">
        <v>13756</v>
      </c>
      <c r="O2537" s="35" t="s">
        <v>13761</v>
      </c>
    </row>
    <row r="2538">
      <c r="A2538" s="38"/>
      <c r="B2538" s="28" t="s">
        <v>13762</v>
      </c>
      <c r="C2538" s="28" t="s">
        <v>13546</v>
      </c>
      <c r="D2538" s="29" t="s">
        <v>13763</v>
      </c>
      <c r="E2538" s="30"/>
      <c r="F2538" s="28" t="s">
        <v>13764</v>
      </c>
      <c r="I2538" s="32"/>
      <c r="J2538" s="32"/>
      <c r="K2538" s="33" t="s">
        <v>13762</v>
      </c>
      <c r="L2538" s="33" t="s">
        <v>13765</v>
      </c>
      <c r="N2538" s="33" t="s">
        <v>13762</v>
      </c>
      <c r="O2538" s="35" t="s">
        <v>13545</v>
      </c>
    </row>
    <row r="2539">
      <c r="A2539" s="38"/>
      <c r="B2539" s="28" t="s">
        <v>13766</v>
      </c>
      <c r="C2539" s="28" t="s">
        <v>13550</v>
      </c>
      <c r="D2539" s="29" t="s">
        <v>13767</v>
      </c>
      <c r="E2539" s="30"/>
      <c r="F2539" s="28" t="s">
        <v>13768</v>
      </c>
      <c r="I2539" s="32"/>
      <c r="J2539" s="32"/>
      <c r="K2539" s="33" t="s">
        <v>13766</v>
      </c>
      <c r="L2539" s="33" t="s">
        <v>13769</v>
      </c>
      <c r="N2539" s="33" t="s">
        <v>13766</v>
      </c>
      <c r="O2539" s="35"/>
    </row>
    <row r="2540">
      <c r="A2540" s="38"/>
      <c r="B2540" s="28" t="s">
        <v>13770</v>
      </c>
      <c r="C2540" s="28" t="s">
        <v>13771</v>
      </c>
      <c r="D2540" s="29" t="s">
        <v>13772</v>
      </c>
      <c r="E2540" s="30"/>
      <c r="F2540" s="28" t="s">
        <v>13773</v>
      </c>
      <c r="I2540" s="32"/>
      <c r="J2540" s="32"/>
      <c r="K2540" s="33" t="s">
        <v>13770</v>
      </c>
      <c r="L2540" s="33" t="s">
        <v>13774</v>
      </c>
      <c r="N2540" s="33" t="s">
        <v>13770</v>
      </c>
      <c r="O2540" s="35" t="s">
        <v>13775</v>
      </c>
    </row>
    <row r="2541">
      <c r="A2541" s="38"/>
      <c r="B2541" s="28" t="s">
        <v>13776</v>
      </c>
      <c r="C2541" s="28" t="s">
        <v>13777</v>
      </c>
      <c r="D2541" s="29" t="s">
        <v>13778</v>
      </c>
      <c r="E2541" s="54" t="s">
        <v>13779</v>
      </c>
      <c r="F2541" s="28" t="s">
        <v>13780</v>
      </c>
      <c r="I2541" s="32"/>
      <c r="J2541" s="32"/>
      <c r="K2541" s="33" t="s">
        <v>13776</v>
      </c>
      <c r="L2541" s="33" t="s">
        <v>13781</v>
      </c>
      <c r="N2541" s="33" t="s">
        <v>13776</v>
      </c>
      <c r="O2541" s="35" t="s">
        <v>13782</v>
      </c>
    </row>
    <row r="2542">
      <c r="A2542" s="38"/>
      <c r="B2542" s="28" t="s">
        <v>13783</v>
      </c>
      <c r="C2542" s="28" t="s">
        <v>13585</v>
      </c>
      <c r="D2542" s="29" t="s">
        <v>13784</v>
      </c>
      <c r="E2542" s="54" t="s">
        <v>13785</v>
      </c>
      <c r="F2542" s="28" t="s">
        <v>13786</v>
      </c>
      <c r="I2542" s="32"/>
      <c r="J2542" s="32"/>
      <c r="K2542" s="33" t="s">
        <v>13783</v>
      </c>
      <c r="L2542" s="33" t="s">
        <v>13787</v>
      </c>
      <c r="N2542" s="33" t="s">
        <v>13783</v>
      </c>
      <c r="O2542" s="35"/>
    </row>
    <row r="2543">
      <c r="A2543" s="38"/>
      <c r="B2543" s="28" t="s">
        <v>13788</v>
      </c>
      <c r="C2543" s="28" t="s">
        <v>13591</v>
      </c>
      <c r="D2543" s="29" t="s">
        <v>13789</v>
      </c>
      <c r="E2543" s="54" t="s">
        <v>13790</v>
      </c>
      <c r="F2543" s="28" t="s">
        <v>761</v>
      </c>
      <c r="I2543" s="32"/>
      <c r="J2543" s="32"/>
      <c r="K2543" s="33" t="s">
        <v>13788</v>
      </c>
      <c r="L2543" s="33" t="s">
        <v>13791</v>
      </c>
      <c r="N2543" s="33" t="s">
        <v>13788</v>
      </c>
      <c r="O2543" s="35"/>
    </row>
    <row r="2544">
      <c r="A2544" s="38"/>
      <c r="B2544" s="28" t="s">
        <v>13792</v>
      </c>
      <c r="C2544" s="28" t="s">
        <v>13793</v>
      </c>
      <c r="D2544" s="29" t="s">
        <v>13794</v>
      </c>
      <c r="E2544" s="30"/>
      <c r="F2544" s="28" t="s">
        <v>13795</v>
      </c>
      <c r="I2544" s="32"/>
      <c r="J2544" s="32"/>
      <c r="K2544" s="33" t="s">
        <v>13792</v>
      </c>
      <c r="L2544" s="33" t="s">
        <v>13796</v>
      </c>
      <c r="N2544" s="33" t="s">
        <v>13792</v>
      </c>
      <c r="O2544" s="35"/>
    </row>
    <row r="2545">
      <c r="A2545" s="38"/>
      <c r="B2545" s="28" t="s">
        <v>13797</v>
      </c>
      <c r="C2545" s="28" t="s">
        <v>13597</v>
      </c>
      <c r="D2545" s="29" t="s">
        <v>13798</v>
      </c>
      <c r="E2545" s="54" t="s">
        <v>13799</v>
      </c>
      <c r="F2545" s="28" t="s">
        <v>13800</v>
      </c>
      <c r="I2545" s="32"/>
      <c r="J2545" s="32"/>
      <c r="K2545" s="33" t="s">
        <v>13797</v>
      </c>
      <c r="L2545" s="33" t="s">
        <v>13801</v>
      </c>
      <c r="N2545" s="33" t="s">
        <v>13797</v>
      </c>
      <c r="O2545" s="47" t="s">
        <v>13802</v>
      </c>
    </row>
    <row r="2546">
      <c r="A2546" s="38"/>
      <c r="B2546" s="28" t="s">
        <v>13803</v>
      </c>
      <c r="C2546" s="28" t="s">
        <v>13603</v>
      </c>
      <c r="D2546" s="29" t="s">
        <v>13804</v>
      </c>
      <c r="E2546" s="30" t="s">
        <v>13805</v>
      </c>
      <c r="F2546" s="28" t="s">
        <v>13806</v>
      </c>
      <c r="I2546" s="32"/>
      <c r="J2546" s="32"/>
      <c r="K2546" s="33" t="s">
        <v>13803</v>
      </c>
      <c r="L2546" s="33" t="s">
        <v>13807</v>
      </c>
      <c r="N2546" s="33" t="s">
        <v>13803</v>
      </c>
      <c r="O2546" s="35" t="s">
        <v>13602</v>
      </c>
    </row>
    <row r="2547">
      <c r="A2547" s="38"/>
      <c r="B2547" s="28" t="s">
        <v>13808</v>
      </c>
      <c r="C2547" s="28" t="s">
        <v>13613</v>
      </c>
      <c r="D2547" s="29" t="s">
        <v>13809</v>
      </c>
      <c r="E2547" s="54" t="s">
        <v>13810</v>
      </c>
      <c r="F2547" s="28" t="s">
        <v>13811</v>
      </c>
      <c r="I2547" s="32"/>
      <c r="J2547" s="32"/>
      <c r="K2547" s="33" t="s">
        <v>13808</v>
      </c>
      <c r="L2547" s="33" t="s">
        <v>13812</v>
      </c>
      <c r="N2547" s="33" t="s">
        <v>13808</v>
      </c>
      <c r="O2547" s="35"/>
    </row>
    <row r="2548">
      <c r="A2548" s="38"/>
      <c r="B2548" s="28" t="s">
        <v>13813</v>
      </c>
      <c r="C2548" s="28" t="s">
        <v>13618</v>
      </c>
      <c r="D2548" s="29" t="s">
        <v>13814</v>
      </c>
      <c r="E2548" s="30" t="s">
        <v>13815</v>
      </c>
      <c r="F2548" s="28" t="s">
        <v>13816</v>
      </c>
      <c r="I2548" s="32"/>
      <c r="J2548" s="32"/>
      <c r="K2548" s="33" t="s">
        <v>13813</v>
      </c>
      <c r="L2548" s="33" t="s">
        <v>13817</v>
      </c>
      <c r="N2548" s="33" t="s">
        <v>13813</v>
      </c>
      <c r="O2548" s="35" t="s">
        <v>13617</v>
      </c>
    </row>
    <row r="2549">
      <c r="A2549" s="38"/>
      <c r="B2549" s="28" t="s">
        <v>13818</v>
      </c>
      <c r="C2549" s="28" t="s">
        <v>13632</v>
      </c>
      <c r="D2549" s="29" t="s">
        <v>13819</v>
      </c>
      <c r="E2549" s="54" t="s">
        <v>13820</v>
      </c>
      <c r="F2549" s="28" t="s">
        <v>13821</v>
      </c>
      <c r="I2549" s="32"/>
      <c r="J2549" s="32"/>
      <c r="K2549" s="33" t="s">
        <v>13818</v>
      </c>
      <c r="L2549" s="33" t="s">
        <v>13822</v>
      </c>
      <c r="N2549" s="33" t="s">
        <v>13818</v>
      </c>
      <c r="O2549" s="35" t="s">
        <v>13631</v>
      </c>
    </row>
    <row r="2550">
      <c r="A2550" s="38"/>
      <c r="B2550" s="28" t="s">
        <v>13823</v>
      </c>
      <c r="C2550" s="28" t="s">
        <v>13644</v>
      </c>
      <c r="D2550" s="29" t="s">
        <v>13824</v>
      </c>
      <c r="E2550" s="30" t="s">
        <v>13825</v>
      </c>
      <c r="F2550" s="28" t="s">
        <v>13826</v>
      </c>
      <c r="I2550" s="32"/>
      <c r="J2550" s="32"/>
      <c r="K2550" s="33" t="s">
        <v>13823</v>
      </c>
      <c r="L2550" s="33" t="s">
        <v>13827</v>
      </c>
      <c r="N2550" s="33" t="s">
        <v>13823</v>
      </c>
      <c r="O2550" s="35" t="s">
        <v>13643</v>
      </c>
    </row>
    <row r="2551">
      <c r="A2551" s="38"/>
      <c r="B2551" s="28" t="s">
        <v>13828</v>
      </c>
      <c r="C2551" s="28" t="s">
        <v>13650</v>
      </c>
      <c r="D2551" s="29" t="s">
        <v>13829</v>
      </c>
      <c r="E2551" s="30" t="s">
        <v>13830</v>
      </c>
      <c r="F2551" s="28" t="s">
        <v>13831</v>
      </c>
      <c r="I2551" s="32"/>
      <c r="J2551" s="32"/>
      <c r="K2551" s="33" t="s">
        <v>13828</v>
      </c>
      <c r="L2551" s="33" t="s">
        <v>13832</v>
      </c>
      <c r="N2551" s="33" t="s">
        <v>13828</v>
      </c>
      <c r="O2551" s="35" t="s">
        <v>13649</v>
      </c>
    </row>
    <row r="2552">
      <c r="A2552" s="38"/>
      <c r="B2552" s="28" t="s">
        <v>13833</v>
      </c>
      <c r="C2552" s="28" t="s">
        <v>13662</v>
      </c>
      <c r="D2552" s="29" t="s">
        <v>13834</v>
      </c>
      <c r="E2552" s="30"/>
      <c r="F2552" s="28" t="s">
        <v>13835</v>
      </c>
      <c r="I2552" s="32"/>
      <c r="J2552" s="32"/>
      <c r="K2552" s="33" t="s">
        <v>13833</v>
      </c>
      <c r="L2552" s="33" t="s">
        <v>13836</v>
      </c>
      <c r="N2552" s="33" t="s">
        <v>13833</v>
      </c>
      <c r="O2552" s="35" t="s">
        <v>13661</v>
      </c>
    </row>
    <row r="2553">
      <c r="A2553" s="38"/>
      <c r="B2553" s="28" t="s">
        <v>13837</v>
      </c>
      <c r="C2553" s="28" t="s">
        <v>13838</v>
      </c>
      <c r="D2553" s="29" t="s">
        <v>13839</v>
      </c>
      <c r="E2553" s="30" t="s">
        <v>13840</v>
      </c>
      <c r="F2553" s="28" t="s">
        <v>13841</v>
      </c>
      <c r="I2553" s="32"/>
      <c r="J2553" s="32"/>
      <c r="K2553" s="33" t="s">
        <v>13837</v>
      </c>
      <c r="L2553" s="33" t="s">
        <v>13842</v>
      </c>
      <c r="N2553" s="33" t="s">
        <v>13837</v>
      </c>
      <c r="O2553" s="35" t="s">
        <v>13843</v>
      </c>
    </row>
    <row r="2554">
      <c r="A2554" s="38"/>
      <c r="B2554" s="28" t="s">
        <v>13844</v>
      </c>
      <c r="C2554" s="28" t="s">
        <v>13676</v>
      </c>
      <c r="D2554" s="29" t="s">
        <v>13845</v>
      </c>
      <c r="E2554" s="30"/>
      <c r="F2554" s="28" t="s">
        <v>13846</v>
      </c>
      <c r="I2554" s="32"/>
      <c r="J2554" s="32"/>
      <c r="K2554" s="33" t="s">
        <v>13844</v>
      </c>
      <c r="L2554" s="33" t="s">
        <v>13847</v>
      </c>
      <c r="N2554" s="33" t="s">
        <v>13844</v>
      </c>
      <c r="O2554" s="35" t="s">
        <v>13675</v>
      </c>
    </row>
    <row r="2555">
      <c r="A2555" s="38"/>
      <c r="B2555" s="28" t="s">
        <v>13848</v>
      </c>
      <c r="C2555" s="28" t="s">
        <v>13688</v>
      </c>
      <c r="D2555" s="29" t="s">
        <v>13849</v>
      </c>
      <c r="E2555" s="30" t="s">
        <v>13850</v>
      </c>
      <c r="F2555" s="28" t="s">
        <v>13851</v>
      </c>
      <c r="I2555" s="32"/>
      <c r="J2555" s="32"/>
      <c r="K2555" s="33" t="s">
        <v>13848</v>
      </c>
      <c r="L2555" s="33" t="s">
        <v>13852</v>
      </c>
      <c r="N2555" s="33" t="s">
        <v>13848</v>
      </c>
      <c r="O2555" s="35"/>
    </row>
    <row r="2556">
      <c r="A2556" s="38"/>
      <c r="B2556" s="28" t="s">
        <v>13853</v>
      </c>
      <c r="C2556" s="28" t="s">
        <v>13854</v>
      </c>
      <c r="D2556" s="29" t="s">
        <v>13855</v>
      </c>
      <c r="E2556" s="30" t="s">
        <v>13856</v>
      </c>
      <c r="F2556" s="28" t="s">
        <v>13857</v>
      </c>
      <c r="I2556" s="32"/>
      <c r="J2556" s="32"/>
      <c r="K2556" s="33" t="s">
        <v>13853</v>
      </c>
      <c r="L2556" s="33" t="s">
        <v>13858</v>
      </c>
      <c r="N2556" s="33" t="s">
        <v>13853</v>
      </c>
      <c r="O2556" s="35" t="s">
        <v>13859</v>
      </c>
    </row>
    <row r="2557">
      <c r="A2557" s="38"/>
      <c r="B2557" s="28" t="s">
        <v>13860</v>
      </c>
      <c r="C2557" s="28" t="s">
        <v>13700</v>
      </c>
      <c r="D2557" s="29" t="s">
        <v>13861</v>
      </c>
      <c r="E2557" s="30" t="s">
        <v>13862</v>
      </c>
      <c r="F2557" s="28" t="s">
        <v>13863</v>
      </c>
      <c r="I2557" s="32"/>
      <c r="J2557" s="32"/>
      <c r="K2557" s="33" t="s">
        <v>13860</v>
      </c>
      <c r="L2557" s="33" t="s">
        <v>13864</v>
      </c>
      <c r="N2557" s="33" t="s">
        <v>13860</v>
      </c>
      <c r="O2557" s="35"/>
    </row>
    <row r="2558">
      <c r="A2558" s="38"/>
      <c r="B2558" s="28" t="s">
        <v>13865</v>
      </c>
      <c r="C2558" s="28" t="s">
        <v>13712</v>
      </c>
      <c r="D2558" s="29" t="s">
        <v>13866</v>
      </c>
      <c r="E2558" s="30" t="s">
        <v>13856</v>
      </c>
      <c r="F2558" s="28" t="s">
        <v>13867</v>
      </c>
      <c r="I2558" s="32"/>
      <c r="J2558" s="32"/>
      <c r="K2558" s="33" t="s">
        <v>13865</v>
      </c>
      <c r="L2558" s="33" t="s">
        <v>13868</v>
      </c>
      <c r="N2558" s="33" t="s">
        <v>13865</v>
      </c>
      <c r="O2558" s="35" t="s">
        <v>13711</v>
      </c>
    </row>
    <row r="2559">
      <c r="A2559" s="38"/>
      <c r="B2559" s="28" t="s">
        <v>13869</v>
      </c>
      <c r="C2559" s="28" t="s">
        <v>13870</v>
      </c>
      <c r="D2559" s="29" t="s">
        <v>13871</v>
      </c>
      <c r="E2559" s="30" t="s">
        <v>13872</v>
      </c>
      <c r="F2559" s="28" t="s">
        <v>13873</v>
      </c>
      <c r="I2559" s="32"/>
      <c r="J2559" s="32"/>
      <c r="K2559" s="33" t="s">
        <v>13869</v>
      </c>
      <c r="L2559" s="33" t="s">
        <v>13874</v>
      </c>
      <c r="N2559" s="33" t="s">
        <v>13869</v>
      </c>
      <c r="O2559" s="35"/>
    </row>
    <row r="2560">
      <c r="A2560" s="38"/>
      <c r="B2560" s="28" t="s">
        <v>13875</v>
      </c>
      <c r="C2560" s="28" t="s">
        <v>13876</v>
      </c>
      <c r="D2560" s="29" t="s">
        <v>13877</v>
      </c>
      <c r="E2560" s="30"/>
      <c r="F2560" s="28" t="s">
        <v>13878</v>
      </c>
      <c r="I2560" s="32"/>
      <c r="J2560" s="32"/>
      <c r="K2560" s="33" t="s">
        <v>13875</v>
      </c>
      <c r="L2560" s="33" t="s">
        <v>13879</v>
      </c>
      <c r="N2560" s="33" t="s">
        <v>13875</v>
      </c>
      <c r="O2560" s="47" t="s">
        <v>13880</v>
      </c>
    </row>
    <row r="2561">
      <c r="A2561" s="38"/>
      <c r="B2561" s="28" t="s">
        <v>13881</v>
      </c>
      <c r="C2561" s="28" t="s">
        <v>13882</v>
      </c>
      <c r="D2561" s="29" t="s">
        <v>13883</v>
      </c>
      <c r="E2561" s="30" t="s">
        <v>13884</v>
      </c>
      <c r="F2561" s="28" t="s">
        <v>13885</v>
      </c>
      <c r="I2561" s="32"/>
      <c r="J2561" s="32"/>
      <c r="K2561" s="33" t="s">
        <v>13881</v>
      </c>
      <c r="L2561" s="33" t="s">
        <v>13886</v>
      </c>
      <c r="N2561" s="33" t="s">
        <v>13881</v>
      </c>
      <c r="O2561" s="35" t="s">
        <v>13887</v>
      </c>
    </row>
    <row r="2562">
      <c r="A2562" s="38"/>
      <c r="B2562" s="28" t="s">
        <v>13888</v>
      </c>
      <c r="C2562" s="28" t="s">
        <v>13889</v>
      </c>
      <c r="D2562" s="29" t="s">
        <v>13890</v>
      </c>
      <c r="E2562" s="30"/>
      <c r="F2562" s="28" t="s">
        <v>13891</v>
      </c>
      <c r="I2562" s="32"/>
      <c r="J2562" s="32"/>
      <c r="K2562" s="33" t="s">
        <v>13888</v>
      </c>
      <c r="L2562" s="33" t="s">
        <v>13892</v>
      </c>
      <c r="N2562" s="33" t="s">
        <v>13888</v>
      </c>
      <c r="O2562" s="35" t="s">
        <v>13893</v>
      </c>
    </row>
    <row r="2563">
      <c r="A2563" s="38"/>
      <c r="B2563" s="28" t="s">
        <v>13894</v>
      </c>
      <c r="C2563" s="28" t="s">
        <v>13895</v>
      </c>
      <c r="D2563" s="29" t="s">
        <v>13896</v>
      </c>
      <c r="E2563" s="30" t="s">
        <v>13897</v>
      </c>
      <c r="F2563" s="28" t="s">
        <v>13898</v>
      </c>
      <c r="I2563" s="32"/>
      <c r="J2563" s="32"/>
      <c r="K2563" s="33" t="s">
        <v>13894</v>
      </c>
      <c r="L2563" s="33" t="s">
        <v>13899</v>
      </c>
      <c r="N2563" s="33" t="s">
        <v>13894</v>
      </c>
      <c r="O2563" s="35"/>
    </row>
    <row r="2564">
      <c r="A2564" s="38"/>
      <c r="B2564" s="28" t="s">
        <v>13900</v>
      </c>
      <c r="C2564" s="28" t="s">
        <v>13722</v>
      </c>
      <c r="D2564" s="29" t="s">
        <v>13901</v>
      </c>
      <c r="E2564" s="30"/>
      <c r="F2564" s="28" t="s">
        <v>13902</v>
      </c>
      <c r="I2564" s="32"/>
      <c r="J2564" s="32"/>
      <c r="K2564" s="33" t="s">
        <v>13900</v>
      </c>
      <c r="L2564" s="33" t="s">
        <v>13903</v>
      </c>
      <c r="N2564" s="33" t="s">
        <v>13900</v>
      </c>
      <c r="O2564" s="47" t="s">
        <v>13904</v>
      </c>
    </row>
    <row r="2565">
      <c r="A2565" s="38"/>
      <c r="B2565" s="28" t="s">
        <v>13905</v>
      </c>
      <c r="C2565" s="28" t="s">
        <v>13733</v>
      </c>
      <c r="D2565" s="29" t="s">
        <v>13906</v>
      </c>
      <c r="E2565" s="30" t="s">
        <v>13907</v>
      </c>
      <c r="F2565" s="28" t="s">
        <v>13908</v>
      </c>
      <c r="I2565" s="32"/>
      <c r="J2565" s="32"/>
      <c r="K2565" s="33" t="s">
        <v>13905</v>
      </c>
      <c r="L2565" s="33" t="s">
        <v>13909</v>
      </c>
      <c r="N2565" s="33" t="s">
        <v>13905</v>
      </c>
      <c r="O2565" s="35"/>
    </row>
    <row r="2566">
      <c r="A2566" s="38"/>
      <c r="B2566" s="28" t="s">
        <v>13910</v>
      </c>
      <c r="C2566" s="28" t="s">
        <v>13740</v>
      </c>
      <c r="D2566" s="29" t="s">
        <v>13911</v>
      </c>
      <c r="E2566" s="30"/>
      <c r="F2566" s="28" t="s">
        <v>13912</v>
      </c>
      <c r="I2566" s="32"/>
      <c r="J2566" s="32"/>
      <c r="K2566" s="33" t="s">
        <v>13910</v>
      </c>
      <c r="L2566" s="33" t="s">
        <v>13913</v>
      </c>
      <c r="N2566" s="33" t="s">
        <v>13910</v>
      </c>
      <c r="O2566" s="35" t="s">
        <v>13739</v>
      </c>
    </row>
    <row r="2567">
      <c r="A2567" s="38"/>
      <c r="B2567" s="28" t="s">
        <v>13914</v>
      </c>
      <c r="C2567" s="28" t="s">
        <v>13747</v>
      </c>
      <c r="D2567" s="29" t="s">
        <v>13915</v>
      </c>
      <c r="E2567" s="30" t="s">
        <v>13916</v>
      </c>
      <c r="F2567" s="28" t="s">
        <v>13917</v>
      </c>
      <c r="I2567" s="32"/>
      <c r="J2567" s="32"/>
      <c r="K2567" s="33" t="s">
        <v>13914</v>
      </c>
      <c r="L2567" s="33" t="s">
        <v>13918</v>
      </c>
      <c r="N2567" s="33" t="s">
        <v>13914</v>
      </c>
      <c r="O2567" s="35" t="s">
        <v>13746</v>
      </c>
    </row>
    <row r="2568">
      <c r="A2568" s="38"/>
      <c r="B2568" s="28" t="s">
        <v>13919</v>
      </c>
      <c r="C2568" s="28" t="s">
        <v>13753</v>
      </c>
      <c r="D2568" s="29" t="s">
        <v>13920</v>
      </c>
      <c r="E2568" s="30" t="s">
        <v>13921</v>
      </c>
      <c r="F2568" s="28" t="s">
        <v>13922</v>
      </c>
      <c r="I2568" s="32"/>
      <c r="J2568" s="32"/>
      <c r="K2568" s="33" t="s">
        <v>13919</v>
      </c>
      <c r="L2568" s="33" t="s">
        <v>13923</v>
      </c>
      <c r="N2568" s="33" t="s">
        <v>13919</v>
      </c>
      <c r="O2568" s="35" t="s">
        <v>13752</v>
      </c>
    </row>
    <row r="2569">
      <c r="A2569" s="38"/>
      <c r="B2569" s="28" t="s">
        <v>13924</v>
      </c>
      <c r="C2569" s="28" t="s">
        <v>13764</v>
      </c>
      <c r="D2569" s="29" t="s">
        <v>13925</v>
      </c>
      <c r="E2569" s="54" t="s">
        <v>13926</v>
      </c>
      <c r="F2569" s="28" t="s">
        <v>13927</v>
      </c>
      <c r="I2569" s="32"/>
      <c r="J2569" s="32"/>
      <c r="K2569" s="33" t="s">
        <v>13924</v>
      </c>
      <c r="L2569" s="33" t="s">
        <v>13928</v>
      </c>
      <c r="N2569" s="33" t="s">
        <v>13924</v>
      </c>
      <c r="O2569" s="35"/>
    </row>
    <row r="2570">
      <c r="A2570" s="38"/>
      <c r="B2570" s="28" t="s">
        <v>13929</v>
      </c>
      <c r="C2570" s="28" t="s">
        <v>13930</v>
      </c>
      <c r="D2570" s="29" t="s">
        <v>13931</v>
      </c>
      <c r="E2570" s="30"/>
      <c r="F2570" s="28" t="s">
        <v>13932</v>
      </c>
      <c r="I2570" s="32"/>
      <c r="J2570" s="32"/>
      <c r="K2570" s="33" t="s">
        <v>13929</v>
      </c>
      <c r="L2570" s="33" t="s">
        <v>13933</v>
      </c>
      <c r="N2570" s="33" t="s">
        <v>13929</v>
      </c>
      <c r="O2570" s="35"/>
    </row>
    <row r="2571">
      <c r="A2571" s="38"/>
      <c r="B2571" s="28" t="s">
        <v>13934</v>
      </c>
      <c r="C2571" s="28" t="s">
        <v>13773</v>
      </c>
      <c r="D2571" s="29" t="s">
        <v>13935</v>
      </c>
      <c r="E2571" s="30" t="s">
        <v>13936</v>
      </c>
      <c r="F2571" s="28" t="s">
        <v>13937</v>
      </c>
      <c r="I2571" s="32"/>
      <c r="J2571" s="32"/>
      <c r="K2571" s="33" t="s">
        <v>13934</v>
      </c>
      <c r="L2571" s="33" t="s">
        <v>13938</v>
      </c>
      <c r="N2571" s="33" t="s">
        <v>13934</v>
      </c>
      <c r="O2571" s="35"/>
    </row>
    <row r="2572">
      <c r="A2572" s="38"/>
      <c r="B2572" s="28" t="s">
        <v>13939</v>
      </c>
      <c r="C2572" s="28" t="s">
        <v>13780</v>
      </c>
      <c r="D2572" s="29" t="s">
        <v>13940</v>
      </c>
      <c r="E2572" s="30" t="s">
        <v>13941</v>
      </c>
      <c r="F2572" s="28" t="s">
        <v>13942</v>
      </c>
      <c r="I2572" s="32"/>
      <c r="J2572" s="32"/>
      <c r="K2572" s="33" t="s">
        <v>13939</v>
      </c>
      <c r="L2572" s="33" t="s">
        <v>13943</v>
      </c>
      <c r="N2572" s="33" t="s">
        <v>13939</v>
      </c>
      <c r="O2572" s="47" t="s">
        <v>13944</v>
      </c>
    </row>
    <row r="2573">
      <c r="A2573" s="38"/>
      <c r="B2573" s="28" t="s">
        <v>13945</v>
      </c>
      <c r="C2573" s="28" t="s">
        <v>13786</v>
      </c>
      <c r="D2573" s="29" t="s">
        <v>13946</v>
      </c>
      <c r="E2573" s="54" t="s">
        <v>13947</v>
      </c>
      <c r="F2573" s="28" t="s">
        <v>13948</v>
      </c>
      <c r="I2573" s="32"/>
      <c r="J2573" s="32"/>
      <c r="K2573" s="33" t="s">
        <v>13945</v>
      </c>
      <c r="L2573" s="33" t="s">
        <v>13949</v>
      </c>
      <c r="N2573" s="33" t="s">
        <v>13945</v>
      </c>
      <c r="O2573" s="47" t="s">
        <v>13950</v>
      </c>
    </row>
    <row r="2574">
      <c r="A2574" s="38"/>
      <c r="B2574" s="28" t="s">
        <v>13951</v>
      </c>
      <c r="C2574" s="28" t="s">
        <v>13952</v>
      </c>
      <c r="D2574" s="29" t="s">
        <v>13953</v>
      </c>
      <c r="E2574" s="30"/>
      <c r="F2574" s="28" t="s">
        <v>13954</v>
      </c>
      <c r="I2574" s="32"/>
      <c r="J2574" s="32"/>
      <c r="K2574" s="33" t="s">
        <v>13951</v>
      </c>
      <c r="L2574" s="33" t="s">
        <v>13955</v>
      </c>
      <c r="N2574" s="33" t="s">
        <v>13951</v>
      </c>
      <c r="O2574" s="35"/>
    </row>
    <row r="2575">
      <c r="A2575" s="38"/>
      <c r="B2575" s="28" t="s">
        <v>13956</v>
      </c>
      <c r="C2575" s="28" t="s">
        <v>13957</v>
      </c>
      <c r="D2575" s="29" t="s">
        <v>13958</v>
      </c>
      <c r="E2575" s="30" t="s">
        <v>13959</v>
      </c>
      <c r="F2575" s="28" t="s">
        <v>13960</v>
      </c>
      <c r="I2575" s="32"/>
      <c r="J2575" s="32"/>
      <c r="K2575" s="33" t="s">
        <v>13956</v>
      </c>
      <c r="L2575" s="33" t="s">
        <v>13961</v>
      </c>
      <c r="N2575" s="33" t="s">
        <v>13956</v>
      </c>
      <c r="O2575" s="35" t="s">
        <v>13962</v>
      </c>
    </row>
    <row r="2576">
      <c r="A2576" s="38"/>
      <c r="B2576" s="28" t="s">
        <v>13963</v>
      </c>
      <c r="C2576" s="28" t="s">
        <v>13964</v>
      </c>
      <c r="D2576" s="29" t="s">
        <v>13965</v>
      </c>
      <c r="E2576" s="30" t="s">
        <v>13966</v>
      </c>
      <c r="F2576" s="28" t="s">
        <v>13967</v>
      </c>
      <c r="I2576" s="32"/>
      <c r="J2576" s="32"/>
      <c r="K2576" s="33" t="s">
        <v>13963</v>
      </c>
      <c r="L2576" s="33" t="s">
        <v>13968</v>
      </c>
      <c r="N2576" s="33" t="s">
        <v>13963</v>
      </c>
      <c r="O2576" s="35" t="s">
        <v>13969</v>
      </c>
    </row>
    <row r="2577">
      <c r="A2577" s="38"/>
      <c r="B2577" s="28" t="s">
        <v>13970</v>
      </c>
      <c r="C2577" s="28" t="s">
        <v>13816</v>
      </c>
      <c r="D2577" s="29" t="s">
        <v>13971</v>
      </c>
      <c r="E2577" s="30" t="s">
        <v>13972</v>
      </c>
      <c r="F2577" s="28" t="s">
        <v>13973</v>
      </c>
      <c r="I2577" s="32"/>
      <c r="J2577" s="32"/>
      <c r="K2577" s="33" t="s">
        <v>13970</v>
      </c>
      <c r="L2577" s="33" t="s">
        <v>13974</v>
      </c>
      <c r="N2577" s="33" t="s">
        <v>13970</v>
      </c>
      <c r="O2577" s="35" t="s">
        <v>13815</v>
      </c>
    </row>
    <row r="2578">
      <c r="A2578" s="38"/>
      <c r="B2578" s="28" t="s">
        <v>13975</v>
      </c>
      <c r="C2578" s="28" t="s">
        <v>13826</v>
      </c>
      <c r="D2578" s="29" t="s">
        <v>13976</v>
      </c>
      <c r="E2578" s="30" t="s">
        <v>13977</v>
      </c>
      <c r="F2578" s="28" t="s">
        <v>13978</v>
      </c>
      <c r="I2578" s="32"/>
      <c r="J2578" s="32"/>
      <c r="K2578" s="33" t="s">
        <v>13975</v>
      </c>
      <c r="L2578" s="33" t="s">
        <v>13979</v>
      </c>
      <c r="N2578" s="33" t="s">
        <v>13975</v>
      </c>
      <c r="O2578" s="35" t="s">
        <v>13825</v>
      </c>
    </row>
    <row r="2579">
      <c r="A2579" s="38"/>
      <c r="B2579" s="28" t="s">
        <v>13980</v>
      </c>
      <c r="C2579" s="28" t="s">
        <v>13981</v>
      </c>
      <c r="D2579" s="29" t="s">
        <v>13982</v>
      </c>
      <c r="E2579" s="30" t="s">
        <v>13983</v>
      </c>
      <c r="F2579" s="28" t="s">
        <v>13984</v>
      </c>
      <c r="I2579" s="32"/>
      <c r="J2579" s="32"/>
      <c r="K2579" s="33" t="s">
        <v>13980</v>
      </c>
      <c r="L2579" s="33" t="s">
        <v>13985</v>
      </c>
      <c r="N2579" s="33" t="s">
        <v>13980</v>
      </c>
      <c r="O2579" s="35"/>
    </row>
    <row r="2580">
      <c r="A2580" s="38"/>
      <c r="B2580" s="28" t="s">
        <v>13986</v>
      </c>
      <c r="C2580" s="28" t="s">
        <v>13987</v>
      </c>
      <c r="D2580" s="29" t="s">
        <v>13988</v>
      </c>
      <c r="E2580" s="30"/>
      <c r="F2580" s="28" t="s">
        <v>13989</v>
      </c>
      <c r="I2580" s="32"/>
      <c r="J2580" s="32"/>
      <c r="K2580" s="33" t="s">
        <v>13986</v>
      </c>
      <c r="L2580" s="33" t="s">
        <v>13990</v>
      </c>
      <c r="N2580" s="33" t="s">
        <v>13986</v>
      </c>
      <c r="O2580" s="35" t="s">
        <v>13991</v>
      </c>
    </row>
    <row r="2581">
      <c r="A2581" s="38"/>
      <c r="B2581" s="28" t="s">
        <v>13992</v>
      </c>
      <c r="C2581" s="28" t="s">
        <v>13831</v>
      </c>
      <c r="D2581" s="29" t="s">
        <v>13993</v>
      </c>
      <c r="E2581" s="30"/>
      <c r="F2581" s="28" t="s">
        <v>13994</v>
      </c>
      <c r="I2581" s="32"/>
      <c r="J2581" s="32"/>
      <c r="K2581" s="33" t="s">
        <v>13992</v>
      </c>
      <c r="L2581" s="33" t="s">
        <v>13995</v>
      </c>
      <c r="N2581" s="33" t="s">
        <v>13992</v>
      </c>
      <c r="O2581" s="35" t="s">
        <v>13830</v>
      </c>
    </row>
    <row r="2582">
      <c r="A2582" s="38"/>
      <c r="B2582" s="28" t="s">
        <v>13996</v>
      </c>
      <c r="C2582" s="28" t="s">
        <v>13997</v>
      </c>
      <c r="D2582" s="29" t="s">
        <v>13998</v>
      </c>
      <c r="E2582" s="30" t="s">
        <v>13999</v>
      </c>
      <c r="F2582" s="28" t="s">
        <v>14000</v>
      </c>
      <c r="I2582" s="32"/>
      <c r="J2582" s="32"/>
      <c r="K2582" s="33" t="s">
        <v>13996</v>
      </c>
      <c r="L2582" s="33" t="s">
        <v>14001</v>
      </c>
      <c r="N2582" s="33" t="s">
        <v>13996</v>
      </c>
      <c r="O2582" s="35"/>
    </row>
    <row r="2583">
      <c r="A2583" s="38"/>
      <c r="B2583" s="28" t="s">
        <v>14002</v>
      </c>
      <c r="C2583" s="28" t="s">
        <v>13841</v>
      </c>
      <c r="D2583" s="29" t="s">
        <v>14003</v>
      </c>
      <c r="E2583" s="30" t="s">
        <v>14004</v>
      </c>
      <c r="F2583" s="28" t="s">
        <v>14005</v>
      </c>
      <c r="I2583" s="32"/>
      <c r="J2583" s="32"/>
      <c r="K2583" s="33" t="s">
        <v>14002</v>
      </c>
      <c r="L2583" s="33" t="s">
        <v>14006</v>
      </c>
      <c r="N2583" s="33" t="s">
        <v>14002</v>
      </c>
      <c r="O2583" s="35" t="s">
        <v>13840</v>
      </c>
    </row>
    <row r="2584">
      <c r="A2584" s="38"/>
      <c r="B2584" s="28" t="s">
        <v>14007</v>
      </c>
      <c r="C2584" s="28" t="s">
        <v>13846</v>
      </c>
      <c r="D2584" s="29" t="s">
        <v>14008</v>
      </c>
      <c r="E2584" s="54" t="s">
        <v>14009</v>
      </c>
      <c r="F2584" s="28" t="s">
        <v>14010</v>
      </c>
      <c r="I2584" s="32"/>
      <c r="J2584" s="32"/>
      <c r="K2584" s="33" t="s">
        <v>14007</v>
      </c>
      <c r="L2584" s="33" t="s">
        <v>14011</v>
      </c>
      <c r="N2584" s="33" t="s">
        <v>14007</v>
      </c>
      <c r="O2584" s="35"/>
    </row>
    <row r="2585">
      <c r="A2585" s="38"/>
      <c r="B2585" s="28" t="s">
        <v>14012</v>
      </c>
      <c r="C2585" s="28" t="s">
        <v>13857</v>
      </c>
      <c r="D2585" s="29" t="s">
        <v>14013</v>
      </c>
      <c r="E2585" s="30"/>
      <c r="F2585" s="28" t="s">
        <v>14014</v>
      </c>
      <c r="I2585" s="32"/>
      <c r="J2585" s="32"/>
      <c r="K2585" s="33" t="s">
        <v>14012</v>
      </c>
      <c r="L2585" s="33" t="s">
        <v>14015</v>
      </c>
      <c r="N2585" s="33" t="s">
        <v>14012</v>
      </c>
      <c r="O2585" s="35" t="s">
        <v>13856</v>
      </c>
    </row>
    <row r="2586">
      <c r="A2586" s="38"/>
      <c r="B2586" s="28" t="s">
        <v>14016</v>
      </c>
      <c r="C2586" s="28" t="s">
        <v>13867</v>
      </c>
      <c r="D2586" s="29" t="s">
        <v>14017</v>
      </c>
      <c r="E2586" s="54" t="s">
        <v>14018</v>
      </c>
      <c r="F2586" s="28" t="s">
        <v>14019</v>
      </c>
      <c r="I2586" s="32"/>
      <c r="J2586" s="32"/>
      <c r="K2586" s="33" t="s">
        <v>14016</v>
      </c>
      <c r="L2586" s="33" t="s">
        <v>14020</v>
      </c>
      <c r="N2586" s="33" t="s">
        <v>14016</v>
      </c>
      <c r="O2586" s="35" t="s">
        <v>13856</v>
      </c>
    </row>
    <row r="2587">
      <c r="A2587" s="38"/>
      <c r="B2587" s="28" t="s">
        <v>14021</v>
      </c>
      <c r="C2587" s="28" t="s">
        <v>13873</v>
      </c>
      <c r="D2587" s="29" t="s">
        <v>14022</v>
      </c>
      <c r="E2587" s="30" t="s">
        <v>14023</v>
      </c>
      <c r="F2587" s="28" t="s">
        <v>14024</v>
      </c>
      <c r="I2587" s="32"/>
      <c r="J2587" s="32"/>
      <c r="K2587" s="33" t="s">
        <v>14021</v>
      </c>
      <c r="L2587" s="33" t="s">
        <v>14025</v>
      </c>
      <c r="N2587" s="33" t="s">
        <v>14021</v>
      </c>
      <c r="O2587" s="35" t="s">
        <v>13872</v>
      </c>
    </row>
    <row r="2588">
      <c r="A2588" s="38"/>
      <c r="B2588" s="28" t="s">
        <v>14026</v>
      </c>
      <c r="C2588" s="28" t="s">
        <v>13878</v>
      </c>
      <c r="D2588" s="29" t="s">
        <v>14027</v>
      </c>
      <c r="E2588" s="30" t="s">
        <v>14028</v>
      </c>
      <c r="F2588" s="28" t="s">
        <v>14029</v>
      </c>
      <c r="I2588" s="32"/>
      <c r="J2588" s="32"/>
      <c r="K2588" s="33" t="s">
        <v>14026</v>
      </c>
      <c r="L2588" s="33" t="s">
        <v>14030</v>
      </c>
      <c r="N2588" s="33" t="s">
        <v>14026</v>
      </c>
      <c r="O2588" s="35"/>
    </row>
    <row r="2589">
      <c r="A2589" s="38"/>
      <c r="B2589" s="28" t="s">
        <v>14031</v>
      </c>
      <c r="C2589" s="28" t="s">
        <v>13885</v>
      </c>
      <c r="D2589" s="29" t="s">
        <v>14032</v>
      </c>
      <c r="E2589" s="30" t="s">
        <v>14033</v>
      </c>
      <c r="F2589" s="28" t="s">
        <v>14034</v>
      </c>
      <c r="I2589" s="32"/>
      <c r="J2589" s="32"/>
      <c r="K2589" s="33" t="s">
        <v>14031</v>
      </c>
      <c r="L2589" s="33" t="s">
        <v>14035</v>
      </c>
      <c r="N2589" s="33" t="s">
        <v>14031</v>
      </c>
      <c r="O2589" s="35" t="s">
        <v>13884</v>
      </c>
    </row>
    <row r="2590">
      <c r="A2590" s="38"/>
      <c r="B2590" s="28" t="s">
        <v>14036</v>
      </c>
      <c r="C2590" s="28" t="s">
        <v>13898</v>
      </c>
      <c r="D2590" s="29" t="s">
        <v>14037</v>
      </c>
      <c r="E2590" s="30"/>
      <c r="F2590" s="28" t="s">
        <v>14038</v>
      </c>
      <c r="I2590" s="32"/>
      <c r="J2590" s="32"/>
      <c r="K2590" s="33" t="s">
        <v>14036</v>
      </c>
      <c r="L2590" s="33" t="s">
        <v>14039</v>
      </c>
      <c r="N2590" s="33" t="s">
        <v>14036</v>
      </c>
      <c r="O2590" s="35" t="s">
        <v>13897</v>
      </c>
    </row>
    <row r="2591">
      <c r="A2591" s="38"/>
      <c r="B2591" s="28" t="s">
        <v>14040</v>
      </c>
      <c r="C2591" s="28" t="s">
        <v>14041</v>
      </c>
      <c r="D2591" s="29" t="s">
        <v>14042</v>
      </c>
      <c r="E2591" s="30" t="s">
        <v>14043</v>
      </c>
      <c r="F2591" s="28" t="s">
        <v>14044</v>
      </c>
      <c r="I2591" s="32"/>
      <c r="J2591" s="32"/>
      <c r="K2591" s="33" t="s">
        <v>14040</v>
      </c>
      <c r="L2591" s="33" t="s">
        <v>14045</v>
      </c>
      <c r="N2591" s="33" t="s">
        <v>14040</v>
      </c>
      <c r="O2591" s="35" t="s">
        <v>14046</v>
      </c>
    </row>
    <row r="2592">
      <c r="A2592" s="38"/>
      <c r="B2592" s="28" t="s">
        <v>14047</v>
      </c>
      <c r="C2592" s="28" t="s">
        <v>14048</v>
      </c>
      <c r="D2592" s="29" t="s">
        <v>14049</v>
      </c>
      <c r="E2592" s="30" t="s">
        <v>14050</v>
      </c>
      <c r="F2592" s="28" t="s">
        <v>14051</v>
      </c>
      <c r="I2592" s="32"/>
      <c r="J2592" s="32"/>
      <c r="K2592" s="33" t="s">
        <v>14047</v>
      </c>
      <c r="L2592" s="33" t="s">
        <v>14052</v>
      </c>
      <c r="N2592" s="33" t="s">
        <v>14047</v>
      </c>
      <c r="O2592" s="35"/>
    </row>
    <row r="2593">
      <c r="A2593" s="38"/>
      <c r="B2593" s="28" t="s">
        <v>14053</v>
      </c>
      <c r="C2593" s="28" t="s">
        <v>13908</v>
      </c>
      <c r="D2593" s="29" t="s">
        <v>14054</v>
      </c>
      <c r="E2593" s="30"/>
      <c r="F2593" s="28" t="s">
        <v>14055</v>
      </c>
      <c r="I2593" s="32"/>
      <c r="J2593" s="32"/>
      <c r="K2593" s="33" t="s">
        <v>14053</v>
      </c>
      <c r="L2593" s="33" t="s">
        <v>14056</v>
      </c>
      <c r="N2593" s="33" t="s">
        <v>14053</v>
      </c>
      <c r="O2593" s="35" t="s">
        <v>13907</v>
      </c>
    </row>
    <row r="2594">
      <c r="A2594" s="38"/>
      <c r="B2594" s="28" t="s">
        <v>14057</v>
      </c>
      <c r="C2594" s="28" t="s">
        <v>13917</v>
      </c>
      <c r="D2594" s="29" t="s">
        <v>14058</v>
      </c>
      <c r="E2594" s="30" t="s">
        <v>14059</v>
      </c>
      <c r="F2594" s="28" t="s">
        <v>14060</v>
      </c>
      <c r="I2594" s="32"/>
      <c r="J2594" s="32"/>
      <c r="K2594" s="33" t="s">
        <v>14057</v>
      </c>
      <c r="L2594" s="33" t="s">
        <v>14061</v>
      </c>
      <c r="N2594" s="33" t="s">
        <v>14057</v>
      </c>
      <c r="O2594" s="35" t="s">
        <v>13916</v>
      </c>
    </row>
    <row r="2595">
      <c r="A2595" s="38"/>
      <c r="B2595" s="28" t="s">
        <v>14062</v>
      </c>
      <c r="C2595" s="28" t="s">
        <v>14063</v>
      </c>
      <c r="D2595" s="29" t="s">
        <v>14064</v>
      </c>
      <c r="E2595" s="30" t="s">
        <v>14065</v>
      </c>
      <c r="F2595" s="28" t="s">
        <v>14066</v>
      </c>
      <c r="I2595" s="32"/>
      <c r="J2595" s="32"/>
      <c r="K2595" s="33" t="s">
        <v>14062</v>
      </c>
      <c r="L2595" s="33" t="s">
        <v>14067</v>
      </c>
      <c r="N2595" s="33" t="s">
        <v>14062</v>
      </c>
      <c r="O2595" s="35" t="s">
        <v>14068</v>
      </c>
    </row>
    <row r="2596">
      <c r="A2596" s="38"/>
      <c r="B2596" s="28" t="s">
        <v>14069</v>
      </c>
      <c r="C2596" s="28" t="s">
        <v>14070</v>
      </c>
      <c r="D2596" s="29" t="s">
        <v>14071</v>
      </c>
      <c r="E2596" s="30"/>
      <c r="F2596" s="28" t="s">
        <v>14072</v>
      </c>
      <c r="I2596" s="32"/>
      <c r="J2596" s="32"/>
      <c r="K2596" s="33" t="s">
        <v>14069</v>
      </c>
      <c r="L2596" s="33" t="s">
        <v>14073</v>
      </c>
      <c r="N2596" s="33" t="s">
        <v>14069</v>
      </c>
      <c r="O2596" s="35" t="s">
        <v>14074</v>
      </c>
    </row>
    <row r="2597">
      <c r="A2597" s="38"/>
      <c r="B2597" s="28" t="s">
        <v>14075</v>
      </c>
      <c r="C2597" s="28" t="s">
        <v>13922</v>
      </c>
      <c r="D2597" s="29" t="s">
        <v>14076</v>
      </c>
      <c r="E2597" s="54" t="s">
        <v>14077</v>
      </c>
      <c r="F2597" s="28" t="s">
        <v>14078</v>
      </c>
      <c r="I2597" s="32"/>
      <c r="J2597" s="32"/>
      <c r="K2597" s="33" t="s">
        <v>14075</v>
      </c>
      <c r="L2597" s="33" t="s">
        <v>14079</v>
      </c>
      <c r="N2597" s="33" t="s">
        <v>14075</v>
      </c>
      <c r="O2597" s="35" t="s">
        <v>13921</v>
      </c>
    </row>
    <row r="2598">
      <c r="A2598" s="38"/>
      <c r="B2598" s="28" t="s">
        <v>14080</v>
      </c>
      <c r="C2598" s="28" t="s">
        <v>13932</v>
      </c>
      <c r="D2598" s="29" t="s">
        <v>14081</v>
      </c>
      <c r="E2598" s="30" t="s">
        <v>14082</v>
      </c>
      <c r="F2598" s="28" t="s">
        <v>14083</v>
      </c>
      <c r="I2598" s="32"/>
      <c r="J2598" s="32"/>
      <c r="K2598" s="33" t="s">
        <v>14080</v>
      </c>
      <c r="L2598" s="33" t="s">
        <v>14084</v>
      </c>
      <c r="N2598" s="33" t="s">
        <v>14080</v>
      </c>
      <c r="O2598" s="35"/>
    </row>
    <row r="2599">
      <c r="A2599" s="38"/>
      <c r="B2599" s="28" t="s">
        <v>14085</v>
      </c>
      <c r="C2599" s="28" t="s">
        <v>13942</v>
      </c>
      <c r="D2599" s="29" t="s">
        <v>14086</v>
      </c>
      <c r="E2599" s="30"/>
      <c r="F2599" s="28" t="s">
        <v>14087</v>
      </c>
      <c r="I2599" s="32"/>
      <c r="J2599" s="32"/>
      <c r="K2599" s="33" t="s">
        <v>14085</v>
      </c>
      <c r="L2599" s="33" t="s">
        <v>14088</v>
      </c>
      <c r="N2599" s="33" t="s">
        <v>14085</v>
      </c>
      <c r="O2599" s="35" t="s">
        <v>13941</v>
      </c>
    </row>
    <row r="2600">
      <c r="A2600" s="38"/>
      <c r="B2600" s="28" t="s">
        <v>14089</v>
      </c>
      <c r="C2600" s="28" t="s">
        <v>14090</v>
      </c>
      <c r="D2600" s="29" t="s">
        <v>14091</v>
      </c>
      <c r="E2600" s="30"/>
      <c r="F2600" s="28" t="s">
        <v>14092</v>
      </c>
      <c r="I2600" s="32"/>
      <c r="J2600" s="32"/>
      <c r="K2600" s="33" t="s">
        <v>14089</v>
      </c>
      <c r="L2600" s="33" t="s">
        <v>14093</v>
      </c>
      <c r="N2600" s="33" t="s">
        <v>14089</v>
      </c>
      <c r="O2600" s="35" t="s">
        <v>14094</v>
      </c>
    </row>
    <row r="2601">
      <c r="A2601" s="38"/>
      <c r="B2601" s="28" t="s">
        <v>14095</v>
      </c>
      <c r="C2601" s="28" t="s">
        <v>13960</v>
      </c>
      <c r="D2601" s="29" t="s">
        <v>14096</v>
      </c>
      <c r="E2601" s="30" t="s">
        <v>14097</v>
      </c>
      <c r="F2601" s="28" t="s">
        <v>14098</v>
      </c>
      <c r="I2601" s="32"/>
      <c r="J2601" s="32"/>
      <c r="K2601" s="33" t="s">
        <v>14095</v>
      </c>
      <c r="L2601" s="33" t="s">
        <v>14099</v>
      </c>
      <c r="N2601" s="33" t="s">
        <v>14095</v>
      </c>
      <c r="O2601" s="35" t="s">
        <v>13959</v>
      </c>
    </row>
    <row r="2602">
      <c r="A2602" s="38"/>
      <c r="B2602" s="28" t="s">
        <v>14100</v>
      </c>
      <c r="C2602" s="28" t="s">
        <v>14101</v>
      </c>
      <c r="D2602" s="29" t="s">
        <v>14102</v>
      </c>
      <c r="E2602" s="30" t="s">
        <v>14103</v>
      </c>
      <c r="F2602" s="28" t="s">
        <v>14104</v>
      </c>
      <c r="I2602" s="32"/>
      <c r="J2602" s="32"/>
      <c r="K2602" s="33" t="s">
        <v>14100</v>
      </c>
      <c r="L2602" s="33" t="s">
        <v>14105</v>
      </c>
      <c r="N2602" s="33" t="s">
        <v>14100</v>
      </c>
      <c r="O2602" s="35"/>
    </row>
    <row r="2603">
      <c r="A2603" s="38"/>
      <c r="B2603" s="28" t="s">
        <v>14106</v>
      </c>
      <c r="C2603" s="28" t="s">
        <v>13973</v>
      </c>
      <c r="D2603" s="29" t="s">
        <v>14107</v>
      </c>
      <c r="E2603" s="30" t="s">
        <v>14108</v>
      </c>
      <c r="F2603" s="28" t="s">
        <v>14109</v>
      </c>
      <c r="I2603" s="32"/>
      <c r="J2603" s="32"/>
      <c r="K2603" s="33" t="s">
        <v>14106</v>
      </c>
      <c r="L2603" s="33" t="s">
        <v>14110</v>
      </c>
      <c r="N2603" s="33" t="s">
        <v>14106</v>
      </c>
      <c r="O2603" s="35" t="s">
        <v>13972</v>
      </c>
    </row>
    <row r="2604">
      <c r="A2604" s="38"/>
      <c r="B2604" s="28" t="s">
        <v>14111</v>
      </c>
      <c r="C2604" s="28" t="s">
        <v>14112</v>
      </c>
      <c r="D2604" s="29" t="s">
        <v>14113</v>
      </c>
      <c r="E2604" s="30" t="s">
        <v>14114</v>
      </c>
      <c r="F2604" s="28" t="s">
        <v>14115</v>
      </c>
      <c r="I2604" s="32"/>
      <c r="J2604" s="32"/>
      <c r="K2604" s="33" t="s">
        <v>14111</v>
      </c>
      <c r="L2604" s="33" t="s">
        <v>14116</v>
      </c>
      <c r="N2604" s="33" t="s">
        <v>14111</v>
      </c>
      <c r="O2604" s="35"/>
    </row>
    <row r="2605">
      <c r="A2605" s="38"/>
      <c r="B2605" s="28" t="s">
        <v>14117</v>
      </c>
      <c r="C2605" s="28" t="s">
        <v>14118</v>
      </c>
      <c r="D2605" s="29" t="s">
        <v>14119</v>
      </c>
      <c r="E2605" s="30" t="s">
        <v>14120</v>
      </c>
      <c r="F2605" s="28" t="s">
        <v>14121</v>
      </c>
      <c r="I2605" s="32"/>
      <c r="J2605" s="32"/>
      <c r="K2605" s="33" t="s">
        <v>14117</v>
      </c>
      <c r="L2605" s="33" t="s">
        <v>14122</v>
      </c>
      <c r="N2605" s="33" t="s">
        <v>14117</v>
      </c>
      <c r="O2605" s="47" t="s">
        <v>14123</v>
      </c>
    </row>
    <row r="2606">
      <c r="A2606" s="38"/>
      <c r="B2606" s="28" t="s">
        <v>14124</v>
      </c>
      <c r="C2606" s="28" t="s">
        <v>14125</v>
      </c>
      <c r="D2606" s="29" t="s">
        <v>14126</v>
      </c>
      <c r="E2606" s="30"/>
      <c r="F2606" s="28" t="s">
        <v>14127</v>
      </c>
      <c r="I2606" s="32"/>
      <c r="J2606" s="32"/>
      <c r="K2606" s="33" t="s">
        <v>14124</v>
      </c>
      <c r="L2606" s="33" t="s">
        <v>14128</v>
      </c>
      <c r="N2606" s="33" t="s">
        <v>14124</v>
      </c>
      <c r="O2606" s="35"/>
    </row>
    <row r="2607">
      <c r="A2607" s="38"/>
      <c r="B2607" s="28" t="s">
        <v>14129</v>
      </c>
      <c r="C2607" s="28" t="s">
        <v>13984</v>
      </c>
      <c r="D2607" s="29" t="s">
        <v>14130</v>
      </c>
      <c r="E2607" s="30"/>
      <c r="F2607" s="28" t="s">
        <v>14131</v>
      </c>
      <c r="I2607" s="32"/>
      <c r="J2607" s="32"/>
      <c r="K2607" s="33" t="s">
        <v>14129</v>
      </c>
      <c r="L2607" s="33" t="s">
        <v>14132</v>
      </c>
      <c r="N2607" s="33" t="s">
        <v>14129</v>
      </c>
      <c r="O2607" s="35" t="s">
        <v>13983</v>
      </c>
    </row>
    <row r="2608">
      <c r="A2608" s="38"/>
      <c r="B2608" s="28" t="s">
        <v>14133</v>
      </c>
      <c r="C2608" s="28" t="s">
        <v>13989</v>
      </c>
      <c r="D2608" s="29" t="s">
        <v>14134</v>
      </c>
      <c r="E2608" s="30" t="s">
        <v>14135</v>
      </c>
      <c r="F2608" s="28" t="s">
        <v>14136</v>
      </c>
      <c r="I2608" s="32"/>
      <c r="J2608" s="32"/>
      <c r="K2608" s="33" t="s">
        <v>14133</v>
      </c>
      <c r="L2608" s="33" t="s">
        <v>14137</v>
      </c>
      <c r="N2608" s="33" t="s">
        <v>14133</v>
      </c>
      <c r="O2608" s="35"/>
    </row>
    <row r="2609">
      <c r="A2609" s="38"/>
      <c r="B2609" s="28" t="s">
        <v>14138</v>
      </c>
      <c r="C2609" s="28" t="s">
        <v>14000</v>
      </c>
      <c r="D2609" s="29" t="s">
        <v>14139</v>
      </c>
      <c r="E2609" s="54" t="s">
        <v>14140</v>
      </c>
      <c r="F2609" s="28" t="s">
        <v>14141</v>
      </c>
      <c r="I2609" s="32"/>
      <c r="J2609" s="32"/>
      <c r="K2609" s="33" t="s">
        <v>14138</v>
      </c>
      <c r="L2609" s="33" t="s">
        <v>14142</v>
      </c>
      <c r="N2609" s="33" t="s">
        <v>14138</v>
      </c>
      <c r="O2609" s="35" t="s">
        <v>13999</v>
      </c>
    </row>
    <row r="2610">
      <c r="A2610" s="38"/>
      <c r="B2610" s="28" t="s">
        <v>14143</v>
      </c>
      <c r="C2610" s="28" t="s">
        <v>14019</v>
      </c>
      <c r="D2610" s="29" t="s">
        <v>14144</v>
      </c>
      <c r="E2610" s="30"/>
      <c r="F2610" s="28" t="s">
        <v>14145</v>
      </c>
      <c r="I2610" s="32"/>
      <c r="J2610" s="32"/>
      <c r="K2610" s="33" t="s">
        <v>14143</v>
      </c>
      <c r="L2610" s="33" t="s">
        <v>14146</v>
      </c>
      <c r="N2610" s="33" t="s">
        <v>14143</v>
      </c>
      <c r="O2610" s="47" t="s">
        <v>14147</v>
      </c>
    </row>
    <row r="2611">
      <c r="A2611" s="38"/>
      <c r="B2611" s="28" t="s">
        <v>14148</v>
      </c>
      <c r="C2611" s="28" t="s">
        <v>14024</v>
      </c>
      <c r="D2611" s="29" t="s">
        <v>14149</v>
      </c>
      <c r="E2611" s="30" t="s">
        <v>14150</v>
      </c>
      <c r="F2611" s="28" t="s">
        <v>14151</v>
      </c>
      <c r="I2611" s="32"/>
      <c r="J2611" s="32"/>
      <c r="K2611" s="33" t="s">
        <v>14148</v>
      </c>
      <c r="L2611" s="33" t="s">
        <v>14152</v>
      </c>
      <c r="N2611" s="33" t="s">
        <v>14148</v>
      </c>
      <c r="O2611" s="35" t="s">
        <v>14023</v>
      </c>
    </row>
    <row r="2612">
      <c r="A2612" s="38"/>
      <c r="B2612" s="28" t="s">
        <v>14153</v>
      </c>
      <c r="C2612" s="28" t="s">
        <v>14154</v>
      </c>
      <c r="D2612" s="29" t="s">
        <v>14155</v>
      </c>
      <c r="E2612" s="54" t="s">
        <v>14156</v>
      </c>
      <c r="F2612" s="28" t="s">
        <v>14157</v>
      </c>
      <c r="I2612" s="32"/>
      <c r="J2612" s="32"/>
      <c r="K2612" s="33" t="s">
        <v>14153</v>
      </c>
      <c r="L2612" s="33" t="s">
        <v>14158</v>
      </c>
      <c r="N2612" s="33" t="s">
        <v>14153</v>
      </c>
      <c r="O2612" s="35" t="s">
        <v>14023</v>
      </c>
    </row>
    <row r="2613">
      <c r="A2613" s="38"/>
      <c r="B2613" s="28" t="s">
        <v>14159</v>
      </c>
      <c r="C2613" s="28" t="s">
        <v>14029</v>
      </c>
      <c r="D2613" s="29" t="s">
        <v>14160</v>
      </c>
      <c r="E2613" s="30" t="s">
        <v>14161</v>
      </c>
      <c r="F2613" s="28" t="s">
        <v>14162</v>
      </c>
      <c r="I2613" s="32"/>
      <c r="J2613" s="32"/>
      <c r="K2613" s="33" t="s">
        <v>14159</v>
      </c>
      <c r="L2613" s="33" t="s">
        <v>14163</v>
      </c>
      <c r="N2613" s="33" t="s">
        <v>14159</v>
      </c>
      <c r="O2613" s="35" t="s">
        <v>14028</v>
      </c>
    </row>
    <row r="2614">
      <c r="A2614" s="38"/>
      <c r="B2614" s="28" t="s">
        <v>14164</v>
      </c>
      <c r="C2614" s="28" t="s">
        <v>14034</v>
      </c>
      <c r="D2614" s="29" t="s">
        <v>14165</v>
      </c>
      <c r="E2614" s="30" t="s">
        <v>509</v>
      </c>
      <c r="F2614" s="28" t="s">
        <v>14166</v>
      </c>
      <c r="I2614" s="32"/>
      <c r="J2614" s="32"/>
      <c r="K2614" s="33" t="s">
        <v>14164</v>
      </c>
      <c r="L2614" s="33" t="s">
        <v>14167</v>
      </c>
      <c r="N2614" s="33" t="s">
        <v>14164</v>
      </c>
      <c r="O2614" s="35" t="s">
        <v>14033</v>
      </c>
    </row>
    <row r="2615">
      <c r="A2615" s="38"/>
      <c r="B2615" s="28" t="s">
        <v>14168</v>
      </c>
      <c r="C2615" s="28" t="s">
        <v>14038</v>
      </c>
      <c r="D2615" s="29" t="s">
        <v>14169</v>
      </c>
      <c r="E2615" s="54" t="s">
        <v>14170</v>
      </c>
      <c r="F2615" s="28" t="s">
        <v>14171</v>
      </c>
      <c r="I2615" s="32"/>
      <c r="J2615" s="32"/>
      <c r="K2615" s="33" t="s">
        <v>14168</v>
      </c>
      <c r="L2615" s="33" t="s">
        <v>14172</v>
      </c>
      <c r="N2615" s="33" t="s">
        <v>14168</v>
      </c>
      <c r="O2615" s="35"/>
    </row>
    <row r="2616">
      <c r="A2616" s="38"/>
      <c r="B2616" s="28" t="s">
        <v>14173</v>
      </c>
      <c r="C2616" s="28" t="s">
        <v>14055</v>
      </c>
      <c r="D2616" s="29" t="s">
        <v>14174</v>
      </c>
      <c r="E2616" s="30" t="s">
        <v>14175</v>
      </c>
      <c r="F2616" s="28" t="s">
        <v>14176</v>
      </c>
      <c r="I2616" s="32"/>
      <c r="J2616" s="32"/>
      <c r="K2616" s="33" t="s">
        <v>14173</v>
      </c>
      <c r="L2616" s="33" t="s">
        <v>14177</v>
      </c>
      <c r="N2616" s="33" t="s">
        <v>14173</v>
      </c>
      <c r="O2616" s="35"/>
    </row>
    <row r="2617">
      <c r="A2617" s="38"/>
      <c r="B2617" s="28" t="s">
        <v>14178</v>
      </c>
      <c r="C2617" s="28" t="s">
        <v>14066</v>
      </c>
      <c r="D2617" s="29" t="s">
        <v>14179</v>
      </c>
      <c r="E2617" s="30"/>
      <c r="F2617" s="28" t="s">
        <v>14180</v>
      </c>
      <c r="I2617" s="32"/>
      <c r="J2617" s="32"/>
      <c r="K2617" s="33" t="s">
        <v>14178</v>
      </c>
      <c r="L2617" s="33" t="s">
        <v>14181</v>
      </c>
      <c r="N2617" s="33" t="s">
        <v>14178</v>
      </c>
      <c r="O2617" s="35" t="s">
        <v>14065</v>
      </c>
    </row>
    <row r="2618">
      <c r="A2618" s="38"/>
      <c r="B2618" s="28" t="s">
        <v>14182</v>
      </c>
      <c r="C2618" s="28" t="s">
        <v>14072</v>
      </c>
      <c r="D2618" s="29" t="s">
        <v>14183</v>
      </c>
      <c r="E2618" s="30" t="s">
        <v>14184</v>
      </c>
      <c r="F2618" s="28" t="s">
        <v>14185</v>
      </c>
      <c r="I2618" s="32"/>
      <c r="J2618" s="32"/>
      <c r="K2618" s="33" t="s">
        <v>14182</v>
      </c>
      <c r="L2618" s="33" t="s">
        <v>14186</v>
      </c>
      <c r="N2618" s="33" t="s">
        <v>14182</v>
      </c>
      <c r="O2618" s="35"/>
    </row>
    <row r="2619">
      <c r="A2619" s="38"/>
      <c r="B2619" s="28" t="s">
        <v>14187</v>
      </c>
      <c r="C2619" s="28" t="s">
        <v>14078</v>
      </c>
      <c r="D2619" s="29" t="s">
        <v>14188</v>
      </c>
      <c r="E2619" s="30"/>
      <c r="F2619" s="28" t="s">
        <v>14189</v>
      </c>
      <c r="I2619" s="32"/>
      <c r="J2619" s="32"/>
      <c r="K2619" s="33" t="s">
        <v>14187</v>
      </c>
      <c r="L2619" s="33" t="s">
        <v>14190</v>
      </c>
      <c r="N2619" s="33" t="s">
        <v>14187</v>
      </c>
      <c r="O2619" s="35"/>
    </row>
    <row r="2620">
      <c r="A2620" s="38"/>
      <c r="B2620" s="28" t="s">
        <v>14191</v>
      </c>
      <c r="C2620" s="28" t="s">
        <v>14109</v>
      </c>
      <c r="D2620" s="29" t="s">
        <v>14192</v>
      </c>
      <c r="E2620" s="30"/>
      <c r="F2620" s="28" t="s">
        <v>14193</v>
      </c>
      <c r="I2620" s="32"/>
      <c r="J2620" s="32"/>
      <c r="K2620" s="33" t="s">
        <v>14191</v>
      </c>
      <c r="L2620" s="33" t="s">
        <v>14194</v>
      </c>
      <c r="N2620" s="33" t="s">
        <v>14191</v>
      </c>
      <c r="O2620" s="35" t="s">
        <v>14108</v>
      </c>
    </row>
    <row r="2621">
      <c r="A2621" s="38"/>
      <c r="B2621" s="28" t="s">
        <v>14195</v>
      </c>
      <c r="C2621" s="28" t="s">
        <v>14115</v>
      </c>
      <c r="D2621" s="29" t="s">
        <v>14196</v>
      </c>
      <c r="E2621" s="30" t="s">
        <v>14197</v>
      </c>
      <c r="F2621" s="28" t="s">
        <v>14198</v>
      </c>
      <c r="I2621" s="32"/>
      <c r="J2621" s="32"/>
      <c r="K2621" s="33" t="s">
        <v>14195</v>
      </c>
      <c r="L2621" s="33" t="s">
        <v>14199</v>
      </c>
      <c r="N2621" s="33" t="s">
        <v>14195</v>
      </c>
      <c r="O2621" s="35" t="s">
        <v>14114</v>
      </c>
    </row>
    <row r="2622">
      <c r="A2622" s="38"/>
      <c r="B2622" s="28" t="s">
        <v>14200</v>
      </c>
      <c r="C2622" s="28" t="s">
        <v>14121</v>
      </c>
      <c r="D2622" s="29" t="s">
        <v>14201</v>
      </c>
      <c r="E2622" s="30" t="s">
        <v>14202</v>
      </c>
      <c r="F2622" s="28" t="s">
        <v>14203</v>
      </c>
      <c r="I2622" s="32"/>
      <c r="J2622" s="32"/>
      <c r="K2622" s="33" t="s">
        <v>14200</v>
      </c>
      <c r="L2622" s="33" t="s">
        <v>14204</v>
      </c>
      <c r="N2622" s="33" t="s">
        <v>14200</v>
      </c>
      <c r="O2622" s="35" t="s">
        <v>14120</v>
      </c>
    </row>
    <row r="2623">
      <c r="A2623" s="38"/>
      <c r="B2623" s="28" t="s">
        <v>14205</v>
      </c>
      <c r="C2623" s="28" t="s">
        <v>14206</v>
      </c>
      <c r="D2623" s="29" t="s">
        <v>14207</v>
      </c>
      <c r="E2623" s="30"/>
      <c r="F2623" s="28" t="s">
        <v>14208</v>
      </c>
      <c r="I2623" s="32"/>
      <c r="J2623" s="32"/>
      <c r="K2623" s="33" t="s">
        <v>14205</v>
      </c>
      <c r="L2623" s="33" t="s">
        <v>14209</v>
      </c>
      <c r="N2623" s="33" t="s">
        <v>14205</v>
      </c>
      <c r="O2623" s="35" t="s">
        <v>14210</v>
      </c>
    </row>
    <row r="2624">
      <c r="A2624" s="38"/>
      <c r="B2624" s="28" t="s">
        <v>14211</v>
      </c>
      <c r="C2624" s="28" t="s">
        <v>14131</v>
      </c>
      <c r="D2624" s="29" t="s">
        <v>14212</v>
      </c>
      <c r="E2624" s="54" t="s">
        <v>14213</v>
      </c>
      <c r="F2624" s="28" t="s">
        <v>14214</v>
      </c>
      <c r="I2624" s="32"/>
      <c r="J2624" s="32"/>
      <c r="K2624" s="33" t="s">
        <v>14211</v>
      </c>
      <c r="L2624" s="33" t="s">
        <v>14215</v>
      </c>
      <c r="N2624" s="33" t="s">
        <v>14211</v>
      </c>
      <c r="O2624" s="35"/>
    </row>
    <row r="2625">
      <c r="A2625" s="38"/>
      <c r="B2625" s="28" t="s">
        <v>14216</v>
      </c>
      <c r="C2625" s="28" t="s">
        <v>14136</v>
      </c>
      <c r="D2625" s="29" t="s">
        <v>14217</v>
      </c>
      <c r="E2625" s="30" t="s">
        <v>14218</v>
      </c>
      <c r="F2625" s="28" t="s">
        <v>14219</v>
      </c>
      <c r="I2625" s="32"/>
      <c r="J2625" s="32"/>
      <c r="K2625" s="33" t="s">
        <v>14216</v>
      </c>
      <c r="L2625" s="33" t="s">
        <v>14220</v>
      </c>
      <c r="N2625" s="33" t="s">
        <v>14216</v>
      </c>
      <c r="O2625" s="35" t="s">
        <v>14135</v>
      </c>
    </row>
    <row r="2626">
      <c r="A2626" s="38"/>
      <c r="B2626" s="28" t="s">
        <v>14221</v>
      </c>
      <c r="C2626" s="28" t="s">
        <v>14222</v>
      </c>
      <c r="D2626" s="29" t="s">
        <v>14223</v>
      </c>
      <c r="E2626" s="30" t="s">
        <v>14224</v>
      </c>
      <c r="F2626" s="28" t="s">
        <v>14225</v>
      </c>
      <c r="I2626" s="32"/>
      <c r="J2626" s="32"/>
      <c r="K2626" s="33" t="s">
        <v>14221</v>
      </c>
      <c r="L2626" s="33" t="s">
        <v>14226</v>
      </c>
      <c r="N2626" s="33" t="s">
        <v>14221</v>
      </c>
      <c r="O2626" s="35"/>
    </row>
    <row r="2627">
      <c r="A2627" s="38"/>
      <c r="B2627" s="28" t="s">
        <v>14227</v>
      </c>
      <c r="C2627" s="28" t="s">
        <v>14141</v>
      </c>
      <c r="D2627" s="29" t="s">
        <v>14228</v>
      </c>
      <c r="E2627" s="30"/>
      <c r="F2627" s="28" t="s">
        <v>14229</v>
      </c>
      <c r="I2627" s="32"/>
      <c r="J2627" s="32"/>
      <c r="K2627" s="33" t="s">
        <v>14227</v>
      </c>
      <c r="L2627" s="33" t="s">
        <v>14230</v>
      </c>
      <c r="N2627" s="33" t="s">
        <v>14227</v>
      </c>
      <c r="O2627" s="35"/>
    </row>
    <row r="2628">
      <c r="A2628" s="38"/>
      <c r="B2628" s="28" t="s">
        <v>14231</v>
      </c>
      <c r="C2628" s="28" t="s">
        <v>14145</v>
      </c>
      <c r="D2628" s="29" t="s">
        <v>14232</v>
      </c>
      <c r="E2628" s="30" t="s">
        <v>14233</v>
      </c>
      <c r="F2628" s="28" t="s">
        <v>14234</v>
      </c>
      <c r="I2628" s="32"/>
      <c r="J2628" s="32"/>
      <c r="K2628" s="33" t="s">
        <v>14231</v>
      </c>
      <c r="L2628" s="33" t="s">
        <v>14235</v>
      </c>
      <c r="N2628" s="33" t="s">
        <v>14231</v>
      </c>
      <c r="O2628" s="35"/>
    </row>
    <row r="2629">
      <c r="A2629" s="38"/>
      <c r="B2629" s="28" t="s">
        <v>14236</v>
      </c>
      <c r="C2629" s="28" t="s">
        <v>14151</v>
      </c>
      <c r="D2629" s="29" t="s">
        <v>14237</v>
      </c>
      <c r="E2629" s="30" t="s">
        <v>14238</v>
      </c>
      <c r="F2629" s="28" t="s">
        <v>14239</v>
      </c>
      <c r="I2629" s="32"/>
      <c r="J2629" s="32"/>
      <c r="K2629" s="33" t="s">
        <v>14236</v>
      </c>
      <c r="L2629" s="33" t="s">
        <v>14240</v>
      </c>
      <c r="N2629" s="33" t="s">
        <v>14236</v>
      </c>
      <c r="O2629" s="35" t="s">
        <v>14150</v>
      </c>
    </row>
    <row r="2630">
      <c r="A2630" s="38"/>
      <c r="B2630" s="28" t="s">
        <v>14241</v>
      </c>
      <c r="C2630" s="28" t="s">
        <v>14242</v>
      </c>
      <c r="D2630" s="29" t="s">
        <v>14243</v>
      </c>
      <c r="E2630" s="30" t="s">
        <v>14244</v>
      </c>
      <c r="F2630" s="28" t="s">
        <v>14245</v>
      </c>
      <c r="I2630" s="32"/>
      <c r="J2630" s="32"/>
      <c r="K2630" s="33" t="s">
        <v>14241</v>
      </c>
      <c r="L2630" s="33" t="s">
        <v>14246</v>
      </c>
      <c r="N2630" s="33" t="s">
        <v>14241</v>
      </c>
      <c r="O2630" s="35"/>
    </row>
    <row r="2631">
      <c r="A2631" s="38"/>
      <c r="B2631" s="28" t="s">
        <v>14247</v>
      </c>
      <c r="C2631" s="28" t="s">
        <v>14248</v>
      </c>
      <c r="D2631" s="29" t="s">
        <v>14249</v>
      </c>
      <c r="E2631" s="30" t="s">
        <v>14250</v>
      </c>
      <c r="F2631" s="28" t="s">
        <v>14251</v>
      </c>
      <c r="I2631" s="32"/>
      <c r="J2631" s="32"/>
      <c r="K2631" s="33" t="s">
        <v>14247</v>
      </c>
      <c r="L2631" s="33" t="s">
        <v>14252</v>
      </c>
      <c r="N2631" s="33" t="s">
        <v>14247</v>
      </c>
      <c r="O2631" s="35" t="s">
        <v>14253</v>
      </c>
    </row>
    <row r="2632">
      <c r="A2632" s="38"/>
      <c r="B2632" s="28" t="s">
        <v>14254</v>
      </c>
      <c r="C2632" s="28" t="s">
        <v>14255</v>
      </c>
      <c r="D2632" s="29" t="s">
        <v>14256</v>
      </c>
      <c r="E2632" s="30" t="s">
        <v>14257</v>
      </c>
      <c r="F2632" s="28" t="s">
        <v>14258</v>
      </c>
      <c r="I2632" s="32"/>
      <c r="J2632" s="32"/>
      <c r="K2632" s="33" t="s">
        <v>14254</v>
      </c>
      <c r="L2632" s="33" t="s">
        <v>14259</v>
      </c>
      <c r="N2632" s="33" t="s">
        <v>14254</v>
      </c>
      <c r="O2632" s="35" t="s">
        <v>14260</v>
      </c>
    </row>
    <row r="2633">
      <c r="A2633" s="38"/>
      <c r="B2633" s="28" t="s">
        <v>14261</v>
      </c>
      <c r="C2633" s="28" t="s">
        <v>14262</v>
      </c>
      <c r="D2633" s="29" t="s">
        <v>14263</v>
      </c>
      <c r="E2633" s="30" t="s">
        <v>14264</v>
      </c>
      <c r="F2633" s="28" t="s">
        <v>14265</v>
      </c>
      <c r="I2633" s="32"/>
      <c r="J2633" s="32"/>
      <c r="K2633" s="33" t="s">
        <v>14261</v>
      </c>
      <c r="L2633" s="33" t="s">
        <v>14266</v>
      </c>
      <c r="N2633" s="33" t="s">
        <v>14261</v>
      </c>
      <c r="O2633" s="35"/>
    </row>
    <row r="2634">
      <c r="A2634" s="38"/>
      <c r="B2634" s="28" t="s">
        <v>14267</v>
      </c>
      <c r="C2634" s="28" t="s">
        <v>14268</v>
      </c>
      <c r="D2634" s="29" t="s">
        <v>14269</v>
      </c>
      <c r="E2634" s="30" t="s">
        <v>14270</v>
      </c>
      <c r="F2634" s="28" t="s">
        <v>14271</v>
      </c>
      <c r="I2634" s="32"/>
      <c r="J2634" s="32"/>
      <c r="K2634" s="33" t="s">
        <v>14267</v>
      </c>
      <c r="L2634" s="33" t="s">
        <v>14272</v>
      </c>
      <c r="N2634" s="33" t="s">
        <v>14267</v>
      </c>
      <c r="O2634" s="35"/>
    </row>
    <row r="2635">
      <c r="A2635" s="38"/>
      <c r="B2635" s="28" t="s">
        <v>14273</v>
      </c>
      <c r="C2635" s="28" t="s">
        <v>14180</v>
      </c>
      <c r="D2635" s="29" t="s">
        <v>14274</v>
      </c>
      <c r="E2635" s="30" t="s">
        <v>14275</v>
      </c>
      <c r="F2635" s="28" t="s">
        <v>14276</v>
      </c>
      <c r="I2635" s="32"/>
      <c r="J2635" s="32"/>
      <c r="K2635" s="33" t="s">
        <v>14273</v>
      </c>
      <c r="L2635" s="33" t="s">
        <v>14277</v>
      </c>
      <c r="N2635" s="33" t="s">
        <v>14273</v>
      </c>
      <c r="O2635" s="35"/>
    </row>
    <row r="2636">
      <c r="A2636" s="38"/>
      <c r="B2636" s="28" t="s">
        <v>14278</v>
      </c>
      <c r="C2636" s="28" t="s">
        <v>14185</v>
      </c>
      <c r="D2636" s="29" t="s">
        <v>14279</v>
      </c>
      <c r="E2636" s="30" t="s">
        <v>14280</v>
      </c>
      <c r="F2636" s="28" t="s">
        <v>14281</v>
      </c>
      <c r="I2636" s="32"/>
      <c r="J2636" s="32"/>
      <c r="K2636" s="33" t="s">
        <v>14278</v>
      </c>
      <c r="L2636" s="33" t="s">
        <v>14282</v>
      </c>
      <c r="N2636" s="33" t="s">
        <v>14278</v>
      </c>
      <c r="O2636" s="35" t="s">
        <v>14184</v>
      </c>
    </row>
    <row r="2637">
      <c r="A2637" s="38"/>
      <c r="B2637" s="28" t="s">
        <v>14283</v>
      </c>
      <c r="C2637" s="28" t="s">
        <v>14284</v>
      </c>
      <c r="D2637" s="29" t="s">
        <v>14285</v>
      </c>
      <c r="E2637" s="54" t="s">
        <v>14286</v>
      </c>
      <c r="F2637" s="28" t="s">
        <v>14287</v>
      </c>
      <c r="I2637" s="32"/>
      <c r="J2637" s="32"/>
      <c r="K2637" s="33" t="s">
        <v>14283</v>
      </c>
      <c r="L2637" s="33" t="s">
        <v>14288</v>
      </c>
      <c r="N2637" s="33" t="s">
        <v>14283</v>
      </c>
      <c r="O2637" s="35"/>
    </row>
    <row r="2638">
      <c r="A2638" s="38"/>
      <c r="B2638" s="28" t="s">
        <v>14289</v>
      </c>
      <c r="C2638" s="28" t="s">
        <v>14290</v>
      </c>
      <c r="D2638" s="29" t="s">
        <v>14291</v>
      </c>
      <c r="E2638" s="30" t="s">
        <v>14292</v>
      </c>
      <c r="F2638" s="28" t="s">
        <v>14293</v>
      </c>
      <c r="I2638" s="32"/>
      <c r="J2638" s="32"/>
      <c r="K2638" s="33" t="s">
        <v>14289</v>
      </c>
      <c r="L2638" s="33" t="s">
        <v>14294</v>
      </c>
      <c r="N2638" s="33" t="s">
        <v>14289</v>
      </c>
      <c r="O2638" s="35"/>
    </row>
    <row r="2639">
      <c r="A2639" s="38"/>
      <c r="B2639" s="28" t="s">
        <v>14295</v>
      </c>
      <c r="C2639" s="28" t="s">
        <v>14193</v>
      </c>
      <c r="D2639" s="29" t="s">
        <v>14296</v>
      </c>
      <c r="E2639" s="30" t="s">
        <v>14297</v>
      </c>
      <c r="F2639" s="28" t="s">
        <v>14298</v>
      </c>
      <c r="I2639" s="32"/>
      <c r="J2639" s="32"/>
      <c r="K2639" s="33" t="s">
        <v>14295</v>
      </c>
      <c r="L2639" s="33" t="s">
        <v>14299</v>
      </c>
      <c r="N2639" s="33" t="s">
        <v>14295</v>
      </c>
      <c r="O2639" s="35"/>
    </row>
    <row r="2640">
      <c r="A2640" s="38"/>
      <c r="B2640" s="28" t="s">
        <v>14300</v>
      </c>
      <c r="C2640" s="28" t="s">
        <v>14301</v>
      </c>
      <c r="D2640" s="29" t="s">
        <v>14302</v>
      </c>
      <c r="E2640" s="54" t="s">
        <v>14303</v>
      </c>
      <c r="F2640" s="28" t="s">
        <v>14304</v>
      </c>
      <c r="I2640" s="32"/>
      <c r="J2640" s="32"/>
      <c r="K2640" s="33" t="s">
        <v>14300</v>
      </c>
      <c r="L2640" s="33" t="s">
        <v>14305</v>
      </c>
      <c r="N2640" s="33" t="s">
        <v>14300</v>
      </c>
      <c r="O2640" s="35" t="s">
        <v>14306</v>
      </c>
    </row>
    <row r="2641">
      <c r="A2641" s="38"/>
      <c r="B2641" s="28" t="s">
        <v>14307</v>
      </c>
      <c r="C2641" s="28" t="s">
        <v>14203</v>
      </c>
      <c r="D2641" s="63">
        <v>45142.0</v>
      </c>
      <c r="E2641" s="64"/>
      <c r="F2641" s="38"/>
      <c r="I2641" s="32"/>
      <c r="J2641" s="32"/>
      <c r="K2641" s="33" t="s">
        <v>14307</v>
      </c>
      <c r="L2641" s="33" t="s">
        <v>14308</v>
      </c>
      <c r="N2641" s="33" t="s">
        <v>14307</v>
      </c>
      <c r="O2641" s="35" t="s">
        <v>14202</v>
      </c>
    </row>
    <row r="2642">
      <c r="A2642" s="38"/>
      <c r="B2642" s="28" t="s">
        <v>14309</v>
      </c>
      <c r="C2642" s="28" t="s">
        <v>14208</v>
      </c>
      <c r="D2642" s="28" t="s">
        <v>14310</v>
      </c>
      <c r="E2642" s="65" t="s">
        <v>14311</v>
      </c>
      <c r="F2642" s="8" t="s">
        <v>14312</v>
      </c>
      <c r="I2642" s="32"/>
      <c r="J2642" s="32"/>
      <c r="K2642" s="33" t="s">
        <v>14309</v>
      </c>
      <c r="L2642" s="33" t="s">
        <v>14313</v>
      </c>
      <c r="N2642" s="33" t="s">
        <v>14309</v>
      </c>
      <c r="O2642" s="35"/>
    </row>
    <row r="2643">
      <c r="A2643" s="38"/>
      <c r="B2643" s="28" t="s">
        <v>14314</v>
      </c>
      <c r="C2643" s="28" t="s">
        <v>14315</v>
      </c>
      <c r="D2643" s="28" t="s">
        <v>14316</v>
      </c>
      <c r="E2643" s="66" t="s">
        <v>14317</v>
      </c>
      <c r="F2643" s="8" t="s">
        <v>926</v>
      </c>
      <c r="I2643" s="32"/>
      <c r="J2643" s="32"/>
      <c r="K2643" s="33" t="s">
        <v>14314</v>
      </c>
      <c r="L2643" s="33" t="s">
        <v>14318</v>
      </c>
      <c r="N2643" s="33" t="s">
        <v>14314</v>
      </c>
      <c r="O2643" s="35"/>
    </row>
    <row r="2644">
      <c r="A2644" s="38"/>
      <c r="B2644" s="28" t="s">
        <v>14319</v>
      </c>
      <c r="C2644" s="28" t="s">
        <v>14219</v>
      </c>
      <c r="D2644" s="67" t="s">
        <v>14320</v>
      </c>
      <c r="E2644" s="68" t="s">
        <v>14321</v>
      </c>
      <c r="F2644" s="69" t="s">
        <v>14322</v>
      </c>
      <c r="I2644" s="32"/>
      <c r="J2644" s="32"/>
      <c r="K2644" s="33" t="s">
        <v>14319</v>
      </c>
      <c r="L2644" s="33" t="s">
        <v>14323</v>
      </c>
      <c r="N2644" s="33" t="s">
        <v>14319</v>
      </c>
      <c r="O2644" s="35" t="s">
        <v>14218</v>
      </c>
    </row>
    <row r="2645">
      <c r="A2645" s="38"/>
      <c r="B2645" s="28" t="s">
        <v>14324</v>
      </c>
      <c r="C2645" s="28" t="s">
        <v>14225</v>
      </c>
      <c r="D2645" s="67" t="s">
        <v>14325</v>
      </c>
      <c r="E2645" s="70" t="s">
        <v>14326</v>
      </c>
      <c r="F2645" s="71" t="s">
        <v>14327</v>
      </c>
      <c r="I2645" s="32"/>
      <c r="J2645" s="32"/>
      <c r="K2645" s="33" t="s">
        <v>14324</v>
      </c>
      <c r="L2645" s="33" t="s">
        <v>14328</v>
      </c>
      <c r="N2645" s="33" t="s">
        <v>14324</v>
      </c>
      <c r="O2645" s="35" t="s">
        <v>14224</v>
      </c>
    </row>
    <row r="2646">
      <c r="A2646" s="38"/>
      <c r="B2646" s="28" t="s">
        <v>14329</v>
      </c>
      <c r="C2646" s="28" t="s">
        <v>14330</v>
      </c>
      <c r="D2646" s="67" t="s">
        <v>14331</v>
      </c>
      <c r="E2646" s="70" t="s">
        <v>14332</v>
      </c>
      <c r="F2646" s="71" t="s">
        <v>14333</v>
      </c>
      <c r="I2646" s="32"/>
      <c r="J2646" s="32"/>
      <c r="K2646" s="33" t="s">
        <v>14329</v>
      </c>
      <c r="L2646" s="33" t="s">
        <v>14334</v>
      </c>
      <c r="N2646" s="33" t="s">
        <v>14329</v>
      </c>
      <c r="O2646" s="35"/>
    </row>
    <row r="2647">
      <c r="A2647" s="38"/>
      <c r="B2647" s="28" t="s">
        <v>14335</v>
      </c>
      <c r="C2647" s="28" t="s">
        <v>14336</v>
      </c>
      <c r="D2647" s="67" t="s">
        <v>14337</v>
      </c>
      <c r="E2647" s="70" t="s">
        <v>14338</v>
      </c>
      <c r="F2647" s="71" t="s">
        <v>14339</v>
      </c>
      <c r="I2647" s="32"/>
      <c r="J2647" s="32"/>
      <c r="K2647" s="33" t="s">
        <v>14335</v>
      </c>
      <c r="L2647" s="33" t="s">
        <v>14340</v>
      </c>
      <c r="N2647" s="33" t="s">
        <v>14335</v>
      </c>
      <c r="O2647" s="35" t="s">
        <v>14341</v>
      </c>
    </row>
    <row r="2648">
      <c r="A2648" s="38"/>
      <c r="B2648" s="28" t="s">
        <v>14342</v>
      </c>
      <c r="C2648" s="28" t="s">
        <v>14229</v>
      </c>
      <c r="D2648" s="67" t="s">
        <v>14343</v>
      </c>
      <c r="E2648" s="70" t="s">
        <v>14344</v>
      </c>
      <c r="F2648" s="71" t="s">
        <v>14345</v>
      </c>
      <c r="I2648" s="32"/>
      <c r="J2648" s="32"/>
      <c r="K2648" s="33" t="s">
        <v>14342</v>
      </c>
      <c r="L2648" s="33" t="s">
        <v>14346</v>
      </c>
      <c r="N2648" s="33" t="s">
        <v>14342</v>
      </c>
      <c r="O2648" s="35"/>
    </row>
    <row r="2649">
      <c r="A2649" s="38"/>
      <c r="B2649" s="28" t="s">
        <v>14347</v>
      </c>
      <c r="C2649" s="28" t="s">
        <v>14251</v>
      </c>
      <c r="D2649" s="67" t="s">
        <v>14348</v>
      </c>
      <c r="E2649" s="70" t="s">
        <v>14349</v>
      </c>
      <c r="F2649" s="71" t="s">
        <v>14350</v>
      </c>
      <c r="I2649" s="32"/>
      <c r="J2649" s="32"/>
      <c r="K2649" s="33" t="s">
        <v>14347</v>
      </c>
      <c r="L2649" s="33" t="s">
        <v>14351</v>
      </c>
      <c r="N2649" s="33" t="s">
        <v>14347</v>
      </c>
      <c r="O2649" s="35" t="s">
        <v>14250</v>
      </c>
    </row>
    <row r="2650">
      <c r="A2650" s="38"/>
      <c r="B2650" s="28" t="s">
        <v>14352</v>
      </c>
      <c r="C2650" s="28" t="s">
        <v>14258</v>
      </c>
      <c r="D2650" s="67" t="s">
        <v>14353</v>
      </c>
      <c r="E2650" s="71"/>
      <c r="F2650" s="72" t="s">
        <v>6905</v>
      </c>
      <c r="I2650" s="32"/>
      <c r="J2650" s="32"/>
      <c r="K2650" s="33" t="s">
        <v>14352</v>
      </c>
      <c r="L2650" s="33" t="s">
        <v>14354</v>
      </c>
      <c r="N2650" s="33" t="s">
        <v>14352</v>
      </c>
      <c r="O2650" s="35" t="s">
        <v>14257</v>
      </c>
    </row>
    <row r="2651">
      <c r="A2651" s="38"/>
      <c r="B2651" s="28" t="s">
        <v>14355</v>
      </c>
      <c r="C2651" s="28" t="s">
        <v>14265</v>
      </c>
      <c r="D2651" s="67" t="s">
        <v>14356</v>
      </c>
      <c r="E2651" s="71"/>
      <c r="F2651" s="72" t="s">
        <v>14357</v>
      </c>
      <c r="I2651" s="32"/>
      <c r="J2651" s="32"/>
      <c r="K2651" s="33" t="s">
        <v>14355</v>
      </c>
      <c r="L2651" s="33" t="s">
        <v>14358</v>
      </c>
      <c r="N2651" s="33" t="s">
        <v>14355</v>
      </c>
      <c r="O2651" s="35" t="s">
        <v>14264</v>
      </c>
    </row>
    <row r="2652">
      <c r="A2652" s="38"/>
      <c r="B2652" s="28" t="s">
        <v>14359</v>
      </c>
      <c r="C2652" s="28" t="s">
        <v>14360</v>
      </c>
      <c r="D2652" s="67" t="s">
        <v>14361</v>
      </c>
      <c r="E2652" s="71"/>
      <c r="F2652" s="72" t="s">
        <v>14362</v>
      </c>
      <c r="I2652" s="32"/>
      <c r="J2652" s="32"/>
      <c r="K2652" s="33" t="s">
        <v>14359</v>
      </c>
      <c r="L2652" s="33" t="s">
        <v>14363</v>
      </c>
      <c r="N2652" s="33" t="s">
        <v>14359</v>
      </c>
      <c r="O2652" s="35"/>
    </row>
    <row r="2653">
      <c r="A2653" s="38"/>
      <c r="B2653" s="28" t="s">
        <v>14364</v>
      </c>
      <c r="C2653" s="28" t="s">
        <v>14365</v>
      </c>
      <c r="D2653" s="67" t="s">
        <v>14366</v>
      </c>
      <c r="E2653" s="71"/>
      <c r="F2653" s="72" t="s">
        <v>14367</v>
      </c>
      <c r="I2653" s="32"/>
      <c r="J2653" s="32"/>
      <c r="K2653" s="33" t="s">
        <v>14364</v>
      </c>
      <c r="L2653" s="33" t="s">
        <v>14368</v>
      </c>
      <c r="N2653" s="33" t="s">
        <v>14364</v>
      </c>
      <c r="O2653" s="35"/>
    </row>
    <row r="2654">
      <c r="A2654" s="38"/>
      <c r="B2654" s="28" t="s">
        <v>14369</v>
      </c>
      <c r="C2654" s="28" t="s">
        <v>14276</v>
      </c>
      <c r="D2654" s="68" t="s">
        <v>14370</v>
      </c>
      <c r="E2654" s="70" t="s">
        <v>10565</v>
      </c>
      <c r="F2654" s="73" t="s">
        <v>10560</v>
      </c>
      <c r="I2654" s="32"/>
      <c r="J2654" s="32"/>
      <c r="K2654" s="33" t="s">
        <v>14369</v>
      </c>
      <c r="L2654" s="33" t="s">
        <v>14371</v>
      </c>
      <c r="N2654" s="33" t="s">
        <v>14369</v>
      </c>
      <c r="O2654" s="35" t="s">
        <v>14275</v>
      </c>
    </row>
    <row r="2655">
      <c r="A2655" s="38"/>
      <c r="B2655" s="28" t="s">
        <v>14372</v>
      </c>
      <c r="C2655" s="28" t="s">
        <v>14373</v>
      </c>
      <c r="D2655" s="67" t="s">
        <v>14374</v>
      </c>
      <c r="E2655" s="71"/>
      <c r="F2655" s="72" t="s">
        <v>14375</v>
      </c>
      <c r="I2655" s="32"/>
      <c r="J2655" s="32"/>
      <c r="K2655" s="33" t="s">
        <v>14372</v>
      </c>
      <c r="L2655" s="33" t="s">
        <v>14376</v>
      </c>
      <c r="N2655" s="33" t="s">
        <v>14372</v>
      </c>
      <c r="O2655" s="35"/>
    </row>
    <row r="2656">
      <c r="A2656" s="38"/>
      <c r="B2656" s="28" t="s">
        <v>14377</v>
      </c>
      <c r="C2656" s="28" t="s">
        <v>14293</v>
      </c>
      <c r="D2656" s="74" t="s">
        <v>14378</v>
      </c>
      <c r="E2656" s="75" t="s">
        <v>14379</v>
      </c>
      <c r="F2656" s="71" t="s">
        <v>14380</v>
      </c>
      <c r="I2656" s="32"/>
      <c r="J2656" s="32"/>
      <c r="K2656" s="33" t="s">
        <v>14377</v>
      </c>
      <c r="L2656" s="33" t="s">
        <v>14381</v>
      </c>
      <c r="N2656" s="33" t="s">
        <v>14377</v>
      </c>
      <c r="O2656" s="35" t="s">
        <v>14292</v>
      </c>
    </row>
    <row r="2657">
      <c r="A2657" s="38"/>
      <c r="B2657" s="28" t="s">
        <v>14382</v>
      </c>
      <c r="C2657" s="28" t="s">
        <v>14383</v>
      </c>
      <c r="D2657" s="76" t="s">
        <v>14384</v>
      </c>
      <c r="E2657" s="71"/>
      <c r="F2657" s="71" t="s">
        <v>14385</v>
      </c>
      <c r="I2657" s="32"/>
      <c r="J2657" s="32"/>
      <c r="K2657" s="33" t="s">
        <v>14382</v>
      </c>
      <c r="L2657" s="33" t="s">
        <v>14386</v>
      </c>
      <c r="N2657" s="33" t="s">
        <v>14382</v>
      </c>
      <c r="O2657" s="35" t="s">
        <v>14292</v>
      </c>
    </row>
    <row r="2658">
      <c r="A2658" s="38"/>
      <c r="B2658" s="28" t="s">
        <v>14387</v>
      </c>
      <c r="C2658" s="28" t="s">
        <v>14304</v>
      </c>
      <c r="D2658" s="74" t="s">
        <v>14388</v>
      </c>
      <c r="E2658" s="71"/>
      <c r="F2658" s="71" t="s">
        <v>14389</v>
      </c>
      <c r="I2658" s="32"/>
      <c r="J2658" s="32"/>
      <c r="K2658" s="33" t="s">
        <v>14387</v>
      </c>
      <c r="L2658" s="33" t="s">
        <v>14390</v>
      </c>
      <c r="N2658" s="33" t="s">
        <v>14387</v>
      </c>
      <c r="O2658" s="47" t="s">
        <v>14391</v>
      </c>
    </row>
    <row r="2659">
      <c r="A2659" s="38"/>
      <c r="B2659" s="28" t="s">
        <v>14392</v>
      </c>
      <c r="C2659" s="28" t="s">
        <v>14393</v>
      </c>
      <c r="D2659" s="28" t="s">
        <v>14394</v>
      </c>
      <c r="E2659" s="64"/>
      <c r="F2659" s="77" t="s">
        <v>14395</v>
      </c>
      <c r="I2659" s="32"/>
      <c r="J2659" s="32"/>
      <c r="K2659" s="33" t="s">
        <v>14392</v>
      </c>
      <c r="L2659" s="33" t="s">
        <v>14396</v>
      </c>
      <c r="N2659" s="33" t="s">
        <v>14392</v>
      </c>
      <c r="O2659" s="35"/>
    </row>
    <row r="2660">
      <c r="A2660" s="38"/>
      <c r="B2660" s="28" t="s">
        <v>14397</v>
      </c>
      <c r="C2660" s="28" t="s">
        <v>14398</v>
      </c>
      <c r="D2660" s="28" t="s">
        <v>14399</v>
      </c>
      <c r="E2660" s="78" t="s">
        <v>14400</v>
      </c>
      <c r="F2660" s="77" t="s">
        <v>14401</v>
      </c>
      <c r="I2660" s="32"/>
      <c r="J2660" s="32"/>
      <c r="K2660" s="33" t="s">
        <v>14397</v>
      </c>
      <c r="L2660" s="33" t="s">
        <v>14402</v>
      </c>
      <c r="N2660" s="33" t="s">
        <v>14397</v>
      </c>
      <c r="O2660" s="35"/>
    </row>
    <row r="2661">
      <c r="A2661" s="38"/>
      <c r="B2661" s="28" t="s">
        <v>14403</v>
      </c>
      <c r="C2661" s="28" t="s">
        <v>14404</v>
      </c>
      <c r="D2661" s="28" t="s">
        <v>14405</v>
      </c>
      <c r="E2661" s="79" t="s">
        <v>14406</v>
      </c>
      <c r="F2661" s="77" t="s">
        <v>14407</v>
      </c>
      <c r="I2661" s="32"/>
      <c r="J2661" s="32"/>
      <c r="K2661" s="33" t="s">
        <v>14403</v>
      </c>
      <c r="L2661" s="33" t="s">
        <v>14408</v>
      </c>
      <c r="N2661" s="33" t="s">
        <v>14403</v>
      </c>
      <c r="O2661" s="35"/>
    </row>
    <row r="2662">
      <c r="A2662" s="38"/>
      <c r="B2662" s="28" t="s">
        <v>14409</v>
      </c>
      <c r="C2662" s="28" t="s">
        <v>2322</v>
      </c>
      <c r="D2662" s="28" t="s">
        <v>14410</v>
      </c>
      <c r="E2662" s="64"/>
      <c r="F2662" s="77" t="s">
        <v>14411</v>
      </c>
      <c r="I2662" s="32"/>
      <c r="J2662" s="32"/>
      <c r="K2662" s="33" t="s">
        <v>14409</v>
      </c>
      <c r="L2662" s="33" t="s">
        <v>14412</v>
      </c>
      <c r="N2662" s="33" t="s">
        <v>14409</v>
      </c>
      <c r="O2662" s="35"/>
    </row>
    <row r="2663">
      <c r="A2663" s="38"/>
      <c r="B2663" s="28" t="s">
        <v>14413</v>
      </c>
      <c r="C2663" s="28" t="s">
        <v>14414</v>
      </c>
      <c r="D2663" s="74" t="s">
        <v>14415</v>
      </c>
      <c r="E2663" s="80" t="s">
        <v>14416</v>
      </c>
      <c r="F2663" s="71" t="s">
        <v>14417</v>
      </c>
      <c r="I2663" s="32"/>
      <c r="J2663" s="32"/>
      <c r="K2663" s="33" t="s">
        <v>14413</v>
      </c>
      <c r="L2663" s="33" t="s">
        <v>14418</v>
      </c>
      <c r="N2663" s="33" t="s">
        <v>14413</v>
      </c>
      <c r="O2663" s="35"/>
    </row>
    <row r="2664">
      <c r="A2664" s="38"/>
      <c r="B2664" s="28" t="s">
        <v>14419</v>
      </c>
      <c r="C2664" s="28" t="s">
        <v>14420</v>
      </c>
      <c r="D2664" s="74" t="s">
        <v>14421</v>
      </c>
      <c r="E2664" s="80" t="s">
        <v>14422</v>
      </c>
      <c r="F2664" s="71" t="s">
        <v>14423</v>
      </c>
      <c r="I2664" s="32"/>
      <c r="J2664" s="32"/>
      <c r="K2664" s="33" t="s">
        <v>14419</v>
      </c>
      <c r="L2664" s="33" t="s">
        <v>14424</v>
      </c>
      <c r="N2664" s="33" t="s">
        <v>14419</v>
      </c>
      <c r="O2664" s="47" t="s">
        <v>14425</v>
      </c>
    </row>
    <row r="2665">
      <c r="A2665" s="38"/>
      <c r="B2665" s="28" t="s">
        <v>14426</v>
      </c>
      <c r="C2665" s="28" t="s">
        <v>14427</v>
      </c>
      <c r="D2665" s="28" t="s">
        <v>14428</v>
      </c>
      <c r="E2665" s="64"/>
      <c r="F2665" s="77" t="s">
        <v>14429</v>
      </c>
      <c r="I2665" s="32"/>
      <c r="J2665" s="32"/>
      <c r="K2665" s="33" t="s">
        <v>14426</v>
      </c>
      <c r="L2665" s="33" t="s">
        <v>14430</v>
      </c>
      <c r="N2665" s="33" t="s">
        <v>14426</v>
      </c>
      <c r="O2665" s="47" t="s">
        <v>14431</v>
      </c>
    </row>
    <row r="2666">
      <c r="A2666" s="38"/>
      <c r="B2666" s="28" t="s">
        <v>14432</v>
      </c>
      <c r="C2666" s="28" t="s">
        <v>14433</v>
      </c>
      <c r="D2666" s="28" t="s">
        <v>14434</v>
      </c>
      <c r="E2666" s="64"/>
      <c r="F2666" s="77" t="s">
        <v>14435</v>
      </c>
      <c r="I2666" s="32"/>
      <c r="J2666" s="32"/>
      <c r="K2666" s="33" t="s">
        <v>14432</v>
      </c>
      <c r="L2666" s="33" t="s">
        <v>14436</v>
      </c>
      <c r="N2666" s="33" t="s">
        <v>14432</v>
      </c>
      <c r="O2666" s="35"/>
    </row>
    <row r="2667">
      <c r="A2667" s="38"/>
      <c r="B2667" s="28" t="s">
        <v>14437</v>
      </c>
      <c r="C2667" s="28" t="s">
        <v>14438</v>
      </c>
      <c r="D2667" s="28" t="s">
        <v>14439</v>
      </c>
      <c r="E2667" s="64"/>
      <c r="F2667" s="77" t="s">
        <v>14440</v>
      </c>
      <c r="I2667" s="32"/>
      <c r="J2667" s="32"/>
      <c r="K2667" s="33" t="s">
        <v>14437</v>
      </c>
      <c r="L2667" s="33" t="s">
        <v>14441</v>
      </c>
      <c r="N2667" s="33" t="s">
        <v>14437</v>
      </c>
      <c r="O2667" s="35"/>
    </row>
    <row r="2668">
      <c r="A2668" s="38"/>
      <c r="B2668" s="28" t="s">
        <v>14442</v>
      </c>
      <c r="C2668" s="28" t="s">
        <v>14443</v>
      </c>
      <c r="D2668" s="28" t="s">
        <v>14444</v>
      </c>
      <c r="E2668" s="64"/>
      <c r="F2668" s="77" t="s">
        <v>14445</v>
      </c>
      <c r="I2668" s="32"/>
      <c r="J2668" s="32"/>
      <c r="K2668" s="33" t="s">
        <v>14442</v>
      </c>
      <c r="L2668" s="33" t="s">
        <v>14446</v>
      </c>
      <c r="N2668" s="33" t="s">
        <v>14442</v>
      </c>
      <c r="O2668" s="35"/>
    </row>
    <row r="2669">
      <c r="A2669" s="38"/>
      <c r="B2669" s="28" t="s">
        <v>14447</v>
      </c>
      <c r="C2669" s="28" t="s">
        <v>14448</v>
      </c>
      <c r="D2669" s="28" t="s">
        <v>14449</v>
      </c>
      <c r="E2669" s="79" t="s">
        <v>14450</v>
      </c>
      <c r="F2669" s="77" t="s">
        <v>14451</v>
      </c>
      <c r="I2669" s="32"/>
      <c r="J2669" s="32"/>
      <c r="K2669" s="33" t="s">
        <v>14447</v>
      </c>
      <c r="L2669" s="33" t="s">
        <v>14452</v>
      </c>
      <c r="N2669" s="33" t="s">
        <v>14447</v>
      </c>
      <c r="O2669" s="35"/>
    </row>
    <row r="2670">
      <c r="A2670" s="38"/>
      <c r="B2670" s="28" t="s">
        <v>14453</v>
      </c>
      <c r="C2670" s="28" t="s">
        <v>8192</v>
      </c>
      <c r="D2670" s="28"/>
      <c r="E2670" s="64"/>
      <c r="F2670" s="77"/>
      <c r="I2670" s="32"/>
      <c r="J2670" s="32"/>
      <c r="K2670" s="33" t="s">
        <v>14453</v>
      </c>
      <c r="L2670" s="33" t="s">
        <v>14454</v>
      </c>
      <c r="N2670" s="33" t="s">
        <v>14453</v>
      </c>
      <c r="O2670" s="35" t="s">
        <v>8191</v>
      </c>
    </row>
    <row r="2671">
      <c r="A2671" s="38"/>
      <c r="B2671" s="28" t="s">
        <v>14455</v>
      </c>
      <c r="C2671" s="28" t="s">
        <v>14456</v>
      </c>
      <c r="D2671" s="28" t="s">
        <v>14457</v>
      </c>
      <c r="E2671" s="64"/>
      <c r="F2671" s="77" t="s">
        <v>14458</v>
      </c>
      <c r="I2671" s="32"/>
      <c r="J2671" s="32"/>
      <c r="K2671" s="33" t="s">
        <v>14455</v>
      </c>
      <c r="L2671" s="33" t="s">
        <v>14459</v>
      </c>
      <c r="N2671" s="33" t="s">
        <v>14455</v>
      </c>
      <c r="O2671" s="47" t="s">
        <v>14460</v>
      </c>
    </row>
    <row r="2672">
      <c r="A2672" s="38"/>
      <c r="B2672" s="28" t="s">
        <v>14461</v>
      </c>
      <c r="C2672" s="28" t="s">
        <v>14462</v>
      </c>
      <c r="D2672" s="28" t="s">
        <v>14463</v>
      </c>
      <c r="E2672" s="64"/>
      <c r="F2672" s="77" t="s">
        <v>14464</v>
      </c>
      <c r="I2672" s="32"/>
      <c r="J2672" s="32"/>
      <c r="K2672" s="33" t="s">
        <v>14461</v>
      </c>
      <c r="L2672" s="33" t="s">
        <v>14465</v>
      </c>
      <c r="N2672" s="33" t="s">
        <v>14461</v>
      </c>
      <c r="O2672" s="35"/>
    </row>
    <row r="2673">
      <c r="A2673" s="38"/>
      <c r="B2673" s="28" t="s">
        <v>14466</v>
      </c>
      <c r="C2673" s="28" t="s">
        <v>9481</v>
      </c>
      <c r="D2673" s="28" t="s">
        <v>14467</v>
      </c>
      <c r="E2673" s="64"/>
      <c r="F2673" s="77" t="s">
        <v>14468</v>
      </c>
      <c r="I2673" s="32"/>
      <c r="J2673" s="32"/>
      <c r="K2673" s="33" t="s">
        <v>14466</v>
      </c>
      <c r="L2673" s="33" t="s">
        <v>14469</v>
      </c>
      <c r="N2673" s="33" t="s">
        <v>14466</v>
      </c>
      <c r="O2673" s="35" t="s">
        <v>14470</v>
      </c>
    </row>
    <row r="2674">
      <c r="A2674" s="38"/>
      <c r="B2674" s="28" t="s">
        <v>14471</v>
      </c>
      <c r="C2674" s="28" t="s">
        <v>14472</v>
      </c>
      <c r="D2674" s="8" t="s">
        <v>14473</v>
      </c>
      <c r="E2674" s="64"/>
      <c r="F2674" s="77" t="s">
        <v>14474</v>
      </c>
      <c r="I2674" s="32"/>
      <c r="J2674" s="32"/>
      <c r="K2674" s="33" t="s">
        <v>14471</v>
      </c>
      <c r="L2674" s="33" t="s">
        <v>14475</v>
      </c>
      <c r="N2674" s="33" t="s">
        <v>14471</v>
      </c>
      <c r="O2674" s="35"/>
    </row>
    <row r="2675">
      <c r="A2675" s="38"/>
      <c r="B2675" s="28" t="s">
        <v>14476</v>
      </c>
      <c r="C2675" s="28" t="s">
        <v>11119</v>
      </c>
      <c r="D2675" s="8" t="s">
        <v>14477</v>
      </c>
      <c r="E2675" s="64"/>
      <c r="F2675" s="77" t="s">
        <v>14478</v>
      </c>
      <c r="I2675" s="32"/>
      <c r="J2675" s="32"/>
      <c r="K2675" s="33" t="s">
        <v>14476</v>
      </c>
      <c r="L2675" s="33" t="s">
        <v>14479</v>
      </c>
      <c r="N2675" s="33" t="s">
        <v>14476</v>
      </c>
      <c r="O2675" s="47" t="s">
        <v>14480</v>
      </c>
    </row>
    <row r="2676">
      <c r="A2676" s="38"/>
      <c r="B2676" s="28" t="s">
        <v>14481</v>
      </c>
      <c r="C2676" s="28" t="s">
        <v>14482</v>
      </c>
      <c r="D2676" s="8" t="s">
        <v>14483</v>
      </c>
      <c r="E2676" s="79" t="s">
        <v>14484</v>
      </c>
      <c r="F2676" s="77" t="s">
        <v>14485</v>
      </c>
      <c r="I2676" s="32"/>
      <c r="J2676" s="32"/>
      <c r="K2676" s="33" t="s">
        <v>14481</v>
      </c>
      <c r="L2676" s="33" t="s">
        <v>14486</v>
      </c>
      <c r="N2676" s="33" t="s">
        <v>14481</v>
      </c>
      <c r="O2676" s="35"/>
    </row>
    <row r="2677">
      <c r="A2677" s="38"/>
      <c r="B2677" s="28" t="s">
        <v>14487</v>
      </c>
      <c r="C2677" s="28" t="s">
        <v>14488</v>
      </c>
      <c r="D2677" s="8" t="s">
        <v>14489</v>
      </c>
      <c r="E2677" s="79" t="s">
        <v>14490</v>
      </c>
      <c r="F2677" s="77" t="s">
        <v>5005</v>
      </c>
      <c r="I2677" s="32"/>
      <c r="J2677" s="32"/>
      <c r="K2677" s="33" t="s">
        <v>14487</v>
      </c>
      <c r="L2677" s="33" t="s">
        <v>14491</v>
      </c>
      <c r="N2677" s="33" t="s">
        <v>14487</v>
      </c>
      <c r="O2677" s="47" t="s">
        <v>14492</v>
      </c>
    </row>
    <row r="2678">
      <c r="A2678" s="38"/>
      <c r="B2678" s="28" t="s">
        <v>14493</v>
      </c>
      <c r="C2678" s="28" t="s">
        <v>14494</v>
      </c>
      <c r="D2678" s="8" t="s">
        <v>14495</v>
      </c>
      <c r="E2678" s="64"/>
      <c r="F2678" s="77" t="s">
        <v>14496</v>
      </c>
      <c r="I2678" s="32"/>
      <c r="J2678" s="32"/>
      <c r="K2678" s="33" t="s">
        <v>14493</v>
      </c>
      <c r="L2678" s="33" t="s">
        <v>14497</v>
      </c>
      <c r="N2678" s="33" t="s">
        <v>14493</v>
      </c>
      <c r="O2678" s="35"/>
    </row>
    <row r="2679">
      <c r="A2679" s="38"/>
      <c r="B2679" s="28" t="s">
        <v>14498</v>
      </c>
      <c r="C2679" s="28" t="s">
        <v>483</v>
      </c>
      <c r="D2679" s="8" t="s">
        <v>14499</v>
      </c>
      <c r="E2679" s="64"/>
      <c r="F2679" s="77" t="s">
        <v>14500</v>
      </c>
      <c r="I2679" s="32"/>
      <c r="J2679" s="32"/>
      <c r="K2679" s="33" t="s">
        <v>14498</v>
      </c>
      <c r="L2679" s="33" t="s">
        <v>14501</v>
      </c>
      <c r="N2679" s="33" t="s">
        <v>14498</v>
      </c>
      <c r="O2679" s="35"/>
    </row>
    <row r="2680">
      <c r="A2680" s="38"/>
      <c r="B2680" s="28" t="s">
        <v>14502</v>
      </c>
      <c r="C2680" s="28" t="s">
        <v>14503</v>
      </c>
      <c r="D2680" s="8" t="s">
        <v>14504</v>
      </c>
      <c r="E2680" s="64"/>
      <c r="F2680" s="77" t="s">
        <v>14505</v>
      </c>
      <c r="I2680" s="32"/>
      <c r="J2680" s="32"/>
      <c r="K2680" s="33" t="s">
        <v>14502</v>
      </c>
      <c r="L2680" s="33" t="s">
        <v>14506</v>
      </c>
      <c r="N2680" s="33" t="s">
        <v>14502</v>
      </c>
      <c r="O2680" s="35"/>
    </row>
    <row r="2681">
      <c r="A2681" s="38"/>
      <c r="B2681" s="28" t="s">
        <v>14507</v>
      </c>
      <c r="C2681" s="28" t="s">
        <v>5308</v>
      </c>
      <c r="D2681" s="8" t="s">
        <v>14508</v>
      </c>
      <c r="E2681" s="64"/>
      <c r="F2681" s="77" t="s">
        <v>14509</v>
      </c>
      <c r="I2681" s="32"/>
      <c r="J2681" s="32"/>
      <c r="K2681" s="33" t="s">
        <v>14507</v>
      </c>
      <c r="L2681" s="33" t="s">
        <v>14510</v>
      </c>
      <c r="N2681" s="33" t="s">
        <v>14507</v>
      </c>
      <c r="O2681" s="35" t="s">
        <v>5297</v>
      </c>
    </row>
    <row r="2682">
      <c r="A2682" s="38"/>
      <c r="B2682" s="77" t="s">
        <v>14511</v>
      </c>
      <c r="C2682" s="81" t="s">
        <v>14512</v>
      </c>
      <c r="D2682" s="8" t="s">
        <v>14513</v>
      </c>
      <c r="E2682" s="64"/>
      <c r="F2682" s="77" t="s">
        <v>14514</v>
      </c>
      <c r="I2682" s="32"/>
      <c r="J2682" s="32"/>
      <c r="K2682" s="45" t="s">
        <v>14511</v>
      </c>
      <c r="L2682" s="82" t="s">
        <v>14515</v>
      </c>
      <c r="N2682" s="45" t="s">
        <v>14516</v>
      </c>
      <c r="O2682" s="83"/>
    </row>
    <row r="2683">
      <c r="A2683" s="38"/>
      <c r="B2683" s="77" t="s">
        <v>14517</v>
      </c>
      <c r="C2683" s="81" t="s">
        <v>14518</v>
      </c>
      <c r="D2683" s="8" t="s">
        <v>14519</v>
      </c>
      <c r="E2683" s="64"/>
      <c r="F2683" s="77" t="s">
        <v>14520</v>
      </c>
      <c r="I2683" s="32"/>
      <c r="J2683" s="32"/>
      <c r="K2683" s="45" t="s">
        <v>14517</v>
      </c>
      <c r="L2683" s="82" t="s">
        <v>14521</v>
      </c>
      <c r="N2683" s="45" t="s">
        <v>14522</v>
      </c>
      <c r="O2683" s="83"/>
    </row>
    <row r="2684">
      <c r="A2684" s="38"/>
      <c r="B2684" s="77" t="s">
        <v>14523</v>
      </c>
      <c r="C2684" s="81" t="s">
        <v>9563</v>
      </c>
      <c r="D2684" s="8" t="s">
        <v>14524</v>
      </c>
      <c r="E2684" s="64"/>
      <c r="F2684" s="77" t="s">
        <v>14525</v>
      </c>
      <c r="I2684" s="32"/>
      <c r="J2684" s="32"/>
      <c r="K2684" s="45" t="s">
        <v>14523</v>
      </c>
      <c r="L2684" s="82" t="s">
        <v>14526</v>
      </c>
      <c r="N2684" s="45" t="s">
        <v>14527</v>
      </c>
      <c r="O2684" s="83"/>
    </row>
    <row r="2685">
      <c r="A2685" s="38"/>
      <c r="B2685" s="77" t="s">
        <v>14528</v>
      </c>
      <c r="C2685" s="81" t="s">
        <v>10058</v>
      </c>
      <c r="D2685" s="8" t="s">
        <v>14529</v>
      </c>
      <c r="E2685" s="79" t="s">
        <v>14530</v>
      </c>
      <c r="F2685" s="77" t="s">
        <v>14531</v>
      </c>
      <c r="I2685" s="32"/>
      <c r="J2685" s="32"/>
      <c r="K2685" s="45" t="s">
        <v>14528</v>
      </c>
      <c r="L2685" s="82" t="s">
        <v>14532</v>
      </c>
      <c r="N2685" s="45" t="s">
        <v>14533</v>
      </c>
      <c r="O2685" s="83"/>
    </row>
    <row r="2686">
      <c r="A2686" s="38"/>
      <c r="B2686" s="77" t="s">
        <v>14534</v>
      </c>
      <c r="C2686" s="81" t="s">
        <v>14535</v>
      </c>
      <c r="D2686" s="8" t="s">
        <v>14536</v>
      </c>
      <c r="E2686" s="79" t="s">
        <v>14537</v>
      </c>
      <c r="F2686" s="77" t="s">
        <v>14538</v>
      </c>
      <c r="I2686" s="32"/>
      <c r="J2686" s="32"/>
      <c r="K2686" s="45" t="s">
        <v>14534</v>
      </c>
      <c r="L2686" s="82" t="s">
        <v>14539</v>
      </c>
      <c r="N2686" s="45" t="s">
        <v>14540</v>
      </c>
      <c r="O2686" s="83"/>
    </row>
    <row r="2687">
      <c r="A2687" s="38"/>
      <c r="B2687" s="77" t="s">
        <v>14541</v>
      </c>
      <c r="C2687" s="81" t="s">
        <v>8777</v>
      </c>
      <c r="D2687" s="8" t="s">
        <v>14542</v>
      </c>
      <c r="E2687" s="79" t="s">
        <v>14543</v>
      </c>
      <c r="F2687" s="77" t="s">
        <v>4321</v>
      </c>
      <c r="I2687" s="32"/>
      <c r="J2687" s="32"/>
      <c r="K2687" s="45" t="s">
        <v>14541</v>
      </c>
      <c r="L2687" s="82" t="s">
        <v>14544</v>
      </c>
      <c r="N2687" s="45" t="s">
        <v>14545</v>
      </c>
      <c r="O2687" s="83"/>
    </row>
    <row r="2688">
      <c r="A2688" s="38"/>
      <c r="B2688" s="77" t="s">
        <v>14546</v>
      </c>
      <c r="C2688" s="81" t="s">
        <v>99</v>
      </c>
      <c r="D2688" s="8" t="s">
        <v>14547</v>
      </c>
      <c r="E2688" s="64"/>
      <c r="F2688" s="77" t="s">
        <v>14548</v>
      </c>
      <c r="I2688" s="32"/>
      <c r="J2688" s="32"/>
      <c r="K2688" s="45" t="s">
        <v>14546</v>
      </c>
      <c r="L2688" s="82" t="s">
        <v>14549</v>
      </c>
      <c r="N2688" s="45" t="s">
        <v>14550</v>
      </c>
      <c r="O2688" s="83"/>
    </row>
    <row r="2689">
      <c r="A2689" s="38"/>
      <c r="B2689" s="84" t="s">
        <v>14551</v>
      </c>
      <c r="C2689" s="84" t="s">
        <v>14552</v>
      </c>
      <c r="D2689" s="8" t="s">
        <v>14553</v>
      </c>
      <c r="E2689" s="64"/>
      <c r="F2689" s="77" t="s">
        <v>14554</v>
      </c>
      <c r="I2689" s="32"/>
      <c r="J2689" s="32"/>
      <c r="K2689" s="85" t="s">
        <v>14551</v>
      </c>
      <c r="L2689" s="85" t="s">
        <v>14555</v>
      </c>
      <c r="N2689" s="45" t="s">
        <v>14556</v>
      </c>
      <c r="O2689" s="83"/>
    </row>
    <row r="2690">
      <c r="A2690" s="38"/>
      <c r="B2690" s="84" t="s">
        <v>14557</v>
      </c>
      <c r="C2690" s="84" t="s">
        <v>14558</v>
      </c>
      <c r="D2690" s="8" t="s">
        <v>14559</v>
      </c>
      <c r="E2690" s="64"/>
      <c r="F2690" s="77" t="s">
        <v>14560</v>
      </c>
      <c r="I2690" s="32"/>
      <c r="J2690" s="32"/>
      <c r="K2690" s="85" t="s">
        <v>14557</v>
      </c>
      <c r="L2690" s="85" t="s">
        <v>14561</v>
      </c>
      <c r="N2690" s="45" t="s">
        <v>14562</v>
      </c>
      <c r="O2690" s="83"/>
    </row>
    <row r="2691">
      <c r="A2691" s="38"/>
      <c r="B2691" s="84" t="s">
        <v>14563</v>
      </c>
      <c r="C2691" s="84" t="s">
        <v>2082</v>
      </c>
      <c r="D2691" s="8" t="s">
        <v>14564</v>
      </c>
      <c r="E2691" s="64"/>
      <c r="F2691" s="77" t="s">
        <v>14565</v>
      </c>
      <c r="I2691" s="32"/>
      <c r="J2691" s="32"/>
      <c r="K2691" s="85" t="s">
        <v>14563</v>
      </c>
      <c r="L2691" s="85" t="s">
        <v>14566</v>
      </c>
      <c r="N2691" s="45" t="s">
        <v>14567</v>
      </c>
      <c r="O2691" s="83"/>
    </row>
    <row r="2692">
      <c r="A2692" s="38"/>
      <c r="B2692" s="84" t="s">
        <v>14568</v>
      </c>
      <c r="C2692" s="84" t="s">
        <v>2628</v>
      </c>
      <c r="D2692" s="8" t="s">
        <v>14569</v>
      </c>
      <c r="E2692" s="64"/>
      <c r="F2692" s="77" t="s">
        <v>14570</v>
      </c>
      <c r="I2692" s="32"/>
      <c r="J2692" s="32"/>
      <c r="K2692" s="85" t="s">
        <v>14568</v>
      </c>
      <c r="L2692" s="85" t="s">
        <v>14571</v>
      </c>
      <c r="N2692" s="45" t="s">
        <v>14572</v>
      </c>
      <c r="O2692" s="83"/>
    </row>
    <row r="2693">
      <c r="A2693" s="38"/>
      <c r="B2693" s="84" t="s">
        <v>14573</v>
      </c>
      <c r="C2693" s="84" t="s">
        <v>3895</v>
      </c>
      <c r="D2693" s="8" t="s">
        <v>14574</v>
      </c>
      <c r="E2693" s="64"/>
      <c r="F2693" s="77" t="s">
        <v>14575</v>
      </c>
      <c r="I2693" s="32"/>
      <c r="J2693" s="32"/>
      <c r="K2693" s="85" t="s">
        <v>14573</v>
      </c>
      <c r="L2693" s="85" t="s">
        <v>14576</v>
      </c>
      <c r="N2693" s="45" t="s">
        <v>14577</v>
      </c>
      <c r="O2693" s="83"/>
    </row>
    <row r="2694">
      <c r="A2694" s="38"/>
      <c r="B2694" s="84" t="s">
        <v>14578</v>
      </c>
      <c r="C2694" s="84" t="s">
        <v>4661</v>
      </c>
      <c r="D2694" s="8" t="s">
        <v>14579</v>
      </c>
      <c r="E2694" s="64"/>
      <c r="F2694" s="77" t="s">
        <v>14580</v>
      </c>
      <c r="I2694" s="32"/>
      <c r="J2694" s="32"/>
      <c r="K2694" s="85" t="s">
        <v>14578</v>
      </c>
      <c r="L2694" s="85" t="s">
        <v>14581</v>
      </c>
      <c r="N2694" s="45" t="s">
        <v>14582</v>
      </c>
      <c r="O2694" s="86" t="s">
        <v>14583</v>
      </c>
    </row>
    <row r="2695">
      <c r="A2695" s="38"/>
      <c r="B2695" s="84" t="s">
        <v>14584</v>
      </c>
      <c r="C2695" s="84" t="s">
        <v>14585</v>
      </c>
      <c r="D2695" s="8" t="s">
        <v>14586</v>
      </c>
      <c r="E2695" s="64"/>
      <c r="F2695" s="77" t="s">
        <v>14587</v>
      </c>
      <c r="I2695" s="32"/>
      <c r="J2695" s="32"/>
      <c r="K2695" s="85" t="s">
        <v>14584</v>
      </c>
      <c r="L2695" s="85" t="s">
        <v>14588</v>
      </c>
      <c r="N2695" s="45" t="s">
        <v>14589</v>
      </c>
      <c r="O2695" s="83"/>
    </row>
    <row r="2696">
      <c r="A2696" s="38"/>
      <c r="B2696" s="84" t="s">
        <v>14590</v>
      </c>
      <c r="C2696" s="84" t="s">
        <v>6061</v>
      </c>
      <c r="D2696" s="8" t="s">
        <v>14591</v>
      </c>
      <c r="E2696" s="64"/>
      <c r="F2696" s="77" t="s">
        <v>14592</v>
      </c>
      <c r="I2696" s="32"/>
      <c r="J2696" s="32"/>
      <c r="K2696" s="85" t="s">
        <v>14590</v>
      </c>
      <c r="L2696" s="85" t="s">
        <v>14593</v>
      </c>
      <c r="N2696" s="45" t="s">
        <v>14594</v>
      </c>
      <c r="O2696" s="83"/>
    </row>
    <row r="2697">
      <c r="A2697" s="38"/>
      <c r="B2697" s="84" t="s">
        <v>14595</v>
      </c>
      <c r="C2697" s="84" t="s">
        <v>14596</v>
      </c>
      <c r="D2697" s="8" t="s">
        <v>14597</v>
      </c>
      <c r="E2697" s="64"/>
      <c r="F2697" s="77" t="s">
        <v>14598</v>
      </c>
      <c r="I2697" s="32"/>
      <c r="J2697" s="32"/>
      <c r="K2697" s="85" t="s">
        <v>14595</v>
      </c>
      <c r="L2697" s="85" t="s">
        <v>14599</v>
      </c>
      <c r="N2697" s="45" t="s">
        <v>14600</v>
      </c>
      <c r="O2697" s="83"/>
    </row>
    <row r="2698">
      <c r="A2698" s="38"/>
      <c r="B2698" s="84" t="s">
        <v>14601</v>
      </c>
      <c r="C2698" s="84" t="s">
        <v>14602</v>
      </c>
      <c r="D2698" s="8" t="s">
        <v>14603</v>
      </c>
      <c r="E2698" s="64"/>
      <c r="F2698" s="77" t="s">
        <v>14604</v>
      </c>
      <c r="I2698" s="32"/>
      <c r="J2698" s="32"/>
      <c r="K2698" s="85" t="s">
        <v>14601</v>
      </c>
      <c r="L2698" s="85" t="s">
        <v>14605</v>
      </c>
      <c r="N2698" s="45" t="s">
        <v>14606</v>
      </c>
      <c r="O2698" s="83"/>
    </row>
    <row r="2699">
      <c r="A2699" s="38"/>
      <c r="B2699" s="84" t="s">
        <v>14607</v>
      </c>
      <c r="C2699" s="84" t="s">
        <v>8703</v>
      </c>
      <c r="D2699" s="8" t="s">
        <v>14608</v>
      </c>
      <c r="E2699" s="79" t="s">
        <v>14609</v>
      </c>
      <c r="F2699" s="77" t="s">
        <v>14610</v>
      </c>
      <c r="I2699" s="32"/>
      <c r="J2699" s="32"/>
      <c r="K2699" s="85" t="s">
        <v>14607</v>
      </c>
      <c r="L2699" s="85" t="s">
        <v>14611</v>
      </c>
      <c r="N2699" s="45" t="s">
        <v>14612</v>
      </c>
      <c r="O2699" s="83"/>
    </row>
    <row r="2700">
      <c r="A2700" s="38"/>
      <c r="B2700" s="84" t="s">
        <v>14613</v>
      </c>
      <c r="C2700" s="84" t="s">
        <v>11384</v>
      </c>
      <c r="D2700" s="8" t="s">
        <v>14614</v>
      </c>
      <c r="E2700" s="65" t="s">
        <v>14615</v>
      </c>
      <c r="F2700" s="77" t="s">
        <v>14616</v>
      </c>
      <c r="I2700" s="32"/>
      <c r="J2700" s="32"/>
      <c r="K2700" s="85" t="s">
        <v>14613</v>
      </c>
      <c r="L2700" s="85" t="s">
        <v>14617</v>
      </c>
      <c r="N2700" s="45" t="s">
        <v>14618</v>
      </c>
      <c r="O2700" s="83"/>
    </row>
    <row r="2701">
      <c r="A2701" s="38"/>
      <c r="B2701" s="87" t="s">
        <v>14619</v>
      </c>
      <c r="C2701" s="84" t="s">
        <v>183</v>
      </c>
      <c r="D2701" s="8" t="s">
        <v>14620</v>
      </c>
      <c r="E2701" s="65" t="s">
        <v>14621</v>
      </c>
      <c r="F2701" s="77" t="s">
        <v>14622</v>
      </c>
      <c r="I2701" s="32"/>
      <c r="J2701" s="32"/>
      <c r="K2701" s="88" t="s">
        <v>14619</v>
      </c>
      <c r="L2701" s="85" t="s">
        <v>14623</v>
      </c>
      <c r="N2701" s="45" t="s">
        <v>14624</v>
      </c>
      <c r="O2701" s="86" t="s">
        <v>14625</v>
      </c>
    </row>
    <row r="2702">
      <c r="A2702" s="38"/>
      <c r="B2702" s="87" t="s">
        <v>14626</v>
      </c>
      <c r="C2702" s="84" t="s">
        <v>549</v>
      </c>
      <c r="D2702" s="87" t="s">
        <v>14627</v>
      </c>
      <c r="E2702" s="89" t="s">
        <v>14628</v>
      </c>
      <c r="F2702" s="87" t="s">
        <v>14629</v>
      </c>
      <c r="I2702" s="32"/>
      <c r="J2702" s="32"/>
      <c r="K2702" s="88" t="s">
        <v>14626</v>
      </c>
      <c r="L2702" s="85" t="s">
        <v>14630</v>
      </c>
      <c r="N2702" s="45" t="s">
        <v>14631</v>
      </c>
      <c r="O2702" s="83"/>
    </row>
    <row r="2703">
      <c r="A2703" s="38"/>
      <c r="B2703" s="87" t="s">
        <v>14632</v>
      </c>
      <c r="C2703" s="84" t="s">
        <v>646</v>
      </c>
      <c r="D2703" s="87" t="s">
        <v>14633</v>
      </c>
      <c r="E2703" s="89" t="s">
        <v>14634</v>
      </c>
      <c r="F2703" s="87" t="s">
        <v>14635</v>
      </c>
      <c r="I2703" s="32"/>
      <c r="J2703" s="32"/>
      <c r="K2703" s="88" t="s">
        <v>14632</v>
      </c>
      <c r="L2703" s="85" t="s">
        <v>14636</v>
      </c>
      <c r="N2703" s="45" t="s">
        <v>14637</v>
      </c>
      <c r="O2703" s="83"/>
    </row>
    <row r="2704">
      <c r="A2704" s="38"/>
      <c r="B2704" s="87" t="s">
        <v>14638</v>
      </c>
      <c r="C2704" s="84" t="s">
        <v>14639</v>
      </c>
      <c r="D2704" s="87" t="s">
        <v>14640</v>
      </c>
      <c r="E2704" s="89" t="s">
        <v>14641</v>
      </c>
      <c r="F2704" s="87" t="s">
        <v>14642</v>
      </c>
      <c r="I2704" s="32"/>
      <c r="J2704" s="32"/>
      <c r="K2704" s="88" t="s">
        <v>14638</v>
      </c>
      <c r="L2704" s="85" t="s">
        <v>14643</v>
      </c>
      <c r="N2704" s="45" t="s">
        <v>14644</v>
      </c>
      <c r="O2704" s="83"/>
    </row>
    <row r="2705">
      <c r="A2705" s="38"/>
      <c r="B2705" s="87" t="s">
        <v>14645</v>
      </c>
      <c r="C2705" s="84" t="s">
        <v>1010</v>
      </c>
      <c r="D2705" s="73" t="s">
        <v>14646</v>
      </c>
      <c r="E2705" s="70" t="s">
        <v>14647</v>
      </c>
      <c r="F2705" s="72" t="s">
        <v>14648</v>
      </c>
      <c r="I2705" s="32"/>
      <c r="J2705" s="32"/>
      <c r="K2705" s="88" t="s">
        <v>14645</v>
      </c>
      <c r="L2705" s="85" t="s">
        <v>14649</v>
      </c>
      <c r="N2705" s="45" t="s">
        <v>14650</v>
      </c>
      <c r="O2705" s="83"/>
    </row>
    <row r="2706">
      <c r="A2706" s="38"/>
      <c r="B2706" s="87" t="s">
        <v>14651</v>
      </c>
      <c r="C2706" s="84" t="s">
        <v>1066</v>
      </c>
      <c r="D2706" s="8" t="s">
        <v>14652</v>
      </c>
      <c r="E2706" s="65" t="s">
        <v>14653</v>
      </c>
      <c r="F2706" s="77" t="s">
        <v>12184</v>
      </c>
      <c r="I2706" s="32"/>
      <c r="J2706" s="32"/>
      <c r="K2706" s="88" t="s">
        <v>14651</v>
      </c>
      <c r="L2706" s="85" t="s">
        <v>14654</v>
      </c>
      <c r="N2706" s="45" t="s">
        <v>14655</v>
      </c>
      <c r="O2706" s="83"/>
    </row>
    <row r="2707">
      <c r="A2707" s="38"/>
      <c r="B2707" s="87" t="s">
        <v>14656</v>
      </c>
      <c r="C2707" s="84" t="s">
        <v>1098</v>
      </c>
      <c r="D2707" s="8" t="s">
        <v>14657</v>
      </c>
      <c r="E2707" s="65" t="s">
        <v>14658</v>
      </c>
      <c r="F2707" s="77" t="s">
        <v>14659</v>
      </c>
      <c r="I2707" s="32"/>
      <c r="J2707" s="32"/>
      <c r="K2707" s="88" t="s">
        <v>14656</v>
      </c>
      <c r="L2707" s="85" t="s">
        <v>14660</v>
      </c>
      <c r="N2707" s="45" t="s">
        <v>14661</v>
      </c>
      <c r="O2707" s="83"/>
    </row>
    <row r="2708">
      <c r="A2708" s="38"/>
      <c r="B2708" s="87" t="s">
        <v>14662</v>
      </c>
      <c r="C2708" s="84" t="s">
        <v>1113</v>
      </c>
      <c r="D2708" s="8" t="s">
        <v>8505</v>
      </c>
      <c r="E2708" s="65" t="s">
        <v>8501</v>
      </c>
      <c r="F2708" s="77" t="s">
        <v>14663</v>
      </c>
      <c r="I2708" s="32"/>
      <c r="J2708" s="32"/>
      <c r="K2708" s="88" t="s">
        <v>14662</v>
      </c>
      <c r="L2708" s="85" t="s">
        <v>14664</v>
      </c>
      <c r="N2708" s="45" t="s">
        <v>14665</v>
      </c>
      <c r="O2708" s="83"/>
    </row>
    <row r="2709">
      <c r="A2709" s="38"/>
      <c r="B2709" s="87" t="s">
        <v>14666</v>
      </c>
      <c r="C2709" s="84" t="s">
        <v>1693</v>
      </c>
      <c r="D2709" s="8" t="s">
        <v>14667</v>
      </c>
      <c r="E2709" s="65" t="s">
        <v>14668</v>
      </c>
      <c r="F2709" s="77" t="s">
        <v>14669</v>
      </c>
      <c r="I2709" s="32"/>
      <c r="J2709" s="32"/>
      <c r="K2709" s="88" t="s">
        <v>14666</v>
      </c>
      <c r="L2709" s="85" t="s">
        <v>14670</v>
      </c>
      <c r="N2709" s="45" t="s">
        <v>14671</v>
      </c>
      <c r="O2709" s="83"/>
    </row>
    <row r="2710">
      <c r="A2710" s="38"/>
      <c r="B2710" s="87" t="s">
        <v>14672</v>
      </c>
      <c r="C2710" s="84" t="s">
        <v>14673</v>
      </c>
      <c r="D2710" s="8" t="s">
        <v>14674</v>
      </c>
      <c r="E2710" s="65" t="s">
        <v>14675</v>
      </c>
      <c r="F2710" s="77" t="s">
        <v>14676</v>
      </c>
      <c r="I2710" s="32"/>
      <c r="J2710" s="32"/>
      <c r="K2710" s="88" t="s">
        <v>14672</v>
      </c>
      <c r="L2710" s="85" t="s">
        <v>14677</v>
      </c>
      <c r="N2710" s="45" t="s">
        <v>14678</v>
      </c>
      <c r="O2710" s="83"/>
    </row>
    <row r="2711">
      <c r="A2711" s="38"/>
      <c r="B2711" s="87" t="s">
        <v>14679</v>
      </c>
      <c r="C2711" s="84" t="s">
        <v>14680</v>
      </c>
      <c r="D2711" s="8" t="s">
        <v>14681</v>
      </c>
      <c r="E2711" s="65" t="s">
        <v>14682</v>
      </c>
      <c r="F2711" s="77" t="s">
        <v>14683</v>
      </c>
      <c r="I2711" s="32"/>
      <c r="J2711" s="32"/>
      <c r="K2711" s="88" t="s">
        <v>14679</v>
      </c>
      <c r="L2711" s="85" t="s">
        <v>14684</v>
      </c>
      <c r="N2711" s="45" t="s">
        <v>14685</v>
      </c>
      <c r="O2711" s="83"/>
    </row>
    <row r="2712">
      <c r="A2712" s="38"/>
      <c r="B2712" s="87" t="s">
        <v>14686</v>
      </c>
      <c r="C2712" s="84" t="s">
        <v>2356</v>
      </c>
      <c r="D2712" s="8" t="s">
        <v>14687</v>
      </c>
      <c r="E2712" s="65" t="s">
        <v>14688</v>
      </c>
      <c r="F2712" s="77" t="s">
        <v>14689</v>
      </c>
      <c r="I2712" s="32"/>
      <c r="J2712" s="32"/>
      <c r="K2712" s="88" t="s">
        <v>14686</v>
      </c>
      <c r="L2712" s="85" t="s">
        <v>14690</v>
      </c>
      <c r="N2712" s="45" t="s">
        <v>14691</v>
      </c>
      <c r="O2712" s="83"/>
    </row>
    <row r="2713">
      <c r="A2713" s="38"/>
      <c r="B2713" s="87" t="s">
        <v>14692</v>
      </c>
      <c r="C2713" s="84" t="s">
        <v>2420</v>
      </c>
      <c r="D2713" s="8" t="s">
        <v>14693</v>
      </c>
      <c r="E2713" s="65" t="s">
        <v>14694</v>
      </c>
      <c r="F2713" s="77" t="s">
        <v>14695</v>
      </c>
      <c r="I2713" s="32"/>
      <c r="J2713" s="32"/>
      <c r="K2713" s="88" t="s">
        <v>14692</v>
      </c>
      <c r="L2713" s="85" t="s">
        <v>14696</v>
      </c>
      <c r="N2713" s="45" t="s">
        <v>14697</v>
      </c>
      <c r="O2713" s="83"/>
    </row>
    <row r="2714">
      <c r="A2714" s="38"/>
      <c r="B2714" s="87" t="s">
        <v>14698</v>
      </c>
      <c r="C2714" s="84" t="s">
        <v>14699</v>
      </c>
      <c r="D2714" s="8" t="s">
        <v>14700</v>
      </c>
      <c r="E2714" s="65" t="s">
        <v>14701</v>
      </c>
      <c r="F2714" s="77" t="s">
        <v>14702</v>
      </c>
      <c r="I2714" s="32"/>
      <c r="J2714" s="32"/>
      <c r="K2714" s="88" t="s">
        <v>14698</v>
      </c>
      <c r="L2714" s="85" t="s">
        <v>14703</v>
      </c>
      <c r="N2714" s="45" t="s">
        <v>14704</v>
      </c>
      <c r="O2714" s="83"/>
    </row>
    <row r="2715">
      <c r="A2715" s="38"/>
      <c r="B2715" s="87" t="s">
        <v>14705</v>
      </c>
      <c r="C2715" s="84" t="s">
        <v>3034</v>
      </c>
      <c r="D2715" s="8" t="s">
        <v>3542</v>
      </c>
      <c r="E2715" s="65" t="s">
        <v>14706</v>
      </c>
      <c r="F2715" s="77" t="s">
        <v>3544</v>
      </c>
      <c r="I2715" s="32"/>
      <c r="J2715" s="32"/>
      <c r="K2715" s="88" t="s">
        <v>14705</v>
      </c>
      <c r="L2715" s="85" t="s">
        <v>14707</v>
      </c>
      <c r="N2715" s="45" t="s">
        <v>14708</v>
      </c>
      <c r="O2715" s="83"/>
    </row>
    <row r="2716">
      <c r="A2716" s="38"/>
      <c r="B2716" s="87" t="s">
        <v>14709</v>
      </c>
      <c r="C2716" s="84" t="s">
        <v>3267</v>
      </c>
      <c r="D2716" s="8" t="s">
        <v>14710</v>
      </c>
      <c r="E2716" s="65" t="s">
        <v>14711</v>
      </c>
      <c r="F2716" s="77" t="s">
        <v>14712</v>
      </c>
      <c r="I2716" s="32"/>
      <c r="J2716" s="32"/>
      <c r="K2716" s="88" t="s">
        <v>14709</v>
      </c>
      <c r="L2716" s="85" t="s">
        <v>14713</v>
      </c>
      <c r="N2716" s="45" t="s">
        <v>14714</v>
      </c>
      <c r="O2716" s="86" t="s">
        <v>14715</v>
      </c>
    </row>
    <row r="2717">
      <c r="A2717" s="38"/>
      <c r="B2717" s="87" t="s">
        <v>14716</v>
      </c>
      <c r="C2717" s="84" t="s">
        <v>14717</v>
      </c>
      <c r="D2717" s="90" t="s">
        <v>14718</v>
      </c>
      <c r="E2717" s="91" t="s">
        <v>14719</v>
      </c>
      <c r="F2717" s="92"/>
      <c r="I2717" s="32"/>
      <c r="J2717" s="32"/>
      <c r="K2717" s="88" t="s">
        <v>14716</v>
      </c>
      <c r="L2717" s="85" t="s">
        <v>14720</v>
      </c>
      <c r="N2717" s="45" t="s">
        <v>14721</v>
      </c>
      <c r="O2717" s="83"/>
    </row>
    <row r="2718">
      <c r="A2718" s="38"/>
      <c r="B2718" s="87" t="s">
        <v>14722</v>
      </c>
      <c r="C2718" s="84" t="s">
        <v>4166</v>
      </c>
      <c r="D2718" s="90" t="s">
        <v>14723</v>
      </c>
      <c r="E2718" s="71"/>
      <c r="F2718" s="92"/>
      <c r="I2718" s="32"/>
      <c r="J2718" s="32"/>
      <c r="K2718" s="88" t="s">
        <v>14722</v>
      </c>
      <c r="L2718" s="85" t="s">
        <v>14724</v>
      </c>
      <c r="N2718" s="45" t="s">
        <v>14725</v>
      </c>
      <c r="O2718" s="83"/>
    </row>
    <row r="2719">
      <c r="A2719" s="38"/>
      <c r="B2719" s="87" t="s">
        <v>14726</v>
      </c>
      <c r="C2719" s="84" t="s">
        <v>14727</v>
      </c>
      <c r="D2719" s="90" t="s">
        <v>13254</v>
      </c>
      <c r="E2719" s="71" t="s">
        <v>14728</v>
      </c>
      <c r="F2719" s="92"/>
      <c r="I2719" s="32"/>
      <c r="J2719" s="32"/>
      <c r="K2719" s="88" t="s">
        <v>14726</v>
      </c>
      <c r="L2719" s="85" t="s">
        <v>14729</v>
      </c>
      <c r="N2719" s="45" t="s">
        <v>14730</v>
      </c>
      <c r="O2719" s="83"/>
    </row>
    <row r="2720">
      <c r="A2720" s="38"/>
      <c r="B2720" s="87" t="s">
        <v>14731</v>
      </c>
      <c r="C2720" s="84" t="s">
        <v>14732</v>
      </c>
      <c r="D2720" s="90" t="s">
        <v>14733</v>
      </c>
      <c r="E2720" s="71"/>
      <c r="F2720" s="92"/>
      <c r="I2720" s="32"/>
      <c r="J2720" s="32"/>
      <c r="K2720" s="88" t="s">
        <v>14731</v>
      </c>
      <c r="L2720" s="85" t="s">
        <v>14734</v>
      </c>
      <c r="N2720" s="45" t="s">
        <v>14735</v>
      </c>
      <c r="O2720" s="83"/>
    </row>
    <row r="2721">
      <c r="A2721" s="38"/>
      <c r="B2721" s="87" t="s">
        <v>14736</v>
      </c>
      <c r="C2721" s="84" t="s">
        <v>4526</v>
      </c>
      <c r="D2721" s="90" t="s">
        <v>13091</v>
      </c>
      <c r="E2721" s="91" t="s">
        <v>14737</v>
      </c>
      <c r="F2721" s="92"/>
      <c r="I2721" s="32"/>
      <c r="J2721" s="32"/>
      <c r="K2721" s="88" t="s">
        <v>14736</v>
      </c>
      <c r="L2721" s="85" t="s">
        <v>14738</v>
      </c>
      <c r="N2721" s="45" t="s">
        <v>14739</v>
      </c>
      <c r="O2721" s="83"/>
    </row>
    <row r="2722">
      <c r="A2722" s="38"/>
      <c r="B2722" s="87" t="s">
        <v>14740</v>
      </c>
      <c r="C2722" s="84" t="s">
        <v>4686</v>
      </c>
      <c r="D2722" s="90" t="s">
        <v>11313</v>
      </c>
      <c r="E2722" s="91" t="s">
        <v>14741</v>
      </c>
      <c r="F2722" s="92"/>
      <c r="I2722" s="32"/>
      <c r="J2722" s="32"/>
      <c r="K2722" s="88" t="s">
        <v>14740</v>
      </c>
      <c r="L2722" s="85" t="s">
        <v>14742</v>
      </c>
      <c r="N2722" s="45" t="s">
        <v>14743</v>
      </c>
      <c r="O2722" s="83"/>
    </row>
    <row r="2723">
      <c r="A2723" s="38"/>
      <c r="B2723" s="87" t="s">
        <v>14744</v>
      </c>
      <c r="C2723" s="84" t="s">
        <v>4715</v>
      </c>
      <c r="D2723" s="90" t="s">
        <v>10953</v>
      </c>
      <c r="E2723" s="71"/>
      <c r="F2723" s="92"/>
      <c r="I2723" s="32"/>
      <c r="J2723" s="32"/>
      <c r="K2723" s="88" t="s">
        <v>14744</v>
      </c>
      <c r="L2723" s="85" t="s">
        <v>14745</v>
      </c>
      <c r="N2723" s="45" t="s">
        <v>14746</v>
      </c>
      <c r="O2723" s="83"/>
    </row>
    <row r="2724">
      <c r="A2724" s="38"/>
      <c r="B2724" s="87" t="s">
        <v>14747</v>
      </c>
      <c r="C2724" s="84" t="s">
        <v>4823</v>
      </c>
      <c r="D2724" s="90" t="s">
        <v>9906</v>
      </c>
      <c r="E2724" s="91" t="s">
        <v>14748</v>
      </c>
      <c r="F2724" s="92"/>
      <c r="I2724" s="32"/>
      <c r="J2724" s="32"/>
      <c r="K2724" s="88" t="s">
        <v>14747</v>
      </c>
      <c r="L2724" s="85" t="s">
        <v>14749</v>
      </c>
      <c r="N2724" s="45" t="s">
        <v>14750</v>
      </c>
      <c r="O2724" s="83"/>
    </row>
    <row r="2725">
      <c r="A2725" s="38"/>
      <c r="B2725" s="87" t="s">
        <v>14751</v>
      </c>
      <c r="C2725" s="84" t="s">
        <v>4980</v>
      </c>
      <c r="D2725" s="90" t="s">
        <v>14752</v>
      </c>
      <c r="E2725" s="91" t="s">
        <v>14753</v>
      </c>
      <c r="F2725" s="92"/>
      <c r="I2725" s="32"/>
      <c r="J2725" s="32"/>
      <c r="K2725" s="88" t="s">
        <v>14751</v>
      </c>
      <c r="L2725" s="85" t="s">
        <v>14754</v>
      </c>
      <c r="N2725" s="45" t="s">
        <v>14755</v>
      </c>
      <c r="O2725" s="83"/>
    </row>
    <row r="2726">
      <c r="A2726" s="38"/>
      <c r="B2726" s="87" t="s">
        <v>14756</v>
      </c>
      <c r="C2726" s="84" t="s">
        <v>14757</v>
      </c>
      <c r="D2726" s="90" t="s">
        <v>8500</v>
      </c>
      <c r="E2726" s="91" t="s">
        <v>14758</v>
      </c>
      <c r="F2726" s="92"/>
      <c r="I2726" s="32"/>
      <c r="J2726" s="32"/>
      <c r="K2726" s="88" t="s">
        <v>14756</v>
      </c>
      <c r="L2726" s="85" t="s">
        <v>14759</v>
      </c>
      <c r="N2726" s="45" t="s">
        <v>14760</v>
      </c>
      <c r="O2726" s="83"/>
    </row>
    <row r="2727">
      <c r="A2727" s="38"/>
      <c r="B2727" s="87" t="s">
        <v>14761</v>
      </c>
      <c r="C2727" s="84" t="s">
        <v>14762</v>
      </c>
      <c r="D2727" s="90" t="s">
        <v>14652</v>
      </c>
      <c r="E2727" s="71"/>
      <c r="F2727" s="92"/>
      <c r="I2727" s="32"/>
      <c r="J2727" s="32"/>
      <c r="K2727" s="88" t="s">
        <v>14761</v>
      </c>
      <c r="L2727" s="85" t="s">
        <v>14763</v>
      </c>
      <c r="N2727" s="45" t="s">
        <v>14764</v>
      </c>
      <c r="O2727" s="83"/>
    </row>
    <row r="2728">
      <c r="A2728" s="38"/>
      <c r="B2728" s="87" t="s">
        <v>14765</v>
      </c>
      <c r="C2728" s="84" t="s">
        <v>14766</v>
      </c>
      <c r="D2728" s="90" t="s">
        <v>14767</v>
      </c>
      <c r="E2728" s="71"/>
      <c r="F2728" s="92"/>
      <c r="I2728" s="32"/>
      <c r="J2728" s="32"/>
      <c r="K2728" s="88" t="s">
        <v>14765</v>
      </c>
      <c r="L2728" s="85" t="s">
        <v>14768</v>
      </c>
      <c r="N2728" s="45" t="s">
        <v>14769</v>
      </c>
      <c r="O2728" s="83"/>
    </row>
    <row r="2729">
      <c r="A2729" s="38"/>
      <c r="B2729" s="87" t="s">
        <v>14770</v>
      </c>
      <c r="C2729" s="84" t="s">
        <v>5833</v>
      </c>
      <c r="D2729" s="90" t="s">
        <v>8321</v>
      </c>
      <c r="E2729" s="91" t="s">
        <v>14771</v>
      </c>
      <c r="F2729" s="92"/>
      <c r="I2729" s="32"/>
      <c r="J2729" s="32"/>
      <c r="K2729" s="88" t="s">
        <v>14770</v>
      </c>
      <c r="L2729" s="85" t="s">
        <v>14772</v>
      </c>
      <c r="N2729" s="45" t="s">
        <v>14773</v>
      </c>
      <c r="O2729" s="83"/>
    </row>
    <row r="2730">
      <c r="A2730" s="38"/>
      <c r="B2730" s="87" t="s">
        <v>14774</v>
      </c>
      <c r="C2730" s="84" t="s">
        <v>14775</v>
      </c>
      <c r="D2730" s="90" t="s">
        <v>8148</v>
      </c>
      <c r="E2730" s="91" t="s">
        <v>14776</v>
      </c>
      <c r="F2730" s="92"/>
      <c r="I2730" s="32"/>
      <c r="J2730" s="32"/>
      <c r="K2730" s="88" t="s">
        <v>14774</v>
      </c>
      <c r="L2730" s="85" t="s">
        <v>14777</v>
      </c>
      <c r="N2730" s="45" t="s">
        <v>14778</v>
      </c>
      <c r="O2730" s="83"/>
    </row>
    <row r="2731">
      <c r="A2731" s="38"/>
      <c r="B2731" s="87" t="s">
        <v>14779</v>
      </c>
      <c r="C2731" s="84" t="s">
        <v>6359</v>
      </c>
      <c r="D2731" s="90" t="s">
        <v>7786</v>
      </c>
      <c r="E2731" s="91" t="s">
        <v>14780</v>
      </c>
      <c r="F2731" s="92"/>
      <c r="I2731" s="32"/>
      <c r="J2731" s="32"/>
      <c r="K2731" s="88" t="s">
        <v>14779</v>
      </c>
      <c r="L2731" s="85" t="s">
        <v>14781</v>
      </c>
      <c r="N2731" s="45" t="s">
        <v>14782</v>
      </c>
      <c r="O2731" s="83"/>
    </row>
    <row r="2732">
      <c r="A2732" s="38"/>
      <c r="B2732" s="87" t="s">
        <v>14783</v>
      </c>
      <c r="C2732" s="84" t="s">
        <v>6411</v>
      </c>
      <c r="D2732" s="90" t="s">
        <v>14784</v>
      </c>
      <c r="E2732" s="71"/>
      <c r="F2732" s="92"/>
      <c r="I2732" s="32"/>
      <c r="J2732" s="32"/>
      <c r="K2732" s="88" t="s">
        <v>14783</v>
      </c>
      <c r="L2732" s="85" t="s">
        <v>14785</v>
      </c>
      <c r="N2732" s="45" t="s">
        <v>14786</v>
      </c>
      <c r="O2732" s="83"/>
    </row>
    <row r="2733">
      <c r="A2733" s="38"/>
      <c r="B2733" s="87" t="s">
        <v>14787</v>
      </c>
      <c r="C2733" s="84" t="s">
        <v>6590</v>
      </c>
      <c r="D2733" s="90" t="s">
        <v>6464</v>
      </c>
      <c r="E2733" s="91" t="s">
        <v>14788</v>
      </c>
      <c r="F2733" s="92"/>
      <c r="I2733" s="32"/>
      <c r="J2733" s="32"/>
      <c r="K2733" s="88" t="s">
        <v>14787</v>
      </c>
      <c r="L2733" s="85" t="s">
        <v>14789</v>
      </c>
      <c r="N2733" s="45" t="s">
        <v>14790</v>
      </c>
      <c r="O2733" s="83"/>
    </row>
    <row r="2734">
      <c r="A2734" s="38"/>
      <c r="B2734" s="87" t="s">
        <v>14791</v>
      </c>
      <c r="C2734" s="84" t="s">
        <v>14792</v>
      </c>
      <c r="D2734" s="90" t="s">
        <v>14793</v>
      </c>
      <c r="E2734" s="71"/>
      <c r="F2734" s="92"/>
      <c r="I2734" s="32"/>
      <c r="J2734" s="32"/>
      <c r="K2734" s="88" t="s">
        <v>14791</v>
      </c>
      <c r="L2734" s="85" t="s">
        <v>14794</v>
      </c>
      <c r="N2734" s="45" t="s">
        <v>14795</v>
      </c>
      <c r="O2734" s="83"/>
    </row>
    <row r="2735">
      <c r="A2735" s="38"/>
      <c r="B2735" s="87" t="s">
        <v>14796</v>
      </c>
      <c r="C2735" s="84" t="s">
        <v>6636</v>
      </c>
      <c r="D2735" s="90" t="s">
        <v>14797</v>
      </c>
      <c r="E2735" s="71"/>
      <c r="F2735" s="92"/>
      <c r="I2735" s="32"/>
      <c r="J2735" s="32"/>
      <c r="K2735" s="88" t="s">
        <v>14796</v>
      </c>
      <c r="L2735" s="85" t="s">
        <v>14798</v>
      </c>
      <c r="N2735" s="45" t="s">
        <v>14799</v>
      </c>
      <c r="O2735" s="83"/>
    </row>
    <row r="2736">
      <c r="A2736" s="38"/>
      <c r="B2736" s="87" t="s">
        <v>14800</v>
      </c>
      <c r="C2736" s="84" t="s">
        <v>6865</v>
      </c>
      <c r="D2736" s="90" t="s">
        <v>14801</v>
      </c>
      <c r="E2736" s="91" t="s">
        <v>14802</v>
      </c>
      <c r="F2736" s="92"/>
      <c r="I2736" s="32"/>
      <c r="J2736" s="32"/>
      <c r="K2736" s="88" t="s">
        <v>14800</v>
      </c>
      <c r="L2736" s="85" t="s">
        <v>14803</v>
      </c>
      <c r="N2736" s="45" t="s">
        <v>14804</v>
      </c>
      <c r="O2736" s="83" t="s">
        <v>14621</v>
      </c>
    </row>
    <row r="2737">
      <c r="A2737" s="38"/>
      <c r="B2737" s="87" t="s">
        <v>14805</v>
      </c>
      <c r="C2737" s="84" t="s">
        <v>14806</v>
      </c>
      <c r="D2737" s="90" t="s">
        <v>14807</v>
      </c>
      <c r="E2737" s="71"/>
      <c r="F2737" s="92"/>
      <c r="I2737" s="32"/>
      <c r="J2737" s="32"/>
      <c r="K2737" s="88" t="s">
        <v>14805</v>
      </c>
      <c r="L2737" s="85" t="s">
        <v>14808</v>
      </c>
      <c r="N2737" s="45" t="s">
        <v>14809</v>
      </c>
      <c r="O2737" s="83" t="s">
        <v>14615</v>
      </c>
    </row>
    <row r="2738">
      <c r="A2738" s="38"/>
      <c r="B2738" s="87" t="s">
        <v>14810</v>
      </c>
      <c r="C2738" s="84" t="s">
        <v>14811</v>
      </c>
      <c r="D2738" s="90" t="s">
        <v>14812</v>
      </c>
      <c r="E2738" s="71"/>
      <c r="F2738" s="92"/>
      <c r="I2738" s="32"/>
      <c r="J2738" s="32"/>
      <c r="K2738" s="88" t="s">
        <v>14810</v>
      </c>
      <c r="L2738" s="85" t="s">
        <v>14813</v>
      </c>
      <c r="N2738" s="45" t="s">
        <v>14814</v>
      </c>
      <c r="O2738" s="83"/>
    </row>
    <row r="2739">
      <c r="A2739" s="38"/>
      <c r="B2739" s="87" t="s">
        <v>14815</v>
      </c>
      <c r="C2739" s="84" t="s">
        <v>14816</v>
      </c>
      <c r="D2739" s="90" t="s">
        <v>5368</v>
      </c>
      <c r="E2739" s="91" t="s">
        <v>14817</v>
      </c>
      <c r="F2739" s="92"/>
      <c r="I2739" s="32"/>
      <c r="J2739" s="32"/>
      <c r="K2739" s="88" t="s">
        <v>14815</v>
      </c>
      <c r="L2739" s="85" t="s">
        <v>14818</v>
      </c>
      <c r="N2739" s="45" t="s">
        <v>14819</v>
      </c>
      <c r="O2739" s="93" t="s">
        <v>14628</v>
      </c>
    </row>
    <row r="2740">
      <c r="A2740" s="38"/>
      <c r="B2740" s="87" t="s">
        <v>14820</v>
      </c>
      <c r="C2740" s="84" t="s">
        <v>14821</v>
      </c>
      <c r="D2740" s="90" t="s">
        <v>14822</v>
      </c>
      <c r="E2740" s="71"/>
      <c r="F2740" s="92"/>
      <c r="I2740" s="32"/>
      <c r="J2740" s="32"/>
      <c r="K2740" s="88" t="s">
        <v>14820</v>
      </c>
      <c r="L2740" s="85" t="s">
        <v>14823</v>
      </c>
      <c r="N2740" s="45" t="s">
        <v>14824</v>
      </c>
      <c r="O2740" s="93" t="s">
        <v>14634</v>
      </c>
    </row>
    <row r="2741">
      <c r="A2741" s="38"/>
      <c r="B2741" s="87" t="s">
        <v>14825</v>
      </c>
      <c r="C2741" s="84" t="s">
        <v>14826</v>
      </c>
      <c r="D2741" s="90" t="s">
        <v>4025</v>
      </c>
      <c r="E2741" s="91" t="s">
        <v>14827</v>
      </c>
      <c r="F2741" s="92"/>
      <c r="I2741" s="32"/>
      <c r="J2741" s="32"/>
      <c r="K2741" s="88" t="s">
        <v>14825</v>
      </c>
      <c r="L2741" s="85" t="s">
        <v>14828</v>
      </c>
      <c r="N2741" s="45" t="s">
        <v>14829</v>
      </c>
      <c r="O2741" s="93" t="s">
        <v>14641</v>
      </c>
    </row>
    <row r="2742">
      <c r="A2742" s="38"/>
      <c r="B2742" s="87" t="s">
        <v>14830</v>
      </c>
      <c r="C2742" s="84" t="s">
        <v>8326</v>
      </c>
      <c r="D2742" s="90" t="s">
        <v>14831</v>
      </c>
      <c r="E2742" s="71"/>
      <c r="F2742" s="92"/>
      <c r="I2742" s="32"/>
      <c r="J2742" s="32"/>
      <c r="K2742" s="88" t="s">
        <v>14830</v>
      </c>
      <c r="L2742" s="85" t="s">
        <v>14832</v>
      </c>
      <c r="N2742" s="32" t="s">
        <v>14833</v>
      </c>
      <c r="O2742" s="93" t="s">
        <v>14653</v>
      </c>
    </row>
    <row r="2743">
      <c r="A2743" s="38"/>
      <c r="B2743" s="87" t="s">
        <v>14834</v>
      </c>
      <c r="C2743" s="84" t="s">
        <v>14835</v>
      </c>
      <c r="D2743" s="90" t="s">
        <v>14836</v>
      </c>
      <c r="E2743" s="91" t="s">
        <v>14837</v>
      </c>
      <c r="F2743" s="92"/>
      <c r="I2743" s="32"/>
      <c r="J2743" s="32"/>
      <c r="K2743" s="88" t="s">
        <v>14834</v>
      </c>
      <c r="L2743" s="85" t="s">
        <v>14838</v>
      </c>
      <c r="N2743" s="32" t="s">
        <v>14839</v>
      </c>
      <c r="O2743" s="93" t="s">
        <v>14658</v>
      </c>
    </row>
    <row r="2744">
      <c r="A2744" s="38"/>
      <c r="B2744" s="87" t="s">
        <v>14840</v>
      </c>
      <c r="C2744" s="84" t="s">
        <v>8799</v>
      </c>
      <c r="D2744" s="90" t="s">
        <v>3747</v>
      </c>
      <c r="E2744" s="71"/>
      <c r="F2744" s="92"/>
      <c r="I2744" s="32"/>
      <c r="J2744" s="32"/>
      <c r="K2744" s="88" t="s">
        <v>14840</v>
      </c>
      <c r="L2744" s="85" t="s">
        <v>14841</v>
      </c>
      <c r="N2744" s="32" t="s">
        <v>14842</v>
      </c>
      <c r="O2744" s="93" t="s">
        <v>8501</v>
      </c>
    </row>
    <row r="2745">
      <c r="A2745" s="38"/>
      <c r="B2745" s="87" t="s">
        <v>14843</v>
      </c>
      <c r="C2745" s="84" t="s">
        <v>14844</v>
      </c>
      <c r="D2745" s="90" t="s">
        <v>12361</v>
      </c>
      <c r="E2745" s="91" t="s">
        <v>14845</v>
      </c>
      <c r="F2745" s="92"/>
      <c r="I2745" s="32"/>
      <c r="J2745" s="32"/>
      <c r="K2745" s="88" t="s">
        <v>14843</v>
      </c>
      <c r="L2745" s="85" t="s">
        <v>14846</v>
      </c>
      <c r="N2745" s="45" t="s">
        <v>14847</v>
      </c>
      <c r="O2745" s="93"/>
    </row>
    <row r="2746">
      <c r="A2746" s="38"/>
      <c r="B2746" s="87" t="s">
        <v>14848</v>
      </c>
      <c r="C2746" s="84" t="s">
        <v>14849</v>
      </c>
      <c r="D2746" s="90" t="s">
        <v>14850</v>
      </c>
      <c r="E2746" s="91" t="s">
        <v>14851</v>
      </c>
      <c r="F2746" s="92"/>
      <c r="I2746" s="32"/>
      <c r="J2746" s="32"/>
      <c r="K2746" s="88" t="s">
        <v>14848</v>
      </c>
      <c r="L2746" s="85" t="s">
        <v>14852</v>
      </c>
      <c r="N2746" s="45" t="s">
        <v>14853</v>
      </c>
      <c r="O2746" s="93" t="s">
        <v>14694</v>
      </c>
    </row>
    <row r="2747">
      <c r="A2747" s="38"/>
      <c r="B2747" s="87" t="s">
        <v>14854</v>
      </c>
      <c r="C2747" s="84" t="s">
        <v>8974</v>
      </c>
      <c r="D2747" s="90" t="s">
        <v>14855</v>
      </c>
      <c r="E2747" s="91" t="s">
        <v>14856</v>
      </c>
      <c r="F2747" s="92"/>
      <c r="I2747" s="32"/>
      <c r="J2747" s="32"/>
      <c r="K2747" s="88" t="s">
        <v>14854</v>
      </c>
      <c r="L2747" s="85" t="s">
        <v>14857</v>
      </c>
      <c r="N2747" s="45" t="s">
        <v>14858</v>
      </c>
      <c r="O2747" s="93" t="s">
        <v>14859</v>
      </c>
    </row>
    <row r="2748">
      <c r="A2748" s="38"/>
      <c r="B2748" s="87" t="s">
        <v>14860</v>
      </c>
      <c r="C2748" s="84" t="s">
        <v>9067</v>
      </c>
      <c r="D2748" s="90" t="s">
        <v>14861</v>
      </c>
      <c r="E2748" s="71"/>
      <c r="F2748" s="92"/>
      <c r="I2748" s="32"/>
      <c r="J2748" s="32"/>
      <c r="K2748" s="88" t="s">
        <v>14860</v>
      </c>
      <c r="L2748" s="85" t="s">
        <v>14862</v>
      </c>
      <c r="N2748" s="45" t="s">
        <v>14863</v>
      </c>
      <c r="O2748" s="93" t="s">
        <v>14864</v>
      </c>
    </row>
    <row r="2749">
      <c r="A2749" s="38"/>
      <c r="B2749" s="87" t="s">
        <v>14865</v>
      </c>
      <c r="C2749" s="84" t="s">
        <v>14866</v>
      </c>
      <c r="D2749" s="90" t="s">
        <v>14867</v>
      </c>
      <c r="E2749" s="71"/>
      <c r="F2749" s="92"/>
      <c r="I2749" s="32"/>
      <c r="J2749" s="32"/>
      <c r="K2749" s="88" t="s">
        <v>14865</v>
      </c>
      <c r="L2749" s="85" t="s">
        <v>14868</v>
      </c>
      <c r="N2749" s="45" t="s">
        <v>14869</v>
      </c>
      <c r="O2749" s="93"/>
    </row>
    <row r="2750">
      <c r="A2750" s="38"/>
      <c r="B2750" s="87" t="s">
        <v>14870</v>
      </c>
      <c r="C2750" s="84" t="s">
        <v>14871</v>
      </c>
      <c r="D2750" s="90" t="s">
        <v>1605</v>
      </c>
      <c r="E2750" s="71"/>
      <c r="F2750" s="92"/>
      <c r="I2750" s="32"/>
      <c r="J2750" s="32"/>
      <c r="K2750" s="88" t="s">
        <v>14870</v>
      </c>
      <c r="L2750" s="85" t="s">
        <v>14872</v>
      </c>
      <c r="N2750" s="45" t="s">
        <v>14873</v>
      </c>
      <c r="O2750" s="93" t="s">
        <v>14874</v>
      </c>
    </row>
    <row r="2751">
      <c r="A2751" s="38"/>
      <c r="B2751" s="87" t="s">
        <v>14875</v>
      </c>
      <c r="C2751" s="84" t="s">
        <v>14876</v>
      </c>
      <c r="D2751" s="90" t="s">
        <v>14877</v>
      </c>
      <c r="E2751" s="91" t="s">
        <v>14878</v>
      </c>
      <c r="F2751" s="92"/>
      <c r="I2751" s="32"/>
      <c r="J2751" s="32"/>
      <c r="K2751" s="88" t="s">
        <v>14875</v>
      </c>
      <c r="L2751" s="85" t="s">
        <v>14879</v>
      </c>
      <c r="N2751" s="45" t="s">
        <v>14880</v>
      </c>
      <c r="O2751" s="93" t="s">
        <v>14881</v>
      </c>
    </row>
    <row r="2752">
      <c r="A2752" s="38"/>
      <c r="B2752" s="87" t="s">
        <v>14882</v>
      </c>
      <c r="C2752" s="84" t="s">
        <v>14883</v>
      </c>
      <c r="D2752" s="90" t="s">
        <v>14884</v>
      </c>
      <c r="E2752" s="71"/>
      <c r="F2752" s="92"/>
      <c r="I2752" s="32"/>
      <c r="J2752" s="32"/>
      <c r="K2752" s="88" t="s">
        <v>14882</v>
      </c>
      <c r="L2752" s="85" t="s">
        <v>14885</v>
      </c>
      <c r="N2752" s="45" t="s">
        <v>14886</v>
      </c>
      <c r="O2752" s="93" t="s">
        <v>14887</v>
      </c>
    </row>
    <row r="2753">
      <c r="A2753" s="38"/>
      <c r="B2753" s="87" t="s">
        <v>14888</v>
      </c>
      <c r="C2753" s="84" t="s">
        <v>9807</v>
      </c>
      <c r="D2753" s="90" t="s">
        <v>14889</v>
      </c>
      <c r="E2753" s="91" t="s">
        <v>14890</v>
      </c>
      <c r="F2753" s="92"/>
      <c r="I2753" s="32"/>
      <c r="J2753" s="32"/>
      <c r="K2753" s="88" t="s">
        <v>14888</v>
      </c>
      <c r="L2753" s="85" t="s">
        <v>14891</v>
      </c>
      <c r="N2753" s="45" t="s">
        <v>14892</v>
      </c>
      <c r="O2753" s="93" t="s">
        <v>14893</v>
      </c>
    </row>
    <row r="2754">
      <c r="A2754" s="38"/>
      <c r="B2754" s="87" t="s">
        <v>14894</v>
      </c>
      <c r="C2754" s="84" t="s">
        <v>9931</v>
      </c>
      <c r="D2754" s="90" t="s">
        <v>14895</v>
      </c>
      <c r="E2754" s="71"/>
      <c r="F2754" s="92"/>
      <c r="I2754" s="32"/>
      <c r="J2754" s="32"/>
      <c r="K2754" s="88" t="s">
        <v>14894</v>
      </c>
      <c r="L2754" s="85" t="s">
        <v>14896</v>
      </c>
      <c r="N2754" s="45" t="s">
        <v>14897</v>
      </c>
      <c r="O2754" s="93" t="s">
        <v>14682</v>
      </c>
    </row>
    <row r="2755">
      <c r="A2755" s="38"/>
      <c r="B2755" s="87" t="s">
        <v>14898</v>
      </c>
      <c r="C2755" s="84" t="s">
        <v>14899</v>
      </c>
      <c r="D2755" s="90" t="s">
        <v>14900</v>
      </c>
      <c r="E2755" s="71"/>
      <c r="F2755" s="92"/>
      <c r="I2755" s="32"/>
      <c r="J2755" s="32"/>
      <c r="K2755" s="88" t="s">
        <v>14898</v>
      </c>
      <c r="L2755" s="85" t="s">
        <v>14901</v>
      </c>
      <c r="N2755" s="45" t="s">
        <v>14902</v>
      </c>
      <c r="O2755" s="93" t="s">
        <v>14675</v>
      </c>
    </row>
    <row r="2756">
      <c r="A2756" s="38"/>
      <c r="B2756" s="87" t="s">
        <v>14903</v>
      </c>
      <c r="C2756" s="84" t="s">
        <v>14904</v>
      </c>
      <c r="D2756" s="90" t="s">
        <v>14905</v>
      </c>
      <c r="E2756" s="91" t="s">
        <v>14906</v>
      </c>
      <c r="F2756" s="92"/>
      <c r="I2756" s="32"/>
      <c r="J2756" s="32"/>
      <c r="K2756" s="88" t="s">
        <v>14903</v>
      </c>
      <c r="L2756" s="85" t="s">
        <v>14907</v>
      </c>
      <c r="N2756" s="45" t="s">
        <v>14908</v>
      </c>
      <c r="O2756" s="93" t="s">
        <v>14909</v>
      </c>
    </row>
    <row r="2757">
      <c r="A2757" s="38"/>
      <c r="B2757" s="87" t="s">
        <v>14910</v>
      </c>
      <c r="C2757" s="84" t="s">
        <v>10296</v>
      </c>
      <c r="D2757" s="90" t="s">
        <v>594</v>
      </c>
      <c r="E2757" s="91" t="s">
        <v>14911</v>
      </c>
      <c r="F2757" s="92"/>
      <c r="I2757" s="32"/>
      <c r="J2757" s="32"/>
      <c r="K2757" s="88" t="s">
        <v>14910</v>
      </c>
      <c r="L2757" s="85" t="s">
        <v>14912</v>
      </c>
      <c r="N2757" s="45" t="s">
        <v>14913</v>
      </c>
      <c r="O2757" s="93" t="s">
        <v>14914</v>
      </c>
    </row>
    <row r="2758">
      <c r="A2758" s="38"/>
      <c r="B2758" s="87" t="s">
        <v>14915</v>
      </c>
      <c r="C2758" s="84" t="s">
        <v>14916</v>
      </c>
      <c r="D2758" s="90" t="s">
        <v>14917</v>
      </c>
      <c r="E2758" s="71"/>
      <c r="F2758" s="92"/>
      <c r="I2758" s="32"/>
      <c r="J2758" s="32"/>
      <c r="K2758" s="88" t="s">
        <v>14915</v>
      </c>
      <c r="L2758" s="85" t="s">
        <v>14918</v>
      </c>
      <c r="N2758" s="45" t="s">
        <v>14919</v>
      </c>
      <c r="O2758" s="93" t="s">
        <v>14920</v>
      </c>
    </row>
    <row r="2759">
      <c r="A2759" s="38"/>
      <c r="B2759" s="87" t="s">
        <v>14921</v>
      </c>
      <c r="C2759" s="84" t="s">
        <v>10661</v>
      </c>
      <c r="D2759" s="90" t="s">
        <v>14922</v>
      </c>
      <c r="E2759" s="71"/>
      <c r="F2759" s="92"/>
      <c r="I2759" s="32"/>
      <c r="J2759" s="32"/>
      <c r="K2759" s="88" t="s">
        <v>14921</v>
      </c>
      <c r="L2759" s="85" t="s">
        <v>14923</v>
      </c>
      <c r="N2759" s="45" t="s">
        <v>14924</v>
      </c>
      <c r="O2759" s="93" t="s">
        <v>14925</v>
      </c>
    </row>
    <row r="2760">
      <c r="A2760" s="38"/>
      <c r="B2760" s="87" t="s">
        <v>14926</v>
      </c>
      <c r="C2760" s="84" t="s">
        <v>11360</v>
      </c>
      <c r="D2760" s="90" t="s">
        <v>14927</v>
      </c>
      <c r="E2760" s="91" t="s">
        <v>14928</v>
      </c>
      <c r="F2760" s="92"/>
      <c r="I2760" s="32"/>
      <c r="J2760" s="32"/>
      <c r="K2760" s="88" t="s">
        <v>14926</v>
      </c>
      <c r="L2760" s="85" t="s">
        <v>14929</v>
      </c>
      <c r="N2760" s="45" t="s">
        <v>14930</v>
      </c>
      <c r="O2760" s="93" t="s">
        <v>14931</v>
      </c>
    </row>
    <row r="2761">
      <c r="A2761" s="38"/>
      <c r="B2761" s="87" t="s">
        <v>14932</v>
      </c>
      <c r="C2761" s="84" t="s">
        <v>11446</v>
      </c>
      <c r="D2761" s="90" t="s">
        <v>469</v>
      </c>
      <c r="E2761" s="91" t="s">
        <v>14933</v>
      </c>
      <c r="F2761" s="92"/>
      <c r="I2761" s="32"/>
      <c r="J2761" s="32"/>
      <c r="K2761" s="88" t="s">
        <v>14932</v>
      </c>
      <c r="L2761" s="85" t="s">
        <v>14934</v>
      </c>
      <c r="N2761" s="45" t="s">
        <v>14935</v>
      </c>
      <c r="O2761" s="94" t="s">
        <v>14936</v>
      </c>
    </row>
    <row r="2762">
      <c r="A2762" s="38"/>
      <c r="B2762" s="87" t="s">
        <v>14937</v>
      </c>
      <c r="C2762" s="84" t="s">
        <v>14938</v>
      </c>
      <c r="D2762" s="8" t="s">
        <v>14939</v>
      </c>
      <c r="E2762" s="65" t="s">
        <v>14940</v>
      </c>
      <c r="F2762" s="92"/>
      <c r="I2762" s="32"/>
      <c r="J2762" s="32"/>
      <c r="K2762" s="88" t="s">
        <v>14937</v>
      </c>
      <c r="L2762" s="85" t="s">
        <v>14941</v>
      </c>
      <c r="N2762" s="45" t="s">
        <v>14942</v>
      </c>
      <c r="O2762" s="93" t="s">
        <v>14943</v>
      </c>
    </row>
    <row r="2763">
      <c r="A2763" s="38"/>
      <c r="B2763" s="87" t="s">
        <v>14944</v>
      </c>
      <c r="C2763" s="84" t="s">
        <v>14945</v>
      </c>
      <c r="D2763" s="8" t="s">
        <v>14946</v>
      </c>
      <c r="E2763" s="65" t="s">
        <v>14947</v>
      </c>
      <c r="F2763" s="92"/>
      <c r="I2763" s="32"/>
      <c r="J2763" s="32"/>
      <c r="K2763" s="88" t="s">
        <v>14944</v>
      </c>
      <c r="L2763" s="85" t="s">
        <v>14948</v>
      </c>
      <c r="N2763" s="45" t="s">
        <v>14949</v>
      </c>
      <c r="O2763" s="93" t="s">
        <v>14950</v>
      </c>
    </row>
    <row r="2764">
      <c r="A2764" s="38"/>
      <c r="B2764" s="87" t="s">
        <v>14951</v>
      </c>
      <c r="C2764" s="84" t="s">
        <v>14952</v>
      </c>
      <c r="D2764" s="8" t="s">
        <v>14953</v>
      </c>
      <c r="E2764" s="65" t="s">
        <v>14954</v>
      </c>
      <c r="F2764" s="92"/>
      <c r="I2764" s="32"/>
      <c r="J2764" s="32"/>
      <c r="K2764" s="88" t="s">
        <v>14951</v>
      </c>
      <c r="L2764" s="85" t="s">
        <v>14955</v>
      </c>
      <c r="N2764" s="45" t="s">
        <v>14956</v>
      </c>
      <c r="O2764" s="93" t="s">
        <v>14954</v>
      </c>
    </row>
    <row r="2765">
      <c r="A2765" s="38"/>
      <c r="B2765" s="87" t="s">
        <v>14957</v>
      </c>
      <c r="C2765" s="84" t="s">
        <v>12805</v>
      </c>
      <c r="D2765" s="8" t="s">
        <v>14958</v>
      </c>
      <c r="E2765" s="64"/>
      <c r="F2765" s="92"/>
      <c r="I2765" s="32"/>
      <c r="J2765" s="32"/>
      <c r="K2765" s="88" t="s">
        <v>14957</v>
      </c>
      <c r="L2765" s="85" t="s">
        <v>14959</v>
      </c>
      <c r="N2765" s="45" t="s">
        <v>14960</v>
      </c>
      <c r="O2765" s="93"/>
    </row>
    <row r="2766">
      <c r="A2766" s="38"/>
      <c r="B2766" s="87" t="s">
        <v>14961</v>
      </c>
      <c r="C2766" s="84" t="s">
        <v>12823</v>
      </c>
      <c r="D2766" s="8" t="s">
        <v>14962</v>
      </c>
      <c r="E2766" s="65" t="s">
        <v>14963</v>
      </c>
      <c r="F2766" s="92"/>
      <c r="I2766" s="32"/>
      <c r="J2766" s="32"/>
      <c r="K2766" s="88" t="s">
        <v>14961</v>
      </c>
      <c r="L2766" s="85" t="s">
        <v>14964</v>
      </c>
      <c r="N2766" s="45" t="s">
        <v>14965</v>
      </c>
      <c r="O2766" s="86" t="s">
        <v>14966</v>
      </c>
    </row>
    <row r="2767">
      <c r="A2767" s="38"/>
      <c r="B2767" s="87" t="s">
        <v>14967</v>
      </c>
      <c r="C2767" s="84" t="s">
        <v>13066</v>
      </c>
      <c r="D2767" s="95" t="s">
        <v>14968</v>
      </c>
      <c r="E2767" s="96" t="s">
        <v>14969</v>
      </c>
      <c r="F2767" s="95" t="s">
        <v>14970</v>
      </c>
      <c r="I2767" s="32"/>
      <c r="J2767" s="32"/>
      <c r="K2767" s="88" t="s">
        <v>14967</v>
      </c>
      <c r="L2767" s="85" t="s">
        <v>14971</v>
      </c>
      <c r="N2767" s="45" t="s">
        <v>14972</v>
      </c>
      <c r="O2767" s="93" t="s">
        <v>14963</v>
      </c>
    </row>
    <row r="2768">
      <c r="A2768" s="38"/>
      <c r="B2768" s="87" t="s">
        <v>14973</v>
      </c>
      <c r="C2768" s="84" t="s">
        <v>13171</v>
      </c>
      <c r="D2768" s="95" t="s">
        <v>14974</v>
      </c>
      <c r="E2768" s="95" t="s">
        <v>14975</v>
      </c>
      <c r="F2768" s="95" t="s">
        <v>14976</v>
      </c>
      <c r="I2768" s="32"/>
      <c r="J2768" s="32"/>
      <c r="K2768" s="88" t="s">
        <v>14973</v>
      </c>
      <c r="L2768" s="85" t="s">
        <v>14977</v>
      </c>
      <c r="N2768" s="45" t="s">
        <v>14978</v>
      </c>
      <c r="O2768" s="93"/>
    </row>
    <row r="2769">
      <c r="A2769" s="38"/>
      <c r="B2769" s="87" t="s">
        <v>14979</v>
      </c>
      <c r="C2769" s="84" t="s">
        <v>14980</v>
      </c>
      <c r="D2769" s="95" t="s">
        <v>14981</v>
      </c>
      <c r="E2769" s="95" t="s">
        <v>14982</v>
      </c>
      <c r="F2769" s="95" t="s">
        <v>14983</v>
      </c>
      <c r="I2769" s="32"/>
      <c r="J2769" s="32"/>
      <c r="K2769" s="88" t="s">
        <v>14979</v>
      </c>
      <c r="L2769" s="85" t="s">
        <v>14984</v>
      </c>
      <c r="N2769" s="45" t="s">
        <v>14985</v>
      </c>
      <c r="O2769" s="93" t="s">
        <v>14986</v>
      </c>
    </row>
    <row r="2770">
      <c r="A2770" s="38"/>
      <c r="B2770" s="87" t="s">
        <v>14987</v>
      </c>
      <c r="C2770" s="84" t="s">
        <v>13498</v>
      </c>
      <c r="D2770" s="95" t="s">
        <v>14988</v>
      </c>
      <c r="E2770" s="96" t="s">
        <v>14989</v>
      </c>
      <c r="F2770" s="95" t="s">
        <v>14990</v>
      </c>
      <c r="I2770" s="32"/>
      <c r="J2770" s="32"/>
      <c r="K2770" s="88" t="s">
        <v>14987</v>
      </c>
      <c r="L2770" s="85" t="s">
        <v>14991</v>
      </c>
      <c r="N2770" s="45" t="s">
        <v>14992</v>
      </c>
      <c r="O2770" s="93" t="s">
        <v>14993</v>
      </c>
    </row>
    <row r="2771">
      <c r="A2771" s="38"/>
      <c r="B2771" s="87" t="s">
        <v>14994</v>
      </c>
      <c r="C2771" s="84" t="s">
        <v>14995</v>
      </c>
      <c r="D2771" s="95" t="s">
        <v>14996</v>
      </c>
      <c r="E2771" s="97" t="s">
        <v>14997</v>
      </c>
      <c r="F2771" s="39" t="s">
        <v>14998</v>
      </c>
      <c r="I2771" s="32"/>
      <c r="J2771" s="32"/>
      <c r="K2771" s="88" t="s">
        <v>14994</v>
      </c>
      <c r="L2771" s="85" t="s">
        <v>14999</v>
      </c>
      <c r="N2771" s="45" t="s">
        <v>15000</v>
      </c>
      <c r="O2771" s="93" t="s">
        <v>14975</v>
      </c>
    </row>
    <row r="2772">
      <c r="A2772" s="38"/>
      <c r="B2772" s="87" t="s">
        <v>15001</v>
      </c>
      <c r="C2772" s="84" t="s">
        <v>13656</v>
      </c>
      <c r="D2772" s="95" t="s">
        <v>15002</v>
      </c>
      <c r="E2772" s="96" t="s">
        <v>15003</v>
      </c>
      <c r="F2772" s="95" t="s">
        <v>15004</v>
      </c>
      <c r="I2772" s="32"/>
      <c r="J2772" s="32"/>
      <c r="K2772" s="88" t="s">
        <v>15001</v>
      </c>
      <c r="L2772" s="85" t="s">
        <v>15005</v>
      </c>
      <c r="N2772" s="45" t="s">
        <v>15006</v>
      </c>
      <c r="O2772" s="93" t="s">
        <v>14982</v>
      </c>
    </row>
    <row r="2773">
      <c r="A2773" s="38"/>
      <c r="B2773" s="87" t="s">
        <v>15007</v>
      </c>
      <c r="C2773" s="84" t="s">
        <v>13706</v>
      </c>
      <c r="D2773" s="95" t="s">
        <v>15008</v>
      </c>
      <c r="E2773" s="96" t="s">
        <v>15009</v>
      </c>
      <c r="F2773" s="95" t="s">
        <v>15010</v>
      </c>
      <c r="I2773" s="32"/>
      <c r="J2773" s="32"/>
      <c r="K2773" s="88" t="s">
        <v>15007</v>
      </c>
      <c r="L2773" s="85" t="s">
        <v>15011</v>
      </c>
      <c r="N2773" s="45" t="s">
        <v>15012</v>
      </c>
      <c r="O2773" s="93" t="s">
        <v>15013</v>
      </c>
    </row>
    <row r="2774">
      <c r="A2774" s="38"/>
      <c r="B2774" s="87" t="s">
        <v>15014</v>
      </c>
      <c r="C2774" s="84" t="s">
        <v>15015</v>
      </c>
      <c r="D2774" s="95" t="s">
        <v>15016</v>
      </c>
      <c r="E2774" s="96" t="s">
        <v>15017</v>
      </c>
      <c r="F2774" s="95" t="s">
        <v>15018</v>
      </c>
      <c r="I2774" s="32"/>
      <c r="J2774" s="32"/>
      <c r="K2774" s="88" t="s">
        <v>15014</v>
      </c>
      <c r="L2774" s="85" t="s">
        <v>15019</v>
      </c>
      <c r="N2774" s="45" t="s">
        <v>15020</v>
      </c>
      <c r="O2774" s="94" t="s">
        <v>15021</v>
      </c>
    </row>
    <row r="2775">
      <c r="A2775" s="38"/>
      <c r="B2775" s="87" t="s">
        <v>15022</v>
      </c>
      <c r="C2775" s="84" t="s">
        <v>15023</v>
      </c>
      <c r="D2775" s="95" t="s">
        <v>15024</v>
      </c>
      <c r="E2775" s="96" t="s">
        <v>15025</v>
      </c>
      <c r="F2775" s="95" t="s">
        <v>15026</v>
      </c>
      <c r="I2775" s="32"/>
      <c r="J2775" s="32"/>
      <c r="K2775" s="88" t="s">
        <v>15022</v>
      </c>
      <c r="L2775" s="85" t="s">
        <v>15027</v>
      </c>
      <c r="N2775" s="45" t="s">
        <v>15028</v>
      </c>
      <c r="O2775" s="93"/>
    </row>
    <row r="2776">
      <c r="A2776" s="38"/>
      <c r="B2776" s="87" t="s">
        <v>15029</v>
      </c>
      <c r="C2776" s="84" t="s">
        <v>15030</v>
      </c>
      <c r="D2776" s="95" t="s">
        <v>15031</v>
      </c>
      <c r="E2776" s="96" t="s">
        <v>15032</v>
      </c>
      <c r="F2776" s="95" t="s">
        <v>15033</v>
      </c>
      <c r="I2776" s="32"/>
      <c r="J2776" s="32"/>
      <c r="K2776" s="88" t="s">
        <v>15029</v>
      </c>
      <c r="L2776" s="85" t="s">
        <v>15034</v>
      </c>
      <c r="N2776" s="45" t="s">
        <v>15035</v>
      </c>
      <c r="O2776" s="93"/>
    </row>
    <row r="2777">
      <c r="A2777" s="38"/>
      <c r="B2777" s="87" t="s">
        <v>15036</v>
      </c>
      <c r="C2777" s="84" t="s">
        <v>15037</v>
      </c>
      <c r="D2777" s="95" t="s">
        <v>15038</v>
      </c>
      <c r="E2777" s="32"/>
      <c r="F2777" s="95" t="s">
        <v>15039</v>
      </c>
      <c r="I2777" s="32"/>
      <c r="J2777" s="32"/>
      <c r="K2777" s="88" t="s">
        <v>15036</v>
      </c>
      <c r="L2777" s="85" t="s">
        <v>15040</v>
      </c>
      <c r="N2777" s="45" t="s">
        <v>15041</v>
      </c>
      <c r="O2777" s="93"/>
    </row>
    <row r="2778">
      <c r="A2778" s="38"/>
      <c r="B2778" s="87" t="s">
        <v>15042</v>
      </c>
      <c r="C2778" s="84" t="s">
        <v>15043</v>
      </c>
      <c r="D2778" s="95" t="s">
        <v>15044</v>
      </c>
      <c r="E2778" s="96" t="s">
        <v>15045</v>
      </c>
      <c r="F2778" s="95" t="s">
        <v>15046</v>
      </c>
      <c r="I2778" s="32"/>
      <c r="J2778" s="32"/>
      <c r="K2778" s="88" t="s">
        <v>15042</v>
      </c>
      <c r="L2778" s="85" t="s">
        <v>15047</v>
      </c>
      <c r="N2778" s="45" t="s">
        <v>15048</v>
      </c>
      <c r="O2778" s="93"/>
    </row>
    <row r="2779">
      <c r="A2779" s="38"/>
      <c r="B2779" s="87" t="s">
        <v>15049</v>
      </c>
      <c r="C2779" s="84" t="s">
        <v>15050</v>
      </c>
      <c r="D2779" s="32" t="s">
        <v>15051</v>
      </c>
      <c r="E2779" s="98" t="s">
        <v>15052</v>
      </c>
      <c r="F2779" s="99" t="s">
        <v>15053</v>
      </c>
      <c r="I2779" s="32"/>
      <c r="J2779" s="32"/>
      <c r="K2779" s="88" t="s">
        <v>15049</v>
      </c>
      <c r="L2779" s="85" t="s">
        <v>15054</v>
      </c>
      <c r="N2779" s="100" t="s">
        <v>15055</v>
      </c>
      <c r="O2779" s="101"/>
    </row>
    <row r="2780">
      <c r="A2780" s="38"/>
      <c r="B2780" s="77" t="s">
        <v>15056</v>
      </c>
      <c r="C2780" s="81" t="s">
        <v>11377</v>
      </c>
      <c r="D2780" s="32" t="s">
        <v>15057</v>
      </c>
      <c r="E2780" s="98" t="s">
        <v>15058</v>
      </c>
      <c r="F2780" s="32" t="s">
        <v>15059</v>
      </c>
      <c r="I2780" s="32"/>
      <c r="J2780" s="32"/>
      <c r="K2780" s="45" t="s">
        <v>15056</v>
      </c>
      <c r="L2780" s="82" t="s">
        <v>15060</v>
      </c>
      <c r="N2780" s="45" t="s">
        <v>15061</v>
      </c>
      <c r="O2780" s="93"/>
    </row>
    <row r="2781">
      <c r="A2781" s="38"/>
      <c r="B2781" s="102" t="s">
        <v>15062</v>
      </c>
      <c r="C2781" s="67" t="s">
        <v>13541</v>
      </c>
      <c r="D2781" s="32" t="s">
        <v>15063</v>
      </c>
      <c r="E2781" s="98" t="s">
        <v>15064</v>
      </c>
      <c r="F2781" s="32" t="s">
        <v>15065</v>
      </c>
      <c r="I2781" s="32"/>
      <c r="J2781" s="32"/>
      <c r="K2781" s="45" t="s">
        <v>15062</v>
      </c>
      <c r="L2781" s="82" t="s">
        <v>15066</v>
      </c>
      <c r="N2781" s="100" t="s">
        <v>15067</v>
      </c>
      <c r="O2781" s="93"/>
    </row>
    <row r="2782">
      <c r="A2782" s="38"/>
      <c r="B2782" s="77" t="s">
        <v>15068</v>
      </c>
      <c r="C2782" s="81" t="s">
        <v>15069</v>
      </c>
      <c r="D2782" s="32" t="s">
        <v>15070</v>
      </c>
      <c r="E2782" s="98" t="s">
        <v>15071</v>
      </c>
      <c r="F2782" s="32" t="s">
        <v>15072</v>
      </c>
      <c r="I2782" s="32"/>
      <c r="J2782" s="32"/>
      <c r="K2782" s="45" t="s">
        <v>15068</v>
      </c>
      <c r="L2782" s="82" t="s">
        <v>15073</v>
      </c>
      <c r="N2782" s="100" t="s">
        <v>15074</v>
      </c>
      <c r="O2782" s="94" t="s">
        <v>15075</v>
      </c>
    </row>
    <row r="2783">
      <c r="A2783" s="38"/>
      <c r="B2783" s="77" t="s">
        <v>15076</v>
      </c>
      <c r="C2783" s="81" t="s">
        <v>1236</v>
      </c>
      <c r="D2783" s="32" t="s">
        <v>15077</v>
      </c>
      <c r="E2783" s="103" t="s">
        <v>15078</v>
      </c>
      <c r="F2783" s="32" t="s">
        <v>15079</v>
      </c>
      <c r="I2783" s="32"/>
      <c r="J2783" s="32"/>
      <c r="K2783" s="45" t="s">
        <v>15076</v>
      </c>
      <c r="L2783" s="82" t="s">
        <v>15080</v>
      </c>
      <c r="N2783" s="100" t="s">
        <v>15081</v>
      </c>
      <c r="O2783" s="93"/>
    </row>
    <row r="2784">
      <c r="A2784" s="38"/>
      <c r="B2784" s="77" t="s">
        <v>15082</v>
      </c>
      <c r="C2784" s="81" t="s">
        <v>9945</v>
      </c>
      <c r="D2784" s="32" t="s">
        <v>15083</v>
      </c>
      <c r="E2784" s="103" t="s">
        <v>15084</v>
      </c>
      <c r="F2784" s="32" t="s">
        <v>15085</v>
      </c>
      <c r="I2784" s="32"/>
      <c r="J2784" s="32"/>
      <c r="K2784" s="45" t="s">
        <v>15082</v>
      </c>
      <c r="L2784" s="82" t="s">
        <v>15086</v>
      </c>
      <c r="N2784" s="100" t="s">
        <v>15087</v>
      </c>
      <c r="O2784" s="93"/>
    </row>
    <row r="2785">
      <c r="A2785" s="38"/>
      <c r="B2785" s="77" t="s">
        <v>15088</v>
      </c>
      <c r="C2785" s="81" t="s">
        <v>12479</v>
      </c>
      <c r="D2785" s="32" t="s">
        <v>15089</v>
      </c>
      <c r="E2785" s="103" t="s">
        <v>15090</v>
      </c>
      <c r="F2785" s="32" t="s">
        <v>15091</v>
      </c>
      <c r="I2785" s="32"/>
      <c r="J2785" s="32"/>
      <c r="K2785" s="45" t="s">
        <v>15088</v>
      </c>
      <c r="L2785" s="82" t="s">
        <v>15092</v>
      </c>
      <c r="N2785" s="45" t="s">
        <v>15093</v>
      </c>
      <c r="O2785" s="94" t="s">
        <v>15094</v>
      </c>
    </row>
    <row r="2786">
      <c r="A2786" s="38"/>
      <c r="B2786" s="77" t="s">
        <v>15095</v>
      </c>
      <c r="C2786" s="81" t="s">
        <v>4890</v>
      </c>
      <c r="D2786" s="32" t="s">
        <v>15096</v>
      </c>
      <c r="E2786" s="32"/>
      <c r="F2786" s="32" t="s">
        <v>15097</v>
      </c>
      <c r="I2786" s="32"/>
      <c r="J2786" s="32"/>
      <c r="K2786" s="45" t="s">
        <v>15095</v>
      </c>
      <c r="L2786" s="82" t="s">
        <v>15098</v>
      </c>
      <c r="N2786" s="45" t="s">
        <v>15099</v>
      </c>
      <c r="O2786" s="86" t="s">
        <v>15100</v>
      </c>
    </row>
    <row r="2787">
      <c r="A2787" s="38"/>
      <c r="B2787" s="87" t="s">
        <v>15101</v>
      </c>
      <c r="C2787" s="87" t="s">
        <v>14792</v>
      </c>
      <c r="D2787" s="32" t="s">
        <v>15102</v>
      </c>
      <c r="E2787" s="98" t="s">
        <v>15103</v>
      </c>
      <c r="F2787" s="32" t="s">
        <v>15104</v>
      </c>
      <c r="I2787" s="32"/>
      <c r="J2787" s="32"/>
      <c r="K2787" s="88" t="s">
        <v>15101</v>
      </c>
      <c r="L2787" s="88" t="s">
        <v>14794</v>
      </c>
      <c r="N2787" s="45" t="s">
        <v>15105</v>
      </c>
      <c r="O2787" s="86" t="s">
        <v>15106</v>
      </c>
    </row>
    <row r="2788">
      <c r="A2788" s="38"/>
      <c r="B2788" s="87" t="s">
        <v>15107</v>
      </c>
      <c r="C2788" s="87" t="s">
        <v>15108</v>
      </c>
      <c r="D2788" s="32" t="s">
        <v>15109</v>
      </c>
      <c r="E2788" s="32"/>
      <c r="F2788" s="32" t="s">
        <v>15110</v>
      </c>
      <c r="I2788" s="32"/>
      <c r="J2788" s="32"/>
      <c r="K2788" s="88" t="s">
        <v>15107</v>
      </c>
      <c r="L2788" s="88" t="s">
        <v>15111</v>
      </c>
      <c r="N2788" s="104" t="s">
        <v>15112</v>
      </c>
      <c r="O2788" s="86" t="s">
        <v>15113</v>
      </c>
    </row>
    <row r="2789">
      <c r="A2789" s="38"/>
      <c r="B2789" s="87" t="s">
        <v>15114</v>
      </c>
      <c r="C2789" s="87" t="s">
        <v>15115</v>
      </c>
      <c r="D2789" s="32" t="s">
        <v>15116</v>
      </c>
      <c r="E2789" s="98" t="s">
        <v>15117</v>
      </c>
      <c r="F2789" s="32" t="s">
        <v>15118</v>
      </c>
      <c r="I2789" s="32"/>
      <c r="J2789" s="32"/>
      <c r="K2789" s="88" t="s">
        <v>15114</v>
      </c>
      <c r="L2789" s="88" t="s">
        <v>15119</v>
      </c>
      <c r="N2789" s="104" t="s">
        <v>15120</v>
      </c>
      <c r="O2789" s="95"/>
    </row>
    <row r="2790">
      <c r="A2790" s="38"/>
      <c r="B2790" s="84" t="s">
        <v>15121</v>
      </c>
      <c r="C2790" s="81" t="s">
        <v>12445</v>
      </c>
      <c r="D2790" s="32" t="s">
        <v>15122</v>
      </c>
      <c r="E2790" s="32"/>
      <c r="F2790" s="99" t="s">
        <v>15123</v>
      </c>
      <c r="I2790" s="32"/>
      <c r="J2790" s="32"/>
      <c r="K2790" s="85" t="s">
        <v>15121</v>
      </c>
      <c r="L2790" s="82" t="s">
        <v>15124</v>
      </c>
      <c r="N2790" s="104" t="s">
        <v>15125</v>
      </c>
      <c r="O2790" s="105" t="s">
        <v>15126</v>
      </c>
    </row>
    <row r="2791">
      <c r="A2791" s="38"/>
      <c r="B2791" s="77" t="s">
        <v>15127</v>
      </c>
      <c r="C2791" s="81" t="s">
        <v>15128</v>
      </c>
      <c r="D2791" s="32" t="s">
        <v>15129</v>
      </c>
      <c r="E2791" s="103" t="s">
        <v>15130</v>
      </c>
      <c r="F2791" s="99" t="s">
        <v>15131</v>
      </c>
      <c r="I2791" s="32"/>
      <c r="J2791" s="32"/>
      <c r="K2791" s="45" t="s">
        <v>15127</v>
      </c>
      <c r="L2791" s="82" t="s">
        <v>15132</v>
      </c>
      <c r="N2791" s="104" t="s">
        <v>15133</v>
      </c>
      <c r="O2791" s="105" t="s">
        <v>15134</v>
      </c>
    </row>
    <row r="2792">
      <c r="A2792" s="38"/>
      <c r="B2792" s="77" t="s">
        <v>15135</v>
      </c>
      <c r="C2792" s="81" t="s">
        <v>12705</v>
      </c>
      <c r="D2792" s="32" t="s">
        <v>15136</v>
      </c>
      <c r="E2792" s="98" t="s">
        <v>15137</v>
      </c>
      <c r="F2792" s="32" t="s">
        <v>15138</v>
      </c>
      <c r="I2792" s="32"/>
      <c r="J2792" s="32"/>
      <c r="K2792" s="45" t="s">
        <v>15135</v>
      </c>
      <c r="L2792" s="82" t="s">
        <v>15139</v>
      </c>
      <c r="N2792" s="104" t="s">
        <v>15140</v>
      </c>
      <c r="O2792" s="105" t="s">
        <v>15141</v>
      </c>
    </row>
    <row r="2793">
      <c r="A2793" s="38"/>
      <c r="B2793" s="77" t="s">
        <v>15142</v>
      </c>
      <c r="C2793" s="81" t="s">
        <v>12838</v>
      </c>
      <c r="D2793" s="32" t="s">
        <v>15143</v>
      </c>
      <c r="E2793" s="98" t="s">
        <v>15144</v>
      </c>
      <c r="F2793" s="32" t="s">
        <v>15145</v>
      </c>
      <c r="I2793" s="32"/>
      <c r="J2793" s="32"/>
      <c r="K2793" s="45" t="s">
        <v>15142</v>
      </c>
      <c r="L2793" s="82" t="s">
        <v>15146</v>
      </c>
      <c r="N2793" s="104" t="s">
        <v>15147</v>
      </c>
      <c r="O2793" s="105" t="s">
        <v>15148</v>
      </c>
    </row>
    <row r="2794">
      <c r="A2794" s="38"/>
      <c r="B2794" s="77" t="s">
        <v>15149</v>
      </c>
      <c r="C2794" s="81" t="s">
        <v>5602</v>
      </c>
      <c r="D2794" s="32" t="s">
        <v>15150</v>
      </c>
      <c r="E2794" s="98" t="s">
        <v>15151</v>
      </c>
      <c r="F2794" s="32" t="s">
        <v>11545</v>
      </c>
      <c r="I2794" s="32"/>
      <c r="J2794" s="32"/>
      <c r="K2794" s="45" t="s">
        <v>15149</v>
      </c>
      <c r="L2794" s="82" t="s">
        <v>15152</v>
      </c>
      <c r="N2794" s="32" t="s">
        <v>15153</v>
      </c>
      <c r="O2794" s="106" t="s">
        <v>15154</v>
      </c>
    </row>
    <row r="2795">
      <c r="A2795" s="38"/>
      <c r="B2795" s="77" t="s">
        <v>15155</v>
      </c>
      <c r="C2795" s="81" t="s">
        <v>400</v>
      </c>
      <c r="D2795" s="32" t="s">
        <v>15156</v>
      </c>
      <c r="E2795" s="98" t="s">
        <v>15157</v>
      </c>
      <c r="F2795" s="32" t="s">
        <v>15158</v>
      </c>
      <c r="I2795" s="32"/>
      <c r="J2795" s="32"/>
      <c r="K2795" s="45" t="s">
        <v>15155</v>
      </c>
      <c r="L2795" s="82" t="s">
        <v>15159</v>
      </c>
      <c r="N2795" s="32" t="s">
        <v>15160</v>
      </c>
      <c r="O2795" s="106" t="s">
        <v>15161</v>
      </c>
    </row>
    <row r="2796">
      <c r="A2796" s="38"/>
      <c r="B2796" s="77" t="s">
        <v>15162</v>
      </c>
      <c r="C2796" s="81" t="s">
        <v>15163</v>
      </c>
      <c r="D2796" s="32" t="s">
        <v>15164</v>
      </c>
      <c r="E2796" s="98" t="s">
        <v>15165</v>
      </c>
      <c r="F2796" s="32" t="s">
        <v>15166</v>
      </c>
      <c r="I2796" s="32"/>
      <c r="J2796" s="32"/>
      <c r="K2796" s="45" t="s">
        <v>15162</v>
      </c>
      <c r="L2796" s="82" t="s">
        <v>15167</v>
      </c>
      <c r="N2796" s="39" t="s">
        <v>15168</v>
      </c>
      <c r="O2796" s="97" t="s">
        <v>15169</v>
      </c>
    </row>
    <row r="2797">
      <c r="A2797" s="38"/>
      <c r="B2797" s="77" t="s">
        <v>15170</v>
      </c>
      <c r="C2797" s="81" t="s">
        <v>11026</v>
      </c>
      <c r="D2797" s="32" t="s">
        <v>15171</v>
      </c>
      <c r="E2797" s="32"/>
      <c r="F2797" s="99" t="s">
        <v>15172</v>
      </c>
      <c r="I2797" s="32"/>
      <c r="J2797" s="32"/>
      <c r="K2797" s="45" t="s">
        <v>15173</v>
      </c>
      <c r="L2797" s="82" t="s">
        <v>15174</v>
      </c>
      <c r="N2797" s="32" t="s">
        <v>15175</v>
      </c>
      <c r="O2797" s="106" t="s">
        <v>15176</v>
      </c>
    </row>
    <row r="2798">
      <c r="A2798" s="38"/>
      <c r="B2798" s="77" t="s">
        <v>15173</v>
      </c>
      <c r="C2798" s="81" t="s">
        <v>2457</v>
      </c>
      <c r="D2798" s="32" t="s">
        <v>15177</v>
      </c>
      <c r="E2798" s="98" t="s">
        <v>15178</v>
      </c>
      <c r="F2798" s="99" t="s">
        <v>15179</v>
      </c>
      <c r="I2798" s="32"/>
      <c r="J2798" s="32"/>
      <c r="K2798" s="45" t="s">
        <v>15180</v>
      </c>
      <c r="L2798" s="82" t="s">
        <v>15181</v>
      </c>
      <c r="N2798" s="32" t="s">
        <v>15182</v>
      </c>
      <c r="O2798" s="106" t="s">
        <v>15183</v>
      </c>
    </row>
    <row r="2799">
      <c r="A2799" s="38"/>
      <c r="B2799" s="77" t="s">
        <v>15180</v>
      </c>
      <c r="C2799" s="81" t="s">
        <v>15184</v>
      </c>
      <c r="D2799" s="32" t="s">
        <v>15185</v>
      </c>
      <c r="E2799" s="100" t="s">
        <v>15186</v>
      </c>
      <c r="F2799" s="32"/>
      <c r="I2799" s="32"/>
      <c r="J2799" s="32"/>
      <c r="K2799" s="45" t="s">
        <v>15187</v>
      </c>
      <c r="L2799" s="82" t="s">
        <v>15188</v>
      </c>
      <c r="N2799" s="32" t="s">
        <v>15189</v>
      </c>
      <c r="O2799" s="105" t="s">
        <v>15190</v>
      </c>
    </row>
    <row r="2800">
      <c r="A2800" s="38"/>
      <c r="B2800" s="77" t="s">
        <v>15187</v>
      </c>
      <c r="C2800" s="81" t="s">
        <v>1651</v>
      </c>
      <c r="D2800" s="32" t="s">
        <v>15191</v>
      </c>
      <c r="E2800" s="107" t="s">
        <v>15192</v>
      </c>
      <c r="F2800" s="100" t="s">
        <v>15193</v>
      </c>
      <c r="I2800" s="32"/>
      <c r="J2800" s="32"/>
      <c r="K2800" s="45" t="s">
        <v>15194</v>
      </c>
      <c r="L2800" s="82" t="s">
        <v>15195</v>
      </c>
      <c r="N2800" s="39" t="s">
        <v>15196</v>
      </c>
      <c r="O2800" s="97" t="s">
        <v>15197</v>
      </c>
    </row>
    <row r="2801">
      <c r="A2801" s="38"/>
      <c r="B2801" s="77" t="s">
        <v>15194</v>
      </c>
      <c r="C2801" s="81" t="s">
        <v>15198</v>
      </c>
      <c r="D2801" s="32" t="s">
        <v>15199</v>
      </c>
      <c r="E2801" s="100" t="s">
        <v>15200</v>
      </c>
      <c r="F2801" s="100" t="s">
        <v>15201</v>
      </c>
      <c r="I2801" s="32"/>
      <c r="J2801" s="32"/>
      <c r="K2801" s="45" t="s">
        <v>15202</v>
      </c>
      <c r="L2801" s="82" t="s">
        <v>15203</v>
      </c>
      <c r="N2801" s="32" t="s">
        <v>15204</v>
      </c>
      <c r="O2801" s="97" t="s">
        <v>15205</v>
      </c>
    </row>
    <row r="2802">
      <c r="A2802" s="38"/>
      <c r="B2802" s="77" t="s">
        <v>15202</v>
      </c>
      <c r="C2802" s="81" t="s">
        <v>15206</v>
      </c>
      <c r="D2802" s="32" t="s">
        <v>15207</v>
      </c>
      <c r="E2802" s="107" t="s">
        <v>15208</v>
      </c>
      <c r="F2802" s="100" t="s">
        <v>15209</v>
      </c>
      <c r="I2802" s="32"/>
      <c r="J2802" s="32"/>
      <c r="K2802" s="45" t="s">
        <v>15210</v>
      </c>
      <c r="L2802" s="82" t="s">
        <v>15211</v>
      </c>
      <c r="N2802" s="32" t="s">
        <v>15212</v>
      </c>
      <c r="O2802" s="95"/>
    </row>
    <row r="2803">
      <c r="A2803" s="38"/>
      <c r="B2803" s="77" t="s">
        <v>15210</v>
      </c>
      <c r="C2803" s="81" t="s">
        <v>15213</v>
      </c>
      <c r="D2803" s="95" t="s">
        <v>15214</v>
      </c>
      <c r="E2803" s="108" t="s">
        <v>15215</v>
      </c>
      <c r="F2803" s="109" t="s">
        <v>15216</v>
      </c>
      <c r="I2803" s="32"/>
      <c r="J2803" s="32"/>
      <c r="K2803" s="45" t="s">
        <v>15217</v>
      </c>
      <c r="L2803" s="82" t="s">
        <v>15218</v>
      </c>
      <c r="N2803" s="32" t="s">
        <v>15219</v>
      </c>
      <c r="O2803" s="95"/>
    </row>
    <row r="2804">
      <c r="A2804" s="38"/>
      <c r="B2804" s="77" t="s">
        <v>15217</v>
      </c>
      <c r="C2804" s="81" t="s">
        <v>15220</v>
      </c>
      <c r="D2804" s="32" t="s">
        <v>15221</v>
      </c>
      <c r="E2804" s="107" t="s">
        <v>15222</v>
      </c>
      <c r="F2804" s="100" t="s">
        <v>15223</v>
      </c>
      <c r="I2804" s="32"/>
      <c r="J2804" s="32"/>
      <c r="K2804" s="88" t="s">
        <v>15170</v>
      </c>
      <c r="L2804" s="82" t="s">
        <v>15224</v>
      </c>
      <c r="N2804" s="32" t="s">
        <v>15225</v>
      </c>
      <c r="O2804" s="97" t="s">
        <v>15226</v>
      </c>
    </row>
    <row r="2805">
      <c r="A2805" s="38"/>
      <c r="B2805" s="87" t="s">
        <v>15227</v>
      </c>
      <c r="C2805" s="81" t="s">
        <v>15228</v>
      </c>
      <c r="D2805" s="32" t="s">
        <v>15229</v>
      </c>
      <c r="E2805" s="32"/>
      <c r="F2805" s="100" t="s">
        <v>15230</v>
      </c>
      <c r="I2805" s="32"/>
      <c r="J2805" s="32"/>
      <c r="K2805" s="88" t="s">
        <v>15227</v>
      </c>
      <c r="L2805" s="82" t="s">
        <v>15231</v>
      </c>
      <c r="N2805" s="32" t="s">
        <v>15232</v>
      </c>
      <c r="O2805" s="97" t="s">
        <v>15233</v>
      </c>
    </row>
    <row r="2806">
      <c r="A2806" s="38"/>
      <c r="B2806" s="87" t="s">
        <v>15234</v>
      </c>
      <c r="C2806" s="81" t="s">
        <v>15235</v>
      </c>
      <c r="D2806" s="32" t="s">
        <v>15236</v>
      </c>
      <c r="E2806" s="107" t="s">
        <v>15237</v>
      </c>
      <c r="F2806" s="100" t="s">
        <v>15238</v>
      </c>
      <c r="I2806" s="32"/>
      <c r="J2806" s="32"/>
      <c r="K2806" s="88" t="s">
        <v>15234</v>
      </c>
      <c r="L2806" s="82" t="s">
        <v>15239</v>
      </c>
      <c r="N2806" s="32" t="s">
        <v>15240</v>
      </c>
      <c r="O2806" s="95"/>
    </row>
    <row r="2807">
      <c r="A2807" s="38"/>
      <c r="B2807" s="87" t="s">
        <v>15241</v>
      </c>
      <c r="C2807" s="81" t="s">
        <v>15242</v>
      </c>
      <c r="D2807" s="32" t="s">
        <v>15243</v>
      </c>
      <c r="E2807" s="32"/>
      <c r="F2807" s="100" t="s">
        <v>15244</v>
      </c>
      <c r="I2807" s="32"/>
      <c r="J2807" s="32"/>
      <c r="K2807" s="88" t="s">
        <v>15241</v>
      </c>
      <c r="L2807" s="82" t="s">
        <v>15245</v>
      </c>
      <c r="N2807" s="32" t="s">
        <v>15246</v>
      </c>
      <c r="O2807" s="95"/>
    </row>
    <row r="2808">
      <c r="A2808" s="38"/>
      <c r="B2808" s="87" t="s">
        <v>15247</v>
      </c>
      <c r="C2808" s="81" t="s">
        <v>15248</v>
      </c>
      <c r="D2808" s="32" t="s">
        <v>15249</v>
      </c>
      <c r="E2808" s="107" t="s">
        <v>15250</v>
      </c>
      <c r="F2808" s="100" t="s">
        <v>15251</v>
      </c>
      <c r="I2808" s="32"/>
      <c r="J2808" s="32"/>
      <c r="K2808" s="88" t="s">
        <v>15247</v>
      </c>
      <c r="L2808" s="82" t="s">
        <v>15252</v>
      </c>
      <c r="N2808" s="32" t="s">
        <v>15253</v>
      </c>
      <c r="O2808" s="97" t="s">
        <v>15254</v>
      </c>
    </row>
    <row r="2809">
      <c r="A2809" s="38"/>
      <c r="B2809" s="87" t="s">
        <v>15255</v>
      </c>
      <c r="C2809" s="81" t="s">
        <v>12869</v>
      </c>
      <c r="D2809" s="32" t="s">
        <v>15256</v>
      </c>
      <c r="E2809" s="107" t="s">
        <v>15257</v>
      </c>
      <c r="F2809" s="100" t="s">
        <v>15258</v>
      </c>
      <c r="I2809" s="32"/>
      <c r="J2809" s="32"/>
      <c r="K2809" s="88" t="s">
        <v>15255</v>
      </c>
      <c r="L2809" s="82" t="s">
        <v>15259</v>
      </c>
      <c r="N2809" s="32" t="s">
        <v>15260</v>
      </c>
      <c r="O2809" s="95"/>
    </row>
    <row r="2810">
      <c r="A2810" s="38"/>
      <c r="B2810" s="87" t="s">
        <v>15261</v>
      </c>
      <c r="C2810" s="81" t="s">
        <v>15262</v>
      </c>
      <c r="D2810" s="32" t="s">
        <v>15263</v>
      </c>
      <c r="E2810" s="107" t="s">
        <v>15264</v>
      </c>
      <c r="F2810" s="100" t="s">
        <v>15265</v>
      </c>
      <c r="I2810" s="32"/>
      <c r="J2810" s="32"/>
      <c r="K2810" s="88" t="s">
        <v>15261</v>
      </c>
      <c r="L2810" s="82" t="s">
        <v>15266</v>
      </c>
      <c r="N2810" s="32" t="s">
        <v>15267</v>
      </c>
      <c r="O2810" s="106" t="s">
        <v>15268</v>
      </c>
    </row>
    <row r="2811">
      <c r="A2811" s="38"/>
      <c r="B2811" s="87" t="s">
        <v>15269</v>
      </c>
      <c r="C2811" s="81" t="s">
        <v>15270</v>
      </c>
      <c r="D2811" s="32" t="s">
        <v>15271</v>
      </c>
      <c r="E2811" s="107" t="s">
        <v>15272</v>
      </c>
      <c r="F2811" s="100" t="s">
        <v>15273</v>
      </c>
      <c r="I2811" s="32"/>
      <c r="J2811" s="32"/>
      <c r="K2811" s="88" t="s">
        <v>15269</v>
      </c>
      <c r="L2811" s="82" t="s">
        <v>15274</v>
      </c>
      <c r="N2811" s="32" t="s">
        <v>15275</v>
      </c>
      <c r="O2811" s="97" t="s">
        <v>15276</v>
      </c>
    </row>
    <row r="2812">
      <c r="A2812" s="38"/>
      <c r="B2812" s="87" t="s">
        <v>15277</v>
      </c>
      <c r="C2812" s="81" t="s">
        <v>15278</v>
      </c>
      <c r="D2812" s="32" t="s">
        <v>15279</v>
      </c>
      <c r="E2812" s="107" t="s">
        <v>15280</v>
      </c>
      <c r="F2812" s="100" t="s">
        <v>15281</v>
      </c>
      <c r="I2812" s="32"/>
      <c r="J2812" s="32"/>
      <c r="K2812" s="88" t="s">
        <v>15277</v>
      </c>
      <c r="L2812" s="82" t="s">
        <v>15282</v>
      </c>
      <c r="N2812" s="32" t="s">
        <v>15283</v>
      </c>
      <c r="O2812" s="106" t="s">
        <v>15284</v>
      </c>
    </row>
    <row r="2813">
      <c r="A2813" s="38"/>
      <c r="B2813" s="87" t="s">
        <v>15285</v>
      </c>
      <c r="C2813" s="81" t="s">
        <v>15286</v>
      </c>
      <c r="D2813" s="32" t="s">
        <v>15287</v>
      </c>
      <c r="E2813" s="39"/>
      <c r="F2813" s="100" t="s">
        <v>5561</v>
      </c>
      <c r="I2813" s="32"/>
      <c r="J2813" s="32"/>
      <c r="K2813" s="88" t="s">
        <v>15285</v>
      </c>
      <c r="L2813" s="82" t="s">
        <v>15288</v>
      </c>
      <c r="N2813" s="32" t="s">
        <v>15289</v>
      </c>
      <c r="O2813" s="106" t="s">
        <v>15290</v>
      </c>
    </row>
    <row r="2814">
      <c r="A2814" s="38"/>
      <c r="B2814" s="87" t="s">
        <v>15291</v>
      </c>
      <c r="C2814" s="81" t="s">
        <v>15292</v>
      </c>
      <c r="D2814" s="8" t="s">
        <v>15293</v>
      </c>
      <c r="E2814" s="97" t="s">
        <v>15294</v>
      </c>
      <c r="F2814" s="110" t="s">
        <v>15295</v>
      </c>
      <c r="I2814" s="32"/>
      <c r="J2814" s="32"/>
      <c r="K2814" s="88" t="s">
        <v>15291</v>
      </c>
      <c r="L2814" s="82" t="s">
        <v>15296</v>
      </c>
      <c r="N2814" s="32" t="s">
        <v>15297</v>
      </c>
      <c r="O2814" s="106" t="s">
        <v>15298</v>
      </c>
    </row>
    <row r="2815">
      <c r="A2815" s="38"/>
      <c r="B2815" s="87" t="s">
        <v>15299</v>
      </c>
      <c r="C2815" s="81" t="s">
        <v>15300</v>
      </c>
      <c r="D2815" s="8" t="s">
        <v>15301</v>
      </c>
      <c r="E2815" s="79" t="s">
        <v>15302</v>
      </c>
      <c r="F2815" s="110" t="s">
        <v>15303</v>
      </c>
      <c r="I2815" s="32"/>
      <c r="J2815" s="32"/>
      <c r="K2815" s="88" t="s">
        <v>15299</v>
      </c>
      <c r="L2815" s="82" t="s">
        <v>15304</v>
      </c>
      <c r="N2815" s="32" t="s">
        <v>15305</v>
      </c>
      <c r="O2815" s="83"/>
    </row>
    <row r="2816">
      <c r="A2816" s="38"/>
      <c r="B2816" s="87" t="s">
        <v>15306</v>
      </c>
      <c r="C2816" s="81" t="s">
        <v>15307</v>
      </c>
      <c r="D2816" s="8" t="s">
        <v>15308</v>
      </c>
      <c r="E2816" s="105" t="s">
        <v>15309</v>
      </c>
      <c r="F2816" s="110" t="s">
        <v>15310</v>
      </c>
      <c r="I2816" s="32"/>
      <c r="J2816" s="32"/>
      <c r="K2816" s="88" t="s">
        <v>15306</v>
      </c>
      <c r="L2816" s="82" t="s">
        <v>15311</v>
      </c>
      <c r="N2816" s="32" t="s">
        <v>15312</v>
      </c>
      <c r="O2816" s="111" t="s">
        <v>15313</v>
      </c>
    </row>
    <row r="2817">
      <c r="A2817" s="38"/>
      <c r="B2817" s="87" t="s">
        <v>15314</v>
      </c>
      <c r="C2817" s="81" t="s">
        <v>6822</v>
      </c>
      <c r="D2817" s="8" t="s">
        <v>15315</v>
      </c>
      <c r="E2817" s="64"/>
      <c r="F2817" s="110" t="s">
        <v>15316</v>
      </c>
      <c r="I2817" s="32"/>
      <c r="J2817" s="32"/>
      <c r="K2817" s="88" t="s">
        <v>15314</v>
      </c>
      <c r="L2817" s="82" t="s">
        <v>15317</v>
      </c>
      <c r="N2817" s="32" t="s">
        <v>15318</v>
      </c>
      <c r="O2817" s="106" t="s">
        <v>15319</v>
      </c>
    </row>
    <row r="2818">
      <c r="A2818" s="38"/>
      <c r="B2818" s="87" t="s">
        <v>15320</v>
      </c>
      <c r="C2818" s="81" t="s">
        <v>1168</v>
      </c>
      <c r="D2818" s="32" t="s">
        <v>15321</v>
      </c>
      <c r="E2818" s="107" t="s">
        <v>15322</v>
      </c>
      <c r="F2818" s="101" t="s">
        <v>15323</v>
      </c>
      <c r="I2818" s="32"/>
      <c r="J2818" s="32"/>
      <c r="K2818" s="88" t="s">
        <v>15320</v>
      </c>
      <c r="L2818" s="82" t="s">
        <v>15324</v>
      </c>
      <c r="N2818" s="32" t="s">
        <v>15325</v>
      </c>
      <c r="O2818" s="106" t="s">
        <v>15326</v>
      </c>
    </row>
    <row r="2819">
      <c r="A2819" s="38"/>
      <c r="B2819" s="87" t="s">
        <v>15327</v>
      </c>
      <c r="C2819" s="81" t="s">
        <v>15328</v>
      </c>
      <c r="D2819" s="32" t="s">
        <v>15329</v>
      </c>
      <c r="E2819" s="107" t="s">
        <v>15330</v>
      </c>
      <c r="F2819" s="101" t="s">
        <v>15331</v>
      </c>
      <c r="I2819" s="32"/>
      <c r="J2819" s="32"/>
      <c r="K2819" s="88" t="s">
        <v>15327</v>
      </c>
      <c r="L2819" s="82" t="s">
        <v>15332</v>
      </c>
      <c r="N2819" s="39" t="s">
        <v>15333</v>
      </c>
      <c r="O2819" s="83"/>
    </row>
    <row r="2820">
      <c r="A2820" s="38"/>
      <c r="B2820" s="87" t="s">
        <v>15334</v>
      </c>
      <c r="C2820" s="81" t="s">
        <v>15335</v>
      </c>
      <c r="D2820" s="32" t="s">
        <v>15336</v>
      </c>
      <c r="E2820" s="107" t="s">
        <v>15337</v>
      </c>
      <c r="F2820" s="101" t="s">
        <v>15338</v>
      </c>
      <c r="I2820" s="32"/>
      <c r="J2820" s="32"/>
      <c r="K2820" s="88" t="s">
        <v>15334</v>
      </c>
      <c r="L2820" s="82" t="s">
        <v>15339</v>
      </c>
      <c r="N2820" s="32" t="s">
        <v>15340</v>
      </c>
      <c r="O2820" s="95"/>
    </row>
    <row r="2821">
      <c r="A2821" s="38"/>
      <c r="B2821" s="87" t="s">
        <v>15341</v>
      </c>
      <c r="C2821" s="81" t="s">
        <v>15342</v>
      </c>
      <c r="D2821" s="32" t="s">
        <v>15343</v>
      </c>
      <c r="E2821" s="107" t="s">
        <v>15344</v>
      </c>
      <c r="F2821" s="101" t="s">
        <v>15345</v>
      </c>
      <c r="I2821" s="32"/>
      <c r="J2821" s="32"/>
      <c r="K2821" s="88" t="s">
        <v>15341</v>
      </c>
      <c r="L2821" s="82" t="s">
        <v>15346</v>
      </c>
      <c r="N2821" s="32" t="s">
        <v>15347</v>
      </c>
      <c r="O2821" s="105" t="s">
        <v>15348</v>
      </c>
    </row>
    <row r="2822">
      <c r="A2822" s="38"/>
      <c r="B2822" s="87" t="s">
        <v>15349</v>
      </c>
      <c r="C2822" s="81" t="s">
        <v>15350</v>
      </c>
      <c r="D2822" s="32" t="s">
        <v>15351</v>
      </c>
      <c r="E2822" s="112" t="s">
        <v>15352</v>
      </c>
      <c r="F2822" s="101" t="s">
        <v>15353</v>
      </c>
      <c r="I2822" s="32"/>
      <c r="J2822" s="32"/>
      <c r="K2822" s="88" t="s">
        <v>15349</v>
      </c>
      <c r="L2822" s="82" t="s">
        <v>15354</v>
      </c>
      <c r="N2822" s="32" t="s">
        <v>15355</v>
      </c>
      <c r="O2822" s="95"/>
    </row>
    <row r="2823">
      <c r="A2823" s="38"/>
      <c r="B2823" s="87" t="s">
        <v>15356</v>
      </c>
      <c r="C2823" s="81" t="s">
        <v>15357</v>
      </c>
      <c r="D2823" s="8" t="s">
        <v>15358</v>
      </c>
      <c r="E2823" s="64"/>
      <c r="F2823" s="110" t="s">
        <v>12040</v>
      </c>
      <c r="I2823" s="32"/>
      <c r="J2823" s="32"/>
      <c r="K2823" s="88" t="s">
        <v>15356</v>
      </c>
      <c r="L2823" s="82" t="s">
        <v>15359</v>
      </c>
      <c r="N2823" s="32" t="s">
        <v>15360</v>
      </c>
      <c r="O2823" s="95"/>
    </row>
    <row r="2824">
      <c r="A2824" s="38"/>
      <c r="B2824" s="87" t="s">
        <v>15361</v>
      </c>
      <c r="C2824" s="81" t="s">
        <v>15362</v>
      </c>
      <c r="D2824" s="8" t="s">
        <v>15363</v>
      </c>
      <c r="E2824" s="79" t="s">
        <v>15364</v>
      </c>
      <c r="F2824" s="110" t="s">
        <v>15365</v>
      </c>
      <c r="I2824" s="32"/>
      <c r="J2824" s="32"/>
      <c r="K2824" s="88" t="s">
        <v>15361</v>
      </c>
      <c r="L2824" s="82" t="s">
        <v>15366</v>
      </c>
      <c r="N2824" s="32" t="s">
        <v>15367</v>
      </c>
      <c r="O2824" s="105" t="s">
        <v>15368</v>
      </c>
    </row>
    <row r="2825">
      <c r="A2825" s="38"/>
      <c r="B2825" s="87" t="s">
        <v>15369</v>
      </c>
      <c r="C2825" s="81" t="s">
        <v>15370</v>
      </c>
      <c r="D2825" s="8" t="s">
        <v>15371</v>
      </c>
      <c r="E2825" s="64"/>
      <c r="F2825" s="110" t="s">
        <v>15372</v>
      </c>
      <c r="I2825" s="32"/>
      <c r="J2825" s="32"/>
      <c r="K2825" s="88" t="s">
        <v>15369</v>
      </c>
      <c r="L2825" s="82" t="s">
        <v>15373</v>
      </c>
      <c r="N2825" s="32" t="s">
        <v>15374</v>
      </c>
      <c r="O2825" s="95"/>
    </row>
    <row r="2826">
      <c r="A2826" s="38"/>
      <c r="B2826" s="87" t="s">
        <v>15375</v>
      </c>
      <c r="C2826" s="81" t="s">
        <v>15376</v>
      </c>
      <c r="D2826" s="8" t="s">
        <v>15377</v>
      </c>
      <c r="E2826" s="64"/>
      <c r="F2826" s="110" t="s">
        <v>4792</v>
      </c>
      <c r="I2826" s="32"/>
      <c r="J2826" s="32"/>
      <c r="K2826" s="88" t="s">
        <v>15375</v>
      </c>
      <c r="L2826" s="82" t="s">
        <v>15378</v>
      </c>
      <c r="N2826" s="32" t="s">
        <v>15379</v>
      </c>
      <c r="O2826" s="95"/>
    </row>
    <row r="2827">
      <c r="A2827" s="38"/>
      <c r="B2827" s="87" t="s">
        <v>15380</v>
      </c>
      <c r="C2827" s="81" t="s">
        <v>15381</v>
      </c>
      <c r="D2827" s="32" t="s">
        <v>15382</v>
      </c>
      <c r="E2827" s="107" t="s">
        <v>15383</v>
      </c>
      <c r="F2827" s="101" t="s">
        <v>15384</v>
      </c>
      <c r="I2827" s="32"/>
      <c r="J2827" s="32"/>
      <c r="K2827" s="88" t="s">
        <v>15380</v>
      </c>
      <c r="L2827" s="82" t="s">
        <v>15385</v>
      </c>
      <c r="N2827" s="39" t="s">
        <v>15386</v>
      </c>
      <c r="O2827" s="113" t="s">
        <v>15387</v>
      </c>
    </row>
    <row r="2828">
      <c r="A2828" s="38"/>
      <c r="B2828" s="87" t="s">
        <v>15388</v>
      </c>
      <c r="C2828" s="81" t="s">
        <v>15389</v>
      </c>
      <c r="D2828" s="32" t="s">
        <v>15390</v>
      </c>
      <c r="E2828" s="107" t="s">
        <v>15391</v>
      </c>
      <c r="F2828" s="101" t="s">
        <v>15392</v>
      </c>
      <c r="I2828" s="32"/>
      <c r="J2828" s="32"/>
      <c r="K2828" s="88" t="s">
        <v>15388</v>
      </c>
      <c r="L2828" s="82" t="s">
        <v>15393</v>
      </c>
      <c r="N2828" s="39" t="s">
        <v>15394</v>
      </c>
      <c r="O2828" s="113" t="s">
        <v>15395</v>
      </c>
    </row>
    <row r="2829">
      <c r="A2829" s="38"/>
      <c r="B2829" s="87" t="s">
        <v>15396</v>
      </c>
      <c r="C2829" s="81" t="s">
        <v>5030</v>
      </c>
      <c r="D2829" s="32" t="s">
        <v>15397</v>
      </c>
      <c r="E2829" s="107" t="s">
        <v>15398</v>
      </c>
      <c r="F2829" s="101" t="s">
        <v>15399</v>
      </c>
      <c r="I2829" s="32"/>
      <c r="J2829" s="32"/>
      <c r="K2829" s="88" t="s">
        <v>15396</v>
      </c>
      <c r="L2829" s="82" t="s">
        <v>15400</v>
      </c>
      <c r="N2829" s="39" t="s">
        <v>15401</v>
      </c>
      <c r="O2829" s="83" t="s">
        <v>15402</v>
      </c>
    </row>
    <row r="2830">
      <c r="A2830" s="38"/>
      <c r="B2830" s="87" t="s">
        <v>15403</v>
      </c>
      <c r="C2830" s="81" t="s">
        <v>15404</v>
      </c>
      <c r="D2830" s="32" t="s">
        <v>15405</v>
      </c>
      <c r="E2830" s="107" t="s">
        <v>15406</v>
      </c>
      <c r="F2830" s="110" t="s">
        <v>15407</v>
      </c>
      <c r="I2830" s="32"/>
      <c r="J2830" s="32"/>
      <c r="K2830" s="88" t="s">
        <v>15403</v>
      </c>
      <c r="L2830" s="82" t="s">
        <v>15408</v>
      </c>
      <c r="N2830" s="100" t="s">
        <v>15409</v>
      </c>
      <c r="O2830" s="114" t="s">
        <v>15410</v>
      </c>
    </row>
    <row r="2831">
      <c r="A2831" s="38"/>
      <c r="B2831" s="87" t="s">
        <v>15411</v>
      </c>
      <c r="C2831" s="81" t="s">
        <v>15412</v>
      </c>
      <c r="D2831" s="32" t="s">
        <v>15413</v>
      </c>
      <c r="E2831" s="107" t="s">
        <v>15414</v>
      </c>
      <c r="F2831" s="101" t="s">
        <v>6403</v>
      </c>
      <c r="I2831" s="32"/>
      <c r="J2831" s="32"/>
      <c r="K2831" s="88" t="s">
        <v>15411</v>
      </c>
      <c r="L2831" s="82" t="s">
        <v>15415</v>
      </c>
      <c r="N2831" s="100" t="s">
        <v>15416</v>
      </c>
      <c r="O2831" s="114" t="s">
        <v>15417</v>
      </c>
    </row>
    <row r="2832">
      <c r="A2832" s="38"/>
      <c r="B2832" s="87" t="s">
        <v>15418</v>
      </c>
      <c r="C2832" s="81" t="s">
        <v>15419</v>
      </c>
      <c r="D2832" s="32" t="s">
        <v>15420</v>
      </c>
      <c r="E2832" s="100" t="s">
        <v>8877</v>
      </c>
      <c r="F2832" s="101" t="s">
        <v>8872</v>
      </c>
      <c r="I2832" s="32"/>
      <c r="J2832" s="32"/>
      <c r="K2832" s="88" t="s">
        <v>15418</v>
      </c>
      <c r="L2832" s="82" t="s">
        <v>15421</v>
      </c>
      <c r="N2832" s="100" t="s">
        <v>15422</v>
      </c>
      <c r="O2832" s="96" t="s">
        <v>15423</v>
      </c>
    </row>
    <row r="2833">
      <c r="A2833" s="38"/>
      <c r="B2833" s="87" t="s">
        <v>15424</v>
      </c>
      <c r="C2833" s="81" t="s">
        <v>15425</v>
      </c>
      <c r="D2833" s="8" t="s">
        <v>15426</v>
      </c>
      <c r="E2833" s="113" t="s">
        <v>15427</v>
      </c>
      <c r="F2833" s="110" t="s">
        <v>15428</v>
      </c>
      <c r="I2833" s="32"/>
      <c r="J2833" s="32"/>
      <c r="K2833" s="88" t="s">
        <v>15424</v>
      </c>
      <c r="L2833" s="82" t="s">
        <v>15429</v>
      </c>
      <c r="N2833" s="100" t="s">
        <v>15430</v>
      </c>
      <c r="O2833" s="114" t="s">
        <v>15431</v>
      </c>
    </row>
    <row r="2834">
      <c r="A2834" s="38"/>
      <c r="B2834" s="87" t="s">
        <v>15432</v>
      </c>
      <c r="C2834" s="81" t="s">
        <v>15433</v>
      </c>
      <c r="D2834" s="8" t="s">
        <v>15434</v>
      </c>
      <c r="E2834" s="113" t="s">
        <v>15435</v>
      </c>
      <c r="F2834" s="39" t="s">
        <v>15436</v>
      </c>
      <c r="I2834" s="32"/>
      <c r="J2834" s="32"/>
      <c r="K2834" s="88" t="s">
        <v>15432</v>
      </c>
      <c r="L2834" s="82" t="s">
        <v>15437</v>
      </c>
      <c r="N2834" s="100" t="s">
        <v>15438</v>
      </c>
      <c r="O2834" s="114" t="s">
        <v>15439</v>
      </c>
    </row>
    <row r="2835">
      <c r="A2835" s="38"/>
      <c r="B2835" s="87" t="s">
        <v>15440</v>
      </c>
      <c r="C2835" s="81" t="s">
        <v>15441</v>
      </c>
      <c r="D2835" s="8" t="s">
        <v>15442</v>
      </c>
      <c r="E2835" s="115" t="s">
        <v>15443</v>
      </c>
      <c r="F2835" s="39" t="s">
        <v>15444</v>
      </c>
      <c r="I2835" s="32"/>
      <c r="J2835" s="32"/>
      <c r="K2835" s="88" t="s">
        <v>15440</v>
      </c>
      <c r="L2835" s="82" t="s">
        <v>15445</v>
      </c>
      <c r="N2835" s="100" t="s">
        <v>15446</v>
      </c>
      <c r="O2835" s="95"/>
    </row>
    <row r="2836">
      <c r="A2836" s="38"/>
      <c r="B2836" s="87" t="s">
        <v>15447</v>
      </c>
      <c r="C2836" s="81" t="s">
        <v>15448</v>
      </c>
      <c r="D2836" s="32" t="s">
        <v>15449</v>
      </c>
      <c r="E2836" s="107" t="s">
        <v>15450</v>
      </c>
      <c r="F2836" s="32" t="s">
        <v>15451</v>
      </c>
      <c r="I2836" s="32"/>
      <c r="J2836" s="32"/>
      <c r="K2836" s="88" t="s">
        <v>15447</v>
      </c>
      <c r="L2836" s="82" t="s">
        <v>15452</v>
      </c>
      <c r="N2836" s="100" t="s">
        <v>15453</v>
      </c>
      <c r="O2836" s="114" t="s">
        <v>15454</v>
      </c>
    </row>
    <row r="2837">
      <c r="A2837" s="38"/>
      <c r="B2837" s="87" t="s">
        <v>15455</v>
      </c>
      <c r="C2837" s="81" t="s">
        <v>15456</v>
      </c>
      <c r="D2837" s="32" t="s">
        <v>15457</v>
      </c>
      <c r="E2837" s="107" t="s">
        <v>15458</v>
      </c>
      <c r="F2837" s="32" t="s">
        <v>15459</v>
      </c>
      <c r="I2837" s="32"/>
      <c r="J2837" s="32"/>
      <c r="K2837" s="88" t="s">
        <v>15455</v>
      </c>
      <c r="L2837" s="82" t="s">
        <v>15460</v>
      </c>
      <c r="N2837" s="100" t="s">
        <v>15461</v>
      </c>
      <c r="O2837" s="114" t="s">
        <v>15462</v>
      </c>
    </row>
    <row r="2838">
      <c r="A2838" s="38"/>
      <c r="B2838" s="87" t="s">
        <v>15463</v>
      </c>
      <c r="C2838" s="81" t="s">
        <v>15464</v>
      </c>
      <c r="D2838" s="32" t="s">
        <v>15465</v>
      </c>
      <c r="E2838" s="107" t="s">
        <v>15466</v>
      </c>
      <c r="F2838" s="32" t="s">
        <v>15467</v>
      </c>
      <c r="I2838" s="32"/>
      <c r="J2838" s="32"/>
      <c r="K2838" s="88" t="s">
        <v>15463</v>
      </c>
      <c r="L2838" s="82" t="s">
        <v>15468</v>
      </c>
      <c r="N2838" s="100" t="s">
        <v>15469</v>
      </c>
      <c r="O2838" s="114" t="s">
        <v>15470</v>
      </c>
    </row>
    <row r="2839">
      <c r="A2839" s="38"/>
      <c r="B2839" s="87" t="s">
        <v>15471</v>
      </c>
      <c r="C2839" s="81" t="s">
        <v>15472</v>
      </c>
      <c r="D2839" s="32" t="s">
        <v>15473</v>
      </c>
      <c r="E2839" s="107" t="s">
        <v>15474</v>
      </c>
      <c r="F2839" s="32" t="s">
        <v>15475</v>
      </c>
      <c r="I2839" s="32"/>
      <c r="J2839" s="32"/>
      <c r="K2839" s="88" t="s">
        <v>15471</v>
      </c>
      <c r="L2839" s="82" t="s">
        <v>15476</v>
      </c>
      <c r="N2839" s="100" t="s">
        <v>15477</v>
      </c>
      <c r="O2839" s="95"/>
    </row>
    <row r="2840">
      <c r="A2840" s="38"/>
      <c r="B2840" s="87" t="s">
        <v>15478</v>
      </c>
      <c r="C2840" s="81" t="s">
        <v>15479</v>
      </c>
      <c r="D2840" s="32" t="s">
        <v>15480</v>
      </c>
      <c r="E2840" s="32"/>
      <c r="F2840" s="32" t="s">
        <v>15481</v>
      </c>
      <c r="I2840" s="32"/>
      <c r="J2840" s="32"/>
      <c r="K2840" s="88" t="s">
        <v>15478</v>
      </c>
      <c r="L2840" s="82" t="s">
        <v>15482</v>
      </c>
      <c r="N2840" s="100" t="s">
        <v>15483</v>
      </c>
      <c r="O2840" s="114" t="s">
        <v>15484</v>
      </c>
    </row>
    <row r="2841">
      <c r="A2841" s="38"/>
      <c r="B2841" s="87" t="s">
        <v>15485</v>
      </c>
      <c r="C2841" s="81" t="s">
        <v>15486</v>
      </c>
      <c r="D2841" s="32" t="s">
        <v>15487</v>
      </c>
      <c r="E2841" s="107" t="s">
        <v>15488</v>
      </c>
      <c r="F2841" s="32" t="s">
        <v>15489</v>
      </c>
      <c r="I2841" s="32"/>
      <c r="J2841" s="32"/>
      <c r="K2841" s="88" t="s">
        <v>15485</v>
      </c>
      <c r="L2841" s="82" t="s">
        <v>15490</v>
      </c>
      <c r="N2841" s="100" t="s">
        <v>15491</v>
      </c>
      <c r="O2841" s="95"/>
    </row>
    <row r="2842">
      <c r="A2842" s="38"/>
      <c r="B2842" s="87" t="s">
        <v>15492</v>
      </c>
      <c r="C2842" s="81" t="s">
        <v>15493</v>
      </c>
      <c r="D2842" s="32" t="s">
        <v>15494</v>
      </c>
      <c r="E2842" s="107" t="s">
        <v>15495</v>
      </c>
      <c r="F2842" s="32" t="s">
        <v>15496</v>
      </c>
      <c r="I2842" s="32"/>
      <c r="J2842" s="32"/>
      <c r="K2842" s="88" t="s">
        <v>15492</v>
      </c>
      <c r="L2842" s="82" t="s">
        <v>15497</v>
      </c>
      <c r="N2842" s="100" t="s">
        <v>15498</v>
      </c>
      <c r="O2842" s="114" t="s">
        <v>15499</v>
      </c>
    </row>
    <row r="2843">
      <c r="A2843" s="38"/>
      <c r="B2843" s="87" t="s">
        <v>15500</v>
      </c>
      <c r="C2843" s="81" t="s">
        <v>15501</v>
      </c>
      <c r="D2843" s="32" t="s">
        <v>15502</v>
      </c>
      <c r="E2843" s="32"/>
      <c r="F2843" s="32" t="s">
        <v>15503</v>
      </c>
      <c r="I2843" s="32"/>
      <c r="J2843" s="32"/>
      <c r="K2843" s="88" t="s">
        <v>15500</v>
      </c>
      <c r="L2843" s="82" t="s">
        <v>15504</v>
      </c>
      <c r="N2843" s="100" t="s">
        <v>15505</v>
      </c>
      <c r="O2843" s="114" t="s">
        <v>15506</v>
      </c>
    </row>
    <row r="2844">
      <c r="A2844" s="38"/>
      <c r="B2844" s="87" t="s">
        <v>15507</v>
      </c>
      <c r="C2844" s="81" t="s">
        <v>15508</v>
      </c>
      <c r="D2844" s="32" t="s">
        <v>15509</v>
      </c>
      <c r="E2844" s="107" t="s">
        <v>15510</v>
      </c>
      <c r="F2844" s="32" t="s">
        <v>15511</v>
      </c>
      <c r="I2844" s="32"/>
      <c r="J2844" s="32"/>
      <c r="K2844" s="88" t="s">
        <v>15507</v>
      </c>
      <c r="L2844" s="82" t="s">
        <v>15512</v>
      </c>
      <c r="N2844" s="100" t="s">
        <v>15513</v>
      </c>
      <c r="O2844" s="95"/>
    </row>
    <row r="2845">
      <c r="A2845" s="38"/>
      <c r="B2845" s="87" t="s">
        <v>15514</v>
      </c>
      <c r="C2845" s="81" t="s">
        <v>15515</v>
      </c>
      <c r="D2845" s="32" t="s">
        <v>15516</v>
      </c>
      <c r="E2845" s="107" t="s">
        <v>15517</v>
      </c>
      <c r="F2845" s="32" t="s">
        <v>15518</v>
      </c>
      <c r="I2845" s="32"/>
      <c r="J2845" s="32"/>
      <c r="K2845" s="88" t="s">
        <v>15514</v>
      </c>
      <c r="L2845" s="82" t="s">
        <v>15519</v>
      </c>
      <c r="N2845" s="100" t="s">
        <v>15520</v>
      </c>
      <c r="O2845" s="114" t="s">
        <v>15521</v>
      </c>
    </row>
    <row r="2846">
      <c r="A2846" s="38"/>
      <c r="B2846" s="87" t="s">
        <v>15522</v>
      </c>
      <c r="C2846" s="81" t="s">
        <v>15523</v>
      </c>
      <c r="D2846" s="32" t="s">
        <v>15524</v>
      </c>
      <c r="E2846" s="32"/>
      <c r="F2846" s="32" t="s">
        <v>15525</v>
      </c>
      <c r="I2846" s="32"/>
      <c r="J2846" s="32"/>
      <c r="K2846" s="88" t="s">
        <v>15522</v>
      </c>
      <c r="L2846" s="82" t="s">
        <v>15526</v>
      </c>
      <c r="N2846" s="100" t="s">
        <v>15527</v>
      </c>
      <c r="O2846" s="95"/>
    </row>
    <row r="2847">
      <c r="A2847" s="38"/>
      <c r="B2847" s="87" t="s">
        <v>15528</v>
      </c>
      <c r="C2847" s="81" t="s">
        <v>15529</v>
      </c>
      <c r="D2847" s="32" t="s">
        <v>15530</v>
      </c>
      <c r="E2847" s="107" t="s">
        <v>15531</v>
      </c>
      <c r="F2847" s="32" t="s">
        <v>15532</v>
      </c>
      <c r="I2847" s="32"/>
      <c r="J2847" s="32"/>
      <c r="K2847" s="88" t="s">
        <v>15528</v>
      </c>
      <c r="L2847" s="82" t="s">
        <v>15533</v>
      </c>
      <c r="N2847" s="100" t="s">
        <v>15534</v>
      </c>
      <c r="O2847" s="114" t="s">
        <v>15535</v>
      </c>
    </row>
    <row r="2848">
      <c r="A2848" s="38"/>
      <c r="B2848" s="87" t="s">
        <v>15536</v>
      </c>
      <c r="C2848" s="81" t="s">
        <v>15537</v>
      </c>
      <c r="D2848" s="32" t="s">
        <v>15538</v>
      </c>
      <c r="E2848" s="107" t="s">
        <v>15539</v>
      </c>
      <c r="F2848" s="32" t="s">
        <v>1173</v>
      </c>
      <c r="I2848" s="32"/>
      <c r="J2848" s="32"/>
      <c r="K2848" s="88" t="s">
        <v>15536</v>
      </c>
      <c r="L2848" s="82" t="s">
        <v>15540</v>
      </c>
      <c r="N2848" s="100" t="s">
        <v>15541</v>
      </c>
      <c r="O2848" s="114" t="s">
        <v>15542</v>
      </c>
    </row>
    <row r="2849">
      <c r="A2849" s="38"/>
      <c r="B2849" s="87" t="s">
        <v>15543</v>
      </c>
      <c r="C2849" s="81" t="s">
        <v>15544</v>
      </c>
      <c r="D2849" s="32" t="s">
        <v>15545</v>
      </c>
      <c r="E2849" s="62" t="s">
        <v>15546</v>
      </c>
      <c r="F2849" s="32" t="s">
        <v>15547</v>
      </c>
      <c r="I2849" s="32"/>
      <c r="J2849" s="32"/>
      <c r="K2849" s="88" t="s">
        <v>15543</v>
      </c>
      <c r="L2849" s="82" t="s">
        <v>15548</v>
      </c>
      <c r="N2849" s="100" t="s">
        <v>15549</v>
      </c>
      <c r="O2849" s="95"/>
    </row>
    <row r="2850">
      <c r="A2850" s="38"/>
      <c r="B2850" s="87" t="s">
        <v>15550</v>
      </c>
      <c r="C2850" s="81" t="s">
        <v>15551</v>
      </c>
      <c r="D2850" s="32" t="s">
        <v>15552</v>
      </c>
      <c r="E2850" s="116" t="s">
        <v>15553</v>
      </c>
      <c r="F2850" s="32" t="s">
        <v>15554</v>
      </c>
      <c r="I2850" s="32"/>
      <c r="J2850" s="32"/>
      <c r="K2850" s="88" t="s">
        <v>15550</v>
      </c>
      <c r="L2850" s="82" t="s">
        <v>15555</v>
      </c>
      <c r="N2850" s="100" t="s">
        <v>15556</v>
      </c>
      <c r="O2850" s="114" t="s">
        <v>15557</v>
      </c>
    </row>
    <row r="2851">
      <c r="A2851" s="38"/>
      <c r="B2851" s="87" t="s">
        <v>15558</v>
      </c>
      <c r="C2851" s="81" t="s">
        <v>5350</v>
      </c>
      <c r="D2851" s="32" t="s">
        <v>15559</v>
      </c>
      <c r="E2851" s="107" t="s">
        <v>15560</v>
      </c>
      <c r="F2851" s="32" t="s">
        <v>15265</v>
      </c>
      <c r="I2851" s="32"/>
      <c r="J2851" s="32"/>
      <c r="K2851" s="88" t="s">
        <v>15558</v>
      </c>
      <c r="L2851" s="82" t="s">
        <v>15561</v>
      </c>
      <c r="N2851" s="100" t="s">
        <v>15562</v>
      </c>
      <c r="O2851" s="95"/>
    </row>
    <row r="2852">
      <c r="A2852" s="38"/>
      <c r="B2852" s="87" t="s">
        <v>15563</v>
      </c>
      <c r="C2852" s="81" t="s">
        <v>15564</v>
      </c>
      <c r="D2852" s="32" t="s">
        <v>15565</v>
      </c>
      <c r="E2852" s="107" t="s">
        <v>15566</v>
      </c>
      <c r="F2852" s="32" t="s">
        <v>15567</v>
      </c>
      <c r="I2852" s="32"/>
      <c r="J2852" s="32"/>
      <c r="K2852" s="88" t="s">
        <v>15563</v>
      </c>
      <c r="L2852" s="82" t="s">
        <v>15568</v>
      </c>
      <c r="N2852" s="100" t="s">
        <v>15569</v>
      </c>
      <c r="O2852" s="117" t="s">
        <v>15570</v>
      </c>
    </row>
    <row r="2853">
      <c r="A2853" s="38"/>
      <c r="B2853" s="87" t="s">
        <v>15571</v>
      </c>
      <c r="C2853" s="81" t="s">
        <v>15572</v>
      </c>
      <c r="D2853" s="32" t="s">
        <v>15573</v>
      </c>
      <c r="E2853" s="32"/>
      <c r="F2853" s="32" t="s">
        <v>15574</v>
      </c>
      <c r="I2853" s="32"/>
      <c r="J2853" s="32"/>
      <c r="K2853" s="88" t="s">
        <v>15571</v>
      </c>
      <c r="L2853" s="82" t="s">
        <v>15575</v>
      </c>
      <c r="N2853" s="100" t="s">
        <v>15576</v>
      </c>
      <c r="O2853" s="114" t="s">
        <v>15577</v>
      </c>
    </row>
    <row r="2854">
      <c r="A2854" s="38"/>
      <c r="B2854" s="87" t="s">
        <v>15578</v>
      </c>
      <c r="C2854" s="81" t="s">
        <v>15579</v>
      </c>
      <c r="D2854" s="32" t="s">
        <v>15580</v>
      </c>
      <c r="E2854" s="32"/>
      <c r="F2854" s="32" t="s">
        <v>15581</v>
      </c>
      <c r="I2854" s="32"/>
      <c r="J2854" s="32"/>
      <c r="K2854" s="88" t="s">
        <v>15578</v>
      </c>
      <c r="L2854" s="82" t="s">
        <v>15582</v>
      </c>
      <c r="N2854" s="100" t="s">
        <v>15583</v>
      </c>
      <c r="O2854" s="83"/>
    </row>
    <row r="2855">
      <c r="A2855" s="38"/>
      <c r="B2855" s="87" t="s">
        <v>15584</v>
      </c>
      <c r="C2855" s="81" t="s">
        <v>15585</v>
      </c>
      <c r="D2855" s="32" t="s">
        <v>15586</v>
      </c>
      <c r="E2855" s="107" t="s">
        <v>15587</v>
      </c>
      <c r="F2855" s="32" t="s">
        <v>15588</v>
      </c>
      <c r="I2855" s="32"/>
      <c r="J2855" s="32"/>
      <c r="K2855" s="88" t="s">
        <v>15584</v>
      </c>
      <c r="L2855" s="82" t="s">
        <v>15589</v>
      </c>
      <c r="N2855" s="100" t="s">
        <v>15590</v>
      </c>
      <c r="O2855" s="83"/>
    </row>
    <row r="2856">
      <c r="A2856" s="38"/>
      <c r="B2856" s="87" t="s">
        <v>15591</v>
      </c>
      <c r="C2856" s="81" t="s">
        <v>15592</v>
      </c>
      <c r="D2856" s="38"/>
      <c r="E2856" s="64"/>
      <c r="F2856" s="92"/>
      <c r="I2856" s="32"/>
      <c r="J2856" s="32"/>
      <c r="K2856" s="88" t="s">
        <v>15591</v>
      </c>
      <c r="L2856" s="82" t="s">
        <v>15593</v>
      </c>
      <c r="N2856" s="100" t="s">
        <v>15594</v>
      </c>
      <c r="O2856" s="106" t="s">
        <v>15595</v>
      </c>
    </row>
    <row r="2857">
      <c r="A2857" s="38"/>
      <c r="B2857" s="87" t="s">
        <v>15596</v>
      </c>
      <c r="C2857" s="81" t="s">
        <v>14478</v>
      </c>
      <c r="D2857" s="38"/>
      <c r="E2857" s="64"/>
      <c r="F2857" s="92"/>
      <c r="I2857" s="32"/>
      <c r="J2857" s="32"/>
      <c r="K2857" s="88" t="s">
        <v>15596</v>
      </c>
      <c r="L2857" s="82" t="s">
        <v>15597</v>
      </c>
      <c r="N2857" s="100" t="s">
        <v>15598</v>
      </c>
      <c r="O2857" s="105" t="s">
        <v>15599</v>
      </c>
    </row>
    <row r="2858">
      <c r="A2858" s="38"/>
      <c r="B2858" s="87" t="s">
        <v>15600</v>
      </c>
      <c r="C2858" s="81" t="s">
        <v>15601</v>
      </c>
      <c r="D2858" s="38"/>
      <c r="E2858" s="64"/>
      <c r="F2858" s="92"/>
      <c r="I2858" s="32"/>
      <c r="J2858" s="32"/>
      <c r="K2858" s="88" t="s">
        <v>15600</v>
      </c>
      <c r="L2858" s="82" t="s">
        <v>15602</v>
      </c>
      <c r="N2858" s="100" t="s">
        <v>15603</v>
      </c>
      <c r="O2858" s="95" t="s">
        <v>15604</v>
      </c>
    </row>
    <row r="2859">
      <c r="A2859" s="38"/>
      <c r="B2859" s="87" t="s">
        <v>15605</v>
      </c>
      <c r="C2859" s="81" t="s">
        <v>15606</v>
      </c>
      <c r="D2859" s="38"/>
      <c r="E2859" s="64"/>
      <c r="F2859" s="92"/>
      <c r="I2859" s="32"/>
      <c r="J2859" s="32"/>
      <c r="K2859" s="88" t="s">
        <v>15605</v>
      </c>
      <c r="L2859" s="82" t="s">
        <v>15607</v>
      </c>
      <c r="N2859" s="100" t="s">
        <v>15608</v>
      </c>
      <c r="O2859" s="95"/>
    </row>
    <row r="2860">
      <c r="A2860" s="38"/>
      <c r="B2860" s="87" t="s">
        <v>15609</v>
      </c>
      <c r="C2860" s="81" t="s">
        <v>15610</v>
      </c>
      <c r="D2860" s="38"/>
      <c r="E2860" s="64"/>
      <c r="F2860" s="92"/>
      <c r="I2860" s="32"/>
      <c r="J2860" s="32"/>
      <c r="K2860" s="88" t="s">
        <v>15609</v>
      </c>
      <c r="L2860" s="82" t="s">
        <v>15611</v>
      </c>
      <c r="N2860" s="100" t="s">
        <v>15612</v>
      </c>
      <c r="O2860" s="106" t="s">
        <v>15613</v>
      </c>
    </row>
    <row r="2861">
      <c r="A2861" s="38"/>
      <c r="B2861" s="87" t="s">
        <v>15614</v>
      </c>
      <c r="C2861" s="81" t="s">
        <v>15489</v>
      </c>
      <c r="D2861" s="38"/>
      <c r="E2861" s="64"/>
      <c r="F2861" s="92"/>
      <c r="I2861" s="32"/>
      <c r="J2861" s="32"/>
      <c r="K2861" s="88" t="s">
        <v>15614</v>
      </c>
      <c r="L2861" s="82" t="s">
        <v>15615</v>
      </c>
      <c r="N2861" s="100" t="s">
        <v>15616</v>
      </c>
      <c r="O2861" s="106" t="s">
        <v>15617</v>
      </c>
    </row>
    <row r="2862">
      <c r="A2862" s="38"/>
      <c r="B2862" s="87" t="s">
        <v>15618</v>
      </c>
      <c r="C2862" s="81" t="s">
        <v>15619</v>
      </c>
      <c r="D2862" s="38"/>
      <c r="E2862" s="64"/>
      <c r="F2862" s="92"/>
      <c r="I2862" s="32"/>
      <c r="J2862" s="32"/>
      <c r="K2862" s="88" t="s">
        <v>15618</v>
      </c>
      <c r="L2862" s="82" t="s">
        <v>15620</v>
      </c>
      <c r="N2862" s="100" t="s">
        <v>15621</v>
      </c>
      <c r="O2862" s="106" t="s">
        <v>15622</v>
      </c>
    </row>
    <row r="2863">
      <c r="A2863" s="38"/>
      <c r="B2863" s="87" t="s">
        <v>15623</v>
      </c>
      <c r="C2863" s="81" t="s">
        <v>15624</v>
      </c>
      <c r="D2863" s="38"/>
      <c r="E2863" s="64"/>
      <c r="F2863" s="92"/>
      <c r="I2863" s="32"/>
      <c r="J2863" s="32"/>
      <c r="K2863" s="88" t="s">
        <v>15623</v>
      </c>
      <c r="L2863" s="82" t="s">
        <v>15625</v>
      </c>
      <c r="N2863" s="100" t="s">
        <v>15626</v>
      </c>
      <c r="O2863" s="106" t="s">
        <v>15627</v>
      </c>
    </row>
    <row r="2864">
      <c r="A2864" s="38"/>
      <c r="B2864" s="87" t="s">
        <v>15628</v>
      </c>
      <c r="C2864" s="81" t="s">
        <v>15629</v>
      </c>
      <c r="D2864" s="38"/>
      <c r="E2864" s="64"/>
      <c r="F2864" s="92"/>
      <c r="I2864" s="32"/>
      <c r="J2864" s="32"/>
      <c r="K2864" s="88" t="s">
        <v>15628</v>
      </c>
      <c r="L2864" s="82" t="s">
        <v>15630</v>
      </c>
      <c r="N2864" s="44"/>
      <c r="O2864" s="83"/>
    </row>
    <row r="2865">
      <c r="A2865" s="38"/>
      <c r="B2865" s="87" t="s">
        <v>15631</v>
      </c>
      <c r="C2865" s="81" t="s">
        <v>15632</v>
      </c>
      <c r="D2865" s="38"/>
      <c r="E2865" s="64"/>
      <c r="F2865" s="92"/>
      <c r="I2865" s="32"/>
      <c r="J2865" s="32"/>
      <c r="K2865" s="88" t="s">
        <v>15631</v>
      </c>
      <c r="L2865" s="82" t="s">
        <v>15633</v>
      </c>
      <c r="N2865" s="44"/>
      <c r="O2865" s="83"/>
    </row>
    <row r="2866">
      <c r="A2866" s="38"/>
      <c r="B2866" s="87" t="s">
        <v>15634</v>
      </c>
      <c r="C2866" s="81" t="s">
        <v>15635</v>
      </c>
      <c r="D2866" s="38"/>
      <c r="E2866" s="64"/>
      <c r="F2866" s="92"/>
      <c r="I2866" s="32"/>
      <c r="J2866" s="32"/>
      <c r="K2866" s="88" t="s">
        <v>15634</v>
      </c>
      <c r="L2866" s="82" t="s">
        <v>15636</v>
      </c>
      <c r="N2866" s="44"/>
      <c r="O2866" s="83"/>
    </row>
    <row r="2867">
      <c r="A2867" s="38"/>
      <c r="B2867" s="87" t="s">
        <v>15637</v>
      </c>
      <c r="C2867" s="81" t="s">
        <v>15638</v>
      </c>
      <c r="D2867" s="38"/>
      <c r="E2867" s="64"/>
      <c r="F2867" s="92"/>
      <c r="I2867" s="32"/>
      <c r="J2867" s="32"/>
      <c r="K2867" s="88" t="s">
        <v>15637</v>
      </c>
      <c r="L2867" s="82" t="s">
        <v>15639</v>
      </c>
      <c r="N2867" s="44"/>
      <c r="O2867" s="83"/>
    </row>
    <row r="2868">
      <c r="A2868" s="38"/>
      <c r="B2868" s="87" t="s">
        <v>15640</v>
      </c>
      <c r="C2868" s="81" t="s">
        <v>997</v>
      </c>
      <c r="D2868" s="38"/>
      <c r="E2868" s="64"/>
      <c r="F2868" s="92"/>
      <c r="I2868" s="32"/>
      <c r="J2868" s="32"/>
      <c r="K2868" s="88" t="s">
        <v>15640</v>
      </c>
      <c r="L2868" s="82" t="s">
        <v>15641</v>
      </c>
      <c r="N2868" s="44"/>
      <c r="O2868" s="83"/>
    </row>
    <row r="2869">
      <c r="A2869" s="38"/>
      <c r="B2869" s="87" t="s">
        <v>15642</v>
      </c>
      <c r="C2869" s="81" t="s">
        <v>15643</v>
      </c>
      <c r="D2869" s="38"/>
      <c r="E2869" s="64"/>
      <c r="F2869" s="92"/>
      <c r="I2869" s="32"/>
      <c r="J2869" s="32"/>
      <c r="K2869" s="88" t="s">
        <v>15642</v>
      </c>
      <c r="L2869" s="82" t="s">
        <v>15644</v>
      </c>
      <c r="N2869" s="44"/>
      <c r="O2869" s="83"/>
    </row>
    <row r="2870">
      <c r="A2870" s="38"/>
      <c r="B2870" s="87" t="s">
        <v>15645</v>
      </c>
      <c r="C2870" s="81" t="s">
        <v>15646</v>
      </c>
      <c r="D2870" s="38"/>
      <c r="E2870" s="64"/>
      <c r="F2870" s="92"/>
      <c r="I2870" s="32"/>
      <c r="J2870" s="32"/>
      <c r="K2870" s="88" t="s">
        <v>15645</v>
      </c>
      <c r="L2870" s="82" t="s">
        <v>15647</v>
      </c>
      <c r="N2870" s="44"/>
      <c r="O2870" s="83"/>
    </row>
    <row r="2871">
      <c r="A2871" s="38"/>
      <c r="B2871" s="87" t="s">
        <v>15648</v>
      </c>
      <c r="C2871" s="81" t="s">
        <v>15649</v>
      </c>
      <c r="D2871" s="38"/>
      <c r="E2871" s="64"/>
      <c r="F2871" s="92"/>
      <c r="I2871" s="32"/>
      <c r="J2871" s="32"/>
      <c r="K2871" s="88" t="s">
        <v>15648</v>
      </c>
      <c r="L2871" s="82" t="s">
        <v>15650</v>
      </c>
      <c r="N2871" s="44"/>
      <c r="O2871" s="83"/>
    </row>
    <row r="2872">
      <c r="A2872" s="38"/>
      <c r="B2872" s="87" t="s">
        <v>15651</v>
      </c>
      <c r="C2872" s="81" t="s">
        <v>15652</v>
      </c>
      <c r="D2872" s="38"/>
      <c r="E2872" s="64"/>
      <c r="F2872" s="92"/>
      <c r="I2872" s="32"/>
      <c r="J2872" s="32"/>
      <c r="K2872" s="88" t="s">
        <v>15651</v>
      </c>
      <c r="L2872" s="82" t="s">
        <v>15653</v>
      </c>
      <c r="N2872" s="44"/>
      <c r="O2872" s="83"/>
    </row>
    <row r="2873">
      <c r="A2873" s="38"/>
      <c r="B2873" s="87" t="s">
        <v>15654</v>
      </c>
      <c r="C2873" s="81" t="s">
        <v>15655</v>
      </c>
      <c r="D2873" s="38"/>
      <c r="E2873" s="64"/>
      <c r="F2873" s="92"/>
      <c r="I2873" s="32"/>
      <c r="J2873" s="32"/>
      <c r="K2873" s="88" t="s">
        <v>15654</v>
      </c>
      <c r="L2873" s="82" t="s">
        <v>15656</v>
      </c>
      <c r="N2873" s="44"/>
      <c r="O2873" s="83"/>
    </row>
    <row r="2874">
      <c r="A2874" s="38"/>
      <c r="B2874" s="87" t="s">
        <v>15657</v>
      </c>
      <c r="C2874" s="81" t="s">
        <v>15658</v>
      </c>
      <c r="D2874" s="38"/>
      <c r="E2874" s="64"/>
      <c r="F2874" s="92"/>
      <c r="I2874" s="32"/>
      <c r="J2874" s="32"/>
      <c r="K2874" s="88" t="s">
        <v>15657</v>
      </c>
      <c r="L2874" s="82" t="s">
        <v>15659</v>
      </c>
      <c r="N2874" s="44"/>
      <c r="O2874" s="83"/>
    </row>
    <row r="2875">
      <c r="A2875" s="38"/>
      <c r="B2875" s="87" t="s">
        <v>15660</v>
      </c>
      <c r="C2875" s="81" t="s">
        <v>15661</v>
      </c>
      <c r="D2875" s="38"/>
      <c r="E2875" s="64"/>
      <c r="F2875" s="92"/>
      <c r="I2875" s="32"/>
      <c r="J2875" s="32"/>
      <c r="K2875" s="88" t="s">
        <v>15660</v>
      </c>
      <c r="L2875" s="82" t="s">
        <v>15662</v>
      </c>
      <c r="N2875" s="44"/>
      <c r="O2875" s="83"/>
    </row>
    <row r="2876">
      <c r="A2876" s="38"/>
      <c r="B2876" s="87" t="s">
        <v>15663</v>
      </c>
      <c r="C2876" s="81" t="s">
        <v>15664</v>
      </c>
      <c r="D2876" s="38"/>
      <c r="E2876" s="64"/>
      <c r="F2876" s="92"/>
      <c r="I2876" s="32"/>
      <c r="J2876" s="32"/>
      <c r="K2876" s="88" t="s">
        <v>15663</v>
      </c>
      <c r="L2876" s="82" t="s">
        <v>15665</v>
      </c>
      <c r="N2876" s="44"/>
      <c r="O2876" s="83"/>
    </row>
    <row r="2877">
      <c r="A2877" s="38"/>
      <c r="B2877" s="87" t="s">
        <v>15666</v>
      </c>
      <c r="C2877" s="81" t="s">
        <v>15667</v>
      </c>
      <c r="D2877" s="38"/>
      <c r="E2877" s="64"/>
      <c r="F2877" s="92"/>
      <c r="I2877" s="32"/>
      <c r="J2877" s="32"/>
      <c r="K2877" s="88" t="s">
        <v>15666</v>
      </c>
      <c r="L2877" s="82" t="s">
        <v>15668</v>
      </c>
      <c r="N2877" s="44"/>
      <c r="O2877" s="83"/>
    </row>
    <row r="2878">
      <c r="A2878" s="38"/>
      <c r="B2878" s="87" t="s">
        <v>15669</v>
      </c>
      <c r="C2878" s="81" t="s">
        <v>15670</v>
      </c>
      <c r="D2878" s="38"/>
      <c r="E2878" s="64"/>
      <c r="F2878" s="92"/>
      <c r="I2878" s="32"/>
      <c r="J2878" s="32"/>
      <c r="K2878" s="88" t="s">
        <v>15669</v>
      </c>
      <c r="L2878" s="82" t="s">
        <v>15671</v>
      </c>
      <c r="N2878" s="44"/>
      <c r="O2878" s="83"/>
    </row>
    <row r="2879">
      <c r="A2879" s="38"/>
      <c r="B2879" s="87" t="s">
        <v>15672</v>
      </c>
      <c r="C2879" s="81" t="s">
        <v>15673</v>
      </c>
      <c r="D2879" s="38"/>
      <c r="E2879" s="64"/>
      <c r="F2879" s="92"/>
      <c r="I2879" s="32"/>
      <c r="J2879" s="32"/>
      <c r="K2879" s="88" t="s">
        <v>15672</v>
      </c>
      <c r="L2879" s="82" t="s">
        <v>15674</v>
      </c>
      <c r="N2879" s="44"/>
      <c r="O2879" s="83"/>
    </row>
    <row r="2880">
      <c r="A2880" s="38"/>
      <c r="B2880" s="87" t="s">
        <v>15675</v>
      </c>
      <c r="C2880" s="81" t="s">
        <v>15676</v>
      </c>
      <c r="D2880" s="38"/>
      <c r="E2880" s="64"/>
      <c r="F2880" s="92"/>
      <c r="I2880" s="32"/>
      <c r="J2880" s="32"/>
      <c r="K2880" s="88" t="s">
        <v>15675</v>
      </c>
      <c r="L2880" s="82" t="s">
        <v>15677</v>
      </c>
      <c r="N2880" s="44"/>
      <c r="O2880" s="83"/>
    </row>
    <row r="2881">
      <c r="A2881" s="38"/>
      <c r="B2881" s="87" t="s">
        <v>15678</v>
      </c>
      <c r="C2881" s="81" t="s">
        <v>15679</v>
      </c>
      <c r="D2881" s="38"/>
      <c r="E2881" s="64"/>
      <c r="F2881" s="92"/>
      <c r="I2881" s="32"/>
      <c r="J2881" s="32"/>
      <c r="K2881" s="88" t="s">
        <v>15678</v>
      </c>
      <c r="L2881" s="82" t="s">
        <v>15680</v>
      </c>
      <c r="N2881" s="44"/>
      <c r="O2881" s="83"/>
    </row>
    <row r="2882">
      <c r="A2882" s="38"/>
      <c r="B2882" s="87" t="s">
        <v>15681</v>
      </c>
      <c r="C2882" s="81" t="s">
        <v>15682</v>
      </c>
      <c r="D2882" s="38"/>
      <c r="E2882" s="64"/>
      <c r="F2882" s="92"/>
      <c r="I2882" s="32"/>
      <c r="J2882" s="32"/>
      <c r="K2882" s="88" t="s">
        <v>15681</v>
      </c>
      <c r="L2882" s="82" t="s">
        <v>15683</v>
      </c>
      <c r="N2882" s="44"/>
      <c r="O2882" s="83"/>
    </row>
    <row r="2883">
      <c r="A2883" s="38"/>
      <c r="B2883" s="87" t="s">
        <v>15684</v>
      </c>
      <c r="C2883" s="81" t="s">
        <v>15685</v>
      </c>
      <c r="D2883" s="38"/>
      <c r="E2883" s="64"/>
      <c r="F2883" s="92"/>
      <c r="I2883" s="32"/>
      <c r="J2883" s="32"/>
      <c r="K2883" s="88" t="s">
        <v>15684</v>
      </c>
      <c r="L2883" s="82" t="s">
        <v>15686</v>
      </c>
      <c r="N2883" s="44"/>
      <c r="O2883" s="83"/>
    </row>
    <row r="2884">
      <c r="A2884" s="38"/>
      <c r="B2884" s="87" t="s">
        <v>15687</v>
      </c>
      <c r="C2884" s="81" t="s">
        <v>15688</v>
      </c>
      <c r="D2884" s="38"/>
      <c r="E2884" s="64"/>
      <c r="F2884" s="92"/>
      <c r="I2884" s="32"/>
      <c r="J2884" s="32"/>
      <c r="K2884" s="88" t="s">
        <v>15687</v>
      </c>
      <c r="L2884" s="82" t="s">
        <v>15689</v>
      </c>
      <c r="N2884" s="44"/>
      <c r="O2884" s="83"/>
    </row>
    <row r="2885">
      <c r="A2885" s="38"/>
      <c r="B2885" s="87" t="s">
        <v>15690</v>
      </c>
      <c r="C2885" s="81" t="s">
        <v>15691</v>
      </c>
      <c r="D2885" s="38"/>
      <c r="E2885" s="64"/>
      <c r="F2885" s="92"/>
      <c r="I2885" s="32"/>
      <c r="J2885" s="32"/>
      <c r="K2885" s="88" t="s">
        <v>15690</v>
      </c>
      <c r="L2885" s="82" t="s">
        <v>15692</v>
      </c>
      <c r="N2885" s="44"/>
      <c r="O2885" s="83"/>
    </row>
    <row r="2886">
      <c r="A2886" s="38"/>
      <c r="B2886" s="87" t="s">
        <v>15693</v>
      </c>
      <c r="C2886" s="81" t="s">
        <v>15694</v>
      </c>
      <c r="D2886" s="38"/>
      <c r="E2886" s="64"/>
      <c r="F2886" s="92"/>
      <c r="I2886" s="32"/>
      <c r="J2886" s="32"/>
      <c r="K2886" s="88" t="s">
        <v>15693</v>
      </c>
      <c r="L2886" s="82" t="s">
        <v>15695</v>
      </c>
      <c r="N2886" s="44"/>
      <c r="O2886" s="83"/>
    </row>
    <row r="2887">
      <c r="A2887" s="38"/>
      <c r="B2887" s="87" t="s">
        <v>15696</v>
      </c>
      <c r="C2887" s="81" t="s">
        <v>15697</v>
      </c>
      <c r="D2887" s="38"/>
      <c r="E2887" s="64"/>
      <c r="F2887" s="92"/>
      <c r="I2887" s="32"/>
      <c r="J2887" s="32"/>
      <c r="K2887" s="88" t="s">
        <v>15696</v>
      </c>
      <c r="L2887" s="82" t="s">
        <v>15698</v>
      </c>
      <c r="N2887" s="44"/>
      <c r="O2887" s="83"/>
    </row>
    <row r="2888">
      <c r="A2888" s="38"/>
      <c r="B2888" s="87" t="s">
        <v>15699</v>
      </c>
      <c r="C2888" s="81" t="s">
        <v>15700</v>
      </c>
      <c r="D2888" s="38"/>
      <c r="E2888" s="64"/>
      <c r="F2888" s="92"/>
      <c r="I2888" s="32"/>
      <c r="J2888" s="32"/>
      <c r="K2888" s="88" t="s">
        <v>15699</v>
      </c>
      <c r="L2888" s="82" t="s">
        <v>15701</v>
      </c>
      <c r="N2888" s="44"/>
      <c r="O2888" s="83"/>
    </row>
    <row r="2889">
      <c r="A2889" s="38"/>
      <c r="B2889" s="87" t="s">
        <v>15702</v>
      </c>
      <c r="C2889" s="81" t="s">
        <v>15703</v>
      </c>
      <c r="D2889" s="38"/>
      <c r="E2889" s="64"/>
      <c r="F2889" s="92"/>
      <c r="I2889" s="32"/>
      <c r="J2889" s="32"/>
      <c r="K2889" s="88" t="s">
        <v>15702</v>
      </c>
      <c r="L2889" s="82" t="s">
        <v>15704</v>
      </c>
      <c r="N2889" s="44"/>
      <c r="O2889" s="83"/>
    </row>
    <row r="2890">
      <c r="A2890" s="38"/>
      <c r="B2890" s="87" t="s">
        <v>15705</v>
      </c>
      <c r="C2890" s="81" t="s">
        <v>15706</v>
      </c>
      <c r="D2890" s="38"/>
      <c r="E2890" s="64"/>
      <c r="F2890" s="92"/>
      <c r="I2890" s="32"/>
      <c r="J2890" s="32"/>
      <c r="K2890" s="88" t="s">
        <v>15705</v>
      </c>
      <c r="L2890" s="82" t="s">
        <v>15707</v>
      </c>
      <c r="N2890" s="44"/>
      <c r="O2890" s="83"/>
    </row>
    <row r="2891">
      <c r="A2891" s="38"/>
      <c r="B2891" s="87" t="s">
        <v>15708</v>
      </c>
      <c r="C2891" s="81" t="s">
        <v>15709</v>
      </c>
      <c r="D2891" s="38"/>
      <c r="E2891" s="64"/>
      <c r="F2891" s="92"/>
      <c r="I2891" s="32"/>
      <c r="J2891" s="32"/>
      <c r="K2891" s="88" t="s">
        <v>15708</v>
      </c>
      <c r="L2891" s="82" t="s">
        <v>15710</v>
      </c>
      <c r="N2891" s="44"/>
      <c r="O2891" s="83"/>
    </row>
    <row r="2892">
      <c r="A2892" s="38"/>
      <c r="B2892" s="87" t="s">
        <v>15711</v>
      </c>
      <c r="C2892" s="81" t="s">
        <v>15712</v>
      </c>
      <c r="D2892" s="38"/>
      <c r="E2892" s="64"/>
      <c r="F2892" s="92"/>
      <c r="I2892" s="32"/>
      <c r="J2892" s="32"/>
      <c r="K2892" s="88" t="s">
        <v>15711</v>
      </c>
      <c r="L2892" s="82" t="s">
        <v>15713</v>
      </c>
      <c r="N2892" s="44"/>
      <c r="O2892" s="83"/>
    </row>
    <row r="2893">
      <c r="A2893" s="38"/>
      <c r="B2893" s="87" t="s">
        <v>15714</v>
      </c>
      <c r="C2893" s="81" t="s">
        <v>15715</v>
      </c>
      <c r="D2893" s="38"/>
      <c r="E2893" s="64"/>
      <c r="F2893" s="92"/>
      <c r="I2893" s="32"/>
      <c r="J2893" s="32"/>
      <c r="K2893" s="88" t="s">
        <v>15714</v>
      </c>
      <c r="L2893" s="82" t="s">
        <v>15716</v>
      </c>
      <c r="N2893" s="44"/>
      <c r="O2893" s="83"/>
    </row>
    <row r="2894">
      <c r="A2894" s="38"/>
      <c r="B2894" s="87" t="s">
        <v>15717</v>
      </c>
      <c r="C2894" s="81" t="s">
        <v>15718</v>
      </c>
      <c r="D2894" s="38"/>
      <c r="E2894" s="64"/>
      <c r="F2894" s="92"/>
      <c r="I2894" s="32"/>
      <c r="J2894" s="32"/>
      <c r="K2894" s="88" t="s">
        <v>15717</v>
      </c>
      <c r="L2894" s="82" t="s">
        <v>15719</v>
      </c>
      <c r="N2894" s="44"/>
      <c r="O2894" s="83"/>
    </row>
    <row r="2895">
      <c r="A2895" s="38"/>
      <c r="B2895" s="87" t="s">
        <v>15720</v>
      </c>
      <c r="C2895" s="81" t="s">
        <v>15721</v>
      </c>
      <c r="D2895" s="38"/>
      <c r="E2895" s="64"/>
      <c r="F2895" s="92"/>
      <c r="I2895" s="32"/>
      <c r="J2895" s="32"/>
      <c r="K2895" s="88" t="s">
        <v>15720</v>
      </c>
      <c r="L2895" s="82" t="s">
        <v>15722</v>
      </c>
      <c r="N2895" s="44"/>
      <c r="O2895" s="83"/>
    </row>
    <row r="2896">
      <c r="A2896" s="38"/>
      <c r="B2896" s="87" t="s">
        <v>15723</v>
      </c>
      <c r="C2896" s="81" t="s">
        <v>15724</v>
      </c>
      <c r="D2896" s="38"/>
      <c r="E2896" s="64"/>
      <c r="F2896" s="92"/>
      <c r="I2896" s="32"/>
      <c r="J2896" s="32"/>
      <c r="K2896" s="88" t="s">
        <v>15723</v>
      </c>
      <c r="L2896" s="82" t="s">
        <v>15725</v>
      </c>
      <c r="N2896" s="44"/>
      <c r="O2896" s="83"/>
    </row>
    <row r="2897">
      <c r="A2897" s="38"/>
      <c r="B2897" s="87" t="s">
        <v>15726</v>
      </c>
      <c r="C2897" s="81" t="s">
        <v>15727</v>
      </c>
      <c r="D2897" s="38"/>
      <c r="E2897" s="64"/>
      <c r="F2897" s="92"/>
      <c r="I2897" s="32"/>
      <c r="J2897" s="32"/>
      <c r="K2897" s="88" t="s">
        <v>15726</v>
      </c>
      <c r="L2897" s="82" t="s">
        <v>15728</v>
      </c>
      <c r="N2897" s="44"/>
      <c r="O2897" s="83"/>
    </row>
    <row r="2898">
      <c r="A2898" s="38"/>
      <c r="B2898" s="87" t="s">
        <v>15729</v>
      </c>
      <c r="C2898" s="81" t="s">
        <v>15730</v>
      </c>
      <c r="D2898" s="38"/>
      <c r="E2898" s="64"/>
      <c r="F2898" s="92"/>
      <c r="I2898" s="32"/>
      <c r="J2898" s="32"/>
      <c r="K2898" s="88" t="s">
        <v>15729</v>
      </c>
      <c r="L2898" s="82" t="s">
        <v>15731</v>
      </c>
      <c r="N2898" s="44"/>
      <c r="O2898" s="83"/>
    </row>
    <row r="2899">
      <c r="A2899" s="38"/>
      <c r="B2899" s="87" t="s">
        <v>15732</v>
      </c>
      <c r="C2899" s="81" t="s">
        <v>15733</v>
      </c>
      <c r="D2899" s="38"/>
      <c r="E2899" s="64"/>
      <c r="F2899" s="92"/>
      <c r="I2899" s="32"/>
      <c r="J2899" s="32"/>
      <c r="K2899" s="88" t="s">
        <v>15732</v>
      </c>
      <c r="L2899" s="82" t="s">
        <v>15734</v>
      </c>
      <c r="N2899" s="44"/>
      <c r="O2899" s="83"/>
    </row>
    <row r="2900">
      <c r="A2900" s="38"/>
      <c r="B2900" s="87" t="s">
        <v>15735</v>
      </c>
      <c r="C2900" s="81" t="s">
        <v>15736</v>
      </c>
      <c r="D2900" s="38"/>
      <c r="E2900" s="64"/>
      <c r="F2900" s="92"/>
      <c r="I2900" s="32"/>
      <c r="J2900" s="32"/>
      <c r="K2900" s="88" t="s">
        <v>15735</v>
      </c>
      <c r="L2900" s="82" t="s">
        <v>15737</v>
      </c>
      <c r="N2900" s="44"/>
      <c r="O2900" s="83"/>
    </row>
    <row r="2901">
      <c r="A2901" s="38"/>
      <c r="B2901" s="87" t="s">
        <v>15738</v>
      </c>
      <c r="C2901" s="81" t="s">
        <v>15739</v>
      </c>
      <c r="D2901" s="38"/>
      <c r="E2901" s="64"/>
      <c r="F2901" s="92"/>
      <c r="I2901" s="32"/>
      <c r="J2901" s="32"/>
      <c r="K2901" s="88" t="s">
        <v>15738</v>
      </c>
      <c r="L2901" s="82" t="s">
        <v>15740</v>
      </c>
      <c r="N2901" s="44"/>
      <c r="O2901" s="83"/>
    </row>
    <row r="2902">
      <c r="A2902" s="38"/>
      <c r="B2902" s="87" t="s">
        <v>15741</v>
      </c>
      <c r="C2902" s="81" t="s">
        <v>15742</v>
      </c>
      <c r="D2902" s="38"/>
      <c r="E2902" s="64"/>
      <c r="F2902" s="92"/>
      <c r="I2902" s="32"/>
      <c r="J2902" s="32"/>
      <c r="K2902" s="88" t="s">
        <v>15741</v>
      </c>
      <c r="L2902" s="82" t="s">
        <v>15743</v>
      </c>
      <c r="N2902" s="44"/>
      <c r="O2902" s="83"/>
    </row>
    <row r="2903">
      <c r="A2903" s="38"/>
      <c r="B2903" s="87" t="s">
        <v>15744</v>
      </c>
      <c r="C2903" s="81" t="s">
        <v>15745</v>
      </c>
      <c r="D2903" s="38"/>
      <c r="E2903" s="64"/>
      <c r="F2903" s="92"/>
      <c r="I2903" s="32"/>
      <c r="J2903" s="32"/>
      <c r="K2903" s="88" t="s">
        <v>15744</v>
      </c>
      <c r="L2903" s="82" t="s">
        <v>15746</v>
      </c>
      <c r="N2903" s="44"/>
      <c r="O2903" s="83"/>
    </row>
    <row r="2904">
      <c r="A2904" s="38"/>
      <c r="B2904" s="87" t="s">
        <v>15747</v>
      </c>
      <c r="C2904" s="81" t="s">
        <v>15748</v>
      </c>
      <c r="D2904" s="38"/>
      <c r="E2904" s="64"/>
      <c r="F2904" s="92"/>
      <c r="I2904" s="32"/>
      <c r="J2904" s="32"/>
      <c r="K2904" s="88" t="s">
        <v>15747</v>
      </c>
      <c r="L2904" s="82" t="s">
        <v>15749</v>
      </c>
      <c r="N2904" s="44"/>
      <c r="O2904" s="83"/>
    </row>
    <row r="2905">
      <c r="A2905" s="38"/>
      <c r="B2905" s="87" t="s">
        <v>15750</v>
      </c>
      <c r="C2905" s="81" t="s">
        <v>15751</v>
      </c>
      <c r="D2905" s="38"/>
      <c r="E2905" s="64"/>
      <c r="F2905" s="92"/>
      <c r="I2905" s="32"/>
      <c r="J2905" s="32"/>
      <c r="K2905" s="88" t="s">
        <v>15750</v>
      </c>
      <c r="L2905" s="82" t="s">
        <v>15752</v>
      </c>
      <c r="N2905" s="44"/>
      <c r="O2905" s="83"/>
    </row>
    <row r="2906">
      <c r="A2906" s="38"/>
      <c r="B2906" s="87" t="s">
        <v>15753</v>
      </c>
      <c r="C2906" s="81" t="s">
        <v>15754</v>
      </c>
      <c r="D2906" s="38"/>
      <c r="E2906" s="64"/>
      <c r="F2906" s="92"/>
      <c r="I2906" s="32"/>
      <c r="J2906" s="32"/>
      <c r="K2906" s="88" t="s">
        <v>15753</v>
      </c>
      <c r="L2906" s="82" t="s">
        <v>15755</v>
      </c>
      <c r="N2906" s="44"/>
      <c r="O2906" s="83"/>
    </row>
    <row r="2907">
      <c r="A2907" s="38"/>
      <c r="B2907" s="87" t="s">
        <v>15756</v>
      </c>
      <c r="C2907" s="81" t="s">
        <v>15757</v>
      </c>
      <c r="D2907" s="38"/>
      <c r="E2907" s="64"/>
      <c r="F2907" s="92"/>
      <c r="I2907" s="32"/>
      <c r="J2907" s="32"/>
      <c r="K2907" s="88" t="s">
        <v>15756</v>
      </c>
      <c r="L2907" s="82" t="s">
        <v>15758</v>
      </c>
      <c r="N2907" s="44"/>
      <c r="O2907" s="83"/>
    </row>
    <row r="2908">
      <c r="A2908" s="38"/>
      <c r="B2908" s="87" t="s">
        <v>15759</v>
      </c>
      <c r="C2908" s="81" t="s">
        <v>15760</v>
      </c>
      <c r="D2908" s="38"/>
      <c r="E2908" s="64"/>
      <c r="F2908" s="92"/>
      <c r="I2908" s="32"/>
      <c r="J2908" s="32"/>
      <c r="K2908" s="88" t="s">
        <v>15759</v>
      </c>
      <c r="L2908" s="82" t="s">
        <v>15761</v>
      </c>
      <c r="N2908" s="44"/>
      <c r="O2908" s="83"/>
    </row>
    <row r="2909">
      <c r="A2909" s="38"/>
      <c r="B2909" s="87" t="s">
        <v>15762</v>
      </c>
      <c r="C2909" s="81" t="s">
        <v>15763</v>
      </c>
      <c r="D2909" s="38"/>
      <c r="E2909" s="64"/>
      <c r="F2909" s="92"/>
      <c r="I2909" s="32"/>
      <c r="J2909" s="32"/>
      <c r="K2909" s="88" t="s">
        <v>15762</v>
      </c>
      <c r="L2909" s="82" t="s">
        <v>15764</v>
      </c>
      <c r="N2909" s="44"/>
      <c r="O2909" s="83"/>
    </row>
    <row r="2910">
      <c r="A2910" s="38"/>
      <c r="B2910" s="87" t="s">
        <v>15765</v>
      </c>
      <c r="C2910" s="81" t="s">
        <v>15766</v>
      </c>
      <c r="D2910" s="38"/>
      <c r="E2910" s="64"/>
      <c r="F2910" s="92"/>
      <c r="I2910" s="32"/>
      <c r="J2910" s="32"/>
      <c r="K2910" s="88" t="s">
        <v>15765</v>
      </c>
      <c r="L2910" s="82" t="s">
        <v>15767</v>
      </c>
      <c r="N2910" s="44"/>
      <c r="O2910" s="83"/>
    </row>
    <row r="2911">
      <c r="A2911" s="38"/>
      <c r="B2911" s="87" t="s">
        <v>15768</v>
      </c>
      <c r="C2911" s="81" t="s">
        <v>15769</v>
      </c>
      <c r="D2911" s="38"/>
      <c r="E2911" s="64"/>
      <c r="F2911" s="92"/>
      <c r="I2911" s="32"/>
      <c r="J2911" s="32"/>
      <c r="K2911" s="88" t="s">
        <v>15768</v>
      </c>
      <c r="L2911" s="82" t="s">
        <v>15770</v>
      </c>
      <c r="N2911" s="44"/>
      <c r="O2911" s="83"/>
    </row>
    <row r="2912">
      <c r="A2912" s="38"/>
      <c r="B2912" s="87" t="s">
        <v>15771</v>
      </c>
      <c r="C2912" s="81" t="s">
        <v>15772</v>
      </c>
      <c r="D2912" s="38"/>
      <c r="E2912" s="64"/>
      <c r="F2912" s="92"/>
      <c r="I2912" s="32"/>
      <c r="J2912" s="32"/>
      <c r="K2912" s="88" t="s">
        <v>15771</v>
      </c>
      <c r="L2912" s="82" t="s">
        <v>15773</v>
      </c>
      <c r="N2912" s="44"/>
      <c r="O2912" s="83"/>
    </row>
    <row r="2913">
      <c r="A2913" s="38"/>
      <c r="B2913" s="87" t="s">
        <v>15774</v>
      </c>
      <c r="C2913" s="81" t="s">
        <v>15775</v>
      </c>
      <c r="D2913" s="38"/>
      <c r="E2913" s="64"/>
      <c r="F2913" s="92"/>
      <c r="I2913" s="32"/>
      <c r="J2913" s="32"/>
      <c r="K2913" s="88" t="s">
        <v>15774</v>
      </c>
      <c r="L2913" s="82" t="s">
        <v>15776</v>
      </c>
      <c r="N2913" s="44"/>
      <c r="O2913" s="83"/>
    </row>
    <row r="2914">
      <c r="A2914" s="38"/>
      <c r="B2914" s="87" t="s">
        <v>15777</v>
      </c>
      <c r="C2914" s="81" t="s">
        <v>15778</v>
      </c>
      <c r="D2914" s="38"/>
      <c r="E2914" s="64"/>
      <c r="F2914" s="92"/>
      <c r="I2914" s="32"/>
      <c r="J2914" s="32"/>
      <c r="K2914" s="88" t="s">
        <v>15777</v>
      </c>
      <c r="L2914" s="82" t="s">
        <v>15779</v>
      </c>
      <c r="N2914" s="44"/>
      <c r="O2914" s="83"/>
    </row>
    <row r="2915">
      <c r="A2915" s="38"/>
      <c r="B2915" s="87" t="s">
        <v>15780</v>
      </c>
      <c r="C2915" s="81" t="s">
        <v>15781</v>
      </c>
      <c r="D2915" s="38"/>
      <c r="E2915" s="64"/>
      <c r="F2915" s="92"/>
      <c r="I2915" s="32"/>
      <c r="J2915" s="32"/>
      <c r="K2915" s="88" t="s">
        <v>15780</v>
      </c>
      <c r="L2915" s="82" t="s">
        <v>15782</v>
      </c>
      <c r="N2915" s="44"/>
      <c r="O2915" s="83"/>
    </row>
    <row r="2916">
      <c r="A2916" s="38"/>
      <c r="B2916" s="87" t="s">
        <v>15783</v>
      </c>
      <c r="C2916" s="81" t="s">
        <v>15784</v>
      </c>
      <c r="D2916" s="38"/>
      <c r="E2916" s="64"/>
      <c r="F2916" s="92"/>
      <c r="I2916" s="32"/>
      <c r="J2916" s="32"/>
      <c r="K2916" s="88" t="s">
        <v>15783</v>
      </c>
      <c r="L2916" s="82" t="s">
        <v>15785</v>
      </c>
      <c r="N2916" s="44"/>
      <c r="O2916" s="83"/>
    </row>
    <row r="2917">
      <c r="A2917" s="38"/>
      <c r="B2917" s="87" t="s">
        <v>15786</v>
      </c>
      <c r="C2917" s="81" t="s">
        <v>12616</v>
      </c>
      <c r="D2917" s="38"/>
      <c r="E2917" s="64"/>
      <c r="F2917" s="92"/>
      <c r="I2917" s="32"/>
      <c r="J2917" s="32"/>
      <c r="K2917" s="88" t="s">
        <v>15786</v>
      </c>
      <c r="L2917" s="82" t="s">
        <v>15787</v>
      </c>
      <c r="N2917" s="44"/>
      <c r="O2917" s="83"/>
    </row>
    <row r="2918">
      <c r="A2918" s="38"/>
      <c r="B2918" s="87" t="s">
        <v>15788</v>
      </c>
      <c r="C2918" s="81" t="s">
        <v>15789</v>
      </c>
      <c r="D2918" s="38"/>
      <c r="E2918" s="64"/>
      <c r="F2918" s="92"/>
      <c r="I2918" s="32"/>
      <c r="J2918" s="32"/>
      <c r="K2918" s="88" t="s">
        <v>15788</v>
      </c>
      <c r="L2918" s="82" t="s">
        <v>15790</v>
      </c>
      <c r="N2918" s="44"/>
      <c r="O2918" s="83"/>
    </row>
    <row r="2919">
      <c r="A2919" s="38"/>
      <c r="B2919" s="87" t="s">
        <v>15791</v>
      </c>
      <c r="C2919" s="81" t="s">
        <v>15792</v>
      </c>
      <c r="D2919" s="38"/>
      <c r="E2919" s="64"/>
      <c r="F2919" s="92"/>
      <c r="I2919" s="32"/>
      <c r="J2919" s="32"/>
      <c r="K2919" s="88" t="s">
        <v>15791</v>
      </c>
      <c r="L2919" s="82" t="s">
        <v>15793</v>
      </c>
      <c r="N2919" s="44"/>
      <c r="O2919" s="83"/>
    </row>
    <row r="2920">
      <c r="A2920" s="38"/>
      <c r="B2920" s="87" t="s">
        <v>15794</v>
      </c>
      <c r="C2920" s="81" t="s">
        <v>15795</v>
      </c>
      <c r="D2920" s="38"/>
      <c r="E2920" s="64"/>
      <c r="F2920" s="92"/>
      <c r="I2920" s="32"/>
      <c r="J2920" s="32"/>
      <c r="K2920" s="88" t="s">
        <v>15794</v>
      </c>
      <c r="L2920" s="82" t="s">
        <v>15796</v>
      </c>
      <c r="N2920" s="44"/>
      <c r="O2920" s="83"/>
    </row>
    <row r="2921">
      <c r="A2921" s="38"/>
      <c r="B2921" s="87" t="s">
        <v>15797</v>
      </c>
      <c r="C2921" s="81" t="s">
        <v>15798</v>
      </c>
      <c r="D2921" s="38"/>
      <c r="E2921" s="64"/>
      <c r="F2921" s="92"/>
      <c r="I2921" s="32"/>
      <c r="J2921" s="32"/>
      <c r="K2921" s="88" t="s">
        <v>15797</v>
      </c>
      <c r="L2921" s="82" t="s">
        <v>15799</v>
      </c>
      <c r="N2921" s="44"/>
      <c r="O2921" s="83"/>
    </row>
    <row r="2922">
      <c r="A2922" s="38"/>
      <c r="B2922" s="87" t="s">
        <v>15800</v>
      </c>
      <c r="C2922" s="81" t="s">
        <v>15801</v>
      </c>
      <c r="D2922" s="38"/>
      <c r="E2922" s="64"/>
      <c r="F2922" s="92"/>
      <c r="I2922" s="32"/>
      <c r="J2922" s="32"/>
      <c r="K2922" s="88" t="s">
        <v>15800</v>
      </c>
      <c r="L2922" s="82" t="s">
        <v>15802</v>
      </c>
      <c r="N2922" s="44"/>
      <c r="O2922" s="83"/>
    </row>
    <row r="2923">
      <c r="A2923" s="38"/>
      <c r="B2923" s="87" t="s">
        <v>15803</v>
      </c>
      <c r="C2923" s="81" t="s">
        <v>15804</v>
      </c>
      <c r="D2923" s="38"/>
      <c r="E2923" s="64"/>
      <c r="F2923" s="92"/>
      <c r="I2923" s="32"/>
      <c r="J2923" s="32"/>
      <c r="K2923" s="88" t="s">
        <v>15803</v>
      </c>
      <c r="L2923" s="82" t="s">
        <v>15805</v>
      </c>
      <c r="N2923" s="44"/>
      <c r="O2923" s="83"/>
    </row>
    <row r="2924">
      <c r="A2924" s="38"/>
      <c r="B2924" s="87" t="s">
        <v>15806</v>
      </c>
      <c r="C2924" s="81" t="s">
        <v>15807</v>
      </c>
      <c r="D2924" s="38"/>
      <c r="E2924" s="64"/>
      <c r="F2924" s="92"/>
      <c r="I2924" s="32"/>
      <c r="J2924" s="32"/>
      <c r="K2924" s="88" t="s">
        <v>15806</v>
      </c>
      <c r="L2924" s="82" t="s">
        <v>15808</v>
      </c>
      <c r="N2924" s="44"/>
      <c r="O2924" s="83"/>
    </row>
    <row r="2925">
      <c r="A2925" s="38"/>
      <c r="B2925" s="87" t="s">
        <v>15809</v>
      </c>
      <c r="C2925" s="81" t="s">
        <v>15810</v>
      </c>
      <c r="D2925" s="38"/>
      <c r="E2925" s="64"/>
      <c r="F2925" s="92"/>
      <c r="I2925" s="32"/>
      <c r="J2925" s="32"/>
      <c r="K2925" s="88" t="s">
        <v>15809</v>
      </c>
      <c r="L2925" s="82" t="s">
        <v>15811</v>
      </c>
      <c r="N2925" s="44"/>
      <c r="O2925" s="83"/>
    </row>
    <row r="2926">
      <c r="A2926" s="38"/>
      <c r="B2926" s="87" t="s">
        <v>15812</v>
      </c>
      <c r="C2926" s="81" t="s">
        <v>15813</v>
      </c>
      <c r="D2926" s="38"/>
      <c r="E2926" s="64"/>
      <c r="F2926" s="92"/>
      <c r="I2926" s="32"/>
      <c r="J2926" s="32"/>
      <c r="K2926" s="88" t="s">
        <v>15812</v>
      </c>
      <c r="L2926" s="82" t="s">
        <v>15814</v>
      </c>
      <c r="N2926" s="44"/>
      <c r="O2926" s="83"/>
    </row>
    <row r="2927">
      <c r="A2927" s="38"/>
      <c r="B2927" s="87" t="s">
        <v>15815</v>
      </c>
      <c r="C2927" s="81" t="s">
        <v>15816</v>
      </c>
      <c r="D2927" s="38"/>
      <c r="E2927" s="64"/>
      <c r="F2927" s="92"/>
      <c r="I2927" s="32"/>
      <c r="J2927" s="32"/>
      <c r="K2927" s="88" t="s">
        <v>15815</v>
      </c>
      <c r="L2927" s="82" t="s">
        <v>15817</v>
      </c>
      <c r="N2927" s="44"/>
      <c r="O2927" s="83"/>
    </row>
    <row r="2928">
      <c r="A2928" s="38"/>
      <c r="B2928" s="87" t="s">
        <v>15818</v>
      </c>
      <c r="C2928" s="81" t="s">
        <v>15819</v>
      </c>
      <c r="D2928" s="38"/>
      <c r="E2928" s="64"/>
      <c r="F2928" s="92"/>
      <c r="I2928" s="32"/>
      <c r="J2928" s="32"/>
      <c r="K2928" s="88" t="s">
        <v>15818</v>
      </c>
      <c r="L2928" s="82" t="s">
        <v>15820</v>
      </c>
      <c r="N2928" s="44"/>
      <c r="O2928" s="83"/>
    </row>
    <row r="2929">
      <c r="A2929" s="38"/>
      <c r="B2929" s="87" t="s">
        <v>15821</v>
      </c>
      <c r="C2929" s="81" t="s">
        <v>15822</v>
      </c>
      <c r="D2929" s="38"/>
      <c r="E2929" s="64"/>
      <c r="F2929" s="92"/>
      <c r="I2929" s="32"/>
      <c r="J2929" s="32"/>
      <c r="K2929" s="88" t="s">
        <v>15821</v>
      </c>
      <c r="L2929" s="82" t="s">
        <v>15823</v>
      </c>
      <c r="N2929" s="44"/>
      <c r="O2929" s="83"/>
    </row>
    <row r="2930">
      <c r="A2930" s="38"/>
      <c r="B2930" s="87" t="s">
        <v>15824</v>
      </c>
      <c r="C2930" s="81" t="s">
        <v>15825</v>
      </c>
      <c r="D2930" s="38"/>
      <c r="E2930" s="64"/>
      <c r="F2930" s="92"/>
      <c r="I2930" s="32"/>
      <c r="J2930" s="32"/>
      <c r="K2930" s="88" t="s">
        <v>15824</v>
      </c>
      <c r="L2930" s="82" t="s">
        <v>15826</v>
      </c>
      <c r="N2930" s="44"/>
      <c r="O2930" s="83"/>
    </row>
    <row r="2931">
      <c r="A2931" s="38"/>
      <c r="B2931" s="87" t="s">
        <v>15827</v>
      </c>
      <c r="C2931" s="81" t="s">
        <v>15828</v>
      </c>
      <c r="D2931" s="38"/>
      <c r="E2931" s="64"/>
      <c r="F2931" s="92"/>
      <c r="I2931" s="32"/>
      <c r="J2931" s="32"/>
      <c r="K2931" s="88" t="s">
        <v>15827</v>
      </c>
      <c r="L2931" s="82" t="s">
        <v>15829</v>
      </c>
      <c r="N2931" s="44"/>
      <c r="O2931" s="83"/>
    </row>
    <row r="2932">
      <c r="A2932" s="38"/>
      <c r="B2932" s="87" t="s">
        <v>15830</v>
      </c>
      <c r="C2932" s="81" t="s">
        <v>15831</v>
      </c>
      <c r="D2932" s="38"/>
      <c r="E2932" s="64"/>
      <c r="F2932" s="92"/>
      <c r="I2932" s="32"/>
      <c r="J2932" s="32"/>
      <c r="K2932" s="88" t="s">
        <v>15830</v>
      </c>
      <c r="L2932" s="82" t="s">
        <v>15832</v>
      </c>
      <c r="N2932" s="44"/>
      <c r="O2932" s="83"/>
    </row>
    <row r="2933">
      <c r="A2933" s="38"/>
      <c r="B2933" s="87" t="s">
        <v>15833</v>
      </c>
      <c r="C2933" s="81" t="s">
        <v>15834</v>
      </c>
      <c r="D2933" s="38"/>
      <c r="E2933" s="64"/>
      <c r="F2933" s="92"/>
      <c r="I2933" s="32"/>
      <c r="J2933" s="32"/>
      <c r="K2933" s="88" t="s">
        <v>15833</v>
      </c>
      <c r="L2933" s="82" t="s">
        <v>15835</v>
      </c>
      <c r="N2933" s="44"/>
      <c r="O2933" s="83"/>
    </row>
    <row r="2934">
      <c r="A2934" s="38"/>
      <c r="B2934" s="87" t="s">
        <v>15836</v>
      </c>
      <c r="C2934" s="81" t="s">
        <v>8783</v>
      </c>
      <c r="D2934" s="38"/>
      <c r="E2934" s="64"/>
      <c r="F2934" s="92"/>
      <c r="I2934" s="32"/>
      <c r="J2934" s="32"/>
      <c r="K2934" s="88" t="s">
        <v>15836</v>
      </c>
      <c r="L2934" s="82" t="s">
        <v>15837</v>
      </c>
      <c r="N2934" s="44"/>
      <c r="O2934" s="83"/>
    </row>
    <row r="2935">
      <c r="A2935" s="38"/>
      <c r="B2935" s="87" t="s">
        <v>15838</v>
      </c>
      <c r="C2935" s="81" t="s">
        <v>15839</v>
      </c>
      <c r="D2935" s="38"/>
      <c r="E2935" s="64"/>
      <c r="F2935" s="92"/>
      <c r="I2935" s="32"/>
      <c r="J2935" s="32"/>
      <c r="K2935" s="88" t="s">
        <v>15838</v>
      </c>
      <c r="L2935" s="82" t="s">
        <v>15840</v>
      </c>
      <c r="N2935" s="44"/>
      <c r="O2935" s="83"/>
    </row>
    <row r="2936">
      <c r="A2936" s="38"/>
      <c r="B2936" s="87" t="s">
        <v>15841</v>
      </c>
      <c r="C2936" s="81" t="s">
        <v>15842</v>
      </c>
      <c r="D2936" s="38"/>
      <c r="E2936" s="64"/>
      <c r="F2936" s="92"/>
      <c r="I2936" s="32"/>
      <c r="J2936" s="32"/>
      <c r="K2936" s="88" t="s">
        <v>15841</v>
      </c>
      <c r="L2936" s="82" t="s">
        <v>15843</v>
      </c>
      <c r="N2936" s="44"/>
      <c r="O2936" s="83"/>
    </row>
    <row r="2937">
      <c r="A2937" s="38"/>
      <c r="B2937" s="87" t="s">
        <v>15844</v>
      </c>
      <c r="C2937" s="81" t="s">
        <v>15845</v>
      </c>
      <c r="D2937" s="38"/>
      <c r="E2937" s="64"/>
      <c r="F2937" s="92"/>
      <c r="I2937" s="32"/>
      <c r="J2937" s="32"/>
      <c r="K2937" s="88" t="s">
        <v>15844</v>
      </c>
      <c r="L2937" s="82" t="s">
        <v>15846</v>
      </c>
      <c r="N2937" s="44"/>
      <c r="O2937" s="83"/>
    </row>
    <row r="2938">
      <c r="A2938" s="38"/>
      <c r="B2938" s="87" t="s">
        <v>15847</v>
      </c>
      <c r="C2938" s="81" t="s">
        <v>15848</v>
      </c>
      <c r="D2938" s="38"/>
      <c r="E2938" s="64"/>
      <c r="F2938" s="92"/>
      <c r="I2938" s="32"/>
      <c r="J2938" s="32"/>
      <c r="K2938" s="88" t="s">
        <v>15847</v>
      </c>
      <c r="L2938" s="82" t="s">
        <v>15849</v>
      </c>
      <c r="N2938" s="44"/>
      <c r="O2938" s="83"/>
    </row>
    <row r="2939">
      <c r="A2939" s="38"/>
      <c r="B2939" s="87" t="s">
        <v>15850</v>
      </c>
      <c r="C2939" s="81" t="s">
        <v>15851</v>
      </c>
      <c r="D2939" s="38"/>
      <c r="E2939" s="64"/>
      <c r="F2939" s="92"/>
      <c r="I2939" s="32"/>
      <c r="J2939" s="32"/>
      <c r="K2939" s="88" t="s">
        <v>15850</v>
      </c>
      <c r="L2939" s="82" t="s">
        <v>15852</v>
      </c>
      <c r="N2939" s="44"/>
      <c r="O2939" s="83"/>
    </row>
    <row r="2940">
      <c r="A2940" s="38"/>
      <c r="B2940" s="87" t="s">
        <v>15853</v>
      </c>
      <c r="C2940" s="81" t="s">
        <v>15854</v>
      </c>
      <c r="D2940" s="38"/>
      <c r="E2940" s="64"/>
      <c r="F2940" s="92"/>
      <c r="I2940" s="32"/>
      <c r="J2940" s="32"/>
      <c r="K2940" s="88" t="s">
        <v>15853</v>
      </c>
      <c r="L2940" s="82" t="s">
        <v>15855</v>
      </c>
      <c r="N2940" s="44"/>
      <c r="O2940" s="83"/>
    </row>
    <row r="2941">
      <c r="A2941" s="38"/>
      <c r="B2941" s="87" t="s">
        <v>15856</v>
      </c>
      <c r="C2941" s="81" t="s">
        <v>15857</v>
      </c>
      <c r="D2941" s="38"/>
      <c r="E2941" s="64"/>
      <c r="F2941" s="92"/>
      <c r="I2941" s="32"/>
      <c r="J2941" s="32"/>
      <c r="K2941" s="88" t="s">
        <v>15856</v>
      </c>
      <c r="L2941" s="82" t="s">
        <v>15858</v>
      </c>
      <c r="N2941" s="44"/>
      <c r="O2941" s="83"/>
    </row>
    <row r="2942">
      <c r="A2942" s="38"/>
      <c r="B2942" s="87" t="s">
        <v>15859</v>
      </c>
      <c r="C2942" s="81" t="s">
        <v>15860</v>
      </c>
      <c r="D2942" s="38"/>
      <c r="E2942" s="64"/>
      <c r="F2942" s="92"/>
      <c r="I2942" s="32"/>
      <c r="J2942" s="32"/>
      <c r="K2942" s="88" t="s">
        <v>15859</v>
      </c>
      <c r="L2942" s="82" t="s">
        <v>15861</v>
      </c>
      <c r="N2942" s="44"/>
      <c r="O2942" s="83"/>
    </row>
    <row r="2943">
      <c r="A2943" s="38"/>
      <c r="B2943" s="87" t="s">
        <v>15862</v>
      </c>
      <c r="C2943" s="81" t="s">
        <v>15863</v>
      </c>
      <c r="D2943" s="38"/>
      <c r="E2943" s="64"/>
      <c r="F2943" s="92"/>
      <c r="I2943" s="32"/>
      <c r="J2943" s="32"/>
      <c r="K2943" s="88" t="s">
        <v>15862</v>
      </c>
      <c r="L2943" s="82" t="s">
        <v>15864</v>
      </c>
      <c r="N2943" s="44"/>
      <c r="O2943" s="83"/>
    </row>
    <row r="2944">
      <c r="A2944" s="38"/>
      <c r="B2944" s="87" t="s">
        <v>15865</v>
      </c>
      <c r="C2944" s="81" t="s">
        <v>15866</v>
      </c>
      <c r="D2944" s="38"/>
      <c r="E2944" s="64"/>
      <c r="F2944" s="92"/>
      <c r="I2944" s="32"/>
      <c r="J2944" s="32"/>
      <c r="K2944" s="88" t="s">
        <v>15865</v>
      </c>
      <c r="L2944" s="82" t="s">
        <v>15867</v>
      </c>
      <c r="N2944" s="44"/>
      <c r="O2944" s="83"/>
    </row>
    <row r="2945">
      <c r="A2945" s="38"/>
      <c r="B2945" s="87" t="s">
        <v>15868</v>
      </c>
      <c r="C2945" s="81" t="s">
        <v>15869</v>
      </c>
      <c r="D2945" s="38"/>
      <c r="E2945" s="64"/>
      <c r="F2945" s="92"/>
      <c r="I2945" s="32"/>
      <c r="J2945" s="32"/>
      <c r="K2945" s="88" t="s">
        <v>15868</v>
      </c>
      <c r="L2945" s="82" t="s">
        <v>15870</v>
      </c>
      <c r="N2945" s="44"/>
      <c r="O2945" s="83"/>
    </row>
    <row r="2946">
      <c r="A2946" s="38"/>
      <c r="B2946" s="87" t="s">
        <v>15871</v>
      </c>
      <c r="C2946" s="81" t="s">
        <v>15872</v>
      </c>
      <c r="D2946" s="38"/>
      <c r="E2946" s="64"/>
      <c r="F2946" s="92"/>
      <c r="I2946" s="32"/>
      <c r="J2946" s="32"/>
      <c r="K2946" s="88" t="s">
        <v>15871</v>
      </c>
      <c r="L2946" s="82" t="s">
        <v>15873</v>
      </c>
      <c r="N2946" s="44"/>
      <c r="O2946" s="83"/>
    </row>
    <row r="2947">
      <c r="A2947" s="38"/>
      <c r="B2947" s="87" t="s">
        <v>15874</v>
      </c>
      <c r="C2947" s="81" t="s">
        <v>15875</v>
      </c>
      <c r="D2947" s="38"/>
      <c r="E2947" s="64"/>
      <c r="F2947" s="92"/>
      <c r="I2947" s="32"/>
      <c r="J2947" s="32"/>
      <c r="K2947" s="88" t="s">
        <v>15874</v>
      </c>
      <c r="L2947" s="82" t="s">
        <v>15876</v>
      </c>
      <c r="N2947" s="44"/>
      <c r="O2947" s="83"/>
    </row>
    <row r="2948">
      <c r="A2948" s="38"/>
      <c r="B2948" s="87" t="s">
        <v>15877</v>
      </c>
      <c r="C2948" s="81" t="s">
        <v>15878</v>
      </c>
      <c r="D2948" s="38"/>
      <c r="E2948" s="64"/>
      <c r="F2948" s="92"/>
      <c r="I2948" s="32"/>
      <c r="J2948" s="32"/>
      <c r="K2948" s="88" t="s">
        <v>15877</v>
      </c>
      <c r="L2948" s="82" t="s">
        <v>15879</v>
      </c>
      <c r="N2948" s="44"/>
      <c r="O2948" s="83"/>
    </row>
    <row r="2949">
      <c r="A2949" s="38"/>
      <c r="B2949" s="87" t="s">
        <v>15880</v>
      </c>
      <c r="C2949" s="81" t="s">
        <v>15881</v>
      </c>
      <c r="D2949" s="38"/>
      <c r="E2949" s="64"/>
      <c r="F2949" s="92"/>
      <c r="I2949" s="32"/>
      <c r="J2949" s="32"/>
      <c r="K2949" s="88" t="s">
        <v>15880</v>
      </c>
      <c r="L2949" s="82" t="s">
        <v>15882</v>
      </c>
      <c r="N2949" s="44"/>
      <c r="O2949" s="83"/>
    </row>
    <row r="2950">
      <c r="A2950" s="38"/>
      <c r="B2950" s="87" t="s">
        <v>15883</v>
      </c>
      <c r="C2950" s="81" t="s">
        <v>15884</v>
      </c>
      <c r="D2950" s="38"/>
      <c r="E2950" s="64"/>
      <c r="F2950" s="92"/>
      <c r="I2950" s="32"/>
      <c r="J2950" s="32"/>
      <c r="K2950" s="88" t="s">
        <v>15883</v>
      </c>
      <c r="L2950" s="82" t="s">
        <v>15885</v>
      </c>
      <c r="N2950" s="44"/>
      <c r="O2950" s="83"/>
    </row>
    <row r="2951">
      <c r="A2951" s="38"/>
      <c r="B2951" s="87" t="s">
        <v>15886</v>
      </c>
      <c r="C2951" s="81" t="s">
        <v>15887</v>
      </c>
      <c r="D2951" s="38"/>
      <c r="E2951" s="64"/>
      <c r="F2951" s="92"/>
      <c r="I2951" s="32"/>
      <c r="J2951" s="32"/>
      <c r="K2951" s="88" t="s">
        <v>15886</v>
      </c>
      <c r="L2951" s="82" t="s">
        <v>15888</v>
      </c>
      <c r="N2951" s="44"/>
      <c r="O2951" s="83"/>
    </row>
    <row r="2952">
      <c r="A2952" s="38"/>
      <c r="B2952" s="87" t="s">
        <v>15889</v>
      </c>
      <c r="C2952" s="81" t="s">
        <v>745</v>
      </c>
      <c r="D2952" s="38"/>
      <c r="E2952" s="64"/>
      <c r="F2952" s="92"/>
      <c r="I2952" s="32"/>
      <c r="J2952" s="32"/>
      <c r="K2952" s="88" t="s">
        <v>15889</v>
      </c>
      <c r="L2952" s="82" t="s">
        <v>15890</v>
      </c>
      <c r="N2952" s="44"/>
      <c r="O2952" s="83"/>
    </row>
    <row r="2953">
      <c r="A2953" s="38"/>
      <c r="B2953" s="87" t="s">
        <v>15891</v>
      </c>
      <c r="C2953" s="81" t="s">
        <v>15892</v>
      </c>
      <c r="D2953" s="38"/>
      <c r="E2953" s="64"/>
      <c r="F2953" s="92"/>
      <c r="I2953" s="32"/>
      <c r="J2953" s="32"/>
      <c r="K2953" s="88" t="s">
        <v>15891</v>
      </c>
      <c r="L2953" s="82" t="s">
        <v>15893</v>
      </c>
      <c r="N2953" s="44"/>
      <c r="O2953" s="83"/>
    </row>
    <row r="2954">
      <c r="A2954" s="38"/>
      <c r="B2954" s="87" t="s">
        <v>15894</v>
      </c>
      <c r="C2954" s="81" t="s">
        <v>15895</v>
      </c>
      <c r="D2954" s="38"/>
      <c r="E2954" s="64"/>
      <c r="F2954" s="92"/>
      <c r="I2954" s="32"/>
      <c r="J2954" s="32"/>
      <c r="K2954" s="88" t="s">
        <v>15894</v>
      </c>
      <c r="L2954" s="82" t="s">
        <v>15896</v>
      </c>
      <c r="N2954" s="44"/>
      <c r="O2954" s="83"/>
    </row>
    <row r="2955">
      <c r="A2955" s="38"/>
      <c r="B2955" s="87" t="s">
        <v>15897</v>
      </c>
      <c r="C2955" s="81" t="s">
        <v>15898</v>
      </c>
      <c r="D2955" s="38"/>
      <c r="E2955" s="64"/>
      <c r="F2955" s="92"/>
      <c r="I2955" s="32"/>
      <c r="J2955" s="32"/>
      <c r="K2955" s="88" t="s">
        <v>15897</v>
      </c>
      <c r="L2955" s="82" t="s">
        <v>15899</v>
      </c>
      <c r="N2955" s="44"/>
      <c r="O2955" s="83"/>
    </row>
    <row r="2956">
      <c r="A2956" s="38"/>
      <c r="B2956" s="87" t="s">
        <v>15900</v>
      </c>
      <c r="C2956" s="81" t="s">
        <v>15901</v>
      </c>
      <c r="D2956" s="38"/>
      <c r="E2956" s="64"/>
      <c r="F2956" s="92"/>
      <c r="I2956" s="32"/>
      <c r="J2956" s="32"/>
      <c r="K2956" s="88" t="s">
        <v>15900</v>
      </c>
      <c r="L2956" s="82" t="s">
        <v>15902</v>
      </c>
      <c r="N2956" s="44"/>
      <c r="O2956" s="83"/>
    </row>
    <row r="2957">
      <c r="A2957" s="38"/>
      <c r="B2957" s="87" t="s">
        <v>15903</v>
      </c>
      <c r="C2957" s="81" t="s">
        <v>15904</v>
      </c>
      <c r="D2957" s="38"/>
      <c r="E2957" s="64"/>
      <c r="F2957" s="92"/>
      <c r="I2957" s="32"/>
      <c r="J2957" s="32"/>
      <c r="K2957" s="88" t="s">
        <v>15903</v>
      </c>
      <c r="L2957" s="82" t="s">
        <v>15905</v>
      </c>
      <c r="N2957" s="44"/>
      <c r="O2957" s="83"/>
    </row>
    <row r="2958">
      <c r="A2958" s="38"/>
      <c r="B2958" s="87" t="s">
        <v>15906</v>
      </c>
      <c r="C2958" s="81" t="s">
        <v>15907</v>
      </c>
      <c r="D2958" s="38"/>
      <c r="E2958" s="64"/>
      <c r="F2958" s="92"/>
      <c r="I2958" s="32"/>
      <c r="J2958" s="32"/>
      <c r="K2958" s="88" t="s">
        <v>15906</v>
      </c>
      <c r="L2958" s="82" t="s">
        <v>15908</v>
      </c>
      <c r="N2958" s="44"/>
      <c r="O2958" s="83"/>
    </row>
    <row r="2959">
      <c r="A2959" s="38"/>
      <c r="B2959" s="87" t="s">
        <v>15909</v>
      </c>
      <c r="C2959" s="81" t="s">
        <v>15910</v>
      </c>
      <c r="D2959" s="38"/>
      <c r="E2959" s="64"/>
      <c r="F2959" s="92"/>
      <c r="I2959" s="32"/>
      <c r="J2959" s="32"/>
      <c r="K2959" s="88" t="s">
        <v>15909</v>
      </c>
      <c r="L2959" s="82" t="s">
        <v>15911</v>
      </c>
      <c r="N2959" s="44"/>
      <c r="O2959" s="83"/>
    </row>
    <row r="2960">
      <c r="A2960" s="38"/>
      <c r="B2960" s="87" t="s">
        <v>15912</v>
      </c>
      <c r="C2960" s="81" t="s">
        <v>15913</v>
      </c>
      <c r="D2960" s="38"/>
      <c r="E2960" s="64"/>
      <c r="F2960" s="92"/>
      <c r="I2960" s="32"/>
      <c r="J2960" s="32"/>
      <c r="K2960" s="88" t="s">
        <v>15912</v>
      </c>
      <c r="L2960" s="82" t="s">
        <v>15914</v>
      </c>
      <c r="N2960" s="44"/>
      <c r="O2960" s="83"/>
    </row>
    <row r="2961">
      <c r="A2961" s="38"/>
      <c r="B2961" s="87" t="s">
        <v>15915</v>
      </c>
      <c r="C2961" s="81" t="s">
        <v>15916</v>
      </c>
      <c r="D2961" s="38"/>
      <c r="E2961" s="64"/>
      <c r="F2961" s="92"/>
      <c r="I2961" s="32"/>
      <c r="J2961" s="32"/>
      <c r="K2961" s="88" t="s">
        <v>15915</v>
      </c>
      <c r="L2961" s="82" t="s">
        <v>15917</v>
      </c>
      <c r="N2961" s="44"/>
      <c r="O2961" s="83"/>
    </row>
    <row r="2962">
      <c r="A2962" s="38"/>
      <c r="B2962" s="87" t="s">
        <v>15918</v>
      </c>
      <c r="C2962" s="81" t="s">
        <v>15919</v>
      </c>
      <c r="D2962" s="38"/>
      <c r="E2962" s="64"/>
      <c r="F2962" s="92"/>
      <c r="I2962" s="32"/>
      <c r="J2962" s="32"/>
      <c r="K2962" s="88" t="s">
        <v>15918</v>
      </c>
      <c r="L2962" s="82" t="s">
        <v>15920</v>
      </c>
      <c r="N2962" s="44"/>
      <c r="O2962" s="83"/>
    </row>
    <row r="2963">
      <c r="A2963" s="38"/>
      <c r="B2963" s="87" t="s">
        <v>15921</v>
      </c>
      <c r="C2963" s="81" t="s">
        <v>15922</v>
      </c>
      <c r="D2963" s="38"/>
      <c r="E2963" s="64"/>
      <c r="F2963" s="92"/>
      <c r="I2963" s="32"/>
      <c r="J2963" s="32"/>
      <c r="K2963" s="88" t="s">
        <v>15921</v>
      </c>
      <c r="L2963" s="82" t="s">
        <v>15923</v>
      </c>
      <c r="N2963" s="44"/>
      <c r="O2963" s="83"/>
    </row>
    <row r="2964">
      <c r="A2964" s="38"/>
      <c r="B2964" s="87" t="s">
        <v>15924</v>
      </c>
      <c r="C2964" s="81" t="s">
        <v>1197</v>
      </c>
      <c r="D2964" s="38"/>
      <c r="E2964" s="64"/>
      <c r="F2964" s="92"/>
      <c r="I2964" s="32"/>
      <c r="J2964" s="32"/>
      <c r="K2964" s="88" t="s">
        <v>15924</v>
      </c>
      <c r="L2964" s="82" t="s">
        <v>15925</v>
      </c>
      <c r="N2964" s="44"/>
      <c r="O2964" s="83"/>
    </row>
    <row r="2965">
      <c r="A2965" s="38"/>
      <c r="B2965" s="87" t="s">
        <v>15926</v>
      </c>
      <c r="C2965" s="81" t="s">
        <v>15927</v>
      </c>
      <c r="D2965" s="38"/>
      <c r="E2965" s="64"/>
      <c r="F2965" s="92"/>
      <c r="I2965" s="32"/>
      <c r="J2965" s="32"/>
      <c r="K2965" s="88" t="s">
        <v>15926</v>
      </c>
      <c r="L2965" s="82" t="s">
        <v>15928</v>
      </c>
      <c r="N2965" s="44"/>
      <c r="O2965" s="83"/>
    </row>
    <row r="2966">
      <c r="A2966" s="38"/>
      <c r="B2966" s="87" t="s">
        <v>15929</v>
      </c>
      <c r="C2966" s="81" t="s">
        <v>15930</v>
      </c>
      <c r="D2966" s="38"/>
      <c r="E2966" s="64"/>
      <c r="F2966" s="92"/>
      <c r="I2966" s="32"/>
      <c r="J2966" s="32"/>
      <c r="K2966" s="88" t="s">
        <v>15929</v>
      </c>
      <c r="L2966" s="82" t="s">
        <v>15931</v>
      </c>
      <c r="N2966" s="44"/>
      <c r="O2966" s="83"/>
    </row>
    <row r="2967">
      <c r="A2967" s="38"/>
      <c r="B2967" s="87" t="s">
        <v>15932</v>
      </c>
      <c r="C2967" s="81" t="s">
        <v>15933</v>
      </c>
      <c r="D2967" s="38"/>
      <c r="E2967" s="64"/>
      <c r="F2967" s="92"/>
      <c r="I2967" s="32"/>
      <c r="J2967" s="32"/>
      <c r="K2967" s="88" t="s">
        <v>15932</v>
      </c>
      <c r="L2967" s="82" t="s">
        <v>15934</v>
      </c>
      <c r="N2967" s="44"/>
      <c r="O2967" s="83"/>
    </row>
    <row r="2968">
      <c r="A2968" s="38"/>
      <c r="B2968" s="87" t="s">
        <v>15935</v>
      </c>
      <c r="C2968" s="81" t="s">
        <v>15936</v>
      </c>
      <c r="D2968" s="38"/>
      <c r="E2968" s="64"/>
      <c r="F2968" s="92"/>
      <c r="I2968" s="32"/>
      <c r="J2968" s="32"/>
      <c r="K2968" s="88" t="s">
        <v>15935</v>
      </c>
      <c r="L2968" s="82" t="s">
        <v>15937</v>
      </c>
      <c r="N2968" s="44"/>
      <c r="O2968" s="83"/>
    </row>
    <row r="2969">
      <c r="A2969" s="38"/>
      <c r="B2969" s="87" t="s">
        <v>15938</v>
      </c>
      <c r="C2969" s="81" t="s">
        <v>15939</v>
      </c>
      <c r="D2969" s="38"/>
      <c r="E2969" s="64"/>
      <c r="F2969" s="92"/>
      <c r="I2969" s="32"/>
      <c r="J2969" s="32"/>
      <c r="K2969" s="88" t="s">
        <v>15938</v>
      </c>
      <c r="L2969" s="82" t="s">
        <v>15940</v>
      </c>
      <c r="N2969" s="44"/>
      <c r="O2969" s="83"/>
    </row>
    <row r="2970">
      <c r="A2970" s="38"/>
      <c r="B2970" s="87" t="s">
        <v>15941</v>
      </c>
      <c r="C2970" s="81" t="s">
        <v>7561</v>
      </c>
      <c r="D2970" s="38"/>
      <c r="E2970" s="64"/>
      <c r="F2970" s="92"/>
      <c r="I2970" s="32"/>
      <c r="J2970" s="32"/>
      <c r="K2970" s="88" t="s">
        <v>15941</v>
      </c>
      <c r="L2970" s="82" t="s">
        <v>15942</v>
      </c>
      <c r="N2970" s="44"/>
      <c r="O2970" s="83"/>
    </row>
    <row r="2971">
      <c r="A2971" s="38"/>
      <c r="B2971" s="87" t="s">
        <v>15943</v>
      </c>
      <c r="C2971" s="81" t="s">
        <v>15944</v>
      </c>
      <c r="D2971" s="38"/>
      <c r="E2971" s="64"/>
      <c r="F2971" s="92"/>
      <c r="I2971" s="32"/>
      <c r="J2971" s="32"/>
      <c r="K2971" s="88" t="s">
        <v>15943</v>
      </c>
      <c r="L2971" s="82" t="s">
        <v>15945</v>
      </c>
      <c r="N2971" s="44"/>
      <c r="O2971" s="83"/>
    </row>
    <row r="2972">
      <c r="A2972" s="38"/>
      <c r="B2972" s="87" t="s">
        <v>15946</v>
      </c>
      <c r="C2972" s="81" t="s">
        <v>15947</v>
      </c>
      <c r="D2972" s="38"/>
      <c r="E2972" s="64"/>
      <c r="F2972" s="92"/>
      <c r="I2972" s="32"/>
      <c r="J2972" s="32"/>
      <c r="K2972" s="88" t="s">
        <v>15946</v>
      </c>
      <c r="L2972" s="82" t="s">
        <v>15948</v>
      </c>
      <c r="N2972" s="44"/>
      <c r="O2972" s="83"/>
    </row>
    <row r="2973">
      <c r="A2973" s="38"/>
      <c r="B2973" s="87" t="s">
        <v>15949</v>
      </c>
      <c r="C2973" s="81" t="s">
        <v>15950</v>
      </c>
      <c r="D2973" s="38"/>
      <c r="E2973" s="64"/>
      <c r="F2973" s="92"/>
      <c r="I2973" s="32"/>
      <c r="J2973" s="32"/>
      <c r="K2973" s="88" t="s">
        <v>15949</v>
      </c>
      <c r="L2973" s="82" t="s">
        <v>15951</v>
      </c>
      <c r="N2973" s="44"/>
      <c r="O2973" s="83"/>
    </row>
    <row r="2974">
      <c r="A2974" s="38"/>
      <c r="B2974" s="87" t="s">
        <v>15952</v>
      </c>
      <c r="C2974" s="81" t="s">
        <v>15953</v>
      </c>
      <c r="D2974" s="38"/>
      <c r="E2974" s="64"/>
      <c r="F2974" s="92"/>
      <c r="I2974" s="32"/>
      <c r="J2974" s="32"/>
      <c r="K2974" s="88" t="s">
        <v>15952</v>
      </c>
      <c r="L2974" s="82" t="s">
        <v>15954</v>
      </c>
      <c r="N2974" s="44"/>
      <c r="O2974" s="83"/>
    </row>
    <row r="2975">
      <c r="A2975" s="38"/>
      <c r="B2975" s="87" t="s">
        <v>15955</v>
      </c>
      <c r="C2975" s="81" t="s">
        <v>15956</v>
      </c>
      <c r="D2975" s="38"/>
      <c r="E2975" s="64"/>
      <c r="F2975" s="92"/>
      <c r="I2975" s="32"/>
      <c r="J2975" s="32"/>
      <c r="K2975" s="88" t="s">
        <v>15955</v>
      </c>
      <c r="L2975" s="82" t="s">
        <v>15957</v>
      </c>
      <c r="N2975" s="44"/>
      <c r="O2975" s="83"/>
    </row>
    <row r="2976">
      <c r="A2976" s="38"/>
      <c r="B2976" s="87" t="s">
        <v>15958</v>
      </c>
      <c r="C2976" s="81" t="s">
        <v>15959</v>
      </c>
      <c r="D2976" s="38"/>
      <c r="E2976" s="64"/>
      <c r="F2976" s="92"/>
      <c r="I2976" s="32"/>
      <c r="J2976" s="32"/>
      <c r="K2976" s="88" t="s">
        <v>15958</v>
      </c>
      <c r="L2976" s="82" t="s">
        <v>15960</v>
      </c>
      <c r="N2976" s="44"/>
      <c r="O2976" s="83"/>
    </row>
    <row r="2977">
      <c r="A2977" s="38"/>
      <c r="B2977" s="87" t="s">
        <v>15961</v>
      </c>
      <c r="C2977" s="81" t="s">
        <v>15962</v>
      </c>
      <c r="D2977" s="38"/>
      <c r="E2977" s="64"/>
      <c r="F2977" s="92"/>
      <c r="I2977" s="32"/>
      <c r="J2977" s="32"/>
      <c r="K2977" s="88" t="s">
        <v>15961</v>
      </c>
      <c r="L2977" s="82" t="s">
        <v>15963</v>
      </c>
      <c r="N2977" s="44"/>
      <c r="O2977" s="83"/>
    </row>
    <row r="2978">
      <c r="A2978" s="38"/>
      <c r="B2978" s="87" t="s">
        <v>15964</v>
      </c>
      <c r="C2978" s="81" t="s">
        <v>8342</v>
      </c>
      <c r="D2978" s="38"/>
      <c r="E2978" s="64"/>
      <c r="F2978" s="92"/>
      <c r="I2978" s="32"/>
      <c r="J2978" s="32"/>
      <c r="K2978" s="88" t="s">
        <v>15964</v>
      </c>
      <c r="L2978" s="82" t="s">
        <v>15965</v>
      </c>
      <c r="N2978" s="44"/>
      <c r="O2978" s="83"/>
    </row>
    <row r="2979">
      <c r="A2979" s="38"/>
      <c r="B2979" s="87" t="s">
        <v>15966</v>
      </c>
      <c r="C2979" s="81" t="s">
        <v>15967</v>
      </c>
      <c r="D2979" s="38"/>
      <c r="E2979" s="64"/>
      <c r="F2979" s="92"/>
      <c r="I2979" s="32"/>
      <c r="J2979" s="32"/>
      <c r="K2979" s="88" t="s">
        <v>15966</v>
      </c>
      <c r="L2979" s="82" t="s">
        <v>15968</v>
      </c>
      <c r="N2979" s="44"/>
      <c r="O2979" s="83"/>
    </row>
    <row r="2980">
      <c r="A2980" s="38"/>
      <c r="B2980" s="87" t="s">
        <v>15969</v>
      </c>
      <c r="C2980" s="81" t="s">
        <v>15970</v>
      </c>
      <c r="D2980" s="38"/>
      <c r="E2980" s="64"/>
      <c r="F2980" s="92"/>
      <c r="I2980" s="32"/>
      <c r="J2980" s="32"/>
      <c r="K2980" s="88" t="s">
        <v>15969</v>
      </c>
      <c r="L2980" s="82" t="s">
        <v>15971</v>
      </c>
      <c r="N2980" s="44"/>
      <c r="O2980" s="83"/>
    </row>
    <row r="2981">
      <c r="A2981" s="38"/>
      <c r="B2981" s="87" t="s">
        <v>15972</v>
      </c>
      <c r="C2981" s="81" t="s">
        <v>15973</v>
      </c>
      <c r="D2981" s="38"/>
      <c r="E2981" s="64"/>
      <c r="F2981" s="92"/>
      <c r="I2981" s="32"/>
      <c r="J2981" s="32"/>
      <c r="K2981" s="88" t="s">
        <v>15972</v>
      </c>
      <c r="L2981" s="82" t="s">
        <v>15974</v>
      </c>
      <c r="N2981" s="44"/>
      <c r="O2981" s="83"/>
    </row>
    <row r="2982">
      <c r="A2982" s="38"/>
      <c r="B2982" s="87" t="s">
        <v>15975</v>
      </c>
      <c r="C2982" s="81" t="s">
        <v>15976</v>
      </c>
      <c r="D2982" s="38"/>
      <c r="E2982" s="64"/>
      <c r="F2982" s="92"/>
      <c r="I2982" s="32"/>
      <c r="J2982" s="32"/>
      <c r="K2982" s="88" t="s">
        <v>15975</v>
      </c>
      <c r="L2982" s="82" t="s">
        <v>15977</v>
      </c>
      <c r="N2982" s="44"/>
      <c r="O2982" s="83"/>
    </row>
    <row r="2983">
      <c r="A2983" s="38"/>
      <c r="B2983" s="87" t="s">
        <v>15978</v>
      </c>
      <c r="C2983" s="81" t="s">
        <v>15547</v>
      </c>
      <c r="D2983" s="38"/>
      <c r="E2983" s="64"/>
      <c r="F2983" s="92"/>
      <c r="I2983" s="32"/>
      <c r="J2983" s="32"/>
      <c r="K2983" s="88" t="s">
        <v>15978</v>
      </c>
      <c r="L2983" s="82" t="s">
        <v>15979</v>
      </c>
      <c r="N2983" s="44"/>
      <c r="O2983" s="83"/>
    </row>
    <row r="2984">
      <c r="A2984" s="38"/>
      <c r="B2984" s="87" t="s">
        <v>15980</v>
      </c>
      <c r="C2984" s="81" t="s">
        <v>15981</v>
      </c>
      <c r="D2984" s="38"/>
      <c r="E2984" s="64"/>
      <c r="F2984" s="92"/>
      <c r="I2984" s="32"/>
      <c r="J2984" s="32"/>
      <c r="K2984" s="88" t="s">
        <v>15980</v>
      </c>
      <c r="L2984" s="82" t="s">
        <v>15982</v>
      </c>
      <c r="N2984" s="44"/>
      <c r="O2984" s="83"/>
    </row>
    <row r="2985">
      <c r="A2985" s="38"/>
      <c r="B2985" s="87" t="s">
        <v>15983</v>
      </c>
      <c r="C2985" s="81" t="s">
        <v>15984</v>
      </c>
      <c r="D2985" s="38"/>
      <c r="E2985" s="64"/>
      <c r="F2985" s="92"/>
      <c r="I2985" s="32"/>
      <c r="J2985" s="32"/>
      <c r="K2985" s="88" t="s">
        <v>15983</v>
      </c>
      <c r="L2985" s="82" t="s">
        <v>15985</v>
      </c>
      <c r="N2985" s="44"/>
      <c r="O2985" s="83"/>
    </row>
    <row r="2986">
      <c r="A2986" s="38"/>
      <c r="B2986" s="87" t="s">
        <v>15986</v>
      </c>
      <c r="C2986" s="81" t="s">
        <v>15987</v>
      </c>
      <c r="D2986" s="38"/>
      <c r="E2986" s="64"/>
      <c r="F2986" s="92"/>
      <c r="I2986" s="32"/>
      <c r="J2986" s="32"/>
      <c r="K2986" s="88" t="s">
        <v>15986</v>
      </c>
      <c r="L2986" s="82" t="s">
        <v>15988</v>
      </c>
      <c r="N2986" s="44"/>
      <c r="O2986" s="83"/>
    </row>
    <row r="2987">
      <c r="A2987" s="38"/>
      <c r="B2987" s="87" t="s">
        <v>15989</v>
      </c>
      <c r="C2987" s="81" t="s">
        <v>15990</v>
      </c>
      <c r="D2987" s="38"/>
      <c r="E2987" s="64"/>
      <c r="F2987" s="92"/>
      <c r="I2987" s="32"/>
      <c r="J2987" s="32"/>
      <c r="K2987" s="88" t="s">
        <v>15989</v>
      </c>
      <c r="L2987" s="82" t="s">
        <v>15991</v>
      </c>
      <c r="N2987" s="44"/>
      <c r="O2987" s="83"/>
    </row>
    <row r="2988">
      <c r="A2988" s="38"/>
      <c r="B2988" s="87" t="s">
        <v>15992</v>
      </c>
      <c r="C2988" s="81" t="s">
        <v>15993</v>
      </c>
      <c r="D2988" s="38"/>
      <c r="E2988" s="64"/>
      <c r="F2988" s="92"/>
      <c r="I2988" s="32"/>
      <c r="J2988" s="32"/>
      <c r="K2988" s="88" t="s">
        <v>15992</v>
      </c>
      <c r="L2988" s="82" t="s">
        <v>15994</v>
      </c>
      <c r="N2988" s="44"/>
      <c r="O2988" s="83"/>
    </row>
    <row r="2989">
      <c r="A2989" s="38"/>
      <c r="B2989" s="87" t="s">
        <v>15995</v>
      </c>
      <c r="C2989" s="81" t="s">
        <v>15996</v>
      </c>
      <c r="D2989" s="38"/>
      <c r="E2989" s="64"/>
      <c r="F2989" s="92"/>
      <c r="I2989" s="32"/>
      <c r="J2989" s="32"/>
      <c r="K2989" s="88" t="s">
        <v>15995</v>
      </c>
      <c r="L2989" s="82" t="s">
        <v>15997</v>
      </c>
      <c r="N2989" s="44"/>
      <c r="O2989" s="83"/>
    </row>
    <row r="2990">
      <c r="A2990" s="38"/>
      <c r="B2990" s="87" t="s">
        <v>15998</v>
      </c>
      <c r="C2990" s="81" t="s">
        <v>15999</v>
      </c>
      <c r="D2990" s="38"/>
      <c r="E2990" s="64"/>
      <c r="F2990" s="92"/>
      <c r="I2990" s="32"/>
      <c r="J2990" s="32"/>
      <c r="K2990" s="88" t="s">
        <v>15998</v>
      </c>
      <c r="L2990" s="82" t="s">
        <v>16000</v>
      </c>
      <c r="N2990" s="44"/>
      <c r="O2990" s="83"/>
    </row>
    <row r="2991">
      <c r="A2991" s="38"/>
      <c r="B2991" s="87" t="s">
        <v>16001</v>
      </c>
      <c r="C2991" s="81" t="s">
        <v>16002</v>
      </c>
      <c r="D2991" s="38"/>
      <c r="E2991" s="64"/>
      <c r="F2991" s="92"/>
      <c r="I2991" s="32"/>
      <c r="J2991" s="32"/>
      <c r="K2991" s="88" t="s">
        <v>16001</v>
      </c>
      <c r="L2991" s="82" t="s">
        <v>16003</v>
      </c>
      <c r="N2991" s="44"/>
      <c r="O2991" s="83"/>
    </row>
    <row r="2992">
      <c r="A2992" s="38"/>
      <c r="B2992" s="87" t="s">
        <v>16004</v>
      </c>
      <c r="C2992" s="81" t="s">
        <v>16005</v>
      </c>
      <c r="D2992" s="38"/>
      <c r="E2992" s="64"/>
      <c r="F2992" s="92"/>
      <c r="I2992" s="32"/>
      <c r="J2992" s="32"/>
      <c r="K2992" s="88" t="s">
        <v>16004</v>
      </c>
      <c r="L2992" s="82" t="s">
        <v>16006</v>
      </c>
      <c r="N2992" s="44"/>
      <c r="O2992" s="83"/>
    </row>
    <row r="2993">
      <c r="A2993" s="38"/>
      <c r="B2993" s="87" t="s">
        <v>16007</v>
      </c>
      <c r="C2993" s="81" t="s">
        <v>16008</v>
      </c>
      <c r="D2993" s="38"/>
      <c r="E2993" s="64"/>
      <c r="F2993" s="92"/>
      <c r="I2993" s="32"/>
      <c r="J2993" s="32"/>
      <c r="K2993" s="88" t="s">
        <v>16007</v>
      </c>
      <c r="L2993" s="82" t="s">
        <v>16009</v>
      </c>
      <c r="N2993" s="44"/>
      <c r="O2993" s="83"/>
    </row>
    <row r="2994">
      <c r="A2994" s="38"/>
      <c r="B2994" s="87" t="s">
        <v>16010</v>
      </c>
      <c r="C2994" s="81" t="s">
        <v>16011</v>
      </c>
      <c r="D2994" s="38"/>
      <c r="E2994" s="64"/>
      <c r="F2994" s="92"/>
      <c r="I2994" s="32"/>
      <c r="J2994" s="32"/>
      <c r="K2994" s="88" t="s">
        <v>16010</v>
      </c>
      <c r="L2994" s="82" t="s">
        <v>16012</v>
      </c>
      <c r="N2994" s="44"/>
      <c r="O2994" s="83"/>
    </row>
    <row r="2995">
      <c r="A2995" s="38"/>
      <c r="B2995" s="87" t="s">
        <v>16013</v>
      </c>
      <c r="C2995" s="81" t="s">
        <v>16014</v>
      </c>
      <c r="D2995" s="38"/>
      <c r="E2995" s="64"/>
      <c r="F2995" s="92"/>
      <c r="I2995" s="32"/>
      <c r="J2995" s="32"/>
      <c r="K2995" s="88" t="s">
        <v>16013</v>
      </c>
      <c r="L2995" s="82" t="s">
        <v>16015</v>
      </c>
      <c r="N2995" s="44"/>
      <c r="O2995" s="83"/>
    </row>
    <row r="2996">
      <c r="A2996" s="38"/>
      <c r="B2996" s="87" t="s">
        <v>16016</v>
      </c>
      <c r="C2996" s="81" t="s">
        <v>16017</v>
      </c>
      <c r="D2996" s="38"/>
      <c r="E2996" s="64"/>
      <c r="F2996" s="92"/>
      <c r="I2996" s="32"/>
      <c r="J2996" s="32"/>
      <c r="K2996" s="88" t="s">
        <v>16016</v>
      </c>
      <c r="L2996" s="82" t="s">
        <v>16018</v>
      </c>
      <c r="N2996" s="44"/>
      <c r="O2996" s="83"/>
    </row>
    <row r="2997">
      <c r="A2997" s="38"/>
      <c r="B2997" s="87" t="s">
        <v>16019</v>
      </c>
      <c r="C2997" s="81" t="s">
        <v>16020</v>
      </c>
      <c r="D2997" s="38"/>
      <c r="E2997" s="64"/>
      <c r="F2997" s="92"/>
      <c r="I2997" s="32"/>
      <c r="J2997" s="32"/>
      <c r="K2997" s="88" t="s">
        <v>16019</v>
      </c>
      <c r="L2997" s="82" t="s">
        <v>16021</v>
      </c>
      <c r="N2997" s="44"/>
      <c r="O2997" s="83"/>
    </row>
    <row r="2998">
      <c r="A2998" s="38"/>
      <c r="B2998" s="87" t="s">
        <v>16022</v>
      </c>
      <c r="C2998" s="81" t="s">
        <v>16023</v>
      </c>
      <c r="D2998" s="38"/>
      <c r="E2998" s="64"/>
      <c r="F2998" s="92"/>
      <c r="I2998" s="32"/>
      <c r="J2998" s="32"/>
      <c r="K2998" s="88" t="s">
        <v>16022</v>
      </c>
      <c r="L2998" s="82" t="s">
        <v>16024</v>
      </c>
      <c r="N2998" s="44"/>
      <c r="O2998" s="83"/>
    </row>
    <row r="2999">
      <c r="A2999" s="38"/>
      <c r="B2999" s="87" t="s">
        <v>16025</v>
      </c>
      <c r="C2999" s="81" t="s">
        <v>16026</v>
      </c>
      <c r="D2999" s="38"/>
      <c r="E2999" s="64"/>
      <c r="F2999" s="92"/>
      <c r="I2999" s="32"/>
      <c r="J2999" s="32"/>
      <c r="K2999" s="88" t="s">
        <v>16025</v>
      </c>
      <c r="L2999" s="82" t="s">
        <v>16027</v>
      </c>
      <c r="N2999" s="44"/>
      <c r="O2999" s="83"/>
    </row>
    <row r="3000">
      <c r="A3000" s="38"/>
      <c r="B3000" s="87" t="s">
        <v>16028</v>
      </c>
      <c r="C3000" s="81" t="s">
        <v>16029</v>
      </c>
      <c r="D3000" s="38"/>
      <c r="E3000" s="64"/>
      <c r="F3000" s="92"/>
      <c r="I3000" s="32"/>
      <c r="J3000" s="32"/>
      <c r="K3000" s="88" t="s">
        <v>16028</v>
      </c>
      <c r="L3000" s="82" t="s">
        <v>16030</v>
      </c>
      <c r="N3000" s="44"/>
      <c r="O3000" s="83"/>
    </row>
    <row r="3001">
      <c r="A3001" s="38"/>
      <c r="B3001" s="87" t="s">
        <v>16031</v>
      </c>
      <c r="C3001" s="81" t="s">
        <v>16032</v>
      </c>
      <c r="D3001" s="38"/>
      <c r="E3001" s="64"/>
      <c r="F3001" s="92"/>
      <c r="I3001" s="32"/>
      <c r="J3001" s="32"/>
      <c r="K3001" s="88" t="s">
        <v>16031</v>
      </c>
      <c r="L3001" s="82" t="s">
        <v>16033</v>
      </c>
      <c r="N3001" s="44"/>
      <c r="O3001" s="83"/>
    </row>
    <row r="3002">
      <c r="A3002" s="38"/>
      <c r="B3002" s="87" t="s">
        <v>16034</v>
      </c>
      <c r="C3002" s="81" t="s">
        <v>16035</v>
      </c>
      <c r="D3002" s="38"/>
      <c r="E3002" s="64"/>
      <c r="F3002" s="92"/>
      <c r="I3002" s="32"/>
      <c r="J3002" s="32"/>
      <c r="K3002" s="88" t="s">
        <v>16034</v>
      </c>
      <c r="L3002" s="82" t="s">
        <v>16036</v>
      </c>
      <c r="N3002" s="44"/>
      <c r="O3002" s="83"/>
    </row>
    <row r="3003">
      <c r="A3003" s="38"/>
      <c r="B3003" s="87" t="s">
        <v>16037</v>
      </c>
      <c r="C3003" s="81" t="s">
        <v>16038</v>
      </c>
      <c r="D3003" s="38"/>
      <c r="E3003" s="64"/>
      <c r="F3003" s="92"/>
      <c r="I3003" s="32"/>
      <c r="J3003" s="32"/>
      <c r="K3003" s="88" t="s">
        <v>16037</v>
      </c>
      <c r="L3003" s="82" t="s">
        <v>16039</v>
      </c>
      <c r="N3003" s="44"/>
      <c r="O3003" s="83"/>
    </row>
    <row r="3004">
      <c r="A3004" s="38"/>
      <c r="B3004" s="87" t="s">
        <v>16040</v>
      </c>
      <c r="C3004" s="81" t="s">
        <v>16041</v>
      </c>
      <c r="D3004" s="38"/>
      <c r="E3004" s="64"/>
      <c r="F3004" s="92"/>
      <c r="I3004" s="32"/>
      <c r="J3004" s="32"/>
      <c r="K3004" s="88" t="s">
        <v>16040</v>
      </c>
      <c r="L3004" s="82" t="s">
        <v>16042</v>
      </c>
      <c r="N3004" s="44"/>
      <c r="O3004" s="83"/>
    </row>
    <row r="3005">
      <c r="A3005" s="38"/>
      <c r="B3005" s="87" t="s">
        <v>16043</v>
      </c>
      <c r="C3005" s="81" t="s">
        <v>3290</v>
      </c>
      <c r="D3005" s="38"/>
      <c r="E3005" s="64"/>
      <c r="F3005" s="92"/>
      <c r="I3005" s="32"/>
      <c r="J3005" s="32"/>
      <c r="K3005" s="88" t="s">
        <v>16043</v>
      </c>
      <c r="L3005" s="82" t="s">
        <v>16044</v>
      </c>
      <c r="N3005" s="44"/>
      <c r="O3005" s="83"/>
    </row>
    <row r="3006">
      <c r="A3006" s="38"/>
      <c r="B3006" s="87" t="s">
        <v>16045</v>
      </c>
      <c r="C3006" s="81" t="s">
        <v>16046</v>
      </c>
      <c r="D3006" s="38"/>
      <c r="E3006" s="64"/>
      <c r="F3006" s="92"/>
      <c r="I3006" s="32"/>
      <c r="J3006" s="32"/>
      <c r="K3006" s="88" t="s">
        <v>16045</v>
      </c>
      <c r="L3006" s="82" t="s">
        <v>16047</v>
      </c>
      <c r="N3006" s="44"/>
      <c r="O3006" s="83"/>
    </row>
    <row r="3007">
      <c r="A3007" s="38"/>
      <c r="B3007" s="87" t="s">
        <v>16048</v>
      </c>
      <c r="C3007" s="81" t="s">
        <v>16049</v>
      </c>
      <c r="D3007" s="38"/>
      <c r="E3007" s="64"/>
      <c r="F3007" s="92"/>
      <c r="I3007" s="32"/>
      <c r="J3007" s="32"/>
      <c r="K3007" s="88" t="s">
        <v>16048</v>
      </c>
      <c r="L3007" s="82" t="s">
        <v>16050</v>
      </c>
      <c r="N3007" s="44"/>
      <c r="O3007" s="83"/>
    </row>
    <row r="3008">
      <c r="A3008" s="38"/>
      <c r="B3008" s="87" t="s">
        <v>16051</v>
      </c>
      <c r="C3008" s="81" t="s">
        <v>16052</v>
      </c>
      <c r="D3008" s="38"/>
      <c r="E3008" s="64"/>
      <c r="F3008" s="92"/>
      <c r="I3008" s="32"/>
      <c r="J3008" s="32"/>
      <c r="K3008" s="88" t="s">
        <v>16051</v>
      </c>
      <c r="L3008" s="82" t="s">
        <v>16053</v>
      </c>
      <c r="N3008" s="44"/>
      <c r="O3008" s="83"/>
    </row>
    <row r="3009">
      <c r="A3009" s="38"/>
      <c r="B3009" s="87" t="s">
        <v>16054</v>
      </c>
      <c r="C3009" s="81" t="s">
        <v>16055</v>
      </c>
      <c r="D3009" s="38"/>
      <c r="E3009" s="64"/>
      <c r="F3009" s="92"/>
      <c r="I3009" s="32"/>
      <c r="J3009" s="32"/>
      <c r="K3009" s="88" t="s">
        <v>16054</v>
      </c>
      <c r="L3009" s="82" t="s">
        <v>16056</v>
      </c>
      <c r="N3009" s="44"/>
      <c r="O3009" s="83"/>
    </row>
    <row r="3010">
      <c r="A3010" s="38"/>
      <c r="B3010" s="87" t="s">
        <v>16057</v>
      </c>
      <c r="C3010" s="81" t="s">
        <v>16058</v>
      </c>
      <c r="D3010" s="38"/>
      <c r="E3010" s="64"/>
      <c r="F3010" s="92"/>
      <c r="I3010" s="32"/>
      <c r="J3010" s="32"/>
      <c r="K3010" s="88" t="s">
        <v>16057</v>
      </c>
      <c r="L3010" s="82" t="s">
        <v>16059</v>
      </c>
      <c r="N3010" s="44"/>
      <c r="O3010" s="83"/>
    </row>
    <row r="3011">
      <c r="A3011" s="38"/>
      <c r="B3011" s="87" t="s">
        <v>16060</v>
      </c>
      <c r="C3011" s="81" t="s">
        <v>16061</v>
      </c>
      <c r="D3011" s="38"/>
      <c r="E3011" s="64"/>
      <c r="F3011" s="92"/>
      <c r="I3011" s="32"/>
      <c r="J3011" s="32"/>
      <c r="K3011" s="88" t="s">
        <v>16060</v>
      </c>
      <c r="L3011" s="82" t="s">
        <v>16062</v>
      </c>
      <c r="N3011" s="44"/>
      <c r="O3011" s="83"/>
    </row>
    <row r="3012">
      <c r="A3012" s="38"/>
      <c r="B3012" s="87" t="s">
        <v>16063</v>
      </c>
      <c r="C3012" s="81" t="s">
        <v>16064</v>
      </c>
      <c r="D3012" s="38"/>
      <c r="E3012" s="64"/>
      <c r="F3012" s="92"/>
      <c r="I3012" s="32"/>
      <c r="J3012" s="32"/>
      <c r="K3012" s="88" t="s">
        <v>16063</v>
      </c>
      <c r="L3012" s="82" t="s">
        <v>16065</v>
      </c>
      <c r="N3012" s="44"/>
      <c r="O3012" s="83"/>
    </row>
    <row r="3013">
      <c r="A3013" s="38"/>
      <c r="B3013" s="87" t="s">
        <v>16066</v>
      </c>
      <c r="C3013" s="81" t="s">
        <v>16067</v>
      </c>
      <c r="D3013" s="38"/>
      <c r="E3013" s="64"/>
      <c r="F3013" s="92"/>
      <c r="I3013" s="32"/>
      <c r="J3013" s="32"/>
      <c r="K3013" s="88" t="s">
        <v>16066</v>
      </c>
      <c r="L3013" s="82" t="s">
        <v>16068</v>
      </c>
      <c r="N3013" s="44"/>
      <c r="O3013" s="83"/>
    </row>
    <row r="3014">
      <c r="A3014" s="38"/>
      <c r="B3014" s="87" t="s">
        <v>16069</v>
      </c>
      <c r="C3014" s="81" t="s">
        <v>16070</v>
      </c>
      <c r="D3014" s="38"/>
      <c r="E3014" s="64"/>
      <c r="F3014" s="92"/>
      <c r="I3014" s="32"/>
      <c r="J3014" s="32"/>
      <c r="K3014" s="88" t="s">
        <v>16069</v>
      </c>
      <c r="L3014" s="82" t="s">
        <v>16071</v>
      </c>
      <c r="N3014" s="44"/>
      <c r="O3014" s="83"/>
    </row>
    <row r="3015">
      <c r="A3015" s="38"/>
      <c r="B3015" s="87" t="s">
        <v>16072</v>
      </c>
      <c r="C3015" s="81" t="s">
        <v>16073</v>
      </c>
      <c r="D3015" s="38"/>
      <c r="E3015" s="64"/>
      <c r="F3015" s="92"/>
      <c r="I3015" s="32"/>
      <c r="J3015" s="32"/>
      <c r="K3015" s="88" t="s">
        <v>16072</v>
      </c>
      <c r="L3015" s="82" t="s">
        <v>16074</v>
      </c>
      <c r="N3015" s="44"/>
      <c r="O3015" s="83"/>
    </row>
    <row r="3016">
      <c r="A3016" s="38"/>
      <c r="B3016" s="87" t="s">
        <v>16075</v>
      </c>
      <c r="C3016" s="81" t="s">
        <v>16076</v>
      </c>
      <c r="D3016" s="38"/>
      <c r="E3016" s="64"/>
      <c r="F3016" s="92"/>
      <c r="I3016" s="32"/>
      <c r="J3016" s="32"/>
      <c r="K3016" s="88" t="s">
        <v>16075</v>
      </c>
      <c r="L3016" s="82" t="s">
        <v>16077</v>
      </c>
      <c r="N3016" s="44"/>
      <c r="O3016" s="83"/>
    </row>
    <row r="3017">
      <c r="A3017" s="38"/>
      <c r="B3017" s="87" t="s">
        <v>16078</v>
      </c>
      <c r="C3017" s="81" t="s">
        <v>16079</v>
      </c>
      <c r="D3017" s="38"/>
      <c r="E3017" s="64"/>
      <c r="F3017" s="92"/>
      <c r="I3017" s="32"/>
      <c r="J3017" s="32"/>
      <c r="K3017" s="88" t="s">
        <v>16078</v>
      </c>
      <c r="L3017" s="82" t="s">
        <v>16080</v>
      </c>
      <c r="N3017" s="44"/>
      <c r="O3017" s="83"/>
    </row>
    <row r="3018">
      <c r="A3018" s="38"/>
      <c r="B3018" s="87" t="s">
        <v>16081</v>
      </c>
      <c r="C3018" s="81" t="s">
        <v>16082</v>
      </c>
      <c r="D3018" s="38"/>
      <c r="E3018" s="64"/>
      <c r="F3018" s="92"/>
      <c r="I3018" s="32"/>
      <c r="J3018" s="32"/>
      <c r="K3018" s="88" t="s">
        <v>16081</v>
      </c>
      <c r="L3018" s="82" t="s">
        <v>16083</v>
      </c>
      <c r="N3018" s="44"/>
      <c r="O3018" s="83"/>
    </row>
    <row r="3019">
      <c r="A3019" s="38"/>
      <c r="B3019" s="87" t="s">
        <v>16084</v>
      </c>
      <c r="C3019" s="81" t="s">
        <v>16085</v>
      </c>
      <c r="D3019" s="38"/>
      <c r="E3019" s="64"/>
      <c r="F3019" s="92"/>
      <c r="I3019" s="32"/>
      <c r="J3019" s="32"/>
      <c r="K3019" s="88" t="s">
        <v>16084</v>
      </c>
      <c r="L3019" s="82" t="s">
        <v>16086</v>
      </c>
      <c r="N3019" s="44"/>
      <c r="O3019" s="83"/>
    </row>
    <row r="3020">
      <c r="A3020" s="38"/>
      <c r="B3020" s="77" t="s">
        <v>16087</v>
      </c>
      <c r="C3020" s="81" t="s">
        <v>16088</v>
      </c>
      <c r="D3020" s="38"/>
      <c r="E3020" s="64"/>
      <c r="F3020" s="92"/>
      <c r="I3020" s="32"/>
      <c r="J3020" s="32"/>
      <c r="K3020" s="45" t="s">
        <v>16087</v>
      </c>
      <c r="L3020" s="82" t="s">
        <v>16089</v>
      </c>
      <c r="N3020" s="44"/>
      <c r="O3020" s="83"/>
    </row>
    <row r="3021">
      <c r="A3021" s="38"/>
      <c r="B3021" s="77" t="s">
        <v>16090</v>
      </c>
      <c r="C3021" s="81" t="s">
        <v>16091</v>
      </c>
      <c r="D3021" s="38"/>
      <c r="E3021" s="64"/>
      <c r="F3021" s="92"/>
      <c r="I3021" s="32"/>
      <c r="J3021" s="32"/>
      <c r="K3021" s="45" t="s">
        <v>16090</v>
      </c>
      <c r="L3021" s="82" t="s">
        <v>16092</v>
      </c>
      <c r="N3021" s="44"/>
      <c r="O3021" s="83"/>
    </row>
    <row r="3022">
      <c r="A3022" s="38"/>
      <c r="B3022" s="77" t="s">
        <v>16093</v>
      </c>
      <c r="C3022" s="81" t="s">
        <v>16094</v>
      </c>
      <c r="D3022" s="38"/>
      <c r="E3022" s="64"/>
      <c r="F3022" s="92"/>
      <c r="I3022" s="32"/>
      <c r="J3022" s="32"/>
      <c r="K3022" s="45" t="s">
        <v>16093</v>
      </c>
      <c r="L3022" s="82" t="s">
        <v>16095</v>
      </c>
      <c r="N3022" s="44"/>
      <c r="O3022" s="83"/>
    </row>
    <row r="3023">
      <c r="A3023" s="38"/>
      <c r="B3023" s="77" t="s">
        <v>16096</v>
      </c>
      <c r="C3023" s="81" t="s">
        <v>2984</v>
      </c>
      <c r="D3023" s="38"/>
      <c r="E3023" s="64"/>
      <c r="F3023" s="92"/>
      <c r="I3023" s="32"/>
      <c r="J3023" s="32"/>
      <c r="K3023" s="45" t="s">
        <v>16096</v>
      </c>
      <c r="L3023" s="82" t="s">
        <v>16097</v>
      </c>
      <c r="N3023" s="44"/>
      <c r="O3023" s="83"/>
    </row>
    <row r="3024">
      <c r="A3024" s="38"/>
      <c r="B3024" s="77" t="s">
        <v>16098</v>
      </c>
      <c r="C3024" s="81" t="s">
        <v>16099</v>
      </c>
      <c r="D3024" s="38"/>
      <c r="E3024" s="64"/>
      <c r="F3024" s="92"/>
      <c r="I3024" s="32"/>
      <c r="J3024" s="32"/>
      <c r="K3024" s="45" t="s">
        <v>16098</v>
      </c>
      <c r="L3024" s="82" t="s">
        <v>16100</v>
      </c>
      <c r="N3024" s="44"/>
      <c r="O3024" s="83"/>
    </row>
    <row r="3025">
      <c r="A3025" s="38"/>
      <c r="B3025" s="77" t="s">
        <v>16101</v>
      </c>
      <c r="C3025" s="81" t="s">
        <v>16102</v>
      </c>
      <c r="D3025" s="38"/>
      <c r="E3025" s="64"/>
      <c r="F3025" s="92"/>
      <c r="I3025" s="32"/>
      <c r="J3025" s="32"/>
      <c r="K3025" s="45" t="s">
        <v>16101</v>
      </c>
      <c r="L3025" s="82" t="s">
        <v>16103</v>
      </c>
      <c r="N3025" s="44"/>
      <c r="O3025" s="83"/>
    </row>
    <row r="3026">
      <c r="A3026" s="38"/>
      <c r="B3026" s="77" t="s">
        <v>16104</v>
      </c>
      <c r="C3026" s="81" t="s">
        <v>16105</v>
      </c>
      <c r="D3026" s="38"/>
      <c r="E3026" s="64"/>
      <c r="F3026" s="92"/>
      <c r="I3026" s="32"/>
      <c r="J3026" s="32"/>
      <c r="K3026" s="45" t="s">
        <v>16104</v>
      </c>
      <c r="L3026" s="82" t="s">
        <v>16106</v>
      </c>
      <c r="N3026" s="44"/>
      <c r="O3026" s="83"/>
    </row>
    <row r="3027">
      <c r="A3027" s="38"/>
      <c r="B3027" s="77" t="s">
        <v>16107</v>
      </c>
      <c r="C3027" s="81" t="s">
        <v>16108</v>
      </c>
      <c r="D3027" s="38"/>
      <c r="E3027" s="64"/>
      <c r="F3027" s="92"/>
      <c r="I3027" s="32"/>
      <c r="J3027" s="32"/>
      <c r="K3027" s="45" t="s">
        <v>16107</v>
      </c>
      <c r="L3027" s="82" t="s">
        <v>16109</v>
      </c>
      <c r="N3027" s="44"/>
      <c r="O3027" s="83"/>
    </row>
    <row r="3028">
      <c r="A3028" s="38"/>
      <c r="B3028" s="77" t="s">
        <v>16110</v>
      </c>
      <c r="C3028" s="81" t="s">
        <v>16111</v>
      </c>
      <c r="D3028" s="38"/>
      <c r="E3028" s="64"/>
      <c r="F3028" s="92"/>
      <c r="I3028" s="32"/>
      <c r="J3028" s="32"/>
      <c r="K3028" s="45" t="s">
        <v>16110</v>
      </c>
      <c r="L3028" s="82" t="s">
        <v>16112</v>
      </c>
      <c r="N3028" s="44"/>
      <c r="O3028" s="83"/>
    </row>
    <row r="3029">
      <c r="A3029" s="38"/>
      <c r="B3029" s="118" t="s">
        <v>16113</v>
      </c>
      <c r="C3029" s="74" t="s">
        <v>16114</v>
      </c>
      <c r="D3029" s="38"/>
      <c r="E3029" s="64"/>
      <c r="F3029" s="92"/>
      <c r="I3029" s="32"/>
      <c r="J3029" s="32"/>
      <c r="K3029" s="39" t="s">
        <v>16113</v>
      </c>
      <c r="L3029" s="119" t="s">
        <v>16115</v>
      </c>
      <c r="N3029" s="44"/>
      <c r="O3029" s="83"/>
    </row>
    <row r="3030">
      <c r="A3030" s="38"/>
      <c r="B3030" s="77" t="s">
        <v>16116</v>
      </c>
      <c r="C3030" s="81" t="s">
        <v>16117</v>
      </c>
      <c r="D3030" s="38"/>
      <c r="E3030" s="64"/>
      <c r="F3030" s="92"/>
      <c r="I3030" s="32"/>
      <c r="J3030" s="32"/>
      <c r="K3030" s="45" t="s">
        <v>16116</v>
      </c>
      <c r="L3030" s="82" t="s">
        <v>16118</v>
      </c>
      <c r="N3030" s="44"/>
      <c r="O3030" s="83"/>
    </row>
    <row r="3031">
      <c r="A3031" s="38"/>
      <c r="B3031" s="77" t="s">
        <v>16119</v>
      </c>
      <c r="C3031" s="81" t="s">
        <v>16120</v>
      </c>
      <c r="D3031" s="38"/>
      <c r="E3031" s="64"/>
      <c r="F3031" s="92"/>
      <c r="I3031" s="32"/>
      <c r="J3031" s="32"/>
      <c r="K3031" s="45" t="s">
        <v>16119</v>
      </c>
      <c r="L3031" s="82" t="s">
        <v>16121</v>
      </c>
      <c r="N3031" s="44"/>
      <c r="O3031" s="83"/>
    </row>
    <row r="3032">
      <c r="A3032" s="38"/>
      <c r="B3032" s="77" t="s">
        <v>16122</v>
      </c>
      <c r="C3032" s="81" t="s">
        <v>16123</v>
      </c>
      <c r="D3032" s="38"/>
      <c r="E3032" s="64"/>
      <c r="F3032" s="92"/>
      <c r="I3032" s="32"/>
      <c r="J3032" s="32"/>
      <c r="K3032" s="45" t="s">
        <v>16122</v>
      </c>
      <c r="L3032" s="82" t="s">
        <v>16124</v>
      </c>
      <c r="N3032" s="44"/>
      <c r="O3032" s="83"/>
    </row>
    <row r="3033">
      <c r="A3033" s="38"/>
      <c r="B3033" s="77" t="s">
        <v>16125</v>
      </c>
      <c r="C3033" s="81" t="s">
        <v>16126</v>
      </c>
      <c r="D3033" s="38"/>
      <c r="E3033" s="64"/>
      <c r="F3033" s="92"/>
      <c r="I3033" s="32"/>
      <c r="J3033" s="32"/>
      <c r="K3033" s="45" t="s">
        <v>16125</v>
      </c>
      <c r="L3033" s="82" t="s">
        <v>16127</v>
      </c>
      <c r="N3033" s="44"/>
      <c r="O3033" s="83"/>
    </row>
    <row r="3034">
      <c r="A3034" s="38"/>
      <c r="B3034" s="77" t="s">
        <v>16128</v>
      </c>
      <c r="C3034" s="81" t="s">
        <v>16129</v>
      </c>
      <c r="D3034" s="38"/>
      <c r="E3034" s="64"/>
      <c r="F3034" s="92"/>
      <c r="I3034" s="32"/>
      <c r="J3034" s="32"/>
      <c r="K3034" s="45" t="s">
        <v>16128</v>
      </c>
      <c r="L3034" s="82" t="s">
        <v>16130</v>
      </c>
      <c r="N3034" s="44"/>
      <c r="O3034" s="83"/>
    </row>
    <row r="3035">
      <c r="A3035" s="38"/>
      <c r="B3035" s="77" t="s">
        <v>16131</v>
      </c>
      <c r="C3035" s="81" t="s">
        <v>16132</v>
      </c>
      <c r="D3035" s="38"/>
      <c r="E3035" s="64"/>
      <c r="F3035" s="92"/>
      <c r="I3035" s="32"/>
      <c r="J3035" s="32"/>
      <c r="K3035" s="45" t="s">
        <v>16131</v>
      </c>
      <c r="L3035" s="82" t="s">
        <v>16133</v>
      </c>
      <c r="N3035" s="44"/>
      <c r="O3035" s="83"/>
    </row>
    <row r="3036">
      <c r="A3036" s="38"/>
      <c r="B3036" s="77" t="s">
        <v>16134</v>
      </c>
      <c r="C3036" s="81" t="s">
        <v>16135</v>
      </c>
      <c r="D3036" s="38"/>
      <c r="E3036" s="64"/>
      <c r="F3036" s="92"/>
      <c r="I3036" s="32"/>
      <c r="J3036" s="32"/>
      <c r="K3036" s="45" t="s">
        <v>16134</v>
      </c>
      <c r="L3036" s="82" t="s">
        <v>16136</v>
      </c>
      <c r="N3036" s="44"/>
      <c r="O3036" s="83"/>
    </row>
    <row r="3037">
      <c r="A3037" s="38"/>
      <c r="B3037" s="77" t="s">
        <v>16137</v>
      </c>
      <c r="C3037" s="81" t="s">
        <v>569</v>
      </c>
      <c r="D3037" s="38"/>
      <c r="E3037" s="64"/>
      <c r="F3037" s="92"/>
      <c r="I3037" s="32"/>
      <c r="J3037" s="32"/>
      <c r="K3037" s="45" t="s">
        <v>16137</v>
      </c>
      <c r="L3037" s="82" t="s">
        <v>16138</v>
      </c>
      <c r="N3037" s="44"/>
      <c r="O3037" s="83"/>
    </row>
    <row r="3038">
      <c r="A3038" s="38"/>
      <c r="B3038" s="77" t="s">
        <v>16139</v>
      </c>
      <c r="C3038" s="81" t="s">
        <v>16140</v>
      </c>
      <c r="D3038" s="38"/>
      <c r="E3038" s="64"/>
      <c r="F3038" s="92"/>
      <c r="I3038" s="32"/>
      <c r="J3038" s="32"/>
      <c r="K3038" s="45" t="s">
        <v>16139</v>
      </c>
      <c r="L3038" s="82" t="s">
        <v>16141</v>
      </c>
      <c r="N3038" s="44"/>
      <c r="O3038" s="83"/>
    </row>
    <row r="3039">
      <c r="A3039" s="38"/>
      <c r="B3039" s="77" t="s">
        <v>16142</v>
      </c>
      <c r="C3039" s="81" t="s">
        <v>16143</v>
      </c>
      <c r="D3039" s="38"/>
      <c r="E3039" s="64"/>
      <c r="F3039" s="92"/>
      <c r="I3039" s="32"/>
      <c r="J3039" s="32"/>
      <c r="K3039" s="45" t="s">
        <v>16142</v>
      </c>
      <c r="L3039" s="82" t="s">
        <v>16144</v>
      </c>
      <c r="N3039" s="44"/>
      <c r="O3039" s="83"/>
    </row>
    <row r="3040">
      <c r="A3040" s="38"/>
      <c r="B3040" s="77" t="s">
        <v>16145</v>
      </c>
      <c r="C3040" s="81" t="s">
        <v>16146</v>
      </c>
      <c r="D3040" s="38"/>
      <c r="E3040" s="64"/>
      <c r="F3040" s="92"/>
      <c r="I3040" s="32"/>
      <c r="J3040" s="32"/>
      <c r="K3040" s="45" t="s">
        <v>16142</v>
      </c>
      <c r="L3040" s="82" t="s">
        <v>16144</v>
      </c>
      <c r="N3040" s="44"/>
      <c r="O3040" s="83"/>
    </row>
    <row r="3041">
      <c r="A3041" s="38"/>
      <c r="B3041" s="77" t="s">
        <v>16147</v>
      </c>
      <c r="C3041" s="81" t="s">
        <v>1353</v>
      </c>
      <c r="D3041" s="38"/>
      <c r="E3041" s="64"/>
      <c r="F3041" s="92"/>
      <c r="I3041" s="32"/>
      <c r="J3041" s="32"/>
      <c r="K3041" s="45" t="s">
        <v>16145</v>
      </c>
      <c r="L3041" s="82" t="s">
        <v>16148</v>
      </c>
      <c r="N3041" s="44"/>
      <c r="O3041" s="83"/>
    </row>
    <row r="3042">
      <c r="A3042" s="38"/>
      <c r="B3042" s="77" t="s">
        <v>16149</v>
      </c>
      <c r="C3042" s="81" t="s">
        <v>16150</v>
      </c>
      <c r="D3042" s="38"/>
      <c r="E3042" s="64"/>
      <c r="F3042" s="92"/>
      <c r="I3042" s="32"/>
      <c r="J3042" s="32"/>
      <c r="K3042" s="45" t="s">
        <v>16147</v>
      </c>
      <c r="L3042" s="82" t="s">
        <v>16151</v>
      </c>
      <c r="N3042" s="44"/>
      <c r="O3042" s="83"/>
    </row>
    <row r="3043">
      <c r="A3043" s="38"/>
      <c r="B3043" s="77" t="s">
        <v>16152</v>
      </c>
      <c r="C3043" s="81" t="s">
        <v>16153</v>
      </c>
      <c r="D3043" s="38"/>
      <c r="E3043" s="64"/>
      <c r="F3043" s="92"/>
      <c r="I3043" s="32"/>
      <c r="J3043" s="32"/>
      <c r="K3043" s="45" t="s">
        <v>16149</v>
      </c>
      <c r="L3043" s="82" t="s">
        <v>16154</v>
      </c>
      <c r="N3043" s="44"/>
      <c r="O3043" s="83"/>
    </row>
    <row r="3044">
      <c r="A3044" s="38"/>
      <c r="B3044" s="77" t="s">
        <v>16155</v>
      </c>
      <c r="C3044" s="81" t="s">
        <v>16156</v>
      </c>
      <c r="D3044" s="38"/>
      <c r="E3044" s="64"/>
      <c r="F3044" s="92"/>
      <c r="I3044" s="32"/>
      <c r="J3044" s="32"/>
      <c r="K3044" s="45" t="s">
        <v>16152</v>
      </c>
      <c r="L3044" s="82" t="s">
        <v>16157</v>
      </c>
      <c r="N3044" s="44"/>
      <c r="O3044" s="83"/>
    </row>
    <row r="3045">
      <c r="A3045" s="38"/>
      <c r="B3045" s="77" t="s">
        <v>16158</v>
      </c>
      <c r="C3045" s="81" t="s">
        <v>16159</v>
      </c>
      <c r="D3045" s="38"/>
      <c r="E3045" s="64"/>
      <c r="F3045" s="92"/>
      <c r="I3045" s="32"/>
      <c r="J3045" s="32"/>
      <c r="K3045" s="45" t="s">
        <v>16155</v>
      </c>
      <c r="L3045" s="82" t="s">
        <v>16160</v>
      </c>
      <c r="N3045" s="44"/>
      <c r="O3045" s="83"/>
    </row>
    <row r="3046">
      <c r="A3046" s="38"/>
      <c r="B3046" s="77" t="s">
        <v>16161</v>
      </c>
      <c r="C3046" s="81" t="s">
        <v>16162</v>
      </c>
      <c r="D3046" s="38"/>
      <c r="E3046" s="64"/>
      <c r="F3046" s="92"/>
      <c r="I3046" s="32"/>
      <c r="J3046" s="32"/>
      <c r="K3046" s="45" t="s">
        <v>16158</v>
      </c>
      <c r="L3046" s="82" t="s">
        <v>16163</v>
      </c>
      <c r="N3046" s="44"/>
      <c r="O3046" s="83"/>
    </row>
    <row r="3047">
      <c r="A3047" s="38"/>
      <c r="B3047" s="77" t="s">
        <v>16164</v>
      </c>
      <c r="C3047" s="81" t="s">
        <v>16165</v>
      </c>
      <c r="D3047" s="38"/>
      <c r="E3047" s="64"/>
      <c r="F3047" s="92"/>
      <c r="I3047" s="32"/>
      <c r="J3047" s="32"/>
      <c r="K3047" s="45" t="s">
        <v>16161</v>
      </c>
      <c r="L3047" s="82" t="s">
        <v>16166</v>
      </c>
      <c r="N3047" s="44"/>
      <c r="O3047" s="83"/>
    </row>
    <row r="3048">
      <c r="A3048" s="38"/>
      <c r="B3048" s="77" t="s">
        <v>16167</v>
      </c>
      <c r="C3048" s="81" t="s">
        <v>16168</v>
      </c>
      <c r="D3048" s="38"/>
      <c r="E3048" s="64"/>
      <c r="F3048" s="92"/>
      <c r="I3048" s="32"/>
      <c r="J3048" s="32"/>
      <c r="K3048" s="45" t="s">
        <v>16164</v>
      </c>
      <c r="L3048" s="82" t="s">
        <v>16169</v>
      </c>
      <c r="N3048" s="44"/>
      <c r="O3048" s="83"/>
    </row>
    <row r="3049">
      <c r="A3049" s="38"/>
      <c r="B3049" s="77" t="s">
        <v>16170</v>
      </c>
      <c r="C3049" s="81" t="s">
        <v>16171</v>
      </c>
      <c r="D3049" s="38"/>
      <c r="E3049" s="64"/>
      <c r="F3049" s="92"/>
      <c r="I3049" s="32"/>
      <c r="J3049" s="32"/>
      <c r="K3049" s="45" t="s">
        <v>16167</v>
      </c>
      <c r="L3049" s="82" t="s">
        <v>16172</v>
      </c>
      <c r="N3049" s="44"/>
      <c r="O3049" s="83"/>
    </row>
    <row r="3050">
      <c r="A3050" s="38"/>
      <c r="B3050" s="77" t="s">
        <v>16173</v>
      </c>
      <c r="C3050" s="81" t="s">
        <v>16174</v>
      </c>
      <c r="D3050" s="38"/>
      <c r="E3050" s="64"/>
      <c r="F3050" s="92"/>
      <c r="I3050" s="32"/>
      <c r="J3050" s="32"/>
      <c r="K3050" s="45" t="s">
        <v>16170</v>
      </c>
      <c r="L3050" s="82" t="s">
        <v>16175</v>
      </c>
      <c r="N3050" s="44"/>
      <c r="O3050" s="83"/>
    </row>
    <row r="3051">
      <c r="A3051" s="38"/>
      <c r="B3051" s="77" t="s">
        <v>16176</v>
      </c>
      <c r="C3051" s="81" t="s">
        <v>16177</v>
      </c>
      <c r="D3051" s="38"/>
      <c r="E3051" s="64"/>
      <c r="F3051" s="92"/>
      <c r="I3051" s="32"/>
      <c r="J3051" s="32"/>
      <c r="K3051" s="45" t="s">
        <v>16173</v>
      </c>
      <c r="L3051" s="82" t="s">
        <v>16178</v>
      </c>
      <c r="N3051" s="44"/>
      <c r="O3051" s="83"/>
    </row>
    <row r="3052">
      <c r="A3052" s="38"/>
      <c r="B3052" s="77" t="s">
        <v>16179</v>
      </c>
      <c r="C3052" s="81" t="s">
        <v>16180</v>
      </c>
      <c r="D3052" s="38"/>
      <c r="E3052" s="64"/>
      <c r="F3052" s="92"/>
      <c r="I3052" s="32"/>
      <c r="J3052" s="32"/>
      <c r="K3052" s="45" t="s">
        <v>16176</v>
      </c>
      <c r="L3052" s="82" t="s">
        <v>16181</v>
      </c>
      <c r="N3052" s="44"/>
      <c r="O3052" s="83"/>
    </row>
    <row r="3053">
      <c r="A3053" s="38"/>
      <c r="B3053" s="77" t="s">
        <v>16182</v>
      </c>
      <c r="C3053" s="77" t="s">
        <v>16183</v>
      </c>
      <c r="D3053" s="38"/>
      <c r="E3053" s="64"/>
      <c r="F3053" s="92"/>
      <c r="I3053" s="32"/>
      <c r="J3053" s="32"/>
      <c r="K3053" s="45" t="s">
        <v>16179</v>
      </c>
      <c r="L3053" s="82" t="s">
        <v>16184</v>
      </c>
      <c r="N3053" s="44"/>
      <c r="O3053" s="83"/>
    </row>
    <row r="3054">
      <c r="A3054" s="38"/>
      <c r="B3054" s="77" t="s">
        <v>16185</v>
      </c>
      <c r="C3054" s="77" t="s">
        <v>16186</v>
      </c>
      <c r="D3054" s="38"/>
      <c r="E3054" s="64"/>
      <c r="F3054" s="92"/>
      <c r="I3054" s="32"/>
      <c r="J3054" s="32"/>
      <c r="K3054" s="45" t="s">
        <v>16182</v>
      </c>
      <c r="L3054" s="45" t="s">
        <v>16187</v>
      </c>
      <c r="N3054" s="44"/>
      <c r="O3054" s="83"/>
    </row>
    <row r="3055">
      <c r="A3055" s="38"/>
      <c r="B3055" s="77" t="s">
        <v>16188</v>
      </c>
      <c r="C3055" s="77" t="s">
        <v>16189</v>
      </c>
      <c r="D3055" s="38"/>
      <c r="E3055" s="64"/>
      <c r="F3055" s="92"/>
      <c r="I3055" s="32"/>
      <c r="J3055" s="32"/>
      <c r="K3055" s="45" t="s">
        <v>16185</v>
      </c>
      <c r="L3055" s="45" t="s">
        <v>16190</v>
      </c>
      <c r="N3055" s="44"/>
      <c r="O3055" s="83"/>
    </row>
    <row r="3056">
      <c r="A3056" s="38"/>
      <c r="B3056" s="77" t="s">
        <v>16191</v>
      </c>
      <c r="C3056" s="81" t="s">
        <v>16192</v>
      </c>
      <c r="D3056" s="38"/>
      <c r="E3056" s="64"/>
      <c r="F3056" s="92"/>
      <c r="I3056" s="32"/>
      <c r="J3056" s="32"/>
      <c r="K3056" s="45" t="s">
        <v>16188</v>
      </c>
      <c r="L3056" s="45" t="s">
        <v>16193</v>
      </c>
      <c r="N3056" s="44"/>
      <c r="O3056" s="83"/>
    </row>
    <row r="3057">
      <c r="A3057" s="38"/>
      <c r="B3057" s="77" t="s">
        <v>16194</v>
      </c>
      <c r="C3057" s="81" t="s">
        <v>16195</v>
      </c>
      <c r="D3057" s="38"/>
      <c r="E3057" s="64"/>
      <c r="F3057" s="92"/>
      <c r="I3057" s="32"/>
      <c r="J3057" s="32"/>
      <c r="K3057" s="45" t="s">
        <v>16191</v>
      </c>
      <c r="L3057" s="82" t="s">
        <v>16196</v>
      </c>
      <c r="N3057" s="44"/>
      <c r="O3057" s="83"/>
    </row>
    <row r="3058">
      <c r="A3058" s="38"/>
      <c r="B3058" s="77" t="s">
        <v>16197</v>
      </c>
      <c r="C3058" s="81" t="s">
        <v>16198</v>
      </c>
      <c r="D3058" s="38"/>
      <c r="E3058" s="64"/>
      <c r="F3058" s="92"/>
      <c r="I3058" s="32"/>
      <c r="J3058" s="32"/>
      <c r="K3058" s="45" t="s">
        <v>16194</v>
      </c>
      <c r="L3058" s="82" t="s">
        <v>16199</v>
      </c>
      <c r="N3058" s="44"/>
      <c r="O3058" s="83"/>
    </row>
    <row r="3059">
      <c r="A3059" s="38"/>
      <c r="B3059" s="77" t="s">
        <v>16200</v>
      </c>
      <c r="C3059" s="77" t="s">
        <v>16201</v>
      </c>
      <c r="D3059" s="38"/>
      <c r="E3059" s="64"/>
      <c r="F3059" s="92"/>
      <c r="I3059" s="32"/>
      <c r="J3059" s="32"/>
      <c r="K3059" s="45" t="s">
        <v>16197</v>
      </c>
      <c r="L3059" s="82" t="s">
        <v>16202</v>
      </c>
      <c r="N3059" s="44"/>
      <c r="O3059" s="83"/>
    </row>
    <row r="3060">
      <c r="A3060" s="38"/>
      <c r="B3060" s="77" t="s">
        <v>16203</v>
      </c>
      <c r="C3060" s="77" t="s">
        <v>16204</v>
      </c>
      <c r="D3060" s="38"/>
      <c r="E3060" s="64"/>
      <c r="F3060" s="92"/>
      <c r="I3060" s="32"/>
      <c r="J3060" s="32"/>
      <c r="K3060" s="45" t="s">
        <v>16205</v>
      </c>
      <c r="L3060" s="82" t="s">
        <v>16206</v>
      </c>
      <c r="N3060" s="44"/>
      <c r="O3060" s="83"/>
    </row>
    <row r="3061">
      <c r="A3061" s="38"/>
      <c r="B3061" s="77" t="s">
        <v>16207</v>
      </c>
      <c r="C3061" s="77" t="s">
        <v>16208</v>
      </c>
      <c r="D3061" s="38"/>
      <c r="E3061" s="64"/>
      <c r="F3061" s="92"/>
      <c r="I3061" s="32"/>
      <c r="J3061" s="32"/>
      <c r="K3061" s="45" t="s">
        <v>16209</v>
      </c>
      <c r="L3061" s="82" t="s">
        <v>16210</v>
      </c>
      <c r="N3061" s="44"/>
      <c r="O3061" s="83"/>
    </row>
    <row r="3062">
      <c r="A3062" s="38"/>
      <c r="B3062" s="77" t="s">
        <v>16211</v>
      </c>
      <c r="C3062" s="77" t="s">
        <v>16212</v>
      </c>
      <c r="D3062" s="38"/>
      <c r="E3062" s="64"/>
      <c r="F3062" s="92"/>
      <c r="I3062" s="32"/>
      <c r="J3062" s="32"/>
      <c r="K3062" s="45" t="s">
        <v>16213</v>
      </c>
      <c r="L3062" s="82" t="s">
        <v>16214</v>
      </c>
      <c r="N3062" s="44"/>
      <c r="O3062" s="83"/>
    </row>
    <row r="3063">
      <c r="A3063" s="38"/>
      <c r="B3063" s="77" t="s">
        <v>16205</v>
      </c>
      <c r="C3063" s="81" t="s">
        <v>16215</v>
      </c>
      <c r="D3063" s="38"/>
      <c r="E3063" s="64"/>
      <c r="F3063" s="92"/>
      <c r="I3063" s="32"/>
      <c r="J3063" s="32"/>
      <c r="K3063" s="45" t="s">
        <v>16216</v>
      </c>
      <c r="L3063" s="82" t="s">
        <v>16217</v>
      </c>
      <c r="N3063" s="44"/>
      <c r="O3063" s="83"/>
    </row>
    <row r="3064">
      <c r="A3064" s="38"/>
      <c r="B3064" s="77" t="s">
        <v>16209</v>
      </c>
      <c r="C3064" s="81" t="s">
        <v>16218</v>
      </c>
      <c r="D3064" s="38"/>
      <c r="E3064" s="64"/>
      <c r="F3064" s="92"/>
      <c r="I3064" s="32"/>
      <c r="J3064" s="32"/>
      <c r="K3064" s="45" t="s">
        <v>16219</v>
      </c>
      <c r="L3064" s="82" t="s">
        <v>16220</v>
      </c>
      <c r="N3064" s="44"/>
      <c r="O3064" s="83"/>
    </row>
    <row r="3065">
      <c r="A3065" s="38"/>
      <c r="B3065" s="77" t="s">
        <v>16213</v>
      </c>
      <c r="C3065" s="81" t="s">
        <v>16221</v>
      </c>
      <c r="D3065" s="38"/>
      <c r="E3065" s="64"/>
      <c r="F3065" s="92"/>
      <c r="I3065" s="32"/>
      <c r="J3065" s="32"/>
      <c r="K3065" s="45" t="s">
        <v>16222</v>
      </c>
      <c r="L3065" s="82" t="s">
        <v>16223</v>
      </c>
      <c r="N3065" s="44"/>
      <c r="O3065" s="83"/>
    </row>
    <row r="3066">
      <c r="A3066" s="38"/>
      <c r="B3066" s="77" t="s">
        <v>16216</v>
      </c>
      <c r="C3066" s="81" t="s">
        <v>16224</v>
      </c>
      <c r="D3066" s="38"/>
      <c r="E3066" s="64"/>
      <c r="F3066" s="92"/>
      <c r="I3066" s="32"/>
      <c r="J3066" s="32"/>
      <c r="K3066" s="45" t="s">
        <v>16225</v>
      </c>
      <c r="L3066" s="82" t="s">
        <v>16226</v>
      </c>
      <c r="N3066" s="44"/>
      <c r="O3066" s="83"/>
    </row>
    <row r="3067">
      <c r="A3067" s="38"/>
      <c r="B3067" s="77" t="s">
        <v>16219</v>
      </c>
      <c r="C3067" s="81" t="s">
        <v>14327</v>
      </c>
      <c r="D3067" s="38"/>
      <c r="E3067" s="64"/>
      <c r="F3067" s="92"/>
      <c r="I3067" s="32"/>
      <c r="J3067" s="32"/>
      <c r="K3067" s="45" t="s">
        <v>16227</v>
      </c>
      <c r="L3067" s="82" t="s">
        <v>16228</v>
      </c>
      <c r="N3067" s="44"/>
      <c r="O3067" s="83"/>
    </row>
    <row r="3068">
      <c r="A3068" s="38"/>
      <c r="B3068" s="77" t="s">
        <v>16222</v>
      </c>
      <c r="C3068" s="81" t="s">
        <v>16229</v>
      </c>
      <c r="D3068" s="38"/>
      <c r="E3068" s="64"/>
      <c r="F3068" s="92"/>
      <c r="I3068" s="32"/>
      <c r="J3068" s="32"/>
      <c r="K3068" s="45" t="s">
        <v>16230</v>
      </c>
      <c r="L3068" s="82" t="s">
        <v>16231</v>
      </c>
      <c r="N3068" s="44"/>
      <c r="O3068" s="83"/>
    </row>
    <row r="3069">
      <c r="A3069" s="38"/>
      <c r="B3069" s="77" t="s">
        <v>16225</v>
      </c>
      <c r="C3069" s="81" t="s">
        <v>14333</v>
      </c>
      <c r="D3069" s="38"/>
      <c r="E3069" s="64"/>
      <c r="F3069" s="92"/>
      <c r="I3069" s="32"/>
      <c r="J3069" s="32"/>
      <c r="K3069" s="45" t="s">
        <v>16232</v>
      </c>
      <c r="L3069" s="82" t="s">
        <v>16233</v>
      </c>
      <c r="N3069" s="44"/>
      <c r="O3069" s="83"/>
    </row>
    <row r="3070">
      <c r="A3070" s="38"/>
      <c r="B3070" s="77" t="s">
        <v>16227</v>
      </c>
      <c r="C3070" s="81" t="s">
        <v>14339</v>
      </c>
      <c r="D3070" s="38"/>
      <c r="E3070" s="64"/>
      <c r="F3070" s="92"/>
      <c r="I3070" s="32"/>
      <c r="J3070" s="32"/>
      <c r="K3070" s="45" t="s">
        <v>6904</v>
      </c>
      <c r="L3070" s="82" t="s">
        <v>6908</v>
      </c>
      <c r="N3070" s="44"/>
      <c r="O3070" s="83"/>
    </row>
    <row r="3071">
      <c r="A3071" s="38"/>
      <c r="B3071" s="77" t="s">
        <v>16230</v>
      </c>
      <c r="C3071" s="81" t="s">
        <v>14345</v>
      </c>
      <c r="D3071" s="38"/>
      <c r="E3071" s="64"/>
      <c r="F3071" s="92"/>
      <c r="I3071" s="32"/>
      <c r="J3071" s="32"/>
      <c r="K3071" s="45" t="s">
        <v>16234</v>
      </c>
      <c r="L3071" s="82" t="s">
        <v>16235</v>
      </c>
      <c r="N3071" s="44"/>
      <c r="O3071" s="83"/>
    </row>
    <row r="3072">
      <c r="A3072" s="38"/>
      <c r="B3072" s="77" t="s">
        <v>16232</v>
      </c>
      <c r="C3072" s="81" t="s">
        <v>14350</v>
      </c>
      <c r="D3072" s="38"/>
      <c r="E3072" s="64"/>
      <c r="F3072" s="92"/>
      <c r="I3072" s="32"/>
      <c r="J3072" s="32"/>
      <c r="K3072" s="45" t="s">
        <v>16236</v>
      </c>
      <c r="L3072" s="82" t="s">
        <v>16237</v>
      </c>
      <c r="N3072" s="44"/>
      <c r="O3072" s="83"/>
    </row>
    <row r="3073">
      <c r="A3073" s="38"/>
      <c r="B3073" s="77" t="s">
        <v>6904</v>
      </c>
      <c r="C3073" s="81" t="s">
        <v>6905</v>
      </c>
      <c r="D3073" s="38"/>
      <c r="E3073" s="64"/>
      <c r="F3073" s="92"/>
      <c r="I3073" s="32"/>
      <c r="J3073" s="32"/>
      <c r="K3073" s="45" t="s">
        <v>14516</v>
      </c>
      <c r="L3073" s="82" t="s">
        <v>16238</v>
      </c>
      <c r="N3073" s="44"/>
      <c r="O3073" s="83"/>
    </row>
    <row r="3074">
      <c r="A3074" s="38"/>
      <c r="B3074" s="77" t="s">
        <v>16234</v>
      </c>
      <c r="C3074" s="81" t="s">
        <v>12021</v>
      </c>
      <c r="D3074" s="38"/>
      <c r="E3074" s="64"/>
      <c r="F3074" s="92"/>
      <c r="I3074" s="32"/>
      <c r="J3074" s="32"/>
      <c r="K3074" s="45" t="s">
        <v>14522</v>
      </c>
      <c r="L3074" s="82" t="s">
        <v>16239</v>
      </c>
      <c r="N3074" s="44"/>
      <c r="O3074" s="83"/>
    </row>
    <row r="3075">
      <c r="A3075" s="38"/>
      <c r="B3075" s="77" t="s">
        <v>16236</v>
      </c>
      <c r="C3075" s="81" t="s">
        <v>14357</v>
      </c>
      <c r="D3075" s="38"/>
      <c r="E3075" s="64"/>
      <c r="F3075" s="92"/>
      <c r="I3075" s="32"/>
      <c r="J3075" s="32"/>
      <c r="K3075" s="45" t="s">
        <v>14527</v>
      </c>
      <c r="L3075" s="82" t="s">
        <v>16240</v>
      </c>
      <c r="N3075" s="44"/>
      <c r="O3075" s="83"/>
    </row>
    <row r="3076">
      <c r="A3076" s="38"/>
      <c r="B3076" s="68" t="s">
        <v>16241</v>
      </c>
      <c r="C3076" s="67" t="s">
        <v>16242</v>
      </c>
      <c r="D3076" s="38"/>
      <c r="E3076" s="64"/>
      <c r="F3076" s="92"/>
      <c r="I3076" s="32"/>
      <c r="J3076" s="32"/>
      <c r="K3076" s="45" t="s">
        <v>14533</v>
      </c>
      <c r="L3076" s="82" t="s">
        <v>16243</v>
      </c>
      <c r="N3076" s="44"/>
      <c r="O3076" s="83"/>
    </row>
    <row r="3077">
      <c r="A3077" s="38"/>
      <c r="B3077" s="72" t="s">
        <v>16244</v>
      </c>
      <c r="C3077" s="69" t="s">
        <v>14322</v>
      </c>
      <c r="D3077" s="38"/>
      <c r="E3077" s="64"/>
      <c r="F3077" s="92"/>
      <c r="I3077" s="32"/>
      <c r="J3077" s="32"/>
      <c r="K3077" s="45" t="s">
        <v>14540</v>
      </c>
      <c r="L3077" s="82" t="s">
        <v>16245</v>
      </c>
      <c r="N3077" s="44"/>
      <c r="O3077" s="83"/>
    </row>
    <row r="3078">
      <c r="A3078" s="38"/>
      <c r="B3078" s="72" t="s">
        <v>16246</v>
      </c>
      <c r="C3078" s="67" t="s">
        <v>16247</v>
      </c>
      <c r="D3078" s="38"/>
      <c r="E3078" s="64"/>
      <c r="F3078" s="92"/>
      <c r="I3078" s="32"/>
      <c r="J3078" s="32"/>
      <c r="K3078" s="45" t="s">
        <v>14545</v>
      </c>
      <c r="L3078" s="82" t="s">
        <v>16248</v>
      </c>
      <c r="N3078" s="44"/>
      <c r="O3078" s="83"/>
    </row>
    <row r="3079">
      <c r="A3079" s="38"/>
      <c r="B3079" s="72" t="s">
        <v>16249</v>
      </c>
      <c r="C3079" s="67" t="s">
        <v>14367</v>
      </c>
      <c r="D3079" s="38"/>
      <c r="E3079" s="64"/>
      <c r="F3079" s="92"/>
      <c r="I3079" s="32"/>
      <c r="J3079" s="32"/>
      <c r="K3079" s="45" t="s">
        <v>14550</v>
      </c>
      <c r="L3079" s="82" t="s">
        <v>16250</v>
      </c>
      <c r="N3079" s="44"/>
      <c r="O3079" s="83"/>
    </row>
    <row r="3080">
      <c r="A3080" s="38"/>
      <c r="B3080" s="72" t="s">
        <v>16251</v>
      </c>
      <c r="C3080" s="67" t="s">
        <v>16252</v>
      </c>
      <c r="D3080" s="38"/>
      <c r="E3080" s="64"/>
      <c r="F3080" s="92"/>
      <c r="I3080" s="32"/>
      <c r="J3080" s="32"/>
      <c r="K3080" s="45" t="s">
        <v>14556</v>
      </c>
      <c r="L3080" s="82" t="s">
        <v>16253</v>
      </c>
      <c r="N3080" s="44"/>
      <c r="O3080" s="83"/>
    </row>
    <row r="3081">
      <c r="A3081" s="38"/>
      <c r="B3081" s="72" t="s">
        <v>16254</v>
      </c>
      <c r="C3081" s="67" t="s">
        <v>16255</v>
      </c>
      <c r="D3081" s="38"/>
      <c r="E3081" s="64"/>
      <c r="F3081" s="92"/>
      <c r="I3081" s="32"/>
      <c r="J3081" s="32"/>
      <c r="K3081" s="45" t="s">
        <v>14562</v>
      </c>
      <c r="L3081" s="82" t="s">
        <v>16256</v>
      </c>
      <c r="N3081" s="44"/>
      <c r="O3081" s="83"/>
    </row>
    <row r="3082">
      <c r="A3082" s="38"/>
      <c r="B3082" s="72" t="s">
        <v>16257</v>
      </c>
      <c r="C3082" s="67" t="s">
        <v>16258</v>
      </c>
      <c r="D3082" s="38"/>
      <c r="E3082" s="64"/>
      <c r="F3082" s="92"/>
      <c r="I3082" s="32"/>
      <c r="J3082" s="32"/>
      <c r="K3082" s="45" t="s">
        <v>14567</v>
      </c>
      <c r="L3082" s="82" t="s">
        <v>16259</v>
      </c>
      <c r="N3082" s="44"/>
      <c r="O3082" s="83"/>
    </row>
    <row r="3083">
      <c r="A3083" s="38"/>
      <c r="B3083" s="72" t="s">
        <v>16260</v>
      </c>
      <c r="C3083" s="68" t="s">
        <v>14375</v>
      </c>
      <c r="D3083" s="38"/>
      <c r="E3083" s="64"/>
      <c r="F3083" s="92"/>
      <c r="I3083" s="32"/>
      <c r="J3083" s="32"/>
      <c r="K3083" s="45" t="s">
        <v>14572</v>
      </c>
      <c r="L3083" s="82" t="s">
        <v>16261</v>
      </c>
      <c r="N3083" s="44"/>
      <c r="O3083" s="83"/>
    </row>
    <row r="3084">
      <c r="A3084" s="38"/>
      <c r="B3084" s="71" t="s">
        <v>16262</v>
      </c>
      <c r="C3084" s="74" t="s">
        <v>16263</v>
      </c>
      <c r="D3084" s="38"/>
      <c r="E3084" s="64"/>
      <c r="F3084" s="92"/>
      <c r="I3084" s="32"/>
      <c r="J3084" s="32"/>
      <c r="K3084" s="45" t="s">
        <v>14577</v>
      </c>
      <c r="L3084" s="82" t="s">
        <v>16264</v>
      </c>
      <c r="N3084" s="44"/>
      <c r="O3084" s="83"/>
    </row>
    <row r="3085">
      <c r="A3085" s="38"/>
      <c r="B3085" s="71" t="s">
        <v>16265</v>
      </c>
      <c r="C3085" s="74" t="s">
        <v>15110</v>
      </c>
      <c r="D3085" s="38"/>
      <c r="E3085" s="64"/>
      <c r="F3085" s="92"/>
      <c r="I3085" s="32"/>
      <c r="J3085" s="32"/>
      <c r="K3085" s="45" t="s">
        <v>14582</v>
      </c>
      <c r="L3085" s="82" t="s">
        <v>16266</v>
      </c>
      <c r="N3085" s="44"/>
      <c r="O3085" s="83"/>
    </row>
    <row r="3086">
      <c r="A3086" s="38"/>
      <c r="B3086" s="120" t="s">
        <v>16267</v>
      </c>
      <c r="C3086" s="69" t="s">
        <v>14389</v>
      </c>
      <c r="D3086" s="38"/>
      <c r="E3086" s="64"/>
      <c r="F3086" s="92"/>
      <c r="I3086" s="32"/>
      <c r="J3086" s="32"/>
      <c r="K3086" s="45" t="s">
        <v>14589</v>
      </c>
      <c r="L3086" s="82" t="s">
        <v>16268</v>
      </c>
      <c r="N3086" s="44"/>
      <c r="O3086" s="83"/>
    </row>
    <row r="3087">
      <c r="A3087" s="38"/>
      <c r="B3087" s="71" t="s">
        <v>11717</v>
      </c>
      <c r="C3087" s="74" t="s">
        <v>16269</v>
      </c>
      <c r="D3087" s="38"/>
      <c r="E3087" s="64"/>
      <c r="F3087" s="92"/>
      <c r="I3087" s="32"/>
      <c r="J3087" s="32"/>
      <c r="K3087" s="45" t="s">
        <v>14594</v>
      </c>
      <c r="L3087" s="82" t="s">
        <v>16270</v>
      </c>
      <c r="N3087" s="44"/>
      <c r="O3087" s="83"/>
    </row>
    <row r="3088">
      <c r="A3088" s="38"/>
      <c r="B3088" s="118" t="s">
        <v>16271</v>
      </c>
      <c r="C3088" s="81" t="s">
        <v>16272</v>
      </c>
      <c r="D3088" s="38"/>
      <c r="E3088" s="64"/>
      <c r="F3088" s="92"/>
      <c r="I3088" s="32"/>
      <c r="J3088" s="32"/>
      <c r="K3088" s="45" t="s">
        <v>14600</v>
      </c>
      <c r="L3088" s="82" t="s">
        <v>16273</v>
      </c>
      <c r="N3088" s="44"/>
      <c r="O3088" s="83"/>
    </row>
    <row r="3089">
      <c r="A3089" s="38"/>
      <c r="B3089" s="118" t="s">
        <v>16274</v>
      </c>
      <c r="C3089" s="81" t="s">
        <v>16275</v>
      </c>
      <c r="D3089" s="38"/>
      <c r="E3089" s="64"/>
      <c r="F3089" s="92"/>
      <c r="I3089" s="32"/>
      <c r="J3089" s="32"/>
      <c r="K3089" s="45" t="s">
        <v>14606</v>
      </c>
      <c r="L3089" s="82" t="s">
        <v>16276</v>
      </c>
      <c r="N3089" s="44"/>
      <c r="O3089" s="83"/>
    </row>
    <row r="3090">
      <c r="A3090" s="38"/>
      <c r="B3090" s="118" t="s">
        <v>16277</v>
      </c>
      <c r="C3090" s="81" t="s">
        <v>16278</v>
      </c>
      <c r="D3090" s="38"/>
      <c r="E3090" s="64"/>
      <c r="F3090" s="92"/>
      <c r="I3090" s="32"/>
      <c r="J3090" s="32"/>
      <c r="K3090" s="45" t="s">
        <v>14612</v>
      </c>
      <c r="L3090" s="82" t="s">
        <v>16279</v>
      </c>
      <c r="N3090" s="44"/>
      <c r="O3090" s="83"/>
    </row>
    <row r="3091">
      <c r="A3091" s="38"/>
      <c r="B3091" s="118" t="s">
        <v>16280</v>
      </c>
      <c r="C3091" s="81" t="s">
        <v>16281</v>
      </c>
      <c r="D3091" s="38"/>
      <c r="E3091" s="64"/>
      <c r="F3091" s="92"/>
      <c r="I3091" s="32"/>
      <c r="J3091" s="32"/>
      <c r="K3091" s="45" t="s">
        <v>14618</v>
      </c>
      <c r="L3091" s="82" t="s">
        <v>16282</v>
      </c>
      <c r="N3091" s="44"/>
      <c r="O3091" s="83"/>
    </row>
    <row r="3092">
      <c r="A3092" s="38"/>
      <c r="B3092" s="118" t="s">
        <v>16283</v>
      </c>
      <c r="C3092" s="81" t="s">
        <v>16284</v>
      </c>
      <c r="D3092" s="38"/>
      <c r="E3092" s="64"/>
      <c r="F3092" s="92"/>
      <c r="I3092" s="32"/>
      <c r="J3092" s="32"/>
      <c r="K3092" s="45" t="s">
        <v>14624</v>
      </c>
      <c r="L3092" s="82" t="s">
        <v>16285</v>
      </c>
      <c r="N3092" s="44"/>
      <c r="O3092" s="83"/>
    </row>
    <row r="3093">
      <c r="A3093" s="38"/>
      <c r="B3093" s="118" t="s">
        <v>16286</v>
      </c>
      <c r="C3093" s="81" t="s">
        <v>16287</v>
      </c>
      <c r="D3093" s="38"/>
      <c r="E3093" s="64"/>
      <c r="F3093" s="92"/>
      <c r="I3093" s="32"/>
      <c r="J3093" s="32"/>
      <c r="K3093" s="45" t="s">
        <v>14631</v>
      </c>
      <c r="L3093" s="82" t="s">
        <v>16288</v>
      </c>
      <c r="N3093" s="44"/>
      <c r="O3093" s="83"/>
    </row>
    <row r="3094">
      <c r="A3094" s="38"/>
      <c r="B3094" s="77" t="s">
        <v>16289</v>
      </c>
      <c r="C3094" s="77" t="s">
        <v>14395</v>
      </c>
      <c r="D3094" s="38"/>
      <c r="E3094" s="64"/>
      <c r="F3094" s="92"/>
      <c r="I3094" s="32"/>
      <c r="J3094" s="32"/>
      <c r="K3094" s="45" t="s">
        <v>14637</v>
      </c>
      <c r="L3094" s="82" t="s">
        <v>16290</v>
      </c>
      <c r="N3094" s="44"/>
      <c r="O3094" s="83"/>
    </row>
    <row r="3095">
      <c r="A3095" s="38"/>
      <c r="B3095" s="77" t="s">
        <v>16291</v>
      </c>
      <c r="C3095" s="81" t="s">
        <v>923</v>
      </c>
      <c r="D3095" s="38"/>
      <c r="E3095" s="64"/>
      <c r="F3095" s="92"/>
      <c r="I3095" s="32"/>
      <c r="J3095" s="32"/>
      <c r="K3095" s="45" t="s">
        <v>14644</v>
      </c>
      <c r="L3095" s="82" t="s">
        <v>16292</v>
      </c>
      <c r="N3095" s="44"/>
      <c r="O3095" s="83"/>
    </row>
    <row r="3096">
      <c r="A3096" s="38"/>
      <c r="B3096" s="77" t="s">
        <v>16293</v>
      </c>
      <c r="C3096" s="28" t="s">
        <v>6897</v>
      </c>
      <c r="D3096" s="38"/>
      <c r="E3096" s="64"/>
      <c r="F3096" s="92"/>
      <c r="I3096" s="32"/>
      <c r="J3096" s="32"/>
      <c r="K3096" s="45" t="s">
        <v>14650</v>
      </c>
      <c r="L3096" s="82" t="s">
        <v>16294</v>
      </c>
      <c r="N3096" s="44"/>
      <c r="O3096" s="83"/>
    </row>
    <row r="3097">
      <c r="A3097" s="38"/>
      <c r="B3097" s="77" t="s">
        <v>16295</v>
      </c>
      <c r="C3097" s="81" t="s">
        <v>16296</v>
      </c>
      <c r="D3097" s="38"/>
      <c r="E3097" s="64"/>
      <c r="F3097" s="92"/>
      <c r="I3097" s="32"/>
      <c r="J3097" s="32"/>
      <c r="K3097" s="45" t="s">
        <v>14655</v>
      </c>
      <c r="L3097" s="82" t="s">
        <v>16297</v>
      </c>
      <c r="N3097" s="44"/>
      <c r="O3097" s="83"/>
    </row>
    <row r="3098">
      <c r="A3098" s="38"/>
      <c r="B3098" s="77" t="s">
        <v>16298</v>
      </c>
      <c r="C3098" s="77" t="s">
        <v>14401</v>
      </c>
      <c r="D3098" s="38"/>
      <c r="E3098" s="64"/>
      <c r="F3098" s="92"/>
      <c r="I3098" s="32"/>
      <c r="J3098" s="32"/>
      <c r="K3098" s="45" t="s">
        <v>14661</v>
      </c>
      <c r="L3098" s="82" t="s">
        <v>16299</v>
      </c>
      <c r="N3098" s="44"/>
      <c r="O3098" s="83"/>
    </row>
    <row r="3099">
      <c r="A3099" s="38"/>
      <c r="B3099" s="71" t="s">
        <v>16300</v>
      </c>
      <c r="C3099" s="74" t="s">
        <v>16301</v>
      </c>
      <c r="D3099" s="38"/>
      <c r="E3099" s="64"/>
      <c r="F3099" s="92"/>
      <c r="I3099" s="32"/>
      <c r="J3099" s="32"/>
      <c r="K3099" s="45" t="s">
        <v>14665</v>
      </c>
      <c r="L3099" s="82" t="s">
        <v>16302</v>
      </c>
      <c r="N3099" s="44"/>
      <c r="O3099" s="83"/>
    </row>
    <row r="3100">
      <c r="A3100" s="38"/>
      <c r="B3100" s="77" t="s">
        <v>16303</v>
      </c>
      <c r="C3100" s="81" t="s">
        <v>14411</v>
      </c>
      <c r="D3100" s="38"/>
      <c r="E3100" s="64"/>
      <c r="F3100" s="92"/>
      <c r="I3100" s="32"/>
      <c r="J3100" s="32"/>
      <c r="K3100" s="45" t="s">
        <v>14671</v>
      </c>
      <c r="L3100" s="82" t="s">
        <v>16304</v>
      </c>
      <c r="N3100" s="44"/>
      <c r="O3100" s="83"/>
    </row>
    <row r="3101">
      <c r="A3101" s="38"/>
      <c r="B3101" s="77" t="s">
        <v>16305</v>
      </c>
      <c r="C3101" s="81" t="s">
        <v>16306</v>
      </c>
      <c r="D3101" s="38"/>
      <c r="E3101" s="64"/>
      <c r="F3101" s="92"/>
      <c r="I3101" s="32"/>
      <c r="J3101" s="32"/>
      <c r="K3101" s="45" t="s">
        <v>14678</v>
      </c>
      <c r="L3101" s="82" t="s">
        <v>16307</v>
      </c>
      <c r="N3101" s="44"/>
      <c r="O3101" s="83"/>
    </row>
    <row r="3102">
      <c r="A3102" s="38"/>
      <c r="B3102" s="77" t="s">
        <v>16308</v>
      </c>
      <c r="C3102" s="81" t="s">
        <v>16309</v>
      </c>
      <c r="D3102" s="38"/>
      <c r="E3102" s="64"/>
      <c r="F3102" s="92"/>
      <c r="I3102" s="32"/>
      <c r="J3102" s="32"/>
      <c r="K3102" s="45" t="s">
        <v>14685</v>
      </c>
      <c r="L3102" s="82" t="s">
        <v>16310</v>
      </c>
      <c r="N3102" s="44"/>
      <c r="O3102" s="83"/>
    </row>
    <row r="3103">
      <c r="A3103" s="38"/>
      <c r="B3103" s="77" t="s">
        <v>16311</v>
      </c>
      <c r="C3103" s="81" t="s">
        <v>14407</v>
      </c>
      <c r="D3103" s="38"/>
      <c r="E3103" s="64"/>
      <c r="F3103" s="92"/>
      <c r="I3103" s="32"/>
      <c r="J3103" s="32"/>
      <c r="K3103" s="45" t="s">
        <v>14691</v>
      </c>
      <c r="L3103" s="82" t="s">
        <v>16312</v>
      </c>
      <c r="N3103" s="44"/>
      <c r="O3103" s="83"/>
    </row>
    <row r="3104">
      <c r="A3104" s="38"/>
      <c r="B3104" s="71" t="s">
        <v>16313</v>
      </c>
      <c r="C3104" s="74" t="s">
        <v>16314</v>
      </c>
      <c r="D3104" s="38"/>
      <c r="E3104" s="64"/>
      <c r="F3104" s="92"/>
      <c r="I3104" s="32"/>
      <c r="J3104" s="32"/>
      <c r="K3104" s="45" t="s">
        <v>14697</v>
      </c>
      <c r="L3104" s="82" t="s">
        <v>16315</v>
      </c>
      <c r="N3104" s="44"/>
      <c r="O3104" s="83"/>
    </row>
    <row r="3105">
      <c r="A3105" s="38"/>
      <c r="B3105" s="71" t="s">
        <v>16316</v>
      </c>
      <c r="C3105" s="74" t="s">
        <v>14423</v>
      </c>
      <c r="D3105" s="38"/>
      <c r="E3105" s="64"/>
      <c r="F3105" s="92"/>
      <c r="I3105" s="32"/>
      <c r="J3105" s="32"/>
      <c r="K3105" s="45" t="s">
        <v>14704</v>
      </c>
      <c r="L3105" s="82" t="s">
        <v>16317</v>
      </c>
      <c r="N3105" s="44"/>
      <c r="O3105" s="83"/>
    </row>
    <row r="3106">
      <c r="A3106" s="38"/>
      <c r="B3106" s="77" t="s">
        <v>14516</v>
      </c>
      <c r="C3106" s="81" t="s">
        <v>14435</v>
      </c>
      <c r="D3106" s="38"/>
      <c r="E3106" s="64"/>
      <c r="F3106" s="92"/>
      <c r="I3106" s="32"/>
      <c r="J3106" s="32"/>
      <c r="K3106" s="45" t="s">
        <v>14708</v>
      </c>
      <c r="L3106" s="82" t="s">
        <v>16318</v>
      </c>
      <c r="N3106" s="44"/>
      <c r="O3106" s="83"/>
    </row>
    <row r="3107">
      <c r="A3107" s="38"/>
      <c r="B3107" s="77" t="s">
        <v>14522</v>
      </c>
      <c r="C3107" s="81" t="s">
        <v>16319</v>
      </c>
      <c r="D3107" s="38"/>
      <c r="E3107" s="64"/>
      <c r="F3107" s="92"/>
      <c r="I3107" s="32"/>
      <c r="J3107" s="32"/>
      <c r="K3107" s="45" t="s">
        <v>14714</v>
      </c>
      <c r="L3107" s="82" t="s">
        <v>16320</v>
      </c>
      <c r="N3107" s="44"/>
      <c r="O3107" s="83"/>
    </row>
    <row r="3108">
      <c r="A3108" s="38"/>
      <c r="B3108" s="77" t="s">
        <v>14527</v>
      </c>
      <c r="C3108" s="81" t="s">
        <v>16321</v>
      </c>
      <c r="D3108" s="38"/>
      <c r="E3108" s="64"/>
      <c r="F3108" s="92"/>
      <c r="I3108" s="32"/>
      <c r="J3108" s="32"/>
      <c r="K3108" s="45" t="s">
        <v>14721</v>
      </c>
      <c r="L3108" s="82" t="s">
        <v>16322</v>
      </c>
      <c r="N3108" s="44"/>
      <c r="O3108" s="83"/>
    </row>
    <row r="3109">
      <c r="A3109" s="38"/>
      <c r="B3109" s="77" t="s">
        <v>14533</v>
      </c>
      <c r="C3109" s="81" t="s">
        <v>16323</v>
      </c>
      <c r="D3109" s="38"/>
      <c r="E3109" s="64"/>
      <c r="F3109" s="92"/>
      <c r="I3109" s="32"/>
      <c r="J3109" s="32"/>
      <c r="K3109" s="45" t="s">
        <v>14725</v>
      </c>
      <c r="L3109" s="82" t="s">
        <v>16324</v>
      </c>
      <c r="N3109" s="44"/>
      <c r="O3109" s="83"/>
    </row>
    <row r="3110">
      <c r="A3110" s="38"/>
      <c r="B3110" s="77" t="s">
        <v>14540</v>
      </c>
      <c r="C3110" s="81" t="s">
        <v>16325</v>
      </c>
      <c r="D3110" s="38"/>
      <c r="E3110" s="64"/>
      <c r="F3110" s="92"/>
      <c r="I3110" s="32"/>
      <c r="J3110" s="32"/>
      <c r="K3110" s="45" t="s">
        <v>14730</v>
      </c>
      <c r="L3110" s="82" t="s">
        <v>16326</v>
      </c>
      <c r="N3110" s="44"/>
      <c r="O3110" s="83"/>
    </row>
    <row r="3111">
      <c r="A3111" s="38"/>
      <c r="B3111" s="77" t="s">
        <v>14545</v>
      </c>
      <c r="C3111" s="81" t="s">
        <v>16327</v>
      </c>
      <c r="D3111" s="38"/>
      <c r="E3111" s="64"/>
      <c r="F3111" s="92"/>
      <c r="I3111" s="32"/>
      <c r="J3111" s="32"/>
      <c r="K3111" s="45" t="s">
        <v>14735</v>
      </c>
      <c r="L3111" s="82" t="s">
        <v>16328</v>
      </c>
      <c r="N3111" s="44"/>
      <c r="O3111" s="83"/>
    </row>
    <row r="3112">
      <c r="A3112" s="38"/>
      <c r="B3112" s="77" t="s">
        <v>14550</v>
      </c>
      <c r="C3112" s="81" t="s">
        <v>16329</v>
      </c>
      <c r="D3112" s="38"/>
      <c r="E3112" s="64"/>
      <c r="F3112" s="92"/>
      <c r="I3112" s="32"/>
      <c r="J3112" s="32"/>
      <c r="K3112" s="45" t="s">
        <v>14739</v>
      </c>
      <c r="L3112" s="82" t="s">
        <v>16330</v>
      </c>
      <c r="N3112" s="44"/>
      <c r="O3112" s="83"/>
    </row>
    <row r="3113">
      <c r="A3113" s="38"/>
      <c r="B3113" s="77" t="s">
        <v>14556</v>
      </c>
      <c r="C3113" s="81" t="s">
        <v>16331</v>
      </c>
      <c r="D3113" s="38"/>
      <c r="E3113" s="64"/>
      <c r="F3113" s="92"/>
      <c r="I3113" s="32"/>
      <c r="J3113" s="32"/>
      <c r="K3113" s="45" t="s">
        <v>14743</v>
      </c>
      <c r="L3113" s="82" t="s">
        <v>16332</v>
      </c>
      <c r="N3113" s="44"/>
      <c r="O3113" s="83"/>
    </row>
    <row r="3114">
      <c r="A3114" s="38"/>
      <c r="B3114" s="77" t="s">
        <v>14562</v>
      </c>
      <c r="C3114" s="81" t="s">
        <v>16333</v>
      </c>
      <c r="D3114" s="38"/>
      <c r="E3114" s="64"/>
      <c r="F3114" s="92"/>
      <c r="I3114" s="32"/>
      <c r="J3114" s="32"/>
      <c r="K3114" s="45" t="s">
        <v>14746</v>
      </c>
      <c r="L3114" s="82" t="s">
        <v>16334</v>
      </c>
      <c r="N3114" s="44"/>
      <c r="O3114" s="83"/>
    </row>
    <row r="3115">
      <c r="A3115" s="38"/>
      <c r="B3115" s="77" t="s">
        <v>14567</v>
      </c>
      <c r="C3115" s="81" t="s">
        <v>16335</v>
      </c>
      <c r="D3115" s="38"/>
      <c r="E3115" s="64"/>
      <c r="F3115" s="92"/>
      <c r="I3115" s="32"/>
      <c r="J3115" s="32"/>
      <c r="K3115" s="45" t="s">
        <v>14750</v>
      </c>
      <c r="L3115" s="82" t="s">
        <v>16336</v>
      </c>
      <c r="N3115" s="44"/>
      <c r="O3115" s="83"/>
    </row>
    <row r="3116">
      <c r="A3116" s="38"/>
      <c r="B3116" s="77" t="s">
        <v>14572</v>
      </c>
      <c r="C3116" s="81" t="s">
        <v>16337</v>
      </c>
      <c r="D3116" s="38"/>
      <c r="E3116" s="64"/>
      <c r="F3116" s="92"/>
      <c r="I3116" s="32"/>
      <c r="J3116" s="32"/>
      <c r="K3116" s="45" t="s">
        <v>14755</v>
      </c>
      <c r="L3116" s="82" t="s">
        <v>16338</v>
      </c>
      <c r="N3116" s="44"/>
      <c r="O3116" s="83"/>
    </row>
    <row r="3117">
      <c r="A3117" s="38"/>
      <c r="B3117" s="77" t="s">
        <v>14577</v>
      </c>
      <c r="C3117" s="81" t="s">
        <v>14451</v>
      </c>
      <c r="D3117" s="38"/>
      <c r="E3117" s="64"/>
      <c r="F3117" s="92"/>
      <c r="I3117" s="32"/>
      <c r="J3117" s="32"/>
      <c r="K3117" s="45" t="s">
        <v>14760</v>
      </c>
      <c r="L3117" s="82" t="s">
        <v>16339</v>
      </c>
      <c r="N3117" s="44"/>
      <c r="O3117" s="83"/>
    </row>
    <row r="3118">
      <c r="A3118" s="38"/>
      <c r="B3118" s="77" t="s">
        <v>14582</v>
      </c>
      <c r="C3118" s="81" t="s">
        <v>4768</v>
      </c>
      <c r="D3118" s="38"/>
      <c r="E3118" s="64"/>
      <c r="F3118" s="92"/>
      <c r="I3118" s="32"/>
      <c r="J3118" s="32"/>
      <c r="K3118" s="45" t="s">
        <v>14764</v>
      </c>
      <c r="L3118" s="82" t="s">
        <v>16340</v>
      </c>
      <c r="N3118" s="44"/>
      <c r="O3118" s="83"/>
    </row>
    <row r="3119">
      <c r="A3119" s="38"/>
      <c r="B3119" s="77" t="s">
        <v>14589</v>
      </c>
      <c r="C3119" s="81" t="s">
        <v>16341</v>
      </c>
      <c r="D3119" s="38"/>
      <c r="E3119" s="64"/>
      <c r="F3119" s="92"/>
      <c r="I3119" s="32"/>
      <c r="J3119" s="32"/>
      <c r="K3119" s="45" t="s">
        <v>14769</v>
      </c>
      <c r="L3119" s="82" t="s">
        <v>16342</v>
      </c>
      <c r="N3119" s="44"/>
      <c r="O3119" s="83"/>
    </row>
    <row r="3120">
      <c r="A3120" s="38"/>
      <c r="B3120" s="77" t="s">
        <v>14594</v>
      </c>
      <c r="C3120" s="81" t="s">
        <v>16343</v>
      </c>
      <c r="D3120" s="38"/>
      <c r="E3120" s="64"/>
      <c r="F3120" s="92"/>
      <c r="I3120" s="32"/>
      <c r="J3120" s="32"/>
      <c r="K3120" s="45" t="s">
        <v>14773</v>
      </c>
      <c r="L3120" s="82" t="s">
        <v>16344</v>
      </c>
      <c r="N3120" s="44"/>
      <c r="O3120" s="83"/>
    </row>
    <row r="3121">
      <c r="A3121" s="38"/>
      <c r="B3121" s="77" t="s">
        <v>14600</v>
      </c>
      <c r="C3121" s="81" t="s">
        <v>16345</v>
      </c>
      <c r="D3121" s="38"/>
      <c r="E3121" s="64"/>
      <c r="F3121" s="92"/>
      <c r="I3121" s="32"/>
      <c r="J3121" s="32"/>
      <c r="K3121" s="45" t="s">
        <v>14778</v>
      </c>
      <c r="L3121" s="82" t="s">
        <v>16346</v>
      </c>
      <c r="N3121" s="44"/>
      <c r="O3121" s="83"/>
    </row>
    <row r="3122">
      <c r="A3122" s="38"/>
      <c r="B3122" s="77" t="s">
        <v>14606</v>
      </c>
      <c r="C3122" s="81" t="s">
        <v>14575</v>
      </c>
      <c r="D3122" s="38"/>
      <c r="E3122" s="64"/>
      <c r="F3122" s="92"/>
      <c r="I3122" s="32"/>
      <c r="J3122" s="32"/>
      <c r="K3122" s="45" t="s">
        <v>14782</v>
      </c>
      <c r="L3122" s="82" t="s">
        <v>16347</v>
      </c>
      <c r="N3122" s="44"/>
      <c r="O3122" s="83"/>
    </row>
    <row r="3123">
      <c r="A3123" s="38"/>
      <c r="B3123" s="77" t="s">
        <v>14612</v>
      </c>
      <c r="C3123" s="81" t="s">
        <v>16348</v>
      </c>
      <c r="D3123" s="38"/>
      <c r="E3123" s="64"/>
      <c r="F3123" s="92"/>
      <c r="I3123" s="32"/>
      <c r="J3123" s="32"/>
      <c r="K3123" s="45" t="s">
        <v>14786</v>
      </c>
      <c r="L3123" s="82" t="s">
        <v>16349</v>
      </c>
      <c r="N3123" s="44"/>
      <c r="O3123" s="83"/>
    </row>
    <row r="3124">
      <c r="A3124" s="38"/>
      <c r="B3124" s="77" t="s">
        <v>14618</v>
      </c>
      <c r="C3124" s="81" t="s">
        <v>16350</v>
      </c>
      <c r="D3124" s="38"/>
      <c r="E3124" s="64"/>
      <c r="F3124" s="92"/>
      <c r="I3124" s="32"/>
      <c r="J3124" s="32"/>
      <c r="K3124" s="45" t="s">
        <v>14790</v>
      </c>
      <c r="L3124" s="82" t="s">
        <v>16351</v>
      </c>
      <c r="N3124" s="44"/>
      <c r="O3124" s="83"/>
    </row>
    <row r="3125">
      <c r="A3125" s="38"/>
      <c r="B3125" s="77" t="s">
        <v>14624</v>
      </c>
      <c r="C3125" s="81" t="s">
        <v>16352</v>
      </c>
      <c r="D3125" s="38"/>
      <c r="E3125" s="64"/>
      <c r="F3125" s="92"/>
      <c r="I3125" s="32"/>
      <c r="J3125" s="32"/>
      <c r="K3125" s="45" t="s">
        <v>14795</v>
      </c>
      <c r="L3125" s="82" t="s">
        <v>16353</v>
      </c>
      <c r="N3125" s="44"/>
      <c r="O3125" s="83"/>
    </row>
    <row r="3126">
      <c r="A3126" s="38"/>
      <c r="B3126" s="77" t="s">
        <v>14631</v>
      </c>
      <c r="C3126" s="81" t="s">
        <v>14474</v>
      </c>
      <c r="D3126" s="38"/>
      <c r="E3126" s="64"/>
      <c r="F3126" s="92"/>
      <c r="I3126" s="32"/>
      <c r="J3126" s="32"/>
      <c r="K3126" s="45" t="s">
        <v>14799</v>
      </c>
      <c r="L3126" s="82" t="s">
        <v>16354</v>
      </c>
      <c r="N3126" s="44"/>
      <c r="O3126" s="83"/>
    </row>
    <row r="3127">
      <c r="A3127" s="38"/>
      <c r="B3127" s="77" t="s">
        <v>14637</v>
      </c>
      <c r="C3127" s="81" t="s">
        <v>16355</v>
      </c>
      <c r="D3127" s="38"/>
      <c r="E3127" s="64"/>
      <c r="F3127" s="92"/>
      <c r="I3127" s="32"/>
      <c r="J3127" s="32"/>
      <c r="K3127" s="45" t="s">
        <v>14804</v>
      </c>
      <c r="L3127" s="82" t="s">
        <v>16356</v>
      </c>
      <c r="N3127" s="44"/>
      <c r="O3127" s="83"/>
    </row>
    <row r="3128">
      <c r="A3128" s="38"/>
      <c r="B3128" s="77" t="s">
        <v>14644</v>
      </c>
      <c r="C3128" s="81" t="s">
        <v>16357</v>
      </c>
      <c r="D3128" s="38"/>
      <c r="E3128" s="64"/>
      <c r="F3128" s="92"/>
      <c r="I3128" s="32"/>
      <c r="J3128" s="32"/>
      <c r="K3128" s="45" t="s">
        <v>14809</v>
      </c>
      <c r="L3128" s="82" t="s">
        <v>16358</v>
      </c>
      <c r="N3128" s="44"/>
      <c r="O3128" s="83"/>
    </row>
    <row r="3129">
      <c r="A3129" s="38"/>
      <c r="B3129" s="77" t="s">
        <v>14650</v>
      </c>
      <c r="C3129" s="81" t="s">
        <v>16359</v>
      </c>
      <c r="D3129" s="38"/>
      <c r="E3129" s="64"/>
      <c r="F3129" s="92"/>
      <c r="I3129" s="32"/>
      <c r="J3129" s="32"/>
      <c r="K3129" s="45" t="s">
        <v>14814</v>
      </c>
      <c r="L3129" s="82" t="s">
        <v>16360</v>
      </c>
      <c r="N3129" s="44"/>
      <c r="O3129" s="83"/>
    </row>
    <row r="3130">
      <c r="A3130" s="38"/>
      <c r="B3130" s="77" t="s">
        <v>14655</v>
      </c>
      <c r="C3130" s="81" t="s">
        <v>14496</v>
      </c>
      <c r="D3130" s="38"/>
      <c r="E3130" s="64"/>
      <c r="F3130" s="92"/>
      <c r="I3130" s="32"/>
      <c r="J3130" s="32"/>
      <c r="K3130" s="45" t="s">
        <v>14819</v>
      </c>
      <c r="L3130" s="82" t="s">
        <v>16361</v>
      </c>
      <c r="N3130" s="44"/>
      <c r="O3130" s="83"/>
    </row>
    <row r="3131">
      <c r="A3131" s="38"/>
      <c r="B3131" s="77" t="s">
        <v>14661</v>
      </c>
      <c r="C3131" s="81" t="s">
        <v>14500</v>
      </c>
      <c r="D3131" s="38"/>
      <c r="E3131" s="64"/>
      <c r="F3131" s="92"/>
      <c r="I3131" s="32"/>
      <c r="J3131" s="32"/>
      <c r="K3131" s="45" t="s">
        <v>14824</v>
      </c>
      <c r="L3131" s="82" t="s">
        <v>16362</v>
      </c>
      <c r="N3131" s="44"/>
      <c r="O3131" s="83"/>
    </row>
    <row r="3132">
      <c r="A3132" s="38"/>
      <c r="B3132" s="77" t="s">
        <v>14665</v>
      </c>
      <c r="C3132" s="81" t="s">
        <v>16363</v>
      </c>
      <c r="D3132" s="38"/>
      <c r="E3132" s="64"/>
      <c r="F3132" s="92"/>
      <c r="I3132" s="32"/>
      <c r="J3132" s="32"/>
      <c r="K3132" s="45" t="s">
        <v>14829</v>
      </c>
      <c r="L3132" s="82" t="s">
        <v>16364</v>
      </c>
      <c r="N3132" s="44"/>
      <c r="O3132" s="83"/>
    </row>
    <row r="3133">
      <c r="A3133" s="38"/>
      <c r="B3133" s="77" t="s">
        <v>14671</v>
      </c>
      <c r="C3133" s="81" t="s">
        <v>16365</v>
      </c>
      <c r="D3133" s="38"/>
      <c r="E3133" s="64"/>
      <c r="F3133" s="92"/>
      <c r="I3133" s="32"/>
      <c r="J3133" s="32"/>
      <c r="K3133" s="45" t="s">
        <v>16366</v>
      </c>
      <c r="L3133" s="82" t="s">
        <v>12184</v>
      </c>
      <c r="N3133" s="44"/>
      <c r="O3133" s="83"/>
    </row>
    <row r="3134">
      <c r="A3134" s="38"/>
      <c r="B3134" s="77" t="s">
        <v>14678</v>
      </c>
      <c r="C3134" s="81" t="s">
        <v>16367</v>
      </c>
      <c r="D3134" s="38"/>
      <c r="E3134" s="64"/>
      <c r="F3134" s="92"/>
      <c r="I3134" s="32"/>
      <c r="J3134" s="32"/>
      <c r="K3134" s="45" t="s">
        <v>14839</v>
      </c>
      <c r="L3134" s="82" t="s">
        <v>14659</v>
      </c>
      <c r="N3134" s="44"/>
      <c r="O3134" s="83"/>
    </row>
    <row r="3135">
      <c r="A3135" s="38"/>
      <c r="B3135" s="77" t="s">
        <v>14685</v>
      </c>
      <c r="C3135" s="81" t="s">
        <v>16368</v>
      </c>
      <c r="D3135" s="38"/>
      <c r="E3135" s="64"/>
      <c r="F3135" s="92"/>
      <c r="I3135" s="32"/>
      <c r="J3135" s="32"/>
      <c r="K3135" s="45" t="s">
        <v>16369</v>
      </c>
      <c r="L3135" s="82" t="s">
        <v>14663</v>
      </c>
      <c r="N3135" s="44"/>
      <c r="O3135" s="83"/>
    </row>
    <row r="3136">
      <c r="A3136" s="38"/>
      <c r="B3136" s="77" t="s">
        <v>14691</v>
      </c>
      <c r="C3136" s="81" t="s">
        <v>14525</v>
      </c>
      <c r="D3136" s="38"/>
      <c r="E3136" s="64"/>
      <c r="F3136" s="92"/>
      <c r="I3136" s="32"/>
      <c r="J3136" s="32"/>
      <c r="K3136" s="44" t="s">
        <v>16370</v>
      </c>
      <c r="L3136" s="82" t="s">
        <v>16371</v>
      </c>
      <c r="N3136" s="44"/>
      <c r="O3136" s="83"/>
    </row>
    <row r="3137">
      <c r="A3137" s="38"/>
      <c r="B3137" s="77" t="s">
        <v>14697</v>
      </c>
      <c r="C3137" s="81" t="s">
        <v>16372</v>
      </c>
      <c r="D3137" s="38"/>
      <c r="E3137" s="64"/>
      <c r="F3137" s="92"/>
      <c r="I3137" s="32"/>
      <c r="J3137" s="32"/>
      <c r="K3137" s="45" t="s">
        <v>14847</v>
      </c>
      <c r="L3137" s="82" t="s">
        <v>16373</v>
      </c>
      <c r="N3137" s="44"/>
      <c r="O3137" s="83"/>
    </row>
    <row r="3138">
      <c r="A3138" s="38"/>
      <c r="B3138" s="77" t="s">
        <v>14704</v>
      </c>
      <c r="C3138" s="81" t="s">
        <v>16374</v>
      </c>
      <c r="D3138" s="38"/>
      <c r="E3138" s="64"/>
      <c r="F3138" s="92"/>
      <c r="I3138" s="32"/>
      <c r="J3138" s="32"/>
      <c r="K3138" s="45" t="s">
        <v>14853</v>
      </c>
      <c r="L3138" s="82" t="s">
        <v>16375</v>
      </c>
      <c r="N3138" s="44"/>
      <c r="O3138" s="83"/>
    </row>
    <row r="3139">
      <c r="A3139" s="38"/>
      <c r="B3139" s="77" t="s">
        <v>14708</v>
      </c>
      <c r="C3139" s="81" t="s">
        <v>14538</v>
      </c>
      <c r="D3139" s="38"/>
      <c r="E3139" s="64"/>
      <c r="F3139" s="92"/>
      <c r="I3139" s="32"/>
      <c r="J3139" s="32"/>
      <c r="K3139" s="45" t="s">
        <v>14858</v>
      </c>
      <c r="L3139" s="82" t="s">
        <v>16376</v>
      </c>
      <c r="N3139" s="44"/>
      <c r="O3139" s="83"/>
    </row>
    <row r="3140">
      <c r="A3140" s="38"/>
      <c r="B3140" s="77" t="s">
        <v>14714</v>
      </c>
      <c r="C3140" s="81" t="s">
        <v>14548</v>
      </c>
      <c r="D3140" s="38"/>
      <c r="E3140" s="64"/>
      <c r="F3140" s="92"/>
      <c r="I3140" s="32"/>
      <c r="J3140" s="32"/>
      <c r="K3140" s="45" t="s">
        <v>14863</v>
      </c>
      <c r="L3140" s="82" t="s">
        <v>16377</v>
      </c>
      <c r="N3140" s="44"/>
      <c r="O3140" s="83"/>
    </row>
    <row r="3141">
      <c r="A3141" s="38"/>
      <c r="B3141" s="77" t="s">
        <v>14721</v>
      </c>
      <c r="C3141" s="81" t="s">
        <v>16378</v>
      </c>
      <c r="D3141" s="38"/>
      <c r="E3141" s="64"/>
      <c r="F3141" s="92"/>
      <c r="I3141" s="32"/>
      <c r="J3141" s="32"/>
      <c r="K3141" s="45" t="s">
        <v>14869</v>
      </c>
      <c r="L3141" s="82" t="s">
        <v>16379</v>
      </c>
      <c r="N3141" s="44"/>
      <c r="O3141" s="83"/>
    </row>
    <row r="3142">
      <c r="A3142" s="38"/>
      <c r="B3142" s="77" t="s">
        <v>14725</v>
      </c>
      <c r="C3142" s="81" t="s">
        <v>14554</v>
      </c>
      <c r="D3142" s="38"/>
      <c r="E3142" s="64"/>
      <c r="F3142" s="92"/>
      <c r="I3142" s="32"/>
      <c r="J3142" s="32"/>
      <c r="K3142" s="45" t="s">
        <v>14873</v>
      </c>
      <c r="L3142" s="82" t="s">
        <v>16380</v>
      </c>
      <c r="N3142" s="44"/>
      <c r="O3142" s="83"/>
    </row>
    <row r="3143">
      <c r="A3143" s="38"/>
      <c r="B3143" s="77" t="s">
        <v>14730</v>
      </c>
      <c r="C3143" s="81" t="s">
        <v>14560</v>
      </c>
      <c r="D3143" s="38"/>
      <c r="E3143" s="64"/>
      <c r="F3143" s="92"/>
      <c r="I3143" s="32"/>
      <c r="J3143" s="32"/>
      <c r="K3143" s="45" t="s">
        <v>14880</v>
      </c>
      <c r="L3143" s="82" t="s">
        <v>16381</v>
      </c>
      <c r="N3143" s="44"/>
      <c r="O3143" s="83"/>
    </row>
    <row r="3144">
      <c r="A3144" s="38"/>
      <c r="B3144" s="77" t="s">
        <v>14735</v>
      </c>
      <c r="C3144" s="81" t="s">
        <v>14565</v>
      </c>
      <c r="D3144" s="38"/>
      <c r="E3144" s="64"/>
      <c r="F3144" s="92"/>
      <c r="I3144" s="32"/>
      <c r="J3144" s="32"/>
      <c r="K3144" s="45" t="s">
        <v>14886</v>
      </c>
      <c r="L3144" s="82" t="s">
        <v>16382</v>
      </c>
      <c r="N3144" s="44"/>
      <c r="O3144" s="83"/>
    </row>
    <row r="3145">
      <c r="A3145" s="38"/>
      <c r="B3145" s="77" t="s">
        <v>14739</v>
      </c>
      <c r="C3145" s="81" t="s">
        <v>14570</v>
      </c>
      <c r="D3145" s="38"/>
      <c r="E3145" s="64"/>
      <c r="F3145" s="92"/>
      <c r="I3145" s="32"/>
      <c r="J3145" s="32"/>
      <c r="K3145" s="45" t="s">
        <v>14892</v>
      </c>
      <c r="L3145" s="82" t="s">
        <v>16383</v>
      </c>
      <c r="N3145" s="44"/>
      <c r="O3145" s="83"/>
    </row>
    <row r="3146">
      <c r="A3146" s="38"/>
      <c r="B3146" s="77" t="s">
        <v>14743</v>
      </c>
      <c r="C3146" s="81" t="s">
        <v>14580</v>
      </c>
      <c r="D3146" s="38"/>
      <c r="E3146" s="64"/>
      <c r="F3146" s="92"/>
      <c r="I3146" s="32"/>
      <c r="J3146" s="32"/>
      <c r="K3146" s="45" t="s">
        <v>14897</v>
      </c>
      <c r="L3146" s="82" t="s">
        <v>16384</v>
      </c>
      <c r="N3146" s="44"/>
      <c r="O3146" s="83"/>
    </row>
    <row r="3147">
      <c r="A3147" s="38"/>
      <c r="B3147" s="77" t="s">
        <v>14746</v>
      </c>
      <c r="C3147" s="81" t="s">
        <v>16385</v>
      </c>
      <c r="D3147" s="38"/>
      <c r="E3147" s="64"/>
      <c r="F3147" s="92"/>
      <c r="I3147" s="32"/>
      <c r="J3147" s="32"/>
      <c r="K3147" s="45" t="s">
        <v>14902</v>
      </c>
      <c r="L3147" s="82" t="s">
        <v>16386</v>
      </c>
      <c r="N3147" s="44"/>
      <c r="O3147" s="83"/>
    </row>
    <row r="3148">
      <c r="A3148" s="38"/>
      <c r="B3148" s="77" t="s">
        <v>14750</v>
      </c>
      <c r="C3148" s="81" t="s">
        <v>16387</v>
      </c>
      <c r="D3148" s="38"/>
      <c r="E3148" s="64"/>
      <c r="F3148" s="92"/>
      <c r="I3148" s="32"/>
      <c r="J3148" s="32"/>
      <c r="K3148" s="45" t="s">
        <v>14908</v>
      </c>
      <c r="L3148" s="82" t="s">
        <v>16388</v>
      </c>
      <c r="N3148" s="44"/>
      <c r="O3148" s="83"/>
    </row>
    <row r="3149">
      <c r="A3149" s="38"/>
      <c r="B3149" s="77" t="s">
        <v>14755</v>
      </c>
      <c r="C3149" s="81" t="s">
        <v>16389</v>
      </c>
      <c r="D3149" s="38"/>
      <c r="E3149" s="64"/>
      <c r="F3149" s="92"/>
      <c r="I3149" s="32"/>
      <c r="J3149" s="32"/>
      <c r="K3149" s="45" t="s">
        <v>14913</v>
      </c>
      <c r="L3149" s="82" t="s">
        <v>16390</v>
      </c>
      <c r="N3149" s="44"/>
      <c r="O3149" s="83"/>
    </row>
    <row r="3150">
      <c r="A3150" s="38"/>
      <c r="B3150" s="77" t="s">
        <v>14760</v>
      </c>
      <c r="C3150" s="81" t="s">
        <v>14587</v>
      </c>
      <c r="D3150" s="38"/>
      <c r="E3150" s="64"/>
      <c r="F3150" s="92"/>
      <c r="I3150" s="32"/>
      <c r="J3150" s="32"/>
      <c r="K3150" s="45" t="s">
        <v>14919</v>
      </c>
      <c r="L3150" s="82" t="s">
        <v>16391</v>
      </c>
      <c r="N3150" s="44"/>
      <c r="O3150" s="83"/>
    </row>
    <row r="3151">
      <c r="A3151" s="38"/>
      <c r="B3151" s="77" t="s">
        <v>14764</v>
      </c>
      <c r="C3151" s="81" t="s">
        <v>16392</v>
      </c>
      <c r="D3151" s="38"/>
      <c r="E3151" s="64"/>
      <c r="F3151" s="92"/>
      <c r="I3151" s="32"/>
      <c r="J3151" s="32"/>
      <c r="K3151" s="45" t="s">
        <v>14924</v>
      </c>
      <c r="L3151" s="82" t="s">
        <v>16393</v>
      </c>
      <c r="N3151" s="44"/>
      <c r="O3151" s="83"/>
    </row>
    <row r="3152">
      <c r="A3152" s="38"/>
      <c r="B3152" s="77" t="s">
        <v>14769</v>
      </c>
      <c r="C3152" s="81" t="s">
        <v>16394</v>
      </c>
      <c r="D3152" s="38"/>
      <c r="E3152" s="64"/>
      <c r="F3152" s="92"/>
      <c r="I3152" s="32"/>
      <c r="J3152" s="32"/>
      <c r="K3152" s="45" t="s">
        <v>14930</v>
      </c>
      <c r="L3152" s="82" t="s">
        <v>16395</v>
      </c>
      <c r="N3152" s="44"/>
      <c r="O3152" s="83"/>
    </row>
    <row r="3153">
      <c r="A3153" s="38"/>
      <c r="B3153" s="77" t="s">
        <v>14773</v>
      </c>
      <c r="C3153" s="81" t="s">
        <v>16396</v>
      </c>
      <c r="D3153" s="38"/>
      <c r="E3153" s="64"/>
      <c r="F3153" s="92"/>
      <c r="I3153" s="32"/>
      <c r="J3153" s="32"/>
      <c r="K3153" s="45" t="s">
        <v>14935</v>
      </c>
      <c r="L3153" s="82" t="s">
        <v>16397</v>
      </c>
      <c r="N3153" s="44"/>
      <c r="O3153" s="83"/>
    </row>
    <row r="3154">
      <c r="A3154" s="38"/>
      <c r="B3154" s="77" t="s">
        <v>14778</v>
      </c>
      <c r="C3154" s="81" t="s">
        <v>14598</v>
      </c>
      <c r="D3154" s="38"/>
      <c r="E3154" s="64"/>
      <c r="F3154" s="92"/>
      <c r="I3154" s="32"/>
      <c r="J3154" s="32"/>
      <c r="K3154" s="45" t="s">
        <v>14942</v>
      </c>
      <c r="L3154" s="82" t="s">
        <v>16398</v>
      </c>
      <c r="N3154" s="44"/>
      <c r="O3154" s="83"/>
    </row>
    <row r="3155">
      <c r="A3155" s="38"/>
      <c r="B3155" s="77" t="s">
        <v>14782</v>
      </c>
      <c r="C3155" s="81" t="s">
        <v>16399</v>
      </c>
      <c r="D3155" s="38"/>
      <c r="E3155" s="64"/>
      <c r="F3155" s="92"/>
      <c r="I3155" s="32"/>
      <c r="J3155" s="32"/>
      <c r="K3155" s="45" t="s">
        <v>16400</v>
      </c>
      <c r="L3155" s="82" t="s">
        <v>16401</v>
      </c>
      <c r="N3155" s="44"/>
      <c r="O3155" s="83"/>
    </row>
    <row r="3156">
      <c r="A3156" s="38"/>
      <c r="B3156" s="77" t="s">
        <v>14786</v>
      </c>
      <c r="C3156" s="81" t="s">
        <v>14604</v>
      </c>
      <c r="D3156" s="38"/>
      <c r="E3156" s="64"/>
      <c r="F3156" s="92"/>
      <c r="I3156" s="32"/>
      <c r="J3156" s="32"/>
      <c r="K3156" s="45" t="s">
        <v>16402</v>
      </c>
      <c r="L3156" s="82" t="s">
        <v>16403</v>
      </c>
      <c r="N3156" s="44"/>
      <c r="O3156" s="83"/>
    </row>
    <row r="3157">
      <c r="A3157" s="38"/>
      <c r="B3157" s="77" t="s">
        <v>14790</v>
      </c>
      <c r="C3157" s="81" t="s">
        <v>16404</v>
      </c>
      <c r="D3157" s="38"/>
      <c r="E3157" s="64"/>
      <c r="F3157" s="92"/>
      <c r="I3157" s="32"/>
      <c r="J3157" s="32"/>
      <c r="K3157" s="45" t="s">
        <v>16405</v>
      </c>
      <c r="L3157" s="82" t="s">
        <v>16406</v>
      </c>
      <c r="N3157" s="44"/>
      <c r="O3157" s="83"/>
    </row>
    <row r="3158">
      <c r="A3158" s="38"/>
      <c r="B3158" s="77" t="s">
        <v>14795</v>
      </c>
      <c r="C3158" s="81" t="s">
        <v>16407</v>
      </c>
      <c r="D3158" s="38"/>
      <c r="E3158" s="64"/>
      <c r="F3158" s="92"/>
      <c r="I3158" s="32"/>
      <c r="J3158" s="32"/>
      <c r="K3158" s="45" t="s">
        <v>13417</v>
      </c>
      <c r="L3158" s="82" t="s">
        <v>16408</v>
      </c>
      <c r="N3158" s="44"/>
      <c r="O3158" s="83"/>
    </row>
    <row r="3159">
      <c r="A3159" s="38"/>
      <c r="B3159" s="77" t="s">
        <v>14799</v>
      </c>
      <c r="C3159" s="81" t="s">
        <v>14509</v>
      </c>
      <c r="D3159" s="38"/>
      <c r="E3159" s="64"/>
      <c r="F3159" s="92"/>
      <c r="I3159" s="32"/>
      <c r="J3159" s="32"/>
      <c r="K3159" s="45" t="s">
        <v>13289</v>
      </c>
      <c r="L3159" s="82" t="s">
        <v>16409</v>
      </c>
      <c r="N3159" s="44"/>
      <c r="O3159" s="83"/>
    </row>
    <row r="3160">
      <c r="A3160" s="38"/>
      <c r="B3160" s="77" t="s">
        <v>14804</v>
      </c>
      <c r="C3160" s="81" t="s">
        <v>14622</v>
      </c>
      <c r="D3160" s="38"/>
      <c r="E3160" s="64"/>
      <c r="F3160" s="92"/>
      <c r="I3160" s="32"/>
      <c r="J3160" s="32"/>
      <c r="K3160" s="45" t="s">
        <v>13183</v>
      </c>
      <c r="L3160" s="82" t="s">
        <v>16410</v>
      </c>
      <c r="N3160" s="44"/>
      <c r="O3160" s="83"/>
    </row>
    <row r="3161">
      <c r="A3161" s="38"/>
      <c r="B3161" s="77" t="s">
        <v>14809</v>
      </c>
      <c r="C3161" s="81" t="s">
        <v>14616</v>
      </c>
      <c r="D3161" s="38"/>
      <c r="E3161" s="64"/>
      <c r="F3161" s="92"/>
      <c r="I3161" s="32"/>
      <c r="J3161" s="32"/>
      <c r="K3161" s="45" t="s">
        <v>16411</v>
      </c>
      <c r="L3161" s="82" t="s">
        <v>16412</v>
      </c>
      <c r="N3161" s="44"/>
      <c r="O3161" s="83"/>
    </row>
    <row r="3162">
      <c r="A3162" s="38"/>
      <c r="B3162" s="77" t="s">
        <v>14814</v>
      </c>
      <c r="C3162" s="81" t="s">
        <v>16413</v>
      </c>
      <c r="D3162" s="38"/>
      <c r="E3162" s="64"/>
      <c r="F3162" s="92"/>
      <c r="I3162" s="32"/>
      <c r="J3162" s="32"/>
      <c r="K3162" s="45" t="s">
        <v>16414</v>
      </c>
      <c r="L3162" s="82" t="s">
        <v>16415</v>
      </c>
      <c r="N3162" s="44"/>
      <c r="O3162" s="83"/>
    </row>
    <row r="3163">
      <c r="A3163" s="38"/>
      <c r="B3163" s="87" t="s">
        <v>16416</v>
      </c>
      <c r="C3163" s="87" t="s">
        <v>14629</v>
      </c>
      <c r="D3163" s="38"/>
      <c r="E3163" s="64"/>
      <c r="F3163" s="92"/>
      <c r="I3163" s="32"/>
      <c r="J3163" s="32"/>
      <c r="K3163" s="45" t="s">
        <v>12549</v>
      </c>
      <c r="L3163" s="82" t="s">
        <v>16417</v>
      </c>
      <c r="N3163" s="44"/>
      <c r="O3163" s="83"/>
    </row>
    <row r="3164">
      <c r="A3164" s="38"/>
      <c r="B3164" s="87" t="s">
        <v>16418</v>
      </c>
      <c r="C3164" s="87" t="s">
        <v>14635</v>
      </c>
      <c r="D3164" s="38"/>
      <c r="E3164" s="64"/>
      <c r="F3164" s="92"/>
      <c r="I3164" s="32"/>
      <c r="J3164" s="32"/>
      <c r="K3164" s="45" t="s">
        <v>12124</v>
      </c>
      <c r="L3164" s="82" t="s">
        <v>16419</v>
      </c>
      <c r="N3164" s="44"/>
      <c r="O3164" s="83"/>
    </row>
    <row r="3165">
      <c r="A3165" s="38"/>
      <c r="B3165" s="87" t="s">
        <v>14829</v>
      </c>
      <c r="C3165" s="87" t="s">
        <v>14642</v>
      </c>
      <c r="D3165" s="38"/>
      <c r="E3165" s="64"/>
      <c r="F3165" s="92"/>
      <c r="I3165" s="32"/>
      <c r="J3165" s="32"/>
      <c r="K3165" s="45" t="s">
        <v>11594</v>
      </c>
      <c r="L3165" s="82" t="s">
        <v>16420</v>
      </c>
      <c r="N3165" s="44"/>
      <c r="O3165" s="83"/>
    </row>
    <row r="3166">
      <c r="A3166" s="38"/>
      <c r="B3166" s="72" t="s">
        <v>16370</v>
      </c>
      <c r="C3166" s="121" t="s">
        <v>16371</v>
      </c>
      <c r="D3166" s="38"/>
      <c r="E3166" s="64"/>
      <c r="F3166" s="92"/>
      <c r="I3166" s="32"/>
      <c r="J3166" s="32"/>
      <c r="K3166" s="45" t="s">
        <v>11421</v>
      </c>
      <c r="L3166" s="82" t="s">
        <v>16421</v>
      </c>
      <c r="N3166" s="44"/>
      <c r="O3166" s="83"/>
    </row>
    <row r="3167">
      <c r="A3167" s="38"/>
      <c r="B3167" s="77" t="s">
        <v>14833</v>
      </c>
      <c r="C3167" s="81" t="s">
        <v>12184</v>
      </c>
      <c r="D3167" s="38"/>
      <c r="E3167" s="64"/>
      <c r="F3167" s="92"/>
      <c r="I3167" s="32"/>
      <c r="J3167" s="32"/>
      <c r="K3167" s="45" t="s">
        <v>11206</v>
      </c>
      <c r="L3167" s="82" t="s">
        <v>16422</v>
      </c>
      <c r="N3167" s="44"/>
      <c r="O3167" s="83"/>
    </row>
    <row r="3168">
      <c r="A3168" s="38"/>
      <c r="B3168" s="77" t="s">
        <v>14839</v>
      </c>
      <c r="C3168" s="81" t="s">
        <v>14659</v>
      </c>
      <c r="D3168" s="38"/>
      <c r="E3168" s="64"/>
      <c r="F3168" s="92"/>
      <c r="I3168" s="32"/>
      <c r="J3168" s="32"/>
      <c r="K3168" s="45" t="s">
        <v>16423</v>
      </c>
      <c r="L3168" s="82" t="s">
        <v>16424</v>
      </c>
      <c r="N3168" s="44"/>
      <c r="O3168" s="83"/>
    </row>
    <row r="3169">
      <c r="A3169" s="38"/>
      <c r="B3169" s="77" t="s">
        <v>14842</v>
      </c>
      <c r="C3169" s="81" t="s">
        <v>14663</v>
      </c>
      <c r="D3169" s="38"/>
      <c r="E3169" s="64"/>
      <c r="F3169" s="92"/>
      <c r="I3169" s="32"/>
      <c r="J3169" s="32"/>
      <c r="K3169" s="45" t="s">
        <v>11011</v>
      </c>
      <c r="L3169" s="82" t="s">
        <v>16425</v>
      </c>
      <c r="N3169" s="44"/>
      <c r="O3169" s="83"/>
    </row>
    <row r="3170">
      <c r="A3170" s="38"/>
      <c r="B3170" s="77" t="s">
        <v>14847</v>
      </c>
      <c r="C3170" s="81" t="s">
        <v>16426</v>
      </c>
      <c r="D3170" s="38"/>
      <c r="E3170" s="64"/>
      <c r="F3170" s="92"/>
      <c r="I3170" s="32"/>
      <c r="J3170" s="32"/>
      <c r="K3170" s="45" t="s">
        <v>10402</v>
      </c>
      <c r="L3170" s="82" t="s">
        <v>16427</v>
      </c>
      <c r="N3170" s="44"/>
      <c r="O3170" s="83"/>
    </row>
    <row r="3171">
      <c r="A3171" s="38"/>
      <c r="B3171" s="77" t="s">
        <v>14853</v>
      </c>
      <c r="C3171" s="81" t="s">
        <v>14695</v>
      </c>
      <c r="D3171" s="38"/>
      <c r="E3171" s="64"/>
      <c r="F3171" s="92"/>
      <c r="I3171" s="32"/>
      <c r="J3171" s="32"/>
      <c r="K3171" s="45" t="s">
        <v>10351</v>
      </c>
      <c r="L3171" s="82" t="s">
        <v>16428</v>
      </c>
      <c r="N3171" s="44"/>
      <c r="O3171" s="83"/>
    </row>
    <row r="3172">
      <c r="A3172" s="38"/>
      <c r="B3172" s="77" t="s">
        <v>14858</v>
      </c>
      <c r="C3172" s="81" t="s">
        <v>16429</v>
      </c>
      <c r="D3172" s="38"/>
      <c r="E3172" s="64"/>
      <c r="F3172" s="92"/>
      <c r="I3172" s="32"/>
      <c r="J3172" s="32"/>
      <c r="K3172" s="45" t="s">
        <v>10315</v>
      </c>
      <c r="L3172" s="82" t="s">
        <v>16430</v>
      </c>
      <c r="N3172" s="44"/>
      <c r="O3172" s="83"/>
    </row>
    <row r="3173">
      <c r="A3173" s="38"/>
      <c r="B3173" s="77" t="s">
        <v>14863</v>
      </c>
      <c r="C3173" s="81" t="s">
        <v>16431</v>
      </c>
      <c r="D3173" s="38"/>
      <c r="E3173" s="64"/>
      <c r="F3173" s="92"/>
      <c r="I3173" s="32"/>
      <c r="J3173" s="32"/>
      <c r="K3173" s="45" t="s">
        <v>10124</v>
      </c>
      <c r="L3173" s="82" t="s">
        <v>16432</v>
      </c>
      <c r="N3173" s="44"/>
      <c r="O3173" s="83"/>
    </row>
    <row r="3174">
      <c r="A3174" s="38"/>
      <c r="B3174" s="77" t="s">
        <v>14869</v>
      </c>
      <c r="C3174" s="81" t="s">
        <v>16433</v>
      </c>
      <c r="D3174" s="38"/>
      <c r="E3174" s="64"/>
      <c r="F3174" s="92"/>
      <c r="I3174" s="32"/>
      <c r="J3174" s="32"/>
      <c r="K3174" s="45" t="s">
        <v>16434</v>
      </c>
      <c r="L3174" s="82" t="s">
        <v>16435</v>
      </c>
      <c r="N3174" s="44"/>
      <c r="O3174" s="83"/>
    </row>
    <row r="3175">
      <c r="A3175" s="38"/>
      <c r="B3175" s="77" t="s">
        <v>14873</v>
      </c>
      <c r="C3175" s="81" t="s">
        <v>16436</v>
      </c>
      <c r="D3175" s="38"/>
      <c r="E3175" s="64"/>
      <c r="F3175" s="92"/>
      <c r="I3175" s="32"/>
      <c r="J3175" s="32"/>
      <c r="K3175" s="45" t="s">
        <v>16437</v>
      </c>
      <c r="L3175" s="82" t="s">
        <v>16438</v>
      </c>
      <c r="N3175" s="44"/>
      <c r="O3175" s="83"/>
    </row>
    <row r="3176">
      <c r="A3176" s="38"/>
      <c r="B3176" s="77" t="s">
        <v>14880</v>
      </c>
      <c r="C3176" s="81" t="s">
        <v>16439</v>
      </c>
      <c r="D3176" s="38"/>
      <c r="E3176" s="64"/>
      <c r="F3176" s="92"/>
      <c r="I3176" s="32"/>
      <c r="J3176" s="32"/>
      <c r="K3176" s="45" t="s">
        <v>16440</v>
      </c>
      <c r="L3176" s="82" t="s">
        <v>16441</v>
      </c>
      <c r="N3176" s="44"/>
      <c r="O3176" s="83"/>
    </row>
    <row r="3177">
      <c r="A3177" s="38"/>
      <c r="B3177" s="77" t="s">
        <v>14886</v>
      </c>
      <c r="C3177" s="81" t="s">
        <v>16442</v>
      </c>
      <c r="D3177" s="38"/>
      <c r="E3177" s="64"/>
      <c r="F3177" s="92"/>
      <c r="I3177" s="32"/>
      <c r="J3177" s="32"/>
      <c r="K3177" s="45" t="s">
        <v>16443</v>
      </c>
      <c r="L3177" s="82" t="s">
        <v>16444</v>
      </c>
      <c r="N3177" s="44"/>
      <c r="O3177" s="83"/>
    </row>
    <row r="3178">
      <c r="A3178" s="38"/>
      <c r="B3178" s="77" t="s">
        <v>14892</v>
      </c>
      <c r="C3178" s="81" t="s">
        <v>16445</v>
      </c>
      <c r="D3178" s="38"/>
      <c r="E3178" s="64"/>
      <c r="F3178" s="92"/>
      <c r="I3178" s="32"/>
      <c r="J3178" s="32"/>
      <c r="K3178" s="45" t="s">
        <v>16446</v>
      </c>
      <c r="L3178" s="82" t="s">
        <v>16447</v>
      </c>
      <c r="N3178" s="44"/>
      <c r="O3178" s="83"/>
    </row>
    <row r="3179">
      <c r="A3179" s="38"/>
      <c r="B3179" s="77" t="s">
        <v>14897</v>
      </c>
      <c r="C3179" s="81" t="s">
        <v>14683</v>
      </c>
      <c r="D3179" s="38"/>
      <c r="E3179" s="64"/>
      <c r="F3179" s="92"/>
      <c r="I3179" s="32"/>
      <c r="J3179" s="32"/>
      <c r="K3179" s="45" t="s">
        <v>16448</v>
      </c>
      <c r="L3179" s="82" t="s">
        <v>16449</v>
      </c>
      <c r="N3179" s="44"/>
      <c r="O3179" s="83"/>
    </row>
    <row r="3180">
      <c r="A3180" s="38"/>
      <c r="B3180" s="77" t="s">
        <v>14902</v>
      </c>
      <c r="C3180" s="81" t="s">
        <v>14676</v>
      </c>
      <c r="D3180" s="38"/>
      <c r="E3180" s="64"/>
      <c r="F3180" s="92"/>
      <c r="I3180" s="32"/>
      <c r="J3180" s="32"/>
      <c r="K3180" s="45" t="s">
        <v>8647</v>
      </c>
      <c r="L3180" s="82" t="s">
        <v>16450</v>
      </c>
      <c r="N3180" s="44"/>
      <c r="O3180" s="83"/>
    </row>
    <row r="3181">
      <c r="A3181" s="38"/>
      <c r="B3181" s="77" t="s">
        <v>14908</v>
      </c>
      <c r="C3181" s="81" t="s">
        <v>14669</v>
      </c>
      <c r="D3181" s="38"/>
      <c r="E3181" s="64"/>
      <c r="F3181" s="92"/>
      <c r="I3181" s="32"/>
      <c r="J3181" s="32"/>
      <c r="K3181" s="45" t="s">
        <v>8568</v>
      </c>
      <c r="L3181" s="82" t="s">
        <v>16451</v>
      </c>
      <c r="N3181" s="44"/>
      <c r="O3181" s="83"/>
    </row>
    <row r="3182">
      <c r="A3182" s="38"/>
      <c r="B3182" s="77" t="s">
        <v>14913</v>
      </c>
      <c r="C3182" s="81" t="s">
        <v>16452</v>
      </c>
      <c r="D3182" s="38"/>
      <c r="E3182" s="64"/>
      <c r="F3182" s="92"/>
      <c r="I3182" s="32"/>
      <c r="J3182" s="32"/>
      <c r="K3182" s="45" t="s">
        <v>8394</v>
      </c>
      <c r="L3182" s="82" t="s">
        <v>16453</v>
      </c>
      <c r="N3182" s="44"/>
      <c r="O3182" s="83"/>
    </row>
    <row r="3183">
      <c r="A3183" s="38"/>
      <c r="B3183" s="77" t="s">
        <v>14919</v>
      </c>
      <c r="C3183" s="81" t="s">
        <v>4017</v>
      </c>
      <c r="D3183" s="38"/>
      <c r="E3183" s="64"/>
      <c r="F3183" s="92"/>
      <c r="I3183" s="32"/>
      <c r="J3183" s="32"/>
      <c r="K3183" s="45" t="s">
        <v>16454</v>
      </c>
      <c r="L3183" s="82" t="s">
        <v>16455</v>
      </c>
      <c r="N3183" s="44"/>
      <c r="O3183" s="83"/>
    </row>
    <row r="3184">
      <c r="A3184" s="38"/>
      <c r="B3184" s="77" t="s">
        <v>14924</v>
      </c>
      <c r="C3184" s="81" t="s">
        <v>16456</v>
      </c>
      <c r="D3184" s="38"/>
      <c r="E3184" s="64"/>
      <c r="F3184" s="92"/>
      <c r="I3184" s="32"/>
      <c r="J3184" s="32"/>
      <c r="K3184" s="45" t="s">
        <v>16457</v>
      </c>
      <c r="L3184" s="82" t="s">
        <v>16458</v>
      </c>
      <c r="N3184" s="44"/>
      <c r="O3184" s="83"/>
    </row>
    <row r="3185">
      <c r="A3185" s="38"/>
      <c r="B3185" s="71" t="s">
        <v>16459</v>
      </c>
      <c r="C3185" s="74" t="s">
        <v>16460</v>
      </c>
      <c r="D3185" s="38"/>
      <c r="E3185" s="64"/>
      <c r="F3185" s="92"/>
      <c r="I3185" s="32"/>
      <c r="J3185" s="32"/>
      <c r="K3185" s="45" t="s">
        <v>16461</v>
      </c>
      <c r="L3185" s="82" t="s">
        <v>16462</v>
      </c>
      <c r="N3185" s="44"/>
      <c r="O3185" s="83"/>
    </row>
    <row r="3186">
      <c r="A3186" s="38"/>
      <c r="B3186" s="77" t="s">
        <v>14930</v>
      </c>
      <c r="C3186" s="81" t="s">
        <v>16463</v>
      </c>
      <c r="D3186" s="38"/>
      <c r="E3186" s="64"/>
      <c r="F3186" s="92"/>
      <c r="I3186" s="32"/>
      <c r="J3186" s="32"/>
      <c r="K3186" s="45" t="s">
        <v>7879</v>
      </c>
      <c r="L3186" s="82" t="s">
        <v>16464</v>
      </c>
      <c r="N3186" s="44"/>
      <c r="O3186" s="83"/>
    </row>
    <row r="3187">
      <c r="A3187" s="38"/>
      <c r="B3187" s="77" t="s">
        <v>14935</v>
      </c>
      <c r="C3187" s="81" t="s">
        <v>16465</v>
      </c>
      <c r="D3187" s="38"/>
      <c r="E3187" s="64"/>
      <c r="F3187" s="92"/>
      <c r="I3187" s="32"/>
      <c r="J3187" s="32"/>
      <c r="K3187" s="45" t="s">
        <v>16466</v>
      </c>
      <c r="L3187" s="82" t="s">
        <v>16467</v>
      </c>
      <c r="N3187" s="44"/>
      <c r="O3187" s="83"/>
    </row>
    <row r="3188">
      <c r="A3188" s="38"/>
      <c r="B3188" s="77" t="s">
        <v>14942</v>
      </c>
      <c r="C3188" s="81" t="s">
        <v>9291</v>
      </c>
      <c r="D3188" s="38"/>
      <c r="E3188" s="64"/>
      <c r="F3188" s="92"/>
      <c r="I3188" s="32"/>
      <c r="J3188" s="32"/>
      <c r="K3188" s="45" t="s">
        <v>16468</v>
      </c>
      <c r="L3188" s="82" t="s">
        <v>16469</v>
      </c>
      <c r="N3188" s="44"/>
      <c r="O3188" s="83"/>
    </row>
    <row r="3189">
      <c r="A3189" s="38"/>
      <c r="B3189" s="71" t="s">
        <v>16400</v>
      </c>
      <c r="C3189" s="74" t="s">
        <v>16470</v>
      </c>
      <c r="D3189" s="38"/>
      <c r="E3189" s="64"/>
      <c r="F3189" s="92"/>
      <c r="I3189" s="32"/>
      <c r="J3189" s="32"/>
      <c r="K3189" s="45" t="s">
        <v>16471</v>
      </c>
      <c r="L3189" s="82" t="s">
        <v>16472</v>
      </c>
      <c r="N3189" s="44"/>
      <c r="O3189" s="83"/>
    </row>
    <row r="3190">
      <c r="A3190" s="38"/>
      <c r="B3190" s="71" t="s">
        <v>16402</v>
      </c>
      <c r="C3190" s="74" t="s">
        <v>1633</v>
      </c>
      <c r="D3190" s="38"/>
      <c r="E3190" s="64"/>
      <c r="F3190" s="92"/>
      <c r="I3190" s="32"/>
      <c r="J3190" s="32"/>
      <c r="K3190" s="45" t="s">
        <v>16473</v>
      </c>
      <c r="L3190" s="82" t="s">
        <v>16474</v>
      </c>
      <c r="N3190" s="44"/>
      <c r="O3190" s="83"/>
    </row>
    <row r="3191">
      <c r="A3191" s="38"/>
      <c r="B3191" s="122" t="s">
        <v>16405</v>
      </c>
      <c r="C3191" s="118" t="s">
        <v>16475</v>
      </c>
      <c r="D3191" s="38"/>
      <c r="E3191" s="64"/>
      <c r="F3191" s="92"/>
      <c r="I3191" s="32"/>
      <c r="J3191" s="32"/>
      <c r="K3191" s="45" t="s">
        <v>16476</v>
      </c>
      <c r="L3191" s="82" t="s">
        <v>16477</v>
      </c>
      <c r="N3191" s="44"/>
      <c r="O3191" s="83"/>
    </row>
    <row r="3192">
      <c r="A3192" s="38"/>
      <c r="B3192" s="122" t="s">
        <v>13417</v>
      </c>
      <c r="C3192" s="118" t="s">
        <v>13418</v>
      </c>
      <c r="D3192" s="38"/>
      <c r="E3192" s="64"/>
      <c r="F3192" s="92"/>
      <c r="I3192" s="32"/>
      <c r="J3192" s="32"/>
      <c r="K3192" s="45" t="s">
        <v>16478</v>
      </c>
      <c r="L3192" s="82" t="s">
        <v>16479</v>
      </c>
      <c r="N3192" s="44"/>
      <c r="O3192" s="83"/>
    </row>
    <row r="3193">
      <c r="A3193" s="38"/>
      <c r="B3193" s="122" t="s">
        <v>13289</v>
      </c>
      <c r="C3193" s="118" t="s">
        <v>13290</v>
      </c>
      <c r="D3193" s="38"/>
      <c r="E3193" s="64"/>
      <c r="F3193" s="92"/>
      <c r="I3193" s="32"/>
      <c r="J3193" s="32"/>
      <c r="K3193" s="45" t="s">
        <v>16480</v>
      </c>
      <c r="L3193" s="82" t="s">
        <v>16481</v>
      </c>
      <c r="N3193" s="44"/>
      <c r="O3193" s="83"/>
    </row>
    <row r="3194">
      <c r="A3194" s="38"/>
      <c r="B3194" s="122" t="s">
        <v>13183</v>
      </c>
      <c r="C3194" s="118" t="s">
        <v>13184</v>
      </c>
      <c r="D3194" s="38"/>
      <c r="E3194" s="64"/>
      <c r="F3194" s="92"/>
      <c r="I3194" s="32"/>
      <c r="J3194" s="32"/>
      <c r="K3194" s="45" t="s">
        <v>16482</v>
      </c>
      <c r="L3194" s="82" t="s">
        <v>16483</v>
      </c>
      <c r="N3194" s="44"/>
      <c r="O3194" s="83"/>
    </row>
    <row r="3195">
      <c r="A3195" s="38"/>
      <c r="B3195" s="122" t="s">
        <v>16411</v>
      </c>
      <c r="C3195" s="118" t="s">
        <v>16484</v>
      </c>
      <c r="D3195" s="38"/>
      <c r="E3195" s="64"/>
      <c r="F3195" s="92"/>
      <c r="I3195" s="32"/>
      <c r="J3195" s="32"/>
      <c r="K3195" s="45" t="s">
        <v>16485</v>
      </c>
      <c r="L3195" s="82" t="s">
        <v>16486</v>
      </c>
      <c r="N3195" s="44"/>
      <c r="O3195" s="83"/>
    </row>
    <row r="3196">
      <c r="A3196" s="38"/>
      <c r="B3196" s="122" t="s">
        <v>16414</v>
      </c>
      <c r="C3196" s="118" t="s">
        <v>16487</v>
      </c>
      <c r="D3196" s="38"/>
      <c r="E3196" s="64"/>
      <c r="F3196" s="92"/>
      <c r="I3196" s="32"/>
      <c r="J3196" s="32"/>
      <c r="K3196" s="45" t="s">
        <v>6205</v>
      </c>
      <c r="L3196" s="82" t="s">
        <v>16488</v>
      </c>
      <c r="N3196" s="44"/>
      <c r="O3196" s="83"/>
    </row>
    <row r="3197">
      <c r="A3197" s="38"/>
      <c r="B3197" s="122" t="s">
        <v>12549</v>
      </c>
      <c r="C3197" s="118" t="s">
        <v>12363</v>
      </c>
      <c r="D3197" s="38"/>
      <c r="E3197" s="64"/>
      <c r="F3197" s="92"/>
      <c r="I3197" s="32"/>
      <c r="J3197" s="32"/>
      <c r="K3197" s="45" t="s">
        <v>16489</v>
      </c>
      <c r="L3197" s="82" t="s">
        <v>16490</v>
      </c>
      <c r="N3197" s="44"/>
      <c r="O3197" s="83"/>
    </row>
    <row r="3198">
      <c r="A3198" s="38"/>
      <c r="B3198" s="122" t="s">
        <v>12124</v>
      </c>
      <c r="C3198" s="118" t="s">
        <v>11886</v>
      </c>
      <c r="D3198" s="38"/>
      <c r="E3198" s="64"/>
      <c r="F3198" s="92"/>
      <c r="I3198" s="32"/>
      <c r="J3198" s="32"/>
      <c r="K3198" s="45" t="s">
        <v>16491</v>
      </c>
      <c r="L3198" s="82" t="s">
        <v>16492</v>
      </c>
      <c r="N3198" s="44"/>
      <c r="O3198" s="83"/>
    </row>
    <row r="3199">
      <c r="A3199" s="38"/>
      <c r="B3199" s="122" t="s">
        <v>11594</v>
      </c>
      <c r="C3199" s="118" t="s">
        <v>11595</v>
      </c>
      <c r="D3199" s="38"/>
      <c r="E3199" s="64"/>
      <c r="F3199" s="92"/>
      <c r="I3199" s="32"/>
      <c r="J3199" s="32"/>
      <c r="K3199" s="45" t="s">
        <v>16493</v>
      </c>
      <c r="L3199" s="82" t="s">
        <v>16494</v>
      </c>
      <c r="N3199" s="44"/>
      <c r="O3199" s="83"/>
    </row>
    <row r="3200">
      <c r="A3200" s="38"/>
      <c r="B3200" s="122" t="s">
        <v>11421</v>
      </c>
      <c r="C3200" s="118" t="s">
        <v>11422</v>
      </c>
      <c r="D3200" s="38"/>
      <c r="E3200" s="64"/>
      <c r="F3200" s="92"/>
      <c r="I3200" s="32"/>
      <c r="J3200" s="32"/>
      <c r="K3200" s="45" t="s">
        <v>16495</v>
      </c>
      <c r="L3200" s="82" t="s">
        <v>16496</v>
      </c>
      <c r="N3200" s="44"/>
      <c r="O3200" s="83"/>
    </row>
    <row r="3201">
      <c r="A3201" s="38"/>
      <c r="B3201" s="122" t="s">
        <v>11206</v>
      </c>
      <c r="C3201" s="118" t="s">
        <v>11207</v>
      </c>
      <c r="D3201" s="38"/>
      <c r="E3201" s="64"/>
      <c r="F3201" s="92"/>
      <c r="I3201" s="32"/>
      <c r="J3201" s="32"/>
      <c r="K3201" s="45" t="s">
        <v>4624</v>
      </c>
      <c r="L3201" s="82" t="s">
        <v>16497</v>
      </c>
      <c r="N3201" s="44"/>
      <c r="O3201" s="83"/>
    </row>
    <row r="3202">
      <c r="A3202" s="38"/>
      <c r="B3202" s="122" t="s">
        <v>16423</v>
      </c>
      <c r="C3202" s="118" t="s">
        <v>16498</v>
      </c>
      <c r="D3202" s="38"/>
      <c r="E3202" s="64"/>
      <c r="F3202" s="92"/>
      <c r="I3202" s="32"/>
      <c r="J3202" s="32"/>
      <c r="K3202" s="45" t="s">
        <v>16499</v>
      </c>
      <c r="L3202" s="82" t="s">
        <v>16500</v>
      </c>
      <c r="N3202" s="44"/>
      <c r="O3202" s="83"/>
    </row>
    <row r="3203">
      <c r="A3203" s="38"/>
      <c r="B3203" s="122" t="s">
        <v>11011</v>
      </c>
      <c r="C3203" s="118" t="s">
        <v>11012</v>
      </c>
      <c r="D3203" s="38"/>
      <c r="E3203" s="64"/>
      <c r="F3203" s="92"/>
      <c r="I3203" s="32"/>
      <c r="J3203" s="32"/>
      <c r="K3203" s="45" t="s">
        <v>16501</v>
      </c>
      <c r="L3203" s="82" t="s">
        <v>16502</v>
      </c>
      <c r="N3203" s="44"/>
      <c r="O3203" s="83"/>
    </row>
    <row r="3204">
      <c r="A3204" s="38"/>
      <c r="B3204" s="122" t="s">
        <v>10402</v>
      </c>
      <c r="C3204" s="118" t="s">
        <v>16503</v>
      </c>
      <c r="D3204" s="38"/>
      <c r="E3204" s="64"/>
      <c r="F3204" s="92"/>
      <c r="I3204" s="32"/>
      <c r="J3204" s="32"/>
      <c r="K3204" s="45" t="s">
        <v>16504</v>
      </c>
      <c r="L3204" s="82" t="s">
        <v>16505</v>
      </c>
      <c r="N3204" s="44"/>
      <c r="O3204" s="83"/>
    </row>
    <row r="3205">
      <c r="A3205" s="38"/>
      <c r="B3205" s="122" t="s">
        <v>10351</v>
      </c>
      <c r="C3205" s="118" t="s">
        <v>9955</v>
      </c>
      <c r="D3205" s="38"/>
      <c r="E3205" s="64"/>
      <c r="F3205" s="92"/>
      <c r="I3205" s="32"/>
      <c r="J3205" s="32"/>
      <c r="K3205" s="45" t="s">
        <v>16506</v>
      </c>
      <c r="L3205" s="82" t="s">
        <v>16507</v>
      </c>
      <c r="N3205" s="44"/>
      <c r="O3205" s="83"/>
    </row>
    <row r="3206">
      <c r="A3206" s="38"/>
      <c r="B3206" s="122" t="s">
        <v>10315</v>
      </c>
      <c r="C3206" s="118" t="s">
        <v>9908</v>
      </c>
      <c r="D3206" s="38"/>
      <c r="E3206" s="64"/>
      <c r="F3206" s="92"/>
      <c r="I3206" s="32"/>
      <c r="J3206" s="32"/>
      <c r="K3206" s="45" t="s">
        <v>3945</v>
      </c>
      <c r="L3206" s="82" t="s">
        <v>16508</v>
      </c>
      <c r="N3206" s="44"/>
      <c r="O3206" s="83"/>
    </row>
    <row r="3207">
      <c r="A3207" s="38"/>
      <c r="B3207" s="122" t="s">
        <v>10124</v>
      </c>
      <c r="C3207" s="118" t="s">
        <v>9759</v>
      </c>
      <c r="D3207" s="38"/>
      <c r="E3207" s="64"/>
      <c r="F3207" s="92"/>
      <c r="I3207" s="32"/>
      <c r="J3207" s="32"/>
      <c r="K3207" s="45" t="s">
        <v>3928</v>
      </c>
      <c r="L3207" s="82" t="s">
        <v>16509</v>
      </c>
      <c r="N3207" s="44"/>
      <c r="O3207" s="83"/>
    </row>
    <row r="3208">
      <c r="A3208" s="38"/>
      <c r="B3208" s="122" t="s">
        <v>16434</v>
      </c>
      <c r="C3208" s="118" t="s">
        <v>16510</v>
      </c>
      <c r="D3208" s="38"/>
      <c r="E3208" s="64"/>
      <c r="F3208" s="92"/>
      <c r="I3208" s="32"/>
      <c r="J3208" s="32"/>
      <c r="K3208" s="45" t="s">
        <v>16511</v>
      </c>
      <c r="L3208" s="82" t="s">
        <v>16512</v>
      </c>
      <c r="N3208" s="44"/>
      <c r="O3208" s="83"/>
    </row>
    <row r="3209">
      <c r="A3209" s="38"/>
      <c r="B3209" s="122" t="s">
        <v>16437</v>
      </c>
      <c r="C3209" s="118" t="s">
        <v>16513</v>
      </c>
      <c r="D3209" s="38"/>
      <c r="E3209" s="64"/>
      <c r="F3209" s="92"/>
      <c r="I3209" s="32"/>
      <c r="J3209" s="32"/>
      <c r="K3209" s="45" t="s">
        <v>3192</v>
      </c>
      <c r="L3209" s="82" t="s">
        <v>16514</v>
      </c>
      <c r="N3209" s="44"/>
      <c r="O3209" s="83"/>
    </row>
    <row r="3210">
      <c r="A3210" s="38"/>
      <c r="B3210" s="122" t="s">
        <v>16440</v>
      </c>
      <c r="C3210" s="118" t="s">
        <v>16515</v>
      </c>
      <c r="D3210" s="38"/>
      <c r="E3210" s="64"/>
      <c r="F3210" s="92"/>
      <c r="I3210" s="32"/>
      <c r="J3210" s="32"/>
      <c r="K3210" s="45" t="s">
        <v>16516</v>
      </c>
      <c r="L3210" s="82" t="s">
        <v>16517</v>
      </c>
      <c r="N3210" s="44"/>
      <c r="O3210" s="83"/>
    </row>
    <row r="3211">
      <c r="A3211" s="38"/>
      <c r="B3211" s="122" t="s">
        <v>16443</v>
      </c>
      <c r="C3211" s="118" t="s">
        <v>16518</v>
      </c>
      <c r="D3211" s="38"/>
      <c r="E3211" s="64"/>
      <c r="F3211" s="92"/>
      <c r="I3211" s="32"/>
      <c r="J3211" s="32"/>
      <c r="K3211" s="45" t="s">
        <v>16519</v>
      </c>
      <c r="L3211" s="82" t="s">
        <v>16520</v>
      </c>
      <c r="N3211" s="44"/>
      <c r="O3211" s="83"/>
    </row>
    <row r="3212">
      <c r="A3212" s="38"/>
      <c r="B3212" s="122" t="s">
        <v>16446</v>
      </c>
      <c r="C3212" s="118" t="s">
        <v>16521</v>
      </c>
      <c r="D3212" s="38"/>
      <c r="E3212" s="64"/>
      <c r="F3212" s="92"/>
      <c r="I3212" s="32"/>
      <c r="J3212" s="32"/>
      <c r="K3212" s="45" t="s">
        <v>16522</v>
      </c>
      <c r="L3212" s="82" t="s">
        <v>16523</v>
      </c>
      <c r="N3212" s="44"/>
      <c r="O3212" s="83"/>
    </row>
    <row r="3213">
      <c r="A3213" s="38"/>
      <c r="B3213" s="122" t="s">
        <v>16448</v>
      </c>
      <c r="C3213" s="118" t="s">
        <v>16524</v>
      </c>
      <c r="D3213" s="38"/>
      <c r="E3213" s="64"/>
      <c r="F3213" s="92"/>
      <c r="I3213" s="32"/>
      <c r="J3213" s="32"/>
      <c r="K3213" s="45" t="s">
        <v>2215</v>
      </c>
      <c r="L3213" s="82" t="s">
        <v>16525</v>
      </c>
      <c r="N3213" s="44"/>
      <c r="O3213" s="83"/>
    </row>
    <row r="3214">
      <c r="A3214" s="38"/>
      <c r="B3214" s="122" t="s">
        <v>8647</v>
      </c>
      <c r="C3214" s="118" t="s">
        <v>8244</v>
      </c>
      <c r="D3214" s="38"/>
      <c r="E3214" s="64"/>
      <c r="F3214" s="92"/>
      <c r="I3214" s="32"/>
      <c r="J3214" s="32"/>
      <c r="K3214" s="45" t="s">
        <v>16526</v>
      </c>
      <c r="L3214" s="82" t="s">
        <v>16527</v>
      </c>
      <c r="N3214" s="44"/>
      <c r="O3214" s="83"/>
    </row>
    <row r="3215">
      <c r="A3215" s="38"/>
      <c r="B3215" s="122" t="s">
        <v>8568</v>
      </c>
      <c r="C3215" s="118" t="s">
        <v>8149</v>
      </c>
      <c r="D3215" s="38"/>
      <c r="E3215" s="64"/>
      <c r="F3215" s="92"/>
      <c r="I3215" s="32"/>
      <c r="J3215" s="32"/>
      <c r="K3215" s="45" t="s">
        <v>16528</v>
      </c>
      <c r="L3215" s="82" t="s">
        <v>16529</v>
      </c>
      <c r="N3215" s="44"/>
      <c r="O3215" s="83"/>
    </row>
    <row r="3216">
      <c r="A3216" s="38"/>
      <c r="B3216" s="122" t="s">
        <v>8394</v>
      </c>
      <c r="C3216" s="118" t="s">
        <v>7992</v>
      </c>
      <c r="D3216" s="38"/>
      <c r="E3216" s="64"/>
      <c r="F3216" s="92"/>
      <c r="I3216" s="32"/>
      <c r="J3216" s="32"/>
      <c r="K3216" s="45" t="s">
        <v>16530</v>
      </c>
      <c r="L3216" s="82" t="s">
        <v>16531</v>
      </c>
      <c r="N3216" s="44"/>
      <c r="O3216" s="83"/>
    </row>
    <row r="3217">
      <c r="A3217" s="38"/>
      <c r="B3217" s="122" t="s">
        <v>16454</v>
      </c>
      <c r="C3217" s="118" t="s">
        <v>16532</v>
      </c>
      <c r="D3217" s="38"/>
      <c r="E3217" s="64"/>
      <c r="F3217" s="92"/>
      <c r="I3217" s="32"/>
      <c r="J3217" s="32"/>
      <c r="K3217" s="45" t="s">
        <v>16533</v>
      </c>
      <c r="L3217" s="82" t="s">
        <v>16534</v>
      </c>
      <c r="N3217" s="44"/>
      <c r="O3217" s="83"/>
    </row>
    <row r="3218">
      <c r="A3218" s="38"/>
      <c r="B3218" s="122" t="s">
        <v>16457</v>
      </c>
      <c r="C3218" s="118" t="s">
        <v>16535</v>
      </c>
      <c r="D3218" s="38"/>
      <c r="E3218" s="64"/>
      <c r="F3218" s="92"/>
      <c r="I3218" s="32"/>
      <c r="J3218" s="32"/>
      <c r="K3218" s="45" t="s">
        <v>16536</v>
      </c>
      <c r="L3218" s="82" t="s">
        <v>16537</v>
      </c>
      <c r="N3218" s="44"/>
      <c r="O3218" s="83"/>
    </row>
    <row r="3219">
      <c r="A3219" s="38"/>
      <c r="B3219" s="122" t="s">
        <v>16461</v>
      </c>
      <c r="C3219" s="118" t="s">
        <v>16538</v>
      </c>
      <c r="D3219" s="38"/>
      <c r="E3219" s="64"/>
      <c r="F3219" s="92"/>
      <c r="I3219" s="32"/>
      <c r="J3219" s="32"/>
      <c r="K3219" s="45" t="s">
        <v>16539</v>
      </c>
      <c r="L3219" s="82" t="s">
        <v>16540</v>
      </c>
      <c r="N3219" s="44"/>
      <c r="O3219" s="83"/>
    </row>
    <row r="3220">
      <c r="A3220" s="38"/>
      <c r="B3220" s="122" t="s">
        <v>7879</v>
      </c>
      <c r="C3220" s="118" t="s">
        <v>7880</v>
      </c>
      <c r="D3220" s="38"/>
      <c r="E3220" s="64"/>
      <c r="F3220" s="92"/>
      <c r="I3220" s="32"/>
      <c r="J3220" s="32"/>
      <c r="K3220" s="45" t="s">
        <v>16541</v>
      </c>
      <c r="L3220" s="82" t="s">
        <v>16542</v>
      </c>
      <c r="N3220" s="44"/>
      <c r="O3220" s="83"/>
    </row>
    <row r="3221">
      <c r="A3221" s="38"/>
      <c r="B3221" s="122" t="s">
        <v>16466</v>
      </c>
      <c r="C3221" s="118" t="s">
        <v>16543</v>
      </c>
      <c r="D3221" s="38"/>
      <c r="E3221" s="64"/>
      <c r="F3221" s="92"/>
      <c r="I3221" s="32"/>
      <c r="J3221" s="32"/>
      <c r="K3221" s="45" t="s">
        <v>16544</v>
      </c>
      <c r="L3221" s="82" t="s">
        <v>16545</v>
      </c>
      <c r="N3221" s="44"/>
      <c r="O3221" s="83"/>
    </row>
    <row r="3222">
      <c r="A3222" s="38"/>
      <c r="B3222" s="122" t="s">
        <v>16468</v>
      </c>
      <c r="C3222" s="118" t="s">
        <v>16546</v>
      </c>
      <c r="D3222" s="38"/>
      <c r="E3222" s="64"/>
      <c r="F3222" s="92"/>
      <c r="I3222" s="32"/>
      <c r="J3222" s="32"/>
      <c r="K3222" s="45" t="s">
        <v>311</v>
      </c>
      <c r="L3222" s="82" t="s">
        <v>16547</v>
      </c>
      <c r="N3222" s="44"/>
      <c r="O3222" s="83"/>
    </row>
    <row r="3223">
      <c r="A3223" s="38"/>
      <c r="B3223" s="122" t="s">
        <v>16471</v>
      </c>
      <c r="C3223" s="118" t="s">
        <v>16548</v>
      </c>
      <c r="D3223" s="38"/>
      <c r="E3223" s="64"/>
      <c r="F3223" s="92"/>
      <c r="I3223" s="32"/>
      <c r="J3223" s="32"/>
      <c r="K3223" s="45" t="s">
        <v>16402</v>
      </c>
      <c r="L3223" s="82" t="s">
        <v>16403</v>
      </c>
      <c r="N3223" s="44"/>
      <c r="O3223" s="83"/>
    </row>
    <row r="3224">
      <c r="A3224" s="38"/>
      <c r="B3224" s="122" t="s">
        <v>16473</v>
      </c>
      <c r="C3224" s="118" t="s">
        <v>16549</v>
      </c>
      <c r="D3224" s="38"/>
      <c r="E3224" s="64"/>
      <c r="F3224" s="92"/>
      <c r="I3224" s="32"/>
      <c r="J3224" s="32"/>
      <c r="K3224" s="45" t="s">
        <v>16550</v>
      </c>
      <c r="L3224" s="82" t="s">
        <v>16551</v>
      </c>
      <c r="N3224" s="44"/>
      <c r="O3224" s="83"/>
    </row>
    <row r="3225">
      <c r="A3225" s="38"/>
      <c r="B3225" s="122" t="s">
        <v>16476</v>
      </c>
      <c r="C3225" s="118" t="s">
        <v>16552</v>
      </c>
      <c r="D3225" s="38"/>
      <c r="E3225" s="64"/>
      <c r="F3225" s="92"/>
      <c r="I3225" s="32"/>
      <c r="J3225" s="32"/>
      <c r="K3225" s="45" t="s">
        <v>16553</v>
      </c>
      <c r="L3225" s="82" t="s">
        <v>16554</v>
      </c>
      <c r="N3225" s="44"/>
      <c r="O3225" s="83"/>
    </row>
    <row r="3226">
      <c r="A3226" s="38"/>
      <c r="B3226" s="122" t="s">
        <v>16478</v>
      </c>
      <c r="C3226" s="118" t="s">
        <v>16555</v>
      </c>
      <c r="D3226" s="38"/>
      <c r="E3226" s="64"/>
      <c r="F3226" s="92"/>
      <c r="I3226" s="32"/>
      <c r="J3226" s="32"/>
      <c r="K3226" s="45" t="s">
        <v>14949</v>
      </c>
      <c r="L3226" s="82" t="s">
        <v>16556</v>
      </c>
      <c r="N3226" s="44"/>
      <c r="O3226" s="83"/>
    </row>
    <row r="3227">
      <c r="A3227" s="38"/>
      <c r="B3227" s="122" t="s">
        <v>16480</v>
      </c>
      <c r="C3227" s="118" t="s">
        <v>16557</v>
      </c>
      <c r="D3227" s="38"/>
      <c r="E3227" s="64"/>
      <c r="F3227" s="92"/>
      <c r="I3227" s="32"/>
      <c r="J3227" s="32"/>
      <c r="K3227" s="45" t="s">
        <v>14956</v>
      </c>
      <c r="L3227" s="82" t="s">
        <v>16558</v>
      </c>
      <c r="N3227" s="44"/>
      <c r="O3227" s="83"/>
    </row>
    <row r="3228">
      <c r="A3228" s="38"/>
      <c r="B3228" s="122" t="s">
        <v>16482</v>
      </c>
      <c r="C3228" s="118" t="s">
        <v>16559</v>
      </c>
      <c r="D3228" s="38"/>
      <c r="E3228" s="64"/>
      <c r="F3228" s="92"/>
      <c r="I3228" s="32"/>
      <c r="J3228" s="32"/>
      <c r="K3228" s="45" t="s">
        <v>14960</v>
      </c>
      <c r="L3228" s="82" t="s">
        <v>16560</v>
      </c>
      <c r="N3228" s="44"/>
      <c r="O3228" s="83"/>
    </row>
    <row r="3229">
      <c r="A3229" s="38"/>
      <c r="B3229" s="122" t="s">
        <v>16485</v>
      </c>
      <c r="C3229" s="118" t="s">
        <v>16561</v>
      </c>
      <c r="D3229" s="38"/>
      <c r="E3229" s="64"/>
      <c r="F3229" s="92"/>
      <c r="I3229" s="32"/>
      <c r="J3229" s="32"/>
      <c r="K3229" s="45" t="s">
        <v>14965</v>
      </c>
      <c r="L3229" s="82" t="s">
        <v>16562</v>
      </c>
      <c r="N3229" s="44"/>
      <c r="O3229" s="83"/>
    </row>
    <row r="3230">
      <c r="A3230" s="38"/>
      <c r="B3230" s="122" t="s">
        <v>6205</v>
      </c>
      <c r="C3230" s="118" t="s">
        <v>5711</v>
      </c>
      <c r="D3230" s="38"/>
      <c r="E3230" s="64"/>
      <c r="F3230" s="92"/>
      <c r="I3230" s="32"/>
      <c r="J3230" s="32"/>
      <c r="K3230" s="45" t="s">
        <v>14972</v>
      </c>
      <c r="L3230" s="82" t="s">
        <v>16563</v>
      </c>
      <c r="N3230" s="44"/>
      <c r="O3230" s="83"/>
    </row>
    <row r="3231">
      <c r="A3231" s="38"/>
      <c r="B3231" s="122" t="s">
        <v>16489</v>
      </c>
      <c r="C3231" s="118" t="s">
        <v>16564</v>
      </c>
      <c r="D3231" s="38"/>
      <c r="E3231" s="64"/>
      <c r="F3231" s="92"/>
      <c r="I3231" s="32"/>
      <c r="J3231" s="32"/>
      <c r="K3231" s="45" t="s">
        <v>14978</v>
      </c>
      <c r="L3231" s="82" t="s">
        <v>16565</v>
      </c>
      <c r="N3231" s="44"/>
      <c r="O3231" s="83"/>
    </row>
    <row r="3232">
      <c r="A3232" s="38"/>
      <c r="B3232" s="122" t="s">
        <v>16491</v>
      </c>
      <c r="C3232" s="118" t="s">
        <v>16566</v>
      </c>
      <c r="D3232" s="38"/>
      <c r="E3232" s="64"/>
      <c r="F3232" s="92"/>
      <c r="I3232" s="32"/>
      <c r="J3232" s="32"/>
      <c r="K3232" s="45" t="s">
        <v>14985</v>
      </c>
      <c r="L3232" s="82" t="s">
        <v>16567</v>
      </c>
      <c r="N3232" s="44"/>
      <c r="O3232" s="83"/>
    </row>
    <row r="3233">
      <c r="A3233" s="38"/>
      <c r="B3233" s="122" t="s">
        <v>16493</v>
      </c>
      <c r="C3233" s="118" t="s">
        <v>16568</v>
      </c>
      <c r="D3233" s="38"/>
      <c r="E3233" s="64"/>
      <c r="F3233" s="92"/>
      <c r="I3233" s="32"/>
      <c r="J3233" s="32"/>
      <c r="K3233" s="45" t="s">
        <v>14992</v>
      </c>
      <c r="L3233" s="82" t="s">
        <v>16569</v>
      </c>
      <c r="N3233" s="44"/>
      <c r="O3233" s="83"/>
    </row>
    <row r="3234">
      <c r="A3234" s="38"/>
      <c r="B3234" s="122" t="s">
        <v>16495</v>
      </c>
      <c r="C3234" s="118" t="s">
        <v>16570</v>
      </c>
      <c r="D3234" s="38"/>
      <c r="E3234" s="64"/>
      <c r="F3234" s="92"/>
      <c r="I3234" s="32"/>
      <c r="J3234" s="32"/>
      <c r="K3234" s="45" t="s">
        <v>15000</v>
      </c>
      <c r="L3234" s="82" t="s">
        <v>16571</v>
      </c>
      <c r="N3234" s="44"/>
      <c r="O3234" s="83"/>
    </row>
    <row r="3235">
      <c r="A3235" s="38"/>
      <c r="B3235" s="122" t="s">
        <v>4624</v>
      </c>
      <c r="C3235" s="118" t="s">
        <v>4625</v>
      </c>
      <c r="D3235" s="38"/>
      <c r="E3235" s="64"/>
      <c r="F3235" s="92"/>
      <c r="I3235" s="32"/>
      <c r="J3235" s="32"/>
      <c r="K3235" s="45" t="s">
        <v>15006</v>
      </c>
      <c r="L3235" s="82" t="s">
        <v>16572</v>
      </c>
      <c r="N3235" s="44"/>
      <c r="O3235" s="83"/>
    </row>
    <row r="3236">
      <c r="A3236" s="38"/>
      <c r="B3236" s="122" t="s">
        <v>16499</v>
      </c>
      <c r="C3236" s="118" t="s">
        <v>16573</v>
      </c>
      <c r="D3236" s="38"/>
      <c r="E3236" s="64"/>
      <c r="F3236" s="92"/>
      <c r="I3236" s="32"/>
      <c r="J3236" s="32"/>
      <c r="K3236" s="45" t="s">
        <v>15012</v>
      </c>
      <c r="L3236" s="82" t="s">
        <v>16574</v>
      </c>
      <c r="N3236" s="44"/>
      <c r="O3236" s="83"/>
    </row>
    <row r="3237">
      <c r="A3237" s="38"/>
      <c r="B3237" s="122" t="s">
        <v>16501</v>
      </c>
      <c r="C3237" s="118" t="s">
        <v>16575</v>
      </c>
      <c r="D3237" s="38"/>
      <c r="E3237" s="64"/>
      <c r="F3237" s="92"/>
      <c r="I3237" s="32"/>
      <c r="J3237" s="32"/>
      <c r="K3237" s="45" t="s">
        <v>15020</v>
      </c>
      <c r="L3237" s="82" t="s">
        <v>16576</v>
      </c>
      <c r="N3237" s="44"/>
      <c r="O3237" s="83"/>
    </row>
    <row r="3238">
      <c r="A3238" s="38"/>
      <c r="B3238" s="122" t="s">
        <v>16504</v>
      </c>
      <c r="C3238" s="118" t="s">
        <v>16577</v>
      </c>
      <c r="D3238" s="38"/>
      <c r="E3238" s="64"/>
      <c r="F3238" s="92"/>
      <c r="I3238" s="32"/>
      <c r="J3238" s="32"/>
      <c r="K3238" s="45" t="s">
        <v>15028</v>
      </c>
      <c r="L3238" s="82" t="s">
        <v>16578</v>
      </c>
      <c r="N3238" s="44"/>
      <c r="O3238" s="83"/>
    </row>
    <row r="3239">
      <c r="A3239" s="38"/>
      <c r="B3239" s="122" t="s">
        <v>16506</v>
      </c>
      <c r="C3239" s="118" t="s">
        <v>16579</v>
      </c>
      <c r="D3239" s="38"/>
      <c r="E3239" s="64"/>
      <c r="F3239" s="92"/>
      <c r="I3239" s="32"/>
      <c r="J3239" s="32"/>
      <c r="K3239" s="45" t="s">
        <v>15035</v>
      </c>
      <c r="L3239" s="82" t="s">
        <v>16580</v>
      </c>
      <c r="N3239" s="44"/>
      <c r="O3239" s="83"/>
    </row>
    <row r="3240">
      <c r="A3240" s="38"/>
      <c r="B3240" s="122" t="s">
        <v>3945</v>
      </c>
      <c r="C3240" s="118" t="s">
        <v>3946</v>
      </c>
      <c r="D3240" s="38"/>
      <c r="E3240" s="64"/>
      <c r="F3240" s="92"/>
      <c r="I3240" s="32"/>
      <c r="J3240" s="32"/>
      <c r="K3240" s="45" t="s">
        <v>15041</v>
      </c>
      <c r="L3240" s="82" t="s">
        <v>16581</v>
      </c>
      <c r="N3240" s="44"/>
      <c r="O3240" s="83"/>
    </row>
    <row r="3241">
      <c r="A3241" s="38"/>
      <c r="B3241" s="122" t="s">
        <v>3928</v>
      </c>
      <c r="C3241" s="118" t="s">
        <v>3929</v>
      </c>
      <c r="D3241" s="38"/>
      <c r="E3241" s="64"/>
      <c r="F3241" s="92"/>
      <c r="I3241" s="32"/>
      <c r="J3241" s="32"/>
      <c r="K3241" s="45" t="s">
        <v>15048</v>
      </c>
      <c r="L3241" s="82" t="s">
        <v>16582</v>
      </c>
      <c r="N3241" s="44"/>
      <c r="O3241" s="83"/>
    </row>
    <row r="3242">
      <c r="A3242" s="38"/>
      <c r="B3242" s="122" t="s">
        <v>16511</v>
      </c>
      <c r="C3242" s="118" t="s">
        <v>16583</v>
      </c>
      <c r="D3242" s="38"/>
      <c r="E3242" s="64"/>
      <c r="F3242" s="92"/>
      <c r="I3242" s="32"/>
      <c r="J3242" s="32"/>
      <c r="K3242" s="45" t="s">
        <v>16584</v>
      </c>
      <c r="L3242" s="82" t="s">
        <v>16585</v>
      </c>
      <c r="N3242" s="44"/>
      <c r="O3242" s="83"/>
    </row>
    <row r="3243">
      <c r="A3243" s="38"/>
      <c r="B3243" s="122" t="s">
        <v>3192</v>
      </c>
      <c r="C3243" s="118" t="s">
        <v>3193</v>
      </c>
      <c r="D3243" s="38"/>
      <c r="E3243" s="64"/>
      <c r="F3243" s="92"/>
      <c r="I3243" s="32"/>
      <c r="J3243" s="32"/>
      <c r="K3243" s="45" t="s">
        <v>16586</v>
      </c>
      <c r="L3243" s="82" t="s">
        <v>16587</v>
      </c>
      <c r="N3243" s="44"/>
      <c r="O3243" s="83"/>
    </row>
    <row r="3244">
      <c r="A3244" s="38"/>
      <c r="B3244" s="122" t="s">
        <v>16516</v>
      </c>
      <c r="C3244" s="118" t="s">
        <v>16588</v>
      </c>
      <c r="D3244" s="38"/>
      <c r="E3244" s="64"/>
      <c r="F3244" s="92"/>
      <c r="I3244" s="32"/>
      <c r="J3244" s="32"/>
      <c r="K3244" s="45" t="s">
        <v>16589</v>
      </c>
      <c r="L3244" s="82" t="s">
        <v>16590</v>
      </c>
      <c r="N3244" s="44"/>
      <c r="O3244" s="83"/>
    </row>
    <row r="3245">
      <c r="A3245" s="38"/>
      <c r="B3245" s="122" t="s">
        <v>16519</v>
      </c>
      <c r="C3245" s="118" t="s">
        <v>16591</v>
      </c>
      <c r="D3245" s="38"/>
      <c r="E3245" s="64"/>
      <c r="F3245" s="92"/>
      <c r="I3245" s="32"/>
      <c r="J3245" s="32"/>
      <c r="K3245" s="45" t="s">
        <v>16592</v>
      </c>
      <c r="L3245" s="82" t="s">
        <v>16593</v>
      </c>
      <c r="N3245" s="44"/>
      <c r="O3245" s="83"/>
    </row>
    <row r="3246">
      <c r="A3246" s="38"/>
      <c r="B3246" s="122" t="s">
        <v>16522</v>
      </c>
      <c r="C3246" s="118" t="s">
        <v>16594</v>
      </c>
      <c r="D3246" s="38"/>
      <c r="E3246" s="64"/>
      <c r="F3246" s="92"/>
      <c r="I3246" s="32"/>
      <c r="J3246" s="32"/>
      <c r="K3246" s="45" t="s">
        <v>16595</v>
      </c>
      <c r="L3246" s="82" t="s">
        <v>16596</v>
      </c>
      <c r="N3246" s="44"/>
      <c r="O3246" s="83"/>
    </row>
    <row r="3247">
      <c r="A3247" s="38"/>
      <c r="B3247" s="122" t="s">
        <v>2215</v>
      </c>
      <c r="C3247" s="118" t="s">
        <v>1739</v>
      </c>
      <c r="D3247" s="38"/>
      <c r="E3247" s="64"/>
      <c r="F3247" s="92"/>
      <c r="I3247" s="32"/>
      <c r="J3247" s="32"/>
      <c r="K3247" s="45" t="s">
        <v>16597</v>
      </c>
      <c r="L3247" s="82" t="s">
        <v>16598</v>
      </c>
      <c r="N3247" s="44"/>
      <c r="O3247" s="83"/>
    </row>
    <row r="3248">
      <c r="A3248" s="38"/>
      <c r="B3248" s="122" t="s">
        <v>16526</v>
      </c>
      <c r="C3248" s="118" t="s">
        <v>16599</v>
      </c>
      <c r="D3248" s="38"/>
      <c r="E3248" s="64"/>
      <c r="F3248" s="92"/>
      <c r="I3248" s="32"/>
      <c r="J3248" s="32"/>
      <c r="K3248" s="45" t="s">
        <v>16600</v>
      </c>
      <c r="L3248" s="82" t="s">
        <v>16601</v>
      </c>
      <c r="N3248" s="44"/>
      <c r="O3248" s="83"/>
    </row>
    <row r="3249">
      <c r="A3249" s="38"/>
      <c r="B3249" s="122" t="s">
        <v>16528</v>
      </c>
      <c r="C3249" s="118" t="s">
        <v>16602</v>
      </c>
      <c r="D3249" s="38"/>
      <c r="E3249" s="64"/>
      <c r="F3249" s="92"/>
      <c r="I3249" s="32"/>
      <c r="J3249" s="32"/>
      <c r="K3249" s="45" t="s">
        <v>16603</v>
      </c>
      <c r="L3249" s="82" t="s">
        <v>16604</v>
      </c>
      <c r="N3249" s="44"/>
      <c r="O3249" s="83"/>
    </row>
    <row r="3250">
      <c r="A3250" s="38"/>
      <c r="B3250" s="122" t="s">
        <v>16530</v>
      </c>
      <c r="C3250" s="118" t="s">
        <v>16605</v>
      </c>
      <c r="D3250" s="38"/>
      <c r="E3250" s="64"/>
      <c r="F3250" s="92"/>
      <c r="I3250" s="32"/>
      <c r="J3250" s="32"/>
      <c r="K3250" s="45" t="s">
        <v>16606</v>
      </c>
      <c r="L3250" s="82" t="s">
        <v>16607</v>
      </c>
      <c r="N3250" s="44"/>
      <c r="O3250" s="83"/>
    </row>
    <row r="3251">
      <c r="A3251" s="38"/>
      <c r="B3251" s="122" t="s">
        <v>16533</v>
      </c>
      <c r="C3251" s="118" t="s">
        <v>16608</v>
      </c>
      <c r="D3251" s="38"/>
      <c r="E3251" s="64"/>
      <c r="F3251" s="92"/>
      <c r="I3251" s="32"/>
      <c r="J3251" s="32"/>
      <c r="K3251" s="45" t="s">
        <v>16609</v>
      </c>
      <c r="L3251" s="82" t="s">
        <v>16610</v>
      </c>
      <c r="N3251" s="44"/>
      <c r="O3251" s="83"/>
    </row>
    <row r="3252">
      <c r="A3252" s="38"/>
      <c r="B3252" s="122" t="s">
        <v>16536</v>
      </c>
      <c r="C3252" s="118" t="s">
        <v>16611</v>
      </c>
      <c r="D3252" s="38"/>
      <c r="E3252" s="64"/>
      <c r="F3252" s="92"/>
      <c r="I3252" s="32"/>
      <c r="J3252" s="32"/>
      <c r="K3252" s="100" t="s">
        <v>15055</v>
      </c>
      <c r="L3252" s="123" t="s">
        <v>16612</v>
      </c>
      <c r="N3252" s="44"/>
      <c r="O3252" s="83"/>
    </row>
    <row r="3253">
      <c r="A3253" s="38"/>
      <c r="B3253" s="122" t="s">
        <v>16539</v>
      </c>
      <c r="C3253" s="118" t="s">
        <v>596</v>
      </c>
      <c r="D3253" s="38"/>
      <c r="E3253" s="64"/>
      <c r="F3253" s="92"/>
      <c r="I3253" s="32"/>
      <c r="J3253" s="32"/>
      <c r="K3253" s="100" t="s">
        <v>15061</v>
      </c>
      <c r="L3253" s="110" t="s">
        <v>16613</v>
      </c>
      <c r="N3253" s="44"/>
      <c r="O3253" s="83"/>
    </row>
    <row r="3254">
      <c r="A3254" s="38"/>
      <c r="B3254" s="122" t="s">
        <v>16541</v>
      </c>
      <c r="C3254" s="118" t="s">
        <v>16614</v>
      </c>
      <c r="D3254" s="38"/>
      <c r="E3254" s="64"/>
      <c r="F3254" s="92"/>
      <c r="I3254" s="32"/>
      <c r="J3254" s="32"/>
      <c r="K3254" s="100" t="s">
        <v>15067</v>
      </c>
      <c r="L3254" s="110" t="s">
        <v>16615</v>
      </c>
      <c r="N3254" s="44"/>
      <c r="O3254" s="83"/>
    </row>
    <row r="3255">
      <c r="A3255" s="38"/>
      <c r="B3255" s="122" t="s">
        <v>16544</v>
      </c>
      <c r="C3255" s="118" t="s">
        <v>16616</v>
      </c>
      <c r="D3255" s="38"/>
      <c r="E3255" s="64"/>
      <c r="F3255" s="92"/>
      <c r="I3255" s="32"/>
      <c r="J3255" s="32"/>
      <c r="K3255" s="100" t="s">
        <v>15074</v>
      </c>
      <c r="L3255" s="110" t="s">
        <v>16617</v>
      </c>
      <c r="N3255" s="44"/>
      <c r="O3255" s="83"/>
    </row>
    <row r="3256">
      <c r="A3256" s="38"/>
      <c r="B3256" s="122" t="s">
        <v>311</v>
      </c>
      <c r="C3256" s="118" t="s">
        <v>312</v>
      </c>
      <c r="D3256" s="38"/>
      <c r="E3256" s="64"/>
      <c r="F3256" s="92"/>
      <c r="I3256" s="32"/>
      <c r="J3256" s="32"/>
      <c r="K3256" s="100" t="s">
        <v>15081</v>
      </c>
      <c r="L3256" s="110" t="s">
        <v>16618</v>
      </c>
      <c r="N3256" s="44"/>
      <c r="O3256" s="83"/>
    </row>
    <row r="3257">
      <c r="A3257" s="38"/>
      <c r="B3257" s="122" t="s">
        <v>16402</v>
      </c>
      <c r="C3257" s="118" t="s">
        <v>1633</v>
      </c>
      <c r="D3257" s="38"/>
      <c r="E3257" s="64"/>
      <c r="F3257" s="92"/>
      <c r="I3257" s="32"/>
      <c r="J3257" s="32"/>
      <c r="K3257" s="100" t="s">
        <v>15087</v>
      </c>
      <c r="L3257" s="110" t="s">
        <v>16619</v>
      </c>
      <c r="N3257" s="44"/>
      <c r="O3257" s="83"/>
    </row>
    <row r="3258">
      <c r="A3258" s="38"/>
      <c r="B3258" s="118" t="s">
        <v>16550</v>
      </c>
      <c r="C3258" s="118" t="s">
        <v>16620</v>
      </c>
      <c r="D3258" s="38"/>
      <c r="E3258" s="64"/>
      <c r="F3258" s="92"/>
      <c r="I3258" s="32"/>
      <c r="J3258" s="32"/>
      <c r="K3258" s="124" t="s">
        <v>15093</v>
      </c>
      <c r="L3258" s="110" t="s">
        <v>16621</v>
      </c>
      <c r="N3258" s="44"/>
      <c r="O3258" s="83"/>
    </row>
    <row r="3259">
      <c r="A3259" s="38"/>
      <c r="B3259" s="125" t="s">
        <v>16553</v>
      </c>
      <c r="C3259" s="118" t="s">
        <v>16622</v>
      </c>
      <c r="D3259" s="38"/>
      <c r="E3259" s="64"/>
      <c r="F3259" s="92"/>
      <c r="I3259" s="32"/>
      <c r="J3259" s="32"/>
      <c r="K3259" s="45" t="s">
        <v>15099</v>
      </c>
      <c r="L3259" s="110" t="s">
        <v>16623</v>
      </c>
      <c r="N3259" s="44"/>
      <c r="O3259" s="83"/>
    </row>
    <row r="3260">
      <c r="B3260" s="45" t="s">
        <v>14949</v>
      </c>
      <c r="C3260" s="82" t="s">
        <v>16624</v>
      </c>
      <c r="E3260" s="126"/>
      <c r="F3260" s="44"/>
      <c r="I3260" s="32"/>
      <c r="J3260" s="32"/>
      <c r="K3260" s="45" t="s">
        <v>15105</v>
      </c>
      <c r="L3260" s="110" t="s">
        <v>16625</v>
      </c>
      <c r="N3260" s="44"/>
      <c r="O3260" s="83"/>
    </row>
    <row r="3261">
      <c r="B3261" s="45" t="s">
        <v>14956</v>
      </c>
      <c r="C3261" s="82" t="s">
        <v>16626</v>
      </c>
      <c r="E3261" s="126"/>
      <c r="F3261" s="44"/>
      <c r="I3261" s="32"/>
      <c r="J3261" s="32"/>
      <c r="K3261" s="104" t="s">
        <v>15112</v>
      </c>
      <c r="L3261" s="104" t="s">
        <v>16627</v>
      </c>
      <c r="N3261" s="44"/>
      <c r="O3261" s="83"/>
    </row>
    <row r="3262">
      <c r="B3262" s="45" t="s">
        <v>14960</v>
      </c>
      <c r="C3262" s="82" t="s">
        <v>16628</v>
      </c>
      <c r="E3262" s="126"/>
      <c r="F3262" s="44"/>
      <c r="I3262" s="32"/>
      <c r="J3262" s="32"/>
      <c r="K3262" s="104" t="s">
        <v>15120</v>
      </c>
      <c r="L3262" s="104" t="s">
        <v>16629</v>
      </c>
      <c r="N3262" s="44"/>
      <c r="O3262" s="83"/>
    </row>
    <row r="3263">
      <c r="B3263" s="45" t="s">
        <v>14965</v>
      </c>
      <c r="C3263" s="82" t="s">
        <v>16630</v>
      </c>
      <c r="E3263" s="126"/>
      <c r="F3263" s="44"/>
      <c r="I3263" s="32"/>
      <c r="J3263" s="32"/>
      <c r="K3263" s="104" t="s">
        <v>15125</v>
      </c>
      <c r="L3263" s="104" t="s">
        <v>16631</v>
      </c>
      <c r="N3263" s="44"/>
      <c r="O3263" s="83"/>
    </row>
    <row r="3264">
      <c r="B3264" s="45" t="s">
        <v>14972</v>
      </c>
      <c r="C3264" s="82" t="s">
        <v>16632</v>
      </c>
      <c r="E3264" s="126"/>
      <c r="F3264" s="44"/>
      <c r="I3264" s="32"/>
      <c r="J3264" s="32"/>
      <c r="K3264" s="104" t="s">
        <v>15133</v>
      </c>
      <c r="L3264" s="104" t="s">
        <v>16633</v>
      </c>
      <c r="N3264" s="44"/>
      <c r="O3264" s="83"/>
    </row>
    <row r="3265">
      <c r="B3265" s="45" t="s">
        <v>14978</v>
      </c>
      <c r="C3265" s="82" t="s">
        <v>16634</v>
      </c>
      <c r="E3265" s="126"/>
      <c r="F3265" s="44"/>
      <c r="I3265" s="32"/>
      <c r="J3265" s="32"/>
      <c r="K3265" s="104" t="s">
        <v>15140</v>
      </c>
      <c r="L3265" s="104" t="s">
        <v>16635</v>
      </c>
      <c r="N3265" s="44"/>
      <c r="O3265" s="83"/>
    </row>
    <row r="3266">
      <c r="B3266" s="45" t="s">
        <v>14985</v>
      </c>
      <c r="C3266" s="82" t="s">
        <v>16636</v>
      </c>
      <c r="E3266" s="126"/>
      <c r="F3266" s="44"/>
      <c r="I3266" s="32"/>
      <c r="J3266" s="32"/>
      <c r="K3266" s="104" t="s">
        <v>15147</v>
      </c>
      <c r="L3266" s="104" t="s">
        <v>16637</v>
      </c>
      <c r="N3266" s="44"/>
      <c r="O3266" s="83"/>
    </row>
    <row r="3267">
      <c r="B3267" s="45" t="s">
        <v>14992</v>
      </c>
      <c r="C3267" s="82" t="s">
        <v>16638</v>
      </c>
      <c r="E3267" s="126"/>
      <c r="F3267" s="44"/>
      <c r="I3267" s="32"/>
      <c r="J3267" s="32"/>
      <c r="K3267" s="32" t="s">
        <v>15153</v>
      </c>
      <c r="L3267" s="95" t="s">
        <v>16639</v>
      </c>
      <c r="N3267" s="44"/>
      <c r="O3267" s="83"/>
    </row>
    <row r="3268">
      <c r="B3268" s="45" t="s">
        <v>15000</v>
      </c>
      <c r="C3268" s="82" t="s">
        <v>14976</v>
      </c>
      <c r="E3268" s="126"/>
      <c r="F3268" s="44"/>
      <c r="I3268" s="32"/>
      <c r="J3268" s="32"/>
      <c r="K3268" s="32" t="s">
        <v>15160</v>
      </c>
      <c r="L3268" s="95" t="s">
        <v>16640</v>
      </c>
      <c r="N3268" s="44"/>
      <c r="O3268" s="83"/>
    </row>
    <row r="3269">
      <c r="B3269" s="45" t="s">
        <v>15006</v>
      </c>
      <c r="C3269" s="82" t="s">
        <v>16641</v>
      </c>
      <c r="E3269" s="126"/>
      <c r="F3269" s="44"/>
      <c r="I3269" s="32"/>
      <c r="J3269" s="32"/>
      <c r="K3269" s="39" t="s">
        <v>15168</v>
      </c>
      <c r="L3269" s="39" t="s">
        <v>16642</v>
      </c>
      <c r="N3269" s="44"/>
      <c r="O3269" s="83"/>
    </row>
    <row r="3270">
      <c r="B3270" s="45" t="s">
        <v>15012</v>
      </c>
      <c r="C3270" s="82" t="s">
        <v>16643</v>
      </c>
      <c r="E3270" s="126"/>
      <c r="F3270" s="44"/>
      <c r="I3270" s="32"/>
      <c r="J3270" s="32"/>
      <c r="K3270" s="32" t="s">
        <v>15175</v>
      </c>
      <c r="L3270" s="95" t="s">
        <v>16644</v>
      </c>
      <c r="N3270" s="44"/>
      <c r="O3270" s="83"/>
    </row>
    <row r="3271">
      <c r="B3271" s="45" t="s">
        <v>15020</v>
      </c>
      <c r="C3271" s="82" t="s">
        <v>16645</v>
      </c>
      <c r="E3271" s="126"/>
      <c r="F3271" s="44"/>
      <c r="I3271" s="32"/>
      <c r="J3271" s="32"/>
      <c r="K3271" s="32" t="s">
        <v>15182</v>
      </c>
      <c r="L3271" s="95" t="s">
        <v>16646</v>
      </c>
      <c r="N3271" s="44"/>
      <c r="O3271" s="83"/>
    </row>
    <row r="3272">
      <c r="B3272" s="45" t="s">
        <v>15028</v>
      </c>
      <c r="C3272" s="82" t="s">
        <v>16647</v>
      </c>
      <c r="E3272" s="126"/>
      <c r="F3272" s="44"/>
      <c r="I3272" s="32"/>
      <c r="J3272" s="32"/>
      <c r="K3272" s="32" t="s">
        <v>15189</v>
      </c>
      <c r="L3272" s="95" t="s">
        <v>16648</v>
      </c>
      <c r="N3272" s="44"/>
      <c r="O3272" s="83"/>
    </row>
    <row r="3273">
      <c r="B3273" s="45" t="s">
        <v>15035</v>
      </c>
      <c r="C3273" s="82" t="s">
        <v>16649</v>
      </c>
      <c r="E3273" s="126"/>
      <c r="F3273" s="44"/>
      <c r="I3273" s="32"/>
      <c r="J3273" s="32"/>
      <c r="K3273" s="39" t="s">
        <v>15196</v>
      </c>
      <c r="L3273" s="39" t="s">
        <v>16650</v>
      </c>
      <c r="N3273" s="44"/>
      <c r="O3273" s="83"/>
    </row>
    <row r="3274">
      <c r="B3274" s="45" t="s">
        <v>15041</v>
      </c>
      <c r="C3274" s="82" t="s">
        <v>16651</v>
      </c>
      <c r="E3274" s="126"/>
      <c r="F3274" s="44"/>
      <c r="I3274" s="32"/>
      <c r="J3274" s="32"/>
      <c r="K3274" s="32" t="s">
        <v>15204</v>
      </c>
      <c r="L3274" s="95" t="s">
        <v>16652</v>
      </c>
      <c r="N3274" s="44"/>
      <c r="O3274" s="83"/>
    </row>
    <row r="3275">
      <c r="B3275" s="45" t="s">
        <v>15048</v>
      </c>
      <c r="C3275" s="82" t="s">
        <v>16653</v>
      </c>
      <c r="E3275" s="126"/>
      <c r="F3275" s="44"/>
      <c r="I3275" s="32"/>
      <c r="J3275" s="32"/>
      <c r="K3275" s="32" t="s">
        <v>15212</v>
      </c>
      <c r="L3275" s="95" t="s">
        <v>16654</v>
      </c>
      <c r="N3275" s="44"/>
      <c r="O3275" s="83"/>
    </row>
    <row r="3276">
      <c r="B3276" s="45" t="s">
        <v>16584</v>
      </c>
      <c r="C3276" s="82" t="s">
        <v>16655</v>
      </c>
      <c r="E3276" s="126"/>
      <c r="F3276" s="44"/>
      <c r="I3276" s="32"/>
      <c r="J3276" s="32"/>
      <c r="K3276" s="32" t="s">
        <v>15219</v>
      </c>
      <c r="L3276" s="95" t="s">
        <v>16656</v>
      </c>
      <c r="N3276" s="44"/>
      <c r="O3276" s="83"/>
    </row>
    <row r="3277">
      <c r="B3277" s="45" t="s">
        <v>16586</v>
      </c>
      <c r="C3277" s="82" t="s">
        <v>15039</v>
      </c>
      <c r="E3277" s="126"/>
      <c r="F3277" s="44"/>
      <c r="I3277" s="32"/>
      <c r="J3277" s="32"/>
      <c r="K3277" s="32" t="s">
        <v>15225</v>
      </c>
      <c r="L3277" s="95" t="s">
        <v>16657</v>
      </c>
      <c r="N3277" s="44"/>
      <c r="O3277" s="83"/>
    </row>
    <row r="3278">
      <c r="B3278" s="45" t="s">
        <v>16589</v>
      </c>
      <c r="C3278" s="82" t="s">
        <v>16658</v>
      </c>
      <c r="E3278" s="126"/>
      <c r="F3278" s="44"/>
      <c r="I3278" s="32"/>
      <c r="J3278" s="32"/>
      <c r="K3278" s="32" t="s">
        <v>15232</v>
      </c>
      <c r="L3278" s="95" t="s">
        <v>16659</v>
      </c>
      <c r="N3278" s="44"/>
      <c r="O3278" s="83"/>
    </row>
    <row r="3279">
      <c r="B3279" s="45" t="s">
        <v>16592</v>
      </c>
      <c r="C3279" s="82" t="s">
        <v>15033</v>
      </c>
      <c r="E3279" s="126"/>
      <c r="F3279" s="44"/>
      <c r="I3279" s="32"/>
      <c r="J3279" s="32"/>
      <c r="K3279" s="32" t="s">
        <v>15240</v>
      </c>
      <c r="L3279" s="95" t="s">
        <v>16660</v>
      </c>
      <c r="N3279" s="44"/>
      <c r="O3279" s="83"/>
    </row>
    <row r="3280">
      <c r="B3280" s="45" t="s">
        <v>16595</v>
      </c>
      <c r="C3280" s="82" t="s">
        <v>16661</v>
      </c>
      <c r="E3280" s="126"/>
      <c r="F3280" s="44"/>
      <c r="I3280" s="32"/>
      <c r="J3280" s="32"/>
      <c r="K3280" s="32" t="s">
        <v>15246</v>
      </c>
      <c r="L3280" s="95" t="s">
        <v>16662</v>
      </c>
      <c r="N3280" s="44"/>
      <c r="O3280" s="83"/>
    </row>
    <row r="3281">
      <c r="B3281" s="45" t="s">
        <v>16663</v>
      </c>
      <c r="C3281" s="82" t="s">
        <v>16664</v>
      </c>
      <c r="E3281" s="126"/>
      <c r="F3281" s="44"/>
      <c r="I3281" s="32"/>
      <c r="J3281" s="32"/>
      <c r="K3281" s="32" t="s">
        <v>15253</v>
      </c>
      <c r="L3281" s="95" t="s">
        <v>16665</v>
      </c>
      <c r="N3281" s="44"/>
      <c r="O3281" s="83"/>
    </row>
    <row r="3282">
      <c r="B3282" s="45" t="s">
        <v>16600</v>
      </c>
      <c r="C3282" s="82" t="s">
        <v>16666</v>
      </c>
      <c r="E3282" s="126"/>
      <c r="F3282" s="44"/>
      <c r="I3282" s="32"/>
      <c r="J3282" s="32"/>
      <c r="K3282" s="32" t="s">
        <v>15260</v>
      </c>
      <c r="L3282" s="95" t="s">
        <v>16667</v>
      </c>
      <c r="N3282" s="44"/>
      <c r="O3282" s="83"/>
    </row>
    <row r="3283">
      <c r="B3283" s="45" t="s">
        <v>16603</v>
      </c>
      <c r="C3283" s="82" t="s">
        <v>16668</v>
      </c>
      <c r="E3283" s="126"/>
      <c r="F3283" s="44"/>
      <c r="I3283" s="32"/>
      <c r="J3283" s="32"/>
      <c r="K3283" s="32" t="s">
        <v>15267</v>
      </c>
      <c r="L3283" s="95" t="s">
        <v>16669</v>
      </c>
      <c r="N3283" s="44"/>
      <c r="O3283" s="83"/>
    </row>
    <row r="3284">
      <c r="B3284" s="45" t="s">
        <v>16606</v>
      </c>
      <c r="C3284" s="82" t="s">
        <v>10180</v>
      </c>
      <c r="E3284" s="126"/>
      <c r="F3284" s="44"/>
      <c r="I3284" s="32"/>
      <c r="J3284" s="32"/>
      <c r="K3284" s="32" t="s">
        <v>15275</v>
      </c>
      <c r="L3284" s="95" t="s">
        <v>16670</v>
      </c>
      <c r="N3284" s="44"/>
      <c r="O3284" s="83"/>
    </row>
    <row r="3285">
      <c r="B3285" s="32" t="s">
        <v>16671</v>
      </c>
      <c r="C3285" s="119" t="s">
        <v>15053</v>
      </c>
      <c r="E3285" s="126"/>
      <c r="F3285" s="44"/>
      <c r="I3285" s="32"/>
      <c r="J3285" s="32"/>
      <c r="K3285" s="32" t="s">
        <v>15283</v>
      </c>
      <c r="L3285" s="95" t="s">
        <v>16672</v>
      </c>
      <c r="N3285" s="44"/>
      <c r="O3285" s="83"/>
    </row>
    <row r="3286">
      <c r="B3286" s="32" t="s">
        <v>16673</v>
      </c>
      <c r="C3286" s="119" t="s">
        <v>16674</v>
      </c>
      <c r="E3286" s="126"/>
      <c r="F3286" s="44"/>
      <c r="I3286" s="32"/>
      <c r="J3286" s="32"/>
      <c r="K3286" s="32" t="s">
        <v>15289</v>
      </c>
      <c r="L3286" s="95" t="s">
        <v>16675</v>
      </c>
      <c r="N3286" s="44"/>
      <c r="O3286" s="83"/>
    </row>
    <row r="3287">
      <c r="B3287" s="32" t="s">
        <v>16676</v>
      </c>
      <c r="C3287" s="119" t="s">
        <v>15065</v>
      </c>
      <c r="E3287" s="126"/>
      <c r="F3287" s="44"/>
      <c r="I3287" s="32"/>
      <c r="J3287" s="32"/>
      <c r="K3287" s="32" t="s">
        <v>15297</v>
      </c>
      <c r="L3287" s="95" t="s">
        <v>16677</v>
      </c>
      <c r="N3287" s="44"/>
      <c r="O3287" s="83"/>
    </row>
    <row r="3288">
      <c r="B3288" s="32" t="s">
        <v>16678</v>
      </c>
      <c r="C3288" s="119" t="s">
        <v>16679</v>
      </c>
      <c r="E3288" s="126"/>
      <c r="F3288" s="44"/>
      <c r="I3288" s="32"/>
      <c r="J3288" s="32"/>
      <c r="K3288" s="32" t="s">
        <v>15305</v>
      </c>
      <c r="L3288" s="95" t="s">
        <v>16680</v>
      </c>
      <c r="N3288" s="44"/>
      <c r="O3288" s="83"/>
    </row>
    <row r="3289">
      <c r="B3289" s="32" t="s">
        <v>16681</v>
      </c>
      <c r="C3289" s="119" t="s">
        <v>16682</v>
      </c>
      <c r="E3289" s="126"/>
      <c r="F3289" s="44"/>
      <c r="I3289" s="32"/>
      <c r="J3289" s="32"/>
      <c r="K3289" s="32" t="s">
        <v>15312</v>
      </c>
      <c r="L3289" s="32" t="s">
        <v>16683</v>
      </c>
      <c r="N3289" s="44"/>
      <c r="O3289" s="83"/>
    </row>
    <row r="3290">
      <c r="B3290" s="32" t="s">
        <v>16684</v>
      </c>
      <c r="C3290" s="119" t="s">
        <v>16685</v>
      </c>
      <c r="E3290" s="126"/>
      <c r="F3290" s="44"/>
      <c r="I3290" s="32"/>
      <c r="J3290" s="32"/>
      <c r="K3290" s="32" t="s">
        <v>15318</v>
      </c>
      <c r="L3290" s="95" t="s">
        <v>16686</v>
      </c>
      <c r="N3290" s="44"/>
      <c r="O3290" s="83"/>
    </row>
    <row r="3291">
      <c r="B3291" s="32" t="s">
        <v>16687</v>
      </c>
      <c r="C3291" s="119" t="s">
        <v>15072</v>
      </c>
      <c r="E3291" s="126"/>
      <c r="F3291" s="44"/>
      <c r="I3291" s="32"/>
      <c r="J3291" s="32"/>
      <c r="K3291" s="32" t="s">
        <v>15325</v>
      </c>
      <c r="L3291" s="95" t="s">
        <v>16688</v>
      </c>
      <c r="N3291" s="44"/>
      <c r="O3291" s="83"/>
    </row>
    <row r="3292">
      <c r="B3292" s="32" t="s">
        <v>16689</v>
      </c>
      <c r="C3292" s="119" t="s">
        <v>16690</v>
      </c>
      <c r="E3292" s="126"/>
      <c r="F3292" s="44"/>
      <c r="I3292" s="32"/>
      <c r="J3292" s="32"/>
      <c r="K3292" s="32" t="s">
        <v>15333</v>
      </c>
      <c r="L3292" s="39" t="s">
        <v>16691</v>
      </c>
      <c r="N3292" s="44"/>
      <c r="O3292" s="83"/>
    </row>
    <row r="3293">
      <c r="B3293" s="32" t="s">
        <v>16692</v>
      </c>
      <c r="C3293" s="119" t="s">
        <v>16693</v>
      </c>
      <c r="E3293" s="126"/>
      <c r="F3293" s="44"/>
      <c r="I3293" s="32"/>
      <c r="J3293" s="32"/>
      <c r="K3293" s="32" t="s">
        <v>15340</v>
      </c>
      <c r="L3293" s="95" t="s">
        <v>16694</v>
      </c>
      <c r="N3293" s="44"/>
      <c r="O3293" s="83"/>
    </row>
    <row r="3294">
      <c r="B3294" s="32" t="s">
        <v>16695</v>
      </c>
      <c r="C3294" s="119" t="s">
        <v>15104</v>
      </c>
      <c r="E3294" s="126"/>
      <c r="F3294" s="44"/>
      <c r="I3294" s="32"/>
      <c r="J3294" s="32"/>
      <c r="K3294" s="32" t="s">
        <v>15347</v>
      </c>
      <c r="L3294" s="95" t="s">
        <v>16696</v>
      </c>
      <c r="N3294" s="44"/>
      <c r="O3294" s="83"/>
    </row>
    <row r="3295">
      <c r="B3295" s="32" t="s">
        <v>16697</v>
      </c>
      <c r="C3295" s="119" t="s">
        <v>15097</v>
      </c>
      <c r="E3295" s="126"/>
      <c r="F3295" s="44"/>
      <c r="I3295" s="32"/>
      <c r="J3295" s="32"/>
      <c r="K3295" s="32" t="s">
        <v>15355</v>
      </c>
      <c r="L3295" s="95" t="s">
        <v>16698</v>
      </c>
      <c r="N3295" s="44"/>
      <c r="O3295" s="83"/>
    </row>
    <row r="3296">
      <c r="B3296" s="32" t="s">
        <v>16699</v>
      </c>
      <c r="C3296" s="119" t="s">
        <v>16700</v>
      </c>
      <c r="E3296" s="126"/>
      <c r="F3296" s="44"/>
      <c r="I3296" s="32"/>
      <c r="J3296" s="32"/>
      <c r="K3296" s="32" t="s">
        <v>15360</v>
      </c>
      <c r="L3296" s="95" t="s">
        <v>16701</v>
      </c>
      <c r="N3296" s="44"/>
      <c r="O3296" s="83"/>
    </row>
    <row r="3297">
      <c r="B3297" s="32" t="s">
        <v>16702</v>
      </c>
      <c r="C3297" s="119" t="s">
        <v>16703</v>
      </c>
      <c r="E3297" s="126"/>
      <c r="F3297" s="44"/>
      <c r="I3297" s="32"/>
      <c r="J3297" s="32"/>
      <c r="K3297" s="32" t="s">
        <v>15367</v>
      </c>
      <c r="L3297" s="95" t="s">
        <v>16704</v>
      </c>
      <c r="N3297" s="44"/>
      <c r="O3297" s="83"/>
    </row>
    <row r="3298">
      <c r="B3298" s="32" t="s">
        <v>16705</v>
      </c>
      <c r="C3298" s="119" t="s">
        <v>16706</v>
      </c>
      <c r="E3298" s="126"/>
      <c r="F3298" s="44"/>
      <c r="I3298" s="32"/>
      <c r="J3298" s="32"/>
      <c r="K3298" s="32" t="s">
        <v>15374</v>
      </c>
      <c r="L3298" s="95" t="s">
        <v>16707</v>
      </c>
      <c r="N3298" s="44"/>
      <c r="O3298" s="83"/>
    </row>
    <row r="3299">
      <c r="B3299" s="32" t="s">
        <v>16708</v>
      </c>
      <c r="C3299" s="119" t="s">
        <v>15091</v>
      </c>
      <c r="E3299" s="126"/>
      <c r="F3299" s="44"/>
      <c r="I3299" s="32"/>
      <c r="J3299" s="32"/>
      <c r="K3299" s="32" t="s">
        <v>15379</v>
      </c>
      <c r="L3299" s="95" t="s">
        <v>16709</v>
      </c>
      <c r="N3299" s="44"/>
      <c r="O3299" s="83"/>
    </row>
    <row r="3300">
      <c r="B3300" s="32" t="s">
        <v>16710</v>
      </c>
      <c r="C3300" s="119" t="s">
        <v>15118</v>
      </c>
      <c r="E3300" s="126"/>
      <c r="F3300" s="44"/>
      <c r="I3300" s="32"/>
      <c r="J3300" s="32"/>
      <c r="K3300" s="39" t="s">
        <v>15386</v>
      </c>
      <c r="L3300" s="39" t="s">
        <v>16711</v>
      </c>
      <c r="N3300" s="44"/>
      <c r="O3300" s="83"/>
    </row>
    <row r="3301">
      <c r="B3301" s="32" t="s">
        <v>16712</v>
      </c>
      <c r="C3301" s="119" t="s">
        <v>16713</v>
      </c>
      <c r="E3301" s="126"/>
      <c r="F3301" s="44"/>
      <c r="I3301" s="32"/>
      <c r="J3301" s="32"/>
      <c r="K3301" s="39" t="s">
        <v>15394</v>
      </c>
      <c r="L3301" s="39" t="s">
        <v>16714</v>
      </c>
      <c r="N3301" s="44"/>
      <c r="O3301" s="83"/>
    </row>
    <row r="3302">
      <c r="B3302" s="32" t="s">
        <v>16715</v>
      </c>
      <c r="C3302" s="119" t="s">
        <v>16716</v>
      </c>
      <c r="E3302" s="126"/>
      <c r="F3302" s="44"/>
      <c r="I3302" s="32"/>
      <c r="J3302" s="32"/>
      <c r="K3302" s="39" t="s">
        <v>15401</v>
      </c>
      <c r="L3302" s="39" t="s">
        <v>16717</v>
      </c>
      <c r="N3302" s="44"/>
      <c r="O3302" s="83"/>
    </row>
    <row r="3303">
      <c r="B3303" s="32" t="s">
        <v>16718</v>
      </c>
      <c r="C3303" s="119" t="s">
        <v>15123</v>
      </c>
      <c r="E3303" s="126"/>
      <c r="F3303" s="44"/>
      <c r="I3303" s="32"/>
      <c r="J3303" s="32"/>
      <c r="K3303" s="100" t="s">
        <v>15409</v>
      </c>
      <c r="L3303" s="95" t="s">
        <v>16719</v>
      </c>
      <c r="N3303" s="44"/>
      <c r="O3303" s="83"/>
    </row>
    <row r="3304">
      <c r="B3304" s="32" t="s">
        <v>16720</v>
      </c>
      <c r="C3304" s="119" t="s">
        <v>15131</v>
      </c>
      <c r="E3304" s="126"/>
      <c r="F3304" s="44"/>
      <c r="I3304" s="32"/>
      <c r="J3304" s="32"/>
      <c r="K3304" s="100" t="s">
        <v>15416</v>
      </c>
      <c r="L3304" s="95" t="s">
        <v>16721</v>
      </c>
      <c r="N3304" s="44"/>
      <c r="O3304" s="83"/>
    </row>
    <row r="3305">
      <c r="B3305" s="32" t="s">
        <v>16722</v>
      </c>
      <c r="C3305" s="119" t="s">
        <v>16723</v>
      </c>
      <c r="E3305" s="126"/>
      <c r="F3305" s="44"/>
      <c r="I3305" s="32"/>
      <c r="J3305" s="32"/>
      <c r="K3305" s="100" t="s">
        <v>15422</v>
      </c>
      <c r="L3305" s="95" t="s">
        <v>16724</v>
      </c>
      <c r="N3305" s="44"/>
      <c r="O3305" s="83"/>
    </row>
    <row r="3306">
      <c r="B3306" s="32" t="s">
        <v>16725</v>
      </c>
      <c r="C3306" s="119" t="s">
        <v>15138</v>
      </c>
      <c r="E3306" s="126"/>
      <c r="F3306" s="44"/>
      <c r="I3306" s="32"/>
      <c r="J3306" s="32"/>
      <c r="K3306" s="100" t="s">
        <v>15430</v>
      </c>
      <c r="L3306" s="95" t="s">
        <v>16726</v>
      </c>
      <c r="N3306" s="44"/>
      <c r="O3306" s="83"/>
    </row>
    <row r="3307">
      <c r="B3307" s="32" t="s">
        <v>16727</v>
      </c>
      <c r="C3307" s="119" t="s">
        <v>16728</v>
      </c>
      <c r="E3307" s="126"/>
      <c r="F3307" s="44"/>
      <c r="I3307" s="32"/>
      <c r="J3307" s="32"/>
      <c r="K3307" s="100" t="s">
        <v>15438</v>
      </c>
      <c r="L3307" s="95" t="s">
        <v>16729</v>
      </c>
      <c r="N3307" s="44"/>
      <c r="O3307" s="83"/>
    </row>
    <row r="3308">
      <c r="B3308" s="32" t="s">
        <v>16730</v>
      </c>
      <c r="C3308" s="119" t="s">
        <v>16731</v>
      </c>
      <c r="E3308" s="126"/>
      <c r="F3308" s="44"/>
      <c r="I3308" s="32"/>
      <c r="J3308" s="32"/>
      <c r="K3308" s="100" t="s">
        <v>15446</v>
      </c>
      <c r="L3308" s="95" t="s">
        <v>16732</v>
      </c>
      <c r="N3308" s="44"/>
      <c r="O3308" s="83"/>
    </row>
    <row r="3309">
      <c r="B3309" s="32" t="s">
        <v>16733</v>
      </c>
      <c r="C3309" s="119" t="s">
        <v>15158</v>
      </c>
      <c r="E3309" s="126"/>
      <c r="F3309" s="44"/>
      <c r="I3309" s="32"/>
      <c r="J3309" s="32"/>
      <c r="K3309" s="100" t="s">
        <v>15453</v>
      </c>
      <c r="L3309" s="95" t="s">
        <v>16734</v>
      </c>
      <c r="N3309" s="44"/>
      <c r="O3309" s="83"/>
    </row>
    <row r="3310">
      <c r="B3310" s="32" t="s">
        <v>16735</v>
      </c>
      <c r="C3310" s="119" t="s">
        <v>16736</v>
      </c>
      <c r="E3310" s="126"/>
      <c r="F3310" s="44"/>
      <c r="I3310" s="32"/>
      <c r="J3310" s="32"/>
      <c r="K3310" s="100" t="s">
        <v>15461</v>
      </c>
      <c r="L3310" s="95" t="s">
        <v>16737</v>
      </c>
      <c r="N3310" s="44"/>
      <c r="O3310" s="83"/>
    </row>
    <row r="3311">
      <c r="B3311" s="32" t="s">
        <v>16738</v>
      </c>
      <c r="C3311" s="119" t="s">
        <v>16739</v>
      </c>
      <c r="E3311" s="126"/>
      <c r="F3311" s="44"/>
      <c r="I3311" s="32"/>
      <c r="J3311" s="32"/>
      <c r="K3311" s="100" t="s">
        <v>15469</v>
      </c>
      <c r="L3311" s="95" t="s">
        <v>16740</v>
      </c>
      <c r="N3311" s="44"/>
      <c r="O3311" s="83"/>
    </row>
    <row r="3312">
      <c r="B3312" s="32" t="s">
        <v>16741</v>
      </c>
      <c r="C3312" s="119" t="s">
        <v>5872</v>
      </c>
      <c r="E3312" s="126"/>
      <c r="F3312" s="44"/>
      <c r="I3312" s="32"/>
      <c r="J3312" s="32"/>
      <c r="K3312" s="100" t="s">
        <v>15477</v>
      </c>
      <c r="L3312" s="95" t="s">
        <v>16742</v>
      </c>
      <c r="N3312" s="44"/>
      <c r="O3312" s="83"/>
    </row>
    <row r="3313">
      <c r="B3313" s="45" t="s">
        <v>16609</v>
      </c>
      <c r="C3313" s="119" t="s">
        <v>16743</v>
      </c>
      <c r="E3313" s="126"/>
      <c r="F3313" s="44"/>
      <c r="I3313" s="32"/>
      <c r="J3313" s="32"/>
      <c r="K3313" s="100" t="s">
        <v>15483</v>
      </c>
      <c r="L3313" s="95" t="s">
        <v>16744</v>
      </c>
      <c r="N3313" s="44"/>
      <c r="O3313" s="83"/>
    </row>
    <row r="3314">
      <c r="B3314" s="32" t="s">
        <v>16213</v>
      </c>
      <c r="C3314" s="119" t="s">
        <v>16221</v>
      </c>
      <c r="E3314" s="126"/>
      <c r="F3314" s="44"/>
      <c r="I3314" s="32"/>
      <c r="J3314" s="32"/>
      <c r="K3314" s="100" t="s">
        <v>15491</v>
      </c>
      <c r="L3314" s="95" t="s">
        <v>16745</v>
      </c>
      <c r="N3314" s="44"/>
      <c r="O3314" s="83"/>
    </row>
    <row r="3315">
      <c r="B3315" s="32" t="s">
        <v>16746</v>
      </c>
      <c r="C3315" s="119" t="s">
        <v>16747</v>
      </c>
      <c r="E3315" s="126"/>
      <c r="F3315" s="44"/>
      <c r="I3315" s="32"/>
      <c r="J3315" s="32"/>
      <c r="K3315" s="100" t="s">
        <v>15498</v>
      </c>
      <c r="L3315" s="95" t="s">
        <v>16748</v>
      </c>
      <c r="N3315" s="44"/>
      <c r="O3315" s="83"/>
    </row>
    <row r="3316">
      <c r="B3316" s="32" t="s">
        <v>16749</v>
      </c>
      <c r="C3316" s="119" t="s">
        <v>15166</v>
      </c>
      <c r="E3316" s="126"/>
      <c r="F3316" s="44"/>
      <c r="I3316" s="32"/>
      <c r="J3316" s="32"/>
      <c r="K3316" s="100" t="s">
        <v>15505</v>
      </c>
      <c r="L3316" s="95" t="s">
        <v>16750</v>
      </c>
      <c r="N3316" s="44"/>
      <c r="O3316" s="83"/>
    </row>
    <row r="3317">
      <c r="B3317" s="32" t="s">
        <v>16751</v>
      </c>
      <c r="C3317" s="119" t="s">
        <v>16752</v>
      </c>
      <c r="E3317" s="126"/>
      <c r="F3317" s="44"/>
      <c r="I3317" s="32"/>
      <c r="J3317" s="32"/>
      <c r="K3317" s="100" t="s">
        <v>15513</v>
      </c>
      <c r="L3317" s="95" t="s">
        <v>16753</v>
      </c>
      <c r="N3317" s="44"/>
      <c r="O3317" s="83"/>
    </row>
    <row r="3318">
      <c r="B3318" s="32" t="s">
        <v>16754</v>
      </c>
      <c r="C3318" s="119" t="s">
        <v>16755</v>
      </c>
      <c r="E3318" s="126"/>
      <c r="F3318" s="44"/>
      <c r="I3318" s="32"/>
      <c r="J3318" s="32"/>
      <c r="K3318" s="100" t="s">
        <v>15520</v>
      </c>
      <c r="L3318" s="95" t="s">
        <v>16756</v>
      </c>
      <c r="N3318" s="44"/>
      <c r="O3318" s="83"/>
    </row>
    <row r="3319">
      <c r="B3319" s="32" t="s">
        <v>16757</v>
      </c>
      <c r="C3319" s="119" t="s">
        <v>15172</v>
      </c>
      <c r="E3319" s="126"/>
      <c r="F3319" s="44"/>
      <c r="I3319" s="32"/>
      <c r="J3319" s="32"/>
      <c r="K3319" s="100" t="s">
        <v>15527</v>
      </c>
      <c r="L3319" s="95" t="s">
        <v>16758</v>
      </c>
      <c r="N3319" s="44"/>
      <c r="O3319" s="83"/>
    </row>
    <row r="3320">
      <c r="B3320" s="32" t="s">
        <v>16759</v>
      </c>
      <c r="C3320" s="119" t="s">
        <v>16760</v>
      </c>
      <c r="E3320" s="126"/>
      <c r="F3320" s="44"/>
      <c r="I3320" s="32"/>
      <c r="J3320" s="32"/>
      <c r="K3320" s="100" t="s">
        <v>15534</v>
      </c>
      <c r="L3320" s="95" t="s">
        <v>16761</v>
      </c>
      <c r="N3320" s="44"/>
      <c r="O3320" s="83"/>
    </row>
    <row r="3321">
      <c r="B3321" s="32" t="s">
        <v>16762</v>
      </c>
      <c r="C3321" s="119" t="s">
        <v>15179</v>
      </c>
      <c r="E3321" s="126"/>
      <c r="F3321" s="44"/>
      <c r="I3321" s="32"/>
      <c r="J3321" s="32"/>
      <c r="K3321" s="100" t="s">
        <v>15541</v>
      </c>
      <c r="L3321" s="95" t="s">
        <v>16763</v>
      </c>
      <c r="N3321" s="44"/>
      <c r="O3321" s="83"/>
    </row>
    <row r="3322">
      <c r="B3322" s="100" t="s">
        <v>16764</v>
      </c>
      <c r="C3322" s="123" t="s">
        <v>7004</v>
      </c>
      <c r="E3322" s="126"/>
      <c r="F3322" s="44"/>
      <c r="I3322" s="32"/>
      <c r="J3322" s="32"/>
      <c r="K3322" s="100" t="s">
        <v>15549</v>
      </c>
      <c r="L3322" s="95" t="s">
        <v>16765</v>
      </c>
      <c r="N3322" s="44"/>
      <c r="O3322" s="83"/>
    </row>
    <row r="3323">
      <c r="B3323" s="100" t="s">
        <v>16766</v>
      </c>
      <c r="C3323" s="123" t="s">
        <v>16767</v>
      </c>
      <c r="E3323" s="126"/>
      <c r="F3323" s="44"/>
      <c r="I3323" s="32"/>
      <c r="J3323" s="32"/>
      <c r="K3323" s="100" t="s">
        <v>15556</v>
      </c>
      <c r="L3323" s="95" t="s">
        <v>16768</v>
      </c>
      <c r="N3323" s="44"/>
      <c r="O3323" s="83"/>
    </row>
    <row r="3324">
      <c r="B3324" s="100" t="s">
        <v>16769</v>
      </c>
      <c r="C3324" s="123" t="s">
        <v>16770</v>
      </c>
      <c r="E3324" s="126"/>
      <c r="F3324" s="44"/>
      <c r="I3324" s="32"/>
      <c r="J3324" s="32"/>
      <c r="K3324" s="100" t="s">
        <v>15562</v>
      </c>
      <c r="L3324" s="95" t="s">
        <v>16771</v>
      </c>
      <c r="N3324" s="44"/>
      <c r="O3324" s="83"/>
    </row>
    <row r="3325">
      <c r="B3325" s="100" t="s">
        <v>16772</v>
      </c>
      <c r="C3325" s="123" t="s">
        <v>16773</v>
      </c>
      <c r="E3325" s="126"/>
      <c r="F3325" s="44"/>
      <c r="I3325" s="32"/>
      <c r="J3325" s="32"/>
      <c r="K3325" s="100" t="s">
        <v>15569</v>
      </c>
      <c r="L3325" s="95" t="s">
        <v>16774</v>
      </c>
      <c r="N3325" s="44"/>
      <c r="O3325" s="83"/>
    </row>
    <row r="3326">
      <c r="B3326" s="100" t="s">
        <v>16775</v>
      </c>
      <c r="C3326" s="123" t="s">
        <v>16776</v>
      </c>
      <c r="E3326" s="126"/>
      <c r="F3326" s="44"/>
      <c r="I3326" s="32"/>
      <c r="J3326" s="32"/>
      <c r="K3326" s="100" t="s">
        <v>15576</v>
      </c>
      <c r="L3326" s="95" t="s">
        <v>16777</v>
      </c>
      <c r="N3326" s="44"/>
      <c r="O3326" s="83"/>
    </row>
    <row r="3327">
      <c r="B3327" s="100" t="s">
        <v>16778</v>
      </c>
      <c r="C3327" s="123" t="s">
        <v>16779</v>
      </c>
      <c r="E3327" s="126"/>
      <c r="F3327" s="44"/>
      <c r="I3327" s="32"/>
      <c r="J3327" s="32"/>
      <c r="K3327" s="100" t="s">
        <v>15583</v>
      </c>
      <c r="L3327" s="95" t="s">
        <v>16780</v>
      </c>
      <c r="N3327" s="44"/>
      <c r="O3327" s="83"/>
    </row>
    <row r="3328">
      <c r="B3328" s="100" t="s">
        <v>16781</v>
      </c>
      <c r="C3328" s="123" t="s">
        <v>16782</v>
      </c>
      <c r="E3328" s="126"/>
      <c r="F3328" s="44"/>
      <c r="I3328" s="32"/>
      <c r="J3328" s="32"/>
      <c r="K3328" s="100" t="s">
        <v>15590</v>
      </c>
      <c r="L3328" s="95" t="s">
        <v>16783</v>
      </c>
      <c r="N3328" s="44"/>
      <c r="O3328" s="83"/>
    </row>
    <row r="3329">
      <c r="B3329" s="100" t="s">
        <v>16784</v>
      </c>
      <c r="C3329" s="123" t="s">
        <v>15193</v>
      </c>
      <c r="E3329" s="126"/>
      <c r="F3329" s="44"/>
      <c r="I3329" s="32"/>
      <c r="J3329" s="32"/>
      <c r="K3329" s="100" t="s">
        <v>16785</v>
      </c>
      <c r="L3329" s="95" t="s">
        <v>16786</v>
      </c>
      <c r="N3329" s="44"/>
      <c r="O3329" s="83"/>
    </row>
    <row r="3330">
      <c r="B3330" s="100" t="s">
        <v>16787</v>
      </c>
      <c r="C3330" s="123" t="s">
        <v>6213</v>
      </c>
      <c r="E3330" s="126"/>
      <c r="F3330" s="44"/>
      <c r="I3330" s="32"/>
      <c r="J3330" s="32"/>
      <c r="K3330" s="100" t="s">
        <v>15594</v>
      </c>
      <c r="L3330" s="95" t="s">
        <v>16788</v>
      </c>
      <c r="N3330" s="44"/>
      <c r="O3330" s="83"/>
    </row>
    <row r="3331">
      <c r="B3331" s="100" t="s">
        <v>16789</v>
      </c>
      <c r="C3331" s="123" t="s">
        <v>15201</v>
      </c>
      <c r="E3331" s="126"/>
      <c r="F3331" s="44"/>
      <c r="I3331" s="32"/>
      <c r="J3331" s="32"/>
      <c r="K3331" s="100" t="s">
        <v>15598</v>
      </c>
      <c r="L3331" s="95" t="s">
        <v>16790</v>
      </c>
      <c r="N3331" s="44"/>
      <c r="O3331" s="83"/>
    </row>
    <row r="3332">
      <c r="B3332" s="100" t="s">
        <v>16791</v>
      </c>
      <c r="C3332" s="123" t="s">
        <v>16792</v>
      </c>
      <c r="E3332" s="126"/>
      <c r="F3332" s="44"/>
      <c r="I3332" s="32"/>
      <c r="J3332" s="32"/>
      <c r="K3332" s="100" t="s">
        <v>15603</v>
      </c>
      <c r="L3332" s="95" t="s">
        <v>16793</v>
      </c>
      <c r="N3332" s="44"/>
      <c r="O3332" s="83"/>
    </row>
    <row r="3333">
      <c r="B3333" s="100" t="s">
        <v>16794</v>
      </c>
      <c r="C3333" s="123" t="s">
        <v>16795</v>
      </c>
      <c r="E3333" s="126"/>
      <c r="F3333" s="44"/>
      <c r="I3333" s="32"/>
      <c r="J3333" s="32"/>
      <c r="K3333" s="100" t="s">
        <v>15608</v>
      </c>
      <c r="L3333" s="95" t="s">
        <v>16796</v>
      </c>
      <c r="N3333" s="44"/>
      <c r="O3333" s="83"/>
    </row>
    <row r="3334">
      <c r="B3334" s="109" t="s">
        <v>16797</v>
      </c>
      <c r="C3334" s="123" t="s">
        <v>16798</v>
      </c>
      <c r="E3334" s="126"/>
      <c r="F3334" s="44"/>
      <c r="I3334" s="32"/>
      <c r="J3334" s="32"/>
      <c r="K3334" s="100" t="s">
        <v>15612</v>
      </c>
      <c r="L3334" s="95" t="s">
        <v>16799</v>
      </c>
      <c r="N3334" s="44"/>
      <c r="O3334" s="83"/>
    </row>
    <row r="3335">
      <c r="B3335" s="100" t="s">
        <v>16800</v>
      </c>
      <c r="C3335" s="123" t="s">
        <v>16801</v>
      </c>
      <c r="E3335" s="126"/>
      <c r="F3335" s="44"/>
      <c r="I3335" s="32"/>
      <c r="J3335" s="32"/>
      <c r="K3335" s="100" t="s">
        <v>15616</v>
      </c>
      <c r="L3335" s="95" t="s">
        <v>16802</v>
      </c>
      <c r="N3335" s="44"/>
      <c r="O3335" s="83"/>
    </row>
    <row r="3336">
      <c r="B3336" s="100" t="s">
        <v>16803</v>
      </c>
      <c r="C3336" s="123" t="s">
        <v>15230</v>
      </c>
      <c r="E3336" s="126"/>
      <c r="F3336" s="44"/>
      <c r="I3336" s="32"/>
      <c r="J3336" s="32"/>
      <c r="K3336" s="100" t="s">
        <v>15621</v>
      </c>
      <c r="L3336" s="95" t="s">
        <v>16804</v>
      </c>
      <c r="N3336" s="44"/>
      <c r="O3336" s="83"/>
    </row>
    <row r="3337">
      <c r="B3337" s="100" t="s">
        <v>16805</v>
      </c>
      <c r="C3337" s="123" t="s">
        <v>16806</v>
      </c>
      <c r="E3337" s="126"/>
      <c r="F3337" s="44"/>
      <c r="I3337" s="32"/>
      <c r="J3337" s="32"/>
      <c r="K3337" s="100" t="s">
        <v>15626</v>
      </c>
      <c r="L3337" s="95" t="s">
        <v>16807</v>
      </c>
      <c r="N3337" s="44"/>
      <c r="O3337" s="83"/>
    </row>
    <row r="3338">
      <c r="B3338" s="100" t="s">
        <v>16808</v>
      </c>
      <c r="C3338" s="123" t="s">
        <v>16809</v>
      </c>
      <c r="E3338" s="126"/>
      <c r="F3338" s="44"/>
      <c r="I3338" s="32"/>
      <c r="J3338" s="32"/>
      <c r="K3338" s="44"/>
      <c r="L3338" s="127"/>
      <c r="N3338" s="44"/>
      <c r="O3338" s="83"/>
    </row>
    <row r="3339">
      <c r="B3339" s="100" t="s">
        <v>16810</v>
      </c>
      <c r="C3339" s="123" t="s">
        <v>16811</v>
      </c>
      <c r="E3339" s="126"/>
      <c r="F3339" s="44"/>
      <c r="I3339" s="32"/>
      <c r="J3339" s="32"/>
      <c r="K3339" s="44"/>
      <c r="L3339" s="127"/>
      <c r="N3339" s="44"/>
      <c r="O3339" s="83"/>
    </row>
    <row r="3340">
      <c r="B3340" s="100" t="s">
        <v>16812</v>
      </c>
      <c r="C3340" s="123" t="s">
        <v>16813</v>
      </c>
      <c r="E3340" s="126"/>
      <c r="F3340" s="44"/>
      <c r="I3340" s="32"/>
      <c r="J3340" s="32"/>
      <c r="K3340" s="44"/>
      <c r="L3340" s="127"/>
      <c r="N3340" s="44"/>
      <c r="O3340" s="83"/>
    </row>
    <row r="3341">
      <c r="B3341" s="100" t="s">
        <v>16814</v>
      </c>
      <c r="C3341" s="123" t="s">
        <v>16815</v>
      </c>
      <c r="E3341" s="126"/>
      <c r="F3341" s="44"/>
      <c r="I3341" s="32"/>
      <c r="J3341" s="32"/>
      <c r="K3341" s="44"/>
      <c r="L3341" s="127"/>
      <c r="N3341" s="44"/>
      <c r="O3341" s="83"/>
    </row>
    <row r="3342">
      <c r="B3342" s="100" t="s">
        <v>16816</v>
      </c>
      <c r="C3342" s="123" t="s">
        <v>16817</v>
      </c>
      <c r="E3342" s="126"/>
      <c r="F3342" s="44"/>
      <c r="I3342" s="32"/>
      <c r="J3342" s="32"/>
      <c r="K3342" s="44"/>
      <c r="L3342" s="127"/>
      <c r="N3342" s="44"/>
      <c r="O3342" s="83"/>
    </row>
    <row r="3343">
      <c r="B3343" s="100" t="s">
        <v>16818</v>
      </c>
      <c r="C3343" s="123" t="s">
        <v>16819</v>
      </c>
      <c r="E3343" s="126"/>
      <c r="F3343" s="44"/>
      <c r="I3343" s="32"/>
      <c r="J3343" s="32"/>
      <c r="K3343" s="44"/>
      <c r="L3343" s="127"/>
      <c r="N3343" s="44"/>
      <c r="O3343" s="83"/>
    </row>
    <row r="3344">
      <c r="A3344" s="32"/>
      <c r="B3344" s="100" t="s">
        <v>15055</v>
      </c>
      <c r="C3344" s="110" t="s">
        <v>12533</v>
      </c>
      <c r="D3344" s="32"/>
      <c r="E3344" s="32"/>
      <c r="F3344" s="32"/>
      <c r="I3344" s="32"/>
      <c r="J3344" s="32"/>
      <c r="K3344" s="44"/>
      <c r="L3344" s="127"/>
      <c r="N3344" s="44"/>
      <c r="O3344" s="83"/>
    </row>
    <row r="3345">
      <c r="A3345" s="32"/>
      <c r="B3345" s="100" t="s">
        <v>15061</v>
      </c>
      <c r="C3345" s="123" t="s">
        <v>16820</v>
      </c>
      <c r="D3345" s="32"/>
      <c r="E3345" s="32"/>
      <c r="F3345" s="32"/>
      <c r="I3345" s="32"/>
      <c r="J3345" s="32"/>
      <c r="K3345" s="44"/>
      <c r="L3345" s="127"/>
      <c r="N3345" s="44"/>
      <c r="O3345" s="83"/>
    </row>
    <row r="3346">
      <c r="A3346" s="32"/>
      <c r="B3346" s="100" t="s">
        <v>15067</v>
      </c>
      <c r="C3346" s="123" t="s">
        <v>16821</v>
      </c>
      <c r="D3346" s="32"/>
      <c r="E3346" s="32"/>
      <c r="F3346" s="32"/>
      <c r="I3346" s="32"/>
      <c r="J3346" s="32"/>
      <c r="K3346" s="44"/>
      <c r="L3346" s="127"/>
      <c r="N3346" s="44"/>
      <c r="O3346" s="83"/>
    </row>
    <row r="3347">
      <c r="A3347" s="32"/>
      <c r="B3347" s="100" t="s">
        <v>15074</v>
      </c>
      <c r="C3347" s="123" t="s">
        <v>15281</v>
      </c>
      <c r="D3347" s="32"/>
      <c r="E3347" s="32"/>
      <c r="F3347" s="32"/>
      <c r="I3347" s="32"/>
      <c r="J3347" s="32"/>
      <c r="K3347" s="44"/>
      <c r="L3347" s="127"/>
      <c r="N3347" s="44"/>
      <c r="O3347" s="83"/>
    </row>
    <row r="3348">
      <c r="A3348" s="32"/>
      <c r="B3348" s="100" t="s">
        <v>15081</v>
      </c>
      <c r="C3348" s="123" t="s">
        <v>16822</v>
      </c>
      <c r="D3348" s="32"/>
      <c r="E3348" s="32"/>
      <c r="F3348" s="32"/>
      <c r="I3348" s="32"/>
      <c r="J3348" s="32"/>
      <c r="K3348" s="44"/>
      <c r="L3348" s="127"/>
      <c r="N3348" s="44"/>
      <c r="O3348" s="83"/>
    </row>
    <row r="3349">
      <c r="B3349" s="100" t="s">
        <v>15087</v>
      </c>
      <c r="C3349" s="123" t="s">
        <v>16823</v>
      </c>
      <c r="E3349" s="126"/>
      <c r="F3349" s="44"/>
      <c r="I3349" s="32"/>
      <c r="J3349" s="32"/>
      <c r="K3349" s="44"/>
      <c r="L3349" s="127"/>
      <c r="N3349" s="44"/>
      <c r="O3349" s="83"/>
    </row>
    <row r="3350">
      <c r="B3350" s="124" t="s">
        <v>15093</v>
      </c>
      <c r="C3350" s="110" t="s">
        <v>16824</v>
      </c>
      <c r="E3350" s="126"/>
      <c r="F3350" s="44"/>
      <c r="I3350" s="32"/>
      <c r="J3350" s="32"/>
      <c r="K3350" s="44"/>
      <c r="L3350" s="127"/>
      <c r="N3350" s="44"/>
      <c r="O3350" s="83"/>
    </row>
    <row r="3351">
      <c r="B3351" s="45" t="s">
        <v>15099</v>
      </c>
      <c r="C3351" s="110" t="s">
        <v>15295</v>
      </c>
      <c r="E3351" s="126"/>
      <c r="F3351" s="44"/>
      <c r="I3351" s="32"/>
      <c r="J3351" s="32"/>
      <c r="K3351" s="44"/>
      <c r="L3351" s="127"/>
      <c r="N3351" s="44"/>
      <c r="O3351" s="83"/>
    </row>
    <row r="3352">
      <c r="B3352" s="45" t="s">
        <v>15105</v>
      </c>
      <c r="C3352" s="110" t="s">
        <v>16825</v>
      </c>
      <c r="E3352" s="126"/>
      <c r="F3352" s="44"/>
      <c r="I3352" s="32"/>
      <c r="J3352" s="32"/>
      <c r="K3352" s="44"/>
      <c r="L3352" s="127"/>
      <c r="N3352" s="44"/>
      <c r="O3352" s="83"/>
    </row>
    <row r="3353">
      <c r="B3353" s="104" t="s">
        <v>15112</v>
      </c>
      <c r="C3353" s="128" t="s">
        <v>16826</v>
      </c>
      <c r="E3353" s="126"/>
      <c r="F3353" s="44"/>
      <c r="I3353" s="32"/>
      <c r="J3353" s="32"/>
      <c r="K3353" s="44"/>
      <c r="L3353" s="127"/>
      <c r="N3353" s="44"/>
      <c r="O3353" s="83"/>
    </row>
    <row r="3354">
      <c r="B3354" s="104" t="s">
        <v>15120</v>
      </c>
      <c r="C3354" s="128" t="s">
        <v>15316</v>
      </c>
      <c r="E3354" s="126"/>
      <c r="F3354" s="44"/>
      <c r="I3354" s="32"/>
      <c r="J3354" s="32"/>
      <c r="K3354" s="44"/>
      <c r="L3354" s="127"/>
      <c r="N3354" s="44"/>
      <c r="O3354" s="83"/>
    </row>
    <row r="3355">
      <c r="B3355" s="104" t="s">
        <v>15125</v>
      </c>
      <c r="C3355" s="128" t="s">
        <v>16827</v>
      </c>
      <c r="E3355" s="126"/>
      <c r="F3355" s="44"/>
      <c r="I3355" s="32"/>
      <c r="J3355" s="32"/>
      <c r="K3355" s="44"/>
      <c r="L3355" s="127"/>
      <c r="N3355" s="44"/>
      <c r="O3355" s="83"/>
    </row>
    <row r="3356">
      <c r="B3356" s="104" t="s">
        <v>15133</v>
      </c>
      <c r="C3356" s="128" t="s">
        <v>16828</v>
      </c>
      <c r="E3356" s="126"/>
      <c r="F3356" s="44"/>
      <c r="I3356" s="32"/>
      <c r="J3356" s="32"/>
      <c r="K3356" s="44"/>
      <c r="L3356" s="127"/>
      <c r="N3356" s="44"/>
      <c r="O3356" s="83"/>
    </row>
    <row r="3357">
      <c r="B3357" s="104" t="s">
        <v>15140</v>
      </c>
      <c r="C3357" s="104" t="s">
        <v>15310</v>
      </c>
      <c r="E3357" s="126"/>
      <c r="F3357" s="44"/>
      <c r="I3357" s="32"/>
      <c r="J3357" s="32"/>
      <c r="K3357" s="44"/>
      <c r="L3357" s="127"/>
      <c r="N3357" s="44"/>
      <c r="O3357" s="83"/>
    </row>
    <row r="3358">
      <c r="B3358" s="104" t="s">
        <v>15147</v>
      </c>
      <c r="C3358" s="128" t="s">
        <v>16829</v>
      </c>
      <c r="E3358" s="126"/>
      <c r="F3358" s="44"/>
      <c r="I3358" s="32"/>
      <c r="J3358" s="32"/>
      <c r="K3358" s="44"/>
      <c r="L3358" s="127"/>
      <c r="N3358" s="44"/>
      <c r="O3358" s="83"/>
    </row>
    <row r="3359">
      <c r="B3359" s="32" t="s">
        <v>15153</v>
      </c>
      <c r="C3359" s="95" t="s">
        <v>16830</v>
      </c>
      <c r="E3359" s="126"/>
      <c r="F3359" s="44"/>
      <c r="I3359" s="32"/>
      <c r="J3359" s="32"/>
      <c r="K3359" s="44"/>
      <c r="L3359" s="127"/>
      <c r="N3359" s="44"/>
      <c r="O3359" s="83"/>
    </row>
    <row r="3360">
      <c r="B3360" s="32" t="s">
        <v>15160</v>
      </c>
      <c r="C3360" s="95" t="s">
        <v>16831</v>
      </c>
      <c r="E3360" s="126"/>
      <c r="F3360" s="44"/>
      <c r="I3360" s="32"/>
      <c r="J3360" s="32"/>
      <c r="K3360" s="44"/>
      <c r="L3360" s="127"/>
      <c r="N3360" s="44"/>
      <c r="O3360" s="83"/>
    </row>
    <row r="3361">
      <c r="B3361" s="39" t="s">
        <v>15168</v>
      </c>
      <c r="C3361" s="39" t="s">
        <v>16832</v>
      </c>
      <c r="E3361" s="126"/>
      <c r="F3361" s="44"/>
      <c r="I3361" s="32"/>
      <c r="J3361" s="32"/>
      <c r="K3361" s="44"/>
      <c r="L3361" s="127"/>
      <c r="N3361" s="44"/>
      <c r="O3361" s="83"/>
    </row>
    <row r="3362">
      <c r="B3362" s="32" t="s">
        <v>15175</v>
      </c>
      <c r="C3362" s="95" t="s">
        <v>16833</v>
      </c>
      <c r="E3362" s="126"/>
      <c r="F3362" s="44"/>
      <c r="I3362" s="32"/>
      <c r="J3362" s="32"/>
      <c r="K3362" s="44"/>
      <c r="L3362" s="127"/>
      <c r="N3362" s="44"/>
      <c r="O3362" s="83"/>
    </row>
    <row r="3363">
      <c r="B3363" s="32" t="s">
        <v>15182</v>
      </c>
      <c r="C3363" s="95" t="s">
        <v>16834</v>
      </c>
      <c r="E3363" s="126"/>
      <c r="F3363" s="44"/>
      <c r="I3363" s="32"/>
      <c r="J3363" s="32"/>
      <c r="K3363" s="44"/>
      <c r="L3363" s="127"/>
      <c r="N3363" s="44"/>
      <c r="O3363" s="83"/>
    </row>
    <row r="3364">
      <c r="B3364" s="32" t="s">
        <v>15189</v>
      </c>
      <c r="C3364" s="95" t="s">
        <v>15353</v>
      </c>
      <c r="E3364" s="126"/>
      <c r="F3364" s="44"/>
      <c r="I3364" s="32"/>
      <c r="J3364" s="32"/>
      <c r="K3364" s="44"/>
      <c r="L3364" s="127"/>
      <c r="N3364" s="44"/>
      <c r="O3364" s="83"/>
    </row>
    <row r="3365">
      <c r="B3365" s="39" t="s">
        <v>15196</v>
      </c>
      <c r="C3365" s="39" t="s">
        <v>16835</v>
      </c>
      <c r="E3365" s="126"/>
      <c r="F3365" s="44"/>
      <c r="I3365" s="32"/>
      <c r="J3365" s="32"/>
      <c r="K3365" s="44"/>
      <c r="L3365" s="127"/>
      <c r="N3365" s="44"/>
      <c r="O3365" s="83"/>
    </row>
    <row r="3366">
      <c r="B3366" s="32" t="s">
        <v>15204</v>
      </c>
      <c r="C3366" s="95" t="s">
        <v>16836</v>
      </c>
      <c r="E3366" s="126"/>
      <c r="F3366" s="44"/>
      <c r="I3366" s="32"/>
      <c r="J3366" s="32"/>
      <c r="K3366" s="44"/>
      <c r="L3366" s="127"/>
      <c r="N3366" s="44"/>
      <c r="O3366" s="83"/>
    </row>
    <row r="3367">
      <c r="B3367" s="32" t="s">
        <v>15212</v>
      </c>
      <c r="C3367" s="95" t="s">
        <v>16837</v>
      </c>
      <c r="E3367" s="126"/>
      <c r="F3367" s="44"/>
      <c r="I3367" s="32"/>
      <c r="J3367" s="32"/>
      <c r="K3367" s="44"/>
      <c r="L3367" s="127"/>
      <c r="N3367" s="44"/>
      <c r="O3367" s="83"/>
    </row>
    <row r="3368">
      <c r="B3368" s="32" t="s">
        <v>15219</v>
      </c>
      <c r="C3368" s="95" t="s">
        <v>16838</v>
      </c>
      <c r="E3368" s="126"/>
      <c r="F3368" s="44"/>
      <c r="I3368" s="32"/>
      <c r="J3368" s="32"/>
      <c r="K3368" s="44"/>
      <c r="L3368" s="127"/>
      <c r="N3368" s="44"/>
      <c r="O3368" s="83"/>
    </row>
    <row r="3369">
      <c r="B3369" s="32" t="s">
        <v>15225</v>
      </c>
      <c r="C3369" s="95" t="s">
        <v>16839</v>
      </c>
      <c r="E3369" s="126"/>
      <c r="F3369" s="44"/>
      <c r="I3369" s="32"/>
      <c r="J3369" s="32"/>
      <c r="K3369" s="44"/>
      <c r="L3369" s="127"/>
      <c r="N3369" s="44"/>
      <c r="O3369" s="83"/>
    </row>
    <row r="3370">
      <c r="B3370" s="32" t="s">
        <v>15232</v>
      </c>
      <c r="C3370" s="95" t="s">
        <v>16840</v>
      </c>
      <c r="E3370" s="126"/>
      <c r="F3370" s="44"/>
      <c r="I3370" s="32"/>
      <c r="J3370" s="32"/>
      <c r="K3370" s="44"/>
      <c r="L3370" s="127"/>
      <c r="N3370" s="44"/>
      <c r="O3370" s="83"/>
    </row>
    <row r="3371">
      <c r="B3371" s="32" t="s">
        <v>15240</v>
      </c>
      <c r="C3371" s="95" t="s">
        <v>16841</v>
      </c>
      <c r="E3371" s="126"/>
      <c r="F3371" s="44"/>
      <c r="I3371" s="32"/>
      <c r="J3371" s="32"/>
      <c r="K3371" s="44"/>
      <c r="L3371" s="127"/>
      <c r="N3371" s="44"/>
      <c r="O3371" s="83"/>
    </row>
    <row r="3372">
      <c r="B3372" s="32" t="s">
        <v>15246</v>
      </c>
      <c r="C3372" s="95" t="s">
        <v>16842</v>
      </c>
      <c r="E3372" s="126"/>
      <c r="F3372" s="44"/>
      <c r="I3372" s="32"/>
      <c r="J3372" s="32"/>
      <c r="K3372" s="44"/>
      <c r="L3372" s="127"/>
      <c r="N3372" s="44"/>
      <c r="O3372" s="83"/>
    </row>
    <row r="3373">
      <c r="B3373" s="32" t="s">
        <v>15253</v>
      </c>
      <c r="C3373" s="95" t="s">
        <v>16843</v>
      </c>
      <c r="E3373" s="126"/>
      <c r="F3373" s="44"/>
      <c r="I3373" s="32"/>
      <c r="J3373" s="32"/>
      <c r="K3373" s="44"/>
      <c r="L3373" s="127"/>
      <c r="N3373" s="44"/>
      <c r="O3373" s="83"/>
    </row>
    <row r="3374">
      <c r="B3374" s="32" t="s">
        <v>15260</v>
      </c>
      <c r="C3374" s="95" t="s">
        <v>16844</v>
      </c>
      <c r="E3374" s="126"/>
      <c r="F3374" s="44"/>
      <c r="I3374" s="32"/>
      <c r="J3374" s="32"/>
      <c r="K3374" s="44"/>
      <c r="L3374" s="127"/>
      <c r="N3374" s="44"/>
      <c r="O3374" s="83"/>
    </row>
    <row r="3375">
      <c r="B3375" s="32" t="s">
        <v>15267</v>
      </c>
      <c r="C3375" s="95" t="s">
        <v>16845</v>
      </c>
      <c r="E3375" s="126"/>
      <c r="F3375" s="44"/>
      <c r="I3375" s="32"/>
      <c r="J3375" s="32"/>
      <c r="K3375" s="44"/>
      <c r="L3375" s="127"/>
      <c r="N3375" s="44"/>
      <c r="O3375" s="83"/>
    </row>
    <row r="3376">
      <c r="B3376" s="32" t="s">
        <v>15275</v>
      </c>
      <c r="C3376" s="95" t="s">
        <v>16846</v>
      </c>
      <c r="E3376" s="126"/>
      <c r="F3376" s="44"/>
      <c r="I3376" s="32"/>
      <c r="J3376" s="32"/>
      <c r="K3376" s="44"/>
      <c r="L3376" s="127"/>
      <c r="N3376" s="44"/>
      <c r="O3376" s="83"/>
    </row>
    <row r="3377">
      <c r="B3377" s="32" t="s">
        <v>15283</v>
      </c>
      <c r="C3377" s="95" t="s">
        <v>15384</v>
      </c>
      <c r="E3377" s="126"/>
      <c r="F3377" s="44"/>
      <c r="I3377" s="32"/>
      <c r="J3377" s="32"/>
      <c r="K3377" s="44"/>
      <c r="L3377" s="127"/>
      <c r="N3377" s="44"/>
      <c r="O3377" s="83"/>
    </row>
    <row r="3378">
      <c r="B3378" s="32" t="s">
        <v>15289</v>
      </c>
      <c r="C3378" s="95" t="s">
        <v>15392</v>
      </c>
      <c r="E3378" s="126"/>
      <c r="F3378" s="44"/>
      <c r="I3378" s="32"/>
      <c r="J3378" s="32"/>
      <c r="K3378" s="44"/>
      <c r="L3378" s="127"/>
      <c r="N3378" s="44"/>
      <c r="O3378" s="83"/>
    </row>
    <row r="3379">
      <c r="B3379" s="32" t="s">
        <v>15297</v>
      </c>
      <c r="C3379" s="95" t="s">
        <v>16847</v>
      </c>
      <c r="E3379" s="126"/>
      <c r="F3379" s="44"/>
      <c r="I3379" s="32"/>
      <c r="J3379" s="32"/>
      <c r="K3379" s="44"/>
      <c r="L3379" s="127"/>
      <c r="N3379" s="44"/>
      <c r="O3379" s="83"/>
    </row>
    <row r="3380">
      <c r="B3380" s="32" t="s">
        <v>15305</v>
      </c>
      <c r="C3380" s="95" t="s">
        <v>16848</v>
      </c>
      <c r="E3380" s="126"/>
      <c r="F3380" s="44"/>
      <c r="I3380" s="32"/>
      <c r="J3380" s="32"/>
      <c r="K3380" s="44"/>
      <c r="L3380" s="127"/>
      <c r="N3380" s="44"/>
      <c r="O3380" s="83"/>
    </row>
    <row r="3381">
      <c r="B3381" s="32" t="s">
        <v>15312</v>
      </c>
      <c r="C3381" s="32" t="s">
        <v>16849</v>
      </c>
      <c r="E3381" s="126"/>
      <c r="F3381" s="44"/>
      <c r="I3381" s="32"/>
      <c r="J3381" s="32"/>
      <c r="K3381" s="44"/>
      <c r="L3381" s="127"/>
      <c r="N3381" s="44"/>
      <c r="O3381" s="83"/>
    </row>
    <row r="3382">
      <c r="B3382" s="32" t="s">
        <v>15318</v>
      </c>
      <c r="C3382" s="95" t="s">
        <v>16850</v>
      </c>
      <c r="E3382" s="126"/>
      <c r="F3382" s="44"/>
      <c r="I3382" s="32"/>
      <c r="J3382" s="32"/>
      <c r="K3382" s="44"/>
      <c r="L3382" s="127"/>
      <c r="N3382" s="44"/>
      <c r="O3382" s="83"/>
    </row>
    <row r="3383">
      <c r="B3383" s="32" t="s">
        <v>15325</v>
      </c>
      <c r="C3383" s="95" t="s">
        <v>16851</v>
      </c>
      <c r="E3383" s="126"/>
      <c r="F3383" s="44"/>
      <c r="I3383" s="32"/>
      <c r="J3383" s="32"/>
      <c r="K3383" s="44"/>
      <c r="L3383" s="127"/>
      <c r="N3383" s="44"/>
      <c r="O3383" s="83"/>
    </row>
    <row r="3384">
      <c r="B3384" s="32" t="s">
        <v>15333</v>
      </c>
      <c r="C3384" s="95" t="s">
        <v>16852</v>
      </c>
      <c r="E3384" s="126"/>
      <c r="F3384" s="44"/>
      <c r="I3384" s="32"/>
      <c r="J3384" s="32"/>
      <c r="K3384" s="44"/>
      <c r="L3384" s="127"/>
      <c r="N3384" s="44"/>
      <c r="O3384" s="83"/>
    </row>
    <row r="3385">
      <c r="B3385" s="32" t="s">
        <v>15340</v>
      </c>
      <c r="C3385" s="95" t="s">
        <v>16853</v>
      </c>
      <c r="E3385" s="126"/>
      <c r="F3385" s="44"/>
      <c r="I3385" s="32"/>
      <c r="J3385" s="32"/>
      <c r="K3385" s="44"/>
      <c r="L3385" s="127"/>
      <c r="N3385" s="44"/>
      <c r="O3385" s="83"/>
    </row>
    <row r="3386">
      <c r="B3386" s="32" t="s">
        <v>15347</v>
      </c>
      <c r="C3386" s="95" t="s">
        <v>15407</v>
      </c>
      <c r="E3386" s="126"/>
      <c r="F3386" s="44"/>
      <c r="I3386" s="32"/>
      <c r="J3386" s="32"/>
      <c r="K3386" s="44"/>
      <c r="L3386" s="127"/>
      <c r="N3386" s="44"/>
      <c r="O3386" s="83"/>
    </row>
    <row r="3387">
      <c r="B3387" s="32" t="s">
        <v>15355</v>
      </c>
      <c r="C3387" s="95" t="s">
        <v>16854</v>
      </c>
      <c r="E3387" s="126"/>
      <c r="F3387" s="44"/>
      <c r="I3387" s="32"/>
      <c r="J3387" s="32"/>
      <c r="K3387" s="44"/>
      <c r="L3387" s="127"/>
      <c r="N3387" s="44"/>
      <c r="O3387" s="83"/>
    </row>
    <row r="3388">
      <c r="B3388" s="32" t="s">
        <v>15360</v>
      </c>
      <c r="C3388" s="95" t="s">
        <v>16855</v>
      </c>
      <c r="E3388" s="126"/>
      <c r="F3388" s="44"/>
      <c r="I3388" s="32"/>
      <c r="J3388" s="32"/>
      <c r="K3388" s="44"/>
      <c r="L3388" s="127"/>
      <c r="N3388" s="44"/>
      <c r="O3388" s="83"/>
    </row>
    <row r="3389">
      <c r="B3389" s="32" t="s">
        <v>15367</v>
      </c>
      <c r="C3389" s="95" t="s">
        <v>16856</v>
      </c>
      <c r="E3389" s="126"/>
      <c r="F3389" s="44"/>
      <c r="I3389" s="32"/>
      <c r="J3389" s="32"/>
      <c r="K3389" s="44"/>
      <c r="L3389" s="127"/>
      <c r="N3389" s="44"/>
      <c r="O3389" s="83"/>
    </row>
    <row r="3390">
      <c r="B3390" s="32" t="s">
        <v>15374</v>
      </c>
      <c r="C3390" s="95" t="s">
        <v>16857</v>
      </c>
      <c r="E3390" s="126"/>
      <c r="F3390" s="44"/>
      <c r="I3390" s="32"/>
      <c r="J3390" s="32"/>
      <c r="K3390" s="44"/>
      <c r="L3390" s="127"/>
      <c r="N3390" s="44"/>
      <c r="O3390" s="83"/>
    </row>
    <row r="3391">
      <c r="B3391" s="32" t="s">
        <v>15379</v>
      </c>
      <c r="C3391" s="95" t="s">
        <v>16858</v>
      </c>
      <c r="E3391" s="126"/>
      <c r="F3391" s="44"/>
      <c r="I3391" s="32"/>
      <c r="J3391" s="32"/>
      <c r="K3391" s="44"/>
      <c r="L3391" s="127"/>
      <c r="N3391" s="44"/>
      <c r="O3391" s="83"/>
    </row>
    <row r="3392">
      <c r="B3392" s="39" t="s">
        <v>15386</v>
      </c>
      <c r="C3392" s="39" t="s">
        <v>16859</v>
      </c>
      <c r="E3392" s="126"/>
      <c r="F3392" s="44"/>
      <c r="I3392" s="32"/>
      <c r="J3392" s="32"/>
      <c r="K3392" s="44"/>
      <c r="L3392" s="127"/>
      <c r="N3392" s="44"/>
      <c r="O3392" s="83"/>
    </row>
    <row r="3393">
      <c r="B3393" s="39" t="s">
        <v>15394</v>
      </c>
      <c r="C3393" s="39" t="s">
        <v>15436</v>
      </c>
      <c r="E3393" s="126"/>
      <c r="F3393" s="44"/>
      <c r="I3393" s="32"/>
      <c r="J3393" s="32"/>
      <c r="K3393" s="44"/>
      <c r="L3393" s="127"/>
      <c r="N3393" s="44"/>
      <c r="O3393" s="83"/>
    </row>
    <row r="3394">
      <c r="B3394" s="39" t="s">
        <v>15401</v>
      </c>
      <c r="C3394" s="39" t="s">
        <v>16860</v>
      </c>
      <c r="E3394" s="126"/>
      <c r="F3394" s="44"/>
      <c r="I3394" s="32"/>
      <c r="J3394" s="32"/>
      <c r="K3394" s="44"/>
      <c r="L3394" s="127"/>
      <c r="N3394" s="44"/>
      <c r="O3394" s="83"/>
    </row>
    <row r="3395">
      <c r="B3395" s="100" t="s">
        <v>15409</v>
      </c>
      <c r="C3395" s="95" t="s">
        <v>15451</v>
      </c>
      <c r="E3395" s="126"/>
      <c r="F3395" s="44"/>
      <c r="I3395" s="32"/>
      <c r="J3395" s="32"/>
      <c r="K3395" s="44"/>
      <c r="L3395" s="127"/>
      <c r="N3395" s="44"/>
      <c r="O3395" s="83"/>
    </row>
    <row r="3396">
      <c r="B3396" s="100" t="s">
        <v>15416</v>
      </c>
      <c r="C3396" s="95" t="s">
        <v>16861</v>
      </c>
      <c r="E3396" s="126"/>
      <c r="F3396" s="44"/>
      <c r="I3396" s="32"/>
      <c r="J3396" s="32"/>
      <c r="K3396" s="44"/>
      <c r="L3396" s="127"/>
      <c r="N3396" s="44"/>
      <c r="O3396" s="83"/>
    </row>
    <row r="3397">
      <c r="B3397" s="100" t="s">
        <v>15422</v>
      </c>
      <c r="C3397" s="95" t="s">
        <v>16862</v>
      </c>
      <c r="E3397" s="126"/>
      <c r="F3397" s="44"/>
      <c r="I3397" s="32"/>
      <c r="J3397" s="32"/>
      <c r="K3397" s="44"/>
      <c r="L3397" s="127"/>
      <c r="N3397" s="44"/>
      <c r="O3397" s="83"/>
    </row>
    <row r="3398">
      <c r="B3398" s="100" t="s">
        <v>15430</v>
      </c>
      <c r="C3398" s="95" t="s">
        <v>16863</v>
      </c>
      <c r="E3398" s="126"/>
      <c r="F3398" s="44"/>
      <c r="I3398" s="32"/>
      <c r="J3398" s="32"/>
      <c r="K3398" s="44"/>
      <c r="L3398" s="127"/>
      <c r="N3398" s="44"/>
      <c r="O3398" s="83"/>
    </row>
    <row r="3399">
      <c r="B3399" s="100" t="s">
        <v>15438</v>
      </c>
      <c r="C3399" s="95" t="s">
        <v>15459</v>
      </c>
      <c r="E3399" s="126"/>
      <c r="F3399" s="44"/>
      <c r="I3399" s="32"/>
      <c r="J3399" s="32"/>
      <c r="K3399" s="44"/>
      <c r="L3399" s="127"/>
      <c r="N3399" s="44"/>
      <c r="O3399" s="83"/>
    </row>
    <row r="3400">
      <c r="B3400" s="100" t="s">
        <v>15446</v>
      </c>
      <c r="C3400" s="95" t="s">
        <v>16864</v>
      </c>
      <c r="E3400" s="126"/>
      <c r="F3400" s="44"/>
      <c r="I3400" s="32"/>
      <c r="J3400" s="32"/>
      <c r="K3400" s="44"/>
      <c r="L3400" s="127"/>
      <c r="N3400" s="44"/>
      <c r="O3400" s="83"/>
    </row>
    <row r="3401">
      <c r="B3401" s="100" t="s">
        <v>15453</v>
      </c>
      <c r="C3401" s="95" t="s">
        <v>16865</v>
      </c>
      <c r="E3401" s="126"/>
      <c r="F3401" s="44"/>
      <c r="I3401" s="32"/>
      <c r="J3401" s="32"/>
      <c r="K3401" s="44"/>
      <c r="L3401" s="127"/>
      <c r="N3401" s="44"/>
      <c r="O3401" s="83"/>
    </row>
    <row r="3402">
      <c r="B3402" s="100" t="s">
        <v>15461</v>
      </c>
      <c r="C3402" s="95" t="s">
        <v>16866</v>
      </c>
      <c r="E3402" s="126"/>
      <c r="F3402" s="44"/>
      <c r="I3402" s="32"/>
      <c r="J3402" s="32"/>
      <c r="K3402" s="44"/>
      <c r="L3402" s="127"/>
      <c r="N3402" s="44"/>
      <c r="O3402" s="83"/>
    </row>
    <row r="3403">
      <c r="B3403" s="100" t="s">
        <v>15469</v>
      </c>
      <c r="C3403" s="95" t="s">
        <v>15467</v>
      </c>
      <c r="E3403" s="126"/>
      <c r="F3403" s="44"/>
      <c r="I3403" s="32"/>
      <c r="J3403" s="32"/>
      <c r="K3403" s="44"/>
      <c r="L3403" s="127"/>
      <c r="N3403" s="44"/>
      <c r="O3403" s="83"/>
    </row>
    <row r="3404">
      <c r="B3404" s="100" t="s">
        <v>15477</v>
      </c>
      <c r="C3404" s="95" t="s">
        <v>15481</v>
      </c>
      <c r="E3404" s="126"/>
      <c r="F3404" s="44"/>
      <c r="I3404" s="32"/>
      <c r="J3404" s="32"/>
      <c r="K3404" s="44"/>
      <c r="L3404" s="127"/>
      <c r="N3404" s="44"/>
      <c r="O3404" s="83"/>
    </row>
    <row r="3405">
      <c r="B3405" s="100" t="s">
        <v>15483</v>
      </c>
      <c r="C3405" s="95" t="s">
        <v>16867</v>
      </c>
      <c r="E3405" s="126"/>
      <c r="F3405" s="44"/>
      <c r="I3405" s="32"/>
      <c r="J3405" s="32"/>
      <c r="K3405" s="44"/>
      <c r="L3405" s="127"/>
      <c r="N3405" s="44"/>
      <c r="O3405" s="83"/>
    </row>
    <row r="3406">
      <c r="B3406" s="100" t="s">
        <v>15491</v>
      </c>
      <c r="C3406" s="95" t="s">
        <v>16868</v>
      </c>
      <c r="E3406" s="126"/>
      <c r="F3406" s="44"/>
      <c r="I3406" s="32"/>
      <c r="J3406" s="32"/>
      <c r="K3406" s="44"/>
      <c r="L3406" s="127"/>
      <c r="N3406" s="44"/>
      <c r="O3406" s="83"/>
    </row>
    <row r="3407">
      <c r="B3407" s="100" t="s">
        <v>15498</v>
      </c>
      <c r="C3407" s="95" t="s">
        <v>16869</v>
      </c>
      <c r="E3407" s="126"/>
      <c r="F3407" s="44"/>
      <c r="I3407" s="32"/>
      <c r="J3407" s="32"/>
      <c r="K3407" s="44"/>
      <c r="L3407" s="127"/>
      <c r="N3407" s="44"/>
      <c r="O3407" s="83"/>
    </row>
    <row r="3408">
      <c r="B3408" s="100" t="s">
        <v>15505</v>
      </c>
      <c r="C3408" s="95" t="s">
        <v>16870</v>
      </c>
      <c r="E3408" s="126"/>
      <c r="F3408" s="44"/>
      <c r="I3408" s="32"/>
      <c r="J3408" s="32"/>
      <c r="K3408" s="44"/>
      <c r="L3408" s="127"/>
      <c r="N3408" s="44"/>
      <c r="O3408" s="83"/>
    </row>
    <row r="3409">
      <c r="B3409" s="100" t="s">
        <v>15513</v>
      </c>
      <c r="C3409" s="95" t="s">
        <v>16871</v>
      </c>
      <c r="E3409" s="126"/>
      <c r="F3409" s="44"/>
      <c r="I3409" s="32"/>
      <c r="J3409" s="32"/>
      <c r="K3409" s="44"/>
      <c r="L3409" s="127"/>
      <c r="N3409" s="44"/>
      <c r="O3409" s="83"/>
    </row>
    <row r="3410">
      <c r="B3410" s="100" t="s">
        <v>15520</v>
      </c>
      <c r="C3410" s="95" t="s">
        <v>16872</v>
      </c>
      <c r="E3410" s="126"/>
      <c r="F3410" s="44"/>
      <c r="I3410" s="32"/>
      <c r="J3410" s="32"/>
      <c r="K3410" s="44"/>
      <c r="L3410" s="127"/>
      <c r="N3410" s="44"/>
      <c r="O3410" s="83"/>
    </row>
    <row r="3411">
      <c r="B3411" s="100" t="s">
        <v>15527</v>
      </c>
      <c r="C3411" s="95" t="s">
        <v>16873</v>
      </c>
      <c r="E3411" s="126"/>
      <c r="F3411" s="44"/>
      <c r="I3411" s="32"/>
      <c r="J3411" s="32"/>
      <c r="K3411" s="44"/>
      <c r="L3411" s="127"/>
      <c r="N3411" s="44"/>
      <c r="O3411" s="83"/>
    </row>
    <row r="3412">
      <c r="B3412" s="100" t="s">
        <v>15534</v>
      </c>
      <c r="C3412" s="95" t="s">
        <v>15518</v>
      </c>
      <c r="E3412" s="126"/>
      <c r="F3412" s="44"/>
      <c r="I3412" s="32"/>
      <c r="J3412" s="32"/>
      <c r="K3412" s="44"/>
      <c r="L3412" s="127"/>
      <c r="N3412" s="44"/>
      <c r="O3412" s="83"/>
    </row>
    <row r="3413">
      <c r="B3413" s="100" t="s">
        <v>15541</v>
      </c>
      <c r="C3413" s="95" t="s">
        <v>16874</v>
      </c>
      <c r="E3413" s="126"/>
      <c r="F3413" s="44"/>
      <c r="I3413" s="32"/>
      <c r="J3413" s="32"/>
      <c r="K3413" s="44"/>
      <c r="L3413" s="127"/>
      <c r="N3413" s="44"/>
      <c r="O3413" s="83"/>
    </row>
    <row r="3414">
      <c r="B3414" s="100" t="s">
        <v>15549</v>
      </c>
      <c r="C3414" s="95" t="s">
        <v>16875</v>
      </c>
      <c r="E3414" s="126"/>
      <c r="F3414" s="44"/>
      <c r="I3414" s="32"/>
      <c r="J3414" s="32"/>
      <c r="K3414" s="44"/>
      <c r="L3414" s="127"/>
      <c r="N3414" s="44"/>
      <c r="O3414" s="83"/>
    </row>
    <row r="3415">
      <c r="B3415" s="100" t="s">
        <v>15556</v>
      </c>
      <c r="C3415" s="95" t="s">
        <v>16876</v>
      </c>
      <c r="E3415" s="126"/>
      <c r="F3415" s="44"/>
      <c r="I3415" s="32"/>
      <c r="J3415" s="32"/>
      <c r="K3415" s="44"/>
      <c r="L3415" s="127"/>
      <c r="N3415" s="44"/>
      <c r="O3415" s="83"/>
    </row>
    <row r="3416">
      <c r="B3416" s="100" t="s">
        <v>15562</v>
      </c>
      <c r="C3416" s="95" t="s">
        <v>16877</v>
      </c>
      <c r="E3416" s="126"/>
      <c r="F3416" s="44"/>
      <c r="I3416" s="32"/>
      <c r="J3416" s="32"/>
      <c r="K3416" s="44"/>
      <c r="L3416" s="127"/>
      <c r="N3416" s="44"/>
      <c r="O3416" s="83"/>
    </row>
    <row r="3417">
      <c r="B3417" s="100" t="s">
        <v>15569</v>
      </c>
      <c r="C3417" s="95" t="s">
        <v>16878</v>
      </c>
      <c r="E3417" s="126"/>
      <c r="F3417" s="44"/>
      <c r="I3417" s="32"/>
      <c r="J3417" s="32"/>
      <c r="K3417" s="44"/>
      <c r="L3417" s="127"/>
      <c r="N3417" s="44"/>
      <c r="O3417" s="83"/>
    </row>
    <row r="3418">
      <c r="B3418" s="100" t="s">
        <v>15576</v>
      </c>
      <c r="C3418" s="95" t="s">
        <v>16879</v>
      </c>
      <c r="E3418" s="126"/>
      <c r="F3418" s="44"/>
      <c r="I3418" s="32"/>
      <c r="J3418" s="32"/>
      <c r="K3418" s="44"/>
      <c r="L3418" s="127"/>
      <c r="N3418" s="44"/>
      <c r="O3418" s="83"/>
    </row>
    <row r="3419">
      <c r="B3419" s="100" t="s">
        <v>15583</v>
      </c>
      <c r="C3419" s="95" t="s">
        <v>16880</v>
      </c>
      <c r="E3419" s="126"/>
      <c r="F3419" s="44"/>
      <c r="I3419" s="32"/>
      <c r="J3419" s="32"/>
      <c r="K3419" s="44"/>
      <c r="L3419" s="127"/>
      <c r="N3419" s="44"/>
      <c r="O3419" s="83"/>
    </row>
    <row r="3420">
      <c r="B3420" s="100" t="s">
        <v>15590</v>
      </c>
      <c r="C3420" s="95" t="s">
        <v>16881</v>
      </c>
      <c r="E3420" s="126"/>
      <c r="F3420" s="44"/>
      <c r="I3420" s="32"/>
      <c r="J3420" s="32"/>
      <c r="K3420" s="44"/>
      <c r="L3420" s="127"/>
      <c r="N3420" s="44"/>
      <c r="O3420" s="83"/>
    </row>
    <row r="3421">
      <c r="B3421" s="100" t="s">
        <v>16785</v>
      </c>
      <c r="C3421" s="95" t="s">
        <v>16882</v>
      </c>
      <c r="E3421" s="126"/>
      <c r="F3421" s="44"/>
      <c r="I3421" s="32"/>
      <c r="J3421" s="32"/>
      <c r="K3421" s="44"/>
      <c r="L3421" s="127"/>
      <c r="N3421" s="44"/>
      <c r="O3421" s="83"/>
    </row>
    <row r="3422">
      <c r="B3422" s="100" t="s">
        <v>15594</v>
      </c>
      <c r="C3422" s="95" t="s">
        <v>16883</v>
      </c>
      <c r="E3422" s="126"/>
      <c r="F3422" s="44"/>
      <c r="I3422" s="32"/>
      <c r="J3422" s="32"/>
      <c r="K3422" s="44"/>
      <c r="L3422" s="127"/>
      <c r="N3422" s="44"/>
      <c r="O3422" s="83"/>
    </row>
    <row r="3423">
      <c r="B3423" s="100" t="s">
        <v>15598</v>
      </c>
      <c r="C3423" s="95" t="s">
        <v>16884</v>
      </c>
      <c r="E3423" s="126"/>
      <c r="F3423" s="44"/>
      <c r="I3423" s="32"/>
      <c r="J3423" s="32"/>
      <c r="K3423" s="44"/>
      <c r="L3423" s="127"/>
      <c r="N3423" s="44"/>
      <c r="O3423" s="83"/>
    </row>
    <row r="3424">
      <c r="B3424" s="100" t="s">
        <v>15603</v>
      </c>
      <c r="C3424" s="95" t="s">
        <v>15567</v>
      </c>
      <c r="E3424" s="126"/>
      <c r="F3424" s="44"/>
      <c r="I3424" s="32"/>
      <c r="J3424" s="32"/>
      <c r="K3424" s="44"/>
      <c r="L3424" s="127"/>
      <c r="N3424" s="44"/>
      <c r="O3424" s="83"/>
    </row>
    <row r="3425">
      <c r="B3425" s="100" t="s">
        <v>15608</v>
      </c>
      <c r="C3425" s="95" t="s">
        <v>16885</v>
      </c>
      <c r="E3425" s="126"/>
      <c r="F3425" s="44"/>
      <c r="I3425" s="32"/>
      <c r="J3425" s="32"/>
      <c r="K3425" s="44"/>
      <c r="L3425" s="127"/>
      <c r="N3425" s="44"/>
      <c r="O3425" s="83"/>
    </row>
    <row r="3426">
      <c r="B3426" s="100" t="s">
        <v>15612</v>
      </c>
      <c r="C3426" s="95" t="s">
        <v>16886</v>
      </c>
      <c r="E3426" s="126"/>
      <c r="F3426" s="44"/>
      <c r="I3426" s="32"/>
      <c r="J3426" s="32"/>
      <c r="K3426" s="44"/>
      <c r="L3426" s="127"/>
      <c r="N3426" s="44"/>
      <c r="O3426" s="83"/>
    </row>
    <row r="3427">
      <c r="B3427" s="100" t="s">
        <v>15616</v>
      </c>
      <c r="C3427" s="95" t="s">
        <v>16887</v>
      </c>
      <c r="E3427" s="126"/>
      <c r="F3427" s="44"/>
      <c r="I3427" s="32"/>
      <c r="J3427" s="32"/>
      <c r="K3427" s="44"/>
      <c r="L3427" s="127"/>
      <c r="N3427" s="44"/>
      <c r="O3427" s="83"/>
    </row>
    <row r="3428">
      <c r="B3428" s="100" t="s">
        <v>15621</v>
      </c>
      <c r="C3428" s="95" t="s">
        <v>16888</v>
      </c>
      <c r="E3428" s="126"/>
      <c r="F3428" s="44"/>
      <c r="I3428" s="32"/>
      <c r="J3428" s="32"/>
      <c r="K3428" s="44"/>
      <c r="L3428" s="127"/>
      <c r="N3428" s="44"/>
      <c r="O3428" s="83"/>
    </row>
    <row r="3429">
      <c r="B3429" s="100" t="s">
        <v>15626</v>
      </c>
      <c r="C3429" s="95" t="s">
        <v>16889</v>
      </c>
      <c r="E3429" s="126"/>
      <c r="F3429" s="44"/>
      <c r="I3429" s="32"/>
      <c r="J3429" s="32"/>
      <c r="K3429" s="44"/>
      <c r="L3429" s="127"/>
      <c r="N3429" s="44"/>
      <c r="O3429" s="83"/>
    </row>
    <row r="3430">
      <c r="B3430" s="44"/>
      <c r="C3430" s="127"/>
      <c r="E3430" s="126"/>
      <c r="F3430" s="44"/>
      <c r="I3430" s="32"/>
      <c r="J3430" s="32"/>
      <c r="K3430" s="44"/>
      <c r="L3430" s="127"/>
      <c r="N3430" s="44"/>
      <c r="O3430" s="83"/>
    </row>
    <row r="3431">
      <c r="B3431" s="44"/>
      <c r="C3431" s="127"/>
      <c r="E3431" s="126"/>
      <c r="F3431" s="44"/>
      <c r="I3431" s="32"/>
      <c r="J3431" s="32"/>
      <c r="K3431" s="44"/>
      <c r="L3431" s="127"/>
      <c r="N3431" s="44"/>
      <c r="O3431" s="83"/>
    </row>
    <row r="3432">
      <c r="B3432" s="44"/>
      <c r="C3432" s="127"/>
      <c r="E3432" s="126"/>
      <c r="F3432" s="44"/>
      <c r="I3432" s="32"/>
      <c r="J3432" s="32"/>
      <c r="K3432" s="44"/>
      <c r="L3432" s="127"/>
      <c r="N3432" s="44"/>
      <c r="O3432" s="83"/>
    </row>
    <row r="3433">
      <c r="B3433" s="44"/>
      <c r="C3433" s="127"/>
      <c r="E3433" s="126"/>
      <c r="F3433" s="44"/>
      <c r="I3433" s="32"/>
      <c r="J3433" s="32"/>
      <c r="K3433" s="44"/>
      <c r="L3433" s="127"/>
      <c r="N3433" s="44"/>
      <c r="O3433" s="83"/>
    </row>
    <row r="3434">
      <c r="B3434" s="44"/>
      <c r="C3434" s="127"/>
      <c r="E3434" s="126"/>
      <c r="F3434" s="44"/>
      <c r="I3434" s="32"/>
      <c r="J3434" s="32"/>
      <c r="K3434" s="44"/>
      <c r="L3434" s="127"/>
      <c r="N3434" s="44"/>
      <c r="O3434" s="83"/>
    </row>
    <row r="3435">
      <c r="B3435" s="44"/>
      <c r="C3435" s="127"/>
      <c r="E3435" s="126"/>
      <c r="F3435" s="44"/>
      <c r="I3435" s="32"/>
      <c r="J3435" s="32"/>
      <c r="K3435" s="44"/>
      <c r="L3435" s="127"/>
      <c r="N3435" s="44"/>
      <c r="O3435" s="83"/>
    </row>
    <row r="3436">
      <c r="B3436" s="44"/>
      <c r="C3436" s="127"/>
      <c r="E3436" s="126"/>
      <c r="F3436" s="44"/>
      <c r="I3436" s="32"/>
      <c r="J3436" s="32"/>
      <c r="K3436" s="44"/>
      <c r="L3436" s="127"/>
      <c r="N3436" s="44"/>
      <c r="O3436" s="83"/>
    </row>
    <row r="3437">
      <c r="B3437" s="44"/>
      <c r="C3437" s="127"/>
      <c r="E3437" s="126"/>
      <c r="F3437" s="44"/>
      <c r="I3437" s="32"/>
      <c r="J3437" s="32"/>
      <c r="K3437" s="44"/>
      <c r="L3437" s="127"/>
      <c r="N3437" s="44"/>
      <c r="O3437" s="83"/>
    </row>
    <row r="3438">
      <c r="B3438" s="44"/>
      <c r="C3438" s="127"/>
      <c r="E3438" s="126"/>
      <c r="F3438" s="44"/>
      <c r="I3438" s="32"/>
      <c r="J3438" s="32"/>
      <c r="K3438" s="44"/>
      <c r="L3438" s="127"/>
      <c r="N3438" s="44"/>
      <c r="O3438" s="83"/>
    </row>
    <row r="3439">
      <c r="B3439" s="44"/>
      <c r="C3439" s="127"/>
      <c r="E3439" s="126"/>
      <c r="F3439" s="44"/>
      <c r="I3439" s="32"/>
      <c r="J3439" s="32"/>
      <c r="K3439" s="44"/>
      <c r="L3439" s="127"/>
      <c r="N3439" s="44"/>
      <c r="O3439" s="83"/>
    </row>
    <row r="3440">
      <c r="B3440" s="44"/>
      <c r="C3440" s="127"/>
      <c r="E3440" s="126"/>
      <c r="F3440" s="44"/>
      <c r="I3440" s="32"/>
      <c r="J3440" s="32"/>
      <c r="K3440" s="44"/>
      <c r="L3440" s="127"/>
      <c r="N3440" s="44"/>
      <c r="O3440" s="83"/>
    </row>
    <row r="3441">
      <c r="B3441" s="44"/>
      <c r="C3441" s="127"/>
      <c r="E3441" s="126"/>
      <c r="F3441" s="44"/>
      <c r="I3441" s="32"/>
      <c r="J3441" s="32"/>
      <c r="K3441" s="44"/>
      <c r="L3441" s="127"/>
      <c r="N3441" s="44"/>
      <c r="O3441" s="83"/>
    </row>
    <row r="3442">
      <c r="B3442" s="44"/>
      <c r="C3442" s="127"/>
      <c r="E3442" s="126"/>
      <c r="F3442" s="44"/>
      <c r="I3442" s="32"/>
      <c r="J3442" s="32"/>
      <c r="K3442" s="44"/>
      <c r="L3442" s="127"/>
      <c r="N3442" s="44"/>
      <c r="O3442" s="83"/>
    </row>
    <row r="3443">
      <c r="B3443" s="44"/>
      <c r="C3443" s="127"/>
      <c r="E3443" s="126"/>
      <c r="F3443" s="44"/>
      <c r="I3443" s="32"/>
      <c r="J3443" s="32"/>
      <c r="K3443" s="44"/>
      <c r="L3443" s="127"/>
      <c r="N3443" s="44"/>
      <c r="O3443" s="83"/>
    </row>
    <row r="3444">
      <c r="B3444" s="44"/>
      <c r="C3444" s="127"/>
      <c r="E3444" s="126"/>
      <c r="F3444" s="44"/>
      <c r="I3444" s="32"/>
      <c r="J3444" s="32"/>
      <c r="K3444" s="44"/>
      <c r="L3444" s="127"/>
      <c r="N3444" s="44"/>
      <c r="O3444" s="83"/>
    </row>
    <row r="3445">
      <c r="B3445" s="44"/>
      <c r="C3445" s="127"/>
      <c r="E3445" s="126"/>
      <c r="F3445" s="44"/>
      <c r="I3445" s="32"/>
      <c r="J3445" s="32"/>
      <c r="K3445" s="44"/>
      <c r="L3445" s="127"/>
      <c r="N3445" s="44"/>
      <c r="O3445" s="83"/>
    </row>
    <row r="3446">
      <c r="B3446" s="44"/>
      <c r="C3446" s="127"/>
      <c r="E3446" s="126"/>
      <c r="F3446" s="44"/>
      <c r="I3446" s="32"/>
      <c r="J3446" s="32"/>
      <c r="K3446" s="44"/>
      <c r="L3446" s="127"/>
      <c r="N3446" s="44"/>
      <c r="O3446" s="83"/>
    </row>
    <row r="3447">
      <c r="B3447" s="44"/>
      <c r="C3447" s="127"/>
      <c r="E3447" s="126"/>
      <c r="F3447" s="44"/>
      <c r="I3447" s="32"/>
      <c r="J3447" s="32"/>
      <c r="K3447" s="44"/>
      <c r="L3447" s="127"/>
      <c r="N3447" s="44"/>
      <c r="O3447" s="83"/>
    </row>
    <row r="3448">
      <c r="B3448" s="44"/>
      <c r="C3448" s="127"/>
      <c r="E3448" s="126"/>
      <c r="F3448" s="44"/>
      <c r="I3448" s="32"/>
      <c r="J3448" s="32"/>
      <c r="K3448" s="44"/>
      <c r="L3448" s="127"/>
      <c r="N3448" s="44"/>
      <c r="O3448" s="83"/>
    </row>
    <row r="3449">
      <c r="B3449" s="44"/>
      <c r="C3449" s="127"/>
      <c r="E3449" s="126"/>
      <c r="F3449" s="44"/>
      <c r="I3449" s="32"/>
      <c r="J3449" s="32"/>
      <c r="K3449" s="44"/>
      <c r="L3449" s="127"/>
      <c r="N3449" s="44"/>
      <c r="O3449" s="83"/>
    </row>
    <row r="3450">
      <c r="B3450" s="44"/>
      <c r="C3450" s="127"/>
      <c r="E3450" s="126"/>
      <c r="F3450" s="44"/>
      <c r="I3450" s="32"/>
      <c r="J3450" s="32"/>
      <c r="K3450" s="44"/>
      <c r="L3450" s="127"/>
      <c r="N3450" s="44"/>
      <c r="O3450" s="83"/>
    </row>
    <row r="3451">
      <c r="B3451" s="44"/>
      <c r="C3451" s="127"/>
      <c r="E3451" s="126"/>
      <c r="F3451" s="44"/>
      <c r="I3451" s="32"/>
      <c r="J3451" s="32"/>
      <c r="K3451" s="44"/>
      <c r="L3451" s="127"/>
      <c r="N3451" s="44"/>
      <c r="O3451" s="83"/>
    </row>
    <row r="3452">
      <c r="B3452" s="44"/>
      <c r="C3452" s="127"/>
      <c r="E3452" s="126"/>
      <c r="F3452" s="44"/>
      <c r="I3452" s="32"/>
      <c r="J3452" s="32"/>
      <c r="K3452" s="44"/>
      <c r="L3452" s="127"/>
      <c r="N3452" s="44"/>
      <c r="O3452" s="83"/>
    </row>
    <row r="3453">
      <c r="B3453" s="44"/>
      <c r="C3453" s="127"/>
      <c r="E3453" s="126"/>
      <c r="F3453" s="44"/>
      <c r="I3453" s="32"/>
      <c r="J3453" s="32"/>
      <c r="K3453" s="44"/>
      <c r="L3453" s="127"/>
      <c r="N3453" s="44"/>
      <c r="O3453" s="83"/>
    </row>
    <row r="3454">
      <c r="B3454" s="44"/>
      <c r="C3454" s="127"/>
      <c r="E3454" s="126"/>
      <c r="F3454" s="44"/>
      <c r="I3454" s="32"/>
      <c r="J3454" s="32"/>
      <c r="K3454" s="44"/>
      <c r="L3454" s="127"/>
      <c r="N3454" s="44"/>
      <c r="O3454" s="83"/>
    </row>
    <row r="3455">
      <c r="B3455" s="44"/>
      <c r="C3455" s="127"/>
      <c r="E3455" s="126"/>
      <c r="F3455" s="44"/>
      <c r="I3455" s="32"/>
      <c r="J3455" s="32"/>
      <c r="K3455" s="44"/>
      <c r="L3455" s="127"/>
      <c r="N3455" s="44"/>
      <c r="O3455" s="83"/>
    </row>
    <row r="3456">
      <c r="B3456" s="44"/>
      <c r="C3456" s="127"/>
      <c r="E3456" s="126"/>
      <c r="F3456" s="44"/>
      <c r="I3456" s="32"/>
      <c r="J3456" s="32"/>
      <c r="K3456" s="44"/>
      <c r="L3456" s="127"/>
      <c r="N3456" s="44"/>
      <c r="O3456" s="83"/>
    </row>
    <row r="3457">
      <c r="B3457" s="44"/>
      <c r="C3457" s="127"/>
      <c r="E3457" s="126"/>
      <c r="F3457" s="44"/>
      <c r="I3457" s="32"/>
      <c r="J3457" s="32"/>
      <c r="K3457" s="44"/>
      <c r="L3457" s="127"/>
      <c r="N3457" s="44"/>
      <c r="O3457" s="83"/>
    </row>
    <row r="3458">
      <c r="B3458" s="44"/>
      <c r="C3458" s="127"/>
      <c r="E3458" s="126"/>
      <c r="F3458" s="44"/>
      <c r="I3458" s="32"/>
      <c r="J3458" s="32"/>
      <c r="K3458" s="44"/>
      <c r="L3458" s="127"/>
      <c r="N3458" s="44"/>
      <c r="O3458" s="83"/>
    </row>
    <row r="3459">
      <c r="B3459" s="44"/>
      <c r="C3459" s="127"/>
      <c r="E3459" s="126"/>
      <c r="F3459" s="44"/>
      <c r="I3459" s="32"/>
      <c r="J3459" s="32"/>
      <c r="K3459" s="44"/>
      <c r="L3459" s="127"/>
      <c r="N3459" s="44"/>
      <c r="O3459" s="83"/>
    </row>
    <row r="3460">
      <c r="B3460" s="44"/>
      <c r="C3460" s="127"/>
      <c r="E3460" s="126"/>
      <c r="F3460" s="44"/>
      <c r="I3460" s="32"/>
      <c r="J3460" s="32"/>
      <c r="K3460" s="44"/>
      <c r="L3460" s="127"/>
      <c r="N3460" s="44"/>
      <c r="O3460" s="83"/>
    </row>
    <row r="3461">
      <c r="B3461" s="44"/>
      <c r="C3461" s="127"/>
      <c r="E3461" s="126"/>
      <c r="F3461" s="44"/>
      <c r="I3461" s="32"/>
      <c r="J3461" s="32"/>
      <c r="K3461" s="44"/>
      <c r="L3461" s="127"/>
      <c r="N3461" s="44"/>
      <c r="O3461" s="83"/>
    </row>
    <row r="3462">
      <c r="B3462" s="44"/>
      <c r="C3462" s="127"/>
      <c r="E3462" s="126"/>
      <c r="F3462" s="44"/>
      <c r="I3462" s="32"/>
      <c r="J3462" s="32"/>
      <c r="K3462" s="44"/>
      <c r="L3462" s="127"/>
      <c r="N3462" s="44"/>
      <c r="O3462" s="83"/>
    </row>
    <row r="3463">
      <c r="B3463" s="44"/>
      <c r="C3463" s="127"/>
      <c r="E3463" s="126"/>
      <c r="F3463" s="44"/>
      <c r="I3463" s="32"/>
      <c r="J3463" s="32"/>
      <c r="K3463" s="44"/>
      <c r="L3463" s="127"/>
      <c r="N3463" s="44"/>
      <c r="O3463" s="83"/>
    </row>
    <row r="3464">
      <c r="B3464" s="44"/>
      <c r="C3464" s="127"/>
      <c r="E3464" s="126"/>
      <c r="F3464" s="44"/>
      <c r="I3464" s="32"/>
      <c r="J3464" s="32"/>
      <c r="K3464" s="44"/>
      <c r="L3464" s="127"/>
      <c r="N3464" s="44"/>
      <c r="O3464" s="83"/>
    </row>
    <row r="3465">
      <c r="B3465" s="44"/>
      <c r="C3465" s="127"/>
      <c r="E3465" s="126"/>
      <c r="F3465" s="44"/>
      <c r="I3465" s="32"/>
      <c r="J3465" s="32"/>
      <c r="K3465" s="44"/>
      <c r="L3465" s="127"/>
      <c r="N3465" s="44"/>
      <c r="O3465" s="83"/>
    </row>
    <row r="3466">
      <c r="B3466" s="44"/>
      <c r="C3466" s="127"/>
      <c r="E3466" s="126"/>
      <c r="F3466" s="44"/>
      <c r="I3466" s="32"/>
      <c r="J3466" s="32"/>
      <c r="K3466" s="44"/>
      <c r="L3466" s="127"/>
      <c r="N3466" s="44"/>
      <c r="O3466" s="83"/>
    </row>
    <row r="3467">
      <c r="B3467" s="44"/>
      <c r="C3467" s="127"/>
      <c r="E3467" s="126"/>
      <c r="F3467" s="44"/>
      <c r="I3467" s="32"/>
      <c r="J3467" s="32"/>
      <c r="K3467" s="44"/>
      <c r="L3467" s="127"/>
      <c r="N3467" s="44"/>
      <c r="O3467" s="83"/>
    </row>
    <row r="3468">
      <c r="B3468" s="44"/>
      <c r="C3468" s="127"/>
      <c r="E3468" s="126"/>
      <c r="F3468" s="44"/>
      <c r="I3468" s="32"/>
      <c r="J3468" s="32"/>
      <c r="K3468" s="44"/>
      <c r="L3468" s="127"/>
      <c r="N3468" s="44"/>
      <c r="O3468" s="83"/>
    </row>
    <row r="3469">
      <c r="B3469" s="44"/>
      <c r="C3469" s="127"/>
      <c r="E3469" s="126"/>
      <c r="F3469" s="44"/>
      <c r="I3469" s="32"/>
      <c r="J3469" s="32"/>
      <c r="K3469" s="44"/>
      <c r="L3469" s="127"/>
      <c r="N3469" s="44"/>
      <c r="O3469" s="83"/>
    </row>
    <row r="3470">
      <c r="B3470" s="44"/>
      <c r="C3470" s="127"/>
      <c r="E3470" s="126"/>
      <c r="F3470" s="44"/>
      <c r="I3470" s="32"/>
      <c r="J3470" s="32"/>
      <c r="K3470" s="44"/>
      <c r="L3470" s="127"/>
      <c r="N3470" s="44"/>
      <c r="O3470" s="83"/>
    </row>
    <row r="3471">
      <c r="B3471" s="44"/>
      <c r="C3471" s="127"/>
      <c r="E3471" s="126"/>
      <c r="F3471" s="44"/>
      <c r="I3471" s="32"/>
      <c r="J3471" s="32"/>
      <c r="K3471" s="44"/>
      <c r="L3471" s="127"/>
      <c r="N3471" s="44"/>
      <c r="O3471" s="83"/>
    </row>
    <row r="3472">
      <c r="B3472" s="44"/>
      <c r="C3472" s="127"/>
      <c r="E3472" s="126"/>
      <c r="F3472" s="44"/>
      <c r="I3472" s="32"/>
      <c r="J3472" s="32"/>
      <c r="K3472" s="44"/>
      <c r="L3472" s="127"/>
      <c r="N3472" s="44"/>
      <c r="O3472" s="83"/>
    </row>
    <row r="3473">
      <c r="B3473" s="44"/>
      <c r="C3473" s="127"/>
      <c r="E3473" s="126"/>
      <c r="F3473" s="44"/>
      <c r="I3473" s="32"/>
      <c r="J3473" s="32"/>
      <c r="K3473" s="44"/>
      <c r="L3473" s="127"/>
      <c r="N3473" s="44"/>
      <c r="O3473" s="83"/>
    </row>
    <row r="3474">
      <c r="B3474" s="44"/>
      <c r="C3474" s="127"/>
      <c r="E3474" s="126"/>
      <c r="F3474" s="44"/>
      <c r="I3474" s="32"/>
      <c r="J3474" s="32"/>
      <c r="K3474" s="44"/>
      <c r="L3474" s="127"/>
      <c r="N3474" s="44"/>
      <c r="O3474" s="83"/>
    </row>
    <row r="3475">
      <c r="B3475" s="44"/>
      <c r="C3475" s="127"/>
      <c r="E3475" s="126"/>
      <c r="F3475" s="44"/>
      <c r="I3475" s="32"/>
      <c r="J3475" s="32"/>
      <c r="K3475" s="44"/>
      <c r="L3475" s="127"/>
      <c r="N3475" s="44"/>
      <c r="O3475" s="83"/>
    </row>
    <row r="3476">
      <c r="B3476" s="44"/>
      <c r="C3476" s="127"/>
      <c r="E3476" s="126"/>
      <c r="F3476" s="44"/>
      <c r="I3476" s="32"/>
      <c r="J3476" s="32"/>
      <c r="K3476" s="44"/>
      <c r="L3476" s="127"/>
      <c r="N3476" s="44"/>
      <c r="O3476" s="83"/>
    </row>
    <row r="3477">
      <c r="B3477" s="44"/>
      <c r="C3477" s="127"/>
      <c r="E3477" s="126"/>
      <c r="F3477" s="44"/>
      <c r="I3477" s="32"/>
      <c r="J3477" s="32"/>
      <c r="K3477" s="44"/>
      <c r="L3477" s="127"/>
      <c r="N3477" s="44"/>
      <c r="O3477" s="83"/>
    </row>
    <row r="3478">
      <c r="B3478" s="44"/>
      <c r="C3478" s="127"/>
      <c r="E3478" s="126"/>
      <c r="F3478" s="44"/>
      <c r="I3478" s="32"/>
      <c r="J3478" s="32"/>
      <c r="K3478" s="44"/>
      <c r="L3478" s="127"/>
      <c r="N3478" s="44"/>
      <c r="O3478" s="83"/>
    </row>
    <row r="3479">
      <c r="B3479" s="44"/>
      <c r="C3479" s="127"/>
      <c r="E3479" s="126"/>
      <c r="F3479" s="44"/>
      <c r="I3479" s="32"/>
      <c r="J3479" s="32"/>
      <c r="K3479" s="44"/>
      <c r="L3479" s="127"/>
      <c r="N3479" s="44"/>
      <c r="O3479" s="83"/>
    </row>
    <row r="3480">
      <c r="B3480" s="44"/>
      <c r="C3480" s="127"/>
      <c r="E3480" s="126"/>
      <c r="F3480" s="44"/>
      <c r="I3480" s="32"/>
      <c r="J3480" s="32"/>
      <c r="K3480" s="44"/>
      <c r="L3480" s="127"/>
      <c r="N3480" s="44"/>
      <c r="O3480" s="83"/>
    </row>
    <row r="3481">
      <c r="B3481" s="44"/>
      <c r="C3481" s="127"/>
      <c r="E3481" s="126"/>
      <c r="F3481" s="44"/>
      <c r="I3481" s="32"/>
      <c r="J3481" s="32"/>
      <c r="K3481" s="44"/>
      <c r="L3481" s="127"/>
      <c r="N3481" s="44"/>
      <c r="O3481" s="83"/>
    </row>
    <row r="3482">
      <c r="B3482" s="44"/>
      <c r="C3482" s="127"/>
      <c r="E3482" s="126"/>
      <c r="F3482" s="44"/>
      <c r="I3482" s="32"/>
      <c r="J3482" s="32"/>
      <c r="K3482" s="44"/>
      <c r="L3482" s="127"/>
      <c r="N3482" s="44"/>
      <c r="O3482" s="83"/>
    </row>
    <row r="3483">
      <c r="B3483" s="44"/>
      <c r="C3483" s="127"/>
      <c r="E3483" s="126"/>
      <c r="F3483" s="44"/>
      <c r="I3483" s="32"/>
      <c r="J3483" s="32"/>
      <c r="K3483" s="44"/>
      <c r="L3483" s="127"/>
      <c r="N3483" s="44"/>
      <c r="O3483" s="83"/>
    </row>
    <row r="3484">
      <c r="B3484" s="44"/>
      <c r="C3484" s="127"/>
      <c r="E3484" s="126"/>
      <c r="F3484" s="44"/>
      <c r="I3484" s="32"/>
      <c r="J3484" s="32"/>
      <c r="K3484" s="44"/>
      <c r="L3484" s="127"/>
      <c r="N3484" s="44"/>
      <c r="O3484" s="83"/>
    </row>
    <row r="3485">
      <c r="B3485" s="44"/>
      <c r="C3485" s="127"/>
      <c r="E3485" s="126"/>
      <c r="F3485" s="44"/>
      <c r="I3485" s="32"/>
      <c r="J3485" s="32"/>
      <c r="K3485" s="44"/>
      <c r="L3485" s="127"/>
      <c r="N3485" s="44"/>
      <c r="O3485" s="83"/>
    </row>
    <row r="3486">
      <c r="B3486" s="44"/>
      <c r="C3486" s="127"/>
      <c r="E3486" s="126"/>
      <c r="F3486" s="44"/>
      <c r="I3486" s="32"/>
      <c r="J3486" s="32"/>
      <c r="K3486" s="44"/>
      <c r="L3486" s="127"/>
      <c r="N3486" s="44"/>
      <c r="O3486" s="83"/>
    </row>
    <row r="3487">
      <c r="B3487" s="44"/>
      <c r="C3487" s="127"/>
      <c r="E3487" s="126"/>
      <c r="F3487" s="44"/>
      <c r="I3487" s="32"/>
      <c r="J3487" s="32"/>
      <c r="K3487" s="44"/>
      <c r="L3487" s="127"/>
      <c r="N3487" s="44"/>
      <c r="O3487" s="83"/>
    </row>
    <row r="3488">
      <c r="B3488" s="44"/>
      <c r="C3488" s="127"/>
      <c r="E3488" s="126"/>
      <c r="F3488" s="44"/>
      <c r="I3488" s="32"/>
      <c r="J3488" s="32"/>
      <c r="K3488" s="44"/>
      <c r="L3488" s="127"/>
      <c r="N3488" s="44"/>
      <c r="O3488" s="83"/>
    </row>
    <row r="3489">
      <c r="B3489" s="44"/>
      <c r="C3489" s="127"/>
      <c r="E3489" s="126"/>
      <c r="F3489" s="44"/>
      <c r="I3489" s="32"/>
      <c r="J3489" s="32"/>
      <c r="K3489" s="44"/>
      <c r="L3489" s="127"/>
      <c r="N3489" s="44"/>
      <c r="O3489" s="83"/>
    </row>
    <row r="3490">
      <c r="B3490" s="44"/>
      <c r="C3490" s="127"/>
      <c r="E3490" s="35"/>
      <c r="F3490" s="44"/>
      <c r="I3490" s="32"/>
      <c r="J3490" s="32"/>
      <c r="K3490" s="44"/>
      <c r="L3490" s="127"/>
      <c r="N3490" s="44"/>
      <c r="O3490" s="83"/>
    </row>
    <row r="3491">
      <c r="B3491" s="44"/>
      <c r="C3491" s="127"/>
      <c r="E3491" s="35"/>
      <c r="F3491" s="44"/>
      <c r="I3491" s="32"/>
      <c r="J3491" s="32"/>
      <c r="K3491" s="44"/>
      <c r="L3491" s="127"/>
      <c r="N3491" s="44"/>
      <c r="O3491" s="83"/>
    </row>
    <row r="3492">
      <c r="E3492" s="35"/>
      <c r="F3492" s="44"/>
      <c r="I3492" s="32"/>
      <c r="J3492" s="32"/>
      <c r="K3492" s="44"/>
      <c r="L3492" s="127"/>
      <c r="N3492" s="44"/>
      <c r="O3492" s="83"/>
    </row>
    <row r="3493">
      <c r="E3493" s="35"/>
      <c r="F3493" s="44"/>
      <c r="I3493" s="32"/>
      <c r="J3493" s="32"/>
      <c r="K3493" s="44"/>
      <c r="L3493" s="127"/>
      <c r="N3493" s="44"/>
      <c r="O3493" s="83"/>
    </row>
    <row r="3494">
      <c r="E3494" s="35"/>
      <c r="F3494" s="44"/>
      <c r="I3494" s="32"/>
      <c r="J3494" s="32"/>
      <c r="K3494" s="44"/>
      <c r="L3494" s="127"/>
      <c r="N3494" s="44"/>
      <c r="O3494" s="83"/>
    </row>
    <row r="3495">
      <c r="E3495" s="35"/>
      <c r="F3495" s="44"/>
      <c r="I3495" s="32"/>
      <c r="J3495" s="32"/>
      <c r="K3495" s="44"/>
      <c r="L3495" s="127"/>
      <c r="N3495" s="44"/>
      <c r="O3495" s="83"/>
    </row>
    <row r="3496">
      <c r="E3496" s="35"/>
      <c r="F3496" s="44"/>
      <c r="I3496" s="32"/>
      <c r="J3496" s="32"/>
      <c r="K3496" s="44"/>
      <c r="L3496" s="127"/>
      <c r="N3496" s="44"/>
      <c r="O3496" s="83"/>
    </row>
    <row r="3497">
      <c r="E3497" s="35"/>
      <c r="F3497" s="44"/>
      <c r="I3497" s="32"/>
      <c r="J3497" s="32"/>
      <c r="K3497" s="44"/>
      <c r="L3497" s="127"/>
      <c r="N3497" s="44"/>
      <c r="O3497" s="83"/>
    </row>
    <row r="3498">
      <c r="E3498" s="35"/>
      <c r="F3498" s="44"/>
      <c r="I3498" s="32"/>
      <c r="J3498" s="32"/>
      <c r="O3498" s="35"/>
    </row>
    <row r="3499">
      <c r="E3499" s="35"/>
      <c r="I3499" s="32"/>
      <c r="J3499" s="32"/>
      <c r="O3499" s="35"/>
    </row>
    <row r="3500">
      <c r="E3500" s="35"/>
      <c r="I3500" s="32"/>
      <c r="J3500" s="32"/>
      <c r="O3500" s="35"/>
    </row>
  </sheetData>
  <hyperlinks>
    <hyperlink r:id="rId1" ref="D525"/>
    <hyperlink r:id="rId2" ref="D559"/>
    <hyperlink r:id="rId3" ref="D816"/>
    <hyperlink r:id="rId4" ref="D1282"/>
    <hyperlink r:id="rId5" ref="D1319"/>
    <hyperlink r:id="rId6" ref="D1419"/>
    <hyperlink r:id="rId7" ref="D1433"/>
    <hyperlink r:id="rId8" ref="D1478"/>
    <hyperlink r:id="rId9" ref="D1482"/>
    <hyperlink r:id="rId10" ref="D1489"/>
    <hyperlink r:id="rId11" ref="D1696"/>
    <hyperlink r:id="rId12" ref="D1831"/>
    <hyperlink r:id="rId13" ref="O1893"/>
    <hyperlink r:id="rId14" ref="O2154"/>
    <hyperlink r:id="rId15" ref="D2193"/>
    <hyperlink r:id="rId16" ref="O2305"/>
    <hyperlink r:id="rId17" ref="D2517"/>
    <hyperlink r:id="rId18" ref="E2645"/>
    <hyperlink r:id="rId19" ref="E2646"/>
    <hyperlink r:id="rId20" ref="E2647"/>
    <hyperlink r:id="rId21" ref="E2648"/>
    <hyperlink r:id="rId22" ref="E2649"/>
    <hyperlink r:id="rId23" ref="E2654"/>
    <hyperlink r:id="rId24" ref="E2656"/>
    <hyperlink r:id="rId25" ref="E2660"/>
    <hyperlink r:id="rId26" ref="E2661"/>
    <hyperlink r:id="rId27" ref="E2663"/>
    <hyperlink r:id="rId28" ref="E2664"/>
    <hyperlink r:id="rId29" ref="E2669"/>
    <hyperlink r:id="rId30" ref="E2676"/>
    <hyperlink r:id="rId31" ref="E2677"/>
    <hyperlink r:id="rId32" ref="E2685"/>
    <hyperlink r:id="rId33" ref="E2686"/>
    <hyperlink r:id="rId34" ref="E2687"/>
    <hyperlink r:id="rId35" ref="O2694"/>
    <hyperlink r:id="rId36" ref="E2699"/>
    <hyperlink r:id="rId37" ref="O2701"/>
    <hyperlink r:id="rId38" ref="E2702"/>
    <hyperlink r:id="rId39" ref="E2703"/>
    <hyperlink r:id="rId40" ref="E2704"/>
    <hyperlink r:id="rId41" ref="E2705"/>
    <hyperlink r:id="rId42" ref="O2716"/>
    <hyperlink r:id="rId43" ref="E2717"/>
    <hyperlink r:id="rId44" ref="E2721"/>
    <hyperlink r:id="rId45" ref="E2722"/>
    <hyperlink r:id="rId46" ref="E2724"/>
    <hyperlink r:id="rId47" ref="E2725"/>
    <hyperlink r:id="rId48" ref="E2726"/>
    <hyperlink r:id="rId49" ref="E2729"/>
    <hyperlink r:id="rId50" ref="E2730"/>
    <hyperlink r:id="rId51" ref="E2731"/>
    <hyperlink r:id="rId52" ref="E2733"/>
    <hyperlink r:id="rId53" ref="E2736"/>
    <hyperlink r:id="rId54" ref="E2739"/>
    <hyperlink r:id="rId55" ref="E2741"/>
    <hyperlink r:id="rId56" ref="E2743"/>
    <hyperlink r:id="rId57" ref="E2745"/>
    <hyperlink r:id="rId58" ref="E2746"/>
    <hyperlink r:id="rId59" ref="E2747"/>
    <hyperlink r:id="rId60" ref="E2751"/>
    <hyperlink r:id="rId61" ref="E2753"/>
    <hyperlink r:id="rId62" ref="E2756"/>
    <hyperlink r:id="rId63" ref="E2757"/>
    <hyperlink r:id="rId64" ref="E2760"/>
    <hyperlink r:id="rId65" ref="E2761"/>
    <hyperlink r:id="rId66" ref="O2766"/>
    <hyperlink r:id="rId67" ref="E2767"/>
    <hyperlink r:id="rId68" ref="E2770"/>
    <hyperlink r:id="rId69" ref="E2771"/>
    <hyperlink r:id="rId70" ref="E2772"/>
    <hyperlink r:id="rId71" ref="E2773"/>
    <hyperlink r:id="rId72" ref="E2774"/>
    <hyperlink r:id="rId73" ref="E2775"/>
    <hyperlink r:id="rId74" ref="E2776"/>
    <hyperlink r:id="rId75" ref="E2778"/>
    <hyperlink r:id="rId76" ref="E2779"/>
    <hyperlink r:id="rId77" ref="E2780"/>
    <hyperlink r:id="rId78" ref="E2781"/>
    <hyperlink r:id="rId79" ref="E2782"/>
    <hyperlink r:id="rId80" ref="E2783"/>
    <hyperlink r:id="rId81" ref="E2784"/>
    <hyperlink r:id="rId82" ref="E2785"/>
    <hyperlink r:id="rId83" ref="O2786"/>
    <hyperlink r:id="rId84" ref="E2787"/>
    <hyperlink r:id="rId85" ref="O2787"/>
    <hyperlink r:id="rId86" ref="O2788"/>
    <hyperlink r:id="rId87" ref="E2789"/>
    <hyperlink r:id="rId88" ref="O2790"/>
    <hyperlink r:id="rId89" ref="E2791"/>
    <hyperlink r:id="rId90" ref="O2791"/>
    <hyperlink r:id="rId91" ref="E2792"/>
    <hyperlink r:id="rId92" ref="O2792"/>
    <hyperlink r:id="rId93" ref="E2793"/>
    <hyperlink r:id="rId94" ref="O2793"/>
    <hyperlink r:id="rId95" ref="E2794"/>
    <hyperlink r:id="rId96" ref="O2794"/>
    <hyperlink r:id="rId97" ref="E2795"/>
    <hyperlink r:id="rId98" ref="O2795"/>
    <hyperlink r:id="rId99" ref="E2796"/>
    <hyperlink r:id="rId100" ref="O2796"/>
    <hyperlink r:id="rId101" ref="O2797"/>
    <hyperlink r:id="rId102" ref="E2798"/>
    <hyperlink r:id="rId103" ref="O2798"/>
    <hyperlink r:id="rId104" ref="O2799"/>
    <hyperlink r:id="rId105" ref="E2800"/>
    <hyperlink r:id="rId106" ref="O2800"/>
    <hyperlink r:id="rId107" ref="O2801"/>
    <hyperlink r:id="rId108" ref="E2802"/>
    <hyperlink r:id="rId109" ref="E2803"/>
    <hyperlink r:id="rId110" ref="E2804"/>
    <hyperlink r:id="rId111" ref="O2804"/>
    <hyperlink r:id="rId112" ref="O2805"/>
    <hyperlink r:id="rId113" ref="E2806"/>
    <hyperlink r:id="rId114" ref="E2808"/>
    <hyperlink r:id="rId115" ref="O2808"/>
    <hyperlink r:id="rId116" ref="E2809"/>
    <hyperlink r:id="rId117" ref="E2810"/>
    <hyperlink r:id="rId118" ref="O2810"/>
    <hyperlink r:id="rId119" ref="E2811"/>
    <hyperlink r:id="rId120" ref="O2811"/>
    <hyperlink r:id="rId121" ref="E2812"/>
    <hyperlink r:id="rId122" ref="O2812"/>
    <hyperlink r:id="rId123" ref="O2813"/>
    <hyperlink r:id="rId124" ref="E2814"/>
    <hyperlink r:id="rId125" ref="O2814"/>
    <hyperlink r:id="rId126" ref="E2815"/>
    <hyperlink r:id="rId127" ref="E2816"/>
    <hyperlink r:id="rId128" ref="O2816"/>
    <hyperlink r:id="rId129" ref="O2817"/>
    <hyperlink r:id="rId130" ref="E2818"/>
    <hyperlink r:id="rId131" ref="O2818"/>
    <hyperlink r:id="rId132" ref="E2819"/>
    <hyperlink r:id="rId133" ref="E2820"/>
    <hyperlink r:id="rId134" ref="E2821"/>
    <hyperlink r:id="rId135" ref="O2821"/>
    <hyperlink r:id="rId136" ref="E2822"/>
    <hyperlink r:id="rId137" ref="E2824"/>
    <hyperlink r:id="rId138" ref="O2824"/>
    <hyperlink r:id="rId139" ref="E2827"/>
    <hyperlink r:id="rId140" ref="O2827"/>
    <hyperlink r:id="rId141" ref="E2828"/>
    <hyperlink r:id="rId142" ref="O2828"/>
    <hyperlink r:id="rId143" ref="E2829"/>
    <hyperlink r:id="rId144" ref="O2829"/>
    <hyperlink r:id="rId145" ref="E2830"/>
    <hyperlink r:id="rId146" ref="O2830"/>
    <hyperlink r:id="rId147" ref="E2831"/>
    <hyperlink r:id="rId148" ref="O2831"/>
    <hyperlink r:id="rId149" ref="O2832"/>
    <hyperlink r:id="rId150" ref="E2833"/>
    <hyperlink r:id="rId151" ref="O2833"/>
    <hyperlink r:id="rId152" ref="E2834"/>
    <hyperlink r:id="rId153" ref="O2834"/>
    <hyperlink r:id="rId154" ref="E2835"/>
    <hyperlink r:id="rId155" ref="E2836"/>
    <hyperlink r:id="rId156" ref="O2836"/>
    <hyperlink r:id="rId157" ref="E2837"/>
    <hyperlink r:id="rId158" ref="O2837"/>
    <hyperlink r:id="rId159" ref="E2838"/>
    <hyperlink r:id="rId160" ref="O2838"/>
    <hyperlink r:id="rId161" ref="E2839"/>
    <hyperlink r:id="rId162" ref="O2840"/>
    <hyperlink r:id="rId163" ref="E2841"/>
    <hyperlink r:id="rId164" ref="E2842"/>
    <hyperlink r:id="rId165" ref="O2842"/>
    <hyperlink r:id="rId166" ref="O2843"/>
    <hyperlink r:id="rId167" ref="E2844"/>
    <hyperlink r:id="rId168" ref="E2845"/>
    <hyperlink r:id="rId169" ref="O2845"/>
    <hyperlink r:id="rId170" ref="E2847"/>
    <hyperlink r:id="rId171" ref="O2847"/>
    <hyperlink r:id="rId172" ref="E2848"/>
    <hyperlink r:id="rId173" ref="O2848"/>
    <hyperlink r:id="rId174" ref="E2849"/>
    <hyperlink r:id="rId175" ref="E2850"/>
    <hyperlink r:id="rId176" ref="O2850"/>
    <hyperlink r:id="rId177" ref="E2851"/>
    <hyperlink r:id="rId178" ref="E2852"/>
    <hyperlink r:id="rId179" ref="O2852"/>
    <hyperlink r:id="rId180" ref="O2853"/>
    <hyperlink r:id="rId181" ref="E2855"/>
    <hyperlink r:id="rId182" ref="O2856"/>
    <hyperlink r:id="rId183" ref="O2857"/>
    <hyperlink r:id="rId184" ref="O2860"/>
    <hyperlink r:id="rId185" ref="O2861"/>
    <hyperlink r:id="rId186" ref="O2862"/>
    <hyperlink r:id="rId187" ref="O2863"/>
  </hyperlinks>
  <drawing r:id="rId188"/>
</worksheet>
</file>